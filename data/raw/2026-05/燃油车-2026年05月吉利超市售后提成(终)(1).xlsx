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pivotTables/pivotTable1.xml" ContentType="application/vnd.openxmlformats-officedocument.spreadsheetml.pivotTable+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3.xml" ContentType="application/vnd.openxmlformats-officedocument.drawing+xml"/>
  <Override PartName="/xl/comments14.xml" ContentType="application/vnd.openxmlformats-officedocument.spreadsheetml.comments+xml"/>
  <Override PartName="/xl/drawings/drawing4.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hidePivotFieldList="1"/>
  <mc:AlternateContent xmlns:mc="http://schemas.openxmlformats.org/markup-compatibility/2006">
    <mc:Choice Requires="x15">
      <x15ac:absPath xmlns:x15ac="http://schemas.microsoft.com/office/spreadsheetml/2010/11/ac" url="E:\zhuomian\西物\"/>
    </mc:Choice>
  </mc:AlternateContent>
  <xr:revisionPtr revIDLastSave="0" documentId="8_{3F4164E7-B4E2-4568-80C0-1BB538491A35}" xr6:coauthVersionLast="47" xr6:coauthVersionMax="47" xr10:uidLastSave="{00000000-0000-0000-0000-000000000000}"/>
  <bookViews>
    <workbookView xWindow="-108" yWindow="-108" windowWidth="23256" windowHeight="12456" tabRatio="819" xr2:uid="{00000000-000D-0000-FFFF-FFFF00000000}"/>
  </bookViews>
  <sheets>
    <sheet name="05月提成-武侯售后" sheetId="133" r:id="rId1"/>
    <sheet name="05月提成-机场售后" sheetId="197" r:id="rId2"/>
    <sheet name="05月业务提成" sheetId="137" r:id="rId3"/>
    <sheet name="05月其他部门提成" sheetId="140" r:id="rId4"/>
    <sheet name="5月车间产值" sheetId="135" r:id="rId5"/>
    <sheet name="05月车间提成" sheetId="136" r:id="rId6"/>
    <sheet name="2026-5任务" sheetId="149" r:id="rId7"/>
    <sheet name="05基本" sheetId="190" r:id="rId8"/>
    <sheet name="钣喷中心" sheetId="192" r:id="rId9"/>
    <sheet name="回访提成方案" sheetId="159" r:id="rId10"/>
    <sheet name="保客营销考核" sheetId="203" r:id="rId11"/>
    <sheet name="油漆版面05月" sheetId="187" r:id="rId12"/>
    <sheet name="吧台提成" sheetId="173" r:id="rId13"/>
    <sheet name="05保明细" sheetId="163" r:id="rId14"/>
    <sheet name="机场续保中心" sheetId="196" r:id="rId15"/>
    <sheet name="超市公积金" sheetId="200" state="hidden" r:id="rId16"/>
    <sheet name="西物公积金" sheetId="201" state="hidden" r:id="rId17"/>
    <sheet name="转介绍+留修奖励（已发现金）" sheetId="202" r:id="rId18"/>
    <sheet name="综合考核" sheetId="158" r:id="rId19"/>
    <sheet name="05月续保产值及提成" sheetId="138" r:id="rId20"/>
    <sheet name="协助明细" sheetId="182" r:id="rId21"/>
    <sheet name="保险专员5月外拓" sheetId="167" r:id="rId22"/>
    <sheet name="5月接送车" sheetId="170" r:id="rId23"/>
    <sheet name="留修员" sheetId="183" r:id="rId24"/>
    <sheet name="工作车救急" sheetId="179" r:id="rId25"/>
    <sheet name="4月续保推荐事故" sheetId="180" state="hidden" r:id="rId26"/>
    <sheet name="6月配件" sheetId="169" state="hidden" r:id="rId27"/>
    <sheet name="配件出库（车间辅料出库除去日常用品" sheetId="177" r:id="rId28"/>
    <sheet name="业务提成系数" sheetId="151" state="hidden" r:id="rId29"/>
    <sheet name="-月满意度考核" sheetId="166" r:id="rId30"/>
    <sheet name="05月二网专员绩效" sheetId="176" r:id="rId31"/>
    <sheet name="服装扣款" sheetId="186" r:id="rId32"/>
    <sheet name="Sheet3" sheetId="199" r:id="rId33"/>
    <sheet name="Sheet2" sheetId="194" state="hidden" r:id="rId34"/>
  </sheets>
  <externalReferences>
    <externalReference r:id="rId35"/>
    <externalReference r:id="rId36"/>
    <externalReference r:id="rId37"/>
    <externalReference r:id="rId38"/>
    <externalReference r:id="rId39"/>
  </externalReferences>
  <definedNames>
    <definedName name="_xlnm._FilterDatabase" localSheetId="13" hidden="1">'05保明细'!$A$1:$IU$1376</definedName>
    <definedName name="_xlnm._FilterDatabase" localSheetId="7" hidden="1">'05基本'!$A$12:$BB$170</definedName>
    <definedName name="_xlnm._FilterDatabase" localSheetId="5" hidden="1">'05月车间提成'!$A$4:$AA$93</definedName>
    <definedName name="_xlnm._FilterDatabase" localSheetId="3" hidden="1">'05月其他部门提成'!$A$3:$AI$79</definedName>
    <definedName name="_xlnm._FilterDatabase" localSheetId="1" hidden="1">'05月提成-机场售后'!$A$3:$AN$58</definedName>
    <definedName name="_xlnm._FilterDatabase" localSheetId="0" hidden="1">'05月提成-武侯售后'!$A$4:$AO$143</definedName>
    <definedName name="_xlnm._FilterDatabase" localSheetId="2" hidden="1">'05月业务提成'!$A$4:$BW$33</definedName>
    <definedName name="_xlnm._FilterDatabase" localSheetId="4" hidden="1">'5月车间产值'!$A$3:$X$35</definedName>
    <definedName name="_xlnm._FilterDatabase" localSheetId="22" hidden="1">'5月接送车'!#REF!</definedName>
    <definedName name="_xlnm._FilterDatabase" localSheetId="8" hidden="1">钣喷中心!$A$2:$AI$54</definedName>
    <definedName name="_xlnm._FilterDatabase" localSheetId="21" hidden="1">保险专员5月外拓!$M$133:$AA$189</definedName>
    <definedName name="_xlnm._FilterDatabase" localSheetId="15" hidden="1">超市公积金!$A$1:$Q$212</definedName>
    <definedName name="_xlnm._FilterDatabase" localSheetId="31" hidden="1">服装扣款!$A$2:$XEW$288</definedName>
    <definedName name="_xlnm._FilterDatabase" localSheetId="24" hidden="1">工作车救急!#REF!</definedName>
    <definedName name="_xlnm._FilterDatabase" localSheetId="27" hidden="1">'配件出库（车间辅料出库除去日常用品'!$G$1:$BE$399</definedName>
    <definedName name="_xlnm._FilterDatabase" localSheetId="20" hidden="1">协助明细!$K$2:$R$237</definedName>
    <definedName name="_xlnm._FilterDatabase" localSheetId="17" hidden="1">'转介绍+留修奖励（已发现金）'!$K$3:$N$72</definedName>
    <definedName name="_xlnm._FilterDatabase" localSheetId="18" hidden="1">综合考核!$A$3:$AD$216</definedName>
    <definedName name="_xlnm.Print_Titles" localSheetId="1">'05月提成-机场售后'!$3:$4</definedName>
    <definedName name="_xlnm.Print_Titles" localSheetId="0">'05月提成-武侯售后'!$3:$4</definedName>
    <definedName name="备件类">#REF!</definedName>
    <definedName name="服务质量">[1]基础参数勿删!$E$6:$E$14</definedName>
    <definedName name="颜色">[2]菜单!$C$2:$C$15</definedName>
  </definedNames>
  <calcPr calcId="191029"/>
  <pivotCaches>
    <pivotCache cacheId="1" r:id="rId40"/>
  </pivotCaches>
</workbook>
</file>

<file path=xl/calcChain.xml><?xml version="1.0" encoding="utf-8"?>
<calcChain xmlns="http://schemas.openxmlformats.org/spreadsheetml/2006/main">
  <c r="N218" i="186" l="1"/>
  <c r="M218" i="186"/>
  <c r="L218" i="186"/>
  <c r="K218" i="186"/>
  <c r="J218" i="186"/>
  <c r="I218" i="186"/>
  <c r="H218" i="186"/>
  <c r="G218" i="186"/>
  <c r="F218" i="186"/>
  <c r="D218" i="186"/>
  <c r="N217" i="186"/>
  <c r="M217" i="186"/>
  <c r="L217" i="186"/>
  <c r="K217" i="186"/>
  <c r="H217" i="186"/>
  <c r="G217" i="186"/>
  <c r="F217" i="186"/>
  <c r="N216" i="186"/>
  <c r="M216" i="186"/>
  <c r="L216" i="186"/>
  <c r="K216" i="186"/>
  <c r="H216" i="186"/>
  <c r="G216" i="186"/>
  <c r="F216" i="186"/>
  <c r="N215" i="186"/>
  <c r="M215" i="186"/>
  <c r="L215" i="186"/>
  <c r="K215" i="186"/>
  <c r="H215" i="186"/>
  <c r="G215" i="186"/>
  <c r="F215" i="186"/>
  <c r="N214" i="186"/>
  <c r="M214" i="186"/>
  <c r="L214" i="186"/>
  <c r="K214" i="186"/>
  <c r="H214" i="186"/>
  <c r="G214" i="186"/>
  <c r="F214" i="186"/>
  <c r="N213" i="186"/>
  <c r="M213" i="186"/>
  <c r="L213" i="186"/>
  <c r="K213" i="186"/>
  <c r="H213" i="186"/>
  <c r="G213" i="186"/>
  <c r="F213" i="186"/>
  <c r="N212" i="186"/>
  <c r="M212" i="186"/>
  <c r="L212" i="186"/>
  <c r="K212" i="186"/>
  <c r="H212" i="186"/>
  <c r="G212" i="186"/>
  <c r="F212" i="186"/>
  <c r="N211" i="186"/>
  <c r="M211" i="186"/>
  <c r="L211" i="186"/>
  <c r="K211" i="186"/>
  <c r="H211" i="186"/>
  <c r="G211" i="186"/>
  <c r="F211" i="186"/>
  <c r="N210" i="186"/>
  <c r="M210" i="186"/>
  <c r="L210" i="186"/>
  <c r="K210" i="186"/>
  <c r="H210" i="186"/>
  <c r="G210" i="186"/>
  <c r="F210" i="186"/>
  <c r="N208" i="186"/>
  <c r="M208" i="186"/>
  <c r="L208" i="186"/>
  <c r="K208" i="186"/>
  <c r="N207" i="186"/>
  <c r="M207" i="186"/>
  <c r="L207" i="186"/>
  <c r="K207" i="186"/>
  <c r="N206" i="186"/>
  <c r="M206" i="186"/>
  <c r="L206" i="186"/>
  <c r="K206" i="186"/>
  <c r="H206" i="186"/>
  <c r="G206" i="186"/>
  <c r="F206" i="186"/>
  <c r="N205" i="186"/>
  <c r="M205" i="186"/>
  <c r="L205" i="186"/>
  <c r="K205" i="186"/>
  <c r="H205" i="186"/>
  <c r="G205" i="186"/>
  <c r="F205" i="186"/>
  <c r="N204" i="186"/>
  <c r="M204" i="186"/>
  <c r="L204" i="186"/>
  <c r="K204" i="186"/>
  <c r="H204" i="186"/>
  <c r="G204" i="186"/>
  <c r="F204" i="186"/>
  <c r="N203" i="186"/>
  <c r="M203" i="186"/>
  <c r="L203" i="186"/>
  <c r="K203" i="186"/>
  <c r="H203" i="186"/>
  <c r="G203" i="186"/>
  <c r="F203" i="186"/>
  <c r="N202" i="186"/>
  <c r="M202" i="186"/>
  <c r="L202" i="186"/>
  <c r="K202" i="186"/>
  <c r="H202" i="186"/>
  <c r="G202" i="186"/>
  <c r="F202" i="186"/>
  <c r="N201" i="186"/>
  <c r="M201" i="186"/>
  <c r="L201" i="186"/>
  <c r="K201" i="186"/>
  <c r="H201" i="186"/>
  <c r="G201" i="186"/>
  <c r="F201" i="186"/>
  <c r="N200" i="186"/>
  <c r="M200" i="186"/>
  <c r="L200" i="186"/>
  <c r="K200" i="186"/>
  <c r="H200" i="186"/>
  <c r="G200" i="186"/>
  <c r="F200" i="186"/>
  <c r="N199" i="186"/>
  <c r="M199" i="186"/>
  <c r="L199" i="186"/>
  <c r="K199" i="186"/>
  <c r="H199" i="186"/>
  <c r="G199" i="186"/>
  <c r="F199" i="186"/>
  <c r="N198" i="186"/>
  <c r="M198" i="186"/>
  <c r="L198" i="186"/>
  <c r="K198" i="186"/>
  <c r="H198" i="186"/>
  <c r="G198" i="186"/>
  <c r="F198" i="186"/>
  <c r="N197" i="186"/>
  <c r="M197" i="186"/>
  <c r="L197" i="186"/>
  <c r="K197" i="186"/>
  <c r="H197" i="186"/>
  <c r="G197" i="186"/>
  <c r="F197" i="186"/>
  <c r="N196" i="186"/>
  <c r="M196" i="186"/>
  <c r="L196" i="186"/>
  <c r="K196" i="186"/>
  <c r="H196" i="186"/>
  <c r="G196" i="186"/>
  <c r="F196" i="186"/>
  <c r="N195" i="186"/>
  <c r="M195" i="186"/>
  <c r="L195" i="186"/>
  <c r="K195" i="186"/>
  <c r="H195" i="186"/>
  <c r="G195" i="186"/>
  <c r="F195" i="186"/>
  <c r="N194" i="186"/>
  <c r="M194" i="186"/>
  <c r="L194" i="186"/>
  <c r="K194" i="186"/>
  <c r="H194" i="186"/>
  <c r="G194" i="186"/>
  <c r="F194" i="186"/>
  <c r="N193" i="186"/>
  <c r="M193" i="186"/>
  <c r="L193" i="186"/>
  <c r="K193" i="186"/>
  <c r="H193" i="186"/>
  <c r="G193" i="186"/>
  <c r="F193" i="186"/>
  <c r="N192" i="186"/>
  <c r="M192" i="186"/>
  <c r="L192" i="186"/>
  <c r="K192" i="186"/>
  <c r="H192" i="186"/>
  <c r="G192" i="186"/>
  <c r="F192" i="186"/>
  <c r="N191" i="186"/>
  <c r="M191" i="186"/>
  <c r="L191" i="186"/>
  <c r="K191" i="186"/>
  <c r="H191" i="186"/>
  <c r="G191" i="186"/>
  <c r="F191" i="186"/>
  <c r="N190" i="186"/>
  <c r="M190" i="186"/>
  <c r="L190" i="186"/>
  <c r="K190" i="186"/>
  <c r="H190" i="186"/>
  <c r="G190" i="186"/>
  <c r="F190" i="186"/>
  <c r="N189" i="186"/>
  <c r="M189" i="186"/>
  <c r="L189" i="186"/>
  <c r="K189" i="186"/>
  <c r="H189" i="186"/>
  <c r="G189" i="186"/>
  <c r="F189" i="186"/>
  <c r="N188" i="186"/>
  <c r="M188" i="186"/>
  <c r="L188" i="186"/>
  <c r="K188" i="186"/>
  <c r="H188" i="186"/>
  <c r="G188" i="186"/>
  <c r="F188" i="186"/>
  <c r="N187" i="186"/>
  <c r="M187" i="186"/>
  <c r="L187" i="186"/>
  <c r="K187" i="186"/>
  <c r="H187" i="186"/>
  <c r="G187" i="186"/>
  <c r="F187" i="186"/>
  <c r="N186" i="186"/>
  <c r="M186" i="186"/>
  <c r="L186" i="186"/>
  <c r="K186" i="186"/>
  <c r="H186" i="186"/>
  <c r="G186" i="186"/>
  <c r="F186" i="186"/>
  <c r="N185" i="186"/>
  <c r="M185" i="186"/>
  <c r="L185" i="186"/>
  <c r="K185" i="186"/>
  <c r="H185" i="186"/>
  <c r="G185" i="186"/>
  <c r="F185" i="186"/>
  <c r="N184" i="186"/>
  <c r="M184" i="186"/>
  <c r="L184" i="186"/>
  <c r="K184" i="186"/>
  <c r="H184" i="186"/>
  <c r="G184" i="186"/>
  <c r="F184" i="186"/>
  <c r="N183" i="186"/>
  <c r="M183" i="186"/>
  <c r="L183" i="186"/>
  <c r="K183" i="186"/>
  <c r="H183" i="186"/>
  <c r="G183" i="186"/>
  <c r="F183" i="186"/>
  <c r="N182" i="186"/>
  <c r="M182" i="186"/>
  <c r="L182" i="186"/>
  <c r="K182" i="186"/>
  <c r="H182" i="186"/>
  <c r="G182" i="186"/>
  <c r="F182" i="186"/>
  <c r="N181" i="186"/>
  <c r="M181" i="186"/>
  <c r="L181" i="186"/>
  <c r="K181" i="186"/>
  <c r="H181" i="186"/>
  <c r="G181" i="186"/>
  <c r="F181" i="186"/>
  <c r="N180" i="186"/>
  <c r="M180" i="186"/>
  <c r="L180" i="186"/>
  <c r="K180" i="186"/>
  <c r="H180" i="186"/>
  <c r="G180" i="186"/>
  <c r="F180" i="186"/>
  <c r="N179" i="186"/>
  <c r="M179" i="186"/>
  <c r="L179" i="186"/>
  <c r="K179" i="186"/>
  <c r="H179" i="186"/>
  <c r="G179" i="186"/>
  <c r="F179" i="186"/>
  <c r="N178" i="186"/>
  <c r="M178" i="186"/>
  <c r="L178" i="186"/>
  <c r="K178" i="186"/>
  <c r="H178" i="186"/>
  <c r="G178" i="186"/>
  <c r="F178" i="186"/>
  <c r="N177" i="186"/>
  <c r="M177" i="186"/>
  <c r="L177" i="186"/>
  <c r="K177" i="186"/>
  <c r="H177" i="186"/>
  <c r="G177" i="186"/>
  <c r="F177" i="186"/>
  <c r="N176" i="186"/>
  <c r="M176" i="186"/>
  <c r="L176" i="186"/>
  <c r="K176" i="186"/>
  <c r="H176" i="186"/>
  <c r="G176" i="186"/>
  <c r="F176" i="186"/>
  <c r="N175" i="186"/>
  <c r="M175" i="186"/>
  <c r="L175" i="186"/>
  <c r="K175" i="186"/>
  <c r="H175" i="186"/>
  <c r="G175" i="186"/>
  <c r="F175" i="186"/>
  <c r="N174" i="186"/>
  <c r="M174" i="186"/>
  <c r="L174" i="186"/>
  <c r="K174" i="186"/>
  <c r="H174" i="186"/>
  <c r="G174" i="186"/>
  <c r="F174" i="186"/>
  <c r="N173" i="186"/>
  <c r="M173" i="186"/>
  <c r="L173" i="186"/>
  <c r="K173" i="186"/>
  <c r="H173" i="186"/>
  <c r="G173" i="186"/>
  <c r="F173" i="186"/>
  <c r="N172" i="186"/>
  <c r="M172" i="186"/>
  <c r="L172" i="186"/>
  <c r="K172" i="186"/>
  <c r="H172" i="186"/>
  <c r="G172" i="186"/>
  <c r="F172" i="186"/>
  <c r="N171" i="186"/>
  <c r="M171" i="186"/>
  <c r="L171" i="186"/>
  <c r="K171" i="186"/>
  <c r="H171" i="186"/>
  <c r="G171" i="186"/>
  <c r="F171" i="186"/>
  <c r="N170" i="186"/>
  <c r="M170" i="186"/>
  <c r="L170" i="186"/>
  <c r="K170" i="186"/>
  <c r="H170" i="186"/>
  <c r="G170" i="186"/>
  <c r="F170" i="186"/>
  <c r="N169" i="186"/>
  <c r="M169" i="186"/>
  <c r="L169" i="186"/>
  <c r="K169" i="186"/>
  <c r="H169" i="186"/>
  <c r="G169" i="186"/>
  <c r="F169" i="186"/>
  <c r="N168" i="186"/>
  <c r="M168" i="186"/>
  <c r="L168" i="186"/>
  <c r="K168" i="186"/>
  <c r="H168" i="186"/>
  <c r="G168" i="186"/>
  <c r="F168" i="186"/>
  <c r="N167" i="186"/>
  <c r="M167" i="186"/>
  <c r="L167" i="186"/>
  <c r="K167" i="186"/>
  <c r="H167" i="186"/>
  <c r="G167" i="186"/>
  <c r="F167" i="186"/>
  <c r="N166" i="186"/>
  <c r="M166" i="186"/>
  <c r="L166" i="186"/>
  <c r="K166" i="186"/>
  <c r="H166" i="186"/>
  <c r="G166" i="186"/>
  <c r="F166" i="186"/>
  <c r="N165" i="186"/>
  <c r="M165" i="186"/>
  <c r="L165" i="186"/>
  <c r="K165" i="186"/>
  <c r="H165" i="186"/>
  <c r="G165" i="186"/>
  <c r="F165" i="186"/>
  <c r="N164" i="186"/>
  <c r="M164" i="186"/>
  <c r="L164" i="186"/>
  <c r="K164" i="186"/>
  <c r="H164" i="186"/>
  <c r="G164" i="186"/>
  <c r="F164" i="186"/>
  <c r="N163" i="186"/>
  <c r="M163" i="186"/>
  <c r="L163" i="186"/>
  <c r="K163" i="186"/>
  <c r="H163" i="186"/>
  <c r="G163" i="186"/>
  <c r="F163" i="186"/>
  <c r="N162" i="186"/>
  <c r="M162" i="186"/>
  <c r="L162" i="186"/>
  <c r="K162" i="186"/>
  <c r="H162" i="186"/>
  <c r="G162" i="186"/>
  <c r="F162" i="186"/>
  <c r="N161" i="186"/>
  <c r="M161" i="186"/>
  <c r="L161" i="186"/>
  <c r="K161" i="186"/>
  <c r="H161" i="186"/>
  <c r="G161" i="186"/>
  <c r="F161" i="186"/>
  <c r="N160" i="186"/>
  <c r="M160" i="186"/>
  <c r="L160" i="186"/>
  <c r="K160" i="186"/>
  <c r="H160" i="186"/>
  <c r="G160" i="186"/>
  <c r="F160" i="186"/>
  <c r="N159" i="186"/>
  <c r="M159" i="186"/>
  <c r="L159" i="186"/>
  <c r="K159" i="186"/>
  <c r="H159" i="186"/>
  <c r="G159" i="186"/>
  <c r="F159" i="186"/>
  <c r="N158" i="186"/>
  <c r="M158" i="186"/>
  <c r="L158" i="186"/>
  <c r="K158" i="186"/>
  <c r="H158" i="186"/>
  <c r="G158" i="186"/>
  <c r="F158" i="186"/>
  <c r="N157" i="186"/>
  <c r="M157" i="186"/>
  <c r="L157" i="186"/>
  <c r="K157" i="186"/>
  <c r="H157" i="186"/>
  <c r="G157" i="186"/>
  <c r="F157" i="186"/>
  <c r="N156" i="186"/>
  <c r="M156" i="186"/>
  <c r="L156" i="186"/>
  <c r="K156" i="186"/>
  <c r="H156" i="186"/>
  <c r="G156" i="186"/>
  <c r="F156" i="186"/>
  <c r="N155" i="186"/>
  <c r="M155" i="186"/>
  <c r="L155" i="186"/>
  <c r="K155" i="186"/>
  <c r="H155" i="186"/>
  <c r="G155" i="186"/>
  <c r="F155" i="186"/>
  <c r="N154" i="186"/>
  <c r="M154" i="186"/>
  <c r="L154" i="186"/>
  <c r="K154" i="186"/>
  <c r="H154" i="186"/>
  <c r="G154" i="186"/>
  <c r="F154" i="186"/>
  <c r="N153" i="186"/>
  <c r="M153" i="186"/>
  <c r="L153" i="186"/>
  <c r="K153" i="186"/>
  <c r="H153" i="186"/>
  <c r="G153" i="186"/>
  <c r="F153" i="186"/>
  <c r="N152" i="186"/>
  <c r="M152" i="186"/>
  <c r="L152" i="186"/>
  <c r="K152" i="186"/>
  <c r="H152" i="186"/>
  <c r="G152" i="186"/>
  <c r="F152" i="186"/>
  <c r="N151" i="186"/>
  <c r="M151" i="186"/>
  <c r="L151" i="186"/>
  <c r="K151" i="186"/>
  <c r="H151" i="186"/>
  <c r="G151" i="186"/>
  <c r="F151" i="186"/>
  <c r="N150" i="186"/>
  <c r="M150" i="186"/>
  <c r="L150" i="186"/>
  <c r="K150" i="186"/>
  <c r="H150" i="186"/>
  <c r="G150" i="186"/>
  <c r="F150" i="186"/>
  <c r="N149" i="186"/>
  <c r="M149" i="186"/>
  <c r="L149" i="186"/>
  <c r="K149" i="186"/>
  <c r="H149" i="186"/>
  <c r="G149" i="186"/>
  <c r="F149" i="186"/>
  <c r="N148" i="186"/>
  <c r="M148" i="186"/>
  <c r="L148" i="186"/>
  <c r="K148" i="186"/>
  <c r="H148" i="186"/>
  <c r="G148" i="186"/>
  <c r="F148" i="186"/>
  <c r="N147" i="186"/>
  <c r="M147" i="186"/>
  <c r="L147" i="186"/>
  <c r="K147" i="186"/>
  <c r="H147" i="186"/>
  <c r="G147" i="186"/>
  <c r="F147" i="186"/>
  <c r="N146" i="186"/>
  <c r="M146" i="186"/>
  <c r="L146" i="186"/>
  <c r="K146" i="186"/>
  <c r="H146" i="186"/>
  <c r="G146" i="186"/>
  <c r="F146" i="186"/>
  <c r="N145" i="186"/>
  <c r="M145" i="186"/>
  <c r="L145" i="186"/>
  <c r="K145" i="186"/>
  <c r="H145" i="186"/>
  <c r="G145" i="186"/>
  <c r="F145" i="186"/>
  <c r="N144" i="186"/>
  <c r="M144" i="186"/>
  <c r="L144" i="186"/>
  <c r="K144" i="186"/>
  <c r="H144" i="186"/>
  <c r="G144" i="186"/>
  <c r="F144" i="186"/>
  <c r="N143" i="186"/>
  <c r="M143" i="186"/>
  <c r="L143" i="186"/>
  <c r="K143" i="186"/>
  <c r="H143" i="186"/>
  <c r="G143" i="186"/>
  <c r="F143" i="186"/>
  <c r="N142" i="186"/>
  <c r="M142" i="186"/>
  <c r="L142" i="186"/>
  <c r="K142" i="186"/>
  <c r="H142" i="186"/>
  <c r="G142" i="186"/>
  <c r="F142" i="186"/>
  <c r="N141" i="186"/>
  <c r="M141" i="186"/>
  <c r="L141" i="186"/>
  <c r="K141" i="186"/>
  <c r="H141" i="186"/>
  <c r="G141" i="186"/>
  <c r="F141" i="186"/>
  <c r="N140" i="186"/>
  <c r="M140" i="186"/>
  <c r="L140" i="186"/>
  <c r="K140" i="186"/>
  <c r="H140" i="186"/>
  <c r="G140" i="186"/>
  <c r="F140" i="186"/>
  <c r="N139" i="186"/>
  <c r="M139" i="186"/>
  <c r="L139" i="186"/>
  <c r="K139" i="186"/>
  <c r="H139" i="186"/>
  <c r="G139" i="186"/>
  <c r="F139" i="186"/>
  <c r="N138" i="186"/>
  <c r="M138" i="186"/>
  <c r="L138" i="186"/>
  <c r="K138" i="186"/>
  <c r="H138" i="186"/>
  <c r="G138" i="186"/>
  <c r="F138" i="186"/>
  <c r="N137" i="186"/>
  <c r="M137" i="186"/>
  <c r="L137" i="186"/>
  <c r="K137" i="186"/>
  <c r="H137" i="186"/>
  <c r="G137" i="186"/>
  <c r="F137" i="186"/>
  <c r="N136" i="186"/>
  <c r="M136" i="186"/>
  <c r="L136" i="186"/>
  <c r="K136" i="186"/>
  <c r="H136" i="186"/>
  <c r="G136" i="186"/>
  <c r="F136" i="186"/>
  <c r="N135" i="186"/>
  <c r="M135" i="186"/>
  <c r="L135" i="186"/>
  <c r="K135" i="186"/>
  <c r="H135" i="186"/>
  <c r="G135" i="186"/>
  <c r="F135" i="186"/>
  <c r="N134" i="186"/>
  <c r="M134" i="186"/>
  <c r="L134" i="186"/>
  <c r="K134" i="186"/>
  <c r="H134" i="186"/>
  <c r="G134" i="186"/>
  <c r="F134" i="186"/>
  <c r="N133" i="186"/>
  <c r="M133" i="186"/>
  <c r="L133" i="186"/>
  <c r="K133" i="186"/>
  <c r="H133" i="186"/>
  <c r="G133" i="186"/>
  <c r="F133" i="186"/>
  <c r="N132" i="186"/>
  <c r="M132" i="186"/>
  <c r="L132" i="186"/>
  <c r="K132" i="186"/>
  <c r="H132" i="186"/>
  <c r="G132" i="186"/>
  <c r="F132" i="186"/>
  <c r="N131" i="186"/>
  <c r="M131" i="186"/>
  <c r="L131" i="186"/>
  <c r="K131" i="186"/>
  <c r="H131" i="186"/>
  <c r="G131" i="186"/>
  <c r="F131" i="186"/>
  <c r="N130" i="186"/>
  <c r="M130" i="186"/>
  <c r="L130" i="186"/>
  <c r="K130" i="186"/>
  <c r="H130" i="186"/>
  <c r="G130" i="186"/>
  <c r="F130" i="186"/>
  <c r="N129" i="186"/>
  <c r="M129" i="186"/>
  <c r="L129" i="186"/>
  <c r="K129" i="186"/>
  <c r="H129" i="186"/>
  <c r="G129" i="186"/>
  <c r="F129" i="186"/>
  <c r="N128" i="186"/>
  <c r="M128" i="186"/>
  <c r="L128" i="186"/>
  <c r="K128" i="186"/>
  <c r="H128" i="186"/>
  <c r="G128" i="186"/>
  <c r="F128" i="186"/>
  <c r="N127" i="186"/>
  <c r="M127" i="186"/>
  <c r="L127" i="186"/>
  <c r="K127" i="186"/>
  <c r="H127" i="186"/>
  <c r="G127" i="186"/>
  <c r="F127" i="186"/>
  <c r="N126" i="186"/>
  <c r="M126" i="186"/>
  <c r="L126" i="186"/>
  <c r="K126" i="186"/>
  <c r="H126" i="186"/>
  <c r="G126" i="186"/>
  <c r="F126" i="186"/>
  <c r="N125" i="186"/>
  <c r="M125" i="186"/>
  <c r="L125" i="186"/>
  <c r="K125" i="186"/>
  <c r="H125" i="186"/>
  <c r="G125" i="186"/>
  <c r="F125" i="186"/>
  <c r="N124" i="186"/>
  <c r="M124" i="186"/>
  <c r="L124" i="186"/>
  <c r="K124" i="186"/>
  <c r="H124" i="186"/>
  <c r="G124" i="186"/>
  <c r="F124" i="186"/>
  <c r="N123" i="186"/>
  <c r="M123" i="186"/>
  <c r="L123" i="186"/>
  <c r="K123" i="186"/>
  <c r="H123" i="186"/>
  <c r="G123" i="186"/>
  <c r="F123" i="186"/>
  <c r="N122" i="186"/>
  <c r="M122" i="186"/>
  <c r="L122" i="186"/>
  <c r="K122" i="186"/>
  <c r="H122" i="186"/>
  <c r="G122" i="186"/>
  <c r="F122" i="186"/>
  <c r="N121" i="186"/>
  <c r="M121" i="186"/>
  <c r="L121" i="186"/>
  <c r="K121" i="186"/>
  <c r="H121" i="186"/>
  <c r="G121" i="186"/>
  <c r="F121" i="186"/>
  <c r="N120" i="186"/>
  <c r="M120" i="186"/>
  <c r="L120" i="186"/>
  <c r="K120" i="186"/>
  <c r="H120" i="186"/>
  <c r="G120" i="186"/>
  <c r="F120" i="186"/>
  <c r="N119" i="186"/>
  <c r="M119" i="186"/>
  <c r="L119" i="186"/>
  <c r="K119" i="186"/>
  <c r="H119" i="186"/>
  <c r="G119" i="186"/>
  <c r="F119" i="186"/>
  <c r="N118" i="186"/>
  <c r="M118" i="186"/>
  <c r="L118" i="186"/>
  <c r="K118" i="186"/>
  <c r="H118" i="186"/>
  <c r="G118" i="186"/>
  <c r="F118" i="186"/>
  <c r="N117" i="186"/>
  <c r="M117" i="186"/>
  <c r="L117" i="186"/>
  <c r="K117" i="186"/>
  <c r="H117" i="186"/>
  <c r="G117" i="186"/>
  <c r="F117" i="186"/>
  <c r="N116" i="186"/>
  <c r="M116" i="186"/>
  <c r="L116" i="186"/>
  <c r="K116" i="186"/>
  <c r="H116" i="186"/>
  <c r="G116" i="186"/>
  <c r="F116" i="186"/>
  <c r="N115" i="186"/>
  <c r="M115" i="186"/>
  <c r="L115" i="186"/>
  <c r="K115" i="186"/>
  <c r="H115" i="186"/>
  <c r="G115" i="186"/>
  <c r="F115" i="186"/>
  <c r="N114" i="186"/>
  <c r="M114" i="186"/>
  <c r="L114" i="186"/>
  <c r="K114" i="186"/>
  <c r="H114" i="186"/>
  <c r="G114" i="186"/>
  <c r="F114" i="186"/>
  <c r="N113" i="186"/>
  <c r="M113" i="186"/>
  <c r="L113" i="186"/>
  <c r="K113" i="186"/>
  <c r="H113" i="186"/>
  <c r="G113" i="186"/>
  <c r="F113" i="186"/>
  <c r="N112" i="186"/>
  <c r="M112" i="186"/>
  <c r="L112" i="186"/>
  <c r="K112" i="186"/>
  <c r="H112" i="186"/>
  <c r="G112" i="186"/>
  <c r="F112" i="186"/>
  <c r="N111" i="186"/>
  <c r="M111" i="186"/>
  <c r="L111" i="186"/>
  <c r="K111" i="186"/>
  <c r="H111" i="186"/>
  <c r="G111" i="186"/>
  <c r="F111" i="186"/>
  <c r="N110" i="186"/>
  <c r="M110" i="186"/>
  <c r="L110" i="186"/>
  <c r="K110" i="186"/>
  <c r="H110" i="186"/>
  <c r="G110" i="186"/>
  <c r="F110" i="186"/>
  <c r="N109" i="186"/>
  <c r="M109" i="186"/>
  <c r="L109" i="186"/>
  <c r="K109" i="186"/>
  <c r="H109" i="186"/>
  <c r="G109" i="186"/>
  <c r="F109" i="186"/>
  <c r="N108" i="186"/>
  <c r="M108" i="186"/>
  <c r="L108" i="186"/>
  <c r="K108" i="186"/>
  <c r="H108" i="186"/>
  <c r="G108" i="186"/>
  <c r="F108" i="186"/>
  <c r="N107" i="186"/>
  <c r="M107" i="186"/>
  <c r="L107" i="186"/>
  <c r="K107" i="186"/>
  <c r="H107" i="186"/>
  <c r="G107" i="186"/>
  <c r="F107" i="186"/>
  <c r="N106" i="186"/>
  <c r="M106" i="186"/>
  <c r="L106" i="186"/>
  <c r="K106" i="186"/>
  <c r="H106" i="186"/>
  <c r="G106" i="186"/>
  <c r="F106" i="186"/>
  <c r="N105" i="186"/>
  <c r="M105" i="186"/>
  <c r="L105" i="186"/>
  <c r="K105" i="186"/>
  <c r="H105" i="186"/>
  <c r="G105" i="186"/>
  <c r="F105" i="186"/>
  <c r="N104" i="186"/>
  <c r="M104" i="186"/>
  <c r="L104" i="186"/>
  <c r="K104" i="186"/>
  <c r="H104" i="186"/>
  <c r="G104" i="186"/>
  <c r="F104" i="186"/>
  <c r="N103" i="186"/>
  <c r="M103" i="186"/>
  <c r="L103" i="186"/>
  <c r="K103" i="186"/>
  <c r="H103" i="186"/>
  <c r="G103" i="186"/>
  <c r="F103" i="186"/>
  <c r="N102" i="186"/>
  <c r="M102" i="186"/>
  <c r="L102" i="186"/>
  <c r="K102" i="186"/>
  <c r="H102" i="186"/>
  <c r="G102" i="186"/>
  <c r="F102" i="186"/>
  <c r="N101" i="186"/>
  <c r="M101" i="186"/>
  <c r="L101" i="186"/>
  <c r="K101" i="186"/>
  <c r="H101" i="186"/>
  <c r="G101" i="186"/>
  <c r="F101" i="186"/>
  <c r="N100" i="186"/>
  <c r="M100" i="186"/>
  <c r="L100" i="186"/>
  <c r="K100" i="186"/>
  <c r="H100" i="186"/>
  <c r="G100" i="186"/>
  <c r="F100" i="186"/>
  <c r="N99" i="186"/>
  <c r="M99" i="186"/>
  <c r="L99" i="186"/>
  <c r="K99" i="186"/>
  <c r="H99" i="186"/>
  <c r="G99" i="186"/>
  <c r="F99" i="186"/>
  <c r="N98" i="186"/>
  <c r="M98" i="186"/>
  <c r="L98" i="186"/>
  <c r="K98" i="186"/>
  <c r="H98" i="186"/>
  <c r="G98" i="186"/>
  <c r="F98" i="186"/>
  <c r="N97" i="186"/>
  <c r="M97" i="186"/>
  <c r="L97" i="186"/>
  <c r="K97" i="186"/>
  <c r="H97" i="186"/>
  <c r="G97" i="186"/>
  <c r="F97" i="186"/>
  <c r="N96" i="186"/>
  <c r="M96" i="186"/>
  <c r="L96" i="186"/>
  <c r="K96" i="186"/>
  <c r="H96" i="186"/>
  <c r="G96" i="186"/>
  <c r="F96" i="186"/>
  <c r="N95" i="186"/>
  <c r="M95" i="186"/>
  <c r="L95" i="186"/>
  <c r="K95" i="186"/>
  <c r="H95" i="186"/>
  <c r="G95" i="186"/>
  <c r="F95" i="186"/>
  <c r="N94" i="186"/>
  <c r="M94" i="186"/>
  <c r="L94" i="186"/>
  <c r="K94" i="186"/>
  <c r="H94" i="186"/>
  <c r="G94" i="186"/>
  <c r="F94" i="186"/>
  <c r="N93" i="186"/>
  <c r="M93" i="186"/>
  <c r="L93" i="186"/>
  <c r="K93" i="186"/>
  <c r="H93" i="186"/>
  <c r="G93" i="186"/>
  <c r="F93" i="186"/>
  <c r="N92" i="186"/>
  <c r="M92" i="186"/>
  <c r="L92" i="186"/>
  <c r="K92" i="186"/>
  <c r="H92" i="186"/>
  <c r="G92" i="186"/>
  <c r="F92" i="186"/>
  <c r="N91" i="186"/>
  <c r="M91" i="186"/>
  <c r="L91" i="186"/>
  <c r="K91" i="186"/>
  <c r="H91" i="186"/>
  <c r="G91" i="186"/>
  <c r="F91" i="186"/>
  <c r="N90" i="186"/>
  <c r="M90" i="186"/>
  <c r="L90" i="186"/>
  <c r="K90" i="186"/>
  <c r="H90" i="186"/>
  <c r="G90" i="186"/>
  <c r="F90" i="186"/>
  <c r="N89" i="186"/>
  <c r="M89" i="186"/>
  <c r="L89" i="186"/>
  <c r="K89" i="186"/>
  <c r="H89" i="186"/>
  <c r="G89" i="186"/>
  <c r="F89" i="186"/>
  <c r="N88" i="186"/>
  <c r="M88" i="186"/>
  <c r="L88" i="186"/>
  <c r="K88" i="186"/>
  <c r="H88" i="186"/>
  <c r="G88" i="186"/>
  <c r="F88" i="186"/>
  <c r="N87" i="186"/>
  <c r="M87" i="186"/>
  <c r="L87" i="186"/>
  <c r="K87" i="186"/>
  <c r="H87" i="186"/>
  <c r="G87" i="186"/>
  <c r="F87" i="186"/>
  <c r="N86" i="186"/>
  <c r="M86" i="186"/>
  <c r="L86" i="186"/>
  <c r="K86" i="186"/>
  <c r="H86" i="186"/>
  <c r="G86" i="186"/>
  <c r="F86" i="186"/>
  <c r="N85" i="186"/>
  <c r="M85" i="186"/>
  <c r="L85" i="186"/>
  <c r="K85" i="186"/>
  <c r="H85" i="186"/>
  <c r="G85" i="186"/>
  <c r="F85" i="186"/>
  <c r="N84" i="186"/>
  <c r="M84" i="186"/>
  <c r="L84" i="186"/>
  <c r="K84" i="186"/>
  <c r="H84" i="186"/>
  <c r="G84" i="186"/>
  <c r="F84" i="186"/>
  <c r="N83" i="186"/>
  <c r="M83" i="186"/>
  <c r="L83" i="186"/>
  <c r="K83" i="186"/>
  <c r="H83" i="186"/>
  <c r="G83" i="186"/>
  <c r="F83" i="186"/>
  <c r="N82" i="186"/>
  <c r="M82" i="186"/>
  <c r="L82" i="186"/>
  <c r="K82" i="186"/>
  <c r="H82" i="186"/>
  <c r="G82" i="186"/>
  <c r="F82" i="186"/>
  <c r="N81" i="186"/>
  <c r="M81" i="186"/>
  <c r="L81" i="186"/>
  <c r="K81" i="186"/>
  <c r="H81" i="186"/>
  <c r="G81" i="186"/>
  <c r="F81" i="186"/>
  <c r="N80" i="186"/>
  <c r="M80" i="186"/>
  <c r="L80" i="186"/>
  <c r="K80" i="186"/>
  <c r="H80" i="186"/>
  <c r="G80" i="186"/>
  <c r="F80" i="186"/>
  <c r="N79" i="186"/>
  <c r="M79" i="186"/>
  <c r="L79" i="186"/>
  <c r="K79" i="186"/>
  <c r="H79" i="186"/>
  <c r="G79" i="186"/>
  <c r="F79" i="186"/>
  <c r="N78" i="186"/>
  <c r="M78" i="186"/>
  <c r="L78" i="186"/>
  <c r="K78" i="186"/>
  <c r="H78" i="186"/>
  <c r="G78" i="186"/>
  <c r="F78" i="186"/>
  <c r="N77" i="186"/>
  <c r="M77" i="186"/>
  <c r="L77" i="186"/>
  <c r="K77" i="186"/>
  <c r="H77" i="186"/>
  <c r="G77" i="186"/>
  <c r="F77" i="186"/>
  <c r="N76" i="186"/>
  <c r="M76" i="186"/>
  <c r="L76" i="186"/>
  <c r="K76" i="186"/>
  <c r="H76" i="186"/>
  <c r="G76" i="186"/>
  <c r="F76" i="186"/>
  <c r="N75" i="186"/>
  <c r="M75" i="186"/>
  <c r="L75" i="186"/>
  <c r="K75" i="186"/>
  <c r="H75" i="186"/>
  <c r="G75" i="186"/>
  <c r="F75" i="186"/>
  <c r="N74" i="186"/>
  <c r="M74" i="186"/>
  <c r="L74" i="186"/>
  <c r="K74" i="186"/>
  <c r="H74" i="186"/>
  <c r="G74" i="186"/>
  <c r="F74" i="186"/>
  <c r="N73" i="186"/>
  <c r="M73" i="186"/>
  <c r="L73" i="186"/>
  <c r="K73" i="186"/>
  <c r="H73" i="186"/>
  <c r="G73" i="186"/>
  <c r="F73" i="186"/>
  <c r="N72" i="186"/>
  <c r="M72" i="186"/>
  <c r="L72" i="186"/>
  <c r="K72" i="186"/>
  <c r="H72" i="186"/>
  <c r="G72" i="186"/>
  <c r="F72" i="186"/>
  <c r="N71" i="186"/>
  <c r="M71" i="186"/>
  <c r="L71" i="186"/>
  <c r="K71" i="186"/>
  <c r="H71" i="186"/>
  <c r="G71" i="186"/>
  <c r="F71" i="186"/>
  <c r="N70" i="186"/>
  <c r="M70" i="186"/>
  <c r="L70" i="186"/>
  <c r="K70" i="186"/>
  <c r="H70" i="186"/>
  <c r="G70" i="186"/>
  <c r="F70" i="186"/>
  <c r="N69" i="186"/>
  <c r="M69" i="186"/>
  <c r="L69" i="186"/>
  <c r="K69" i="186"/>
  <c r="H69" i="186"/>
  <c r="G69" i="186"/>
  <c r="F69" i="186"/>
  <c r="N68" i="186"/>
  <c r="M68" i="186"/>
  <c r="L68" i="186"/>
  <c r="K68" i="186"/>
  <c r="H68" i="186"/>
  <c r="G68" i="186"/>
  <c r="F68" i="186"/>
  <c r="N67" i="186"/>
  <c r="M67" i="186"/>
  <c r="L67" i="186"/>
  <c r="K67" i="186"/>
  <c r="H67" i="186"/>
  <c r="G67" i="186"/>
  <c r="F67" i="186"/>
  <c r="N66" i="186"/>
  <c r="M66" i="186"/>
  <c r="L66" i="186"/>
  <c r="K66" i="186"/>
  <c r="H66" i="186"/>
  <c r="G66" i="186"/>
  <c r="F66" i="186"/>
  <c r="N65" i="186"/>
  <c r="M65" i="186"/>
  <c r="L65" i="186"/>
  <c r="K65" i="186"/>
  <c r="H65" i="186"/>
  <c r="G65" i="186"/>
  <c r="F65" i="186"/>
  <c r="N64" i="186"/>
  <c r="M64" i="186"/>
  <c r="L64" i="186"/>
  <c r="K64" i="186"/>
  <c r="H64" i="186"/>
  <c r="G64" i="186"/>
  <c r="F64" i="186"/>
  <c r="N63" i="186"/>
  <c r="M63" i="186"/>
  <c r="L63" i="186"/>
  <c r="K63" i="186"/>
  <c r="H63" i="186"/>
  <c r="G63" i="186"/>
  <c r="F63" i="186"/>
  <c r="N62" i="186"/>
  <c r="M62" i="186"/>
  <c r="L62" i="186"/>
  <c r="K62" i="186"/>
  <c r="H62" i="186"/>
  <c r="G62" i="186"/>
  <c r="F62" i="186"/>
  <c r="N61" i="186"/>
  <c r="M61" i="186"/>
  <c r="L61" i="186"/>
  <c r="K61" i="186"/>
  <c r="H61" i="186"/>
  <c r="G61" i="186"/>
  <c r="F61" i="186"/>
  <c r="N60" i="186"/>
  <c r="M60" i="186"/>
  <c r="L60" i="186"/>
  <c r="K60" i="186"/>
  <c r="H60" i="186"/>
  <c r="G60" i="186"/>
  <c r="F60" i="186"/>
  <c r="N59" i="186"/>
  <c r="M59" i="186"/>
  <c r="L59" i="186"/>
  <c r="K59" i="186"/>
  <c r="H59" i="186"/>
  <c r="G59" i="186"/>
  <c r="F59" i="186"/>
  <c r="N58" i="186"/>
  <c r="M58" i="186"/>
  <c r="L58" i="186"/>
  <c r="K58" i="186"/>
  <c r="H58" i="186"/>
  <c r="G58" i="186"/>
  <c r="F58" i="186"/>
  <c r="N57" i="186"/>
  <c r="M57" i="186"/>
  <c r="L57" i="186"/>
  <c r="K57" i="186"/>
  <c r="H57" i="186"/>
  <c r="G57" i="186"/>
  <c r="F57" i="186"/>
  <c r="N56" i="186"/>
  <c r="M56" i="186"/>
  <c r="L56" i="186"/>
  <c r="K56" i="186"/>
  <c r="H56" i="186"/>
  <c r="G56" i="186"/>
  <c r="F56" i="186"/>
  <c r="N55" i="186"/>
  <c r="M55" i="186"/>
  <c r="L55" i="186"/>
  <c r="K55" i="186"/>
  <c r="H55" i="186"/>
  <c r="G55" i="186"/>
  <c r="F55" i="186"/>
  <c r="N54" i="186"/>
  <c r="M54" i="186"/>
  <c r="L54" i="186"/>
  <c r="K54" i="186"/>
  <c r="H54" i="186"/>
  <c r="G54" i="186"/>
  <c r="F54" i="186"/>
  <c r="N53" i="186"/>
  <c r="M53" i="186"/>
  <c r="L53" i="186"/>
  <c r="K53" i="186"/>
  <c r="H53" i="186"/>
  <c r="G53" i="186"/>
  <c r="F53" i="186"/>
  <c r="N52" i="186"/>
  <c r="M52" i="186"/>
  <c r="L52" i="186"/>
  <c r="K52" i="186"/>
  <c r="H52" i="186"/>
  <c r="G52" i="186"/>
  <c r="F52" i="186"/>
  <c r="N51" i="186"/>
  <c r="M51" i="186"/>
  <c r="L51" i="186"/>
  <c r="K51" i="186"/>
  <c r="H51" i="186"/>
  <c r="G51" i="186"/>
  <c r="F51" i="186"/>
  <c r="N50" i="186"/>
  <c r="M50" i="186"/>
  <c r="L50" i="186"/>
  <c r="K50" i="186"/>
  <c r="H50" i="186"/>
  <c r="G50" i="186"/>
  <c r="F50" i="186"/>
  <c r="N49" i="186"/>
  <c r="M49" i="186"/>
  <c r="L49" i="186"/>
  <c r="K49" i="186"/>
  <c r="H49" i="186"/>
  <c r="G49" i="186"/>
  <c r="F49" i="186"/>
  <c r="N48" i="186"/>
  <c r="M48" i="186"/>
  <c r="L48" i="186"/>
  <c r="K48" i="186"/>
  <c r="H48" i="186"/>
  <c r="G48" i="186"/>
  <c r="F48" i="186"/>
  <c r="N47" i="186"/>
  <c r="M47" i="186"/>
  <c r="L47" i="186"/>
  <c r="K47" i="186"/>
  <c r="H47" i="186"/>
  <c r="G47" i="186"/>
  <c r="F47" i="186"/>
  <c r="N46" i="186"/>
  <c r="M46" i="186"/>
  <c r="L46" i="186"/>
  <c r="K46" i="186"/>
  <c r="H46" i="186"/>
  <c r="G46" i="186"/>
  <c r="F46" i="186"/>
  <c r="N45" i="186"/>
  <c r="M45" i="186"/>
  <c r="L45" i="186"/>
  <c r="K45" i="186"/>
  <c r="H45" i="186"/>
  <c r="G45" i="186"/>
  <c r="F45" i="186"/>
  <c r="N44" i="186"/>
  <c r="M44" i="186"/>
  <c r="L44" i="186"/>
  <c r="K44" i="186"/>
  <c r="H44" i="186"/>
  <c r="G44" i="186"/>
  <c r="F44" i="186"/>
  <c r="N43" i="186"/>
  <c r="M43" i="186"/>
  <c r="L43" i="186"/>
  <c r="K43" i="186"/>
  <c r="H43" i="186"/>
  <c r="G43" i="186"/>
  <c r="F43" i="186"/>
  <c r="N42" i="186"/>
  <c r="M42" i="186"/>
  <c r="L42" i="186"/>
  <c r="K42" i="186"/>
  <c r="H42" i="186"/>
  <c r="G42" i="186"/>
  <c r="F42" i="186"/>
  <c r="N41" i="186"/>
  <c r="M41" i="186"/>
  <c r="L41" i="186"/>
  <c r="K41" i="186"/>
  <c r="H41" i="186"/>
  <c r="G41" i="186"/>
  <c r="F41" i="186"/>
  <c r="N40" i="186"/>
  <c r="M40" i="186"/>
  <c r="L40" i="186"/>
  <c r="K40" i="186"/>
  <c r="H40" i="186"/>
  <c r="G40" i="186"/>
  <c r="F40" i="186"/>
  <c r="N39" i="186"/>
  <c r="M39" i="186"/>
  <c r="L39" i="186"/>
  <c r="K39" i="186"/>
  <c r="H39" i="186"/>
  <c r="G39" i="186"/>
  <c r="F39" i="186"/>
  <c r="N38" i="186"/>
  <c r="M38" i="186"/>
  <c r="L38" i="186"/>
  <c r="K38" i="186"/>
  <c r="H38" i="186"/>
  <c r="G38" i="186"/>
  <c r="F38" i="186"/>
  <c r="N37" i="186"/>
  <c r="M37" i="186"/>
  <c r="L37" i="186"/>
  <c r="K37" i="186"/>
  <c r="H37" i="186"/>
  <c r="G37" i="186"/>
  <c r="F37" i="186"/>
  <c r="N36" i="186"/>
  <c r="M36" i="186"/>
  <c r="L36" i="186"/>
  <c r="K36" i="186"/>
  <c r="H36" i="186"/>
  <c r="G36" i="186"/>
  <c r="F36" i="186"/>
  <c r="N35" i="186"/>
  <c r="M35" i="186"/>
  <c r="L35" i="186"/>
  <c r="K35" i="186"/>
  <c r="H35" i="186"/>
  <c r="G35" i="186"/>
  <c r="F35" i="186"/>
  <c r="N34" i="186"/>
  <c r="M34" i="186"/>
  <c r="L34" i="186"/>
  <c r="K34" i="186"/>
  <c r="H34" i="186"/>
  <c r="G34" i="186"/>
  <c r="F34" i="186"/>
  <c r="N33" i="186"/>
  <c r="M33" i="186"/>
  <c r="L33" i="186"/>
  <c r="K33" i="186"/>
  <c r="H33" i="186"/>
  <c r="G33" i="186"/>
  <c r="F33" i="186"/>
  <c r="N32" i="186"/>
  <c r="M32" i="186"/>
  <c r="L32" i="186"/>
  <c r="K32" i="186"/>
  <c r="H32" i="186"/>
  <c r="G32" i="186"/>
  <c r="F32" i="186"/>
  <c r="N31" i="186"/>
  <c r="M31" i="186"/>
  <c r="L31" i="186"/>
  <c r="K31" i="186"/>
  <c r="H31" i="186"/>
  <c r="G31" i="186"/>
  <c r="F31" i="186"/>
  <c r="N30" i="186"/>
  <c r="M30" i="186"/>
  <c r="L30" i="186"/>
  <c r="K30" i="186"/>
  <c r="H30" i="186"/>
  <c r="G30" i="186"/>
  <c r="F30" i="186"/>
  <c r="N29" i="186"/>
  <c r="M29" i="186"/>
  <c r="L29" i="186"/>
  <c r="K29" i="186"/>
  <c r="H29" i="186"/>
  <c r="G29" i="186"/>
  <c r="F29" i="186"/>
  <c r="N28" i="186"/>
  <c r="M28" i="186"/>
  <c r="L28" i="186"/>
  <c r="K28" i="186"/>
  <c r="H28" i="186"/>
  <c r="G28" i="186"/>
  <c r="F28" i="186"/>
  <c r="N27" i="186"/>
  <c r="M27" i="186"/>
  <c r="L27" i="186"/>
  <c r="K27" i="186"/>
  <c r="H27" i="186"/>
  <c r="G27" i="186"/>
  <c r="F27" i="186"/>
  <c r="N26" i="186"/>
  <c r="M26" i="186"/>
  <c r="L26" i="186"/>
  <c r="K26" i="186"/>
  <c r="H26" i="186"/>
  <c r="G26" i="186"/>
  <c r="F26" i="186"/>
  <c r="N25" i="186"/>
  <c r="M25" i="186"/>
  <c r="L25" i="186"/>
  <c r="K25" i="186"/>
  <c r="H25" i="186"/>
  <c r="G25" i="186"/>
  <c r="F25" i="186"/>
  <c r="N24" i="186"/>
  <c r="M24" i="186"/>
  <c r="L24" i="186"/>
  <c r="K24" i="186"/>
  <c r="H24" i="186"/>
  <c r="G24" i="186"/>
  <c r="F24" i="186"/>
  <c r="N23" i="186"/>
  <c r="M23" i="186"/>
  <c r="L23" i="186"/>
  <c r="K23" i="186"/>
  <c r="H23" i="186"/>
  <c r="G23" i="186"/>
  <c r="F23" i="186"/>
  <c r="N22" i="186"/>
  <c r="M22" i="186"/>
  <c r="L22" i="186"/>
  <c r="K22" i="186"/>
  <c r="H22" i="186"/>
  <c r="G22" i="186"/>
  <c r="F22" i="186"/>
  <c r="N21" i="186"/>
  <c r="M21" i="186"/>
  <c r="L21" i="186"/>
  <c r="K21" i="186"/>
  <c r="H21" i="186"/>
  <c r="G21" i="186"/>
  <c r="F21" i="186"/>
  <c r="N20" i="186"/>
  <c r="M20" i="186"/>
  <c r="L20" i="186"/>
  <c r="K20" i="186"/>
  <c r="H20" i="186"/>
  <c r="G20" i="186"/>
  <c r="F20" i="186"/>
  <c r="N19" i="186"/>
  <c r="M19" i="186"/>
  <c r="L19" i="186"/>
  <c r="K19" i="186"/>
  <c r="H19" i="186"/>
  <c r="G19" i="186"/>
  <c r="F19" i="186"/>
  <c r="N18" i="186"/>
  <c r="M18" i="186"/>
  <c r="L18" i="186"/>
  <c r="K18" i="186"/>
  <c r="H18" i="186"/>
  <c r="G18" i="186"/>
  <c r="F18" i="186"/>
  <c r="N17" i="186"/>
  <c r="M17" i="186"/>
  <c r="L17" i="186"/>
  <c r="K17" i="186"/>
  <c r="H17" i="186"/>
  <c r="G17" i="186"/>
  <c r="F17" i="186"/>
  <c r="R16" i="186"/>
  <c r="Q16" i="186"/>
  <c r="N16" i="186"/>
  <c r="M16" i="186"/>
  <c r="L16" i="186"/>
  <c r="K16" i="186"/>
  <c r="H16" i="186"/>
  <c r="G16" i="186"/>
  <c r="F16" i="186"/>
  <c r="N15" i="186"/>
  <c r="M15" i="186"/>
  <c r="L15" i="186"/>
  <c r="K15" i="186"/>
  <c r="H15" i="186"/>
  <c r="G15" i="186"/>
  <c r="F15" i="186"/>
  <c r="N14" i="186"/>
  <c r="M14" i="186"/>
  <c r="L14" i="186"/>
  <c r="K14" i="186"/>
  <c r="H14" i="186"/>
  <c r="G14" i="186"/>
  <c r="F14" i="186"/>
  <c r="R13" i="186"/>
  <c r="Q13" i="186"/>
  <c r="N13" i="186"/>
  <c r="M13" i="186"/>
  <c r="L13" i="186"/>
  <c r="K13" i="186"/>
  <c r="H13" i="186"/>
  <c r="G13" i="186"/>
  <c r="F13" i="186"/>
  <c r="R12" i="186"/>
  <c r="Q12" i="186"/>
  <c r="N12" i="186"/>
  <c r="M12" i="186"/>
  <c r="L12" i="186"/>
  <c r="K12" i="186"/>
  <c r="H12" i="186"/>
  <c r="G12" i="186"/>
  <c r="F12" i="186"/>
  <c r="R11" i="186"/>
  <c r="Q11" i="186"/>
  <c r="N11" i="186"/>
  <c r="M11" i="186"/>
  <c r="L11" i="186"/>
  <c r="K11" i="186"/>
  <c r="H11" i="186"/>
  <c r="G11" i="186"/>
  <c r="F11" i="186"/>
  <c r="R10" i="186"/>
  <c r="Q10" i="186"/>
  <c r="N10" i="186"/>
  <c r="M10" i="186"/>
  <c r="L10" i="186"/>
  <c r="K10" i="186"/>
  <c r="H10" i="186"/>
  <c r="G10" i="186"/>
  <c r="F10" i="186"/>
  <c r="R9" i="186"/>
  <c r="Q9" i="186"/>
  <c r="N9" i="186"/>
  <c r="M9" i="186"/>
  <c r="L9" i="186"/>
  <c r="K9" i="186"/>
  <c r="H9" i="186"/>
  <c r="G9" i="186"/>
  <c r="F9" i="186"/>
  <c r="R8" i="186"/>
  <c r="Q8" i="186"/>
  <c r="N8" i="186"/>
  <c r="M8" i="186"/>
  <c r="L8" i="186"/>
  <c r="K8" i="186"/>
  <c r="H8" i="186"/>
  <c r="G8" i="186"/>
  <c r="F8" i="186"/>
  <c r="R7" i="186"/>
  <c r="Q7" i="186"/>
  <c r="N7" i="186"/>
  <c r="M7" i="186"/>
  <c r="L7" i="186"/>
  <c r="K7" i="186"/>
  <c r="H7" i="186"/>
  <c r="G7" i="186"/>
  <c r="F7" i="186"/>
  <c r="R6" i="186"/>
  <c r="Q6" i="186"/>
  <c r="N6" i="186"/>
  <c r="M6" i="186"/>
  <c r="L6" i="186"/>
  <c r="K6" i="186"/>
  <c r="H6" i="186"/>
  <c r="G6" i="186"/>
  <c r="F6" i="186"/>
  <c r="R5" i="186"/>
  <c r="Q5" i="186"/>
  <c r="N5" i="186"/>
  <c r="M5" i="186"/>
  <c r="L5" i="186"/>
  <c r="K5" i="186"/>
  <c r="H5" i="186"/>
  <c r="G5" i="186"/>
  <c r="F5" i="186"/>
  <c r="R4" i="186"/>
  <c r="Q4" i="186"/>
  <c r="N4" i="186"/>
  <c r="M4" i="186"/>
  <c r="L4" i="186"/>
  <c r="K4" i="186"/>
  <c r="H4" i="186"/>
  <c r="G4" i="186"/>
  <c r="F4" i="186"/>
  <c r="R3" i="186"/>
  <c r="Q3" i="186"/>
  <c r="N3" i="186"/>
  <c r="M3" i="186"/>
  <c r="L3" i="186"/>
  <c r="K3" i="186"/>
  <c r="H3" i="186"/>
  <c r="G3" i="186"/>
  <c r="F3" i="186"/>
  <c r="M2" i="176"/>
  <c r="K2" i="176"/>
  <c r="J2" i="176"/>
  <c r="H2" i="176"/>
  <c r="G2" i="176"/>
  <c r="E2" i="176"/>
  <c r="D2" i="176"/>
  <c r="B2" i="176"/>
  <c r="J68" i="166"/>
  <c r="M67" i="166"/>
  <c r="K67" i="166"/>
  <c r="M66" i="166"/>
  <c r="K66" i="166"/>
  <c r="M65" i="166"/>
  <c r="K65" i="166"/>
  <c r="M64" i="166"/>
  <c r="K64" i="166"/>
  <c r="M63" i="166"/>
  <c r="K63" i="166"/>
  <c r="M62" i="166"/>
  <c r="K62" i="166"/>
  <c r="M61" i="166"/>
  <c r="K61" i="166"/>
  <c r="M60" i="166"/>
  <c r="K60" i="166"/>
  <c r="M59" i="166"/>
  <c r="K59" i="166"/>
  <c r="M58" i="166"/>
  <c r="K58" i="166"/>
  <c r="M57" i="166"/>
  <c r="K57" i="166"/>
  <c r="M56" i="166"/>
  <c r="K56" i="166"/>
  <c r="M55" i="166"/>
  <c r="K55" i="166"/>
  <c r="M54" i="166"/>
  <c r="K54" i="166"/>
  <c r="M53" i="166"/>
  <c r="K53" i="166"/>
  <c r="M52" i="166"/>
  <c r="K52" i="166"/>
  <c r="M51" i="166"/>
  <c r="K51" i="166"/>
  <c r="M50" i="166"/>
  <c r="K50" i="166"/>
  <c r="M49" i="166"/>
  <c r="K49" i="166"/>
  <c r="M48" i="166"/>
  <c r="K48" i="166"/>
  <c r="M47" i="166"/>
  <c r="K47" i="166"/>
  <c r="M46" i="166"/>
  <c r="K46" i="166"/>
  <c r="M45" i="166"/>
  <c r="K45" i="166"/>
  <c r="M44" i="166"/>
  <c r="K44" i="166"/>
  <c r="M43" i="166"/>
  <c r="K43" i="166"/>
  <c r="M42" i="166"/>
  <c r="K42" i="166"/>
  <c r="M41" i="166"/>
  <c r="K41" i="166"/>
  <c r="M40" i="166"/>
  <c r="K40" i="166"/>
  <c r="M39" i="166"/>
  <c r="K39" i="166"/>
  <c r="M38" i="166"/>
  <c r="K38" i="166"/>
  <c r="M37" i="166"/>
  <c r="K37" i="166"/>
  <c r="M36" i="166"/>
  <c r="K36" i="166"/>
  <c r="M35" i="166"/>
  <c r="K35" i="166"/>
  <c r="M34" i="166"/>
  <c r="K34" i="166"/>
  <c r="M33" i="166"/>
  <c r="K33" i="166"/>
  <c r="M32" i="166"/>
  <c r="K32" i="166"/>
  <c r="M31" i="166"/>
  <c r="K31" i="166"/>
  <c r="M30" i="166"/>
  <c r="K30" i="166"/>
  <c r="M29" i="166"/>
  <c r="K29" i="166"/>
  <c r="M28" i="166"/>
  <c r="K28" i="166"/>
  <c r="M27" i="166"/>
  <c r="K27" i="166"/>
  <c r="M26" i="166"/>
  <c r="K26" i="166"/>
  <c r="M25" i="166"/>
  <c r="K25" i="166"/>
  <c r="M24" i="166"/>
  <c r="K24" i="166"/>
  <c r="M23" i="166"/>
  <c r="K23" i="166"/>
  <c r="M22" i="166"/>
  <c r="K22" i="166"/>
  <c r="M21" i="166"/>
  <c r="K21" i="166"/>
  <c r="M20" i="166"/>
  <c r="K20" i="166"/>
  <c r="M19" i="166"/>
  <c r="K19" i="166"/>
  <c r="M18" i="166"/>
  <c r="K18" i="166"/>
  <c r="M17" i="166"/>
  <c r="K17" i="166"/>
  <c r="M16" i="166"/>
  <c r="K16" i="166"/>
  <c r="M15" i="166"/>
  <c r="K15" i="166"/>
  <c r="M14" i="166"/>
  <c r="K14" i="166"/>
  <c r="K13" i="166"/>
  <c r="K12" i="166"/>
  <c r="N14" i="169"/>
  <c r="M14" i="169"/>
  <c r="L14" i="169"/>
  <c r="F8" i="169"/>
  <c r="E8" i="169"/>
  <c r="N5" i="169"/>
  <c r="N4" i="169"/>
  <c r="N3" i="169"/>
  <c r="K7" i="180"/>
  <c r="J7" i="180"/>
  <c r="B17" i="179"/>
  <c r="B7" i="179"/>
  <c r="B6" i="179"/>
  <c r="B4" i="179"/>
  <c r="B3" i="179"/>
  <c r="M38" i="183"/>
  <c r="L38" i="183"/>
  <c r="K38" i="183"/>
  <c r="J38" i="183"/>
  <c r="H38" i="183"/>
  <c r="F38" i="183"/>
  <c r="C38" i="183"/>
  <c r="M37" i="183"/>
  <c r="L37" i="183"/>
  <c r="K37" i="183"/>
  <c r="J37" i="183"/>
  <c r="H37" i="183"/>
  <c r="F37" i="183"/>
  <c r="S23" i="183"/>
  <c r="R23" i="183"/>
  <c r="Q23" i="183"/>
  <c r="P23" i="183"/>
  <c r="O23" i="183"/>
  <c r="N23" i="183"/>
  <c r="M23" i="183"/>
  <c r="L23" i="183"/>
  <c r="J23" i="183"/>
  <c r="I23" i="183"/>
  <c r="H23" i="183"/>
  <c r="G23" i="183"/>
  <c r="F23" i="183"/>
  <c r="E23" i="183"/>
  <c r="D23" i="183"/>
  <c r="C23" i="183"/>
  <c r="S22" i="183"/>
  <c r="R22" i="183"/>
  <c r="Q22" i="183"/>
  <c r="P22" i="183"/>
  <c r="O22" i="183"/>
  <c r="N22" i="183"/>
  <c r="M22" i="183"/>
  <c r="L22" i="183"/>
  <c r="J22" i="183"/>
  <c r="I22" i="183"/>
  <c r="H22" i="183"/>
  <c r="G22" i="183"/>
  <c r="F22" i="183"/>
  <c r="E22" i="183"/>
  <c r="D22" i="183"/>
  <c r="C22" i="183"/>
  <c r="S21" i="183"/>
  <c r="R21" i="183"/>
  <c r="Q21" i="183"/>
  <c r="P21" i="183"/>
  <c r="O21" i="183"/>
  <c r="N21" i="183"/>
  <c r="M21" i="183"/>
  <c r="L21" i="183"/>
  <c r="J21" i="183"/>
  <c r="I21" i="183"/>
  <c r="H21" i="183"/>
  <c r="G21" i="183"/>
  <c r="F21" i="183"/>
  <c r="E21" i="183"/>
  <c r="D21" i="183"/>
  <c r="C21" i="183"/>
  <c r="S20" i="183"/>
  <c r="R20" i="183"/>
  <c r="Q20" i="183"/>
  <c r="P20" i="183"/>
  <c r="O20" i="183"/>
  <c r="N20" i="183"/>
  <c r="M20" i="183"/>
  <c r="L20" i="183"/>
  <c r="J20" i="183"/>
  <c r="I20" i="183"/>
  <c r="H20" i="183"/>
  <c r="G20" i="183"/>
  <c r="F20" i="183"/>
  <c r="E20" i="183"/>
  <c r="D20" i="183"/>
  <c r="C20" i="183"/>
  <c r="S19" i="183"/>
  <c r="R19" i="183"/>
  <c r="Q19" i="183"/>
  <c r="P19" i="183"/>
  <c r="O19" i="183"/>
  <c r="N19" i="183"/>
  <c r="M19" i="183"/>
  <c r="L19" i="183"/>
  <c r="J19" i="183"/>
  <c r="I19" i="183"/>
  <c r="H19" i="183"/>
  <c r="G19" i="183"/>
  <c r="F19" i="183"/>
  <c r="E19" i="183"/>
  <c r="D19" i="183"/>
  <c r="C19" i="183"/>
  <c r="S18" i="183"/>
  <c r="R18" i="183"/>
  <c r="Q18" i="183"/>
  <c r="P18" i="183"/>
  <c r="O18" i="183"/>
  <c r="N18" i="183"/>
  <c r="M18" i="183"/>
  <c r="L18" i="183"/>
  <c r="J18" i="183"/>
  <c r="I18" i="183"/>
  <c r="H18" i="183"/>
  <c r="G18" i="183"/>
  <c r="F18" i="183"/>
  <c r="E18" i="183"/>
  <c r="D18" i="183"/>
  <c r="C18" i="183"/>
  <c r="S17" i="183"/>
  <c r="R17" i="183"/>
  <c r="Q17" i="183"/>
  <c r="P17" i="183"/>
  <c r="O17" i="183"/>
  <c r="N17" i="183"/>
  <c r="M17" i="183"/>
  <c r="L17" i="183"/>
  <c r="J17" i="183"/>
  <c r="I17" i="183"/>
  <c r="H17" i="183"/>
  <c r="G17" i="183"/>
  <c r="F17" i="183"/>
  <c r="E17" i="183"/>
  <c r="D17" i="183"/>
  <c r="C17" i="183"/>
  <c r="S16" i="183"/>
  <c r="R16" i="183"/>
  <c r="Q16" i="183"/>
  <c r="P16" i="183"/>
  <c r="O16" i="183"/>
  <c r="N16" i="183"/>
  <c r="M16" i="183"/>
  <c r="L16" i="183"/>
  <c r="J16" i="183"/>
  <c r="I16" i="183"/>
  <c r="H16" i="183"/>
  <c r="G16" i="183"/>
  <c r="F16" i="183"/>
  <c r="E16" i="183"/>
  <c r="D16" i="183"/>
  <c r="C16" i="183"/>
  <c r="S15" i="183"/>
  <c r="R15" i="183"/>
  <c r="Q15" i="183"/>
  <c r="P15" i="183"/>
  <c r="O15" i="183"/>
  <c r="N15" i="183"/>
  <c r="M15" i="183"/>
  <c r="L15" i="183"/>
  <c r="J15" i="183"/>
  <c r="I15" i="183"/>
  <c r="H15" i="183"/>
  <c r="G15" i="183"/>
  <c r="F15" i="183"/>
  <c r="E15" i="183"/>
  <c r="D15" i="183"/>
  <c r="C15" i="183"/>
  <c r="S14" i="183"/>
  <c r="R14" i="183"/>
  <c r="Q14" i="183"/>
  <c r="P14" i="183"/>
  <c r="O14" i="183"/>
  <c r="N14" i="183"/>
  <c r="M14" i="183"/>
  <c r="L14" i="183"/>
  <c r="J14" i="183"/>
  <c r="I14" i="183"/>
  <c r="H14" i="183"/>
  <c r="G14" i="183"/>
  <c r="F14" i="183"/>
  <c r="E14" i="183"/>
  <c r="D14" i="183"/>
  <c r="C14" i="183"/>
  <c r="S13" i="183"/>
  <c r="R13" i="183"/>
  <c r="Q13" i="183"/>
  <c r="P13" i="183"/>
  <c r="O13" i="183"/>
  <c r="N13" i="183"/>
  <c r="M13" i="183"/>
  <c r="L13" i="183"/>
  <c r="J13" i="183"/>
  <c r="I13" i="183"/>
  <c r="H13" i="183"/>
  <c r="G13" i="183"/>
  <c r="F13" i="183"/>
  <c r="E13" i="183"/>
  <c r="D13" i="183"/>
  <c r="C13" i="183"/>
  <c r="S12" i="183"/>
  <c r="R12" i="183"/>
  <c r="Q12" i="183"/>
  <c r="P12" i="183"/>
  <c r="O12" i="183"/>
  <c r="N12" i="183"/>
  <c r="M12" i="183"/>
  <c r="L12" i="183"/>
  <c r="J12" i="183"/>
  <c r="I12" i="183"/>
  <c r="H12" i="183"/>
  <c r="G12" i="183"/>
  <c r="F12" i="183"/>
  <c r="E12" i="183"/>
  <c r="D12" i="183"/>
  <c r="C12" i="183"/>
  <c r="S11" i="183"/>
  <c r="R11" i="183"/>
  <c r="Q11" i="183"/>
  <c r="P11" i="183"/>
  <c r="O11" i="183"/>
  <c r="N11" i="183"/>
  <c r="M11" i="183"/>
  <c r="L11" i="183"/>
  <c r="J11" i="183"/>
  <c r="I11" i="183"/>
  <c r="H11" i="183"/>
  <c r="G11" i="183"/>
  <c r="F11" i="183"/>
  <c r="E11" i="183"/>
  <c r="D11" i="183"/>
  <c r="C11" i="183"/>
  <c r="S10" i="183"/>
  <c r="R10" i="183"/>
  <c r="Q10" i="183"/>
  <c r="P10" i="183"/>
  <c r="O10" i="183"/>
  <c r="N10" i="183"/>
  <c r="M10" i="183"/>
  <c r="L10" i="183"/>
  <c r="J10" i="183"/>
  <c r="I10" i="183"/>
  <c r="H10" i="183"/>
  <c r="G10" i="183"/>
  <c r="F10" i="183"/>
  <c r="E10" i="183"/>
  <c r="D10" i="183"/>
  <c r="C10" i="183"/>
  <c r="S9" i="183"/>
  <c r="R9" i="183"/>
  <c r="Q9" i="183"/>
  <c r="P9" i="183"/>
  <c r="O9" i="183"/>
  <c r="N9" i="183"/>
  <c r="M9" i="183"/>
  <c r="L9" i="183"/>
  <c r="J9" i="183"/>
  <c r="I9" i="183"/>
  <c r="H9" i="183"/>
  <c r="G9" i="183"/>
  <c r="F9" i="183"/>
  <c r="E9" i="183"/>
  <c r="D9" i="183"/>
  <c r="C9" i="183"/>
  <c r="S8" i="183"/>
  <c r="R8" i="183"/>
  <c r="Q8" i="183"/>
  <c r="P8" i="183"/>
  <c r="O8" i="183"/>
  <c r="N8" i="183"/>
  <c r="M8" i="183"/>
  <c r="L8" i="183"/>
  <c r="J8" i="183"/>
  <c r="I8" i="183"/>
  <c r="H8" i="183"/>
  <c r="G8" i="183"/>
  <c r="F8" i="183"/>
  <c r="E8" i="183"/>
  <c r="D8" i="183"/>
  <c r="C8" i="183"/>
  <c r="S7" i="183"/>
  <c r="R7" i="183"/>
  <c r="Q7" i="183"/>
  <c r="P7" i="183"/>
  <c r="O7" i="183"/>
  <c r="N7" i="183"/>
  <c r="M7" i="183"/>
  <c r="L7" i="183"/>
  <c r="J7" i="183"/>
  <c r="I7" i="183"/>
  <c r="H7" i="183"/>
  <c r="G7" i="183"/>
  <c r="F7" i="183"/>
  <c r="E7" i="183"/>
  <c r="D7" i="183"/>
  <c r="C7" i="183"/>
  <c r="S6" i="183"/>
  <c r="R6" i="183"/>
  <c r="Q6" i="183"/>
  <c r="P6" i="183"/>
  <c r="O6" i="183"/>
  <c r="N6" i="183"/>
  <c r="M6" i="183"/>
  <c r="L6" i="183"/>
  <c r="J6" i="183"/>
  <c r="I6" i="183"/>
  <c r="H6" i="183"/>
  <c r="G6" i="183"/>
  <c r="F6" i="183"/>
  <c r="E6" i="183"/>
  <c r="D6" i="183"/>
  <c r="C6" i="183"/>
  <c r="S5" i="183"/>
  <c r="R5" i="183"/>
  <c r="Q5" i="183"/>
  <c r="P5" i="183"/>
  <c r="O5" i="183"/>
  <c r="N5" i="183"/>
  <c r="M5" i="183"/>
  <c r="L5" i="183"/>
  <c r="J5" i="183"/>
  <c r="I5" i="183"/>
  <c r="H5" i="183"/>
  <c r="G5" i="183"/>
  <c r="F5" i="183"/>
  <c r="E5" i="183"/>
  <c r="D5" i="183"/>
  <c r="C5" i="183"/>
  <c r="S4" i="183"/>
  <c r="R4" i="183"/>
  <c r="Q4" i="183"/>
  <c r="P4" i="183"/>
  <c r="O4" i="183"/>
  <c r="N4" i="183"/>
  <c r="M4" i="183"/>
  <c r="L4" i="183"/>
  <c r="J4" i="183"/>
  <c r="I4" i="183"/>
  <c r="H4" i="183"/>
  <c r="G4" i="183"/>
  <c r="F4" i="183"/>
  <c r="E4" i="183"/>
  <c r="D4" i="183"/>
  <c r="C4" i="183"/>
  <c r="E18" i="170"/>
  <c r="E17" i="170"/>
  <c r="E16" i="170"/>
  <c r="E15" i="170"/>
  <c r="E14" i="170"/>
  <c r="E13" i="170"/>
  <c r="E12" i="170"/>
  <c r="E11" i="170"/>
  <c r="E10" i="170"/>
  <c r="E9" i="170"/>
  <c r="E8" i="170"/>
  <c r="E7" i="170"/>
  <c r="E6" i="170"/>
  <c r="E5" i="170"/>
  <c r="E4" i="170"/>
  <c r="E3" i="170"/>
  <c r="AD172" i="167"/>
  <c r="AD171" i="167"/>
  <c r="AD170" i="167"/>
  <c r="AD169" i="167"/>
  <c r="AD168" i="167"/>
  <c r="AD167" i="167"/>
  <c r="AD166" i="167"/>
  <c r="AD165" i="167"/>
  <c r="AD158" i="167"/>
  <c r="AD157" i="167"/>
  <c r="AD156" i="167"/>
  <c r="AD155" i="167"/>
  <c r="AD154" i="167"/>
  <c r="AD153" i="167"/>
  <c r="AD152" i="167"/>
  <c r="AD151" i="167"/>
  <c r="AD150" i="167"/>
  <c r="AD149" i="167"/>
  <c r="AD148" i="167"/>
  <c r="AD147" i="167"/>
  <c r="AD146" i="167"/>
  <c r="AD145" i="167"/>
  <c r="AD144" i="167"/>
  <c r="AD143" i="167"/>
  <c r="AD142" i="167"/>
  <c r="AD141" i="167"/>
  <c r="AD140" i="167"/>
  <c r="AD139" i="167"/>
  <c r="AD138" i="167"/>
  <c r="AD137" i="167"/>
  <c r="AD136" i="167"/>
  <c r="AD135" i="167"/>
  <c r="AD89" i="167"/>
  <c r="AD88" i="167"/>
  <c r="AD87" i="167"/>
  <c r="AD86" i="167"/>
  <c r="AD85" i="167"/>
  <c r="AD84" i="167"/>
  <c r="AD83" i="167"/>
  <c r="AD82" i="167"/>
  <c r="AD81" i="167"/>
  <c r="AD80" i="167"/>
  <c r="AD79" i="167"/>
  <c r="AD78" i="167"/>
  <c r="AD77" i="167"/>
  <c r="AD76" i="167"/>
  <c r="AD75" i="167"/>
  <c r="AD74" i="167"/>
  <c r="AD73" i="167"/>
  <c r="AD72" i="167"/>
  <c r="AD71" i="167"/>
  <c r="AD70" i="167"/>
  <c r="AD69" i="167"/>
  <c r="AD68" i="167"/>
  <c r="AD67" i="167"/>
  <c r="AD66" i="167"/>
  <c r="AD65" i="167"/>
  <c r="AD64" i="167"/>
  <c r="AD63" i="167"/>
  <c r="AD62" i="167"/>
  <c r="AD61" i="167"/>
  <c r="AD60" i="167"/>
  <c r="AD59" i="167"/>
  <c r="AD58" i="167"/>
  <c r="AD57" i="167"/>
  <c r="AD56" i="167"/>
  <c r="AD55" i="167"/>
  <c r="AD54" i="167"/>
  <c r="AD53" i="167"/>
  <c r="AD52" i="167"/>
  <c r="AD51" i="167"/>
  <c r="AD50" i="167"/>
  <c r="AD49" i="167"/>
  <c r="AD48" i="167"/>
  <c r="AD47" i="167"/>
  <c r="AD46" i="167"/>
  <c r="AD45" i="167"/>
  <c r="AD44" i="167"/>
  <c r="AD43" i="167"/>
  <c r="AD42" i="167"/>
  <c r="AD41" i="167"/>
  <c r="AD40" i="167"/>
  <c r="AD39" i="167"/>
  <c r="AD38" i="167"/>
  <c r="AD37" i="167"/>
  <c r="AD36" i="167"/>
  <c r="AD35" i="167"/>
  <c r="AD34" i="167"/>
  <c r="AD33" i="167"/>
  <c r="AD32" i="167"/>
  <c r="AD31" i="167"/>
  <c r="AD30" i="167"/>
  <c r="AD29" i="167"/>
  <c r="AD28" i="167"/>
  <c r="AD27" i="167"/>
  <c r="AD26" i="167"/>
  <c r="AD25" i="167"/>
  <c r="AD24" i="167"/>
  <c r="AD23" i="167"/>
  <c r="J23" i="167"/>
  <c r="I23" i="167"/>
  <c r="H23" i="167"/>
  <c r="F23" i="167"/>
  <c r="E23" i="167"/>
  <c r="D23" i="167"/>
  <c r="C23" i="167"/>
  <c r="B23" i="167"/>
  <c r="AD22" i="167"/>
  <c r="J22" i="167"/>
  <c r="I22" i="167"/>
  <c r="H22" i="167"/>
  <c r="F22" i="167"/>
  <c r="E22" i="167"/>
  <c r="D22" i="167"/>
  <c r="C22" i="167"/>
  <c r="B22" i="167"/>
  <c r="AD21" i="167"/>
  <c r="J21" i="167"/>
  <c r="I21" i="167"/>
  <c r="F21" i="167"/>
  <c r="E21" i="167"/>
  <c r="D21" i="167"/>
  <c r="C21" i="167"/>
  <c r="AD20" i="167"/>
  <c r="J20" i="167"/>
  <c r="I20" i="167"/>
  <c r="H20" i="167"/>
  <c r="F20" i="167"/>
  <c r="E20" i="167"/>
  <c r="D20" i="167"/>
  <c r="C20" i="167"/>
  <c r="B20" i="167"/>
  <c r="AD19" i="167"/>
  <c r="AD18" i="167"/>
  <c r="B18" i="167"/>
  <c r="AD17" i="167"/>
  <c r="AD16" i="167"/>
  <c r="E16" i="167"/>
  <c r="D16" i="167"/>
  <c r="AD15" i="167"/>
  <c r="AD14" i="167"/>
  <c r="F14" i="167"/>
  <c r="E14" i="167"/>
  <c r="D14" i="167"/>
  <c r="C14" i="167"/>
  <c r="AD13" i="167"/>
  <c r="F13" i="167"/>
  <c r="E13" i="167"/>
  <c r="D13" i="167"/>
  <c r="C13" i="167"/>
  <c r="AD12" i="167"/>
  <c r="F12" i="167"/>
  <c r="E12" i="167"/>
  <c r="D12" i="167"/>
  <c r="C12" i="167"/>
  <c r="AD11" i="167"/>
  <c r="F11" i="167"/>
  <c r="E11" i="167"/>
  <c r="D11" i="167"/>
  <c r="C11" i="167"/>
  <c r="AD10" i="167"/>
  <c r="F10" i="167"/>
  <c r="E10" i="167"/>
  <c r="D10" i="167"/>
  <c r="C10" i="167"/>
  <c r="AD9" i="167"/>
  <c r="AD8" i="167"/>
  <c r="D8" i="167"/>
  <c r="C8" i="167"/>
  <c r="AD7" i="167"/>
  <c r="E7" i="167"/>
  <c r="D7" i="167"/>
  <c r="C7" i="167"/>
  <c r="AD6" i="167"/>
  <c r="E6" i="167"/>
  <c r="D6" i="167"/>
  <c r="C6" i="167"/>
  <c r="AD5" i="167"/>
  <c r="E5" i="167"/>
  <c r="D5" i="167"/>
  <c r="C5" i="167"/>
  <c r="AD4" i="167"/>
  <c r="E4" i="167"/>
  <c r="D4" i="167"/>
  <c r="C4" i="167"/>
  <c r="AD3" i="167"/>
  <c r="E3" i="167"/>
  <c r="D3" i="167"/>
  <c r="C3" i="167"/>
  <c r="D10" i="182"/>
  <c r="C10" i="182"/>
  <c r="E8" i="182"/>
  <c r="D8" i="182"/>
  <c r="C8" i="182"/>
  <c r="E7" i="182"/>
  <c r="D7" i="182"/>
  <c r="C7" i="182"/>
  <c r="E6" i="182"/>
  <c r="D6" i="182"/>
  <c r="C6" i="182"/>
  <c r="E5" i="182"/>
  <c r="D5" i="182"/>
  <c r="C5" i="182"/>
  <c r="E4" i="182"/>
  <c r="D4" i="182"/>
  <c r="C4" i="182"/>
  <c r="E3" i="182"/>
  <c r="D3" i="182"/>
  <c r="C3" i="182"/>
  <c r="I39" i="138"/>
  <c r="F39" i="138"/>
  <c r="I38" i="138"/>
  <c r="I37" i="138"/>
  <c r="I36" i="138"/>
  <c r="I35" i="138"/>
  <c r="I34" i="138"/>
  <c r="F7" i="138"/>
  <c r="E7" i="138"/>
  <c r="D7" i="138"/>
  <c r="F5" i="138"/>
  <c r="E5" i="138"/>
  <c r="D5" i="138"/>
  <c r="F3" i="138"/>
  <c r="E3" i="138"/>
  <c r="D3" i="138"/>
  <c r="C218" i="158"/>
  <c r="B218" i="158"/>
  <c r="P216" i="158"/>
  <c r="K216" i="158"/>
  <c r="G216" i="158"/>
  <c r="F216" i="158"/>
  <c r="E216" i="158"/>
  <c r="D216" i="158"/>
  <c r="C216" i="158"/>
  <c r="B216" i="158"/>
  <c r="P215" i="158"/>
  <c r="K215" i="158"/>
  <c r="G215" i="158"/>
  <c r="F215" i="158"/>
  <c r="E215" i="158"/>
  <c r="D215" i="158"/>
  <c r="Q214" i="158"/>
  <c r="N214" i="158"/>
  <c r="M214" i="158"/>
  <c r="L214" i="158"/>
  <c r="K214" i="158"/>
  <c r="J214" i="158"/>
  <c r="I214" i="158"/>
  <c r="H214" i="158"/>
  <c r="G214" i="158"/>
  <c r="F214" i="158"/>
  <c r="E214" i="158"/>
  <c r="D214" i="158"/>
  <c r="C214" i="158"/>
  <c r="B214" i="158"/>
  <c r="Q213" i="158"/>
  <c r="N213" i="158"/>
  <c r="M213" i="158"/>
  <c r="L213" i="158"/>
  <c r="K213" i="158"/>
  <c r="J213" i="158"/>
  <c r="G213" i="158"/>
  <c r="F213" i="158"/>
  <c r="E213" i="158"/>
  <c r="D213" i="158"/>
  <c r="C213" i="158"/>
  <c r="B213" i="158"/>
  <c r="Q212" i="158"/>
  <c r="N212" i="158"/>
  <c r="M212" i="158"/>
  <c r="L212" i="158"/>
  <c r="K212" i="158"/>
  <c r="J212" i="158"/>
  <c r="I212" i="158"/>
  <c r="G212" i="158"/>
  <c r="F212" i="158"/>
  <c r="E212" i="158"/>
  <c r="D212" i="158"/>
  <c r="C212" i="158"/>
  <c r="B212" i="158"/>
  <c r="A212" i="158"/>
  <c r="Q211" i="158"/>
  <c r="N211" i="158"/>
  <c r="M211" i="158"/>
  <c r="L211" i="158"/>
  <c r="K211" i="158"/>
  <c r="J211" i="158"/>
  <c r="I211" i="158"/>
  <c r="G211" i="158"/>
  <c r="F211" i="158"/>
  <c r="E211" i="158"/>
  <c r="D211" i="158"/>
  <c r="C211" i="158"/>
  <c r="B211" i="158"/>
  <c r="A211" i="158"/>
  <c r="Q210" i="158"/>
  <c r="N210" i="158"/>
  <c r="M210" i="158"/>
  <c r="L210" i="158"/>
  <c r="K210" i="158"/>
  <c r="J210" i="158"/>
  <c r="I210" i="158"/>
  <c r="G210" i="158"/>
  <c r="F210" i="158"/>
  <c r="E210" i="158"/>
  <c r="D210" i="158"/>
  <c r="C210" i="158"/>
  <c r="B210" i="158"/>
  <c r="A210" i="158"/>
  <c r="Q209" i="158"/>
  <c r="N209" i="158"/>
  <c r="M209" i="158"/>
  <c r="L209" i="158"/>
  <c r="K209" i="158"/>
  <c r="J209" i="158"/>
  <c r="I209" i="158"/>
  <c r="G209" i="158"/>
  <c r="F209" i="158"/>
  <c r="E209" i="158"/>
  <c r="D209" i="158"/>
  <c r="C209" i="158"/>
  <c r="B209" i="158"/>
  <c r="A209" i="158"/>
  <c r="Q208" i="158"/>
  <c r="N208" i="158"/>
  <c r="M208" i="158"/>
  <c r="L208" i="158"/>
  <c r="K208" i="158"/>
  <c r="J208" i="158"/>
  <c r="I208" i="158"/>
  <c r="G208" i="158"/>
  <c r="F208" i="158"/>
  <c r="E208" i="158"/>
  <c r="D208" i="158"/>
  <c r="C208" i="158"/>
  <c r="B208" i="158"/>
  <c r="A208" i="158"/>
  <c r="Q207" i="158"/>
  <c r="N207" i="158"/>
  <c r="M207" i="158"/>
  <c r="L207" i="158"/>
  <c r="K207" i="158"/>
  <c r="J207" i="158"/>
  <c r="I207" i="158"/>
  <c r="G207" i="158"/>
  <c r="F207" i="158"/>
  <c r="E207" i="158"/>
  <c r="D207" i="158"/>
  <c r="C207" i="158"/>
  <c r="B207" i="158"/>
  <c r="A207" i="158"/>
  <c r="Q206" i="158"/>
  <c r="N206" i="158"/>
  <c r="M206" i="158"/>
  <c r="L206" i="158"/>
  <c r="K206" i="158"/>
  <c r="J206" i="158"/>
  <c r="I206" i="158"/>
  <c r="G206" i="158"/>
  <c r="F206" i="158"/>
  <c r="E206" i="158"/>
  <c r="D206" i="158"/>
  <c r="C206" i="158"/>
  <c r="B206" i="158"/>
  <c r="A206" i="158"/>
  <c r="Q205" i="158"/>
  <c r="N205" i="158"/>
  <c r="M205" i="158"/>
  <c r="L205" i="158"/>
  <c r="K205" i="158"/>
  <c r="J205" i="158"/>
  <c r="I205" i="158"/>
  <c r="G205" i="158"/>
  <c r="F205" i="158"/>
  <c r="E205" i="158"/>
  <c r="D205" i="158"/>
  <c r="C205" i="158"/>
  <c r="B205" i="158"/>
  <c r="A205" i="158"/>
  <c r="Q204" i="158"/>
  <c r="N204" i="158"/>
  <c r="M204" i="158"/>
  <c r="L204" i="158"/>
  <c r="K204" i="158"/>
  <c r="J204" i="158"/>
  <c r="I204" i="158"/>
  <c r="G204" i="158"/>
  <c r="F204" i="158"/>
  <c r="E204" i="158"/>
  <c r="D204" i="158"/>
  <c r="C204" i="158"/>
  <c r="B204" i="158"/>
  <c r="A204" i="158"/>
  <c r="Q203" i="158"/>
  <c r="N203" i="158"/>
  <c r="M203" i="158"/>
  <c r="L203" i="158"/>
  <c r="K203" i="158"/>
  <c r="J203" i="158"/>
  <c r="I203" i="158"/>
  <c r="G203" i="158"/>
  <c r="F203" i="158"/>
  <c r="E203" i="158"/>
  <c r="D203" i="158"/>
  <c r="C203" i="158"/>
  <c r="B203" i="158"/>
  <c r="A203" i="158"/>
  <c r="Q202" i="158"/>
  <c r="N202" i="158"/>
  <c r="M202" i="158"/>
  <c r="L202" i="158"/>
  <c r="K202" i="158"/>
  <c r="J202" i="158"/>
  <c r="I202" i="158"/>
  <c r="G202" i="158"/>
  <c r="F202" i="158"/>
  <c r="E202" i="158"/>
  <c r="D202" i="158"/>
  <c r="C202" i="158"/>
  <c r="B202" i="158"/>
  <c r="A202" i="158"/>
  <c r="Q201" i="158"/>
  <c r="N201" i="158"/>
  <c r="M201" i="158"/>
  <c r="L201" i="158"/>
  <c r="K201" i="158"/>
  <c r="J201" i="158"/>
  <c r="I201" i="158"/>
  <c r="G201" i="158"/>
  <c r="F201" i="158"/>
  <c r="E201" i="158"/>
  <c r="D201" i="158"/>
  <c r="C201" i="158"/>
  <c r="B201" i="158"/>
  <c r="A201" i="158"/>
  <c r="Q200" i="158"/>
  <c r="N200" i="158"/>
  <c r="M200" i="158"/>
  <c r="L200" i="158"/>
  <c r="K200" i="158"/>
  <c r="J200" i="158"/>
  <c r="I200" i="158"/>
  <c r="G200" i="158"/>
  <c r="F200" i="158"/>
  <c r="E200" i="158"/>
  <c r="D200" i="158"/>
  <c r="C200" i="158"/>
  <c r="B200" i="158"/>
  <c r="A200" i="158"/>
  <c r="Q199" i="158"/>
  <c r="N199" i="158"/>
  <c r="M199" i="158"/>
  <c r="L199" i="158"/>
  <c r="K199" i="158"/>
  <c r="J199" i="158"/>
  <c r="I199" i="158"/>
  <c r="G199" i="158"/>
  <c r="F199" i="158"/>
  <c r="E199" i="158"/>
  <c r="D199" i="158"/>
  <c r="C199" i="158"/>
  <c r="B199" i="158"/>
  <c r="A199" i="158"/>
  <c r="Q198" i="158"/>
  <c r="N198" i="158"/>
  <c r="M198" i="158"/>
  <c r="L198" i="158"/>
  <c r="K198" i="158"/>
  <c r="J198" i="158"/>
  <c r="I198" i="158"/>
  <c r="G198" i="158"/>
  <c r="F198" i="158"/>
  <c r="E198" i="158"/>
  <c r="D198" i="158"/>
  <c r="C198" i="158"/>
  <c r="B198" i="158"/>
  <c r="A198" i="158"/>
  <c r="Q197" i="158"/>
  <c r="N197" i="158"/>
  <c r="M197" i="158"/>
  <c r="L197" i="158"/>
  <c r="K197" i="158"/>
  <c r="J197" i="158"/>
  <c r="I197" i="158"/>
  <c r="G197" i="158"/>
  <c r="F197" i="158"/>
  <c r="E197" i="158"/>
  <c r="D197" i="158"/>
  <c r="C197" i="158"/>
  <c r="B197" i="158"/>
  <c r="A197" i="158"/>
  <c r="Q196" i="158"/>
  <c r="N196" i="158"/>
  <c r="M196" i="158"/>
  <c r="L196" i="158"/>
  <c r="K196" i="158"/>
  <c r="J196" i="158"/>
  <c r="I196" i="158"/>
  <c r="G196" i="158"/>
  <c r="F196" i="158"/>
  <c r="E196" i="158"/>
  <c r="D196" i="158"/>
  <c r="C196" i="158"/>
  <c r="B196" i="158"/>
  <c r="A196" i="158"/>
  <c r="Q195" i="158"/>
  <c r="N195" i="158"/>
  <c r="M195" i="158"/>
  <c r="L195" i="158"/>
  <c r="K195" i="158"/>
  <c r="J195" i="158"/>
  <c r="I195" i="158"/>
  <c r="G195" i="158"/>
  <c r="F195" i="158"/>
  <c r="E195" i="158"/>
  <c r="D195" i="158"/>
  <c r="C195" i="158"/>
  <c r="B195" i="158"/>
  <c r="A195" i="158"/>
  <c r="Q194" i="158"/>
  <c r="N194" i="158"/>
  <c r="M194" i="158"/>
  <c r="L194" i="158"/>
  <c r="K194" i="158"/>
  <c r="J194" i="158"/>
  <c r="I194" i="158"/>
  <c r="G194" i="158"/>
  <c r="F194" i="158"/>
  <c r="E194" i="158"/>
  <c r="D194" i="158"/>
  <c r="C194" i="158"/>
  <c r="B194" i="158"/>
  <c r="A194" i="158"/>
  <c r="Q193" i="158"/>
  <c r="N193" i="158"/>
  <c r="M193" i="158"/>
  <c r="L193" i="158"/>
  <c r="K193" i="158"/>
  <c r="J193" i="158"/>
  <c r="I193" i="158"/>
  <c r="G193" i="158"/>
  <c r="F193" i="158"/>
  <c r="E193" i="158"/>
  <c r="D193" i="158"/>
  <c r="C193" i="158"/>
  <c r="B193" i="158"/>
  <c r="A193" i="158"/>
  <c r="Q192" i="158"/>
  <c r="N192" i="158"/>
  <c r="M192" i="158"/>
  <c r="L192" i="158"/>
  <c r="K192" i="158"/>
  <c r="J192" i="158"/>
  <c r="I192" i="158"/>
  <c r="G192" i="158"/>
  <c r="F192" i="158"/>
  <c r="E192" i="158"/>
  <c r="D192" i="158"/>
  <c r="C192" i="158"/>
  <c r="B192" i="158"/>
  <c r="A192" i="158"/>
  <c r="Q191" i="158"/>
  <c r="N191" i="158"/>
  <c r="M191" i="158"/>
  <c r="L191" i="158"/>
  <c r="K191" i="158"/>
  <c r="J191" i="158"/>
  <c r="I191" i="158"/>
  <c r="G191" i="158"/>
  <c r="F191" i="158"/>
  <c r="E191" i="158"/>
  <c r="D191" i="158"/>
  <c r="C191" i="158"/>
  <c r="B191" i="158"/>
  <c r="A191" i="158"/>
  <c r="Q190" i="158"/>
  <c r="N190" i="158"/>
  <c r="M190" i="158"/>
  <c r="L190" i="158"/>
  <c r="K190" i="158"/>
  <c r="J190" i="158"/>
  <c r="I190" i="158"/>
  <c r="G190" i="158"/>
  <c r="F190" i="158"/>
  <c r="E190" i="158"/>
  <c r="D190" i="158"/>
  <c r="C190" i="158"/>
  <c r="B190" i="158"/>
  <c r="A190" i="158"/>
  <c r="Q189" i="158"/>
  <c r="N189" i="158"/>
  <c r="M189" i="158"/>
  <c r="L189" i="158"/>
  <c r="K189" i="158"/>
  <c r="J189" i="158"/>
  <c r="I189" i="158"/>
  <c r="G189" i="158"/>
  <c r="F189" i="158"/>
  <c r="E189" i="158"/>
  <c r="D189" i="158"/>
  <c r="C189" i="158"/>
  <c r="B189" i="158"/>
  <c r="A189" i="158"/>
  <c r="Q188" i="158"/>
  <c r="P188" i="158"/>
  <c r="N188" i="158"/>
  <c r="M188" i="158"/>
  <c r="L188" i="158"/>
  <c r="K188" i="158"/>
  <c r="J188" i="158"/>
  <c r="I188" i="158"/>
  <c r="G188" i="158"/>
  <c r="F188" i="158"/>
  <c r="E188" i="158"/>
  <c r="D188" i="158"/>
  <c r="C188" i="158"/>
  <c r="B188" i="158"/>
  <c r="A188" i="158"/>
  <c r="Q187" i="158"/>
  <c r="P187" i="158"/>
  <c r="N187" i="158"/>
  <c r="M187" i="158"/>
  <c r="L187" i="158"/>
  <c r="K187" i="158"/>
  <c r="J187" i="158"/>
  <c r="I187" i="158"/>
  <c r="G187" i="158"/>
  <c r="F187" i="158"/>
  <c r="E187" i="158"/>
  <c r="D187" i="158"/>
  <c r="C187" i="158"/>
  <c r="B187" i="158"/>
  <c r="A187" i="158"/>
  <c r="Q186" i="158"/>
  <c r="P186" i="158"/>
  <c r="N186" i="158"/>
  <c r="M186" i="158"/>
  <c r="L186" i="158"/>
  <c r="K186" i="158"/>
  <c r="J186" i="158"/>
  <c r="I186" i="158"/>
  <c r="G186" i="158"/>
  <c r="F186" i="158"/>
  <c r="E186" i="158"/>
  <c r="D186" i="158"/>
  <c r="C186" i="158"/>
  <c r="B186" i="158"/>
  <c r="A186" i="158"/>
  <c r="Q185" i="158"/>
  <c r="P185" i="158"/>
  <c r="N185" i="158"/>
  <c r="M185" i="158"/>
  <c r="L185" i="158"/>
  <c r="K185" i="158"/>
  <c r="J185" i="158"/>
  <c r="I185" i="158"/>
  <c r="G185" i="158"/>
  <c r="F185" i="158"/>
  <c r="E185" i="158"/>
  <c r="D185" i="158"/>
  <c r="C185" i="158"/>
  <c r="B185" i="158"/>
  <c r="A185" i="158"/>
  <c r="Q184" i="158"/>
  <c r="P184" i="158"/>
  <c r="N184" i="158"/>
  <c r="M184" i="158"/>
  <c r="L184" i="158"/>
  <c r="K184" i="158"/>
  <c r="J184" i="158"/>
  <c r="I184" i="158"/>
  <c r="G184" i="158"/>
  <c r="F184" i="158"/>
  <c r="E184" i="158"/>
  <c r="D184" i="158"/>
  <c r="C184" i="158"/>
  <c r="B184" i="158"/>
  <c r="A184" i="158"/>
  <c r="Q183" i="158"/>
  <c r="N183" i="158"/>
  <c r="M183" i="158"/>
  <c r="L183" i="158"/>
  <c r="K183" i="158"/>
  <c r="J183" i="158"/>
  <c r="I183" i="158"/>
  <c r="G183" i="158"/>
  <c r="F183" i="158"/>
  <c r="E183" i="158"/>
  <c r="D183" i="158"/>
  <c r="C183" i="158"/>
  <c r="B183" i="158"/>
  <c r="A183" i="158"/>
  <c r="Q182" i="158"/>
  <c r="P182" i="158"/>
  <c r="N182" i="158"/>
  <c r="M182" i="158"/>
  <c r="L182" i="158"/>
  <c r="K182" i="158"/>
  <c r="J182" i="158"/>
  <c r="I182" i="158"/>
  <c r="G182" i="158"/>
  <c r="F182" i="158"/>
  <c r="E182" i="158"/>
  <c r="D182" i="158"/>
  <c r="C182" i="158"/>
  <c r="B182" i="158"/>
  <c r="A182" i="158"/>
  <c r="Q181" i="158"/>
  <c r="P181" i="158"/>
  <c r="N181" i="158"/>
  <c r="M181" i="158"/>
  <c r="L181" i="158"/>
  <c r="K181" i="158"/>
  <c r="J181" i="158"/>
  <c r="I181" i="158"/>
  <c r="G181" i="158"/>
  <c r="F181" i="158"/>
  <c r="E181" i="158"/>
  <c r="D181" i="158"/>
  <c r="C181" i="158"/>
  <c r="B181" i="158"/>
  <c r="A181" i="158"/>
  <c r="Q180" i="158"/>
  <c r="P180" i="158"/>
  <c r="N180" i="158"/>
  <c r="M180" i="158"/>
  <c r="L180" i="158"/>
  <c r="K180" i="158"/>
  <c r="J180" i="158"/>
  <c r="I180" i="158"/>
  <c r="G180" i="158"/>
  <c r="F180" i="158"/>
  <c r="E180" i="158"/>
  <c r="D180" i="158"/>
  <c r="C180" i="158"/>
  <c r="B180" i="158"/>
  <c r="A180" i="158"/>
  <c r="Q179" i="158"/>
  <c r="N179" i="158"/>
  <c r="M179" i="158"/>
  <c r="L179" i="158"/>
  <c r="K179" i="158"/>
  <c r="J179" i="158"/>
  <c r="I179" i="158"/>
  <c r="G179" i="158"/>
  <c r="F179" i="158"/>
  <c r="E179" i="158"/>
  <c r="D179" i="158"/>
  <c r="C179" i="158"/>
  <c r="B179" i="158"/>
  <c r="A179" i="158"/>
  <c r="Q178" i="158"/>
  <c r="P178" i="158"/>
  <c r="N178" i="158"/>
  <c r="M178" i="158"/>
  <c r="L178" i="158"/>
  <c r="K178" i="158"/>
  <c r="J178" i="158"/>
  <c r="I178" i="158"/>
  <c r="G178" i="158"/>
  <c r="F178" i="158"/>
  <c r="E178" i="158"/>
  <c r="D178" i="158"/>
  <c r="C178" i="158"/>
  <c r="B178" i="158"/>
  <c r="A178" i="158"/>
  <c r="Q177" i="158"/>
  <c r="P177" i="158"/>
  <c r="N177" i="158"/>
  <c r="M177" i="158"/>
  <c r="L177" i="158"/>
  <c r="K177" i="158"/>
  <c r="J177" i="158"/>
  <c r="I177" i="158"/>
  <c r="G177" i="158"/>
  <c r="F177" i="158"/>
  <c r="E177" i="158"/>
  <c r="D177" i="158"/>
  <c r="C177" i="158"/>
  <c r="B177" i="158"/>
  <c r="A177" i="158"/>
  <c r="N176" i="158"/>
  <c r="M176" i="158"/>
  <c r="L176" i="158"/>
  <c r="K176" i="158"/>
  <c r="J176" i="158"/>
  <c r="I176" i="158"/>
  <c r="G176" i="158"/>
  <c r="F176" i="158"/>
  <c r="E176" i="158"/>
  <c r="D176" i="158"/>
  <c r="C176" i="158"/>
  <c r="B176" i="158"/>
  <c r="A176" i="158"/>
  <c r="Q175" i="158"/>
  <c r="P175" i="158"/>
  <c r="N175" i="158"/>
  <c r="M175" i="158"/>
  <c r="L175" i="158"/>
  <c r="K175" i="158"/>
  <c r="J175" i="158"/>
  <c r="I175" i="158"/>
  <c r="G175" i="158"/>
  <c r="F175" i="158"/>
  <c r="E175" i="158"/>
  <c r="D175" i="158"/>
  <c r="C175" i="158"/>
  <c r="B175" i="158"/>
  <c r="A175" i="158"/>
  <c r="Q174" i="158"/>
  <c r="P174" i="158"/>
  <c r="N174" i="158"/>
  <c r="M174" i="158"/>
  <c r="L174" i="158"/>
  <c r="K174" i="158"/>
  <c r="J174" i="158"/>
  <c r="I174" i="158"/>
  <c r="G174" i="158"/>
  <c r="F174" i="158"/>
  <c r="E174" i="158"/>
  <c r="D174" i="158"/>
  <c r="C174" i="158"/>
  <c r="B174" i="158"/>
  <c r="A174" i="158"/>
  <c r="Q173" i="158"/>
  <c r="N173" i="158"/>
  <c r="M173" i="158"/>
  <c r="L173" i="158"/>
  <c r="K173" i="158"/>
  <c r="J173" i="158"/>
  <c r="I173" i="158"/>
  <c r="G173" i="158"/>
  <c r="F173" i="158"/>
  <c r="E173" i="158"/>
  <c r="D173" i="158"/>
  <c r="C173" i="158"/>
  <c r="B173" i="158"/>
  <c r="A173" i="158"/>
  <c r="Q172" i="158"/>
  <c r="P172" i="158"/>
  <c r="N172" i="158"/>
  <c r="M172" i="158"/>
  <c r="L172" i="158"/>
  <c r="K172" i="158"/>
  <c r="J172" i="158"/>
  <c r="I172" i="158"/>
  <c r="G172" i="158"/>
  <c r="F172" i="158"/>
  <c r="E172" i="158"/>
  <c r="D172" i="158"/>
  <c r="C172" i="158"/>
  <c r="B172" i="158"/>
  <c r="A172" i="158"/>
  <c r="Q171" i="158"/>
  <c r="P171" i="158"/>
  <c r="N171" i="158"/>
  <c r="M171" i="158"/>
  <c r="L171" i="158"/>
  <c r="K171" i="158"/>
  <c r="J171" i="158"/>
  <c r="I171" i="158"/>
  <c r="G171" i="158"/>
  <c r="F171" i="158"/>
  <c r="E171" i="158"/>
  <c r="D171" i="158"/>
  <c r="C171" i="158"/>
  <c r="B171" i="158"/>
  <c r="A171" i="158"/>
  <c r="Q170" i="158"/>
  <c r="N170" i="158"/>
  <c r="M170" i="158"/>
  <c r="L170" i="158"/>
  <c r="K170" i="158"/>
  <c r="J170" i="158"/>
  <c r="I170" i="158"/>
  <c r="G170" i="158"/>
  <c r="F170" i="158"/>
  <c r="E170" i="158"/>
  <c r="D170" i="158"/>
  <c r="C170" i="158"/>
  <c r="B170" i="158"/>
  <c r="A170" i="158"/>
  <c r="Q169" i="158"/>
  <c r="N169" i="158"/>
  <c r="M169" i="158"/>
  <c r="L169" i="158"/>
  <c r="K169" i="158"/>
  <c r="J169" i="158"/>
  <c r="I169" i="158"/>
  <c r="G169" i="158"/>
  <c r="F169" i="158"/>
  <c r="E169" i="158"/>
  <c r="D169" i="158"/>
  <c r="C169" i="158"/>
  <c r="B169" i="158"/>
  <c r="A169" i="158"/>
  <c r="Q168" i="158"/>
  <c r="P168" i="158"/>
  <c r="N168" i="158"/>
  <c r="M168" i="158"/>
  <c r="L168" i="158"/>
  <c r="K168" i="158"/>
  <c r="J168" i="158"/>
  <c r="I168" i="158"/>
  <c r="G168" i="158"/>
  <c r="F168" i="158"/>
  <c r="E168" i="158"/>
  <c r="D168" i="158"/>
  <c r="C168" i="158"/>
  <c r="B168" i="158"/>
  <c r="A168" i="158"/>
  <c r="Q167" i="158"/>
  <c r="N167" i="158"/>
  <c r="M167" i="158"/>
  <c r="L167" i="158"/>
  <c r="K167" i="158"/>
  <c r="J167" i="158"/>
  <c r="I167" i="158"/>
  <c r="G167" i="158"/>
  <c r="F167" i="158"/>
  <c r="E167" i="158"/>
  <c r="D167" i="158"/>
  <c r="C167" i="158"/>
  <c r="B167" i="158"/>
  <c r="A167" i="158"/>
  <c r="Q166" i="158"/>
  <c r="P166" i="158"/>
  <c r="N166" i="158"/>
  <c r="M166" i="158"/>
  <c r="L166" i="158"/>
  <c r="K166" i="158"/>
  <c r="J166" i="158"/>
  <c r="I166" i="158"/>
  <c r="G166" i="158"/>
  <c r="F166" i="158"/>
  <c r="E166" i="158"/>
  <c r="D166" i="158"/>
  <c r="C166" i="158"/>
  <c r="B166" i="158"/>
  <c r="A166" i="158"/>
  <c r="Q165" i="158"/>
  <c r="P165" i="158"/>
  <c r="N165" i="158"/>
  <c r="M165" i="158"/>
  <c r="L165" i="158"/>
  <c r="K165" i="158"/>
  <c r="J165" i="158"/>
  <c r="I165" i="158"/>
  <c r="G165" i="158"/>
  <c r="F165" i="158"/>
  <c r="E165" i="158"/>
  <c r="D165" i="158"/>
  <c r="C165" i="158"/>
  <c r="B165" i="158"/>
  <c r="A165" i="158"/>
  <c r="Q164" i="158"/>
  <c r="N164" i="158"/>
  <c r="M164" i="158"/>
  <c r="L164" i="158"/>
  <c r="K164" i="158"/>
  <c r="J164" i="158"/>
  <c r="I164" i="158"/>
  <c r="G164" i="158"/>
  <c r="F164" i="158"/>
  <c r="E164" i="158"/>
  <c r="D164" i="158"/>
  <c r="C164" i="158"/>
  <c r="B164" i="158"/>
  <c r="A164" i="158"/>
  <c r="Q163" i="158"/>
  <c r="P163" i="158"/>
  <c r="N163" i="158"/>
  <c r="M163" i="158"/>
  <c r="L163" i="158"/>
  <c r="K163" i="158"/>
  <c r="J163" i="158"/>
  <c r="I163" i="158"/>
  <c r="G163" i="158"/>
  <c r="F163" i="158"/>
  <c r="E163" i="158"/>
  <c r="D163" i="158"/>
  <c r="C163" i="158"/>
  <c r="B163" i="158"/>
  <c r="A163" i="158"/>
  <c r="Q162" i="158"/>
  <c r="P162" i="158"/>
  <c r="N162" i="158"/>
  <c r="M162" i="158"/>
  <c r="L162" i="158"/>
  <c r="K162" i="158"/>
  <c r="J162" i="158"/>
  <c r="I162" i="158"/>
  <c r="G162" i="158"/>
  <c r="F162" i="158"/>
  <c r="E162" i="158"/>
  <c r="D162" i="158"/>
  <c r="C162" i="158"/>
  <c r="B162" i="158"/>
  <c r="A162" i="158"/>
  <c r="Q161" i="158"/>
  <c r="P161" i="158"/>
  <c r="N161" i="158"/>
  <c r="M161" i="158"/>
  <c r="L161" i="158"/>
  <c r="K161" i="158"/>
  <c r="J161" i="158"/>
  <c r="I161" i="158"/>
  <c r="G161" i="158"/>
  <c r="F161" i="158"/>
  <c r="E161" i="158"/>
  <c r="D161" i="158"/>
  <c r="C161" i="158"/>
  <c r="B161" i="158"/>
  <c r="A161" i="158"/>
  <c r="Q160" i="158"/>
  <c r="P160" i="158"/>
  <c r="N160" i="158"/>
  <c r="M160" i="158"/>
  <c r="L160" i="158"/>
  <c r="K160" i="158"/>
  <c r="J160" i="158"/>
  <c r="I160" i="158"/>
  <c r="G160" i="158"/>
  <c r="F160" i="158"/>
  <c r="E160" i="158"/>
  <c r="D160" i="158"/>
  <c r="C160" i="158"/>
  <c r="B160" i="158"/>
  <c r="A160" i="158"/>
  <c r="Q159" i="158"/>
  <c r="P159" i="158"/>
  <c r="N159" i="158"/>
  <c r="M159" i="158"/>
  <c r="L159" i="158"/>
  <c r="K159" i="158"/>
  <c r="J159" i="158"/>
  <c r="I159" i="158"/>
  <c r="G159" i="158"/>
  <c r="F159" i="158"/>
  <c r="E159" i="158"/>
  <c r="D159" i="158"/>
  <c r="C159" i="158"/>
  <c r="B159" i="158"/>
  <c r="A159" i="158"/>
  <c r="Q158" i="158"/>
  <c r="N158" i="158"/>
  <c r="M158" i="158"/>
  <c r="L158" i="158"/>
  <c r="K158" i="158"/>
  <c r="J158" i="158"/>
  <c r="I158" i="158"/>
  <c r="G158" i="158"/>
  <c r="F158" i="158"/>
  <c r="E158" i="158"/>
  <c r="D158" i="158"/>
  <c r="C158" i="158"/>
  <c r="B158" i="158"/>
  <c r="A158" i="158"/>
  <c r="Q157" i="158"/>
  <c r="P157" i="158"/>
  <c r="N157" i="158"/>
  <c r="M157" i="158"/>
  <c r="L157" i="158"/>
  <c r="K157" i="158"/>
  <c r="J157" i="158"/>
  <c r="I157" i="158"/>
  <c r="G157" i="158"/>
  <c r="F157" i="158"/>
  <c r="E157" i="158"/>
  <c r="D157" i="158"/>
  <c r="C157" i="158"/>
  <c r="B157" i="158"/>
  <c r="A157" i="158"/>
  <c r="Q156" i="158"/>
  <c r="P156" i="158"/>
  <c r="N156" i="158"/>
  <c r="M156" i="158"/>
  <c r="L156" i="158"/>
  <c r="K156" i="158"/>
  <c r="J156" i="158"/>
  <c r="I156" i="158"/>
  <c r="G156" i="158"/>
  <c r="F156" i="158"/>
  <c r="E156" i="158"/>
  <c r="D156" i="158"/>
  <c r="C156" i="158"/>
  <c r="B156" i="158"/>
  <c r="A156" i="158"/>
  <c r="Q155" i="158"/>
  <c r="P155" i="158"/>
  <c r="N155" i="158"/>
  <c r="M155" i="158"/>
  <c r="L155" i="158"/>
  <c r="K155" i="158"/>
  <c r="J155" i="158"/>
  <c r="I155" i="158"/>
  <c r="G155" i="158"/>
  <c r="F155" i="158"/>
  <c r="E155" i="158"/>
  <c r="D155" i="158"/>
  <c r="C155" i="158"/>
  <c r="B155" i="158"/>
  <c r="A155" i="158"/>
  <c r="Q154" i="158"/>
  <c r="P154" i="158"/>
  <c r="N154" i="158"/>
  <c r="M154" i="158"/>
  <c r="L154" i="158"/>
  <c r="K154" i="158"/>
  <c r="J154" i="158"/>
  <c r="I154" i="158"/>
  <c r="G154" i="158"/>
  <c r="F154" i="158"/>
  <c r="E154" i="158"/>
  <c r="D154" i="158"/>
  <c r="C154" i="158"/>
  <c r="B154" i="158"/>
  <c r="A154" i="158"/>
  <c r="Q153" i="158"/>
  <c r="P153" i="158"/>
  <c r="N153" i="158"/>
  <c r="M153" i="158"/>
  <c r="L153" i="158"/>
  <c r="K153" i="158"/>
  <c r="J153" i="158"/>
  <c r="I153" i="158"/>
  <c r="G153" i="158"/>
  <c r="F153" i="158"/>
  <c r="E153" i="158"/>
  <c r="D153" i="158"/>
  <c r="C153" i="158"/>
  <c r="B153" i="158"/>
  <c r="A153" i="158"/>
  <c r="Q152" i="158"/>
  <c r="N152" i="158"/>
  <c r="M152" i="158"/>
  <c r="L152" i="158"/>
  <c r="K152" i="158"/>
  <c r="J152" i="158"/>
  <c r="I152" i="158"/>
  <c r="G152" i="158"/>
  <c r="F152" i="158"/>
  <c r="E152" i="158"/>
  <c r="D152" i="158"/>
  <c r="C152" i="158"/>
  <c r="B152" i="158"/>
  <c r="A152" i="158"/>
  <c r="Q151" i="158"/>
  <c r="P151" i="158"/>
  <c r="N151" i="158"/>
  <c r="M151" i="158"/>
  <c r="L151" i="158"/>
  <c r="K151" i="158"/>
  <c r="J151" i="158"/>
  <c r="I151" i="158"/>
  <c r="G151" i="158"/>
  <c r="F151" i="158"/>
  <c r="E151" i="158"/>
  <c r="D151" i="158"/>
  <c r="C151" i="158"/>
  <c r="B151" i="158"/>
  <c r="A151" i="158"/>
  <c r="Q150" i="158"/>
  <c r="P150" i="158"/>
  <c r="N150" i="158"/>
  <c r="M150" i="158"/>
  <c r="L150" i="158"/>
  <c r="K150" i="158"/>
  <c r="J150" i="158"/>
  <c r="I150" i="158"/>
  <c r="G150" i="158"/>
  <c r="F150" i="158"/>
  <c r="E150" i="158"/>
  <c r="D150" i="158"/>
  <c r="C150" i="158"/>
  <c r="B150" i="158"/>
  <c r="A150" i="158"/>
  <c r="Q149" i="158"/>
  <c r="P149" i="158"/>
  <c r="N149" i="158"/>
  <c r="M149" i="158"/>
  <c r="L149" i="158"/>
  <c r="K149" i="158"/>
  <c r="J149" i="158"/>
  <c r="I149" i="158"/>
  <c r="G149" i="158"/>
  <c r="F149" i="158"/>
  <c r="E149" i="158"/>
  <c r="D149" i="158"/>
  <c r="C149" i="158"/>
  <c r="B149" i="158"/>
  <c r="A149" i="158"/>
  <c r="Q148" i="158"/>
  <c r="P148" i="158"/>
  <c r="N148" i="158"/>
  <c r="M148" i="158"/>
  <c r="L148" i="158"/>
  <c r="K148" i="158"/>
  <c r="J148" i="158"/>
  <c r="I148" i="158"/>
  <c r="G148" i="158"/>
  <c r="F148" i="158"/>
  <c r="E148" i="158"/>
  <c r="D148" i="158"/>
  <c r="C148" i="158"/>
  <c r="B148" i="158"/>
  <c r="A148" i="158"/>
  <c r="Q147" i="158"/>
  <c r="N147" i="158"/>
  <c r="M147" i="158"/>
  <c r="L147" i="158"/>
  <c r="K147" i="158"/>
  <c r="J147" i="158"/>
  <c r="I147" i="158"/>
  <c r="G147" i="158"/>
  <c r="F147" i="158"/>
  <c r="E147" i="158"/>
  <c r="D147" i="158"/>
  <c r="C147" i="158"/>
  <c r="B147" i="158"/>
  <c r="A147" i="158"/>
  <c r="Q146" i="158"/>
  <c r="P146" i="158"/>
  <c r="N146" i="158"/>
  <c r="M146" i="158"/>
  <c r="L146" i="158"/>
  <c r="K146" i="158"/>
  <c r="J146" i="158"/>
  <c r="I146" i="158"/>
  <c r="G146" i="158"/>
  <c r="F146" i="158"/>
  <c r="E146" i="158"/>
  <c r="D146" i="158"/>
  <c r="C146" i="158"/>
  <c r="B146" i="158"/>
  <c r="A146" i="158"/>
  <c r="Q145" i="158"/>
  <c r="P145" i="158"/>
  <c r="N145" i="158"/>
  <c r="M145" i="158"/>
  <c r="L145" i="158"/>
  <c r="K145" i="158"/>
  <c r="J145" i="158"/>
  <c r="I145" i="158"/>
  <c r="G145" i="158"/>
  <c r="F145" i="158"/>
  <c r="E145" i="158"/>
  <c r="D145" i="158"/>
  <c r="C145" i="158"/>
  <c r="B145" i="158"/>
  <c r="A145" i="158"/>
  <c r="Q144" i="158"/>
  <c r="P144" i="158"/>
  <c r="N144" i="158"/>
  <c r="M144" i="158"/>
  <c r="L144" i="158"/>
  <c r="K144" i="158"/>
  <c r="J144" i="158"/>
  <c r="I144" i="158"/>
  <c r="G144" i="158"/>
  <c r="F144" i="158"/>
  <c r="E144" i="158"/>
  <c r="D144" i="158"/>
  <c r="C144" i="158"/>
  <c r="B144" i="158"/>
  <c r="A144" i="158"/>
  <c r="Q143" i="158"/>
  <c r="P143" i="158"/>
  <c r="N143" i="158"/>
  <c r="M143" i="158"/>
  <c r="L143" i="158"/>
  <c r="K143" i="158"/>
  <c r="J143" i="158"/>
  <c r="I143" i="158"/>
  <c r="G143" i="158"/>
  <c r="F143" i="158"/>
  <c r="E143" i="158"/>
  <c r="D143" i="158"/>
  <c r="C143" i="158"/>
  <c r="B143" i="158"/>
  <c r="A143" i="158"/>
  <c r="Q142" i="158"/>
  <c r="P142" i="158"/>
  <c r="N142" i="158"/>
  <c r="M142" i="158"/>
  <c r="L142" i="158"/>
  <c r="K142" i="158"/>
  <c r="J142" i="158"/>
  <c r="I142" i="158"/>
  <c r="G142" i="158"/>
  <c r="F142" i="158"/>
  <c r="E142" i="158"/>
  <c r="D142" i="158"/>
  <c r="C142" i="158"/>
  <c r="B142" i="158"/>
  <c r="A142" i="158"/>
  <c r="Q141" i="158"/>
  <c r="P141" i="158"/>
  <c r="N141" i="158"/>
  <c r="M141" i="158"/>
  <c r="L141" i="158"/>
  <c r="K141" i="158"/>
  <c r="J141" i="158"/>
  <c r="I141" i="158"/>
  <c r="G141" i="158"/>
  <c r="F141" i="158"/>
  <c r="E141" i="158"/>
  <c r="D141" i="158"/>
  <c r="C141" i="158"/>
  <c r="B141" i="158"/>
  <c r="A141" i="158"/>
  <c r="Q140" i="158"/>
  <c r="P140" i="158"/>
  <c r="N140" i="158"/>
  <c r="M140" i="158"/>
  <c r="L140" i="158"/>
  <c r="K140" i="158"/>
  <c r="J140" i="158"/>
  <c r="I140" i="158"/>
  <c r="G140" i="158"/>
  <c r="F140" i="158"/>
  <c r="E140" i="158"/>
  <c r="D140" i="158"/>
  <c r="C140" i="158"/>
  <c r="B140" i="158"/>
  <c r="A140" i="158"/>
  <c r="Q139" i="158"/>
  <c r="P139" i="158"/>
  <c r="N139" i="158"/>
  <c r="M139" i="158"/>
  <c r="L139" i="158"/>
  <c r="K139" i="158"/>
  <c r="J139" i="158"/>
  <c r="I139" i="158"/>
  <c r="G139" i="158"/>
  <c r="F139" i="158"/>
  <c r="E139" i="158"/>
  <c r="D139" i="158"/>
  <c r="C139" i="158"/>
  <c r="B139" i="158"/>
  <c r="A139" i="158"/>
  <c r="Q138" i="158"/>
  <c r="P138" i="158"/>
  <c r="N138" i="158"/>
  <c r="M138" i="158"/>
  <c r="L138" i="158"/>
  <c r="K138" i="158"/>
  <c r="J138" i="158"/>
  <c r="I138" i="158"/>
  <c r="G138" i="158"/>
  <c r="F138" i="158"/>
  <c r="E138" i="158"/>
  <c r="D138" i="158"/>
  <c r="C138" i="158"/>
  <c r="B138" i="158"/>
  <c r="A138" i="158"/>
  <c r="Q137" i="158"/>
  <c r="P137" i="158"/>
  <c r="N137" i="158"/>
  <c r="M137" i="158"/>
  <c r="L137" i="158"/>
  <c r="K137" i="158"/>
  <c r="J137" i="158"/>
  <c r="I137" i="158"/>
  <c r="G137" i="158"/>
  <c r="F137" i="158"/>
  <c r="E137" i="158"/>
  <c r="D137" i="158"/>
  <c r="C137" i="158"/>
  <c r="B137" i="158"/>
  <c r="A137" i="158"/>
  <c r="Q136" i="158"/>
  <c r="P136" i="158"/>
  <c r="N136" i="158"/>
  <c r="M136" i="158"/>
  <c r="L136" i="158"/>
  <c r="K136" i="158"/>
  <c r="J136" i="158"/>
  <c r="I136" i="158"/>
  <c r="G136" i="158"/>
  <c r="F136" i="158"/>
  <c r="E136" i="158"/>
  <c r="D136" i="158"/>
  <c r="C136" i="158"/>
  <c r="B136" i="158"/>
  <c r="A136" i="158"/>
  <c r="Q135" i="158"/>
  <c r="N135" i="158"/>
  <c r="M135" i="158"/>
  <c r="L135" i="158"/>
  <c r="K135" i="158"/>
  <c r="J135" i="158"/>
  <c r="I135" i="158"/>
  <c r="G135" i="158"/>
  <c r="F135" i="158"/>
  <c r="E135" i="158"/>
  <c r="D135" i="158"/>
  <c r="C135" i="158"/>
  <c r="B135" i="158"/>
  <c r="A135" i="158"/>
  <c r="Q134" i="158"/>
  <c r="P134" i="158"/>
  <c r="N134" i="158"/>
  <c r="M134" i="158"/>
  <c r="L134" i="158"/>
  <c r="K134" i="158"/>
  <c r="J134" i="158"/>
  <c r="I134" i="158"/>
  <c r="G134" i="158"/>
  <c r="F134" i="158"/>
  <c r="E134" i="158"/>
  <c r="D134" i="158"/>
  <c r="C134" i="158"/>
  <c r="B134" i="158"/>
  <c r="A134" i="158"/>
  <c r="Q133" i="158"/>
  <c r="P133" i="158"/>
  <c r="N133" i="158"/>
  <c r="M133" i="158"/>
  <c r="L133" i="158"/>
  <c r="K133" i="158"/>
  <c r="J133" i="158"/>
  <c r="I133" i="158"/>
  <c r="G133" i="158"/>
  <c r="F133" i="158"/>
  <c r="E133" i="158"/>
  <c r="D133" i="158"/>
  <c r="C133" i="158"/>
  <c r="B133" i="158"/>
  <c r="A133" i="158"/>
  <c r="Q132" i="158"/>
  <c r="P132" i="158"/>
  <c r="N132" i="158"/>
  <c r="M132" i="158"/>
  <c r="L132" i="158"/>
  <c r="K132" i="158"/>
  <c r="J132" i="158"/>
  <c r="I132" i="158"/>
  <c r="G132" i="158"/>
  <c r="F132" i="158"/>
  <c r="E132" i="158"/>
  <c r="D132" i="158"/>
  <c r="C132" i="158"/>
  <c r="B132" i="158"/>
  <c r="A132" i="158"/>
  <c r="Q131" i="158"/>
  <c r="N131" i="158"/>
  <c r="M131" i="158"/>
  <c r="L131" i="158"/>
  <c r="K131" i="158"/>
  <c r="J131" i="158"/>
  <c r="I131" i="158"/>
  <c r="G131" i="158"/>
  <c r="F131" i="158"/>
  <c r="E131" i="158"/>
  <c r="D131" i="158"/>
  <c r="C131" i="158"/>
  <c r="B131" i="158"/>
  <c r="A131" i="158"/>
  <c r="Q130" i="158"/>
  <c r="P130" i="158"/>
  <c r="N130" i="158"/>
  <c r="M130" i="158"/>
  <c r="L130" i="158"/>
  <c r="K130" i="158"/>
  <c r="J130" i="158"/>
  <c r="I130" i="158"/>
  <c r="G130" i="158"/>
  <c r="F130" i="158"/>
  <c r="E130" i="158"/>
  <c r="D130" i="158"/>
  <c r="C130" i="158"/>
  <c r="B130" i="158"/>
  <c r="A130" i="158"/>
  <c r="Q129" i="158"/>
  <c r="P129" i="158"/>
  <c r="N129" i="158"/>
  <c r="M129" i="158"/>
  <c r="L129" i="158"/>
  <c r="K129" i="158"/>
  <c r="J129" i="158"/>
  <c r="I129" i="158"/>
  <c r="G129" i="158"/>
  <c r="F129" i="158"/>
  <c r="E129" i="158"/>
  <c r="D129" i="158"/>
  <c r="C129" i="158"/>
  <c r="B129" i="158"/>
  <c r="A129" i="158"/>
  <c r="Q128" i="158"/>
  <c r="P128" i="158"/>
  <c r="N128" i="158"/>
  <c r="M128" i="158"/>
  <c r="L128" i="158"/>
  <c r="K128" i="158"/>
  <c r="J128" i="158"/>
  <c r="I128" i="158"/>
  <c r="G128" i="158"/>
  <c r="F128" i="158"/>
  <c r="E128" i="158"/>
  <c r="D128" i="158"/>
  <c r="C128" i="158"/>
  <c r="B128" i="158"/>
  <c r="A128" i="158"/>
  <c r="Q127" i="158"/>
  <c r="P127" i="158"/>
  <c r="N127" i="158"/>
  <c r="M127" i="158"/>
  <c r="L127" i="158"/>
  <c r="K127" i="158"/>
  <c r="J127" i="158"/>
  <c r="I127" i="158"/>
  <c r="G127" i="158"/>
  <c r="F127" i="158"/>
  <c r="E127" i="158"/>
  <c r="D127" i="158"/>
  <c r="C127" i="158"/>
  <c r="B127" i="158"/>
  <c r="A127" i="158"/>
  <c r="Q126" i="158"/>
  <c r="P126" i="158"/>
  <c r="N126" i="158"/>
  <c r="M126" i="158"/>
  <c r="L126" i="158"/>
  <c r="K126" i="158"/>
  <c r="J126" i="158"/>
  <c r="I126" i="158"/>
  <c r="G126" i="158"/>
  <c r="F126" i="158"/>
  <c r="E126" i="158"/>
  <c r="D126" i="158"/>
  <c r="C126" i="158"/>
  <c r="B126" i="158"/>
  <c r="A126" i="158"/>
  <c r="Q125" i="158"/>
  <c r="P125" i="158"/>
  <c r="N125" i="158"/>
  <c r="M125" i="158"/>
  <c r="L125" i="158"/>
  <c r="K125" i="158"/>
  <c r="J125" i="158"/>
  <c r="I125" i="158"/>
  <c r="G125" i="158"/>
  <c r="F125" i="158"/>
  <c r="E125" i="158"/>
  <c r="D125" i="158"/>
  <c r="C125" i="158"/>
  <c r="B125" i="158"/>
  <c r="A125" i="158"/>
  <c r="Q124" i="158"/>
  <c r="P124" i="158"/>
  <c r="N124" i="158"/>
  <c r="M124" i="158"/>
  <c r="L124" i="158"/>
  <c r="K124" i="158"/>
  <c r="J124" i="158"/>
  <c r="I124" i="158"/>
  <c r="G124" i="158"/>
  <c r="F124" i="158"/>
  <c r="E124" i="158"/>
  <c r="D124" i="158"/>
  <c r="C124" i="158"/>
  <c r="B124" i="158"/>
  <c r="A124" i="158"/>
  <c r="Q123" i="158"/>
  <c r="P123" i="158"/>
  <c r="N123" i="158"/>
  <c r="M123" i="158"/>
  <c r="L123" i="158"/>
  <c r="K123" i="158"/>
  <c r="J123" i="158"/>
  <c r="I123" i="158"/>
  <c r="G123" i="158"/>
  <c r="F123" i="158"/>
  <c r="E123" i="158"/>
  <c r="D123" i="158"/>
  <c r="C123" i="158"/>
  <c r="B123" i="158"/>
  <c r="A123" i="158"/>
  <c r="Q122" i="158"/>
  <c r="P122" i="158"/>
  <c r="N122" i="158"/>
  <c r="M122" i="158"/>
  <c r="L122" i="158"/>
  <c r="K122" i="158"/>
  <c r="J122" i="158"/>
  <c r="I122" i="158"/>
  <c r="G122" i="158"/>
  <c r="F122" i="158"/>
  <c r="E122" i="158"/>
  <c r="D122" i="158"/>
  <c r="C122" i="158"/>
  <c r="B122" i="158"/>
  <c r="A122" i="158"/>
  <c r="Q121" i="158"/>
  <c r="P121" i="158"/>
  <c r="N121" i="158"/>
  <c r="M121" i="158"/>
  <c r="L121" i="158"/>
  <c r="K121" i="158"/>
  <c r="J121" i="158"/>
  <c r="I121" i="158"/>
  <c r="G121" i="158"/>
  <c r="F121" i="158"/>
  <c r="E121" i="158"/>
  <c r="D121" i="158"/>
  <c r="C121" i="158"/>
  <c r="B121" i="158"/>
  <c r="A121" i="158"/>
  <c r="Q120" i="158"/>
  <c r="P120" i="158"/>
  <c r="N120" i="158"/>
  <c r="M120" i="158"/>
  <c r="L120" i="158"/>
  <c r="K120" i="158"/>
  <c r="J120" i="158"/>
  <c r="I120" i="158"/>
  <c r="G120" i="158"/>
  <c r="F120" i="158"/>
  <c r="E120" i="158"/>
  <c r="D120" i="158"/>
  <c r="C120" i="158"/>
  <c r="B120" i="158"/>
  <c r="A120" i="158"/>
  <c r="Q119" i="158"/>
  <c r="P119" i="158"/>
  <c r="N119" i="158"/>
  <c r="M119" i="158"/>
  <c r="L119" i="158"/>
  <c r="K119" i="158"/>
  <c r="J119" i="158"/>
  <c r="I119" i="158"/>
  <c r="G119" i="158"/>
  <c r="F119" i="158"/>
  <c r="E119" i="158"/>
  <c r="D119" i="158"/>
  <c r="C119" i="158"/>
  <c r="B119" i="158"/>
  <c r="A119" i="158"/>
  <c r="Q118" i="158"/>
  <c r="P118" i="158"/>
  <c r="N118" i="158"/>
  <c r="M118" i="158"/>
  <c r="L118" i="158"/>
  <c r="K118" i="158"/>
  <c r="J118" i="158"/>
  <c r="I118" i="158"/>
  <c r="G118" i="158"/>
  <c r="F118" i="158"/>
  <c r="E118" i="158"/>
  <c r="D118" i="158"/>
  <c r="C118" i="158"/>
  <c r="B118" i="158"/>
  <c r="A118" i="158"/>
  <c r="Q117" i="158"/>
  <c r="P117" i="158"/>
  <c r="N117" i="158"/>
  <c r="M117" i="158"/>
  <c r="L117" i="158"/>
  <c r="K117" i="158"/>
  <c r="J117" i="158"/>
  <c r="I117" i="158"/>
  <c r="G117" i="158"/>
  <c r="F117" i="158"/>
  <c r="E117" i="158"/>
  <c r="D117" i="158"/>
  <c r="C117" i="158"/>
  <c r="B117" i="158"/>
  <c r="A117" i="158"/>
  <c r="Q116" i="158"/>
  <c r="P116" i="158"/>
  <c r="N116" i="158"/>
  <c r="M116" i="158"/>
  <c r="L116" i="158"/>
  <c r="K116" i="158"/>
  <c r="J116" i="158"/>
  <c r="I116" i="158"/>
  <c r="G116" i="158"/>
  <c r="F116" i="158"/>
  <c r="E116" i="158"/>
  <c r="D116" i="158"/>
  <c r="C116" i="158"/>
  <c r="B116" i="158"/>
  <c r="A116" i="158"/>
  <c r="Q115" i="158"/>
  <c r="P115" i="158"/>
  <c r="N115" i="158"/>
  <c r="M115" i="158"/>
  <c r="L115" i="158"/>
  <c r="K115" i="158"/>
  <c r="J115" i="158"/>
  <c r="I115" i="158"/>
  <c r="G115" i="158"/>
  <c r="F115" i="158"/>
  <c r="E115" i="158"/>
  <c r="D115" i="158"/>
  <c r="C115" i="158"/>
  <c r="B115" i="158"/>
  <c r="A115" i="158"/>
  <c r="Q114" i="158"/>
  <c r="P114" i="158"/>
  <c r="N114" i="158"/>
  <c r="M114" i="158"/>
  <c r="L114" i="158"/>
  <c r="K114" i="158"/>
  <c r="J114" i="158"/>
  <c r="I114" i="158"/>
  <c r="G114" i="158"/>
  <c r="F114" i="158"/>
  <c r="E114" i="158"/>
  <c r="D114" i="158"/>
  <c r="C114" i="158"/>
  <c r="B114" i="158"/>
  <c r="A114" i="158"/>
  <c r="Q113" i="158"/>
  <c r="P113" i="158"/>
  <c r="N113" i="158"/>
  <c r="M113" i="158"/>
  <c r="L113" i="158"/>
  <c r="K113" i="158"/>
  <c r="J113" i="158"/>
  <c r="I113" i="158"/>
  <c r="G113" i="158"/>
  <c r="F113" i="158"/>
  <c r="E113" i="158"/>
  <c r="D113" i="158"/>
  <c r="C113" i="158"/>
  <c r="B113" i="158"/>
  <c r="A113" i="158"/>
  <c r="Q112" i="158"/>
  <c r="P112" i="158"/>
  <c r="N112" i="158"/>
  <c r="M112" i="158"/>
  <c r="L112" i="158"/>
  <c r="K112" i="158"/>
  <c r="J112" i="158"/>
  <c r="I112" i="158"/>
  <c r="G112" i="158"/>
  <c r="F112" i="158"/>
  <c r="E112" i="158"/>
  <c r="D112" i="158"/>
  <c r="C112" i="158"/>
  <c r="B112" i="158"/>
  <c r="A112" i="158"/>
  <c r="Q111" i="158"/>
  <c r="P111" i="158"/>
  <c r="N111" i="158"/>
  <c r="M111" i="158"/>
  <c r="L111" i="158"/>
  <c r="K111" i="158"/>
  <c r="J111" i="158"/>
  <c r="I111" i="158"/>
  <c r="G111" i="158"/>
  <c r="F111" i="158"/>
  <c r="E111" i="158"/>
  <c r="D111" i="158"/>
  <c r="C111" i="158"/>
  <c r="B111" i="158"/>
  <c r="A111" i="158"/>
  <c r="Q110" i="158"/>
  <c r="P110" i="158"/>
  <c r="N110" i="158"/>
  <c r="M110" i="158"/>
  <c r="L110" i="158"/>
  <c r="K110" i="158"/>
  <c r="J110" i="158"/>
  <c r="I110" i="158"/>
  <c r="G110" i="158"/>
  <c r="F110" i="158"/>
  <c r="E110" i="158"/>
  <c r="D110" i="158"/>
  <c r="C110" i="158"/>
  <c r="B110" i="158"/>
  <c r="A110" i="158"/>
  <c r="Q109" i="158"/>
  <c r="P109" i="158"/>
  <c r="N109" i="158"/>
  <c r="M109" i="158"/>
  <c r="L109" i="158"/>
  <c r="K109" i="158"/>
  <c r="J109" i="158"/>
  <c r="I109" i="158"/>
  <c r="G109" i="158"/>
  <c r="F109" i="158"/>
  <c r="E109" i="158"/>
  <c r="D109" i="158"/>
  <c r="C109" i="158"/>
  <c r="B109" i="158"/>
  <c r="A109" i="158"/>
  <c r="Q108" i="158"/>
  <c r="N108" i="158"/>
  <c r="M108" i="158"/>
  <c r="L108" i="158"/>
  <c r="K108" i="158"/>
  <c r="J108" i="158"/>
  <c r="I108" i="158"/>
  <c r="G108" i="158"/>
  <c r="F108" i="158"/>
  <c r="E108" i="158"/>
  <c r="D108" i="158"/>
  <c r="C108" i="158"/>
  <c r="B108" i="158"/>
  <c r="A108" i="158"/>
  <c r="Q107" i="158"/>
  <c r="P107" i="158"/>
  <c r="N107" i="158"/>
  <c r="M107" i="158"/>
  <c r="L107" i="158"/>
  <c r="K107" i="158"/>
  <c r="J107" i="158"/>
  <c r="I107" i="158"/>
  <c r="G107" i="158"/>
  <c r="F107" i="158"/>
  <c r="E107" i="158"/>
  <c r="D107" i="158"/>
  <c r="C107" i="158"/>
  <c r="B107" i="158"/>
  <c r="A107" i="158"/>
  <c r="Q106" i="158"/>
  <c r="P106" i="158"/>
  <c r="N106" i="158"/>
  <c r="M106" i="158"/>
  <c r="L106" i="158"/>
  <c r="K106" i="158"/>
  <c r="J106" i="158"/>
  <c r="I106" i="158"/>
  <c r="G106" i="158"/>
  <c r="F106" i="158"/>
  <c r="E106" i="158"/>
  <c r="D106" i="158"/>
  <c r="C106" i="158"/>
  <c r="B106" i="158"/>
  <c r="A106" i="158"/>
  <c r="Q105" i="158"/>
  <c r="P105" i="158"/>
  <c r="N105" i="158"/>
  <c r="M105" i="158"/>
  <c r="L105" i="158"/>
  <c r="K105" i="158"/>
  <c r="J105" i="158"/>
  <c r="I105" i="158"/>
  <c r="G105" i="158"/>
  <c r="F105" i="158"/>
  <c r="E105" i="158"/>
  <c r="D105" i="158"/>
  <c r="C105" i="158"/>
  <c r="B105" i="158"/>
  <c r="A105" i="158"/>
  <c r="Q104" i="158"/>
  <c r="N104" i="158"/>
  <c r="M104" i="158"/>
  <c r="L104" i="158"/>
  <c r="K104" i="158"/>
  <c r="J104" i="158"/>
  <c r="I104" i="158"/>
  <c r="G104" i="158"/>
  <c r="F104" i="158"/>
  <c r="E104" i="158"/>
  <c r="D104" i="158"/>
  <c r="C104" i="158"/>
  <c r="B104" i="158"/>
  <c r="A104" i="158"/>
  <c r="Q103" i="158"/>
  <c r="P103" i="158"/>
  <c r="N103" i="158"/>
  <c r="M103" i="158"/>
  <c r="L103" i="158"/>
  <c r="K103" i="158"/>
  <c r="J103" i="158"/>
  <c r="I103" i="158"/>
  <c r="G103" i="158"/>
  <c r="F103" i="158"/>
  <c r="E103" i="158"/>
  <c r="D103" i="158"/>
  <c r="C103" i="158"/>
  <c r="B103" i="158"/>
  <c r="A103" i="158"/>
  <c r="Q102" i="158"/>
  <c r="P102" i="158"/>
  <c r="N102" i="158"/>
  <c r="M102" i="158"/>
  <c r="L102" i="158"/>
  <c r="K102" i="158"/>
  <c r="J102" i="158"/>
  <c r="I102" i="158"/>
  <c r="G102" i="158"/>
  <c r="F102" i="158"/>
  <c r="E102" i="158"/>
  <c r="D102" i="158"/>
  <c r="C102" i="158"/>
  <c r="B102" i="158"/>
  <c r="A102" i="158"/>
  <c r="Q101" i="158"/>
  <c r="N101" i="158"/>
  <c r="M101" i="158"/>
  <c r="L101" i="158"/>
  <c r="K101" i="158"/>
  <c r="J101" i="158"/>
  <c r="I101" i="158"/>
  <c r="G101" i="158"/>
  <c r="F101" i="158"/>
  <c r="E101" i="158"/>
  <c r="D101" i="158"/>
  <c r="C101" i="158"/>
  <c r="B101" i="158"/>
  <c r="A101" i="158"/>
  <c r="Q100" i="158"/>
  <c r="P100" i="158"/>
  <c r="N100" i="158"/>
  <c r="M100" i="158"/>
  <c r="L100" i="158"/>
  <c r="K100" i="158"/>
  <c r="J100" i="158"/>
  <c r="I100" i="158"/>
  <c r="G100" i="158"/>
  <c r="F100" i="158"/>
  <c r="E100" i="158"/>
  <c r="D100" i="158"/>
  <c r="C100" i="158"/>
  <c r="B100" i="158"/>
  <c r="A100" i="158"/>
  <c r="Q99" i="158"/>
  <c r="P99" i="158"/>
  <c r="N99" i="158"/>
  <c r="M99" i="158"/>
  <c r="L99" i="158"/>
  <c r="K99" i="158"/>
  <c r="J99" i="158"/>
  <c r="I99" i="158"/>
  <c r="G99" i="158"/>
  <c r="F99" i="158"/>
  <c r="E99" i="158"/>
  <c r="D99" i="158"/>
  <c r="C99" i="158"/>
  <c r="B99" i="158"/>
  <c r="A99" i="158"/>
  <c r="Q98" i="158"/>
  <c r="N98" i="158"/>
  <c r="M98" i="158"/>
  <c r="L98" i="158"/>
  <c r="K98" i="158"/>
  <c r="J98" i="158"/>
  <c r="I98" i="158"/>
  <c r="G98" i="158"/>
  <c r="F98" i="158"/>
  <c r="E98" i="158"/>
  <c r="D98" i="158"/>
  <c r="C98" i="158"/>
  <c r="B98" i="158"/>
  <c r="A98" i="158"/>
  <c r="Q97" i="158"/>
  <c r="P97" i="158"/>
  <c r="N97" i="158"/>
  <c r="M97" i="158"/>
  <c r="L97" i="158"/>
  <c r="K97" i="158"/>
  <c r="J97" i="158"/>
  <c r="I97" i="158"/>
  <c r="G97" i="158"/>
  <c r="F97" i="158"/>
  <c r="E97" i="158"/>
  <c r="D97" i="158"/>
  <c r="C97" i="158"/>
  <c r="B97" i="158"/>
  <c r="A97" i="158"/>
  <c r="Q96" i="158"/>
  <c r="N96" i="158"/>
  <c r="M96" i="158"/>
  <c r="L96" i="158"/>
  <c r="K96" i="158"/>
  <c r="J96" i="158"/>
  <c r="I96" i="158"/>
  <c r="G96" i="158"/>
  <c r="F96" i="158"/>
  <c r="E96" i="158"/>
  <c r="D96" i="158"/>
  <c r="C96" i="158"/>
  <c r="B96" i="158"/>
  <c r="A96" i="158"/>
  <c r="Q95" i="158"/>
  <c r="P95" i="158"/>
  <c r="N95" i="158"/>
  <c r="M95" i="158"/>
  <c r="L95" i="158"/>
  <c r="K95" i="158"/>
  <c r="J95" i="158"/>
  <c r="I95" i="158"/>
  <c r="G95" i="158"/>
  <c r="F95" i="158"/>
  <c r="E95" i="158"/>
  <c r="D95" i="158"/>
  <c r="C95" i="158"/>
  <c r="B95" i="158"/>
  <c r="A95" i="158"/>
  <c r="Q94" i="158"/>
  <c r="P94" i="158"/>
  <c r="N94" i="158"/>
  <c r="M94" i="158"/>
  <c r="L94" i="158"/>
  <c r="K94" i="158"/>
  <c r="J94" i="158"/>
  <c r="I94" i="158"/>
  <c r="G94" i="158"/>
  <c r="F94" i="158"/>
  <c r="E94" i="158"/>
  <c r="D94" i="158"/>
  <c r="C94" i="158"/>
  <c r="B94" i="158"/>
  <c r="A94" i="158"/>
  <c r="Q93" i="158"/>
  <c r="N93" i="158"/>
  <c r="M93" i="158"/>
  <c r="L93" i="158"/>
  <c r="K93" i="158"/>
  <c r="J93" i="158"/>
  <c r="I93" i="158"/>
  <c r="G93" i="158"/>
  <c r="F93" i="158"/>
  <c r="E93" i="158"/>
  <c r="D93" i="158"/>
  <c r="C93" i="158"/>
  <c r="B93" i="158"/>
  <c r="A93" i="158"/>
  <c r="Q92" i="158"/>
  <c r="P92" i="158"/>
  <c r="N92" i="158"/>
  <c r="M92" i="158"/>
  <c r="L92" i="158"/>
  <c r="K92" i="158"/>
  <c r="J92" i="158"/>
  <c r="I92" i="158"/>
  <c r="G92" i="158"/>
  <c r="F92" i="158"/>
  <c r="E92" i="158"/>
  <c r="D92" i="158"/>
  <c r="C92" i="158"/>
  <c r="B92" i="158"/>
  <c r="A92" i="158"/>
  <c r="Q91" i="158"/>
  <c r="N91" i="158"/>
  <c r="M91" i="158"/>
  <c r="L91" i="158"/>
  <c r="K91" i="158"/>
  <c r="J91" i="158"/>
  <c r="I91" i="158"/>
  <c r="G91" i="158"/>
  <c r="F91" i="158"/>
  <c r="E91" i="158"/>
  <c r="D91" i="158"/>
  <c r="C91" i="158"/>
  <c r="B91" i="158"/>
  <c r="A91" i="158"/>
  <c r="Q90" i="158"/>
  <c r="P90" i="158"/>
  <c r="N90" i="158"/>
  <c r="M90" i="158"/>
  <c r="L90" i="158"/>
  <c r="K90" i="158"/>
  <c r="J90" i="158"/>
  <c r="I90" i="158"/>
  <c r="G90" i="158"/>
  <c r="F90" i="158"/>
  <c r="E90" i="158"/>
  <c r="D90" i="158"/>
  <c r="C90" i="158"/>
  <c r="B90" i="158"/>
  <c r="A90" i="158"/>
  <c r="Q89" i="158"/>
  <c r="P89" i="158"/>
  <c r="N89" i="158"/>
  <c r="M89" i="158"/>
  <c r="L89" i="158"/>
  <c r="K89" i="158"/>
  <c r="J89" i="158"/>
  <c r="I89" i="158"/>
  <c r="G89" i="158"/>
  <c r="F89" i="158"/>
  <c r="E89" i="158"/>
  <c r="D89" i="158"/>
  <c r="C89" i="158"/>
  <c r="B89" i="158"/>
  <c r="A89" i="158"/>
  <c r="Q88" i="158"/>
  <c r="N88" i="158"/>
  <c r="M88" i="158"/>
  <c r="L88" i="158"/>
  <c r="K88" i="158"/>
  <c r="J88" i="158"/>
  <c r="I88" i="158"/>
  <c r="G88" i="158"/>
  <c r="F88" i="158"/>
  <c r="E88" i="158"/>
  <c r="D88" i="158"/>
  <c r="C88" i="158"/>
  <c r="B88" i="158"/>
  <c r="A88" i="158"/>
  <c r="Q87" i="158"/>
  <c r="P87" i="158"/>
  <c r="N87" i="158"/>
  <c r="M87" i="158"/>
  <c r="L87" i="158"/>
  <c r="K87" i="158"/>
  <c r="J87" i="158"/>
  <c r="I87" i="158"/>
  <c r="G87" i="158"/>
  <c r="F87" i="158"/>
  <c r="E87" i="158"/>
  <c r="D87" i="158"/>
  <c r="C87" i="158"/>
  <c r="B87" i="158"/>
  <c r="A87" i="158"/>
  <c r="Q86" i="158"/>
  <c r="P86" i="158"/>
  <c r="N86" i="158"/>
  <c r="M86" i="158"/>
  <c r="L86" i="158"/>
  <c r="K86" i="158"/>
  <c r="J86" i="158"/>
  <c r="I86" i="158"/>
  <c r="G86" i="158"/>
  <c r="F86" i="158"/>
  <c r="E86" i="158"/>
  <c r="D86" i="158"/>
  <c r="C86" i="158"/>
  <c r="B86" i="158"/>
  <c r="A86" i="158"/>
  <c r="Q85" i="158"/>
  <c r="N85" i="158"/>
  <c r="M85" i="158"/>
  <c r="L85" i="158"/>
  <c r="K85" i="158"/>
  <c r="J85" i="158"/>
  <c r="I85" i="158"/>
  <c r="G85" i="158"/>
  <c r="F85" i="158"/>
  <c r="E85" i="158"/>
  <c r="D85" i="158"/>
  <c r="C85" i="158"/>
  <c r="B85" i="158"/>
  <c r="A85" i="158"/>
  <c r="Q84" i="158"/>
  <c r="P84" i="158"/>
  <c r="N84" i="158"/>
  <c r="M84" i="158"/>
  <c r="L84" i="158"/>
  <c r="K84" i="158"/>
  <c r="J84" i="158"/>
  <c r="I84" i="158"/>
  <c r="G84" i="158"/>
  <c r="F84" i="158"/>
  <c r="E84" i="158"/>
  <c r="D84" i="158"/>
  <c r="C84" i="158"/>
  <c r="B84" i="158"/>
  <c r="A84" i="158"/>
  <c r="Q83" i="158"/>
  <c r="P83" i="158"/>
  <c r="N83" i="158"/>
  <c r="M83" i="158"/>
  <c r="L83" i="158"/>
  <c r="K83" i="158"/>
  <c r="J83" i="158"/>
  <c r="I83" i="158"/>
  <c r="G83" i="158"/>
  <c r="F83" i="158"/>
  <c r="E83" i="158"/>
  <c r="D83" i="158"/>
  <c r="C83" i="158"/>
  <c r="B83" i="158"/>
  <c r="A83" i="158"/>
  <c r="Q82" i="158"/>
  <c r="N82" i="158"/>
  <c r="M82" i="158"/>
  <c r="L82" i="158"/>
  <c r="K82" i="158"/>
  <c r="J82" i="158"/>
  <c r="I82" i="158"/>
  <c r="G82" i="158"/>
  <c r="F82" i="158"/>
  <c r="E82" i="158"/>
  <c r="D82" i="158"/>
  <c r="C82" i="158"/>
  <c r="B82" i="158"/>
  <c r="A82" i="158"/>
  <c r="Q81" i="158"/>
  <c r="P81" i="158"/>
  <c r="N81" i="158"/>
  <c r="M81" i="158"/>
  <c r="L81" i="158"/>
  <c r="K81" i="158"/>
  <c r="J81" i="158"/>
  <c r="I81" i="158"/>
  <c r="G81" i="158"/>
  <c r="F81" i="158"/>
  <c r="E81" i="158"/>
  <c r="D81" i="158"/>
  <c r="C81" i="158"/>
  <c r="B81" i="158"/>
  <c r="A81" i="158"/>
  <c r="Q80" i="158"/>
  <c r="P80" i="158"/>
  <c r="N80" i="158"/>
  <c r="M80" i="158"/>
  <c r="L80" i="158"/>
  <c r="K80" i="158"/>
  <c r="J80" i="158"/>
  <c r="I80" i="158"/>
  <c r="G80" i="158"/>
  <c r="F80" i="158"/>
  <c r="E80" i="158"/>
  <c r="D80" i="158"/>
  <c r="C80" i="158"/>
  <c r="B80" i="158"/>
  <c r="A80" i="158"/>
  <c r="Q79" i="158"/>
  <c r="P79" i="158"/>
  <c r="N79" i="158"/>
  <c r="M79" i="158"/>
  <c r="L79" i="158"/>
  <c r="K79" i="158"/>
  <c r="J79" i="158"/>
  <c r="I79" i="158"/>
  <c r="G79" i="158"/>
  <c r="F79" i="158"/>
  <c r="E79" i="158"/>
  <c r="D79" i="158"/>
  <c r="C79" i="158"/>
  <c r="B79" i="158"/>
  <c r="A79" i="158"/>
  <c r="Q78" i="158"/>
  <c r="P78" i="158"/>
  <c r="N78" i="158"/>
  <c r="M78" i="158"/>
  <c r="L78" i="158"/>
  <c r="K78" i="158"/>
  <c r="J78" i="158"/>
  <c r="I78" i="158"/>
  <c r="G78" i="158"/>
  <c r="F78" i="158"/>
  <c r="E78" i="158"/>
  <c r="D78" i="158"/>
  <c r="C78" i="158"/>
  <c r="B78" i="158"/>
  <c r="A78" i="158"/>
  <c r="Q77" i="158"/>
  <c r="P77" i="158"/>
  <c r="N77" i="158"/>
  <c r="M77" i="158"/>
  <c r="L77" i="158"/>
  <c r="K77" i="158"/>
  <c r="J77" i="158"/>
  <c r="I77" i="158"/>
  <c r="G77" i="158"/>
  <c r="F77" i="158"/>
  <c r="E77" i="158"/>
  <c r="D77" i="158"/>
  <c r="C77" i="158"/>
  <c r="B77" i="158"/>
  <c r="A77" i="158"/>
  <c r="Q76" i="158"/>
  <c r="P76" i="158"/>
  <c r="N76" i="158"/>
  <c r="M76" i="158"/>
  <c r="L76" i="158"/>
  <c r="K76" i="158"/>
  <c r="J76" i="158"/>
  <c r="I76" i="158"/>
  <c r="G76" i="158"/>
  <c r="F76" i="158"/>
  <c r="E76" i="158"/>
  <c r="D76" i="158"/>
  <c r="C76" i="158"/>
  <c r="B76" i="158"/>
  <c r="A76" i="158"/>
  <c r="Q75" i="158"/>
  <c r="P75" i="158"/>
  <c r="N75" i="158"/>
  <c r="M75" i="158"/>
  <c r="L75" i="158"/>
  <c r="K75" i="158"/>
  <c r="J75" i="158"/>
  <c r="I75" i="158"/>
  <c r="G75" i="158"/>
  <c r="F75" i="158"/>
  <c r="E75" i="158"/>
  <c r="D75" i="158"/>
  <c r="C75" i="158"/>
  <c r="B75" i="158"/>
  <c r="A75" i="158"/>
  <c r="Q74" i="158"/>
  <c r="N74" i="158"/>
  <c r="M74" i="158"/>
  <c r="L74" i="158"/>
  <c r="K74" i="158"/>
  <c r="J74" i="158"/>
  <c r="I74" i="158"/>
  <c r="G74" i="158"/>
  <c r="F74" i="158"/>
  <c r="E74" i="158"/>
  <c r="D74" i="158"/>
  <c r="C74" i="158"/>
  <c r="B74" i="158"/>
  <c r="A74" i="158"/>
  <c r="Q73" i="158"/>
  <c r="P73" i="158"/>
  <c r="N73" i="158"/>
  <c r="M73" i="158"/>
  <c r="L73" i="158"/>
  <c r="K73" i="158"/>
  <c r="J73" i="158"/>
  <c r="I73" i="158"/>
  <c r="G73" i="158"/>
  <c r="F73" i="158"/>
  <c r="E73" i="158"/>
  <c r="D73" i="158"/>
  <c r="C73" i="158"/>
  <c r="B73" i="158"/>
  <c r="A73" i="158"/>
  <c r="Q72" i="158"/>
  <c r="P72" i="158"/>
  <c r="N72" i="158"/>
  <c r="M72" i="158"/>
  <c r="L72" i="158"/>
  <c r="K72" i="158"/>
  <c r="J72" i="158"/>
  <c r="I72" i="158"/>
  <c r="G72" i="158"/>
  <c r="F72" i="158"/>
  <c r="E72" i="158"/>
  <c r="D72" i="158"/>
  <c r="C72" i="158"/>
  <c r="B72" i="158"/>
  <c r="A72" i="158"/>
  <c r="Q71" i="158"/>
  <c r="N71" i="158"/>
  <c r="M71" i="158"/>
  <c r="L71" i="158"/>
  <c r="K71" i="158"/>
  <c r="J71" i="158"/>
  <c r="I71" i="158"/>
  <c r="G71" i="158"/>
  <c r="F71" i="158"/>
  <c r="E71" i="158"/>
  <c r="D71" i="158"/>
  <c r="C71" i="158"/>
  <c r="B71" i="158"/>
  <c r="A71" i="158"/>
  <c r="Q70" i="158"/>
  <c r="P70" i="158"/>
  <c r="N70" i="158"/>
  <c r="M70" i="158"/>
  <c r="L70" i="158"/>
  <c r="K70" i="158"/>
  <c r="J70" i="158"/>
  <c r="I70" i="158"/>
  <c r="G70" i="158"/>
  <c r="F70" i="158"/>
  <c r="E70" i="158"/>
  <c r="D70" i="158"/>
  <c r="C70" i="158"/>
  <c r="B70" i="158"/>
  <c r="A70" i="158"/>
  <c r="Q69" i="158"/>
  <c r="P69" i="158"/>
  <c r="N69" i="158"/>
  <c r="M69" i="158"/>
  <c r="L69" i="158"/>
  <c r="K69" i="158"/>
  <c r="J69" i="158"/>
  <c r="I69" i="158"/>
  <c r="G69" i="158"/>
  <c r="F69" i="158"/>
  <c r="E69" i="158"/>
  <c r="D69" i="158"/>
  <c r="C69" i="158"/>
  <c r="B69" i="158"/>
  <c r="A69" i="158"/>
  <c r="Q68" i="158"/>
  <c r="P68" i="158"/>
  <c r="N68" i="158"/>
  <c r="M68" i="158"/>
  <c r="L68" i="158"/>
  <c r="K68" i="158"/>
  <c r="J68" i="158"/>
  <c r="I68" i="158"/>
  <c r="G68" i="158"/>
  <c r="F68" i="158"/>
  <c r="E68" i="158"/>
  <c r="D68" i="158"/>
  <c r="C68" i="158"/>
  <c r="B68" i="158"/>
  <c r="A68" i="158"/>
  <c r="Q67" i="158"/>
  <c r="P67" i="158"/>
  <c r="N67" i="158"/>
  <c r="M67" i="158"/>
  <c r="L67" i="158"/>
  <c r="K67" i="158"/>
  <c r="J67" i="158"/>
  <c r="I67" i="158"/>
  <c r="G67" i="158"/>
  <c r="F67" i="158"/>
  <c r="E67" i="158"/>
  <c r="D67" i="158"/>
  <c r="C67" i="158"/>
  <c r="B67" i="158"/>
  <c r="A67" i="158"/>
  <c r="Q66" i="158"/>
  <c r="P66" i="158"/>
  <c r="N66" i="158"/>
  <c r="M66" i="158"/>
  <c r="L66" i="158"/>
  <c r="K66" i="158"/>
  <c r="J66" i="158"/>
  <c r="I66" i="158"/>
  <c r="G66" i="158"/>
  <c r="F66" i="158"/>
  <c r="E66" i="158"/>
  <c r="D66" i="158"/>
  <c r="C66" i="158"/>
  <c r="B66" i="158"/>
  <c r="A66" i="158"/>
  <c r="Q65" i="158"/>
  <c r="P65" i="158"/>
  <c r="N65" i="158"/>
  <c r="M65" i="158"/>
  <c r="L65" i="158"/>
  <c r="K65" i="158"/>
  <c r="J65" i="158"/>
  <c r="I65" i="158"/>
  <c r="G65" i="158"/>
  <c r="F65" i="158"/>
  <c r="E65" i="158"/>
  <c r="D65" i="158"/>
  <c r="C65" i="158"/>
  <c r="B65" i="158"/>
  <c r="A65" i="158"/>
  <c r="Q64" i="158"/>
  <c r="N64" i="158"/>
  <c r="M64" i="158"/>
  <c r="L64" i="158"/>
  <c r="K64" i="158"/>
  <c r="J64" i="158"/>
  <c r="I64" i="158"/>
  <c r="G64" i="158"/>
  <c r="F64" i="158"/>
  <c r="E64" i="158"/>
  <c r="D64" i="158"/>
  <c r="C64" i="158"/>
  <c r="B64" i="158"/>
  <c r="A64" i="158"/>
  <c r="Q63" i="158"/>
  <c r="P63" i="158"/>
  <c r="N63" i="158"/>
  <c r="M63" i="158"/>
  <c r="L63" i="158"/>
  <c r="K63" i="158"/>
  <c r="J63" i="158"/>
  <c r="I63" i="158"/>
  <c r="G63" i="158"/>
  <c r="F63" i="158"/>
  <c r="E63" i="158"/>
  <c r="D63" i="158"/>
  <c r="C63" i="158"/>
  <c r="B63" i="158"/>
  <c r="A63" i="158"/>
  <c r="Q62" i="158"/>
  <c r="P62" i="158"/>
  <c r="N62" i="158"/>
  <c r="M62" i="158"/>
  <c r="L62" i="158"/>
  <c r="K62" i="158"/>
  <c r="J62" i="158"/>
  <c r="I62" i="158"/>
  <c r="G62" i="158"/>
  <c r="F62" i="158"/>
  <c r="E62" i="158"/>
  <c r="D62" i="158"/>
  <c r="C62" i="158"/>
  <c r="B62" i="158"/>
  <c r="A62" i="158"/>
  <c r="Q61" i="158"/>
  <c r="P61" i="158"/>
  <c r="N61" i="158"/>
  <c r="M61" i="158"/>
  <c r="L61" i="158"/>
  <c r="K61" i="158"/>
  <c r="J61" i="158"/>
  <c r="I61" i="158"/>
  <c r="G61" i="158"/>
  <c r="F61" i="158"/>
  <c r="E61" i="158"/>
  <c r="D61" i="158"/>
  <c r="C61" i="158"/>
  <c r="B61" i="158"/>
  <c r="A61" i="158"/>
  <c r="Q60" i="158"/>
  <c r="P60" i="158"/>
  <c r="N60" i="158"/>
  <c r="M60" i="158"/>
  <c r="L60" i="158"/>
  <c r="K60" i="158"/>
  <c r="J60" i="158"/>
  <c r="I60" i="158"/>
  <c r="G60" i="158"/>
  <c r="F60" i="158"/>
  <c r="E60" i="158"/>
  <c r="D60" i="158"/>
  <c r="C60" i="158"/>
  <c r="B60" i="158"/>
  <c r="A60" i="158"/>
  <c r="Q59" i="158"/>
  <c r="P59" i="158"/>
  <c r="N59" i="158"/>
  <c r="M59" i="158"/>
  <c r="L59" i="158"/>
  <c r="K59" i="158"/>
  <c r="J59" i="158"/>
  <c r="I59" i="158"/>
  <c r="G59" i="158"/>
  <c r="F59" i="158"/>
  <c r="E59" i="158"/>
  <c r="D59" i="158"/>
  <c r="C59" i="158"/>
  <c r="B59" i="158"/>
  <c r="A59" i="158"/>
  <c r="Q58" i="158"/>
  <c r="P58" i="158"/>
  <c r="N58" i="158"/>
  <c r="M58" i="158"/>
  <c r="L58" i="158"/>
  <c r="K58" i="158"/>
  <c r="J58" i="158"/>
  <c r="I58" i="158"/>
  <c r="G58" i="158"/>
  <c r="F58" i="158"/>
  <c r="E58" i="158"/>
  <c r="D58" i="158"/>
  <c r="C58" i="158"/>
  <c r="B58" i="158"/>
  <c r="A58" i="158"/>
  <c r="Q57" i="158"/>
  <c r="N57" i="158"/>
  <c r="M57" i="158"/>
  <c r="L57" i="158"/>
  <c r="K57" i="158"/>
  <c r="J57" i="158"/>
  <c r="I57" i="158"/>
  <c r="G57" i="158"/>
  <c r="F57" i="158"/>
  <c r="E57" i="158"/>
  <c r="D57" i="158"/>
  <c r="C57" i="158"/>
  <c r="B57" i="158"/>
  <c r="A57" i="158"/>
  <c r="Q56" i="158"/>
  <c r="P56" i="158"/>
  <c r="N56" i="158"/>
  <c r="M56" i="158"/>
  <c r="L56" i="158"/>
  <c r="K56" i="158"/>
  <c r="J56" i="158"/>
  <c r="I56" i="158"/>
  <c r="G56" i="158"/>
  <c r="F56" i="158"/>
  <c r="E56" i="158"/>
  <c r="D56" i="158"/>
  <c r="C56" i="158"/>
  <c r="B56" i="158"/>
  <c r="A56" i="158"/>
  <c r="Q55" i="158"/>
  <c r="N55" i="158"/>
  <c r="M55" i="158"/>
  <c r="L55" i="158"/>
  <c r="K55" i="158"/>
  <c r="J55" i="158"/>
  <c r="I55" i="158"/>
  <c r="G55" i="158"/>
  <c r="F55" i="158"/>
  <c r="E55" i="158"/>
  <c r="D55" i="158"/>
  <c r="C55" i="158"/>
  <c r="B55" i="158"/>
  <c r="A55" i="158"/>
  <c r="Q54" i="158"/>
  <c r="P54" i="158"/>
  <c r="N54" i="158"/>
  <c r="M54" i="158"/>
  <c r="L54" i="158"/>
  <c r="K54" i="158"/>
  <c r="J54" i="158"/>
  <c r="I54" i="158"/>
  <c r="G54" i="158"/>
  <c r="F54" i="158"/>
  <c r="E54" i="158"/>
  <c r="D54" i="158"/>
  <c r="C54" i="158"/>
  <c r="B54" i="158"/>
  <c r="A54" i="158"/>
  <c r="Q53" i="158"/>
  <c r="N53" i="158"/>
  <c r="M53" i="158"/>
  <c r="L53" i="158"/>
  <c r="K53" i="158"/>
  <c r="J53" i="158"/>
  <c r="I53" i="158"/>
  <c r="G53" i="158"/>
  <c r="F53" i="158"/>
  <c r="E53" i="158"/>
  <c r="D53" i="158"/>
  <c r="C53" i="158"/>
  <c r="B53" i="158"/>
  <c r="A53" i="158"/>
  <c r="BA52" i="158"/>
  <c r="AZ52" i="158"/>
  <c r="Q52" i="158"/>
  <c r="P52" i="158"/>
  <c r="N52" i="158"/>
  <c r="M52" i="158"/>
  <c r="L52" i="158"/>
  <c r="K52" i="158"/>
  <c r="J52" i="158"/>
  <c r="I52" i="158"/>
  <c r="G52" i="158"/>
  <c r="F52" i="158"/>
  <c r="E52" i="158"/>
  <c r="D52" i="158"/>
  <c r="C52" i="158"/>
  <c r="B52" i="158"/>
  <c r="A52" i="158"/>
  <c r="BA51" i="158"/>
  <c r="AZ51" i="158"/>
  <c r="Q51" i="158"/>
  <c r="P51" i="158"/>
  <c r="N51" i="158"/>
  <c r="M51" i="158"/>
  <c r="L51" i="158"/>
  <c r="K51" i="158"/>
  <c r="J51" i="158"/>
  <c r="I51" i="158"/>
  <c r="G51" i="158"/>
  <c r="F51" i="158"/>
  <c r="E51" i="158"/>
  <c r="D51" i="158"/>
  <c r="C51" i="158"/>
  <c r="B51" i="158"/>
  <c r="A51" i="158"/>
  <c r="BA50" i="158"/>
  <c r="AZ50" i="158"/>
  <c r="Q50" i="158"/>
  <c r="P50" i="158"/>
  <c r="N50" i="158"/>
  <c r="M50" i="158"/>
  <c r="L50" i="158"/>
  <c r="K50" i="158"/>
  <c r="J50" i="158"/>
  <c r="I50" i="158"/>
  <c r="G50" i="158"/>
  <c r="F50" i="158"/>
  <c r="E50" i="158"/>
  <c r="D50" i="158"/>
  <c r="C50" i="158"/>
  <c r="B50" i="158"/>
  <c r="A50" i="158"/>
  <c r="BA49" i="158"/>
  <c r="AZ49" i="158"/>
  <c r="Q49" i="158"/>
  <c r="P49" i="158"/>
  <c r="N49" i="158"/>
  <c r="M49" i="158"/>
  <c r="L49" i="158"/>
  <c r="K49" i="158"/>
  <c r="J49" i="158"/>
  <c r="I49" i="158"/>
  <c r="G49" i="158"/>
  <c r="F49" i="158"/>
  <c r="E49" i="158"/>
  <c r="D49" i="158"/>
  <c r="C49" i="158"/>
  <c r="B49" i="158"/>
  <c r="A49" i="158"/>
  <c r="BA48" i="158"/>
  <c r="AZ48" i="158"/>
  <c r="Q48" i="158"/>
  <c r="P48" i="158"/>
  <c r="N48" i="158"/>
  <c r="M48" i="158"/>
  <c r="L48" i="158"/>
  <c r="K48" i="158"/>
  <c r="J48" i="158"/>
  <c r="I48" i="158"/>
  <c r="G48" i="158"/>
  <c r="F48" i="158"/>
  <c r="E48" i="158"/>
  <c r="D48" i="158"/>
  <c r="C48" i="158"/>
  <c r="B48" i="158"/>
  <c r="A48" i="158"/>
  <c r="BA47" i="158"/>
  <c r="AZ47" i="158"/>
  <c r="Q47" i="158"/>
  <c r="P47" i="158"/>
  <c r="N47" i="158"/>
  <c r="M47" i="158"/>
  <c r="L47" i="158"/>
  <c r="K47" i="158"/>
  <c r="J47" i="158"/>
  <c r="I47" i="158"/>
  <c r="G47" i="158"/>
  <c r="F47" i="158"/>
  <c r="E47" i="158"/>
  <c r="D47" i="158"/>
  <c r="C47" i="158"/>
  <c r="B47" i="158"/>
  <c r="A47" i="158"/>
  <c r="BA46" i="158"/>
  <c r="AZ46" i="158"/>
  <c r="Q46" i="158"/>
  <c r="P46" i="158"/>
  <c r="N46" i="158"/>
  <c r="M46" i="158"/>
  <c r="L46" i="158"/>
  <c r="K46" i="158"/>
  <c r="J46" i="158"/>
  <c r="I46" i="158"/>
  <c r="G46" i="158"/>
  <c r="F46" i="158"/>
  <c r="E46" i="158"/>
  <c r="D46" i="158"/>
  <c r="C46" i="158"/>
  <c r="B46" i="158"/>
  <c r="A46" i="158"/>
  <c r="Q45" i="158"/>
  <c r="P45" i="158"/>
  <c r="N45" i="158"/>
  <c r="M45" i="158"/>
  <c r="L45" i="158"/>
  <c r="K45" i="158"/>
  <c r="J45" i="158"/>
  <c r="I45" i="158"/>
  <c r="G45" i="158"/>
  <c r="F45" i="158"/>
  <c r="E45" i="158"/>
  <c r="D45" i="158"/>
  <c r="C45" i="158"/>
  <c r="B45" i="158"/>
  <c r="A45" i="158"/>
  <c r="Q44" i="158"/>
  <c r="N44" i="158"/>
  <c r="M44" i="158"/>
  <c r="L44" i="158"/>
  <c r="K44" i="158"/>
  <c r="J44" i="158"/>
  <c r="I44" i="158"/>
  <c r="G44" i="158"/>
  <c r="F44" i="158"/>
  <c r="E44" i="158"/>
  <c r="D44" i="158"/>
  <c r="C44" i="158"/>
  <c r="B44" i="158"/>
  <c r="A44" i="158"/>
  <c r="Q43" i="158"/>
  <c r="P43" i="158"/>
  <c r="N43" i="158"/>
  <c r="M43" i="158"/>
  <c r="L43" i="158"/>
  <c r="K43" i="158"/>
  <c r="J43" i="158"/>
  <c r="I43" i="158"/>
  <c r="G43" i="158"/>
  <c r="F43" i="158"/>
  <c r="E43" i="158"/>
  <c r="D43" i="158"/>
  <c r="C43" i="158"/>
  <c r="B43" i="158"/>
  <c r="A43" i="158"/>
  <c r="AW42" i="158"/>
  <c r="AV42" i="158"/>
  <c r="AU42" i="158"/>
  <c r="AT42" i="158"/>
  <c r="AQ42" i="158"/>
  <c r="AO42" i="158"/>
  <c r="AM42" i="158"/>
  <c r="AL42" i="158"/>
  <c r="Q42" i="158"/>
  <c r="P42" i="158"/>
  <c r="N42" i="158"/>
  <c r="M42" i="158"/>
  <c r="L42" i="158"/>
  <c r="K42" i="158"/>
  <c r="J42" i="158"/>
  <c r="I42" i="158"/>
  <c r="G42" i="158"/>
  <c r="F42" i="158"/>
  <c r="E42" i="158"/>
  <c r="D42" i="158"/>
  <c r="C42" i="158"/>
  <c r="B42" i="158"/>
  <c r="A42" i="158"/>
  <c r="AW41" i="158"/>
  <c r="Q41" i="158"/>
  <c r="N41" i="158"/>
  <c r="M41" i="158"/>
  <c r="L41" i="158"/>
  <c r="K41" i="158"/>
  <c r="J41" i="158"/>
  <c r="I41" i="158"/>
  <c r="G41" i="158"/>
  <c r="F41" i="158"/>
  <c r="E41" i="158"/>
  <c r="D41" i="158"/>
  <c r="C41" i="158"/>
  <c r="B41" i="158"/>
  <c r="A41" i="158"/>
  <c r="AW40" i="158"/>
  <c r="Q40" i="158"/>
  <c r="P40" i="158"/>
  <c r="N40" i="158"/>
  <c r="M40" i="158"/>
  <c r="L40" i="158"/>
  <c r="K40" i="158"/>
  <c r="J40" i="158"/>
  <c r="I40" i="158"/>
  <c r="G40" i="158"/>
  <c r="F40" i="158"/>
  <c r="E40" i="158"/>
  <c r="D40" i="158"/>
  <c r="C40" i="158"/>
  <c r="B40" i="158"/>
  <c r="A40" i="158"/>
  <c r="AW39" i="158"/>
  <c r="Q39" i="158"/>
  <c r="P39" i="158"/>
  <c r="N39" i="158"/>
  <c r="M39" i="158"/>
  <c r="L39" i="158"/>
  <c r="K39" i="158"/>
  <c r="J39" i="158"/>
  <c r="I39" i="158"/>
  <c r="G39" i="158"/>
  <c r="F39" i="158"/>
  <c r="E39" i="158"/>
  <c r="D39" i="158"/>
  <c r="C39" i="158"/>
  <c r="B39" i="158"/>
  <c r="A39" i="158"/>
  <c r="AW38" i="158"/>
  <c r="Q38" i="158"/>
  <c r="P38" i="158"/>
  <c r="N38" i="158"/>
  <c r="M38" i="158"/>
  <c r="L38" i="158"/>
  <c r="K38" i="158"/>
  <c r="J38" i="158"/>
  <c r="I38" i="158"/>
  <c r="G38" i="158"/>
  <c r="F38" i="158"/>
  <c r="E38" i="158"/>
  <c r="D38" i="158"/>
  <c r="C38" i="158"/>
  <c r="B38" i="158"/>
  <c r="A38" i="158"/>
  <c r="AW37" i="158"/>
  <c r="Q37" i="158"/>
  <c r="P37" i="158"/>
  <c r="N37" i="158"/>
  <c r="M37" i="158"/>
  <c r="L37" i="158"/>
  <c r="K37" i="158"/>
  <c r="J37" i="158"/>
  <c r="I37" i="158"/>
  <c r="G37" i="158"/>
  <c r="F37" i="158"/>
  <c r="E37" i="158"/>
  <c r="D37" i="158"/>
  <c r="C37" i="158"/>
  <c r="B37" i="158"/>
  <c r="A37" i="158"/>
  <c r="AW36" i="158"/>
  <c r="Q36" i="158"/>
  <c r="P36" i="158"/>
  <c r="N36" i="158"/>
  <c r="M36" i="158"/>
  <c r="L36" i="158"/>
  <c r="K36" i="158"/>
  <c r="J36" i="158"/>
  <c r="I36" i="158"/>
  <c r="G36" i="158"/>
  <c r="F36" i="158"/>
  <c r="E36" i="158"/>
  <c r="D36" i="158"/>
  <c r="C36" i="158"/>
  <c r="B36" i="158"/>
  <c r="A36" i="158"/>
  <c r="AW35" i="158"/>
  <c r="Q35" i="158"/>
  <c r="P35" i="158"/>
  <c r="N35" i="158"/>
  <c r="M35" i="158"/>
  <c r="L35" i="158"/>
  <c r="K35" i="158"/>
  <c r="J35" i="158"/>
  <c r="I35" i="158"/>
  <c r="G35" i="158"/>
  <c r="F35" i="158"/>
  <c r="E35" i="158"/>
  <c r="D35" i="158"/>
  <c r="C35" i="158"/>
  <c r="B35" i="158"/>
  <c r="A35" i="158"/>
  <c r="AW34" i="158"/>
  <c r="Q34" i="158"/>
  <c r="P34" i="158"/>
  <c r="N34" i="158"/>
  <c r="M34" i="158"/>
  <c r="L34" i="158"/>
  <c r="K34" i="158"/>
  <c r="J34" i="158"/>
  <c r="I34" i="158"/>
  <c r="G34" i="158"/>
  <c r="F34" i="158"/>
  <c r="E34" i="158"/>
  <c r="D34" i="158"/>
  <c r="C34" i="158"/>
  <c r="B34" i="158"/>
  <c r="A34" i="158"/>
  <c r="AW33" i="158"/>
  <c r="Q33" i="158"/>
  <c r="P33" i="158"/>
  <c r="N33" i="158"/>
  <c r="M33" i="158"/>
  <c r="L33" i="158"/>
  <c r="K33" i="158"/>
  <c r="J33" i="158"/>
  <c r="I33" i="158"/>
  <c r="G33" i="158"/>
  <c r="F33" i="158"/>
  <c r="E33" i="158"/>
  <c r="D33" i="158"/>
  <c r="C33" i="158"/>
  <c r="B33" i="158"/>
  <c r="A33" i="158"/>
  <c r="AW32" i="158"/>
  <c r="Q32" i="158"/>
  <c r="P32" i="158"/>
  <c r="N32" i="158"/>
  <c r="M32" i="158"/>
  <c r="L32" i="158"/>
  <c r="K32" i="158"/>
  <c r="J32" i="158"/>
  <c r="I32" i="158"/>
  <c r="G32" i="158"/>
  <c r="F32" i="158"/>
  <c r="E32" i="158"/>
  <c r="D32" i="158"/>
  <c r="C32" i="158"/>
  <c r="B32" i="158"/>
  <c r="A32" i="158"/>
  <c r="AW31" i="158"/>
  <c r="Q31" i="158"/>
  <c r="P31" i="158"/>
  <c r="N31" i="158"/>
  <c r="M31" i="158"/>
  <c r="L31" i="158"/>
  <c r="K31" i="158"/>
  <c r="J31" i="158"/>
  <c r="I31" i="158"/>
  <c r="G31" i="158"/>
  <c r="F31" i="158"/>
  <c r="E31" i="158"/>
  <c r="D31" i="158"/>
  <c r="C31" i="158"/>
  <c r="B31" i="158"/>
  <c r="A31" i="158"/>
  <c r="AW30" i="158"/>
  <c r="Q30" i="158"/>
  <c r="P30" i="158"/>
  <c r="N30" i="158"/>
  <c r="M30" i="158"/>
  <c r="L30" i="158"/>
  <c r="K30" i="158"/>
  <c r="J30" i="158"/>
  <c r="I30" i="158"/>
  <c r="G30" i="158"/>
  <c r="F30" i="158"/>
  <c r="E30" i="158"/>
  <c r="D30" i="158"/>
  <c r="C30" i="158"/>
  <c r="B30" i="158"/>
  <c r="A30" i="158"/>
  <c r="AW29" i="158"/>
  <c r="Q29" i="158"/>
  <c r="P29" i="158"/>
  <c r="N29" i="158"/>
  <c r="M29" i="158"/>
  <c r="L29" i="158"/>
  <c r="K29" i="158"/>
  <c r="J29" i="158"/>
  <c r="I29" i="158"/>
  <c r="G29" i="158"/>
  <c r="F29" i="158"/>
  <c r="E29" i="158"/>
  <c r="D29" i="158"/>
  <c r="C29" i="158"/>
  <c r="B29" i="158"/>
  <c r="A29" i="158"/>
  <c r="BF28" i="158"/>
  <c r="BD28" i="158"/>
  <c r="AZ28" i="158"/>
  <c r="AW28" i="158"/>
  <c r="Q28" i="158"/>
  <c r="P28" i="158"/>
  <c r="N28" i="158"/>
  <c r="M28" i="158"/>
  <c r="L28" i="158"/>
  <c r="K28" i="158"/>
  <c r="J28" i="158"/>
  <c r="I28" i="158"/>
  <c r="G28" i="158"/>
  <c r="F28" i="158"/>
  <c r="E28" i="158"/>
  <c r="D28" i="158"/>
  <c r="C28" i="158"/>
  <c r="B28" i="158"/>
  <c r="A28" i="158"/>
  <c r="BD27" i="158"/>
  <c r="BC27" i="158"/>
  <c r="AW27" i="158"/>
  <c r="Q27" i="158"/>
  <c r="P27" i="158"/>
  <c r="N27" i="158"/>
  <c r="M27" i="158"/>
  <c r="L27" i="158"/>
  <c r="K27" i="158"/>
  <c r="J27" i="158"/>
  <c r="I27" i="158"/>
  <c r="G27" i="158"/>
  <c r="F27" i="158"/>
  <c r="E27" i="158"/>
  <c r="D27" i="158"/>
  <c r="C27" i="158"/>
  <c r="B27" i="158"/>
  <c r="A27" i="158"/>
  <c r="BD26" i="158"/>
  <c r="BC26" i="158"/>
  <c r="AW26" i="158"/>
  <c r="Q26" i="158"/>
  <c r="P26" i="158"/>
  <c r="N26" i="158"/>
  <c r="M26" i="158"/>
  <c r="L26" i="158"/>
  <c r="K26" i="158"/>
  <c r="J26" i="158"/>
  <c r="I26" i="158"/>
  <c r="G26" i="158"/>
  <c r="F26" i="158"/>
  <c r="E26" i="158"/>
  <c r="D26" i="158"/>
  <c r="C26" i="158"/>
  <c r="B26" i="158"/>
  <c r="A26" i="158"/>
  <c r="BD25" i="158"/>
  <c r="BC25" i="158"/>
  <c r="AW25" i="158"/>
  <c r="Q25" i="158"/>
  <c r="N25" i="158"/>
  <c r="M25" i="158"/>
  <c r="L25" i="158"/>
  <c r="K25" i="158"/>
  <c r="J25" i="158"/>
  <c r="I25" i="158"/>
  <c r="G25" i="158"/>
  <c r="F25" i="158"/>
  <c r="E25" i="158"/>
  <c r="D25" i="158"/>
  <c r="C25" i="158"/>
  <c r="B25" i="158"/>
  <c r="A25" i="158"/>
  <c r="BD24" i="158"/>
  <c r="BC24" i="158"/>
  <c r="AW24" i="158"/>
  <c r="Q24" i="158"/>
  <c r="P24" i="158"/>
  <c r="N24" i="158"/>
  <c r="M24" i="158"/>
  <c r="L24" i="158"/>
  <c r="K24" i="158"/>
  <c r="J24" i="158"/>
  <c r="I24" i="158"/>
  <c r="G24" i="158"/>
  <c r="F24" i="158"/>
  <c r="E24" i="158"/>
  <c r="D24" i="158"/>
  <c r="C24" i="158"/>
  <c r="B24" i="158"/>
  <c r="A24" i="158"/>
  <c r="BD23" i="158"/>
  <c r="BC23" i="158"/>
  <c r="AW23" i="158"/>
  <c r="AV23" i="158"/>
  <c r="AU23" i="158"/>
  <c r="AT23" i="158"/>
  <c r="AS23" i="158"/>
  <c r="AR23" i="158"/>
  <c r="AQ23" i="158"/>
  <c r="AP23" i="158"/>
  <c r="AO23" i="158"/>
  <c r="AN23" i="158"/>
  <c r="AM23" i="158"/>
  <c r="AL23" i="158"/>
  <c r="Q23" i="158"/>
  <c r="P23" i="158"/>
  <c r="N23" i="158"/>
  <c r="M23" i="158"/>
  <c r="L23" i="158"/>
  <c r="K23" i="158"/>
  <c r="J23" i="158"/>
  <c r="I23" i="158"/>
  <c r="G23" i="158"/>
  <c r="F23" i="158"/>
  <c r="E23" i="158"/>
  <c r="D23" i="158"/>
  <c r="C23" i="158"/>
  <c r="B23" i="158"/>
  <c r="A23" i="158"/>
  <c r="BD22" i="158"/>
  <c r="BC22" i="158"/>
  <c r="AW22" i="158"/>
  <c r="AA22" i="158"/>
  <c r="Y22" i="158"/>
  <c r="Q22" i="158"/>
  <c r="P22" i="158"/>
  <c r="N22" i="158"/>
  <c r="M22" i="158"/>
  <c r="L22" i="158"/>
  <c r="K22" i="158"/>
  <c r="J22" i="158"/>
  <c r="I22" i="158"/>
  <c r="G22" i="158"/>
  <c r="F22" i="158"/>
  <c r="E22" i="158"/>
  <c r="D22" i="158"/>
  <c r="C22" i="158"/>
  <c r="B22" i="158"/>
  <c r="A22" i="158"/>
  <c r="BD21" i="158"/>
  <c r="BC21" i="158"/>
  <c r="AW21" i="158"/>
  <c r="AC21" i="158"/>
  <c r="AA21" i="158"/>
  <c r="Y21" i="158"/>
  <c r="W21" i="158"/>
  <c r="V21" i="158"/>
  <c r="Q21" i="158"/>
  <c r="P21" i="158"/>
  <c r="N21" i="158"/>
  <c r="M21" i="158"/>
  <c r="L21" i="158"/>
  <c r="K21" i="158"/>
  <c r="J21" i="158"/>
  <c r="I21" i="158"/>
  <c r="G21" i="158"/>
  <c r="F21" i="158"/>
  <c r="E21" i="158"/>
  <c r="D21" i="158"/>
  <c r="C21" i="158"/>
  <c r="B21" i="158"/>
  <c r="A21" i="158"/>
  <c r="BD20" i="158"/>
  <c r="BC20" i="158"/>
  <c r="AW20" i="158"/>
  <c r="AC20" i="158"/>
  <c r="AA20" i="158"/>
  <c r="Y20" i="158"/>
  <c r="W20" i="158"/>
  <c r="V20" i="158"/>
  <c r="Q20" i="158"/>
  <c r="P20" i="158"/>
  <c r="N20" i="158"/>
  <c r="M20" i="158"/>
  <c r="L20" i="158"/>
  <c r="K20" i="158"/>
  <c r="J20" i="158"/>
  <c r="I20" i="158"/>
  <c r="G20" i="158"/>
  <c r="F20" i="158"/>
  <c r="E20" i="158"/>
  <c r="D20" i="158"/>
  <c r="C20" i="158"/>
  <c r="B20" i="158"/>
  <c r="A20" i="158"/>
  <c r="BD19" i="158"/>
  <c r="BC19" i="158"/>
  <c r="AW19" i="158"/>
  <c r="AC19" i="158"/>
  <c r="Y19" i="158"/>
  <c r="W19" i="158"/>
  <c r="V19" i="158"/>
  <c r="Q19" i="158"/>
  <c r="P19" i="158"/>
  <c r="N19" i="158"/>
  <c r="M19" i="158"/>
  <c r="L19" i="158"/>
  <c r="K19" i="158"/>
  <c r="J19" i="158"/>
  <c r="I19" i="158"/>
  <c r="G19" i="158"/>
  <c r="F19" i="158"/>
  <c r="E19" i="158"/>
  <c r="D19" i="158"/>
  <c r="C19" i="158"/>
  <c r="B19" i="158"/>
  <c r="A19" i="158"/>
  <c r="BD18" i="158"/>
  <c r="BC18" i="158"/>
  <c r="AC18" i="158"/>
  <c r="Y18" i="158"/>
  <c r="W18" i="158"/>
  <c r="V18" i="158"/>
  <c r="K18" i="158"/>
  <c r="I18" i="158"/>
  <c r="G18" i="158"/>
  <c r="E18" i="158"/>
  <c r="D18" i="158"/>
  <c r="A18" i="158"/>
  <c r="BD17" i="158"/>
  <c r="BC17" i="158"/>
  <c r="AW17" i="158"/>
  <c r="AC17" i="158"/>
  <c r="Y17" i="158"/>
  <c r="W17" i="158"/>
  <c r="V17" i="158"/>
  <c r="N17" i="158"/>
  <c r="M17" i="158"/>
  <c r="L17" i="158"/>
  <c r="K17" i="158"/>
  <c r="J17" i="158"/>
  <c r="I17" i="158"/>
  <c r="G17" i="158"/>
  <c r="F17" i="158"/>
  <c r="E17" i="158"/>
  <c r="D17" i="158"/>
  <c r="C17" i="158"/>
  <c r="B17" i="158"/>
  <c r="A17" i="158"/>
  <c r="BD16" i="158"/>
  <c r="BC16" i="158"/>
  <c r="AW16" i="158"/>
  <c r="AV16" i="158"/>
  <c r="AC16" i="158"/>
  <c r="Y16" i="158"/>
  <c r="W16" i="158"/>
  <c r="V16" i="158"/>
  <c r="Q16" i="158"/>
  <c r="P16" i="158"/>
  <c r="N16" i="158"/>
  <c r="K16" i="158"/>
  <c r="I16" i="158"/>
  <c r="G16" i="158"/>
  <c r="E16" i="158"/>
  <c r="D16" i="158"/>
  <c r="A16" i="158"/>
  <c r="BD15" i="158"/>
  <c r="BC15" i="158"/>
  <c r="AW15" i="158"/>
  <c r="AV15" i="158"/>
  <c r="AC15" i="158"/>
  <c r="Y15" i="158"/>
  <c r="W15" i="158"/>
  <c r="V15" i="158"/>
  <c r="Q15" i="158"/>
  <c r="P15" i="158"/>
  <c r="N15" i="158"/>
  <c r="K15" i="158"/>
  <c r="I15" i="158"/>
  <c r="G15" i="158"/>
  <c r="E15" i="158"/>
  <c r="D15" i="158"/>
  <c r="A15" i="158"/>
  <c r="BD14" i="158"/>
  <c r="BC14" i="158"/>
  <c r="AW14" i="158"/>
  <c r="AC14" i="158"/>
  <c r="AA14" i="158"/>
  <c r="Y14" i="158"/>
  <c r="W14" i="158"/>
  <c r="V14" i="158"/>
  <c r="Q14" i="158"/>
  <c r="P14" i="158"/>
  <c r="N14" i="158"/>
  <c r="M14" i="158"/>
  <c r="K14" i="158"/>
  <c r="J14" i="158"/>
  <c r="I14" i="158"/>
  <c r="G14" i="158"/>
  <c r="F14" i="158"/>
  <c r="E14" i="158"/>
  <c r="D14" i="158"/>
  <c r="C14" i="158"/>
  <c r="B14" i="158"/>
  <c r="A14" i="158"/>
  <c r="BD13" i="158"/>
  <c r="BC13" i="158"/>
  <c r="AW13" i="158"/>
  <c r="AC13" i="158"/>
  <c r="AA13" i="158"/>
  <c r="Y13" i="158"/>
  <c r="W13" i="158"/>
  <c r="V13" i="158"/>
  <c r="Q13" i="158"/>
  <c r="N13" i="158"/>
  <c r="M13" i="158"/>
  <c r="L13" i="158"/>
  <c r="K13" i="158"/>
  <c r="J13" i="158"/>
  <c r="I13" i="158"/>
  <c r="G13" i="158"/>
  <c r="F13" i="158"/>
  <c r="E13" i="158"/>
  <c r="D13" i="158"/>
  <c r="C13" i="158"/>
  <c r="B13" i="158"/>
  <c r="A13" i="158"/>
  <c r="BD12" i="158"/>
  <c r="BC12" i="158"/>
  <c r="AW12" i="158"/>
  <c r="AC12" i="158"/>
  <c r="AA12" i="158"/>
  <c r="Y12" i="158"/>
  <c r="W12" i="158"/>
  <c r="V12" i="158"/>
  <c r="Q12" i="158"/>
  <c r="P12" i="158"/>
  <c r="N12" i="158"/>
  <c r="M12" i="158"/>
  <c r="L12" i="158"/>
  <c r="K12" i="158"/>
  <c r="J12" i="158"/>
  <c r="I12" i="158"/>
  <c r="G12" i="158"/>
  <c r="F12" i="158"/>
  <c r="E12" i="158"/>
  <c r="D12" i="158"/>
  <c r="C12" i="158"/>
  <c r="B12" i="158"/>
  <c r="A12" i="158"/>
  <c r="BD11" i="158"/>
  <c r="BC11" i="158"/>
  <c r="AW11" i="158"/>
  <c r="AC11" i="158"/>
  <c r="AA11" i="158"/>
  <c r="Y11" i="158"/>
  <c r="W11" i="158"/>
  <c r="V11" i="158"/>
  <c r="Q11" i="158"/>
  <c r="P11" i="158"/>
  <c r="N11" i="158"/>
  <c r="M11" i="158"/>
  <c r="L11" i="158"/>
  <c r="K11" i="158"/>
  <c r="J11" i="158"/>
  <c r="I11" i="158"/>
  <c r="G11" i="158"/>
  <c r="F11" i="158"/>
  <c r="E11" i="158"/>
  <c r="D11" i="158"/>
  <c r="C11" i="158"/>
  <c r="B11" i="158"/>
  <c r="A11" i="158"/>
  <c r="BD10" i="158"/>
  <c r="BC10" i="158"/>
  <c r="AC10" i="158"/>
  <c r="AA10" i="158"/>
  <c r="Y10" i="158"/>
  <c r="W10" i="158"/>
  <c r="V10" i="158"/>
  <c r="Q10" i="158"/>
  <c r="P10" i="158"/>
  <c r="N10" i="158"/>
  <c r="M10" i="158"/>
  <c r="L10" i="158"/>
  <c r="K10" i="158"/>
  <c r="J10" i="158"/>
  <c r="I10" i="158"/>
  <c r="G10" i="158"/>
  <c r="F10" i="158"/>
  <c r="E10" i="158"/>
  <c r="D10" i="158"/>
  <c r="C10" i="158"/>
  <c r="B10" i="158"/>
  <c r="A10" i="158"/>
  <c r="BD9" i="158"/>
  <c r="BC9" i="158"/>
  <c r="AC9" i="158"/>
  <c r="AA9" i="158"/>
  <c r="Y9" i="158"/>
  <c r="W9" i="158"/>
  <c r="V9" i="158"/>
  <c r="Q9" i="158"/>
  <c r="P9" i="158"/>
  <c r="N9" i="158"/>
  <c r="M9" i="158"/>
  <c r="L9" i="158"/>
  <c r="K9" i="158"/>
  <c r="J9" i="158"/>
  <c r="I9" i="158"/>
  <c r="G9" i="158"/>
  <c r="F9" i="158"/>
  <c r="E9" i="158"/>
  <c r="D9" i="158"/>
  <c r="C9" i="158"/>
  <c r="B9" i="158"/>
  <c r="A9" i="158"/>
  <c r="BD8" i="158"/>
  <c r="BC8" i="158"/>
  <c r="AC8" i="158"/>
  <c r="AA8" i="158"/>
  <c r="Y8" i="158"/>
  <c r="W8" i="158"/>
  <c r="V8" i="158"/>
  <c r="Q8" i="158"/>
  <c r="P8" i="158"/>
  <c r="N8" i="158"/>
  <c r="M8" i="158"/>
  <c r="L8" i="158"/>
  <c r="K8" i="158"/>
  <c r="J8" i="158"/>
  <c r="I8" i="158"/>
  <c r="G8" i="158"/>
  <c r="F8" i="158"/>
  <c r="E8" i="158"/>
  <c r="D8" i="158"/>
  <c r="C8" i="158"/>
  <c r="B8" i="158"/>
  <c r="A8" i="158"/>
  <c r="BD7" i="158"/>
  <c r="BC7" i="158"/>
  <c r="AC7" i="158"/>
  <c r="AA7" i="158"/>
  <c r="Y7" i="158"/>
  <c r="W7" i="158"/>
  <c r="V7" i="158"/>
  <c r="Q7" i="158"/>
  <c r="N7" i="158"/>
  <c r="M7" i="158"/>
  <c r="L7" i="158"/>
  <c r="K7" i="158"/>
  <c r="J7" i="158"/>
  <c r="I7" i="158"/>
  <c r="G7" i="158"/>
  <c r="F7" i="158"/>
  <c r="E7" i="158"/>
  <c r="D7" i="158"/>
  <c r="C7" i="158"/>
  <c r="B7" i="158"/>
  <c r="A7" i="158"/>
  <c r="BD6" i="158"/>
  <c r="BC6" i="158"/>
  <c r="AC6" i="158"/>
  <c r="AA6" i="158"/>
  <c r="Y6" i="158"/>
  <c r="W6" i="158"/>
  <c r="V6" i="158"/>
  <c r="Q6" i="158"/>
  <c r="P6" i="158"/>
  <c r="N6" i="158"/>
  <c r="M6" i="158"/>
  <c r="L6" i="158"/>
  <c r="K6" i="158"/>
  <c r="J6" i="158"/>
  <c r="I6" i="158"/>
  <c r="G6" i="158"/>
  <c r="F6" i="158"/>
  <c r="E6" i="158"/>
  <c r="D6" i="158"/>
  <c r="C6" i="158"/>
  <c r="B6" i="158"/>
  <c r="A6" i="158"/>
  <c r="BD5" i="158"/>
  <c r="BC5" i="158"/>
  <c r="AC5" i="158"/>
  <c r="AA5" i="158"/>
  <c r="Y5" i="158"/>
  <c r="W5" i="158"/>
  <c r="V5" i="158"/>
  <c r="Q5" i="158"/>
  <c r="P5" i="158"/>
  <c r="N5" i="158"/>
  <c r="M5" i="158"/>
  <c r="L5" i="158"/>
  <c r="K5" i="158"/>
  <c r="J5" i="158"/>
  <c r="I5" i="158"/>
  <c r="G5" i="158"/>
  <c r="F5" i="158"/>
  <c r="E5" i="158"/>
  <c r="D5" i="158"/>
  <c r="C5" i="158"/>
  <c r="B5" i="158"/>
  <c r="A5" i="158"/>
  <c r="AC4" i="158"/>
  <c r="AA4" i="158"/>
  <c r="Y4" i="158"/>
  <c r="W4" i="158"/>
  <c r="V4" i="158"/>
  <c r="Q4" i="158"/>
  <c r="P4" i="158"/>
  <c r="N4" i="158"/>
  <c r="M4" i="158"/>
  <c r="K4" i="158"/>
  <c r="J4" i="158"/>
  <c r="I4" i="158"/>
  <c r="G4" i="158"/>
  <c r="F4" i="158"/>
  <c r="E4" i="158"/>
  <c r="D4" i="158"/>
  <c r="C4" i="158"/>
  <c r="B4" i="158"/>
  <c r="A4" i="158"/>
  <c r="AV1" i="158"/>
  <c r="N72" i="202"/>
  <c r="N71" i="202"/>
  <c r="N70" i="202"/>
  <c r="N69" i="202"/>
  <c r="N68" i="202"/>
  <c r="N67" i="202"/>
  <c r="N66" i="202"/>
  <c r="N65" i="202"/>
  <c r="N64" i="202"/>
  <c r="N63" i="202"/>
  <c r="N62" i="202"/>
  <c r="N61" i="202"/>
  <c r="N60" i="202"/>
  <c r="N59" i="202"/>
  <c r="N58" i="202"/>
  <c r="N57" i="202"/>
  <c r="N56" i="202"/>
  <c r="N55" i="202"/>
  <c r="N54" i="202"/>
  <c r="N53" i="202"/>
  <c r="N52" i="202"/>
  <c r="N51" i="202"/>
  <c r="N50" i="202"/>
  <c r="N49" i="202"/>
  <c r="N48" i="202"/>
  <c r="N47" i="202"/>
  <c r="N46" i="202"/>
  <c r="N45" i="202"/>
  <c r="N44" i="202"/>
  <c r="N43" i="202"/>
  <c r="K43" i="202"/>
  <c r="N42" i="202"/>
  <c r="K42" i="202"/>
  <c r="N41" i="202"/>
  <c r="K41" i="202"/>
  <c r="N40" i="202"/>
  <c r="K40" i="202"/>
  <c r="N39" i="202"/>
  <c r="K39" i="202"/>
  <c r="N38" i="202"/>
  <c r="K38" i="202"/>
  <c r="N37" i="202"/>
  <c r="K37" i="202"/>
  <c r="N36" i="202"/>
  <c r="K36" i="202"/>
  <c r="N35" i="202"/>
  <c r="K35" i="202"/>
  <c r="N34" i="202"/>
  <c r="K34" i="202"/>
  <c r="N33" i="202"/>
  <c r="K33" i="202"/>
  <c r="N32" i="202"/>
  <c r="K32" i="202"/>
  <c r="N31" i="202"/>
  <c r="K31" i="202"/>
  <c r="N30" i="202"/>
  <c r="K30" i="202"/>
  <c r="N29" i="202"/>
  <c r="K29" i="202"/>
  <c r="N28" i="202"/>
  <c r="K28" i="202"/>
  <c r="N27" i="202"/>
  <c r="K27" i="202"/>
  <c r="N26" i="202"/>
  <c r="K26" i="202"/>
  <c r="N25" i="202"/>
  <c r="K25" i="202"/>
  <c r="H25" i="202"/>
  <c r="N24" i="202"/>
  <c r="K24" i="202"/>
  <c r="N23" i="202"/>
  <c r="K23" i="202"/>
  <c r="N22" i="202"/>
  <c r="K22" i="202"/>
  <c r="N21" i="202"/>
  <c r="K21" i="202"/>
  <c r="N20" i="202"/>
  <c r="K20" i="202"/>
  <c r="N19" i="202"/>
  <c r="K19" i="202"/>
  <c r="N18" i="202"/>
  <c r="K18" i="202"/>
  <c r="N17" i="202"/>
  <c r="K17" i="202"/>
  <c r="N16" i="202"/>
  <c r="K16" i="202"/>
  <c r="N15" i="202"/>
  <c r="K15" i="202"/>
  <c r="N14" i="202"/>
  <c r="K14" i="202"/>
  <c r="N13" i="202"/>
  <c r="K13" i="202"/>
  <c r="I13" i="202"/>
  <c r="N12" i="202"/>
  <c r="K12" i="202"/>
  <c r="I12" i="202"/>
  <c r="N11" i="202"/>
  <c r="K11" i="202"/>
  <c r="I11" i="202"/>
  <c r="N10" i="202"/>
  <c r="K10" i="202"/>
  <c r="I10" i="202"/>
  <c r="N9" i="202"/>
  <c r="K9" i="202"/>
  <c r="I9" i="202"/>
  <c r="N8" i="202"/>
  <c r="K8" i="202"/>
  <c r="I8" i="202"/>
  <c r="N7" i="202"/>
  <c r="K7" i="202"/>
  <c r="I7" i="202"/>
  <c r="D7" i="202"/>
  <c r="N6" i="202"/>
  <c r="K6" i="202"/>
  <c r="I6" i="202"/>
  <c r="D6" i="202"/>
  <c r="N5" i="202"/>
  <c r="I5" i="202"/>
  <c r="D5" i="202"/>
  <c r="D4" i="202"/>
  <c r="M1" i="202"/>
  <c r="H1" i="202"/>
  <c r="C1" i="202"/>
  <c r="AF9" i="196"/>
  <c r="Y9" i="196"/>
  <c r="R9" i="196"/>
  <c r="K9" i="196"/>
  <c r="AM8" i="196"/>
  <c r="AL8" i="196"/>
  <c r="AK8" i="196"/>
  <c r="AJ8" i="196"/>
  <c r="AG8" i="196"/>
  <c r="AF8" i="196"/>
  <c r="AE8" i="196"/>
  <c r="AD8" i="196"/>
  <c r="AC8" i="196"/>
  <c r="AB8" i="196"/>
  <c r="AA8" i="196"/>
  <c r="Z8" i="196"/>
  <c r="Y8" i="196"/>
  <c r="X8" i="196"/>
  <c r="V8" i="196"/>
  <c r="U8" i="196"/>
  <c r="S8" i="196"/>
  <c r="R8" i="196"/>
  <c r="Q8" i="196"/>
  <c r="O8" i="196"/>
  <c r="N8" i="196"/>
  <c r="L8" i="196"/>
  <c r="K8" i="196"/>
  <c r="J8" i="196"/>
  <c r="H8" i="196"/>
  <c r="C8" i="196"/>
  <c r="AM7" i="196"/>
  <c r="AL7" i="196"/>
  <c r="AJ7" i="196"/>
  <c r="AG7" i="196"/>
  <c r="AF7" i="196"/>
  <c r="Q7" i="196"/>
  <c r="N7" i="196"/>
  <c r="L7" i="196"/>
  <c r="J7" i="196"/>
  <c r="AM6" i="196"/>
  <c r="AL6" i="196"/>
  <c r="AG6" i="196"/>
  <c r="AD6" i="196"/>
  <c r="AB6" i="196"/>
  <c r="Z6" i="196"/>
  <c r="U6" i="196"/>
  <c r="S6" i="196"/>
  <c r="Q6" i="196"/>
  <c r="N6" i="196"/>
  <c r="L6" i="196"/>
  <c r="J6" i="196"/>
  <c r="AM5" i="196"/>
  <c r="AL5" i="196"/>
  <c r="AJ5" i="196"/>
  <c r="AG5" i="196"/>
  <c r="AF5" i="196"/>
  <c r="AE5" i="196"/>
  <c r="AD5" i="196"/>
  <c r="AB5" i="196"/>
  <c r="Z5" i="196"/>
  <c r="U5" i="196"/>
  <c r="S5" i="196"/>
  <c r="Q5" i="196"/>
  <c r="N5" i="196"/>
  <c r="L5" i="196"/>
  <c r="J5" i="196"/>
  <c r="AM4" i="196"/>
  <c r="AL4" i="196"/>
  <c r="AJ4" i="196"/>
  <c r="AG4" i="196"/>
  <c r="AF4" i="196"/>
  <c r="AB4" i="196"/>
  <c r="Z4" i="196"/>
  <c r="U4" i="196"/>
  <c r="S4" i="196"/>
  <c r="Q4" i="196"/>
  <c r="N4" i="196"/>
  <c r="J4" i="196"/>
  <c r="AM3" i="196"/>
  <c r="AL3" i="196"/>
  <c r="AJ3" i="196"/>
  <c r="AG3" i="196"/>
  <c r="AF3" i="196"/>
  <c r="AB3" i="196"/>
  <c r="Z3" i="196"/>
  <c r="U3" i="196"/>
  <c r="S3" i="196"/>
  <c r="Q3" i="196"/>
  <c r="N3" i="196"/>
  <c r="L3" i="196"/>
  <c r="J3" i="196"/>
  <c r="AD19" i="163"/>
  <c r="AC19" i="163"/>
  <c r="AB19" i="163"/>
  <c r="AA19" i="163"/>
  <c r="Z19" i="163"/>
  <c r="Y19" i="163"/>
  <c r="X19" i="163"/>
  <c r="W19" i="163"/>
  <c r="V19" i="163"/>
  <c r="U19" i="163"/>
  <c r="T19" i="163"/>
  <c r="S19" i="163"/>
  <c r="R19" i="163"/>
  <c r="Q19" i="163"/>
  <c r="P19" i="163"/>
  <c r="O19" i="163"/>
  <c r="N19" i="163"/>
  <c r="M19" i="163"/>
  <c r="L19" i="163"/>
  <c r="K19" i="163"/>
  <c r="J19" i="163"/>
  <c r="I19" i="163"/>
  <c r="H19" i="163"/>
  <c r="G19" i="163"/>
  <c r="F19" i="163"/>
  <c r="E19" i="163"/>
  <c r="D19" i="163"/>
  <c r="C19" i="163"/>
  <c r="B19" i="163"/>
  <c r="AD13" i="163"/>
  <c r="Z13" i="163"/>
  <c r="AD12" i="163"/>
  <c r="Z12" i="163"/>
  <c r="AD11" i="163"/>
  <c r="AA11" i="163"/>
  <c r="Z11" i="163"/>
  <c r="V11" i="163"/>
  <c r="O11" i="163"/>
  <c r="H11" i="163"/>
  <c r="AD10" i="163"/>
  <c r="AA10" i="163"/>
  <c r="Z10" i="163"/>
  <c r="V10" i="163"/>
  <c r="O10" i="163"/>
  <c r="H10" i="163"/>
  <c r="AD9" i="163"/>
  <c r="AD8" i="163"/>
  <c r="AA8" i="163"/>
  <c r="Z8" i="163"/>
  <c r="V8" i="163"/>
  <c r="O8" i="163"/>
  <c r="H8" i="163"/>
  <c r="AD7" i="163"/>
  <c r="AA7" i="163"/>
  <c r="Z7" i="163"/>
  <c r="Y7" i="163"/>
  <c r="V7" i="163"/>
  <c r="T7" i="163"/>
  <c r="R7" i="163"/>
  <c r="O7" i="163"/>
  <c r="M7" i="163"/>
  <c r="K7" i="163"/>
  <c r="H7" i="163"/>
  <c r="F7" i="163"/>
  <c r="D7" i="163"/>
  <c r="AD6" i="163"/>
  <c r="AA6" i="163"/>
  <c r="Z6" i="163"/>
  <c r="V6" i="163"/>
  <c r="T6" i="163"/>
  <c r="R6" i="163"/>
  <c r="O6" i="163"/>
  <c r="M6" i="163"/>
  <c r="K6" i="163"/>
  <c r="H6" i="163"/>
  <c r="F6" i="163"/>
  <c r="D6" i="163"/>
  <c r="AD5" i="163"/>
  <c r="AA5" i="163"/>
  <c r="Z5" i="163"/>
  <c r="V5" i="163"/>
  <c r="T5" i="163"/>
  <c r="R5" i="163"/>
  <c r="O5" i="163"/>
  <c r="M5" i="163"/>
  <c r="K5" i="163"/>
  <c r="H5" i="163"/>
  <c r="F5" i="163"/>
  <c r="D5" i="163"/>
  <c r="AD4" i="163"/>
  <c r="AA4" i="163"/>
  <c r="Z4" i="163"/>
  <c r="V4" i="163"/>
  <c r="T4" i="163"/>
  <c r="R4" i="163"/>
  <c r="O4" i="163"/>
  <c r="M4" i="163"/>
  <c r="K4" i="163"/>
  <c r="H4" i="163"/>
  <c r="F4" i="163"/>
  <c r="D4" i="163"/>
  <c r="AD3" i="163"/>
  <c r="AA3" i="163"/>
  <c r="Z3" i="163"/>
  <c r="Y3" i="163"/>
  <c r="V3" i="163"/>
  <c r="T3" i="163"/>
  <c r="R3" i="163"/>
  <c r="O3" i="163"/>
  <c r="M3" i="163"/>
  <c r="K3" i="163"/>
  <c r="H3" i="163"/>
  <c r="F3" i="163"/>
  <c r="D3" i="163"/>
  <c r="Q10" i="173"/>
  <c r="N9" i="173"/>
  <c r="M9" i="173"/>
  <c r="L9" i="173"/>
  <c r="K9" i="173"/>
  <c r="J9" i="173"/>
  <c r="I9" i="173"/>
  <c r="H9" i="173"/>
  <c r="G9" i="173"/>
  <c r="F9" i="173"/>
  <c r="E9" i="173"/>
  <c r="D9" i="173"/>
  <c r="C9" i="173"/>
  <c r="T7" i="173"/>
  <c r="M7" i="173"/>
  <c r="L7" i="173"/>
  <c r="T6" i="173"/>
  <c r="R6" i="173"/>
  <c r="P6" i="173"/>
  <c r="M6" i="173"/>
  <c r="L6" i="173"/>
  <c r="T5" i="173"/>
  <c r="R5" i="173"/>
  <c r="P5" i="173"/>
  <c r="M5" i="173"/>
  <c r="L5" i="173"/>
  <c r="T4" i="173"/>
  <c r="R4" i="173"/>
  <c r="P4" i="173"/>
  <c r="M4" i="173"/>
  <c r="L4" i="173"/>
  <c r="T3" i="173"/>
  <c r="R3" i="173"/>
  <c r="P3" i="173"/>
  <c r="M3" i="173"/>
  <c r="L3" i="173"/>
  <c r="H3" i="173"/>
  <c r="E3" i="173"/>
  <c r="C3" i="173"/>
  <c r="J42" i="187"/>
  <c r="I42" i="187"/>
  <c r="H42" i="187"/>
  <c r="G42" i="187"/>
  <c r="F42" i="187"/>
  <c r="E42" i="187"/>
  <c r="D42" i="187"/>
  <c r="C42" i="187"/>
  <c r="J41" i="187"/>
  <c r="J40" i="187"/>
  <c r="J39" i="187"/>
  <c r="J34" i="187"/>
  <c r="G34" i="187"/>
  <c r="E34" i="187"/>
  <c r="L27" i="187"/>
  <c r="K27" i="187"/>
  <c r="J27" i="187"/>
  <c r="I27" i="187"/>
  <c r="H27" i="187"/>
  <c r="G27" i="187"/>
  <c r="L26" i="187"/>
  <c r="L25" i="187"/>
  <c r="L24" i="187"/>
  <c r="L23" i="187"/>
  <c r="L22" i="187"/>
  <c r="L21" i="187"/>
  <c r="L20" i="187"/>
  <c r="L19" i="187"/>
  <c r="L18" i="187"/>
  <c r="L15" i="187"/>
  <c r="L14" i="187"/>
  <c r="L13" i="187"/>
  <c r="L12" i="187"/>
  <c r="F12" i="187"/>
  <c r="E12" i="187"/>
  <c r="D12" i="187"/>
  <c r="C12" i="187"/>
  <c r="L11" i="187"/>
  <c r="F11" i="187"/>
  <c r="E11" i="187"/>
  <c r="D11" i="187"/>
  <c r="C11" i="187"/>
  <c r="L10" i="187"/>
  <c r="F10" i="187"/>
  <c r="E10" i="187"/>
  <c r="D10" i="187"/>
  <c r="C10" i="187"/>
  <c r="L9" i="187"/>
  <c r="F9" i="187"/>
  <c r="E9" i="187"/>
  <c r="D9" i="187"/>
  <c r="C9" i="187"/>
  <c r="L8" i="187"/>
  <c r="F8" i="187"/>
  <c r="E8" i="187"/>
  <c r="D8" i="187"/>
  <c r="C8" i="187"/>
  <c r="L7" i="187"/>
  <c r="F7" i="187"/>
  <c r="E7" i="187"/>
  <c r="D7" i="187"/>
  <c r="C7" i="187"/>
  <c r="L6" i="187"/>
  <c r="F6" i="187"/>
  <c r="E6" i="187"/>
  <c r="D6" i="187"/>
  <c r="C6" i="187"/>
  <c r="L5" i="187"/>
  <c r="F5" i="187"/>
  <c r="E5" i="187"/>
  <c r="D5" i="187"/>
  <c r="C5" i="187"/>
  <c r="L4" i="187"/>
  <c r="F4" i="187"/>
  <c r="E4" i="187"/>
  <c r="D4" i="187"/>
  <c r="C4" i="187"/>
  <c r="F3" i="187"/>
  <c r="E3" i="187"/>
  <c r="D3" i="187"/>
  <c r="C3" i="187"/>
  <c r="AC23" i="159"/>
  <c r="AB23" i="159"/>
  <c r="AA23" i="159"/>
  <c r="P22" i="159"/>
  <c r="O22" i="159"/>
  <c r="N22" i="159"/>
  <c r="M22" i="159"/>
  <c r="L22" i="159"/>
  <c r="K22" i="159"/>
  <c r="J22" i="159"/>
  <c r="I22" i="159"/>
  <c r="H22" i="159"/>
  <c r="G22" i="159"/>
  <c r="F22" i="159"/>
  <c r="E22" i="159"/>
  <c r="AC21" i="159"/>
  <c r="AA21" i="159"/>
  <c r="AC20" i="159"/>
  <c r="AA20" i="159"/>
  <c r="P20" i="159"/>
  <c r="N20" i="159"/>
  <c r="L20" i="159"/>
  <c r="J20" i="159"/>
  <c r="H20" i="159"/>
  <c r="F20" i="159"/>
  <c r="AC19" i="159"/>
  <c r="AA19" i="159"/>
  <c r="P19" i="159"/>
  <c r="N19" i="159"/>
  <c r="L19" i="159"/>
  <c r="J19" i="159"/>
  <c r="H19" i="159"/>
  <c r="F19" i="159"/>
  <c r="AC18" i="159"/>
  <c r="AA18" i="159"/>
  <c r="P18" i="159"/>
  <c r="N18" i="159"/>
  <c r="L18" i="159"/>
  <c r="J18" i="159"/>
  <c r="H18" i="159"/>
  <c r="F18" i="159"/>
  <c r="AC17" i="159"/>
  <c r="AA17" i="159"/>
  <c r="P17" i="159"/>
  <c r="N17" i="159"/>
  <c r="L17" i="159"/>
  <c r="J17" i="159"/>
  <c r="H17" i="159"/>
  <c r="F17" i="159"/>
  <c r="AC16" i="159"/>
  <c r="AA16" i="159"/>
  <c r="P16" i="159"/>
  <c r="N16" i="159"/>
  <c r="L16" i="159"/>
  <c r="J16" i="159"/>
  <c r="H16" i="159"/>
  <c r="F16" i="159"/>
  <c r="AC15" i="159"/>
  <c r="AA15" i="159"/>
  <c r="P15" i="159"/>
  <c r="N15" i="159"/>
  <c r="L15" i="159"/>
  <c r="J15" i="159"/>
  <c r="H15" i="159"/>
  <c r="F15" i="159"/>
  <c r="AC14" i="159"/>
  <c r="AA14" i="159"/>
  <c r="P14" i="159"/>
  <c r="N14" i="159"/>
  <c r="L14" i="159"/>
  <c r="J14" i="159"/>
  <c r="H14" i="159"/>
  <c r="F14" i="159"/>
  <c r="AC13" i="159"/>
  <c r="AA13" i="159"/>
  <c r="P13" i="159"/>
  <c r="N13" i="159"/>
  <c r="L13" i="159"/>
  <c r="J13" i="159"/>
  <c r="H13" i="159"/>
  <c r="F13" i="159"/>
  <c r="AC12" i="159"/>
  <c r="AA12" i="159"/>
  <c r="P12" i="159"/>
  <c r="N12" i="159"/>
  <c r="L12" i="159"/>
  <c r="J12" i="159"/>
  <c r="H12" i="159"/>
  <c r="F12" i="159"/>
  <c r="AC11" i="159"/>
  <c r="AA11" i="159"/>
  <c r="P11" i="159"/>
  <c r="N11" i="159"/>
  <c r="L11" i="159"/>
  <c r="J11" i="159"/>
  <c r="H11" i="159"/>
  <c r="F11" i="159"/>
  <c r="AC10" i="159"/>
  <c r="AA10" i="159"/>
  <c r="P10" i="159"/>
  <c r="N10" i="159"/>
  <c r="L10" i="159"/>
  <c r="J10" i="159"/>
  <c r="H10" i="159"/>
  <c r="F10" i="159"/>
  <c r="AC9" i="159"/>
  <c r="AA9" i="159"/>
  <c r="T9" i="159"/>
  <c r="P9" i="159"/>
  <c r="N9" i="159"/>
  <c r="L9" i="159"/>
  <c r="J9" i="159"/>
  <c r="H9" i="159"/>
  <c r="F9" i="159"/>
  <c r="AC8" i="159"/>
  <c r="AA8" i="159"/>
  <c r="T8" i="159"/>
  <c r="P8" i="159"/>
  <c r="N8" i="159"/>
  <c r="L8" i="159"/>
  <c r="J8" i="159"/>
  <c r="H8" i="159"/>
  <c r="F8" i="159"/>
  <c r="AC7" i="159"/>
  <c r="AA7" i="159"/>
  <c r="T7" i="159"/>
  <c r="P7" i="159"/>
  <c r="N7" i="159"/>
  <c r="L7" i="159"/>
  <c r="J7" i="159"/>
  <c r="H7" i="159"/>
  <c r="F7" i="159"/>
  <c r="AC6" i="159"/>
  <c r="AA6" i="159"/>
  <c r="T6" i="159"/>
  <c r="P6" i="159"/>
  <c r="N6" i="159"/>
  <c r="L6" i="159"/>
  <c r="J6" i="159"/>
  <c r="H6" i="159"/>
  <c r="F6" i="159"/>
  <c r="AC5" i="159"/>
  <c r="AA5" i="159"/>
  <c r="T5" i="159"/>
  <c r="P5" i="159"/>
  <c r="N5" i="159"/>
  <c r="L5" i="159"/>
  <c r="J5" i="159"/>
  <c r="H5" i="159"/>
  <c r="F5" i="159"/>
  <c r="T4" i="159"/>
  <c r="P4" i="159"/>
  <c r="N4" i="159"/>
  <c r="L4" i="159"/>
  <c r="J4" i="159"/>
  <c r="H4" i="159"/>
  <c r="F4" i="159"/>
  <c r="T3" i="159"/>
  <c r="T2" i="159"/>
  <c r="Z21" i="192"/>
  <c r="Y21" i="192"/>
  <c r="X21" i="192"/>
  <c r="W21" i="192"/>
  <c r="V21" i="192"/>
  <c r="U21" i="192"/>
  <c r="T21" i="192"/>
  <c r="S21" i="192"/>
  <c r="R21" i="192"/>
  <c r="Q21" i="192"/>
  <c r="P21" i="192"/>
  <c r="O21" i="192"/>
  <c r="N21" i="192"/>
  <c r="M21" i="192"/>
  <c r="L21" i="192"/>
  <c r="K21" i="192"/>
  <c r="J21" i="192"/>
  <c r="I21" i="192"/>
  <c r="H21" i="192"/>
  <c r="G21" i="192"/>
  <c r="F21" i="192"/>
  <c r="E21" i="192"/>
  <c r="AA20" i="192"/>
  <c r="X20" i="192"/>
  <c r="V20" i="192"/>
  <c r="Q20" i="192"/>
  <c r="A20" i="192"/>
  <c r="AA19" i="192"/>
  <c r="X19" i="192"/>
  <c r="V19" i="192"/>
  <c r="Q19" i="192"/>
  <c r="A19" i="192"/>
  <c r="AA18" i="192"/>
  <c r="X18" i="192"/>
  <c r="V18" i="192"/>
  <c r="Q18" i="192"/>
  <c r="A18" i="192"/>
  <c r="AA17" i="192"/>
  <c r="X17" i="192"/>
  <c r="V17" i="192"/>
  <c r="Q17" i="192"/>
  <c r="A17" i="192"/>
  <c r="AA16" i="192"/>
  <c r="X16" i="192"/>
  <c r="V16" i="192"/>
  <c r="Q16" i="192"/>
  <c r="A16" i="192"/>
  <c r="AA15" i="192"/>
  <c r="X15" i="192"/>
  <c r="V15" i="192"/>
  <c r="Q15" i="192"/>
  <c r="A15" i="192"/>
  <c r="AA14" i="192"/>
  <c r="X14" i="192"/>
  <c r="V14" i="192"/>
  <c r="Q14" i="192"/>
  <c r="A14" i="192"/>
  <c r="AA13" i="192"/>
  <c r="V13" i="192"/>
  <c r="Q13" i="192"/>
  <c r="A13" i="192"/>
  <c r="AA12" i="192"/>
  <c r="V12" i="192"/>
  <c r="Q12" i="192"/>
  <c r="A12" i="192"/>
  <c r="AA11" i="192"/>
  <c r="V11" i="192"/>
  <c r="Q11" i="192"/>
  <c r="A11" i="192"/>
  <c r="AA10" i="192"/>
  <c r="V10" i="192"/>
  <c r="Q10" i="192"/>
  <c r="A10" i="192"/>
  <c r="AA9" i="192"/>
  <c r="V9" i="192"/>
  <c r="Q9" i="192"/>
  <c r="A9" i="192"/>
  <c r="AA8" i="192"/>
  <c r="V8" i="192"/>
  <c r="Q8" i="192"/>
  <c r="A8" i="192"/>
  <c r="AA7" i="192"/>
  <c r="V7" i="192"/>
  <c r="Q7" i="192"/>
  <c r="A7" i="192"/>
  <c r="AA6" i="192"/>
  <c r="X6" i="192"/>
  <c r="V6" i="192"/>
  <c r="Q6" i="192"/>
  <c r="A6" i="192"/>
  <c r="AA5" i="192"/>
  <c r="X5" i="192"/>
  <c r="V5" i="192"/>
  <c r="Q5" i="192"/>
  <c r="AI113" i="190"/>
  <c r="AH113" i="190"/>
  <c r="AG113" i="190"/>
  <c r="AF113" i="190"/>
  <c r="AE113" i="190"/>
  <c r="AD113" i="190"/>
  <c r="AC113" i="190"/>
  <c r="AB113" i="190"/>
  <c r="AA113" i="190"/>
  <c r="Z113" i="190"/>
  <c r="Y113" i="190"/>
  <c r="X113" i="190"/>
  <c r="W113" i="190"/>
  <c r="V113" i="190"/>
  <c r="U113" i="190"/>
  <c r="T113" i="190"/>
  <c r="S113" i="190"/>
  <c r="R113" i="190"/>
  <c r="Q113" i="190"/>
  <c r="P113" i="190"/>
  <c r="O113" i="190"/>
  <c r="N113" i="190"/>
  <c r="M113" i="190"/>
  <c r="L113" i="190"/>
  <c r="K113" i="190"/>
  <c r="J113" i="190"/>
  <c r="I113" i="190"/>
  <c r="H113" i="190"/>
  <c r="G113" i="190"/>
  <c r="F113" i="190"/>
  <c r="AJ112" i="190"/>
  <c r="AI112" i="190"/>
  <c r="AH112" i="190"/>
  <c r="AG112" i="190"/>
  <c r="AF112" i="190"/>
  <c r="AE112" i="190"/>
  <c r="AD112" i="190"/>
  <c r="AC112" i="190"/>
  <c r="AB112" i="190"/>
  <c r="AA112" i="190"/>
  <c r="Z112" i="190"/>
  <c r="Y112" i="190"/>
  <c r="X112" i="190"/>
  <c r="W112" i="190"/>
  <c r="V112" i="190"/>
  <c r="U112" i="190"/>
  <c r="T112" i="190"/>
  <c r="S112" i="190"/>
  <c r="R112" i="190"/>
  <c r="Q112" i="190"/>
  <c r="P112" i="190"/>
  <c r="O112" i="190"/>
  <c r="N112" i="190"/>
  <c r="M112" i="190"/>
  <c r="L112" i="190"/>
  <c r="K112" i="190"/>
  <c r="J112" i="190"/>
  <c r="I112" i="190"/>
  <c r="H112" i="190"/>
  <c r="G112" i="190"/>
  <c r="F112" i="190"/>
  <c r="AH111" i="190"/>
  <c r="AG111" i="190"/>
  <c r="AF111" i="190"/>
  <c r="AD111" i="190"/>
  <c r="AC111" i="190"/>
  <c r="AB111" i="190"/>
  <c r="AA111" i="190"/>
  <c r="Z111" i="190"/>
  <c r="Y111" i="190"/>
  <c r="X111" i="190"/>
  <c r="W111" i="190"/>
  <c r="V111" i="190"/>
  <c r="U111" i="190"/>
  <c r="T111" i="190"/>
  <c r="S111" i="190"/>
  <c r="Q111" i="190"/>
  <c r="P111" i="190"/>
  <c r="J111" i="190"/>
  <c r="I111" i="190"/>
  <c r="AH110" i="190"/>
  <c r="AG110" i="190"/>
  <c r="AF110" i="190"/>
  <c r="AD110" i="190"/>
  <c r="AC110" i="190"/>
  <c r="AB110" i="190"/>
  <c r="AA110" i="190"/>
  <c r="Z110" i="190"/>
  <c r="Y110" i="190"/>
  <c r="X110" i="190"/>
  <c r="W110" i="190"/>
  <c r="V110" i="190"/>
  <c r="U110" i="190"/>
  <c r="T110" i="190"/>
  <c r="S110" i="190"/>
  <c r="Q110" i="190"/>
  <c r="P110" i="190"/>
  <c r="J110" i="190"/>
  <c r="I110" i="190"/>
  <c r="AH109" i="190"/>
  <c r="AG109" i="190"/>
  <c r="AF109" i="190"/>
  <c r="AD109" i="190"/>
  <c r="AC109" i="190"/>
  <c r="AB109" i="190"/>
  <c r="AA109" i="190"/>
  <c r="Z109" i="190"/>
  <c r="Y109" i="190"/>
  <c r="X109" i="190"/>
  <c r="W109" i="190"/>
  <c r="V109" i="190"/>
  <c r="U109" i="190"/>
  <c r="T109" i="190"/>
  <c r="S109" i="190"/>
  <c r="Q109" i="190"/>
  <c r="P109" i="190"/>
  <c r="J109" i="190"/>
  <c r="I109" i="190"/>
  <c r="AH108" i="190"/>
  <c r="AG108" i="190"/>
  <c r="AF108" i="190"/>
  <c r="AD108" i="190"/>
  <c r="AC108" i="190"/>
  <c r="AB108" i="190"/>
  <c r="AA108" i="190"/>
  <c r="Z108" i="190"/>
  <c r="Y108" i="190"/>
  <c r="X108" i="190"/>
  <c r="W108" i="190"/>
  <c r="V108" i="190"/>
  <c r="U108" i="190"/>
  <c r="T108" i="190"/>
  <c r="S108" i="190"/>
  <c r="Q108" i="190"/>
  <c r="P108" i="190"/>
  <c r="J108" i="190"/>
  <c r="I108" i="190"/>
  <c r="AH107" i="190"/>
  <c r="AG107" i="190"/>
  <c r="AF107" i="190"/>
  <c r="AD107" i="190"/>
  <c r="AC107" i="190"/>
  <c r="AB107" i="190"/>
  <c r="AA107" i="190"/>
  <c r="Z107" i="190"/>
  <c r="Y107" i="190"/>
  <c r="X107" i="190"/>
  <c r="W107" i="190"/>
  <c r="V107" i="190"/>
  <c r="U107" i="190"/>
  <c r="T107" i="190"/>
  <c r="S107" i="190"/>
  <c r="Q107" i="190"/>
  <c r="P107" i="190"/>
  <c r="J107" i="190"/>
  <c r="I107" i="190"/>
  <c r="AH106" i="190"/>
  <c r="AG106" i="190"/>
  <c r="AF106" i="190"/>
  <c r="AD106" i="190"/>
  <c r="AC106" i="190"/>
  <c r="AB106" i="190"/>
  <c r="AA106" i="190"/>
  <c r="Z106" i="190"/>
  <c r="Y106" i="190"/>
  <c r="X106" i="190"/>
  <c r="W106" i="190"/>
  <c r="V106" i="190"/>
  <c r="U106" i="190"/>
  <c r="T106" i="190"/>
  <c r="S106" i="190"/>
  <c r="Q106" i="190"/>
  <c r="P106" i="190"/>
  <c r="J106" i="190"/>
  <c r="I106" i="190"/>
  <c r="AH105" i="190"/>
  <c r="AG105" i="190"/>
  <c r="AF105" i="190"/>
  <c r="AD105" i="190"/>
  <c r="AC105" i="190"/>
  <c r="AB105" i="190"/>
  <c r="AA105" i="190"/>
  <c r="Z105" i="190"/>
  <c r="Y105" i="190"/>
  <c r="X105" i="190"/>
  <c r="W105" i="190"/>
  <c r="V105" i="190"/>
  <c r="U105" i="190"/>
  <c r="T105" i="190"/>
  <c r="S105" i="190"/>
  <c r="Q105" i="190"/>
  <c r="P105" i="190"/>
  <c r="J105" i="190"/>
  <c r="I105" i="190"/>
  <c r="AH104" i="190"/>
  <c r="AG104" i="190"/>
  <c r="AF104" i="190"/>
  <c r="AD104" i="190"/>
  <c r="AC104" i="190"/>
  <c r="AB104" i="190"/>
  <c r="AA104" i="190"/>
  <c r="Z104" i="190"/>
  <c r="Y104" i="190"/>
  <c r="X104" i="190"/>
  <c r="W104" i="190"/>
  <c r="V104" i="190"/>
  <c r="U104" i="190"/>
  <c r="T104" i="190"/>
  <c r="S104" i="190"/>
  <c r="Q104" i="190"/>
  <c r="P104" i="190"/>
  <c r="J104" i="190"/>
  <c r="I104" i="190"/>
  <c r="AH103" i="190"/>
  <c r="AG103" i="190"/>
  <c r="AF103" i="190"/>
  <c r="AD103" i="190"/>
  <c r="AC103" i="190"/>
  <c r="AB103" i="190"/>
  <c r="AA103" i="190"/>
  <c r="Z103" i="190"/>
  <c r="Y103" i="190"/>
  <c r="X103" i="190"/>
  <c r="W103" i="190"/>
  <c r="V103" i="190"/>
  <c r="U103" i="190"/>
  <c r="T103" i="190"/>
  <c r="Q103" i="190"/>
  <c r="P103" i="190"/>
  <c r="J103" i="190"/>
  <c r="I103" i="190"/>
  <c r="AH102" i="190"/>
  <c r="AG102" i="190"/>
  <c r="AF102" i="190"/>
  <c r="AD102" i="190"/>
  <c r="AC102" i="190"/>
  <c r="AB102" i="190"/>
  <c r="AA102" i="190"/>
  <c r="Z102" i="190"/>
  <c r="Y102" i="190"/>
  <c r="X102" i="190"/>
  <c r="W102" i="190"/>
  <c r="V102" i="190"/>
  <c r="U102" i="190"/>
  <c r="T102" i="190"/>
  <c r="S102" i="190"/>
  <c r="Q102" i="190"/>
  <c r="P102" i="190"/>
  <c r="N102" i="190"/>
  <c r="J102" i="190"/>
  <c r="I102" i="190"/>
  <c r="AH101" i="190"/>
  <c r="AG101" i="190"/>
  <c r="AF101" i="190"/>
  <c r="AD101" i="190"/>
  <c r="AC101" i="190"/>
  <c r="AB101" i="190"/>
  <c r="AA101" i="190"/>
  <c r="Z101" i="190"/>
  <c r="Y101" i="190"/>
  <c r="X101" i="190"/>
  <c r="W101" i="190"/>
  <c r="V101" i="190"/>
  <c r="U101" i="190"/>
  <c r="T101" i="190"/>
  <c r="S101" i="190"/>
  <c r="Q101" i="190"/>
  <c r="P101" i="190"/>
  <c r="J101" i="190"/>
  <c r="I101" i="190"/>
  <c r="AH100" i="190"/>
  <c r="AG100" i="190"/>
  <c r="AF100" i="190"/>
  <c r="AD100" i="190"/>
  <c r="AC100" i="190"/>
  <c r="AB100" i="190"/>
  <c r="AA100" i="190"/>
  <c r="Z100" i="190"/>
  <c r="Y100" i="190"/>
  <c r="X100" i="190"/>
  <c r="W100" i="190"/>
  <c r="V100" i="190"/>
  <c r="U100" i="190"/>
  <c r="T100" i="190"/>
  <c r="S100" i="190"/>
  <c r="Q100" i="190"/>
  <c r="P100" i="190"/>
  <c r="J100" i="190"/>
  <c r="I100" i="190"/>
  <c r="AH99" i="190"/>
  <c r="AG99" i="190"/>
  <c r="AF99" i="190"/>
  <c r="AD99" i="190"/>
  <c r="AC99" i="190"/>
  <c r="AB99" i="190"/>
  <c r="AA99" i="190"/>
  <c r="Z99" i="190"/>
  <c r="Y99" i="190"/>
  <c r="X99" i="190"/>
  <c r="W99" i="190"/>
  <c r="V99" i="190"/>
  <c r="U99" i="190"/>
  <c r="T99" i="190"/>
  <c r="S99" i="190"/>
  <c r="Q99" i="190"/>
  <c r="P99" i="190"/>
  <c r="J99" i="190"/>
  <c r="I99" i="190"/>
  <c r="AH98" i="190"/>
  <c r="AG98" i="190"/>
  <c r="AF98" i="190"/>
  <c r="AD98" i="190"/>
  <c r="AC98" i="190"/>
  <c r="AB98" i="190"/>
  <c r="AA98" i="190"/>
  <c r="Z98" i="190"/>
  <c r="Y98" i="190"/>
  <c r="X98" i="190"/>
  <c r="W98" i="190"/>
  <c r="V98" i="190"/>
  <c r="U98" i="190"/>
  <c r="T98" i="190"/>
  <c r="S98" i="190"/>
  <c r="Q98" i="190"/>
  <c r="P98" i="190"/>
  <c r="J98" i="190"/>
  <c r="I98" i="190"/>
  <c r="AH97" i="190"/>
  <c r="AG97" i="190"/>
  <c r="AF97" i="190"/>
  <c r="AD97" i="190"/>
  <c r="AC97" i="190"/>
  <c r="AB97" i="190"/>
  <c r="AA97" i="190"/>
  <c r="Z97" i="190"/>
  <c r="Y97" i="190"/>
  <c r="X97" i="190"/>
  <c r="W97" i="190"/>
  <c r="V97" i="190"/>
  <c r="U97" i="190"/>
  <c r="T97" i="190"/>
  <c r="S97" i="190"/>
  <c r="Q97" i="190"/>
  <c r="P97" i="190"/>
  <c r="J97" i="190"/>
  <c r="I97" i="190"/>
  <c r="AH96" i="190"/>
  <c r="AG96" i="190"/>
  <c r="AF96" i="190"/>
  <c r="AD96" i="190"/>
  <c r="AC96" i="190"/>
  <c r="AB96" i="190"/>
  <c r="AA96" i="190"/>
  <c r="Z96" i="190"/>
  <c r="Y96" i="190"/>
  <c r="X96" i="190"/>
  <c r="W96" i="190"/>
  <c r="V96" i="190"/>
  <c r="U96" i="190"/>
  <c r="T96" i="190"/>
  <c r="S96" i="190"/>
  <c r="Q96" i="190"/>
  <c r="P96" i="190"/>
  <c r="J96" i="190"/>
  <c r="I96" i="190"/>
  <c r="AH95" i="190"/>
  <c r="AG95" i="190"/>
  <c r="AF95" i="190"/>
  <c r="AD95" i="190"/>
  <c r="AC95" i="190"/>
  <c r="AB95" i="190"/>
  <c r="AA95" i="190"/>
  <c r="Z95" i="190"/>
  <c r="Y95" i="190"/>
  <c r="X95" i="190"/>
  <c r="W95" i="190"/>
  <c r="V95" i="190"/>
  <c r="U95" i="190"/>
  <c r="T95" i="190"/>
  <c r="Q95" i="190"/>
  <c r="P95" i="190"/>
  <c r="J95" i="190"/>
  <c r="I95" i="190"/>
  <c r="AH94" i="190"/>
  <c r="AG94" i="190"/>
  <c r="AF94" i="190"/>
  <c r="AD94" i="190"/>
  <c r="AC94" i="190"/>
  <c r="AB94" i="190"/>
  <c r="AA94" i="190"/>
  <c r="Z94" i="190"/>
  <c r="Y94" i="190"/>
  <c r="X94" i="190"/>
  <c r="W94" i="190"/>
  <c r="V94" i="190"/>
  <c r="U94" i="190"/>
  <c r="T94" i="190"/>
  <c r="Q94" i="190"/>
  <c r="P94" i="190"/>
  <c r="J94" i="190"/>
  <c r="I94" i="190"/>
  <c r="F94" i="190"/>
  <c r="AH93" i="190"/>
  <c r="AG93" i="190"/>
  <c r="AF93" i="190"/>
  <c r="AD93" i="190"/>
  <c r="AC93" i="190"/>
  <c r="AB93" i="190"/>
  <c r="AA93" i="190"/>
  <c r="Z93" i="190"/>
  <c r="Y93" i="190"/>
  <c r="X93" i="190"/>
  <c r="W93" i="190"/>
  <c r="V93" i="190"/>
  <c r="U93" i="190"/>
  <c r="T93" i="190"/>
  <c r="Q93" i="190"/>
  <c r="P93" i="190"/>
  <c r="J93" i="190"/>
  <c r="I93" i="190"/>
  <c r="F93" i="190"/>
  <c r="AH92" i="190"/>
  <c r="AG92" i="190"/>
  <c r="AF92" i="190"/>
  <c r="AD92" i="190"/>
  <c r="AC92" i="190"/>
  <c r="AB92" i="190"/>
  <c r="AA92" i="190"/>
  <c r="Z92" i="190"/>
  <c r="Y92" i="190"/>
  <c r="X92" i="190"/>
  <c r="W92" i="190"/>
  <c r="V92" i="190"/>
  <c r="U92" i="190"/>
  <c r="T92" i="190"/>
  <c r="Q92" i="190"/>
  <c r="P92" i="190"/>
  <c r="J92" i="190"/>
  <c r="I92" i="190"/>
  <c r="F92" i="190"/>
  <c r="AH91" i="190"/>
  <c r="AG91" i="190"/>
  <c r="AD91" i="190"/>
  <c r="AC91" i="190"/>
  <c r="AB91" i="190"/>
  <c r="AA91" i="190"/>
  <c r="Z91" i="190"/>
  <c r="Y91" i="190"/>
  <c r="X91" i="190"/>
  <c r="W91" i="190"/>
  <c r="V91" i="190"/>
  <c r="U91" i="190"/>
  <c r="T91" i="190"/>
  <c r="Q91" i="190"/>
  <c r="P91" i="190"/>
  <c r="J91" i="190"/>
  <c r="I91" i="190"/>
  <c r="AH90" i="190"/>
  <c r="AG90" i="190"/>
  <c r="AD90" i="190"/>
  <c r="AC90" i="190"/>
  <c r="AB90" i="190"/>
  <c r="AA90" i="190"/>
  <c r="Z90" i="190"/>
  <c r="Y90" i="190"/>
  <c r="X90" i="190"/>
  <c r="W90" i="190"/>
  <c r="V90" i="190"/>
  <c r="U90" i="190"/>
  <c r="T90" i="190"/>
  <c r="Q90" i="190"/>
  <c r="P90" i="190"/>
  <c r="J90" i="190"/>
  <c r="I90" i="190"/>
  <c r="AH89" i="190"/>
  <c r="AG89" i="190"/>
  <c r="AD89" i="190"/>
  <c r="AC89" i="190"/>
  <c r="AB89" i="190"/>
  <c r="AA89" i="190"/>
  <c r="Z89" i="190"/>
  <c r="Y89" i="190"/>
  <c r="X89" i="190"/>
  <c r="W89" i="190"/>
  <c r="V89" i="190"/>
  <c r="U89" i="190"/>
  <c r="T89" i="190"/>
  <c r="Q89" i="190"/>
  <c r="P89" i="190"/>
  <c r="J89" i="190"/>
  <c r="I89" i="190"/>
  <c r="F89" i="190"/>
  <c r="AH88" i="190"/>
  <c r="AG88" i="190"/>
  <c r="AF88" i="190"/>
  <c r="AD88" i="190"/>
  <c r="AC88" i="190"/>
  <c r="AB88" i="190"/>
  <c r="AA88" i="190"/>
  <c r="Z88" i="190"/>
  <c r="Y88" i="190"/>
  <c r="X88" i="190"/>
  <c r="W88" i="190"/>
  <c r="V88" i="190"/>
  <c r="U88" i="190"/>
  <c r="T88" i="190"/>
  <c r="S88" i="190"/>
  <c r="Q88" i="190"/>
  <c r="P88" i="190"/>
  <c r="J88" i="190"/>
  <c r="I88" i="190"/>
  <c r="AH87" i="190"/>
  <c r="AG87" i="190"/>
  <c r="AF87" i="190"/>
  <c r="AD87" i="190"/>
  <c r="AC87" i="190"/>
  <c r="AB87" i="190"/>
  <c r="AA87" i="190"/>
  <c r="Z87" i="190"/>
  <c r="Y87" i="190"/>
  <c r="X87" i="190"/>
  <c r="W87" i="190"/>
  <c r="V87" i="190"/>
  <c r="U87" i="190"/>
  <c r="T87" i="190"/>
  <c r="S87" i="190"/>
  <c r="Q87" i="190"/>
  <c r="P87" i="190"/>
  <c r="J87" i="190"/>
  <c r="I87" i="190"/>
  <c r="AH86" i="190"/>
  <c r="AG86" i="190"/>
  <c r="AF86" i="190"/>
  <c r="AD86" i="190"/>
  <c r="AC86" i="190"/>
  <c r="AB86" i="190"/>
  <c r="AA86" i="190"/>
  <c r="Z86" i="190"/>
  <c r="Y86" i="190"/>
  <c r="X86" i="190"/>
  <c r="W86" i="190"/>
  <c r="V86" i="190"/>
  <c r="U86" i="190"/>
  <c r="T86" i="190"/>
  <c r="S86" i="190"/>
  <c r="Q86" i="190"/>
  <c r="P86" i="190"/>
  <c r="J86" i="190"/>
  <c r="I86" i="190"/>
  <c r="AH85" i="190"/>
  <c r="AG85" i="190"/>
  <c r="AF85" i="190"/>
  <c r="AD85" i="190"/>
  <c r="AC85" i="190"/>
  <c r="AB85" i="190"/>
  <c r="AA85" i="190"/>
  <c r="Z85" i="190"/>
  <c r="Y85" i="190"/>
  <c r="X85" i="190"/>
  <c r="W85" i="190"/>
  <c r="V85" i="190"/>
  <c r="U85" i="190"/>
  <c r="T85" i="190"/>
  <c r="S85" i="190"/>
  <c r="Q85" i="190"/>
  <c r="P85" i="190"/>
  <c r="J85" i="190"/>
  <c r="I85" i="190"/>
  <c r="AH84" i="190"/>
  <c r="AG84" i="190"/>
  <c r="AF84" i="190"/>
  <c r="AD84" i="190"/>
  <c r="AC84" i="190"/>
  <c r="AB84" i="190"/>
  <c r="AA84" i="190"/>
  <c r="Z84" i="190"/>
  <c r="Y84" i="190"/>
  <c r="X84" i="190"/>
  <c r="W84" i="190"/>
  <c r="V84" i="190"/>
  <c r="U84" i="190"/>
  <c r="T84" i="190"/>
  <c r="S84" i="190"/>
  <c r="Q84" i="190"/>
  <c r="P84" i="190"/>
  <c r="J84" i="190"/>
  <c r="I84" i="190"/>
  <c r="AH83" i="190"/>
  <c r="AG83" i="190"/>
  <c r="AF83" i="190"/>
  <c r="AD83" i="190"/>
  <c r="AC83" i="190"/>
  <c r="AB83" i="190"/>
  <c r="AA83" i="190"/>
  <c r="Z83" i="190"/>
  <c r="Y83" i="190"/>
  <c r="X83" i="190"/>
  <c r="W83" i="190"/>
  <c r="V83" i="190"/>
  <c r="U83" i="190"/>
  <c r="T83" i="190"/>
  <c r="S83" i="190"/>
  <c r="Q83" i="190"/>
  <c r="P83" i="190"/>
  <c r="J83" i="190"/>
  <c r="I83" i="190"/>
  <c r="AH82" i="190"/>
  <c r="AG82" i="190"/>
  <c r="AF82" i="190"/>
  <c r="AD82" i="190"/>
  <c r="AC82" i="190"/>
  <c r="AB82" i="190"/>
  <c r="AA82" i="190"/>
  <c r="Z82" i="190"/>
  <c r="Y82" i="190"/>
  <c r="X82" i="190"/>
  <c r="W82" i="190"/>
  <c r="V82" i="190"/>
  <c r="U82" i="190"/>
  <c r="T82" i="190"/>
  <c r="S82" i="190"/>
  <c r="Q82" i="190"/>
  <c r="P82" i="190"/>
  <c r="J82" i="190"/>
  <c r="I82" i="190"/>
  <c r="AH81" i="190"/>
  <c r="AG81" i="190"/>
  <c r="AF81" i="190"/>
  <c r="AD81" i="190"/>
  <c r="AC81" i="190"/>
  <c r="AB81" i="190"/>
  <c r="AA81" i="190"/>
  <c r="Z81" i="190"/>
  <c r="Y81" i="190"/>
  <c r="X81" i="190"/>
  <c r="W81" i="190"/>
  <c r="V81" i="190"/>
  <c r="U81" i="190"/>
  <c r="T81" i="190"/>
  <c r="S81" i="190"/>
  <c r="Q81" i="190"/>
  <c r="P81" i="190"/>
  <c r="J81" i="190"/>
  <c r="I81" i="190"/>
  <c r="AH80" i="190"/>
  <c r="AG80" i="190"/>
  <c r="AF80" i="190"/>
  <c r="AD80" i="190"/>
  <c r="AC80" i="190"/>
  <c r="AB80" i="190"/>
  <c r="AA80" i="190"/>
  <c r="Z80" i="190"/>
  <c r="Y80" i="190"/>
  <c r="X80" i="190"/>
  <c r="W80" i="190"/>
  <c r="V80" i="190"/>
  <c r="U80" i="190"/>
  <c r="T80" i="190"/>
  <c r="S80" i="190"/>
  <c r="Q80" i="190"/>
  <c r="P80" i="190"/>
  <c r="J80" i="190"/>
  <c r="I80" i="190"/>
  <c r="AH79" i="190"/>
  <c r="AG79" i="190"/>
  <c r="AF79" i="190"/>
  <c r="AD79" i="190"/>
  <c r="AC79" i="190"/>
  <c r="AB79" i="190"/>
  <c r="AA79" i="190"/>
  <c r="Z79" i="190"/>
  <c r="Y79" i="190"/>
  <c r="X79" i="190"/>
  <c r="W79" i="190"/>
  <c r="V79" i="190"/>
  <c r="U79" i="190"/>
  <c r="T79" i="190"/>
  <c r="S79" i="190"/>
  <c r="Q79" i="190"/>
  <c r="P79" i="190"/>
  <c r="N79" i="190"/>
  <c r="J79" i="190"/>
  <c r="I79" i="190"/>
  <c r="AH78" i="190"/>
  <c r="AG78" i="190"/>
  <c r="AF78" i="190"/>
  <c r="AD78" i="190"/>
  <c r="AC78" i="190"/>
  <c r="AB78" i="190"/>
  <c r="AA78" i="190"/>
  <c r="Z78" i="190"/>
  <c r="Y78" i="190"/>
  <c r="X78" i="190"/>
  <c r="W78" i="190"/>
  <c r="V78" i="190"/>
  <c r="U78" i="190"/>
  <c r="T78" i="190"/>
  <c r="S78" i="190"/>
  <c r="Q78" i="190"/>
  <c r="P78" i="190"/>
  <c r="J78" i="190"/>
  <c r="I78" i="190"/>
  <c r="AH77" i="190"/>
  <c r="AG77" i="190"/>
  <c r="AF77" i="190"/>
  <c r="AD77" i="190"/>
  <c r="AC77" i="190"/>
  <c r="AB77" i="190"/>
  <c r="AA77" i="190"/>
  <c r="Z77" i="190"/>
  <c r="Y77" i="190"/>
  <c r="X77" i="190"/>
  <c r="W77" i="190"/>
  <c r="V77" i="190"/>
  <c r="U77" i="190"/>
  <c r="T77" i="190"/>
  <c r="S77" i="190"/>
  <c r="Q77" i="190"/>
  <c r="P77" i="190"/>
  <c r="J77" i="190"/>
  <c r="I77" i="190"/>
  <c r="AH76" i="190"/>
  <c r="AG76" i="190"/>
  <c r="AF76" i="190"/>
  <c r="AD76" i="190"/>
  <c r="AC76" i="190"/>
  <c r="AB76" i="190"/>
  <c r="AA76" i="190"/>
  <c r="Z76" i="190"/>
  <c r="Y76" i="190"/>
  <c r="X76" i="190"/>
  <c r="W76" i="190"/>
  <c r="V76" i="190"/>
  <c r="U76" i="190"/>
  <c r="T76" i="190"/>
  <c r="S76" i="190"/>
  <c r="Q76" i="190"/>
  <c r="P76" i="190"/>
  <c r="J76" i="190"/>
  <c r="I76" i="190"/>
  <c r="AH75" i="190"/>
  <c r="AG75" i="190"/>
  <c r="AF75" i="190"/>
  <c r="AD75" i="190"/>
  <c r="AC75" i="190"/>
  <c r="AB75" i="190"/>
  <c r="AA75" i="190"/>
  <c r="Z75" i="190"/>
  <c r="Y75" i="190"/>
  <c r="X75" i="190"/>
  <c r="W75" i="190"/>
  <c r="V75" i="190"/>
  <c r="U75" i="190"/>
  <c r="T75" i="190"/>
  <c r="S75" i="190"/>
  <c r="Q75" i="190"/>
  <c r="P75" i="190"/>
  <c r="J75" i="190"/>
  <c r="I75" i="190"/>
  <c r="AH74" i="190"/>
  <c r="AG74" i="190"/>
  <c r="AF74" i="190"/>
  <c r="AD74" i="190"/>
  <c r="AC74" i="190"/>
  <c r="AB74" i="190"/>
  <c r="AA74" i="190"/>
  <c r="Z74" i="190"/>
  <c r="Y74" i="190"/>
  <c r="X74" i="190"/>
  <c r="W74" i="190"/>
  <c r="V74" i="190"/>
  <c r="U74" i="190"/>
  <c r="T74" i="190"/>
  <c r="S74" i="190"/>
  <c r="Q74" i="190"/>
  <c r="P74" i="190"/>
  <c r="J74" i="190"/>
  <c r="I74" i="190"/>
  <c r="AH73" i="190"/>
  <c r="AG73" i="190"/>
  <c r="AF73" i="190"/>
  <c r="AD73" i="190"/>
  <c r="AC73" i="190"/>
  <c r="AB73" i="190"/>
  <c r="AA73" i="190"/>
  <c r="Z73" i="190"/>
  <c r="Y73" i="190"/>
  <c r="X73" i="190"/>
  <c r="W73" i="190"/>
  <c r="V73" i="190"/>
  <c r="U73" i="190"/>
  <c r="T73" i="190"/>
  <c r="S73" i="190"/>
  <c r="Q73" i="190"/>
  <c r="P73" i="190"/>
  <c r="J73" i="190"/>
  <c r="I73" i="190"/>
  <c r="AH72" i="190"/>
  <c r="AG72" i="190"/>
  <c r="AF72" i="190"/>
  <c r="AD72" i="190"/>
  <c r="AC72" i="190"/>
  <c r="AB72" i="190"/>
  <c r="AA72" i="190"/>
  <c r="Z72" i="190"/>
  <c r="Y72" i="190"/>
  <c r="X72" i="190"/>
  <c r="W72" i="190"/>
  <c r="V72" i="190"/>
  <c r="U72" i="190"/>
  <c r="T72" i="190"/>
  <c r="S72" i="190"/>
  <c r="Q72" i="190"/>
  <c r="P72" i="190"/>
  <c r="N72" i="190"/>
  <c r="J72" i="190"/>
  <c r="I72" i="190"/>
  <c r="AH71" i="190"/>
  <c r="AG71" i="190"/>
  <c r="AF71" i="190"/>
  <c r="AD71" i="190"/>
  <c r="AC71" i="190"/>
  <c r="AB71" i="190"/>
  <c r="AA71" i="190"/>
  <c r="Z71" i="190"/>
  <c r="Y71" i="190"/>
  <c r="X71" i="190"/>
  <c r="W71" i="190"/>
  <c r="V71" i="190"/>
  <c r="U71" i="190"/>
  <c r="T71" i="190"/>
  <c r="S71" i="190"/>
  <c r="Q71" i="190"/>
  <c r="P71" i="190"/>
  <c r="J71" i="190"/>
  <c r="I71" i="190"/>
  <c r="AH70" i="190"/>
  <c r="AG70" i="190"/>
  <c r="AF70" i="190"/>
  <c r="AD70" i="190"/>
  <c r="AC70" i="190"/>
  <c r="AB70" i="190"/>
  <c r="AA70" i="190"/>
  <c r="Z70" i="190"/>
  <c r="Y70" i="190"/>
  <c r="X70" i="190"/>
  <c r="W70" i="190"/>
  <c r="V70" i="190"/>
  <c r="U70" i="190"/>
  <c r="T70" i="190"/>
  <c r="S70" i="190"/>
  <c r="Q70" i="190"/>
  <c r="P70" i="190"/>
  <c r="J70" i="190"/>
  <c r="I70" i="190"/>
  <c r="AH69" i="190"/>
  <c r="AG69" i="190"/>
  <c r="AF69" i="190"/>
  <c r="AD69" i="190"/>
  <c r="AC69" i="190"/>
  <c r="AB69" i="190"/>
  <c r="AA69" i="190"/>
  <c r="Z69" i="190"/>
  <c r="Y69" i="190"/>
  <c r="X69" i="190"/>
  <c r="W69" i="190"/>
  <c r="V69" i="190"/>
  <c r="U69" i="190"/>
  <c r="T69" i="190"/>
  <c r="S69" i="190"/>
  <c r="Q69" i="190"/>
  <c r="P69" i="190"/>
  <c r="J69" i="190"/>
  <c r="I69" i="190"/>
  <c r="AH68" i="190"/>
  <c r="AG68" i="190"/>
  <c r="AF68" i="190"/>
  <c r="AD68" i="190"/>
  <c r="AC68" i="190"/>
  <c r="AB68" i="190"/>
  <c r="AA68" i="190"/>
  <c r="Z68" i="190"/>
  <c r="Y68" i="190"/>
  <c r="X68" i="190"/>
  <c r="W68" i="190"/>
  <c r="V68" i="190"/>
  <c r="U68" i="190"/>
  <c r="T68" i="190"/>
  <c r="S68" i="190"/>
  <c r="Q68" i="190"/>
  <c r="P68" i="190"/>
  <c r="J68" i="190"/>
  <c r="I68" i="190"/>
  <c r="AH67" i="190"/>
  <c r="AG67" i="190"/>
  <c r="AF67" i="190"/>
  <c r="AD67" i="190"/>
  <c r="AC67" i="190"/>
  <c r="AB67" i="190"/>
  <c r="AA67" i="190"/>
  <c r="Z67" i="190"/>
  <c r="Y67" i="190"/>
  <c r="X67" i="190"/>
  <c r="W67" i="190"/>
  <c r="V67" i="190"/>
  <c r="U67" i="190"/>
  <c r="T67" i="190"/>
  <c r="S67" i="190"/>
  <c r="Q67" i="190"/>
  <c r="P67" i="190"/>
  <c r="J67" i="190"/>
  <c r="I67" i="190"/>
  <c r="AH66" i="190"/>
  <c r="AG66" i="190"/>
  <c r="AF66" i="190"/>
  <c r="AD66" i="190"/>
  <c r="AC66" i="190"/>
  <c r="AB66" i="190"/>
  <c r="AA66" i="190"/>
  <c r="Z66" i="190"/>
  <c r="Y66" i="190"/>
  <c r="X66" i="190"/>
  <c r="W66" i="190"/>
  <c r="V66" i="190"/>
  <c r="U66" i="190"/>
  <c r="T66" i="190"/>
  <c r="S66" i="190"/>
  <c r="Q66" i="190"/>
  <c r="P66" i="190"/>
  <c r="J66" i="190"/>
  <c r="I66" i="190"/>
  <c r="AH65" i="190"/>
  <c r="AG65" i="190"/>
  <c r="AF65" i="190"/>
  <c r="AD65" i="190"/>
  <c r="AC65" i="190"/>
  <c r="AB65" i="190"/>
  <c r="AA65" i="190"/>
  <c r="Z65" i="190"/>
  <c r="Y65" i="190"/>
  <c r="X65" i="190"/>
  <c r="W65" i="190"/>
  <c r="V65" i="190"/>
  <c r="U65" i="190"/>
  <c r="T65" i="190"/>
  <c r="S65" i="190"/>
  <c r="Q65" i="190"/>
  <c r="P65" i="190"/>
  <c r="J65" i="190"/>
  <c r="I65" i="190"/>
  <c r="AH64" i="190"/>
  <c r="AG64" i="190"/>
  <c r="AF64" i="190"/>
  <c r="AD64" i="190"/>
  <c r="AC64" i="190"/>
  <c r="AB64" i="190"/>
  <c r="AA64" i="190"/>
  <c r="Z64" i="190"/>
  <c r="Y64" i="190"/>
  <c r="X64" i="190"/>
  <c r="W64" i="190"/>
  <c r="V64" i="190"/>
  <c r="U64" i="190"/>
  <c r="T64" i="190"/>
  <c r="S64" i="190"/>
  <c r="Q64" i="190"/>
  <c r="P64" i="190"/>
  <c r="J64" i="190"/>
  <c r="AI63" i="190"/>
  <c r="AH63" i="190"/>
  <c r="AG63" i="190"/>
  <c r="AF63" i="190"/>
  <c r="AE63" i="190"/>
  <c r="AD63" i="190"/>
  <c r="AC63" i="190"/>
  <c r="AB63" i="190"/>
  <c r="AA63" i="190"/>
  <c r="Z63" i="190"/>
  <c r="Y63" i="190"/>
  <c r="X63" i="190"/>
  <c r="W63" i="190"/>
  <c r="V63" i="190"/>
  <c r="U63" i="190"/>
  <c r="T63" i="190"/>
  <c r="S63" i="190"/>
  <c r="R63" i="190"/>
  <c r="Q63" i="190"/>
  <c r="P63" i="190"/>
  <c r="O63" i="190"/>
  <c r="N63" i="190"/>
  <c r="M63" i="190"/>
  <c r="L63" i="190"/>
  <c r="K63" i="190"/>
  <c r="J63" i="190"/>
  <c r="I63" i="190"/>
  <c r="H63" i="190"/>
  <c r="G63" i="190"/>
  <c r="F63" i="190"/>
  <c r="AH62" i="190"/>
  <c r="AG62" i="190"/>
  <c r="AF62" i="190"/>
  <c r="AD62" i="190"/>
  <c r="AC62" i="190"/>
  <c r="AB62" i="190"/>
  <c r="AA62" i="190"/>
  <c r="Z62" i="190"/>
  <c r="Y62" i="190"/>
  <c r="X62" i="190"/>
  <c r="W62" i="190"/>
  <c r="V62" i="190"/>
  <c r="U62" i="190"/>
  <c r="T62" i="190"/>
  <c r="S62" i="190"/>
  <c r="Q62" i="190"/>
  <c r="P62" i="190"/>
  <c r="K62" i="190"/>
  <c r="J62" i="190"/>
  <c r="I62" i="190"/>
  <c r="AH61" i="190"/>
  <c r="AG61" i="190"/>
  <c r="AF61" i="190"/>
  <c r="AD61" i="190"/>
  <c r="AC61" i="190"/>
  <c r="AB61" i="190"/>
  <c r="AA61" i="190"/>
  <c r="Z61" i="190"/>
  <c r="Y61" i="190"/>
  <c r="X61" i="190"/>
  <c r="W61" i="190"/>
  <c r="V61" i="190"/>
  <c r="U61" i="190"/>
  <c r="T61" i="190"/>
  <c r="S61" i="190"/>
  <c r="Q61" i="190"/>
  <c r="P61" i="190"/>
  <c r="K61" i="190"/>
  <c r="J61" i="190"/>
  <c r="I61" i="190"/>
  <c r="AH60" i="190"/>
  <c r="AG60" i="190"/>
  <c r="AF60" i="190"/>
  <c r="AD60" i="190"/>
  <c r="AC60" i="190"/>
  <c r="AB60" i="190"/>
  <c r="AA60" i="190"/>
  <c r="Z60" i="190"/>
  <c r="Y60" i="190"/>
  <c r="X60" i="190"/>
  <c r="W60" i="190"/>
  <c r="V60" i="190"/>
  <c r="U60" i="190"/>
  <c r="T60" i="190"/>
  <c r="Q60" i="190"/>
  <c r="P60" i="190"/>
  <c r="K60" i="190"/>
  <c r="J60" i="190"/>
  <c r="I60" i="190"/>
  <c r="AH59" i="190"/>
  <c r="AG59" i="190"/>
  <c r="AF59" i="190"/>
  <c r="AD59" i="190"/>
  <c r="AC59" i="190"/>
  <c r="AB59" i="190"/>
  <c r="AA59" i="190"/>
  <c r="Z59" i="190"/>
  <c r="Y59" i="190"/>
  <c r="X59" i="190"/>
  <c r="W59" i="190"/>
  <c r="V59" i="190"/>
  <c r="U59" i="190"/>
  <c r="T59" i="190"/>
  <c r="S59" i="190"/>
  <c r="Q59" i="190"/>
  <c r="P59" i="190"/>
  <c r="J59" i="190"/>
  <c r="I59" i="190"/>
  <c r="AH58" i="190"/>
  <c r="AG58" i="190"/>
  <c r="AF58" i="190"/>
  <c r="AD58" i="190"/>
  <c r="AC58" i="190"/>
  <c r="AB58" i="190"/>
  <c r="AA58" i="190"/>
  <c r="Z58" i="190"/>
  <c r="Y58" i="190"/>
  <c r="X58" i="190"/>
  <c r="W58" i="190"/>
  <c r="V58" i="190"/>
  <c r="U58" i="190"/>
  <c r="T58" i="190"/>
  <c r="S58" i="190"/>
  <c r="Q58" i="190"/>
  <c r="P58" i="190"/>
  <c r="J58" i="190"/>
  <c r="I58" i="190"/>
  <c r="AH57" i="190"/>
  <c r="AG57" i="190"/>
  <c r="AF57" i="190"/>
  <c r="AD57" i="190"/>
  <c r="AC57" i="190"/>
  <c r="AB57" i="190"/>
  <c r="AA57" i="190"/>
  <c r="Z57" i="190"/>
  <c r="Y57" i="190"/>
  <c r="X57" i="190"/>
  <c r="W57" i="190"/>
  <c r="V57" i="190"/>
  <c r="U57" i="190"/>
  <c r="T57" i="190"/>
  <c r="S57" i="190"/>
  <c r="Q57" i="190"/>
  <c r="P57" i="190"/>
  <c r="J57" i="190"/>
  <c r="I57" i="190"/>
  <c r="AH56" i="190"/>
  <c r="AG56" i="190"/>
  <c r="AF56" i="190"/>
  <c r="AD56" i="190"/>
  <c r="AC56" i="190"/>
  <c r="AB56" i="190"/>
  <c r="AA56" i="190"/>
  <c r="Z56" i="190"/>
  <c r="Y56" i="190"/>
  <c r="X56" i="190"/>
  <c r="W56" i="190"/>
  <c r="V56" i="190"/>
  <c r="U56" i="190"/>
  <c r="T56" i="190"/>
  <c r="S56" i="190"/>
  <c r="Q56" i="190"/>
  <c r="P56" i="190"/>
  <c r="J56" i="190"/>
  <c r="I56" i="190"/>
  <c r="AH55" i="190"/>
  <c r="AG55" i="190"/>
  <c r="AF55" i="190"/>
  <c r="AD55" i="190"/>
  <c r="AC55" i="190"/>
  <c r="AB55" i="190"/>
  <c r="AA55" i="190"/>
  <c r="Z55" i="190"/>
  <c r="Y55" i="190"/>
  <c r="X55" i="190"/>
  <c r="W55" i="190"/>
  <c r="V55" i="190"/>
  <c r="U55" i="190"/>
  <c r="T55" i="190"/>
  <c r="S55" i="190"/>
  <c r="Q55" i="190"/>
  <c r="P55" i="190"/>
  <c r="J55" i="190"/>
  <c r="I55" i="190"/>
  <c r="AH54" i="190"/>
  <c r="AG54" i="190"/>
  <c r="AF54" i="190"/>
  <c r="AD54" i="190"/>
  <c r="AC54" i="190"/>
  <c r="AB54" i="190"/>
  <c r="AA54" i="190"/>
  <c r="Z54" i="190"/>
  <c r="Y54" i="190"/>
  <c r="X54" i="190"/>
  <c r="W54" i="190"/>
  <c r="V54" i="190"/>
  <c r="U54" i="190"/>
  <c r="T54" i="190"/>
  <c r="S54" i="190"/>
  <c r="Q54" i="190"/>
  <c r="P54" i="190"/>
  <c r="J54" i="190"/>
  <c r="I54" i="190"/>
  <c r="AH53" i="190"/>
  <c r="AG53" i="190"/>
  <c r="AF53" i="190"/>
  <c r="AD53" i="190"/>
  <c r="AC53" i="190"/>
  <c r="AB53" i="190"/>
  <c r="AA53" i="190"/>
  <c r="Z53" i="190"/>
  <c r="Y53" i="190"/>
  <c r="X53" i="190"/>
  <c r="W53" i="190"/>
  <c r="V53" i="190"/>
  <c r="U53" i="190"/>
  <c r="T53" i="190"/>
  <c r="Q53" i="190"/>
  <c r="P53" i="190"/>
  <c r="J53" i="190"/>
  <c r="I53" i="190"/>
  <c r="F53" i="190"/>
  <c r="AH52" i="190"/>
  <c r="AG52" i="190"/>
  <c r="AF52" i="190"/>
  <c r="AD52" i="190"/>
  <c r="AC52" i="190"/>
  <c r="AB52" i="190"/>
  <c r="AA52" i="190"/>
  <c r="Z52" i="190"/>
  <c r="Y52" i="190"/>
  <c r="X52" i="190"/>
  <c r="W52" i="190"/>
  <c r="V52" i="190"/>
  <c r="U52" i="190"/>
  <c r="T52" i="190"/>
  <c r="Q52" i="190"/>
  <c r="P52" i="190"/>
  <c r="J52" i="190"/>
  <c r="I52" i="190"/>
  <c r="F52" i="190"/>
  <c r="AH51" i="190"/>
  <c r="AG51" i="190"/>
  <c r="AF51" i="190"/>
  <c r="AD51" i="190"/>
  <c r="AC51" i="190"/>
  <c r="AB51" i="190"/>
  <c r="AA51" i="190"/>
  <c r="Z51" i="190"/>
  <c r="Y51" i="190"/>
  <c r="X51" i="190"/>
  <c r="W51" i="190"/>
  <c r="V51" i="190"/>
  <c r="U51" i="190"/>
  <c r="T51" i="190"/>
  <c r="Q51" i="190"/>
  <c r="P51" i="190"/>
  <c r="J51" i="190"/>
  <c r="I51" i="190"/>
  <c r="F51" i="190"/>
  <c r="AH50" i="190"/>
  <c r="AG50" i="190"/>
  <c r="AF50" i="190"/>
  <c r="AD50" i="190"/>
  <c r="AC50" i="190"/>
  <c r="AB50" i="190"/>
  <c r="AA50" i="190"/>
  <c r="Z50" i="190"/>
  <c r="Y50" i="190"/>
  <c r="X50" i="190"/>
  <c r="W50" i="190"/>
  <c r="V50" i="190"/>
  <c r="U50" i="190"/>
  <c r="T50" i="190"/>
  <c r="Q50" i="190"/>
  <c r="P50" i="190"/>
  <c r="J50" i="190"/>
  <c r="I50" i="190"/>
  <c r="AH49" i="190"/>
  <c r="AG49" i="190"/>
  <c r="AF49" i="190"/>
  <c r="AD49" i="190"/>
  <c r="AC49" i="190"/>
  <c r="AB49" i="190"/>
  <c r="AA49" i="190"/>
  <c r="Z49" i="190"/>
  <c r="Y49" i="190"/>
  <c r="X49" i="190"/>
  <c r="W49" i="190"/>
  <c r="V49" i="190"/>
  <c r="U49" i="190"/>
  <c r="T49" i="190"/>
  <c r="Q49" i="190"/>
  <c r="P49" i="190"/>
  <c r="J49" i="190"/>
  <c r="I49" i="190"/>
  <c r="AH48" i="190"/>
  <c r="AG48" i="190"/>
  <c r="AF48" i="190"/>
  <c r="AD48" i="190"/>
  <c r="AC48" i="190"/>
  <c r="AB48" i="190"/>
  <c r="AA48" i="190"/>
  <c r="Z48" i="190"/>
  <c r="Y48" i="190"/>
  <c r="X48" i="190"/>
  <c r="W48" i="190"/>
  <c r="V48" i="190"/>
  <c r="U48" i="190"/>
  <c r="T48" i="190"/>
  <c r="Q48" i="190"/>
  <c r="P48" i="190"/>
  <c r="N48" i="190"/>
  <c r="J48" i="190"/>
  <c r="I48" i="190"/>
  <c r="AH47" i="190"/>
  <c r="AG47" i="190"/>
  <c r="AF47" i="190"/>
  <c r="AD47" i="190"/>
  <c r="AC47" i="190"/>
  <c r="AB47" i="190"/>
  <c r="AA47" i="190"/>
  <c r="Z47" i="190"/>
  <c r="Y47" i="190"/>
  <c r="X47" i="190"/>
  <c r="W47" i="190"/>
  <c r="V47" i="190"/>
  <c r="U47" i="190"/>
  <c r="T47" i="190"/>
  <c r="Q47" i="190"/>
  <c r="P47" i="190"/>
  <c r="J47" i="190"/>
  <c r="I47" i="190"/>
  <c r="AH46" i="190"/>
  <c r="AG46" i="190"/>
  <c r="AF46" i="190"/>
  <c r="AD46" i="190"/>
  <c r="AC46" i="190"/>
  <c r="AB46" i="190"/>
  <c r="AA46" i="190"/>
  <c r="Z46" i="190"/>
  <c r="Y46" i="190"/>
  <c r="X46" i="190"/>
  <c r="W46" i="190"/>
  <c r="V46" i="190"/>
  <c r="U46" i="190"/>
  <c r="T46" i="190"/>
  <c r="S46" i="190"/>
  <c r="Q46" i="190"/>
  <c r="P46" i="190"/>
  <c r="J46" i="190"/>
  <c r="I46" i="190"/>
  <c r="AH45" i="190"/>
  <c r="AG45" i="190"/>
  <c r="AF45" i="190"/>
  <c r="AD45" i="190"/>
  <c r="AC45" i="190"/>
  <c r="AB45" i="190"/>
  <c r="AA45" i="190"/>
  <c r="Z45" i="190"/>
  <c r="Y45" i="190"/>
  <c r="X45" i="190"/>
  <c r="W45" i="190"/>
  <c r="V45" i="190"/>
  <c r="U45" i="190"/>
  <c r="T45" i="190"/>
  <c r="Q45" i="190"/>
  <c r="P45" i="190"/>
  <c r="J45" i="190"/>
  <c r="I45" i="190"/>
  <c r="AH44" i="190"/>
  <c r="AG44" i="190"/>
  <c r="AF44" i="190"/>
  <c r="AD44" i="190"/>
  <c r="AC44" i="190"/>
  <c r="AB44" i="190"/>
  <c r="AA44" i="190"/>
  <c r="Z44" i="190"/>
  <c r="Y44" i="190"/>
  <c r="X44" i="190"/>
  <c r="W44" i="190"/>
  <c r="V44" i="190"/>
  <c r="U44" i="190"/>
  <c r="T44" i="190"/>
  <c r="Q44" i="190"/>
  <c r="P44" i="190"/>
  <c r="J44" i="190"/>
  <c r="I44" i="190"/>
  <c r="AH43" i="190"/>
  <c r="AG43" i="190"/>
  <c r="AF43" i="190"/>
  <c r="AD43" i="190"/>
  <c r="AC43" i="190"/>
  <c r="AB43" i="190"/>
  <c r="AA43" i="190"/>
  <c r="Z43" i="190"/>
  <c r="Y43" i="190"/>
  <c r="X43" i="190"/>
  <c r="W43" i="190"/>
  <c r="V43" i="190"/>
  <c r="U43" i="190"/>
  <c r="T43" i="190"/>
  <c r="Q43" i="190"/>
  <c r="P43" i="190"/>
  <c r="J43" i="190"/>
  <c r="I43" i="190"/>
  <c r="AH42" i="190"/>
  <c r="AG42" i="190"/>
  <c r="AF42" i="190"/>
  <c r="AD42" i="190"/>
  <c r="AC42" i="190"/>
  <c r="AB42" i="190"/>
  <c r="AA42" i="190"/>
  <c r="Z42" i="190"/>
  <c r="Y42" i="190"/>
  <c r="X42" i="190"/>
  <c r="W42" i="190"/>
  <c r="V42" i="190"/>
  <c r="U42" i="190"/>
  <c r="T42" i="190"/>
  <c r="S42" i="190"/>
  <c r="Q42" i="190"/>
  <c r="P42" i="190"/>
  <c r="J42" i="190"/>
  <c r="I42" i="190"/>
  <c r="AH41" i="190"/>
  <c r="AG41" i="190"/>
  <c r="AF41" i="190"/>
  <c r="AD41" i="190"/>
  <c r="AC41" i="190"/>
  <c r="AB41" i="190"/>
  <c r="AA41" i="190"/>
  <c r="Z41" i="190"/>
  <c r="Y41" i="190"/>
  <c r="X41" i="190"/>
  <c r="W41" i="190"/>
  <c r="V41" i="190"/>
  <c r="U41" i="190"/>
  <c r="T41" i="190"/>
  <c r="S41" i="190"/>
  <c r="Q41" i="190"/>
  <c r="P41" i="190"/>
  <c r="J41" i="190"/>
  <c r="I41" i="190"/>
  <c r="AH40" i="190"/>
  <c r="AG40" i="190"/>
  <c r="AF40" i="190"/>
  <c r="AD40" i="190"/>
  <c r="AC40" i="190"/>
  <c r="AB40" i="190"/>
  <c r="AA40" i="190"/>
  <c r="Z40" i="190"/>
  <c r="Y40" i="190"/>
  <c r="X40" i="190"/>
  <c r="W40" i="190"/>
  <c r="V40" i="190"/>
  <c r="U40" i="190"/>
  <c r="T40" i="190"/>
  <c r="S40" i="190"/>
  <c r="Q40" i="190"/>
  <c r="P40" i="190"/>
  <c r="J40" i="190"/>
  <c r="I40" i="190"/>
  <c r="AH39" i="190"/>
  <c r="AG39" i="190"/>
  <c r="AF39" i="190"/>
  <c r="AD39" i="190"/>
  <c r="AC39" i="190"/>
  <c r="AB39" i="190"/>
  <c r="AA39" i="190"/>
  <c r="Z39" i="190"/>
  <c r="Y39" i="190"/>
  <c r="X39" i="190"/>
  <c r="W39" i="190"/>
  <c r="V39" i="190"/>
  <c r="U39" i="190"/>
  <c r="T39" i="190"/>
  <c r="S39" i="190"/>
  <c r="Q39" i="190"/>
  <c r="P39" i="190"/>
  <c r="N39" i="190"/>
  <c r="J39" i="190"/>
  <c r="I39" i="190"/>
  <c r="AH38" i="190"/>
  <c r="AG38" i="190"/>
  <c r="AF38" i="190"/>
  <c r="AD38" i="190"/>
  <c r="AC38" i="190"/>
  <c r="AB38" i="190"/>
  <c r="AA38" i="190"/>
  <c r="Z38" i="190"/>
  <c r="Y38" i="190"/>
  <c r="X38" i="190"/>
  <c r="W38" i="190"/>
  <c r="V38" i="190"/>
  <c r="U38" i="190"/>
  <c r="T38" i="190"/>
  <c r="S38" i="190"/>
  <c r="Q38" i="190"/>
  <c r="P38" i="190"/>
  <c r="J38" i="190"/>
  <c r="I38" i="190"/>
  <c r="AH37" i="190"/>
  <c r="AG37" i="190"/>
  <c r="AF37" i="190"/>
  <c r="AD37" i="190"/>
  <c r="AC37" i="190"/>
  <c r="AB37" i="190"/>
  <c r="AA37" i="190"/>
  <c r="Z37" i="190"/>
  <c r="Y37" i="190"/>
  <c r="X37" i="190"/>
  <c r="W37" i="190"/>
  <c r="V37" i="190"/>
  <c r="U37" i="190"/>
  <c r="T37" i="190"/>
  <c r="S37" i="190"/>
  <c r="Q37" i="190"/>
  <c r="P37" i="190"/>
  <c r="J37" i="190"/>
  <c r="I37" i="190"/>
  <c r="AH36" i="190"/>
  <c r="AG36" i="190"/>
  <c r="AF36" i="190"/>
  <c r="AD36" i="190"/>
  <c r="AC36" i="190"/>
  <c r="AB36" i="190"/>
  <c r="AA36" i="190"/>
  <c r="Z36" i="190"/>
  <c r="Y36" i="190"/>
  <c r="X36" i="190"/>
  <c r="W36" i="190"/>
  <c r="V36" i="190"/>
  <c r="U36" i="190"/>
  <c r="T36" i="190"/>
  <c r="S36" i="190"/>
  <c r="Q36" i="190"/>
  <c r="P36" i="190"/>
  <c r="J36" i="190"/>
  <c r="I36" i="190"/>
  <c r="AH35" i="190"/>
  <c r="AG35" i="190"/>
  <c r="AF35" i="190"/>
  <c r="AD35" i="190"/>
  <c r="AC35" i="190"/>
  <c r="AB35" i="190"/>
  <c r="AA35" i="190"/>
  <c r="Z35" i="190"/>
  <c r="Y35" i="190"/>
  <c r="X35" i="190"/>
  <c r="W35" i="190"/>
  <c r="V35" i="190"/>
  <c r="U35" i="190"/>
  <c r="T35" i="190"/>
  <c r="S35" i="190"/>
  <c r="Q35" i="190"/>
  <c r="P35" i="190"/>
  <c r="J35" i="190"/>
  <c r="I35" i="190"/>
  <c r="AH34" i="190"/>
  <c r="AG34" i="190"/>
  <c r="AF34" i="190"/>
  <c r="AD34" i="190"/>
  <c r="AC34" i="190"/>
  <c r="AB34" i="190"/>
  <c r="AA34" i="190"/>
  <c r="Z34" i="190"/>
  <c r="Y34" i="190"/>
  <c r="X34" i="190"/>
  <c r="W34" i="190"/>
  <c r="V34" i="190"/>
  <c r="U34" i="190"/>
  <c r="T34" i="190"/>
  <c r="S34" i="190"/>
  <c r="Q34" i="190"/>
  <c r="P34" i="190"/>
  <c r="J34" i="190"/>
  <c r="I34" i="190"/>
  <c r="AH33" i="190"/>
  <c r="AG33" i="190"/>
  <c r="AF33" i="190"/>
  <c r="AD33" i="190"/>
  <c r="AC33" i="190"/>
  <c r="AB33" i="190"/>
  <c r="AA33" i="190"/>
  <c r="Z33" i="190"/>
  <c r="Y33" i="190"/>
  <c r="X33" i="190"/>
  <c r="W33" i="190"/>
  <c r="V33" i="190"/>
  <c r="U33" i="190"/>
  <c r="T33" i="190"/>
  <c r="S33" i="190"/>
  <c r="Q33" i="190"/>
  <c r="P33" i="190"/>
  <c r="J33" i="190"/>
  <c r="I33" i="190"/>
  <c r="AH32" i="190"/>
  <c r="AG32" i="190"/>
  <c r="AF32" i="190"/>
  <c r="AD32" i="190"/>
  <c r="AC32" i="190"/>
  <c r="AB32" i="190"/>
  <c r="AA32" i="190"/>
  <c r="Z32" i="190"/>
  <c r="Y32" i="190"/>
  <c r="X32" i="190"/>
  <c r="W32" i="190"/>
  <c r="V32" i="190"/>
  <c r="U32" i="190"/>
  <c r="T32" i="190"/>
  <c r="S32" i="190"/>
  <c r="Q32" i="190"/>
  <c r="P32" i="190"/>
  <c r="AH31" i="190"/>
  <c r="AG31" i="190"/>
  <c r="AF31" i="190"/>
  <c r="AD31" i="190"/>
  <c r="AC31" i="190"/>
  <c r="AB31" i="190"/>
  <c r="AA31" i="190"/>
  <c r="Z31" i="190"/>
  <c r="Y31" i="190"/>
  <c r="X31" i="190"/>
  <c r="W31" i="190"/>
  <c r="V31" i="190"/>
  <c r="U31" i="190"/>
  <c r="T31" i="190"/>
  <c r="S31" i="190"/>
  <c r="Q31" i="190"/>
  <c r="P31" i="190"/>
  <c r="J31" i="190"/>
  <c r="I31" i="190"/>
  <c r="AH30" i="190"/>
  <c r="AG30" i="190"/>
  <c r="AF30" i="190"/>
  <c r="AD30" i="190"/>
  <c r="AC30" i="190"/>
  <c r="AB30" i="190"/>
  <c r="AA30" i="190"/>
  <c r="Z30" i="190"/>
  <c r="Y30" i="190"/>
  <c r="X30" i="190"/>
  <c r="W30" i="190"/>
  <c r="V30" i="190"/>
  <c r="U30" i="190"/>
  <c r="T30" i="190"/>
  <c r="S30" i="190"/>
  <c r="Q30" i="190"/>
  <c r="P30" i="190"/>
  <c r="J30" i="190"/>
  <c r="I30" i="190"/>
  <c r="AH29" i="190"/>
  <c r="AG29" i="190"/>
  <c r="AF29" i="190"/>
  <c r="AD29" i="190"/>
  <c r="AC29" i="190"/>
  <c r="AB29" i="190"/>
  <c r="AA29" i="190"/>
  <c r="Z29" i="190"/>
  <c r="Y29" i="190"/>
  <c r="X29" i="190"/>
  <c r="W29" i="190"/>
  <c r="V29" i="190"/>
  <c r="U29" i="190"/>
  <c r="T29" i="190"/>
  <c r="S29" i="190"/>
  <c r="Q29" i="190"/>
  <c r="P29" i="190"/>
  <c r="J29" i="190"/>
  <c r="I29" i="190"/>
  <c r="AH28" i="190"/>
  <c r="AG28" i="190"/>
  <c r="AF28" i="190"/>
  <c r="AD28" i="190"/>
  <c r="AC28" i="190"/>
  <c r="AB28" i="190"/>
  <c r="AA28" i="190"/>
  <c r="Z28" i="190"/>
  <c r="Y28" i="190"/>
  <c r="X28" i="190"/>
  <c r="W28" i="190"/>
  <c r="V28" i="190"/>
  <c r="U28" i="190"/>
  <c r="T28" i="190"/>
  <c r="S28" i="190"/>
  <c r="Q28" i="190"/>
  <c r="P28" i="190"/>
  <c r="J28" i="190"/>
  <c r="I28" i="190"/>
  <c r="AH27" i="190"/>
  <c r="AG27" i="190"/>
  <c r="AF27" i="190"/>
  <c r="AD27" i="190"/>
  <c r="AC27" i="190"/>
  <c r="AB27" i="190"/>
  <c r="AA27" i="190"/>
  <c r="Z27" i="190"/>
  <c r="Y27" i="190"/>
  <c r="X27" i="190"/>
  <c r="W27" i="190"/>
  <c r="V27" i="190"/>
  <c r="U27" i="190"/>
  <c r="T27" i="190"/>
  <c r="S27" i="190"/>
  <c r="Q27" i="190"/>
  <c r="P27" i="190"/>
  <c r="J27" i="190"/>
  <c r="I27" i="190"/>
  <c r="AH26" i="190"/>
  <c r="AG26" i="190"/>
  <c r="AF26" i="190"/>
  <c r="AD26" i="190"/>
  <c r="AC26" i="190"/>
  <c r="AB26" i="190"/>
  <c r="AA26" i="190"/>
  <c r="Z26" i="190"/>
  <c r="Y26" i="190"/>
  <c r="X26" i="190"/>
  <c r="W26" i="190"/>
  <c r="V26" i="190"/>
  <c r="U26" i="190"/>
  <c r="T26" i="190"/>
  <c r="S26" i="190"/>
  <c r="Q26" i="190"/>
  <c r="P26" i="190"/>
  <c r="J26" i="190"/>
  <c r="I26" i="190"/>
  <c r="AH25" i="190"/>
  <c r="AG25" i="190"/>
  <c r="AF25" i="190"/>
  <c r="AD25" i="190"/>
  <c r="AC25" i="190"/>
  <c r="AB25" i="190"/>
  <c r="AA25" i="190"/>
  <c r="Z25" i="190"/>
  <c r="Y25" i="190"/>
  <c r="X25" i="190"/>
  <c r="W25" i="190"/>
  <c r="V25" i="190"/>
  <c r="U25" i="190"/>
  <c r="T25" i="190"/>
  <c r="S25" i="190"/>
  <c r="Q25" i="190"/>
  <c r="P25" i="190"/>
  <c r="J25" i="190"/>
  <c r="I25" i="190"/>
  <c r="AH24" i="190"/>
  <c r="AG24" i="190"/>
  <c r="AF24" i="190"/>
  <c r="AD24" i="190"/>
  <c r="AC24" i="190"/>
  <c r="AB24" i="190"/>
  <c r="AA24" i="190"/>
  <c r="Z24" i="190"/>
  <c r="Y24" i="190"/>
  <c r="X24" i="190"/>
  <c r="W24" i="190"/>
  <c r="V24" i="190"/>
  <c r="U24" i="190"/>
  <c r="T24" i="190"/>
  <c r="S24" i="190"/>
  <c r="Q24" i="190"/>
  <c r="P24" i="190"/>
  <c r="J24" i="190"/>
  <c r="I24" i="190"/>
  <c r="AH23" i="190"/>
  <c r="AG23" i="190"/>
  <c r="AF23" i="190"/>
  <c r="AD23" i="190"/>
  <c r="AC23" i="190"/>
  <c r="AB23" i="190"/>
  <c r="AA23" i="190"/>
  <c r="Z23" i="190"/>
  <c r="Y23" i="190"/>
  <c r="X23" i="190"/>
  <c r="W23" i="190"/>
  <c r="V23" i="190"/>
  <c r="U23" i="190"/>
  <c r="T23" i="190"/>
  <c r="S23" i="190"/>
  <c r="Q23" i="190"/>
  <c r="P23" i="190"/>
  <c r="J23" i="190"/>
  <c r="I23" i="190"/>
  <c r="AH22" i="190"/>
  <c r="AG22" i="190"/>
  <c r="AF22" i="190"/>
  <c r="AD22" i="190"/>
  <c r="AC22" i="190"/>
  <c r="AB22" i="190"/>
  <c r="AA22" i="190"/>
  <c r="Z22" i="190"/>
  <c r="Y22" i="190"/>
  <c r="X22" i="190"/>
  <c r="W22" i="190"/>
  <c r="V22" i="190"/>
  <c r="U22" i="190"/>
  <c r="T22" i="190"/>
  <c r="S22" i="190"/>
  <c r="Q22" i="190"/>
  <c r="P22" i="190"/>
  <c r="J22" i="190"/>
  <c r="I22" i="190"/>
  <c r="AH21" i="190"/>
  <c r="AG21" i="190"/>
  <c r="AF21" i="190"/>
  <c r="AD21" i="190"/>
  <c r="AC21" i="190"/>
  <c r="AB21" i="190"/>
  <c r="AA21" i="190"/>
  <c r="Z21" i="190"/>
  <c r="Y21" i="190"/>
  <c r="X21" i="190"/>
  <c r="W21" i="190"/>
  <c r="V21" i="190"/>
  <c r="U21" i="190"/>
  <c r="T21" i="190"/>
  <c r="S21" i="190"/>
  <c r="Q21" i="190"/>
  <c r="P21" i="190"/>
  <c r="J21" i="190"/>
  <c r="I21" i="190"/>
  <c r="F21" i="190"/>
  <c r="AH20" i="190"/>
  <c r="AG20" i="190"/>
  <c r="AF20" i="190"/>
  <c r="AD20" i="190"/>
  <c r="AC20" i="190"/>
  <c r="AB20" i="190"/>
  <c r="AA20" i="190"/>
  <c r="Z20" i="190"/>
  <c r="Y20" i="190"/>
  <c r="X20" i="190"/>
  <c r="W20" i="190"/>
  <c r="V20" i="190"/>
  <c r="U20" i="190"/>
  <c r="T20" i="190"/>
  <c r="S20" i="190"/>
  <c r="Q20" i="190"/>
  <c r="P20" i="190"/>
  <c r="K20" i="190"/>
  <c r="J20" i="190"/>
  <c r="I20" i="190"/>
  <c r="AH19" i="190"/>
  <c r="AG19" i="190"/>
  <c r="AF19" i="190"/>
  <c r="AD19" i="190"/>
  <c r="AC19" i="190"/>
  <c r="AB19" i="190"/>
  <c r="AA19" i="190"/>
  <c r="Z19" i="190"/>
  <c r="Y19" i="190"/>
  <c r="X19" i="190"/>
  <c r="W19" i="190"/>
  <c r="V19" i="190"/>
  <c r="U19" i="190"/>
  <c r="T19" i="190"/>
  <c r="S19" i="190"/>
  <c r="Q19" i="190"/>
  <c r="P19" i="190"/>
  <c r="K19" i="190"/>
  <c r="J19" i="190"/>
  <c r="I19" i="190"/>
  <c r="AH18" i="190"/>
  <c r="AG18" i="190"/>
  <c r="AF18" i="190"/>
  <c r="AD18" i="190"/>
  <c r="AC18" i="190"/>
  <c r="AB18" i="190"/>
  <c r="AA18" i="190"/>
  <c r="Z18" i="190"/>
  <c r="Y18" i="190"/>
  <c r="X18" i="190"/>
  <c r="W18" i="190"/>
  <c r="V18" i="190"/>
  <c r="U18" i="190"/>
  <c r="T18" i="190"/>
  <c r="S18" i="190"/>
  <c r="Q18" i="190"/>
  <c r="P18" i="190"/>
  <c r="J18" i="190"/>
  <c r="I18" i="190"/>
  <c r="AH17" i="190"/>
  <c r="AG17" i="190"/>
  <c r="AF17" i="190"/>
  <c r="AD17" i="190"/>
  <c r="AC17" i="190"/>
  <c r="AB17" i="190"/>
  <c r="AA17" i="190"/>
  <c r="Z17" i="190"/>
  <c r="Y17" i="190"/>
  <c r="X17" i="190"/>
  <c r="W17" i="190"/>
  <c r="V17" i="190"/>
  <c r="U17" i="190"/>
  <c r="T17" i="190"/>
  <c r="S17" i="190"/>
  <c r="Q17" i="190"/>
  <c r="P17" i="190"/>
  <c r="J17" i="190"/>
  <c r="I17" i="190"/>
  <c r="AH16" i="190"/>
  <c r="AG16" i="190"/>
  <c r="AF16" i="190"/>
  <c r="AD16" i="190"/>
  <c r="AC16" i="190"/>
  <c r="AB16" i="190"/>
  <c r="AA16" i="190"/>
  <c r="Z16" i="190"/>
  <c r="Y16" i="190"/>
  <c r="X16" i="190"/>
  <c r="W16" i="190"/>
  <c r="V16" i="190"/>
  <c r="U16" i="190"/>
  <c r="T16" i="190"/>
  <c r="S16" i="190"/>
  <c r="Q16" i="190"/>
  <c r="P16" i="190"/>
  <c r="J16" i="190"/>
  <c r="I16" i="190"/>
  <c r="AH15" i="190"/>
  <c r="AG15" i="190"/>
  <c r="AF15" i="190"/>
  <c r="AD15" i="190"/>
  <c r="AC15" i="190"/>
  <c r="AB15" i="190"/>
  <c r="AA15" i="190"/>
  <c r="Z15" i="190"/>
  <c r="Y15" i="190"/>
  <c r="X15" i="190"/>
  <c r="W15" i="190"/>
  <c r="V15" i="190"/>
  <c r="U15" i="190"/>
  <c r="T15" i="190"/>
  <c r="S15" i="190"/>
  <c r="Q15" i="190"/>
  <c r="P15" i="190"/>
  <c r="J15" i="190"/>
  <c r="I15" i="190"/>
  <c r="AH14" i="190"/>
  <c r="AG14" i="190"/>
  <c r="AF14" i="190"/>
  <c r="AD14" i="190"/>
  <c r="AC14" i="190"/>
  <c r="AB14" i="190"/>
  <c r="AA14" i="190"/>
  <c r="Z14" i="190"/>
  <c r="Y14" i="190"/>
  <c r="X14" i="190"/>
  <c r="W14" i="190"/>
  <c r="V14" i="190"/>
  <c r="U14" i="190"/>
  <c r="T14" i="190"/>
  <c r="S14" i="190"/>
  <c r="Q14" i="190"/>
  <c r="P14" i="190"/>
  <c r="J14" i="190"/>
  <c r="I14" i="190"/>
  <c r="AH13" i="190"/>
  <c r="AG13" i="190"/>
  <c r="AF13" i="190"/>
  <c r="AD13" i="190"/>
  <c r="AC13" i="190"/>
  <c r="AB13" i="190"/>
  <c r="AA13" i="190"/>
  <c r="Z13" i="190"/>
  <c r="Y13" i="190"/>
  <c r="X13" i="190"/>
  <c r="W13" i="190"/>
  <c r="V13" i="190"/>
  <c r="U13" i="190"/>
  <c r="T13" i="190"/>
  <c r="S13" i="190"/>
  <c r="Q13" i="190"/>
  <c r="P13" i="190"/>
  <c r="J13" i="190"/>
  <c r="I13" i="190"/>
  <c r="AH12" i="190"/>
  <c r="AG12" i="190"/>
  <c r="AF12" i="190"/>
  <c r="AD12" i="190"/>
  <c r="AC12" i="190"/>
  <c r="AB12" i="190"/>
  <c r="AA12" i="190"/>
  <c r="Z12" i="190"/>
  <c r="Y12" i="190"/>
  <c r="X12" i="190"/>
  <c r="W12" i="190"/>
  <c r="V12" i="190"/>
  <c r="U12" i="190"/>
  <c r="T12" i="190"/>
  <c r="S12" i="190"/>
  <c r="Q12" i="190"/>
  <c r="P12" i="190"/>
  <c r="J12" i="190"/>
  <c r="I12" i="190"/>
  <c r="AH11" i="190"/>
  <c r="AG11" i="190"/>
  <c r="AF11" i="190"/>
  <c r="AD11" i="190"/>
  <c r="AC11" i="190"/>
  <c r="AB11" i="190"/>
  <c r="AA11" i="190"/>
  <c r="Z11" i="190"/>
  <c r="Y11" i="190"/>
  <c r="X11" i="190"/>
  <c r="W11" i="190"/>
  <c r="V11" i="190"/>
  <c r="U11" i="190"/>
  <c r="T11" i="190"/>
  <c r="S11" i="190"/>
  <c r="Q11" i="190"/>
  <c r="P11" i="190"/>
  <c r="I11" i="190"/>
  <c r="AH10" i="190"/>
  <c r="AG10" i="190"/>
  <c r="AF10" i="190"/>
  <c r="AD10" i="190"/>
  <c r="AC10" i="190"/>
  <c r="AB10" i="190"/>
  <c r="AA10" i="190"/>
  <c r="Z10" i="190"/>
  <c r="Y10" i="190"/>
  <c r="X10" i="190"/>
  <c r="W10" i="190"/>
  <c r="V10" i="190"/>
  <c r="U10" i="190"/>
  <c r="T10" i="190"/>
  <c r="S10" i="190"/>
  <c r="Q10" i="190"/>
  <c r="P10" i="190"/>
  <c r="AH9" i="190"/>
  <c r="AG9" i="190"/>
  <c r="AF9" i="190"/>
  <c r="AD9" i="190"/>
  <c r="AC9" i="190"/>
  <c r="AB9" i="190"/>
  <c r="AA9" i="190"/>
  <c r="Z9" i="190"/>
  <c r="Y9" i="190"/>
  <c r="X9" i="190"/>
  <c r="W9" i="190"/>
  <c r="V9" i="190"/>
  <c r="U9" i="190"/>
  <c r="T9" i="190"/>
  <c r="S9" i="190"/>
  <c r="Q9" i="190"/>
  <c r="P9" i="190"/>
  <c r="AH8" i="190"/>
  <c r="AG8" i="190"/>
  <c r="AF8" i="190"/>
  <c r="AD8" i="190"/>
  <c r="AC8" i="190"/>
  <c r="AB8" i="190"/>
  <c r="AA8" i="190"/>
  <c r="Z8" i="190"/>
  <c r="Y8" i="190"/>
  <c r="X8" i="190"/>
  <c r="W8" i="190"/>
  <c r="V8" i="190"/>
  <c r="U8" i="190"/>
  <c r="T8" i="190"/>
  <c r="S8" i="190"/>
  <c r="Q8" i="190"/>
  <c r="P8" i="190"/>
  <c r="J8" i="190"/>
  <c r="I8" i="190"/>
  <c r="AH7" i="190"/>
  <c r="AG7" i="190"/>
  <c r="AF7" i="190"/>
  <c r="AD7" i="190"/>
  <c r="AC7" i="190"/>
  <c r="AB7" i="190"/>
  <c r="AA7" i="190"/>
  <c r="Z7" i="190"/>
  <c r="Y7" i="190"/>
  <c r="X7" i="190"/>
  <c r="W7" i="190"/>
  <c r="V7" i="190"/>
  <c r="U7" i="190"/>
  <c r="T7" i="190"/>
  <c r="S7" i="190"/>
  <c r="Q7" i="190"/>
  <c r="P7" i="190"/>
  <c r="J7" i="190"/>
  <c r="I7" i="190"/>
  <c r="AJ49" i="149"/>
  <c r="AH49" i="149"/>
  <c r="N49" i="149"/>
  <c r="BV47" i="149"/>
  <c r="BU47" i="149"/>
  <c r="BT47" i="149"/>
  <c r="BS47" i="149"/>
  <c r="BR47" i="149"/>
  <c r="BQ47" i="149"/>
  <c r="BP47" i="149"/>
  <c r="AO47" i="149"/>
  <c r="AN47" i="149"/>
  <c r="AJ47" i="149"/>
  <c r="AH47" i="149"/>
  <c r="U47" i="149"/>
  <c r="T47" i="149"/>
  <c r="R47" i="149"/>
  <c r="Q47" i="149"/>
  <c r="P47" i="149"/>
  <c r="O47" i="149"/>
  <c r="N47" i="149"/>
  <c r="B47" i="149"/>
  <c r="CJ46" i="149"/>
  <c r="AO46" i="149"/>
  <c r="AN46" i="149"/>
  <c r="AJ46" i="149"/>
  <c r="AH46" i="149"/>
  <c r="U46" i="149"/>
  <c r="T46" i="149"/>
  <c r="R46" i="149"/>
  <c r="Q46" i="149"/>
  <c r="P46" i="149"/>
  <c r="O46" i="149"/>
  <c r="N46" i="149"/>
  <c r="P45" i="149"/>
  <c r="O45" i="149"/>
  <c r="CJ44" i="149"/>
  <c r="O44" i="149"/>
  <c r="AO41" i="149"/>
  <c r="AN41" i="149"/>
  <c r="AJ41" i="149"/>
  <c r="AH41" i="149"/>
  <c r="U41" i="149"/>
  <c r="T41" i="149"/>
  <c r="R41" i="149"/>
  <c r="Q41" i="149"/>
  <c r="P41" i="149"/>
  <c r="O41" i="149"/>
  <c r="N41" i="149"/>
  <c r="G41" i="149"/>
  <c r="C41" i="149"/>
  <c r="B41" i="149"/>
  <c r="CI40" i="149"/>
  <c r="CH40" i="149"/>
  <c r="CG40" i="149"/>
  <c r="CF40" i="149"/>
  <c r="CE40" i="149"/>
  <c r="CD40" i="149"/>
  <c r="CC40" i="149"/>
  <c r="CB40" i="149"/>
  <c r="CA40" i="149"/>
  <c r="BZ40" i="149"/>
  <c r="BY40" i="149"/>
  <c r="BX40" i="149"/>
  <c r="BW40" i="149"/>
  <c r="BV40" i="149"/>
  <c r="BU40" i="149"/>
  <c r="BT40" i="149"/>
  <c r="BS40" i="149"/>
  <c r="BR40" i="149"/>
  <c r="BQ40" i="149"/>
  <c r="BP40" i="149"/>
  <c r="BO40" i="149"/>
  <c r="BN40" i="149"/>
  <c r="BM40" i="149"/>
  <c r="BL40" i="149"/>
  <c r="BK40" i="149"/>
  <c r="BJ40" i="149"/>
  <c r="BI40" i="149"/>
  <c r="BH40" i="149"/>
  <c r="BG40" i="149"/>
  <c r="BF40" i="149"/>
  <c r="BE40" i="149"/>
  <c r="BD40" i="149"/>
  <c r="BC40" i="149"/>
  <c r="BB40" i="149"/>
  <c r="BA40" i="149"/>
  <c r="AZ40" i="149"/>
  <c r="AY40" i="149"/>
  <c r="AX40" i="149"/>
  <c r="AW40" i="149"/>
  <c r="AV40" i="149"/>
  <c r="AU40" i="149"/>
  <c r="AT40" i="149"/>
  <c r="AS40" i="149"/>
  <c r="AR40" i="149"/>
  <c r="AQ40" i="149"/>
  <c r="AP40" i="149"/>
  <c r="AO40" i="149"/>
  <c r="AN40" i="149"/>
  <c r="AM40" i="149"/>
  <c r="AK40" i="149"/>
  <c r="AJ40" i="149"/>
  <c r="AI40" i="149"/>
  <c r="AH40" i="149"/>
  <c r="AF40" i="149"/>
  <c r="AE40" i="149"/>
  <c r="AD40" i="149"/>
  <c r="AC40" i="149"/>
  <c r="AB40" i="149"/>
  <c r="AA40" i="149"/>
  <c r="Z40" i="149"/>
  <c r="Y40" i="149"/>
  <c r="X40" i="149"/>
  <c r="W40" i="149"/>
  <c r="V40" i="149"/>
  <c r="U40" i="149"/>
  <c r="T40" i="149"/>
  <c r="S40" i="149"/>
  <c r="R40" i="149"/>
  <c r="Q40" i="149"/>
  <c r="P40" i="149"/>
  <c r="O40" i="149"/>
  <c r="N40" i="149"/>
  <c r="M40" i="149"/>
  <c r="L40" i="149"/>
  <c r="K40" i="149"/>
  <c r="J40" i="149"/>
  <c r="I40" i="149"/>
  <c r="H40" i="149"/>
  <c r="G40" i="149"/>
  <c r="F40" i="149"/>
  <c r="E40" i="149"/>
  <c r="D40" i="149"/>
  <c r="C40" i="149"/>
  <c r="C39" i="149"/>
  <c r="C38" i="149"/>
  <c r="N37" i="149"/>
  <c r="CR36" i="149"/>
  <c r="CQ36" i="149"/>
  <c r="CP36" i="149"/>
  <c r="CO36" i="149"/>
  <c r="CN36" i="149"/>
  <c r="CL36" i="149"/>
  <c r="CK36" i="149"/>
  <c r="CJ36" i="149"/>
  <c r="CI36" i="149"/>
  <c r="CH36" i="149"/>
  <c r="CG36" i="149"/>
  <c r="CF36" i="149"/>
  <c r="CE36" i="149"/>
  <c r="CD36" i="149"/>
  <c r="CC36" i="149"/>
  <c r="CB36" i="149"/>
  <c r="CA36" i="149"/>
  <c r="BZ36" i="149"/>
  <c r="BY36" i="149"/>
  <c r="BX36" i="149"/>
  <c r="BW36" i="149"/>
  <c r="BV36" i="149"/>
  <c r="BO36" i="149"/>
  <c r="BN36" i="149"/>
  <c r="BM36" i="149"/>
  <c r="BL36" i="149"/>
  <c r="BK36" i="149"/>
  <c r="BJ36" i="149"/>
  <c r="BI36" i="149"/>
  <c r="BH36" i="149"/>
  <c r="BG36" i="149"/>
  <c r="BF36" i="149"/>
  <c r="BE36" i="149"/>
  <c r="BD36" i="149"/>
  <c r="BC36" i="149"/>
  <c r="BB36" i="149"/>
  <c r="BA36" i="149"/>
  <c r="AZ36" i="149"/>
  <c r="AW36" i="149"/>
  <c r="AV36" i="149"/>
  <c r="AU36" i="149"/>
  <c r="AT36" i="149"/>
  <c r="AS36" i="149"/>
  <c r="AR36" i="149"/>
  <c r="AQ36" i="149"/>
  <c r="AP36" i="149"/>
  <c r="AO36" i="149"/>
  <c r="AN36" i="149"/>
  <c r="AM36" i="149"/>
  <c r="AL36" i="149"/>
  <c r="AK36" i="149"/>
  <c r="AJ36" i="149"/>
  <c r="AI36" i="149"/>
  <c r="AH36" i="149"/>
  <c r="AG36" i="149"/>
  <c r="AF36" i="149"/>
  <c r="AE36" i="149"/>
  <c r="AD36" i="149"/>
  <c r="AC36" i="149"/>
  <c r="AB36" i="149"/>
  <c r="AA36" i="149"/>
  <c r="Z36" i="149"/>
  <c r="Y36" i="149"/>
  <c r="X36" i="149"/>
  <c r="W36" i="149"/>
  <c r="V36" i="149"/>
  <c r="U36" i="149"/>
  <c r="T36" i="149"/>
  <c r="S36" i="149"/>
  <c r="R36" i="149"/>
  <c r="Q36" i="149"/>
  <c r="P36" i="149"/>
  <c r="O36" i="149"/>
  <c r="N36" i="149"/>
  <c r="M36" i="149"/>
  <c r="L36" i="149"/>
  <c r="K36" i="149"/>
  <c r="J36" i="149"/>
  <c r="I36" i="149"/>
  <c r="H36" i="149"/>
  <c r="G36" i="149"/>
  <c r="F36" i="149"/>
  <c r="E36" i="149"/>
  <c r="D36" i="149"/>
  <c r="C36" i="149"/>
  <c r="B36" i="149"/>
  <c r="H35" i="149"/>
  <c r="F35" i="149"/>
  <c r="AP34" i="149"/>
  <c r="AF34" i="149"/>
  <c r="W34" i="149"/>
  <c r="H34" i="149"/>
  <c r="F34" i="149"/>
  <c r="AP33" i="149"/>
  <c r="AF33" i="149"/>
  <c r="W33" i="149"/>
  <c r="H33" i="149"/>
  <c r="F33" i="149"/>
  <c r="AP32" i="149"/>
  <c r="AF32" i="149"/>
  <c r="W32" i="149"/>
  <c r="H32" i="149"/>
  <c r="F32" i="149"/>
  <c r="AP31" i="149"/>
  <c r="AF31" i="149"/>
  <c r="W31" i="149"/>
  <c r="H31" i="149"/>
  <c r="F31" i="149"/>
  <c r="AP30" i="149"/>
  <c r="AF30" i="149"/>
  <c r="W30" i="149"/>
  <c r="H30" i="149"/>
  <c r="F30" i="149"/>
  <c r="CR29" i="149"/>
  <c r="CN29" i="149"/>
  <c r="CI29" i="149"/>
  <c r="CF29" i="149"/>
  <c r="CC29" i="149"/>
  <c r="BZ29" i="149"/>
  <c r="BO29" i="149"/>
  <c r="AW29" i="149"/>
  <c r="AS29" i="149"/>
  <c r="AP29" i="149"/>
  <c r="AK29" i="149"/>
  <c r="AF29" i="149"/>
  <c r="AB29" i="149"/>
  <c r="W29" i="149"/>
  <c r="L29" i="149"/>
  <c r="H29" i="149"/>
  <c r="F29" i="149"/>
  <c r="CR28" i="149"/>
  <c r="CI28" i="149"/>
  <c r="CF28" i="149"/>
  <c r="CC28" i="149"/>
  <c r="BZ28" i="149"/>
  <c r="BO28" i="149"/>
  <c r="AW28" i="149"/>
  <c r="AS28" i="149"/>
  <c r="AP28" i="149"/>
  <c r="AK28" i="149"/>
  <c r="AF28" i="149"/>
  <c r="AB28" i="149"/>
  <c r="W28" i="149"/>
  <c r="L28" i="149"/>
  <c r="H28" i="149"/>
  <c r="F28" i="149"/>
  <c r="CR27" i="149"/>
  <c r="AW27" i="149"/>
  <c r="AS27" i="149"/>
  <c r="AP27" i="149"/>
  <c r="AK27" i="149"/>
  <c r="AF27" i="149"/>
  <c r="AB27" i="149"/>
  <c r="W27" i="149"/>
  <c r="L27" i="149"/>
  <c r="H27" i="149"/>
  <c r="F27" i="149"/>
  <c r="CR26" i="149"/>
  <c r="AW26" i="149"/>
  <c r="AS26" i="149"/>
  <c r="AP26" i="149"/>
  <c r="AK26" i="149"/>
  <c r="AF26" i="149"/>
  <c r="AB26" i="149"/>
  <c r="W26" i="149"/>
  <c r="L26" i="149"/>
  <c r="H26" i="149"/>
  <c r="F26" i="149"/>
  <c r="CR25" i="149"/>
  <c r="AW25" i="149"/>
  <c r="AS25" i="149"/>
  <c r="AP25" i="149"/>
  <c r="AK25" i="149"/>
  <c r="AF25" i="149"/>
  <c r="AB25" i="149"/>
  <c r="W25" i="149"/>
  <c r="L25" i="149"/>
  <c r="H25" i="149"/>
  <c r="F25" i="149"/>
  <c r="CR24" i="149"/>
  <c r="AW24" i="149"/>
  <c r="AS24" i="149"/>
  <c r="AP24" i="149"/>
  <c r="AK24" i="149"/>
  <c r="AF24" i="149"/>
  <c r="AB24" i="149"/>
  <c r="W24" i="149"/>
  <c r="L24" i="149"/>
  <c r="H24" i="149"/>
  <c r="F24" i="149"/>
  <c r="CR23" i="149"/>
  <c r="CI23" i="149"/>
  <c r="CF23" i="149"/>
  <c r="AW23" i="149"/>
  <c r="AS23" i="149"/>
  <c r="AP23" i="149"/>
  <c r="AK23" i="149"/>
  <c r="AF23" i="149"/>
  <c r="AB23" i="149"/>
  <c r="W23" i="149"/>
  <c r="L23" i="149"/>
  <c r="H23" i="149"/>
  <c r="F23" i="149"/>
  <c r="CR22" i="149"/>
  <c r="CI22" i="149"/>
  <c r="CF22" i="149"/>
  <c r="CC22" i="149"/>
  <c r="BZ22" i="149"/>
  <c r="BO22" i="149"/>
  <c r="AW22" i="149"/>
  <c r="AS22" i="149"/>
  <c r="AP22" i="149"/>
  <c r="AK22" i="149"/>
  <c r="AF22" i="149"/>
  <c r="AB22" i="149"/>
  <c r="W22" i="149"/>
  <c r="L22" i="149"/>
  <c r="H22" i="149"/>
  <c r="F22" i="149"/>
  <c r="CR21" i="149"/>
  <c r="CN21" i="149"/>
  <c r="CI21" i="149"/>
  <c r="CF21" i="149"/>
  <c r="CC21" i="149"/>
  <c r="BZ21" i="149"/>
  <c r="BO21" i="149"/>
  <c r="AW21" i="149"/>
  <c r="AS21" i="149"/>
  <c r="AP21" i="149"/>
  <c r="AK21" i="149"/>
  <c r="AF21" i="149"/>
  <c r="AB21" i="149"/>
  <c r="W21" i="149"/>
  <c r="L21" i="149"/>
  <c r="H21" i="149"/>
  <c r="F21" i="149"/>
  <c r="CR20" i="149"/>
  <c r="AW20" i="149"/>
  <c r="AS20" i="149"/>
  <c r="AP20" i="149"/>
  <c r="AK20" i="149"/>
  <c r="AF20" i="149"/>
  <c r="AB20" i="149"/>
  <c r="W20" i="149"/>
  <c r="L20" i="149"/>
  <c r="H20" i="149"/>
  <c r="F20" i="149"/>
  <c r="CR19" i="149"/>
  <c r="AW19" i="149"/>
  <c r="AS19" i="149"/>
  <c r="AP19" i="149"/>
  <c r="AK19" i="149"/>
  <c r="AF19" i="149"/>
  <c r="AB19" i="149"/>
  <c r="W19" i="149"/>
  <c r="L19" i="149"/>
  <c r="H19" i="149"/>
  <c r="F19" i="149"/>
  <c r="CR18" i="149"/>
  <c r="CN18" i="149"/>
  <c r="CI18" i="149"/>
  <c r="CF18" i="149"/>
  <c r="CC18" i="149"/>
  <c r="BZ18" i="149"/>
  <c r="BO18" i="149"/>
  <c r="AW18" i="149"/>
  <c r="AS18" i="149"/>
  <c r="AP18" i="149"/>
  <c r="AK18" i="149"/>
  <c r="AF18" i="149"/>
  <c r="AB18" i="149"/>
  <c r="W18" i="149"/>
  <c r="L18" i="149"/>
  <c r="H18" i="149"/>
  <c r="F18" i="149"/>
  <c r="CR17" i="149"/>
  <c r="CN17" i="149"/>
  <c r="CI17" i="149"/>
  <c r="CF17" i="149"/>
  <c r="CC17" i="149"/>
  <c r="BZ17" i="149"/>
  <c r="BO17" i="149"/>
  <c r="AW17" i="149"/>
  <c r="AS17" i="149"/>
  <c r="AP17" i="149"/>
  <c r="AK17" i="149"/>
  <c r="AF17" i="149"/>
  <c r="AB17" i="149"/>
  <c r="W17" i="149"/>
  <c r="L17" i="149"/>
  <c r="H17" i="149"/>
  <c r="F17" i="149"/>
  <c r="CR16" i="149"/>
  <c r="CN16" i="149"/>
  <c r="CI16" i="149"/>
  <c r="CF16" i="149"/>
  <c r="CC16" i="149"/>
  <c r="BZ16" i="149"/>
  <c r="BO16" i="149"/>
  <c r="AW16" i="149"/>
  <c r="AS16" i="149"/>
  <c r="AP16" i="149"/>
  <c r="AK16" i="149"/>
  <c r="AF16" i="149"/>
  <c r="AB16" i="149"/>
  <c r="W16" i="149"/>
  <c r="L16" i="149"/>
  <c r="H16" i="149"/>
  <c r="F16" i="149"/>
  <c r="CR15" i="149"/>
  <c r="CN15" i="149"/>
  <c r="CI15" i="149"/>
  <c r="CF15" i="149"/>
  <c r="CC15" i="149"/>
  <c r="BZ15" i="149"/>
  <c r="BO15" i="149"/>
  <c r="AW15" i="149"/>
  <c r="AS15" i="149"/>
  <c r="AP15" i="149"/>
  <c r="AK15" i="149"/>
  <c r="AF15" i="149"/>
  <c r="AB15" i="149"/>
  <c r="W15" i="149"/>
  <c r="L15" i="149"/>
  <c r="H15" i="149"/>
  <c r="F15" i="149"/>
  <c r="CR14" i="149"/>
  <c r="CN14" i="149"/>
  <c r="CI14" i="149"/>
  <c r="CF14" i="149"/>
  <c r="CC14" i="149"/>
  <c r="BZ14" i="149"/>
  <c r="BO14" i="149"/>
  <c r="AW14" i="149"/>
  <c r="AS14" i="149"/>
  <c r="AP14" i="149"/>
  <c r="AK14" i="149"/>
  <c r="AF14" i="149"/>
  <c r="AB14" i="149"/>
  <c r="W14" i="149"/>
  <c r="L14" i="149"/>
  <c r="H14" i="149"/>
  <c r="F14" i="149"/>
  <c r="CR13" i="149"/>
  <c r="CN13" i="149"/>
  <c r="CI13" i="149"/>
  <c r="CF13" i="149"/>
  <c r="CC13" i="149"/>
  <c r="BZ13" i="149"/>
  <c r="BO13" i="149"/>
  <c r="AW13" i="149"/>
  <c r="AS13" i="149"/>
  <c r="AP13" i="149"/>
  <c r="AK13" i="149"/>
  <c r="AF13" i="149"/>
  <c r="AB13" i="149"/>
  <c r="W13" i="149"/>
  <c r="L13" i="149"/>
  <c r="H13" i="149"/>
  <c r="F13" i="149"/>
  <c r="CR12" i="149"/>
  <c r="CN12" i="149"/>
  <c r="CI12" i="149"/>
  <c r="CF12" i="149"/>
  <c r="CC12" i="149"/>
  <c r="BZ12" i="149"/>
  <c r="BO12" i="149"/>
  <c r="AW12" i="149"/>
  <c r="AS12" i="149"/>
  <c r="AP12" i="149"/>
  <c r="AK12" i="149"/>
  <c r="AF12" i="149"/>
  <c r="AB12" i="149"/>
  <c r="W12" i="149"/>
  <c r="L12" i="149"/>
  <c r="H12" i="149"/>
  <c r="F12" i="149"/>
  <c r="CR11" i="149"/>
  <c r="CN11" i="149"/>
  <c r="CI11" i="149"/>
  <c r="CF11" i="149"/>
  <c r="CC11" i="149"/>
  <c r="BZ11" i="149"/>
  <c r="BO11" i="149"/>
  <c r="AW11" i="149"/>
  <c r="AS11" i="149"/>
  <c r="AP11" i="149"/>
  <c r="AK11" i="149"/>
  <c r="AF11" i="149"/>
  <c r="AB11" i="149"/>
  <c r="W11" i="149"/>
  <c r="L11" i="149"/>
  <c r="H11" i="149"/>
  <c r="F11" i="149"/>
  <c r="CR10" i="149"/>
  <c r="CN10" i="149"/>
  <c r="CI10" i="149"/>
  <c r="CF10" i="149"/>
  <c r="CC10" i="149"/>
  <c r="BZ10" i="149"/>
  <c r="BO10" i="149"/>
  <c r="AW10" i="149"/>
  <c r="AS10" i="149"/>
  <c r="AP10" i="149"/>
  <c r="AK10" i="149"/>
  <c r="AF10" i="149"/>
  <c r="AB10" i="149"/>
  <c r="W10" i="149"/>
  <c r="L10" i="149"/>
  <c r="H10" i="149"/>
  <c r="F10" i="149"/>
  <c r="CR9" i="149"/>
  <c r="CN9" i="149"/>
  <c r="CI9" i="149"/>
  <c r="CF9" i="149"/>
  <c r="CC9" i="149"/>
  <c r="BZ9" i="149"/>
  <c r="BO9" i="149"/>
  <c r="AW9" i="149"/>
  <c r="AS9" i="149"/>
  <c r="AP9" i="149"/>
  <c r="AK9" i="149"/>
  <c r="AF9" i="149"/>
  <c r="AB9" i="149"/>
  <c r="W9" i="149"/>
  <c r="L9" i="149"/>
  <c r="H9" i="149"/>
  <c r="F9" i="149"/>
  <c r="CR8" i="149"/>
  <c r="CN8" i="149"/>
  <c r="CI8" i="149"/>
  <c r="CF8" i="149"/>
  <c r="CC8" i="149"/>
  <c r="BZ8" i="149"/>
  <c r="BO8" i="149"/>
  <c r="AW8" i="149"/>
  <c r="AS8" i="149"/>
  <c r="AP8" i="149"/>
  <c r="AK8" i="149"/>
  <c r="AF8" i="149"/>
  <c r="AB8" i="149"/>
  <c r="W8" i="149"/>
  <c r="L8" i="149"/>
  <c r="H8" i="149"/>
  <c r="F8" i="149"/>
  <c r="CR7" i="149"/>
  <c r="CN7" i="149"/>
  <c r="CI7" i="149"/>
  <c r="CF7" i="149"/>
  <c r="CC7" i="149"/>
  <c r="BZ7" i="149"/>
  <c r="BO7" i="149"/>
  <c r="AW7" i="149"/>
  <c r="AS7" i="149"/>
  <c r="AP7" i="149"/>
  <c r="AK7" i="149"/>
  <c r="AF7" i="149"/>
  <c r="AB7" i="149"/>
  <c r="W7" i="149"/>
  <c r="L7" i="149"/>
  <c r="H7" i="149"/>
  <c r="F7" i="149"/>
  <c r="CR6" i="149"/>
  <c r="CN6" i="149"/>
  <c r="CI6" i="149"/>
  <c r="CF6" i="149"/>
  <c r="CC6" i="149"/>
  <c r="BZ6" i="149"/>
  <c r="BO6" i="149"/>
  <c r="AW6" i="149"/>
  <c r="AS6" i="149"/>
  <c r="AP6" i="149"/>
  <c r="AK6" i="149"/>
  <c r="AF6" i="149"/>
  <c r="AB6" i="149"/>
  <c r="W6" i="149"/>
  <c r="L6" i="149"/>
  <c r="H6" i="149"/>
  <c r="F6" i="149"/>
  <c r="Y84" i="136"/>
  <c r="X84" i="136"/>
  <c r="Y83" i="136"/>
  <c r="X83" i="136"/>
  <c r="W83" i="136"/>
  <c r="I83" i="136"/>
  <c r="Y82" i="136"/>
  <c r="X82" i="136"/>
  <c r="W82" i="136"/>
  <c r="I82" i="136"/>
  <c r="F82" i="136"/>
  <c r="E82" i="136"/>
  <c r="D82" i="136"/>
  <c r="M81" i="136"/>
  <c r="J81" i="136"/>
  <c r="E81" i="136"/>
  <c r="D81" i="136"/>
  <c r="X80" i="136"/>
  <c r="W80" i="136"/>
  <c r="V80" i="136"/>
  <c r="U80" i="136"/>
  <c r="T80" i="136"/>
  <c r="S80" i="136"/>
  <c r="R80" i="136"/>
  <c r="Q80" i="136"/>
  <c r="P80" i="136"/>
  <c r="O80" i="136"/>
  <c r="N80" i="136"/>
  <c r="M80" i="136"/>
  <c r="L80" i="136"/>
  <c r="K80" i="136"/>
  <c r="J80" i="136"/>
  <c r="I80" i="136"/>
  <c r="H80" i="136"/>
  <c r="G80" i="136"/>
  <c r="F80" i="136"/>
  <c r="E80" i="136"/>
  <c r="D80" i="136"/>
  <c r="Z79" i="136"/>
  <c r="X79" i="136"/>
  <c r="W79" i="136"/>
  <c r="V79" i="136"/>
  <c r="U79" i="136"/>
  <c r="T79" i="136"/>
  <c r="S79" i="136"/>
  <c r="R79" i="136"/>
  <c r="Q79" i="136"/>
  <c r="P79" i="136"/>
  <c r="O79" i="136"/>
  <c r="N79" i="136"/>
  <c r="M79" i="136"/>
  <c r="L79" i="136"/>
  <c r="J79" i="136"/>
  <c r="I79" i="136"/>
  <c r="F79" i="136"/>
  <c r="E79" i="136"/>
  <c r="D79" i="136"/>
  <c r="Z78" i="136"/>
  <c r="Y78" i="136"/>
  <c r="X78" i="136"/>
  <c r="S78" i="136"/>
  <c r="R78" i="136"/>
  <c r="Q78" i="136"/>
  <c r="P78" i="136"/>
  <c r="Z77" i="136"/>
  <c r="Y77" i="136"/>
  <c r="X77" i="136"/>
  <c r="S77" i="136"/>
  <c r="R77" i="136"/>
  <c r="Q77" i="136"/>
  <c r="P77" i="136"/>
  <c r="Z76" i="136"/>
  <c r="Y76" i="136"/>
  <c r="X76" i="136"/>
  <c r="S76" i="136"/>
  <c r="R76" i="136"/>
  <c r="Q76" i="136"/>
  <c r="P76" i="136"/>
  <c r="Z75" i="136"/>
  <c r="Y75" i="136"/>
  <c r="X75" i="136"/>
  <c r="S75" i="136"/>
  <c r="R75" i="136"/>
  <c r="Q75" i="136"/>
  <c r="P75" i="136"/>
  <c r="Z74" i="136"/>
  <c r="Y74" i="136"/>
  <c r="X74" i="136"/>
  <c r="S74" i="136"/>
  <c r="R74" i="136"/>
  <c r="Q74" i="136"/>
  <c r="P74" i="136"/>
  <c r="Z73" i="136"/>
  <c r="X73" i="136"/>
  <c r="W73" i="136"/>
  <c r="V73" i="136"/>
  <c r="U73" i="136"/>
  <c r="T73" i="136"/>
  <c r="S73" i="136"/>
  <c r="R73" i="136"/>
  <c r="Q73" i="136"/>
  <c r="P73" i="136"/>
  <c r="O73" i="136"/>
  <c r="N73" i="136"/>
  <c r="M73" i="136"/>
  <c r="L73" i="136"/>
  <c r="J73" i="136"/>
  <c r="I73" i="136"/>
  <c r="F73" i="136"/>
  <c r="E73" i="136"/>
  <c r="D73" i="136"/>
  <c r="Z72" i="136"/>
  <c r="Y72" i="136"/>
  <c r="W72" i="136"/>
  <c r="S72" i="136"/>
  <c r="R72" i="136"/>
  <c r="Q72" i="136"/>
  <c r="P72" i="136"/>
  <c r="Z71" i="136"/>
  <c r="Y71" i="136"/>
  <c r="W71" i="136"/>
  <c r="S71" i="136"/>
  <c r="R71" i="136"/>
  <c r="Q71" i="136"/>
  <c r="P71" i="136"/>
  <c r="Z70" i="136"/>
  <c r="Y70" i="136"/>
  <c r="W70" i="136"/>
  <c r="S70" i="136"/>
  <c r="R70" i="136"/>
  <c r="Q70" i="136"/>
  <c r="P70" i="136"/>
  <c r="Z69" i="136"/>
  <c r="X69" i="136"/>
  <c r="W69" i="136"/>
  <c r="V69" i="136"/>
  <c r="T69" i="136"/>
  <c r="S69" i="136"/>
  <c r="R69" i="136"/>
  <c r="Q69" i="136"/>
  <c r="P69" i="136"/>
  <c r="O69" i="136"/>
  <c r="N69" i="136"/>
  <c r="M69" i="136"/>
  <c r="L69" i="136"/>
  <c r="J69" i="136"/>
  <c r="I69" i="136"/>
  <c r="F69" i="136"/>
  <c r="E69" i="136"/>
  <c r="D69" i="136"/>
  <c r="Z68" i="136"/>
  <c r="Y68" i="136"/>
  <c r="W68" i="136"/>
  <c r="S68" i="136"/>
  <c r="R68" i="136"/>
  <c r="Q68" i="136"/>
  <c r="P68" i="136"/>
  <c r="Z67" i="136"/>
  <c r="Y67" i="136"/>
  <c r="W67" i="136"/>
  <c r="S67" i="136"/>
  <c r="R67" i="136"/>
  <c r="Q67" i="136"/>
  <c r="P67" i="136"/>
  <c r="Z66" i="136"/>
  <c r="Y66" i="136"/>
  <c r="W66" i="136"/>
  <c r="V66" i="136"/>
  <c r="U66" i="136"/>
  <c r="T66" i="136"/>
  <c r="S66" i="136"/>
  <c r="R66" i="136"/>
  <c r="Q66" i="136"/>
  <c r="P66" i="136"/>
  <c r="O66" i="136"/>
  <c r="N66" i="136"/>
  <c r="M66" i="136"/>
  <c r="L66" i="136"/>
  <c r="J66" i="136"/>
  <c r="I66" i="136"/>
  <c r="F66" i="136"/>
  <c r="E66" i="136"/>
  <c r="D66" i="136"/>
  <c r="Z65" i="136"/>
  <c r="Y65" i="136"/>
  <c r="W65" i="136"/>
  <c r="S65" i="136"/>
  <c r="R65" i="136"/>
  <c r="Q65" i="136"/>
  <c r="P65" i="136"/>
  <c r="AC64" i="136"/>
  <c r="Z64" i="136"/>
  <c r="Y64" i="136"/>
  <c r="W64" i="136"/>
  <c r="S64" i="136"/>
  <c r="R64" i="136"/>
  <c r="Q64" i="136"/>
  <c r="P64" i="136"/>
  <c r="AE63" i="136"/>
  <c r="AD63" i="136"/>
  <c r="Z63" i="136"/>
  <c r="Y63" i="136"/>
  <c r="X63" i="136"/>
  <c r="W63" i="136"/>
  <c r="V63" i="136"/>
  <c r="U63" i="136"/>
  <c r="T63" i="136"/>
  <c r="S63" i="136"/>
  <c r="R63" i="136"/>
  <c r="Q63" i="136"/>
  <c r="P63" i="136"/>
  <c r="O63" i="136"/>
  <c r="N63" i="136"/>
  <c r="M63" i="136"/>
  <c r="L63" i="136"/>
  <c r="J63" i="136"/>
  <c r="I63" i="136"/>
  <c r="G63" i="136"/>
  <c r="F63" i="136"/>
  <c r="E63" i="136"/>
  <c r="D63" i="136"/>
  <c r="Z62" i="136"/>
  <c r="Y62" i="136"/>
  <c r="W62" i="136"/>
  <c r="S62" i="136"/>
  <c r="R62" i="136"/>
  <c r="Q62" i="136"/>
  <c r="P62" i="136"/>
  <c r="Z61" i="136"/>
  <c r="Y61" i="136"/>
  <c r="W61" i="136"/>
  <c r="S61" i="136"/>
  <c r="R61" i="136"/>
  <c r="Q61" i="136"/>
  <c r="P61" i="136"/>
  <c r="Z60" i="136"/>
  <c r="Y60" i="136"/>
  <c r="W60" i="136"/>
  <c r="S60" i="136"/>
  <c r="R60" i="136"/>
  <c r="Q60" i="136"/>
  <c r="P60" i="136"/>
  <c r="Z59" i="136"/>
  <c r="Y59" i="136"/>
  <c r="W59" i="136"/>
  <c r="S59" i="136"/>
  <c r="R59" i="136"/>
  <c r="Q59" i="136"/>
  <c r="P59" i="136"/>
  <c r="Z58" i="136"/>
  <c r="Y58" i="136"/>
  <c r="W58" i="136"/>
  <c r="S58" i="136"/>
  <c r="R58" i="136"/>
  <c r="Q58" i="136"/>
  <c r="P58" i="136"/>
  <c r="Z57" i="136"/>
  <c r="Y57" i="136"/>
  <c r="W57" i="136"/>
  <c r="S57" i="136"/>
  <c r="R57" i="136"/>
  <c r="Q57" i="136"/>
  <c r="P57" i="136"/>
  <c r="Z56" i="136"/>
  <c r="Y56" i="136"/>
  <c r="W56" i="136"/>
  <c r="S56" i="136"/>
  <c r="R56" i="136"/>
  <c r="Q56" i="136"/>
  <c r="P56" i="136"/>
  <c r="Z55" i="136"/>
  <c r="Y55" i="136"/>
  <c r="W55" i="136"/>
  <c r="S55" i="136"/>
  <c r="R55" i="136"/>
  <c r="Q55" i="136"/>
  <c r="P55" i="136"/>
  <c r="Z54" i="136"/>
  <c r="Y54" i="136"/>
  <c r="W54" i="136"/>
  <c r="S54" i="136"/>
  <c r="R54" i="136"/>
  <c r="Q54" i="136"/>
  <c r="P54" i="136"/>
  <c r="Z53" i="136"/>
  <c r="Y53" i="136"/>
  <c r="X53" i="136"/>
  <c r="W53" i="136"/>
  <c r="V53" i="136"/>
  <c r="U53" i="136"/>
  <c r="T53" i="136"/>
  <c r="S53" i="136"/>
  <c r="R53" i="136"/>
  <c r="Q53" i="136"/>
  <c r="P53" i="136"/>
  <c r="O53" i="136"/>
  <c r="N53" i="136"/>
  <c r="M53" i="136"/>
  <c r="L53" i="136"/>
  <c r="J53" i="136"/>
  <c r="I53" i="136"/>
  <c r="F53" i="136"/>
  <c r="E53" i="136"/>
  <c r="D53" i="136"/>
  <c r="Z52" i="136"/>
  <c r="Y52" i="136"/>
  <c r="W52" i="136"/>
  <c r="S52" i="136"/>
  <c r="R52" i="136"/>
  <c r="Q52" i="136"/>
  <c r="P52" i="136"/>
  <c r="Z51" i="136"/>
  <c r="Y51" i="136"/>
  <c r="W51" i="136"/>
  <c r="S51" i="136"/>
  <c r="R51" i="136"/>
  <c r="Q51" i="136"/>
  <c r="P51" i="136"/>
  <c r="Z50" i="136"/>
  <c r="Y50" i="136"/>
  <c r="W50" i="136"/>
  <c r="S50" i="136"/>
  <c r="R50" i="136"/>
  <c r="Q50" i="136"/>
  <c r="P50" i="136"/>
  <c r="Z49" i="136"/>
  <c r="Y49" i="136"/>
  <c r="W49" i="136"/>
  <c r="S49" i="136"/>
  <c r="R49" i="136"/>
  <c r="Q49" i="136"/>
  <c r="P49" i="136"/>
  <c r="Z48" i="136"/>
  <c r="Y48" i="136"/>
  <c r="W48" i="136"/>
  <c r="S48" i="136"/>
  <c r="R48" i="136"/>
  <c r="Q48" i="136"/>
  <c r="P48" i="136"/>
  <c r="Z47" i="136"/>
  <c r="Y47" i="136"/>
  <c r="W47" i="136"/>
  <c r="S47" i="136"/>
  <c r="R47" i="136"/>
  <c r="Q47" i="136"/>
  <c r="P47" i="136"/>
  <c r="Z46" i="136"/>
  <c r="Y46" i="136"/>
  <c r="W46" i="136"/>
  <c r="S46" i="136"/>
  <c r="R46" i="136"/>
  <c r="Q46" i="136"/>
  <c r="P46" i="136"/>
  <c r="Z45" i="136"/>
  <c r="Y45" i="136"/>
  <c r="W45" i="136"/>
  <c r="S45" i="136"/>
  <c r="R45" i="136"/>
  <c r="Q45" i="136"/>
  <c r="P45" i="136"/>
  <c r="Z44" i="136"/>
  <c r="Y44" i="136"/>
  <c r="W44" i="136"/>
  <c r="S44" i="136"/>
  <c r="R44" i="136"/>
  <c r="Q44" i="136"/>
  <c r="P44" i="136"/>
  <c r="Z43" i="136"/>
  <c r="Y43" i="136"/>
  <c r="W43" i="136"/>
  <c r="S43" i="136"/>
  <c r="R43" i="136"/>
  <c r="Q43" i="136"/>
  <c r="P43" i="136"/>
  <c r="Z42" i="136"/>
  <c r="Y42" i="136"/>
  <c r="W42" i="136"/>
  <c r="S42" i="136"/>
  <c r="R42" i="136"/>
  <c r="Q42" i="136"/>
  <c r="P42" i="136"/>
  <c r="Z41" i="136"/>
  <c r="W41" i="136"/>
  <c r="V41" i="136"/>
  <c r="U41" i="136"/>
  <c r="T41" i="136"/>
  <c r="S41" i="136"/>
  <c r="R41" i="136"/>
  <c r="Q41" i="136"/>
  <c r="P41" i="136"/>
  <c r="O41" i="136"/>
  <c r="N41" i="136"/>
  <c r="M41" i="136"/>
  <c r="L41" i="136"/>
  <c r="J41" i="136"/>
  <c r="I41" i="136"/>
  <c r="F41" i="136"/>
  <c r="E41" i="136"/>
  <c r="D41" i="136"/>
  <c r="Z40" i="136"/>
  <c r="Y40" i="136"/>
  <c r="W40" i="136"/>
  <c r="S40" i="136"/>
  <c r="R40" i="136"/>
  <c r="Q40" i="136"/>
  <c r="P40" i="136"/>
  <c r="Z39" i="136"/>
  <c r="Y39" i="136"/>
  <c r="W39" i="136"/>
  <c r="S39" i="136"/>
  <c r="R39" i="136"/>
  <c r="Q39" i="136"/>
  <c r="P39" i="136"/>
  <c r="Z38" i="136"/>
  <c r="Y38" i="136"/>
  <c r="W38" i="136"/>
  <c r="S38" i="136"/>
  <c r="R38" i="136"/>
  <c r="Q38" i="136"/>
  <c r="P38" i="136"/>
  <c r="Z37" i="136"/>
  <c r="Y37" i="136"/>
  <c r="W37" i="136"/>
  <c r="V37" i="136"/>
  <c r="U37" i="136"/>
  <c r="T37" i="136"/>
  <c r="S37" i="136"/>
  <c r="R37" i="136"/>
  <c r="Q37" i="136"/>
  <c r="P37" i="136"/>
  <c r="O37" i="136"/>
  <c r="N37" i="136"/>
  <c r="M37" i="136"/>
  <c r="L37" i="136"/>
  <c r="J37" i="136"/>
  <c r="I37" i="136"/>
  <c r="F37" i="136"/>
  <c r="E37" i="136"/>
  <c r="D37" i="136"/>
  <c r="W36" i="136"/>
  <c r="S36" i="136"/>
  <c r="R36" i="136"/>
  <c r="Q36" i="136"/>
  <c r="P36" i="136"/>
  <c r="Z35" i="136"/>
  <c r="Y35" i="136"/>
  <c r="W35" i="136"/>
  <c r="S35" i="136"/>
  <c r="R35" i="136"/>
  <c r="Q35" i="136"/>
  <c r="P35" i="136"/>
  <c r="Z34" i="136"/>
  <c r="Y34" i="136"/>
  <c r="W34" i="136"/>
  <c r="V34" i="136"/>
  <c r="U34" i="136"/>
  <c r="T34" i="136"/>
  <c r="S34" i="136"/>
  <c r="R34" i="136"/>
  <c r="Q34" i="136"/>
  <c r="P34" i="136"/>
  <c r="O34" i="136"/>
  <c r="N34" i="136"/>
  <c r="M34" i="136"/>
  <c r="L34" i="136"/>
  <c r="J34" i="136"/>
  <c r="I34" i="136"/>
  <c r="F34" i="136"/>
  <c r="E34" i="136"/>
  <c r="D34" i="136"/>
  <c r="Z33" i="136"/>
  <c r="Y33" i="136"/>
  <c r="W33" i="136"/>
  <c r="S33" i="136"/>
  <c r="R33" i="136"/>
  <c r="Q33" i="136"/>
  <c r="P33" i="136"/>
  <c r="Z32" i="136"/>
  <c r="Y32" i="136"/>
  <c r="W32" i="136"/>
  <c r="S32" i="136"/>
  <c r="R32" i="136"/>
  <c r="Q32" i="136"/>
  <c r="P32" i="136"/>
  <c r="Z31" i="136"/>
  <c r="Y31" i="136"/>
  <c r="W31" i="136"/>
  <c r="V31" i="136"/>
  <c r="U31" i="136"/>
  <c r="T31" i="136"/>
  <c r="S31" i="136"/>
  <c r="R31" i="136"/>
  <c r="Q31" i="136"/>
  <c r="P31" i="136"/>
  <c r="O31" i="136"/>
  <c r="N31" i="136"/>
  <c r="M31" i="136"/>
  <c r="L31" i="136"/>
  <c r="J31" i="136"/>
  <c r="I31" i="136"/>
  <c r="F31" i="136"/>
  <c r="E31" i="136"/>
  <c r="D31" i="136"/>
  <c r="Z30" i="136"/>
  <c r="Y30" i="136"/>
  <c r="W30" i="136"/>
  <c r="S30" i="136"/>
  <c r="R30" i="136"/>
  <c r="Q30" i="136"/>
  <c r="P30" i="136"/>
  <c r="Z29" i="136"/>
  <c r="Y29" i="136"/>
  <c r="W29" i="136"/>
  <c r="V29" i="136"/>
  <c r="U29" i="136"/>
  <c r="T29" i="136"/>
  <c r="S29" i="136"/>
  <c r="R29" i="136"/>
  <c r="Q29" i="136"/>
  <c r="P29" i="136"/>
  <c r="O29" i="136"/>
  <c r="N29" i="136"/>
  <c r="M29" i="136"/>
  <c r="L29" i="136"/>
  <c r="J29" i="136"/>
  <c r="I29" i="136"/>
  <c r="F29" i="136"/>
  <c r="E29" i="136"/>
  <c r="D29" i="136"/>
  <c r="Z28" i="136"/>
  <c r="Y28" i="136"/>
  <c r="W28" i="136"/>
  <c r="S28" i="136"/>
  <c r="R28" i="136"/>
  <c r="Q28" i="136"/>
  <c r="P28" i="136"/>
  <c r="Z27" i="136"/>
  <c r="Y27" i="136"/>
  <c r="W27" i="136"/>
  <c r="S27" i="136"/>
  <c r="R27" i="136"/>
  <c r="Q27" i="136"/>
  <c r="P27" i="136"/>
  <c r="Z26" i="136"/>
  <c r="Y26" i="136"/>
  <c r="W26" i="136"/>
  <c r="V26" i="136"/>
  <c r="U26" i="136"/>
  <c r="T26" i="136"/>
  <c r="S26" i="136"/>
  <c r="R26" i="136"/>
  <c r="Q26" i="136"/>
  <c r="P26" i="136"/>
  <c r="O26" i="136"/>
  <c r="M26" i="136"/>
  <c r="L26" i="136"/>
  <c r="J26" i="136"/>
  <c r="I26" i="136"/>
  <c r="F26" i="136"/>
  <c r="E26" i="136"/>
  <c r="D26" i="136"/>
  <c r="Z25" i="136"/>
  <c r="Y25" i="136"/>
  <c r="S25" i="136"/>
  <c r="R25" i="136"/>
  <c r="Q25" i="136"/>
  <c r="Z24" i="136"/>
  <c r="Y24" i="136"/>
  <c r="W24" i="136"/>
  <c r="V24" i="136"/>
  <c r="U24" i="136"/>
  <c r="T24" i="136"/>
  <c r="S24" i="136"/>
  <c r="R24" i="136"/>
  <c r="Q24" i="136"/>
  <c r="P24" i="136"/>
  <c r="O24" i="136"/>
  <c r="M24" i="136"/>
  <c r="L24" i="136"/>
  <c r="J24" i="136"/>
  <c r="I24" i="136"/>
  <c r="F24" i="136"/>
  <c r="E24" i="136"/>
  <c r="D24" i="136"/>
  <c r="Z23" i="136"/>
  <c r="Y23" i="136"/>
  <c r="W23" i="136"/>
  <c r="S23" i="136"/>
  <c r="R23" i="136"/>
  <c r="Q23" i="136"/>
  <c r="P23" i="136"/>
  <c r="Z22" i="136"/>
  <c r="Y22" i="136"/>
  <c r="W22" i="136"/>
  <c r="S22" i="136"/>
  <c r="R22" i="136"/>
  <c r="Q22" i="136"/>
  <c r="P22" i="136"/>
  <c r="Z21" i="136"/>
  <c r="Y21" i="136"/>
  <c r="X21" i="136"/>
  <c r="W21" i="136"/>
  <c r="V21" i="136"/>
  <c r="U21" i="136"/>
  <c r="T21" i="136"/>
  <c r="S21" i="136"/>
  <c r="R21" i="136"/>
  <c r="Q21" i="136"/>
  <c r="P21" i="136"/>
  <c r="O21" i="136"/>
  <c r="N21" i="136"/>
  <c r="M21" i="136"/>
  <c r="L21" i="136"/>
  <c r="J21" i="136"/>
  <c r="I21" i="136"/>
  <c r="F21" i="136"/>
  <c r="E21" i="136"/>
  <c r="D21" i="136"/>
  <c r="Z20" i="136"/>
  <c r="Y20" i="136"/>
  <c r="W20" i="136"/>
  <c r="S20" i="136"/>
  <c r="R20" i="136"/>
  <c r="Q20" i="136"/>
  <c r="P20" i="136"/>
  <c r="Z19" i="136"/>
  <c r="Y19" i="136"/>
  <c r="W19" i="136"/>
  <c r="S19" i="136"/>
  <c r="R19" i="136"/>
  <c r="Q19" i="136"/>
  <c r="P19" i="136"/>
  <c r="Z18" i="136"/>
  <c r="Y18" i="136"/>
  <c r="X18" i="136"/>
  <c r="W18" i="136"/>
  <c r="V18" i="136"/>
  <c r="U18" i="136"/>
  <c r="T18" i="136"/>
  <c r="S18" i="136"/>
  <c r="R18" i="136"/>
  <c r="Q18" i="136"/>
  <c r="P18" i="136"/>
  <c r="O18" i="136"/>
  <c r="N18" i="136"/>
  <c r="M18" i="136"/>
  <c r="L18" i="136"/>
  <c r="J18" i="136"/>
  <c r="I18" i="136"/>
  <c r="F18" i="136"/>
  <c r="E18" i="136"/>
  <c r="D18" i="136"/>
  <c r="Z17" i="136"/>
  <c r="Y17" i="136"/>
  <c r="W17" i="136"/>
  <c r="S17" i="136"/>
  <c r="R17" i="136"/>
  <c r="Q17" i="136"/>
  <c r="P17" i="136"/>
  <c r="Z16" i="136"/>
  <c r="Y16" i="136"/>
  <c r="W16" i="136"/>
  <c r="S16" i="136"/>
  <c r="R16" i="136"/>
  <c r="Q16" i="136"/>
  <c r="P16" i="136"/>
  <c r="Z15" i="136"/>
  <c r="Y15" i="136"/>
  <c r="W15" i="136"/>
  <c r="V15" i="136"/>
  <c r="U15" i="136"/>
  <c r="T15" i="136"/>
  <c r="S15" i="136"/>
  <c r="R15" i="136"/>
  <c r="Q15" i="136"/>
  <c r="P15" i="136"/>
  <c r="O15" i="136"/>
  <c r="N15" i="136"/>
  <c r="M15" i="136"/>
  <c r="L15" i="136"/>
  <c r="J15" i="136"/>
  <c r="I15" i="136"/>
  <c r="F15" i="136"/>
  <c r="E15" i="136"/>
  <c r="D15" i="136"/>
  <c r="Z14" i="136"/>
  <c r="Y14" i="136"/>
  <c r="W14" i="136"/>
  <c r="S14" i="136"/>
  <c r="R14" i="136"/>
  <c r="Q14" i="136"/>
  <c r="P14" i="136"/>
  <c r="Z13" i="136"/>
  <c r="Y13" i="136"/>
  <c r="W13" i="136"/>
  <c r="V13" i="136"/>
  <c r="U13" i="136"/>
  <c r="T13" i="136"/>
  <c r="S13" i="136"/>
  <c r="R13" i="136"/>
  <c r="Q13" i="136"/>
  <c r="P13" i="136"/>
  <c r="O13" i="136"/>
  <c r="N13" i="136"/>
  <c r="M13" i="136"/>
  <c r="L13" i="136"/>
  <c r="J13" i="136"/>
  <c r="I13" i="136"/>
  <c r="F13" i="136"/>
  <c r="E13" i="136"/>
  <c r="D13" i="136"/>
  <c r="Z12" i="136"/>
  <c r="Y12" i="136"/>
  <c r="W12" i="136"/>
  <c r="S12" i="136"/>
  <c r="R12" i="136"/>
  <c r="Q12" i="136"/>
  <c r="P12" i="136"/>
  <c r="Z11" i="136"/>
  <c r="Y11" i="136"/>
  <c r="W11" i="136"/>
  <c r="S11" i="136"/>
  <c r="R11" i="136"/>
  <c r="Q11" i="136"/>
  <c r="P11" i="136"/>
  <c r="Z10" i="136"/>
  <c r="Y10" i="136"/>
  <c r="W10" i="136"/>
  <c r="V10" i="136"/>
  <c r="U10" i="136"/>
  <c r="T10" i="136"/>
  <c r="S10" i="136"/>
  <c r="R10" i="136"/>
  <c r="Q10" i="136"/>
  <c r="P10" i="136"/>
  <c r="O10" i="136"/>
  <c r="N10" i="136"/>
  <c r="M10" i="136"/>
  <c r="L10" i="136"/>
  <c r="J10" i="136"/>
  <c r="I10" i="136"/>
  <c r="F10" i="136"/>
  <c r="E10" i="136"/>
  <c r="D10" i="136"/>
  <c r="Z9" i="136"/>
  <c r="Y9" i="136"/>
  <c r="W9" i="136"/>
  <c r="R9" i="136"/>
  <c r="Q9" i="136"/>
  <c r="P9" i="136"/>
  <c r="Z8" i="136"/>
  <c r="Y8" i="136"/>
  <c r="W8" i="136"/>
  <c r="R8" i="136"/>
  <c r="Q8" i="136"/>
  <c r="P8" i="136"/>
  <c r="Z7" i="136"/>
  <c r="Y7" i="136"/>
  <c r="W7" i="136"/>
  <c r="V7" i="136"/>
  <c r="U7" i="136"/>
  <c r="T7" i="136"/>
  <c r="S7" i="136"/>
  <c r="R7" i="136"/>
  <c r="Q7" i="136"/>
  <c r="P7" i="136"/>
  <c r="O7" i="136"/>
  <c r="N7" i="136"/>
  <c r="M7" i="136"/>
  <c r="L7" i="136"/>
  <c r="J7" i="136"/>
  <c r="I7" i="136"/>
  <c r="F7" i="136"/>
  <c r="E7" i="136"/>
  <c r="D7" i="136"/>
  <c r="AC6" i="136"/>
  <c r="Z6" i="136"/>
  <c r="Y6" i="136"/>
  <c r="W6" i="136"/>
  <c r="S6" i="136"/>
  <c r="R6" i="136"/>
  <c r="Q6" i="136"/>
  <c r="P6" i="136"/>
  <c r="AC5" i="136"/>
  <c r="Z5" i="136"/>
  <c r="Y5" i="136"/>
  <c r="W5" i="136"/>
  <c r="S5" i="136"/>
  <c r="R5" i="136"/>
  <c r="Q5" i="136"/>
  <c r="P5" i="136"/>
  <c r="T35" i="135"/>
  <c r="S35" i="135"/>
  <c r="Q35" i="135"/>
  <c r="M35" i="135"/>
  <c r="J35" i="135"/>
  <c r="H35" i="135"/>
  <c r="G35" i="135"/>
  <c r="F35" i="135"/>
  <c r="E35" i="135"/>
  <c r="V34" i="135"/>
  <c r="U34" i="135"/>
  <c r="T34" i="135"/>
  <c r="S34" i="135"/>
  <c r="R34" i="135"/>
  <c r="Q34" i="135"/>
  <c r="P34" i="135"/>
  <c r="O34" i="135"/>
  <c r="N34" i="135"/>
  <c r="M34" i="135"/>
  <c r="L34" i="135"/>
  <c r="K34" i="135"/>
  <c r="J34" i="135"/>
  <c r="I34" i="135"/>
  <c r="H34" i="135"/>
  <c r="G34" i="135"/>
  <c r="F34" i="135"/>
  <c r="E34" i="135"/>
  <c r="D34" i="135"/>
  <c r="M33" i="135"/>
  <c r="L33" i="135"/>
  <c r="V32" i="135"/>
  <c r="T32" i="135"/>
  <c r="M32" i="135"/>
  <c r="L32" i="135"/>
  <c r="T31" i="135"/>
  <c r="M31" i="135"/>
  <c r="L31" i="135"/>
  <c r="M30" i="135"/>
  <c r="L30" i="135"/>
  <c r="M29" i="135"/>
  <c r="L29" i="135"/>
  <c r="T28" i="135"/>
  <c r="M28" i="135"/>
  <c r="L28" i="135"/>
  <c r="T27" i="135"/>
  <c r="M27" i="135"/>
  <c r="L27" i="135"/>
  <c r="M26" i="135"/>
  <c r="L26" i="135"/>
  <c r="T25" i="135"/>
  <c r="M25" i="135"/>
  <c r="L25" i="135"/>
  <c r="T24" i="135"/>
  <c r="M24" i="135"/>
  <c r="L24" i="135"/>
  <c r="T23" i="135"/>
  <c r="M23" i="135"/>
  <c r="L23" i="135"/>
  <c r="M22" i="135"/>
  <c r="L22" i="135"/>
  <c r="M21" i="135"/>
  <c r="L21" i="135"/>
  <c r="M20" i="135"/>
  <c r="L20" i="135"/>
  <c r="T19" i="135"/>
  <c r="T18" i="135"/>
  <c r="M18" i="135"/>
  <c r="L18" i="135"/>
  <c r="T17" i="135"/>
  <c r="M17" i="135"/>
  <c r="L17" i="135"/>
  <c r="T16" i="135"/>
  <c r="M16" i="135"/>
  <c r="L16" i="135"/>
  <c r="T15" i="135"/>
  <c r="M15" i="135"/>
  <c r="L15" i="135"/>
  <c r="T14" i="135"/>
  <c r="M14" i="135"/>
  <c r="L14" i="135"/>
  <c r="T12" i="135"/>
  <c r="M12" i="135"/>
  <c r="L12" i="135"/>
  <c r="I12" i="135"/>
  <c r="T11" i="135"/>
  <c r="M11" i="135"/>
  <c r="L11" i="135"/>
  <c r="T10" i="135"/>
  <c r="M10" i="135"/>
  <c r="L10" i="135"/>
  <c r="T9" i="135"/>
  <c r="M9" i="135"/>
  <c r="L9" i="135"/>
  <c r="T8" i="135"/>
  <c r="M8" i="135"/>
  <c r="L8" i="135"/>
  <c r="T7" i="135"/>
  <c r="M7" i="135"/>
  <c r="L7" i="135"/>
  <c r="T6" i="135"/>
  <c r="M6" i="135"/>
  <c r="L6" i="135"/>
  <c r="T5" i="135"/>
  <c r="M5" i="135"/>
  <c r="L5" i="135"/>
  <c r="T4" i="135"/>
  <c r="M4" i="135"/>
  <c r="L4" i="135"/>
  <c r="D79" i="140"/>
  <c r="V76" i="140"/>
  <c r="T75" i="140"/>
  <c r="S75" i="140"/>
  <c r="R75" i="140"/>
  <c r="Q75" i="140"/>
  <c r="P75" i="140"/>
  <c r="O75" i="140"/>
  <c r="N75" i="140"/>
  <c r="M75" i="140"/>
  <c r="L75" i="140"/>
  <c r="K75" i="140"/>
  <c r="J75" i="140"/>
  <c r="I75" i="140"/>
  <c r="H75" i="140"/>
  <c r="G75" i="140"/>
  <c r="F75" i="140"/>
  <c r="E75" i="140"/>
  <c r="D75" i="140"/>
  <c r="U74" i="140"/>
  <c r="T74" i="140"/>
  <c r="S74" i="140"/>
  <c r="R74" i="140"/>
  <c r="Q74" i="140"/>
  <c r="P74" i="140"/>
  <c r="O74" i="140"/>
  <c r="N74" i="140"/>
  <c r="M74" i="140"/>
  <c r="L74" i="140"/>
  <c r="AA73" i="140"/>
  <c r="X73" i="140"/>
  <c r="R73" i="140"/>
  <c r="Q73" i="140"/>
  <c r="O73" i="140"/>
  <c r="N73" i="140"/>
  <c r="AA72" i="140"/>
  <c r="X72" i="140"/>
  <c r="R72" i="140"/>
  <c r="Q72" i="140"/>
  <c r="O72" i="140"/>
  <c r="N72" i="140"/>
  <c r="AA71" i="140"/>
  <c r="X71" i="140"/>
  <c r="W71" i="140"/>
  <c r="Q71" i="140"/>
  <c r="O71" i="140"/>
  <c r="N71" i="140"/>
  <c r="X70" i="140"/>
  <c r="W70" i="140"/>
  <c r="U70" i="140"/>
  <c r="T70" i="140"/>
  <c r="S70" i="140"/>
  <c r="R70" i="140"/>
  <c r="Q70" i="140"/>
  <c r="P70" i="140"/>
  <c r="O70" i="140"/>
  <c r="N70" i="140"/>
  <c r="M70" i="140"/>
  <c r="L70" i="140"/>
  <c r="K70" i="140"/>
  <c r="I70" i="140"/>
  <c r="H70" i="140"/>
  <c r="G70" i="140"/>
  <c r="F70" i="140"/>
  <c r="E70" i="140"/>
  <c r="D70" i="140"/>
  <c r="X69" i="140"/>
  <c r="W69" i="140"/>
  <c r="S69" i="140"/>
  <c r="R69" i="140"/>
  <c r="Q69" i="140"/>
  <c r="O69" i="140"/>
  <c r="J69" i="140"/>
  <c r="X68" i="140"/>
  <c r="W68" i="140"/>
  <c r="R68" i="140"/>
  <c r="Q68" i="140"/>
  <c r="X67" i="140"/>
  <c r="W67" i="140"/>
  <c r="R67" i="140"/>
  <c r="Q67" i="140"/>
  <c r="S66" i="140"/>
  <c r="R66" i="140"/>
  <c r="Q66" i="140"/>
  <c r="O66" i="140"/>
  <c r="J66" i="140"/>
  <c r="X65" i="140"/>
  <c r="W65" i="140"/>
  <c r="S65" i="140"/>
  <c r="R65" i="140"/>
  <c r="Q65" i="140"/>
  <c r="O65" i="140"/>
  <c r="J65" i="140"/>
  <c r="X64" i="140"/>
  <c r="W64" i="140"/>
  <c r="S64" i="140"/>
  <c r="R64" i="140"/>
  <c r="Q64" i="140"/>
  <c r="O64" i="140"/>
  <c r="J64" i="140"/>
  <c r="X63" i="140"/>
  <c r="W63" i="140"/>
  <c r="S63" i="140"/>
  <c r="R63" i="140"/>
  <c r="Q63" i="140"/>
  <c r="X62" i="140"/>
  <c r="W62" i="140"/>
  <c r="T62" i="140"/>
  <c r="S62" i="140"/>
  <c r="R62" i="140"/>
  <c r="Q62" i="140"/>
  <c r="P62" i="140"/>
  <c r="O62" i="140"/>
  <c r="N62" i="140"/>
  <c r="M62" i="140"/>
  <c r="L62" i="140"/>
  <c r="X61" i="140"/>
  <c r="W61" i="140"/>
  <c r="S61" i="140"/>
  <c r="R61" i="140"/>
  <c r="Q61" i="140"/>
  <c r="O61" i="140"/>
  <c r="K61" i="140"/>
  <c r="X60" i="140"/>
  <c r="W60" i="140"/>
  <c r="S60" i="140"/>
  <c r="R60" i="140"/>
  <c r="Q60" i="140"/>
  <c r="O60" i="140"/>
  <c r="X59" i="140"/>
  <c r="W59" i="140"/>
  <c r="S59" i="140"/>
  <c r="R59" i="140"/>
  <c r="Q59" i="140"/>
  <c r="O59" i="140"/>
  <c r="X58" i="140"/>
  <c r="W58" i="140"/>
  <c r="S58" i="140"/>
  <c r="R58" i="140"/>
  <c r="Q58" i="140"/>
  <c r="O58" i="140"/>
  <c r="K58" i="140"/>
  <c r="J58" i="140"/>
  <c r="X57" i="140"/>
  <c r="W57" i="140"/>
  <c r="S57" i="140"/>
  <c r="R57" i="140"/>
  <c r="Q57" i="140"/>
  <c r="O57" i="140"/>
  <c r="K57" i="140"/>
  <c r="J57" i="140"/>
  <c r="A57" i="140"/>
  <c r="X56" i="140"/>
  <c r="W56" i="140"/>
  <c r="T56" i="140"/>
  <c r="S56" i="140"/>
  <c r="R56" i="140"/>
  <c r="Q56" i="140"/>
  <c r="P56" i="140"/>
  <c r="O56" i="140"/>
  <c r="N56" i="140"/>
  <c r="M56" i="140"/>
  <c r="L56" i="140"/>
  <c r="I56" i="140"/>
  <c r="X55" i="140"/>
  <c r="W55" i="140"/>
  <c r="Q55" i="140"/>
  <c r="O55" i="140"/>
  <c r="N55" i="140"/>
  <c r="X54" i="140"/>
  <c r="W54" i="140"/>
  <c r="Q54" i="140"/>
  <c r="O54" i="140"/>
  <c r="N54" i="140"/>
  <c r="X53" i="140"/>
  <c r="W53" i="140"/>
  <c r="Q53" i="140"/>
  <c r="O53" i="140"/>
  <c r="N53" i="140"/>
  <c r="X52" i="140"/>
  <c r="W52" i="140"/>
  <c r="Q52" i="140"/>
  <c r="O52" i="140"/>
  <c r="N52" i="140"/>
  <c r="X51" i="140"/>
  <c r="W51" i="140"/>
  <c r="S51" i="140"/>
  <c r="R51" i="140"/>
  <c r="Q51" i="140"/>
  <c r="O51" i="140"/>
  <c r="N51" i="140"/>
  <c r="X50" i="140"/>
  <c r="W50" i="140"/>
  <c r="S50" i="140"/>
  <c r="R50" i="140"/>
  <c r="Q50" i="140"/>
  <c r="O50" i="140"/>
  <c r="N50" i="140"/>
  <c r="K50" i="140"/>
  <c r="J50" i="140"/>
  <c r="X49" i="140"/>
  <c r="W49" i="140"/>
  <c r="T49" i="140"/>
  <c r="S49" i="140"/>
  <c r="R49" i="140"/>
  <c r="Q49" i="140"/>
  <c r="P49" i="140"/>
  <c r="O49" i="140"/>
  <c r="N49" i="140"/>
  <c r="M49" i="140"/>
  <c r="L49" i="140"/>
  <c r="X48" i="140"/>
  <c r="W48" i="140"/>
  <c r="S48" i="140"/>
  <c r="R48" i="140"/>
  <c r="Q48" i="140"/>
  <c r="O48" i="140"/>
  <c r="X47" i="140"/>
  <c r="W47" i="140"/>
  <c r="S47" i="140"/>
  <c r="R47" i="140"/>
  <c r="Q47" i="140"/>
  <c r="O47" i="140"/>
  <c r="N47" i="140"/>
  <c r="X46" i="140"/>
  <c r="W46" i="140"/>
  <c r="S46" i="140"/>
  <c r="R46" i="140"/>
  <c r="Q46" i="140"/>
  <c r="O46" i="140"/>
  <c r="X45" i="140"/>
  <c r="W45" i="140"/>
  <c r="T45" i="140"/>
  <c r="S45" i="140"/>
  <c r="R45" i="140"/>
  <c r="Q45" i="140"/>
  <c r="P45" i="140"/>
  <c r="O45" i="140"/>
  <c r="N45" i="140"/>
  <c r="M45" i="140"/>
  <c r="L45" i="140"/>
  <c r="X44" i="140"/>
  <c r="W44" i="140"/>
  <c r="S44" i="140"/>
  <c r="R44" i="140"/>
  <c r="Q44" i="140"/>
  <c r="O44" i="140"/>
  <c r="X43" i="140"/>
  <c r="W43" i="140"/>
  <c r="S43" i="140"/>
  <c r="R43" i="140"/>
  <c r="Q43" i="140"/>
  <c r="O43" i="140"/>
  <c r="X42" i="140"/>
  <c r="W42" i="140"/>
  <c r="S42" i="140"/>
  <c r="R42" i="140"/>
  <c r="Q42" i="140"/>
  <c r="O42" i="140"/>
  <c r="X41" i="140"/>
  <c r="W41" i="140"/>
  <c r="S41" i="140"/>
  <c r="R41" i="140"/>
  <c r="Q41" i="140"/>
  <c r="O41" i="140"/>
  <c r="X40" i="140"/>
  <c r="W40" i="140"/>
  <c r="R40" i="140"/>
  <c r="Q40" i="140"/>
  <c r="O40" i="140"/>
  <c r="X39" i="140"/>
  <c r="W39" i="140"/>
  <c r="R39" i="140"/>
  <c r="Q39" i="140"/>
  <c r="O39" i="140"/>
  <c r="X38" i="140"/>
  <c r="W38" i="140"/>
  <c r="R38" i="140"/>
  <c r="Q38" i="140"/>
  <c r="O38" i="140"/>
  <c r="X37" i="140"/>
  <c r="W37" i="140"/>
  <c r="R37" i="140"/>
  <c r="Q37" i="140"/>
  <c r="O37" i="140"/>
  <c r="X36" i="140"/>
  <c r="W36" i="140"/>
  <c r="R36" i="140"/>
  <c r="Q36" i="140"/>
  <c r="O36" i="140"/>
  <c r="X35" i="140"/>
  <c r="W35" i="140"/>
  <c r="R35" i="140"/>
  <c r="Q35" i="140"/>
  <c r="O35" i="140"/>
  <c r="X34" i="140"/>
  <c r="W34" i="140"/>
  <c r="R34" i="140"/>
  <c r="Q34" i="140"/>
  <c r="O34" i="140"/>
  <c r="X33" i="140"/>
  <c r="W33" i="140"/>
  <c r="R33" i="140"/>
  <c r="Q33" i="140"/>
  <c r="O33" i="140"/>
  <c r="X32" i="140"/>
  <c r="W32" i="140"/>
  <c r="R32" i="140"/>
  <c r="Q32" i="140"/>
  <c r="O32" i="140"/>
  <c r="X31" i="140"/>
  <c r="W31" i="140"/>
  <c r="R31" i="140"/>
  <c r="Q31" i="140"/>
  <c r="O31" i="140"/>
  <c r="X30" i="140"/>
  <c r="W30" i="140"/>
  <c r="R30" i="140"/>
  <c r="Q30" i="140"/>
  <c r="O30" i="140"/>
  <c r="X29" i="140"/>
  <c r="W29" i="140"/>
  <c r="R29" i="140"/>
  <c r="Q29" i="140"/>
  <c r="O29" i="140"/>
  <c r="X28" i="140"/>
  <c r="W28" i="140"/>
  <c r="T28" i="140"/>
  <c r="S28" i="140"/>
  <c r="R28" i="140"/>
  <c r="Q28" i="140"/>
  <c r="P28" i="140"/>
  <c r="O28" i="140"/>
  <c r="N28" i="140"/>
  <c r="M28" i="140"/>
  <c r="L28" i="140"/>
  <c r="X27" i="140"/>
  <c r="W27" i="140"/>
  <c r="R27" i="140"/>
  <c r="Q27" i="140"/>
  <c r="O27" i="140"/>
  <c r="A27" i="140"/>
  <c r="X26" i="140"/>
  <c r="W26" i="140"/>
  <c r="R26" i="140"/>
  <c r="Q26" i="140"/>
  <c r="O26" i="140"/>
  <c r="A26" i="140"/>
  <c r="X25" i="140"/>
  <c r="W25" i="140"/>
  <c r="R25" i="140"/>
  <c r="Q25" i="140"/>
  <c r="O25" i="140"/>
  <c r="A25" i="140"/>
  <c r="X24" i="140"/>
  <c r="W24" i="140"/>
  <c r="R24" i="140"/>
  <c r="Q24" i="140"/>
  <c r="O24" i="140"/>
  <c r="A24" i="140"/>
  <c r="X23" i="140"/>
  <c r="W23" i="140"/>
  <c r="R23" i="140"/>
  <c r="Q23" i="140"/>
  <c r="O23" i="140"/>
  <c r="A23" i="140"/>
  <c r="X22" i="140"/>
  <c r="W22" i="140"/>
  <c r="R22" i="140"/>
  <c r="Q22" i="140"/>
  <c r="O22" i="140"/>
  <c r="A22" i="140"/>
  <c r="X21" i="140"/>
  <c r="W21" i="140"/>
  <c r="R21" i="140"/>
  <c r="Q21" i="140"/>
  <c r="O21" i="140"/>
  <c r="A21" i="140"/>
  <c r="X20" i="140"/>
  <c r="W20" i="140"/>
  <c r="R20" i="140"/>
  <c r="Q20" i="140"/>
  <c r="O20" i="140"/>
  <c r="A20" i="140"/>
  <c r="X19" i="140"/>
  <c r="W19" i="140"/>
  <c r="T19" i="140"/>
  <c r="S19" i="140"/>
  <c r="R19" i="140"/>
  <c r="Q19" i="140"/>
  <c r="P19" i="140"/>
  <c r="O19" i="140"/>
  <c r="N19" i="140"/>
  <c r="M19" i="140"/>
  <c r="L19" i="140"/>
  <c r="X18" i="140"/>
  <c r="W18" i="140"/>
  <c r="S18" i="140"/>
  <c r="R18" i="140"/>
  <c r="Q18" i="140"/>
  <c r="P18" i="140"/>
  <c r="O18" i="140"/>
  <c r="A18" i="140"/>
  <c r="X17" i="140"/>
  <c r="W17" i="140"/>
  <c r="S17" i="140"/>
  <c r="R17" i="140"/>
  <c r="Q17" i="140"/>
  <c r="P17" i="140"/>
  <c r="O17" i="140"/>
  <c r="X16" i="140"/>
  <c r="W16" i="140"/>
  <c r="S16" i="140"/>
  <c r="R16" i="140"/>
  <c r="Q16" i="140"/>
  <c r="O16" i="140"/>
  <c r="N16" i="140"/>
  <c r="A16" i="140"/>
  <c r="X15" i="140"/>
  <c r="W15" i="140"/>
  <c r="S15" i="140"/>
  <c r="R15" i="140"/>
  <c r="Q15" i="140"/>
  <c r="P15" i="140"/>
  <c r="O15" i="140"/>
  <c r="A15" i="140"/>
  <c r="X14" i="140"/>
  <c r="W14" i="140"/>
  <c r="T14" i="140"/>
  <c r="S14" i="140"/>
  <c r="R14" i="140"/>
  <c r="Q14" i="140"/>
  <c r="P14" i="140"/>
  <c r="O14" i="140"/>
  <c r="N14" i="140"/>
  <c r="M14" i="140"/>
  <c r="X13" i="140"/>
  <c r="W13" i="140"/>
  <c r="S13" i="140"/>
  <c r="R13" i="140"/>
  <c r="Q13" i="140"/>
  <c r="O13" i="140"/>
  <c r="J13" i="140"/>
  <c r="X12" i="140"/>
  <c r="W12" i="140"/>
  <c r="R12" i="140"/>
  <c r="Q12" i="140"/>
  <c r="O12" i="140"/>
  <c r="N12" i="140"/>
  <c r="S11" i="140"/>
  <c r="R11" i="140"/>
  <c r="Q11" i="140"/>
  <c r="O11" i="140"/>
  <c r="X10" i="140"/>
  <c r="W10" i="140"/>
  <c r="S10" i="140"/>
  <c r="R10" i="140"/>
  <c r="Q10" i="140"/>
  <c r="O10" i="140"/>
  <c r="S9" i="140"/>
  <c r="R9" i="140"/>
  <c r="Q9" i="140"/>
  <c r="O9" i="140"/>
  <c r="X8" i="140"/>
  <c r="W8" i="140"/>
  <c r="S8" i="140"/>
  <c r="R8" i="140"/>
  <c r="Q8" i="140"/>
  <c r="O8" i="140"/>
  <c r="X7" i="140"/>
  <c r="W7" i="140"/>
  <c r="Q7" i="140"/>
  <c r="X6" i="140"/>
  <c r="Q6" i="140"/>
  <c r="O6" i="140"/>
  <c r="J6" i="140"/>
  <c r="I6" i="140"/>
  <c r="H6" i="140"/>
  <c r="G6" i="140"/>
  <c r="F6" i="140"/>
  <c r="E6" i="140"/>
  <c r="J5" i="140"/>
  <c r="I5" i="140"/>
  <c r="F5" i="140"/>
  <c r="E5" i="140"/>
  <c r="J4" i="140"/>
  <c r="I4" i="140"/>
  <c r="F4" i="140"/>
  <c r="E4" i="140"/>
  <c r="F2" i="140"/>
  <c r="E2" i="140"/>
  <c r="BO33" i="137"/>
  <c r="BO31" i="137"/>
  <c r="AA31" i="137"/>
  <c r="W31" i="137"/>
  <c r="Q31" i="137"/>
  <c r="N31" i="137"/>
  <c r="J31" i="137"/>
  <c r="F31" i="137"/>
  <c r="C31" i="137"/>
  <c r="BW30" i="137"/>
  <c r="BV30" i="137"/>
  <c r="BU30" i="137"/>
  <c r="BT30" i="137"/>
  <c r="BS30" i="137"/>
  <c r="BR30" i="137"/>
  <c r="BP30" i="137"/>
  <c r="BO30" i="137"/>
  <c r="BN30" i="137"/>
  <c r="BM30" i="137"/>
  <c r="BL30" i="137"/>
  <c r="BK30" i="137"/>
  <c r="BJ30" i="137"/>
  <c r="BH30" i="137"/>
  <c r="BG30" i="137"/>
  <c r="BF30" i="137"/>
  <c r="BE30" i="137"/>
  <c r="BC30" i="137"/>
  <c r="BB30" i="137"/>
  <c r="AZ30" i="137"/>
  <c r="AY30" i="137"/>
  <c r="AX30" i="137"/>
  <c r="AW30" i="137"/>
  <c r="AV30" i="137"/>
  <c r="AT30" i="137"/>
  <c r="AR30" i="137"/>
  <c r="AQ30" i="137"/>
  <c r="AO30" i="137"/>
  <c r="AN30" i="137"/>
  <c r="AM30" i="137"/>
  <c r="AI30" i="137"/>
  <c r="AH30" i="137"/>
  <c r="AG30" i="137"/>
  <c r="AF30" i="137"/>
  <c r="AE30" i="137"/>
  <c r="AD30" i="137"/>
  <c r="AC30" i="137"/>
  <c r="AB30" i="137"/>
  <c r="AA30" i="137"/>
  <c r="Z30" i="137"/>
  <c r="Y30" i="137"/>
  <c r="X30" i="137"/>
  <c r="W30" i="137"/>
  <c r="V30" i="137"/>
  <c r="S30" i="137"/>
  <c r="R30" i="137"/>
  <c r="Q30" i="137"/>
  <c r="P30" i="137"/>
  <c r="O30" i="137"/>
  <c r="N30" i="137"/>
  <c r="M30" i="137"/>
  <c r="J30" i="137"/>
  <c r="I30" i="137"/>
  <c r="F30" i="137"/>
  <c r="E30" i="137"/>
  <c r="C30" i="137"/>
  <c r="BQ29" i="137"/>
  <c r="BP29" i="137"/>
  <c r="BO29" i="137"/>
  <c r="BN29" i="137"/>
  <c r="BL29" i="137"/>
  <c r="BK29" i="137"/>
  <c r="BJ29" i="137"/>
  <c r="BG29" i="137"/>
  <c r="BB29" i="137"/>
  <c r="BA29" i="137"/>
  <c r="AZ29" i="137"/>
  <c r="AY29" i="137"/>
  <c r="AW29" i="137"/>
  <c r="AV29" i="137"/>
  <c r="AT29" i="137"/>
  <c r="AS29" i="137"/>
  <c r="AR29" i="137"/>
  <c r="AQ29" i="137"/>
  <c r="AM29" i="137"/>
  <c r="AI29" i="137"/>
  <c r="AH29" i="137"/>
  <c r="AG29" i="137"/>
  <c r="AF29" i="137"/>
  <c r="AE29" i="137"/>
  <c r="AD29" i="137"/>
  <c r="AB29" i="137"/>
  <c r="AA29" i="137"/>
  <c r="Z29" i="137"/>
  <c r="X29" i="137"/>
  <c r="W29" i="137"/>
  <c r="V29" i="137"/>
  <c r="R29" i="137"/>
  <c r="Q29" i="137"/>
  <c r="P29" i="137"/>
  <c r="N29" i="137"/>
  <c r="M29" i="137"/>
  <c r="J29" i="137"/>
  <c r="I29" i="137"/>
  <c r="G29" i="137"/>
  <c r="F29" i="137"/>
  <c r="E29" i="137"/>
  <c r="C29" i="137"/>
  <c r="BQ28" i="137"/>
  <c r="BP28" i="137"/>
  <c r="BO28" i="137"/>
  <c r="BN28" i="137"/>
  <c r="BL28" i="137"/>
  <c r="BK28" i="137"/>
  <c r="BJ28" i="137"/>
  <c r="BG28" i="137"/>
  <c r="BF28" i="137"/>
  <c r="BB28" i="137"/>
  <c r="BA28" i="137"/>
  <c r="AZ28" i="137"/>
  <c r="AY28" i="137"/>
  <c r="AX28" i="137"/>
  <c r="AW28" i="137"/>
  <c r="AV28" i="137"/>
  <c r="AT28" i="137"/>
  <c r="AS28" i="137"/>
  <c r="AR28" i="137"/>
  <c r="AQ28" i="137"/>
  <c r="AN28" i="137"/>
  <c r="AM28" i="137"/>
  <c r="AI28" i="137"/>
  <c r="AH28" i="137"/>
  <c r="AG28" i="137"/>
  <c r="AF28" i="137"/>
  <c r="AE28" i="137"/>
  <c r="AD28" i="137"/>
  <c r="AB28" i="137"/>
  <c r="AA28" i="137"/>
  <c r="Z28" i="137"/>
  <c r="X28" i="137"/>
  <c r="W28" i="137"/>
  <c r="V28" i="137"/>
  <c r="T28" i="137"/>
  <c r="R28" i="137"/>
  <c r="Q28" i="137"/>
  <c r="P28" i="137"/>
  <c r="N28" i="137"/>
  <c r="M28" i="137"/>
  <c r="J28" i="137"/>
  <c r="I28" i="137"/>
  <c r="G28" i="137"/>
  <c r="F28" i="137"/>
  <c r="E28" i="137"/>
  <c r="C28" i="137"/>
  <c r="BQ27" i="137"/>
  <c r="BP27" i="137"/>
  <c r="BO27" i="137"/>
  <c r="BN27" i="137"/>
  <c r="BL27" i="137"/>
  <c r="BJ27" i="137"/>
  <c r="BG27" i="137"/>
  <c r="BF27" i="137"/>
  <c r="BB27" i="137"/>
  <c r="BA27" i="137"/>
  <c r="AZ27" i="137"/>
  <c r="AY27" i="137"/>
  <c r="AX27" i="137"/>
  <c r="AW27" i="137"/>
  <c r="AV27" i="137"/>
  <c r="AQ27" i="137"/>
  <c r="AM27" i="137"/>
  <c r="AI27" i="137"/>
  <c r="AH27" i="137"/>
  <c r="AG27" i="137"/>
  <c r="AF27" i="137"/>
  <c r="AE27" i="137"/>
  <c r="AD27" i="137"/>
  <c r="AB27" i="137"/>
  <c r="AA27" i="137"/>
  <c r="Z27" i="137"/>
  <c r="X27" i="137"/>
  <c r="W27" i="137"/>
  <c r="V27" i="137"/>
  <c r="R27" i="137"/>
  <c r="Q27" i="137"/>
  <c r="P27" i="137"/>
  <c r="N27" i="137"/>
  <c r="M27" i="137"/>
  <c r="J27" i="137"/>
  <c r="I27" i="137"/>
  <c r="G27" i="137"/>
  <c r="F27" i="137"/>
  <c r="E27" i="137"/>
  <c r="C27" i="137"/>
  <c r="BQ26" i="137"/>
  <c r="BP26" i="137"/>
  <c r="BO26" i="137"/>
  <c r="BN26" i="137"/>
  <c r="BJ26" i="137"/>
  <c r="BG26" i="137"/>
  <c r="BF26" i="137"/>
  <c r="BB26" i="137"/>
  <c r="BA26" i="137"/>
  <c r="AZ26" i="137"/>
  <c r="AY26" i="137"/>
  <c r="AX26" i="137"/>
  <c r="AW26" i="137"/>
  <c r="AV26" i="137"/>
  <c r="AT26" i="137"/>
  <c r="AS26" i="137"/>
  <c r="AR26" i="137"/>
  <c r="AQ26" i="137"/>
  <c r="AN26" i="137"/>
  <c r="AM26" i="137"/>
  <c r="AI26" i="137"/>
  <c r="AH26" i="137"/>
  <c r="AG26" i="137"/>
  <c r="AF26" i="137"/>
  <c r="AE26" i="137"/>
  <c r="AD26" i="137"/>
  <c r="AB26" i="137"/>
  <c r="AA26" i="137"/>
  <c r="Z26" i="137"/>
  <c r="X26" i="137"/>
  <c r="W26" i="137"/>
  <c r="V26" i="137"/>
  <c r="T26" i="137"/>
  <c r="R26" i="137"/>
  <c r="Q26" i="137"/>
  <c r="P26" i="137"/>
  <c r="N26" i="137"/>
  <c r="M26" i="137"/>
  <c r="J26" i="137"/>
  <c r="I26" i="137"/>
  <c r="G26" i="137"/>
  <c r="F26" i="137"/>
  <c r="E26" i="137"/>
  <c r="C26" i="137"/>
  <c r="BQ25" i="137"/>
  <c r="BP25" i="137"/>
  <c r="BO25" i="137"/>
  <c r="BN25" i="137"/>
  <c r="BK25" i="137"/>
  <c r="BJ25" i="137"/>
  <c r="BG25" i="137"/>
  <c r="BF25" i="137"/>
  <c r="BB25" i="137"/>
  <c r="BA25" i="137"/>
  <c r="AZ25" i="137"/>
  <c r="AY25" i="137"/>
  <c r="AX25" i="137"/>
  <c r="AW25" i="137"/>
  <c r="AV25" i="137"/>
  <c r="AT25" i="137"/>
  <c r="AS25" i="137"/>
  <c r="AR25" i="137"/>
  <c r="AQ25" i="137"/>
  <c r="AM25" i="137"/>
  <c r="AI25" i="137"/>
  <c r="AH25" i="137"/>
  <c r="AG25" i="137"/>
  <c r="AF25" i="137"/>
  <c r="AE25" i="137"/>
  <c r="AD25" i="137"/>
  <c r="AB25" i="137"/>
  <c r="AA25" i="137"/>
  <c r="Z25" i="137"/>
  <c r="X25" i="137"/>
  <c r="W25" i="137"/>
  <c r="V25" i="137"/>
  <c r="R25" i="137"/>
  <c r="Q25" i="137"/>
  <c r="P25" i="137"/>
  <c r="N25" i="137"/>
  <c r="M25" i="137"/>
  <c r="J25" i="137"/>
  <c r="I25" i="137"/>
  <c r="G25" i="137"/>
  <c r="F25" i="137"/>
  <c r="E25" i="137"/>
  <c r="C25" i="137"/>
  <c r="BQ24" i="137"/>
  <c r="BP24" i="137"/>
  <c r="BO24" i="137"/>
  <c r="BN24" i="137"/>
  <c r="BL24" i="137"/>
  <c r="BK24" i="137"/>
  <c r="BJ24" i="137"/>
  <c r="BG24" i="137"/>
  <c r="BF24" i="137"/>
  <c r="BB24" i="137"/>
  <c r="BA24" i="137"/>
  <c r="AZ24" i="137"/>
  <c r="AY24" i="137"/>
  <c r="AX24" i="137"/>
  <c r="AW24" i="137"/>
  <c r="AV24" i="137"/>
  <c r="AT24" i="137"/>
  <c r="AS24" i="137"/>
  <c r="AR24" i="137"/>
  <c r="AQ24" i="137"/>
  <c r="AN24" i="137"/>
  <c r="AM24" i="137"/>
  <c r="AI24" i="137"/>
  <c r="AH24" i="137"/>
  <c r="AG24" i="137"/>
  <c r="AF24" i="137"/>
  <c r="AE24" i="137"/>
  <c r="AD24" i="137"/>
  <c r="AB24" i="137"/>
  <c r="AA24" i="137"/>
  <c r="Z24" i="137"/>
  <c r="X24" i="137"/>
  <c r="W24" i="137"/>
  <c r="V24" i="137"/>
  <c r="T24" i="137"/>
  <c r="R24" i="137"/>
  <c r="Q24" i="137"/>
  <c r="P24" i="137"/>
  <c r="N24" i="137"/>
  <c r="M24" i="137"/>
  <c r="J24" i="137"/>
  <c r="I24" i="137"/>
  <c r="G24" i="137"/>
  <c r="F24" i="137"/>
  <c r="E24" i="137"/>
  <c r="C24" i="137"/>
  <c r="BQ23" i="137"/>
  <c r="BP23" i="137"/>
  <c r="BO23" i="137"/>
  <c r="BN23" i="137"/>
  <c r="BL23" i="137"/>
  <c r="BK23" i="137"/>
  <c r="BJ23" i="137"/>
  <c r="BG23" i="137"/>
  <c r="BF23" i="137"/>
  <c r="BB23" i="137"/>
  <c r="BA23" i="137"/>
  <c r="AZ23" i="137"/>
  <c r="AY23" i="137"/>
  <c r="AX23" i="137"/>
  <c r="AW23" i="137"/>
  <c r="AV23" i="137"/>
  <c r="AT23" i="137"/>
  <c r="AS23" i="137"/>
  <c r="AR23" i="137"/>
  <c r="AQ23" i="137"/>
  <c r="AN23" i="137"/>
  <c r="AM23" i="137"/>
  <c r="AI23" i="137"/>
  <c r="AH23" i="137"/>
  <c r="AG23" i="137"/>
  <c r="AF23" i="137"/>
  <c r="AE23" i="137"/>
  <c r="AD23" i="137"/>
  <c r="AB23" i="137"/>
  <c r="AA23" i="137"/>
  <c r="Z23" i="137"/>
  <c r="X23" i="137"/>
  <c r="W23" i="137"/>
  <c r="V23" i="137"/>
  <c r="T23" i="137"/>
  <c r="R23" i="137"/>
  <c r="Q23" i="137"/>
  <c r="P23" i="137"/>
  <c r="N23" i="137"/>
  <c r="M23" i="137"/>
  <c r="J23" i="137"/>
  <c r="I23" i="137"/>
  <c r="G23" i="137"/>
  <c r="F23" i="137"/>
  <c r="E23" i="137"/>
  <c r="C23" i="137"/>
  <c r="BQ22" i="137"/>
  <c r="BP22" i="137"/>
  <c r="BO22" i="137"/>
  <c r="BN22" i="137"/>
  <c r="BL22" i="137"/>
  <c r="BK22" i="137"/>
  <c r="BJ22" i="137"/>
  <c r="BG22" i="137"/>
  <c r="BF22" i="137"/>
  <c r="BB22" i="137"/>
  <c r="BA22" i="137"/>
  <c r="AZ22" i="137"/>
  <c r="AY22" i="137"/>
  <c r="AX22" i="137"/>
  <c r="AW22" i="137"/>
  <c r="AV22" i="137"/>
  <c r="AT22" i="137"/>
  <c r="AS22" i="137"/>
  <c r="AR22" i="137"/>
  <c r="AQ22" i="137"/>
  <c r="AN22" i="137"/>
  <c r="AM22" i="137"/>
  <c r="AI22" i="137"/>
  <c r="AH22" i="137"/>
  <c r="AG22" i="137"/>
  <c r="AF22" i="137"/>
  <c r="AE22" i="137"/>
  <c r="AD22" i="137"/>
  <c r="AB22" i="137"/>
  <c r="AA22" i="137"/>
  <c r="Z22" i="137"/>
  <c r="X22" i="137"/>
  <c r="W22" i="137"/>
  <c r="V22" i="137"/>
  <c r="T22" i="137"/>
  <c r="R22" i="137"/>
  <c r="Q22" i="137"/>
  <c r="P22" i="137"/>
  <c r="N22" i="137"/>
  <c r="M22" i="137"/>
  <c r="J22" i="137"/>
  <c r="I22" i="137"/>
  <c r="G22" i="137"/>
  <c r="F22" i="137"/>
  <c r="E22" i="137"/>
  <c r="C22" i="137"/>
  <c r="BQ21" i="137"/>
  <c r="BP21" i="137"/>
  <c r="BO21" i="137"/>
  <c r="BN21" i="137"/>
  <c r="BL21" i="137"/>
  <c r="BJ21" i="137"/>
  <c r="BG21" i="137"/>
  <c r="BF21" i="137"/>
  <c r="BB21" i="137"/>
  <c r="BA21" i="137"/>
  <c r="AZ21" i="137"/>
  <c r="AY21" i="137"/>
  <c r="AX21" i="137"/>
  <c r="AW21" i="137"/>
  <c r="AV21" i="137"/>
  <c r="AT21" i="137"/>
  <c r="AS21" i="137"/>
  <c r="AR21" i="137"/>
  <c r="AQ21" i="137"/>
  <c r="AN21" i="137"/>
  <c r="AM21" i="137"/>
  <c r="AI21" i="137"/>
  <c r="AH21" i="137"/>
  <c r="AG21" i="137"/>
  <c r="AF21" i="137"/>
  <c r="AE21" i="137"/>
  <c r="AD21" i="137"/>
  <c r="AB21" i="137"/>
  <c r="AA21" i="137"/>
  <c r="Z21" i="137"/>
  <c r="X21" i="137"/>
  <c r="W21" i="137"/>
  <c r="V21" i="137"/>
  <c r="T21" i="137"/>
  <c r="R21" i="137"/>
  <c r="Q21" i="137"/>
  <c r="P21" i="137"/>
  <c r="N21" i="137"/>
  <c r="M21" i="137"/>
  <c r="J21" i="137"/>
  <c r="I21" i="137"/>
  <c r="G21" i="137"/>
  <c r="F21" i="137"/>
  <c r="E21" i="137"/>
  <c r="C21" i="137"/>
  <c r="BQ20" i="137"/>
  <c r="BP20" i="137"/>
  <c r="BO20" i="137"/>
  <c r="BN20" i="137"/>
  <c r="BK20" i="137"/>
  <c r="BJ20" i="137"/>
  <c r="BG20" i="137"/>
  <c r="BF20" i="137"/>
  <c r="BA20" i="137"/>
  <c r="AV20" i="137"/>
  <c r="AQ20" i="137"/>
  <c r="AM20" i="137"/>
  <c r="AD20" i="137"/>
  <c r="AB20" i="137"/>
  <c r="AA20" i="137"/>
  <c r="Z20" i="137"/>
  <c r="X20" i="137"/>
  <c r="W20" i="137"/>
  <c r="V20" i="137"/>
  <c r="R20" i="137"/>
  <c r="Q20" i="137"/>
  <c r="P20" i="137"/>
  <c r="N20" i="137"/>
  <c r="M20" i="137"/>
  <c r="J20" i="137"/>
  <c r="I20" i="137"/>
  <c r="G20" i="137"/>
  <c r="F20" i="137"/>
  <c r="E20" i="137"/>
  <c r="C20" i="137"/>
  <c r="BQ19" i="137"/>
  <c r="BP19" i="137"/>
  <c r="BO19" i="137"/>
  <c r="BN19" i="137"/>
  <c r="BL19" i="137"/>
  <c r="BK19" i="137"/>
  <c r="BJ19" i="137"/>
  <c r="BG19" i="137"/>
  <c r="BF19" i="137"/>
  <c r="BB19" i="137"/>
  <c r="BA19" i="137"/>
  <c r="AZ19" i="137"/>
  <c r="AY19" i="137"/>
  <c r="AX19" i="137"/>
  <c r="AW19" i="137"/>
  <c r="AV19" i="137"/>
  <c r="AT19" i="137"/>
  <c r="AQ19" i="137"/>
  <c r="AM19" i="137"/>
  <c r="AI19" i="137"/>
  <c r="AH19" i="137"/>
  <c r="AG19" i="137"/>
  <c r="AF19" i="137"/>
  <c r="AE19" i="137"/>
  <c r="AD19" i="137"/>
  <c r="AB19" i="137"/>
  <c r="AA19" i="137"/>
  <c r="Z19" i="137"/>
  <c r="X19" i="137"/>
  <c r="W19" i="137"/>
  <c r="V19" i="137"/>
  <c r="R19" i="137"/>
  <c r="Q19" i="137"/>
  <c r="P19" i="137"/>
  <c r="N19" i="137"/>
  <c r="M19" i="137"/>
  <c r="J19" i="137"/>
  <c r="I19" i="137"/>
  <c r="G19" i="137"/>
  <c r="F19" i="137"/>
  <c r="E19" i="137"/>
  <c r="C19" i="137"/>
  <c r="BQ18" i="137"/>
  <c r="BP18" i="137"/>
  <c r="BO18" i="137"/>
  <c r="BN18" i="137"/>
  <c r="BL18" i="137"/>
  <c r="BK18" i="137"/>
  <c r="BJ18" i="137"/>
  <c r="BG18" i="137"/>
  <c r="BF18" i="137"/>
  <c r="BB18" i="137"/>
  <c r="BA18" i="137"/>
  <c r="AZ18" i="137"/>
  <c r="AY18" i="137"/>
  <c r="AX18" i="137"/>
  <c r="AW18" i="137"/>
  <c r="AV18" i="137"/>
  <c r="AT18" i="137"/>
  <c r="AQ18" i="137"/>
  <c r="AM18" i="137"/>
  <c r="AI18" i="137"/>
  <c r="AH18" i="137"/>
  <c r="AG18" i="137"/>
  <c r="AF18" i="137"/>
  <c r="AE18" i="137"/>
  <c r="AD18" i="137"/>
  <c r="AB18" i="137"/>
  <c r="AA18" i="137"/>
  <c r="Z18" i="137"/>
  <c r="X18" i="137"/>
  <c r="W18" i="137"/>
  <c r="V18" i="137"/>
  <c r="R18" i="137"/>
  <c r="Q18" i="137"/>
  <c r="P18" i="137"/>
  <c r="N18" i="137"/>
  <c r="M18" i="137"/>
  <c r="J18" i="137"/>
  <c r="I18" i="137"/>
  <c r="G18" i="137"/>
  <c r="F18" i="137"/>
  <c r="E18" i="137"/>
  <c r="C18" i="137"/>
  <c r="BQ17" i="137"/>
  <c r="BP17" i="137"/>
  <c r="BO17" i="137"/>
  <c r="BN17" i="137"/>
  <c r="BL17" i="137"/>
  <c r="BK17" i="137"/>
  <c r="BJ17" i="137"/>
  <c r="BG17" i="137"/>
  <c r="BF17" i="137"/>
  <c r="BB17" i="137"/>
  <c r="BA17" i="137"/>
  <c r="AZ17" i="137"/>
  <c r="AY17" i="137"/>
  <c r="AW17" i="137"/>
  <c r="AV17" i="137"/>
  <c r="AT17" i="137"/>
  <c r="AS17" i="137"/>
  <c r="AR17" i="137"/>
  <c r="AQ17" i="137"/>
  <c r="AN17" i="137"/>
  <c r="AM17" i="137"/>
  <c r="AI17" i="137"/>
  <c r="AH17" i="137"/>
  <c r="AG17" i="137"/>
  <c r="AF17" i="137"/>
  <c r="AE17" i="137"/>
  <c r="AD17" i="137"/>
  <c r="AB17" i="137"/>
  <c r="AA17" i="137"/>
  <c r="Z17" i="137"/>
  <c r="X17" i="137"/>
  <c r="W17" i="137"/>
  <c r="V17" i="137"/>
  <c r="T17" i="137"/>
  <c r="R17" i="137"/>
  <c r="Q17" i="137"/>
  <c r="P17" i="137"/>
  <c r="N17" i="137"/>
  <c r="M17" i="137"/>
  <c r="J17" i="137"/>
  <c r="I17" i="137"/>
  <c r="G17" i="137"/>
  <c r="F17" i="137"/>
  <c r="E17" i="137"/>
  <c r="C17" i="137"/>
  <c r="BQ16" i="137"/>
  <c r="BP16" i="137"/>
  <c r="BO16" i="137"/>
  <c r="BN16" i="137"/>
  <c r="BL16" i="137"/>
  <c r="BK16" i="137"/>
  <c r="BJ16" i="137"/>
  <c r="BG16" i="137"/>
  <c r="BF16" i="137"/>
  <c r="BB16" i="137"/>
  <c r="BA16" i="137"/>
  <c r="AZ16" i="137"/>
  <c r="AY16" i="137"/>
  <c r="AW16" i="137"/>
  <c r="AV16" i="137"/>
  <c r="AT16" i="137"/>
  <c r="AS16" i="137"/>
  <c r="AR16" i="137"/>
  <c r="AQ16" i="137"/>
  <c r="AN16" i="137"/>
  <c r="AM16" i="137"/>
  <c r="AI16" i="137"/>
  <c r="AH16" i="137"/>
  <c r="AG16" i="137"/>
  <c r="AF16" i="137"/>
  <c r="AE16" i="137"/>
  <c r="AD16" i="137"/>
  <c r="AB16" i="137"/>
  <c r="AA16" i="137"/>
  <c r="Z16" i="137"/>
  <c r="X16" i="137"/>
  <c r="W16" i="137"/>
  <c r="V16" i="137"/>
  <c r="T16" i="137"/>
  <c r="R16" i="137"/>
  <c r="Q16" i="137"/>
  <c r="P16" i="137"/>
  <c r="N16" i="137"/>
  <c r="M16" i="137"/>
  <c r="J16" i="137"/>
  <c r="I16" i="137"/>
  <c r="G16" i="137"/>
  <c r="F16" i="137"/>
  <c r="E16" i="137"/>
  <c r="C16" i="137"/>
  <c r="BQ15" i="137"/>
  <c r="BP15" i="137"/>
  <c r="BO15" i="137"/>
  <c r="BN15" i="137"/>
  <c r="BL15" i="137"/>
  <c r="BK15" i="137"/>
  <c r="BJ15" i="137"/>
  <c r="BG15" i="137"/>
  <c r="BF15" i="137"/>
  <c r="BB15" i="137"/>
  <c r="BA15" i="137"/>
  <c r="AZ15" i="137"/>
  <c r="AY15" i="137"/>
  <c r="AW15" i="137"/>
  <c r="AV15" i="137"/>
  <c r="AT15" i="137"/>
  <c r="AS15" i="137"/>
  <c r="AR15" i="137"/>
  <c r="AQ15" i="137"/>
  <c r="AN15" i="137"/>
  <c r="AM15" i="137"/>
  <c r="AI15" i="137"/>
  <c r="AH15" i="137"/>
  <c r="AG15" i="137"/>
  <c r="AF15" i="137"/>
  <c r="AE15" i="137"/>
  <c r="AD15" i="137"/>
  <c r="AB15" i="137"/>
  <c r="AA15" i="137"/>
  <c r="Z15" i="137"/>
  <c r="X15" i="137"/>
  <c r="W15" i="137"/>
  <c r="V15" i="137"/>
  <c r="T15" i="137"/>
  <c r="R15" i="137"/>
  <c r="Q15" i="137"/>
  <c r="P15" i="137"/>
  <c r="N15" i="137"/>
  <c r="M15" i="137"/>
  <c r="J15" i="137"/>
  <c r="I15" i="137"/>
  <c r="G15" i="137"/>
  <c r="F15" i="137"/>
  <c r="E15" i="137"/>
  <c r="C15" i="137"/>
  <c r="BW14" i="137"/>
  <c r="BV14" i="137"/>
  <c r="BU14" i="137"/>
  <c r="BT14" i="137"/>
  <c r="BS14" i="137"/>
  <c r="BR14" i="137"/>
  <c r="BQ14" i="137"/>
  <c r="BP14" i="137"/>
  <c r="BO14" i="137"/>
  <c r="BN14" i="137"/>
  <c r="BL14" i="137"/>
  <c r="BK14" i="137"/>
  <c r="BJ14" i="137"/>
  <c r="BG14" i="137"/>
  <c r="BB14" i="137"/>
  <c r="BA14" i="137"/>
  <c r="AZ14" i="137"/>
  <c r="AY14" i="137"/>
  <c r="AW14" i="137"/>
  <c r="AV14" i="137"/>
  <c r="AT14" i="137"/>
  <c r="AS14" i="137"/>
  <c r="AR14" i="137"/>
  <c r="AQ14" i="137"/>
  <c r="AM14" i="137"/>
  <c r="AI14" i="137"/>
  <c r="AH14" i="137"/>
  <c r="AG14" i="137"/>
  <c r="AF14" i="137"/>
  <c r="AE14" i="137"/>
  <c r="AD14" i="137"/>
  <c r="AB14" i="137"/>
  <c r="AA14" i="137"/>
  <c r="Z14" i="137"/>
  <c r="X14" i="137"/>
  <c r="W14" i="137"/>
  <c r="V14" i="137"/>
  <c r="R14" i="137"/>
  <c r="Q14" i="137"/>
  <c r="P14" i="137"/>
  <c r="N14" i="137"/>
  <c r="M14" i="137"/>
  <c r="J14" i="137"/>
  <c r="I14" i="137"/>
  <c r="G14" i="137"/>
  <c r="F14" i="137"/>
  <c r="E14" i="137"/>
  <c r="C14" i="137"/>
  <c r="BW13" i="137"/>
  <c r="BV13" i="137"/>
  <c r="BU13" i="137"/>
  <c r="BT13" i="137"/>
  <c r="BS13" i="137"/>
  <c r="BR13" i="137"/>
  <c r="BQ13" i="137"/>
  <c r="BP13" i="137"/>
  <c r="BO13" i="137"/>
  <c r="BN13" i="137"/>
  <c r="BL13" i="137"/>
  <c r="BK13" i="137"/>
  <c r="BJ13" i="137"/>
  <c r="BG13" i="137"/>
  <c r="BB13" i="137"/>
  <c r="BA13" i="137"/>
  <c r="AZ13" i="137"/>
  <c r="AY13" i="137"/>
  <c r="AW13" i="137"/>
  <c r="AV13" i="137"/>
  <c r="AT13" i="137"/>
  <c r="AS13" i="137"/>
  <c r="AR13" i="137"/>
  <c r="AQ13" i="137"/>
  <c r="AM13" i="137"/>
  <c r="AI13" i="137"/>
  <c r="AH13" i="137"/>
  <c r="AG13" i="137"/>
  <c r="AF13" i="137"/>
  <c r="AE13" i="137"/>
  <c r="AD13" i="137"/>
  <c r="AB13" i="137"/>
  <c r="AA13" i="137"/>
  <c r="Z13" i="137"/>
  <c r="X13" i="137"/>
  <c r="W13" i="137"/>
  <c r="V13" i="137"/>
  <c r="R13" i="137"/>
  <c r="Q13" i="137"/>
  <c r="P13" i="137"/>
  <c r="N13" i="137"/>
  <c r="M13" i="137"/>
  <c r="J13" i="137"/>
  <c r="I13" i="137"/>
  <c r="G13" i="137"/>
  <c r="F13" i="137"/>
  <c r="E13" i="137"/>
  <c r="C13" i="137"/>
  <c r="BW12" i="137"/>
  <c r="BV12" i="137"/>
  <c r="BU12" i="137"/>
  <c r="BT12" i="137"/>
  <c r="BS12" i="137"/>
  <c r="BR12" i="137"/>
  <c r="BQ12" i="137"/>
  <c r="BP12" i="137"/>
  <c r="BO12" i="137"/>
  <c r="BN12" i="137"/>
  <c r="BL12" i="137"/>
  <c r="BK12" i="137"/>
  <c r="BJ12" i="137"/>
  <c r="BG12" i="137"/>
  <c r="BB12" i="137"/>
  <c r="BA12" i="137"/>
  <c r="AZ12" i="137"/>
  <c r="AY12" i="137"/>
  <c r="AW12" i="137"/>
  <c r="AV12" i="137"/>
  <c r="AT12" i="137"/>
  <c r="AS12" i="137"/>
  <c r="AR12" i="137"/>
  <c r="AQ12" i="137"/>
  <c r="AM12" i="137"/>
  <c r="AI12" i="137"/>
  <c r="AH12" i="137"/>
  <c r="AG12" i="137"/>
  <c r="AF12" i="137"/>
  <c r="AE12" i="137"/>
  <c r="AD12" i="137"/>
  <c r="AB12" i="137"/>
  <c r="AA12" i="137"/>
  <c r="Z12" i="137"/>
  <c r="X12" i="137"/>
  <c r="W12" i="137"/>
  <c r="V12" i="137"/>
  <c r="R12" i="137"/>
  <c r="Q12" i="137"/>
  <c r="P12" i="137"/>
  <c r="N12" i="137"/>
  <c r="M12" i="137"/>
  <c r="J12" i="137"/>
  <c r="I12" i="137"/>
  <c r="G12" i="137"/>
  <c r="F12" i="137"/>
  <c r="E12" i="137"/>
  <c r="C12" i="137"/>
  <c r="BW11" i="137"/>
  <c r="BV11" i="137"/>
  <c r="BU11" i="137"/>
  <c r="BT11" i="137"/>
  <c r="BS11" i="137"/>
  <c r="BR11" i="137"/>
  <c r="BQ11" i="137"/>
  <c r="BP11" i="137"/>
  <c r="BO11" i="137"/>
  <c r="BN11" i="137"/>
  <c r="BL11" i="137"/>
  <c r="BK11" i="137"/>
  <c r="BJ11" i="137"/>
  <c r="BG11" i="137"/>
  <c r="BB11" i="137"/>
  <c r="BA11" i="137"/>
  <c r="AZ11" i="137"/>
  <c r="AY11" i="137"/>
  <c r="AW11" i="137"/>
  <c r="AV11" i="137"/>
  <c r="AT11" i="137"/>
  <c r="AS11" i="137"/>
  <c r="AR11" i="137"/>
  <c r="AQ11" i="137"/>
  <c r="AM11" i="137"/>
  <c r="AI11" i="137"/>
  <c r="AH11" i="137"/>
  <c r="AG11" i="137"/>
  <c r="AF11" i="137"/>
  <c r="AE11" i="137"/>
  <c r="AD11" i="137"/>
  <c r="AB11" i="137"/>
  <c r="AA11" i="137"/>
  <c r="Z11" i="137"/>
  <c r="X11" i="137"/>
  <c r="W11" i="137"/>
  <c r="V11" i="137"/>
  <c r="R11" i="137"/>
  <c r="Q11" i="137"/>
  <c r="P11" i="137"/>
  <c r="N11" i="137"/>
  <c r="M11" i="137"/>
  <c r="J11" i="137"/>
  <c r="I11" i="137"/>
  <c r="G11" i="137"/>
  <c r="F11" i="137"/>
  <c r="E11" i="137"/>
  <c r="C11" i="137"/>
  <c r="BW10" i="137"/>
  <c r="BV10" i="137"/>
  <c r="BU10" i="137"/>
  <c r="BT10" i="137"/>
  <c r="BS10" i="137"/>
  <c r="BR10" i="137"/>
  <c r="BQ10" i="137"/>
  <c r="BP10" i="137"/>
  <c r="BO10" i="137"/>
  <c r="BN10" i="137"/>
  <c r="BL10" i="137"/>
  <c r="BK10" i="137"/>
  <c r="BJ10" i="137"/>
  <c r="BG10" i="137"/>
  <c r="BF10" i="137"/>
  <c r="BB10" i="137"/>
  <c r="BA10" i="137"/>
  <c r="AZ10" i="137"/>
  <c r="AY10" i="137"/>
  <c r="AW10" i="137"/>
  <c r="AV10" i="137"/>
  <c r="AT10" i="137"/>
  <c r="AS10" i="137"/>
  <c r="AR10" i="137"/>
  <c r="AQ10" i="137"/>
  <c r="AN10" i="137"/>
  <c r="AM10" i="137"/>
  <c r="AI10" i="137"/>
  <c r="AH10" i="137"/>
  <c r="AG10" i="137"/>
  <c r="AF10" i="137"/>
  <c r="AE10" i="137"/>
  <c r="AD10" i="137"/>
  <c r="AB10" i="137"/>
  <c r="AA10" i="137"/>
  <c r="Z10" i="137"/>
  <c r="X10" i="137"/>
  <c r="W10" i="137"/>
  <c r="V10" i="137"/>
  <c r="T10" i="137"/>
  <c r="R10" i="137"/>
  <c r="Q10" i="137"/>
  <c r="P10" i="137"/>
  <c r="N10" i="137"/>
  <c r="M10" i="137"/>
  <c r="J10" i="137"/>
  <c r="I10" i="137"/>
  <c r="G10" i="137"/>
  <c r="F10" i="137"/>
  <c r="E10" i="137"/>
  <c r="C10" i="137"/>
  <c r="BW9" i="137"/>
  <c r="BV9" i="137"/>
  <c r="BU9" i="137"/>
  <c r="BT9" i="137"/>
  <c r="BS9" i="137"/>
  <c r="BR9" i="137"/>
  <c r="BQ9" i="137"/>
  <c r="BP9" i="137"/>
  <c r="BO9" i="137"/>
  <c r="BN9" i="137"/>
  <c r="BL9" i="137"/>
  <c r="BK9" i="137"/>
  <c r="BJ9" i="137"/>
  <c r="BG9" i="137"/>
  <c r="BF9" i="137"/>
  <c r="BB9" i="137"/>
  <c r="BA9" i="137"/>
  <c r="AZ9" i="137"/>
  <c r="AY9" i="137"/>
  <c r="AW9" i="137"/>
  <c r="AV9" i="137"/>
  <c r="AT9" i="137"/>
  <c r="AS9" i="137"/>
  <c r="AR9" i="137"/>
  <c r="AQ9" i="137"/>
  <c r="AM9" i="137"/>
  <c r="AI9" i="137"/>
  <c r="AH9" i="137"/>
  <c r="AG9" i="137"/>
  <c r="AF9" i="137"/>
  <c r="AE9" i="137"/>
  <c r="AD9" i="137"/>
  <c r="AB9" i="137"/>
  <c r="AA9" i="137"/>
  <c r="Z9" i="137"/>
  <c r="X9" i="137"/>
  <c r="W9" i="137"/>
  <c r="V9" i="137"/>
  <c r="R9" i="137"/>
  <c r="Q9" i="137"/>
  <c r="P9" i="137"/>
  <c r="N9" i="137"/>
  <c r="M9" i="137"/>
  <c r="J9" i="137"/>
  <c r="I9" i="137"/>
  <c r="G9" i="137"/>
  <c r="F9" i="137"/>
  <c r="E9" i="137"/>
  <c r="C9" i="137"/>
  <c r="BW8" i="137"/>
  <c r="BV8" i="137"/>
  <c r="BU8" i="137"/>
  <c r="BT8" i="137"/>
  <c r="BS8" i="137"/>
  <c r="BR8" i="137"/>
  <c r="BQ8" i="137"/>
  <c r="BP8" i="137"/>
  <c r="BO8" i="137"/>
  <c r="BN8" i="137"/>
  <c r="BL8" i="137"/>
  <c r="BK8" i="137"/>
  <c r="BJ8" i="137"/>
  <c r="BG8" i="137"/>
  <c r="BF8" i="137"/>
  <c r="BB8" i="137"/>
  <c r="BA8" i="137"/>
  <c r="AZ8" i="137"/>
  <c r="AY8" i="137"/>
  <c r="AW8" i="137"/>
  <c r="AV8" i="137"/>
  <c r="AT8" i="137"/>
  <c r="AS8" i="137"/>
  <c r="AR8" i="137"/>
  <c r="AQ8" i="137"/>
  <c r="AN8" i="137"/>
  <c r="AM8" i="137"/>
  <c r="AI8" i="137"/>
  <c r="AH8" i="137"/>
  <c r="AG8" i="137"/>
  <c r="AF8" i="137"/>
  <c r="AE8" i="137"/>
  <c r="AD8" i="137"/>
  <c r="AB8" i="137"/>
  <c r="AA8" i="137"/>
  <c r="Z8" i="137"/>
  <c r="X8" i="137"/>
  <c r="W8" i="137"/>
  <c r="V8" i="137"/>
  <c r="T8" i="137"/>
  <c r="R8" i="137"/>
  <c r="Q8" i="137"/>
  <c r="P8" i="137"/>
  <c r="N8" i="137"/>
  <c r="M8" i="137"/>
  <c r="J8" i="137"/>
  <c r="I8" i="137"/>
  <c r="G8" i="137"/>
  <c r="F8" i="137"/>
  <c r="E8" i="137"/>
  <c r="C8" i="137"/>
  <c r="BW7" i="137"/>
  <c r="BV7" i="137"/>
  <c r="BU7" i="137"/>
  <c r="BT7" i="137"/>
  <c r="BS7" i="137"/>
  <c r="BR7" i="137"/>
  <c r="BQ7" i="137"/>
  <c r="BP7" i="137"/>
  <c r="BO7" i="137"/>
  <c r="BN7" i="137"/>
  <c r="BL7" i="137"/>
  <c r="BK7" i="137"/>
  <c r="BJ7" i="137"/>
  <c r="BG7" i="137"/>
  <c r="BF7" i="137"/>
  <c r="BB7" i="137"/>
  <c r="BA7" i="137"/>
  <c r="AZ7" i="137"/>
  <c r="AY7" i="137"/>
  <c r="AW7" i="137"/>
  <c r="AV7" i="137"/>
  <c r="AT7" i="137"/>
  <c r="AS7" i="137"/>
  <c r="AR7" i="137"/>
  <c r="AQ7" i="137"/>
  <c r="AM7" i="137"/>
  <c r="AI7" i="137"/>
  <c r="AH7" i="137"/>
  <c r="AG7" i="137"/>
  <c r="AF7" i="137"/>
  <c r="AE7" i="137"/>
  <c r="AD7" i="137"/>
  <c r="AB7" i="137"/>
  <c r="AA7" i="137"/>
  <c r="Z7" i="137"/>
  <c r="X7" i="137"/>
  <c r="W7" i="137"/>
  <c r="V7" i="137"/>
  <c r="T7" i="137"/>
  <c r="R7" i="137"/>
  <c r="Q7" i="137"/>
  <c r="P7" i="137"/>
  <c r="N7" i="137"/>
  <c r="M7" i="137"/>
  <c r="J7" i="137"/>
  <c r="I7" i="137"/>
  <c r="G7" i="137"/>
  <c r="F7" i="137"/>
  <c r="E7" i="137"/>
  <c r="C7" i="137"/>
  <c r="BQ6" i="137"/>
  <c r="BP6" i="137"/>
  <c r="BO6" i="137"/>
  <c r="BN6" i="137"/>
  <c r="BJ6" i="137"/>
  <c r="BG6" i="137"/>
  <c r="BF6" i="137"/>
  <c r="BA6" i="137"/>
  <c r="AZ6" i="137"/>
  <c r="AY6" i="137"/>
  <c r="AX6" i="137"/>
  <c r="AW6" i="137"/>
  <c r="AV6" i="137"/>
  <c r="AT6" i="137"/>
  <c r="AS6" i="137"/>
  <c r="AR6" i="137"/>
  <c r="AQ6" i="137"/>
  <c r="AN6" i="137"/>
  <c r="AM6" i="137"/>
  <c r="AI6" i="137"/>
  <c r="AF6" i="137"/>
  <c r="AE6" i="137"/>
  <c r="AD6" i="137"/>
  <c r="AB6" i="137"/>
  <c r="AA6" i="137"/>
  <c r="Z6" i="137"/>
  <c r="X6" i="137"/>
  <c r="W6" i="137"/>
  <c r="V6" i="137"/>
  <c r="T6" i="137"/>
  <c r="R6" i="137"/>
  <c r="Q6" i="137"/>
  <c r="P6" i="137"/>
  <c r="N6" i="137"/>
  <c r="M6" i="137"/>
  <c r="J6" i="137"/>
  <c r="I6" i="137"/>
  <c r="G6" i="137"/>
  <c r="F6" i="137"/>
  <c r="E6" i="137"/>
  <c r="C6" i="137"/>
  <c r="BS5" i="137"/>
  <c r="O57" i="197"/>
  <c r="P55" i="197"/>
  <c r="L55" i="197"/>
  <c r="I55" i="197"/>
  <c r="G55" i="197"/>
  <c r="F55" i="197"/>
  <c r="E55" i="197"/>
  <c r="R54" i="197"/>
  <c r="P54" i="197"/>
  <c r="L54" i="197"/>
  <c r="I54" i="197"/>
  <c r="G54" i="197"/>
  <c r="F54" i="197"/>
  <c r="E54" i="197"/>
  <c r="AA53" i="197"/>
  <c r="Z53" i="197"/>
  <c r="Y53" i="197"/>
  <c r="X53" i="197"/>
  <c r="W53" i="197"/>
  <c r="V53" i="197"/>
  <c r="U53" i="197"/>
  <c r="T53" i="197"/>
  <c r="S53" i="197"/>
  <c r="R53" i="197"/>
  <c r="Q53" i="197"/>
  <c r="P53" i="197"/>
  <c r="O53" i="197"/>
  <c r="N53" i="197"/>
  <c r="M53" i="197"/>
  <c r="L53" i="197"/>
  <c r="K53" i="197"/>
  <c r="J53" i="197"/>
  <c r="I53" i="197"/>
  <c r="H53" i="197"/>
  <c r="G53" i="197"/>
  <c r="F53" i="197"/>
  <c r="E53" i="197"/>
  <c r="D53" i="197"/>
  <c r="A53" i="197"/>
  <c r="AA52" i="197"/>
  <c r="Z52" i="197"/>
  <c r="Y52" i="197"/>
  <c r="X52" i="197"/>
  <c r="W52" i="197"/>
  <c r="V52" i="197"/>
  <c r="U52" i="197"/>
  <c r="T52" i="197"/>
  <c r="S52" i="197"/>
  <c r="R52" i="197"/>
  <c r="Q52" i="197"/>
  <c r="P52" i="197"/>
  <c r="O52" i="197"/>
  <c r="N52" i="197"/>
  <c r="M52" i="197"/>
  <c r="L52" i="197"/>
  <c r="K52" i="197"/>
  <c r="J52" i="197"/>
  <c r="I52" i="197"/>
  <c r="H52" i="197"/>
  <c r="G52" i="197"/>
  <c r="F52" i="197"/>
  <c r="E52" i="197"/>
  <c r="D52" i="197"/>
  <c r="AD51" i="197"/>
  <c r="AA51" i="197"/>
  <c r="Z51" i="197"/>
  <c r="Y51" i="197"/>
  <c r="X51" i="197"/>
  <c r="W51" i="197"/>
  <c r="V51" i="197"/>
  <c r="U51" i="197"/>
  <c r="T51" i="197"/>
  <c r="S51" i="197"/>
  <c r="R51" i="197"/>
  <c r="Q51" i="197"/>
  <c r="P51" i="197"/>
  <c r="O51" i="197"/>
  <c r="N51" i="197"/>
  <c r="M51" i="197"/>
  <c r="L51" i="197"/>
  <c r="K51" i="197"/>
  <c r="J51" i="197"/>
  <c r="I51" i="197"/>
  <c r="H51" i="197"/>
  <c r="G51" i="197"/>
  <c r="F51" i="197"/>
  <c r="E51" i="197"/>
  <c r="D51" i="197"/>
  <c r="AJ50" i="197"/>
  <c r="AI50" i="197"/>
  <c r="AH50" i="197"/>
  <c r="AG50" i="197"/>
  <c r="AF50" i="197"/>
  <c r="AD50" i="197"/>
  <c r="Y50" i="197"/>
  <c r="W50" i="197"/>
  <c r="V50" i="197"/>
  <c r="U50" i="197"/>
  <c r="S50" i="197"/>
  <c r="R50" i="197"/>
  <c r="Q50" i="197"/>
  <c r="P50" i="197"/>
  <c r="O50" i="197"/>
  <c r="N50" i="197"/>
  <c r="M50" i="197"/>
  <c r="L50" i="197"/>
  <c r="K50" i="197"/>
  <c r="J50" i="197"/>
  <c r="I50" i="197"/>
  <c r="H50" i="197"/>
  <c r="G50" i="197"/>
  <c r="F50" i="197"/>
  <c r="E50" i="197"/>
  <c r="D50" i="197"/>
  <c r="A50" i="197"/>
  <c r="AJ49" i="197"/>
  <c r="AI49" i="197"/>
  <c r="AH49" i="197"/>
  <c r="AG49" i="197"/>
  <c r="AF49" i="197"/>
  <c r="AD49" i="197"/>
  <c r="Y49" i="197"/>
  <c r="W49" i="197"/>
  <c r="V49" i="197"/>
  <c r="U49" i="197"/>
  <c r="S49" i="197"/>
  <c r="R49" i="197"/>
  <c r="Q49" i="197"/>
  <c r="P49" i="197"/>
  <c r="O49" i="197"/>
  <c r="N49" i="197"/>
  <c r="M49" i="197"/>
  <c r="L49" i="197"/>
  <c r="K49" i="197"/>
  <c r="J49" i="197"/>
  <c r="I49" i="197"/>
  <c r="H49" i="197"/>
  <c r="G49" i="197"/>
  <c r="F49" i="197"/>
  <c r="E49" i="197"/>
  <c r="D49" i="197"/>
  <c r="A49" i="197"/>
  <c r="AJ48" i="197"/>
  <c r="AI48" i="197"/>
  <c r="AH48" i="197"/>
  <c r="AG48" i="197"/>
  <c r="AF48" i="197"/>
  <c r="AD48" i="197"/>
  <c r="Y48" i="197"/>
  <c r="W48" i="197"/>
  <c r="V48" i="197"/>
  <c r="U48" i="197"/>
  <c r="S48" i="197"/>
  <c r="R48" i="197"/>
  <c r="Q48" i="197"/>
  <c r="P48" i="197"/>
  <c r="O48" i="197"/>
  <c r="N48" i="197"/>
  <c r="M48" i="197"/>
  <c r="L48" i="197"/>
  <c r="K48" i="197"/>
  <c r="J48" i="197"/>
  <c r="I48" i="197"/>
  <c r="H48" i="197"/>
  <c r="G48" i="197"/>
  <c r="F48" i="197"/>
  <c r="E48" i="197"/>
  <c r="D48" i="197"/>
  <c r="A48" i="197"/>
  <c r="AJ47" i="197"/>
  <c r="AI47" i="197"/>
  <c r="AH47" i="197"/>
  <c r="AG47" i="197"/>
  <c r="AF47" i="197"/>
  <c r="AD47" i="197"/>
  <c r="Y47" i="197"/>
  <c r="W47" i="197"/>
  <c r="V47" i="197"/>
  <c r="U47" i="197"/>
  <c r="S47" i="197"/>
  <c r="R47" i="197"/>
  <c r="Q47" i="197"/>
  <c r="P47" i="197"/>
  <c r="O47" i="197"/>
  <c r="N47" i="197"/>
  <c r="M47" i="197"/>
  <c r="L47" i="197"/>
  <c r="K47" i="197"/>
  <c r="J47" i="197"/>
  <c r="I47" i="197"/>
  <c r="H47" i="197"/>
  <c r="G47" i="197"/>
  <c r="F47" i="197"/>
  <c r="E47" i="197"/>
  <c r="D47" i="197"/>
  <c r="A47" i="197"/>
  <c r="AJ46" i="197"/>
  <c r="AI46" i="197"/>
  <c r="AH46" i="197"/>
  <c r="AG46" i="197"/>
  <c r="AF46" i="197"/>
  <c r="AD46" i="197"/>
  <c r="Y46" i="197"/>
  <c r="W46" i="197"/>
  <c r="V46" i="197"/>
  <c r="U46" i="197"/>
  <c r="S46" i="197"/>
  <c r="R46" i="197"/>
  <c r="Q46" i="197"/>
  <c r="P46" i="197"/>
  <c r="O46" i="197"/>
  <c r="N46" i="197"/>
  <c r="M46" i="197"/>
  <c r="L46" i="197"/>
  <c r="K46" i="197"/>
  <c r="J46" i="197"/>
  <c r="I46" i="197"/>
  <c r="H46" i="197"/>
  <c r="G46" i="197"/>
  <c r="F46" i="197"/>
  <c r="E46" i="197"/>
  <c r="D46" i="197"/>
  <c r="A46" i="197"/>
  <c r="AA45" i="197"/>
  <c r="Z45" i="197"/>
  <c r="Y45" i="197"/>
  <c r="X45" i="197"/>
  <c r="W45" i="197"/>
  <c r="V45" i="197"/>
  <c r="U45" i="197"/>
  <c r="T45" i="197"/>
  <c r="S45" i="197"/>
  <c r="R45" i="197"/>
  <c r="Q45" i="197"/>
  <c r="P45" i="197"/>
  <c r="O45" i="197"/>
  <c r="N45" i="197"/>
  <c r="M45" i="197"/>
  <c r="L45" i="197"/>
  <c r="K45" i="197"/>
  <c r="J45" i="197"/>
  <c r="I45" i="197"/>
  <c r="H45" i="197"/>
  <c r="G45" i="197"/>
  <c r="F45" i="197"/>
  <c r="E45" i="197"/>
  <c r="D45" i="197"/>
  <c r="AJ44" i="197"/>
  <c r="AI44" i="197"/>
  <c r="AH44" i="197"/>
  <c r="AG44" i="197"/>
  <c r="AF44" i="197"/>
  <c r="AD44" i="197"/>
  <c r="Z44" i="197"/>
  <c r="Y44" i="197"/>
  <c r="W44" i="197"/>
  <c r="V44" i="197"/>
  <c r="U44" i="197"/>
  <c r="S44" i="197"/>
  <c r="R44" i="197"/>
  <c r="Q44" i="197"/>
  <c r="P44" i="197"/>
  <c r="O44" i="197"/>
  <c r="N44" i="197"/>
  <c r="M44" i="197"/>
  <c r="L44" i="197"/>
  <c r="K44" i="197"/>
  <c r="J44" i="197"/>
  <c r="I44" i="197"/>
  <c r="H44" i="197"/>
  <c r="G44" i="197"/>
  <c r="F44" i="197"/>
  <c r="E44" i="197"/>
  <c r="D44" i="197"/>
  <c r="AJ43" i="197"/>
  <c r="AI43" i="197"/>
  <c r="AH43" i="197"/>
  <c r="AG43" i="197"/>
  <c r="AF43" i="197"/>
  <c r="AD43" i="197"/>
  <c r="Z43" i="197"/>
  <c r="Y43" i="197"/>
  <c r="W43" i="197"/>
  <c r="V43" i="197"/>
  <c r="U43" i="197"/>
  <c r="S43" i="197"/>
  <c r="R43" i="197"/>
  <c r="Q43" i="197"/>
  <c r="P43" i="197"/>
  <c r="O43" i="197"/>
  <c r="N43" i="197"/>
  <c r="M43" i="197"/>
  <c r="L43" i="197"/>
  <c r="K43" i="197"/>
  <c r="J43" i="197"/>
  <c r="I43" i="197"/>
  <c r="H43" i="197"/>
  <c r="G43" i="197"/>
  <c r="F43" i="197"/>
  <c r="E43" i="197"/>
  <c r="D43" i="197"/>
  <c r="AJ42" i="197"/>
  <c r="AI42" i="197"/>
  <c r="AH42" i="197"/>
  <c r="AG42" i="197"/>
  <c r="AF42" i="197"/>
  <c r="AD42" i="197"/>
  <c r="Z42" i="197"/>
  <c r="Y42" i="197"/>
  <c r="W42" i="197"/>
  <c r="V42" i="197"/>
  <c r="U42" i="197"/>
  <c r="S42" i="197"/>
  <c r="R42" i="197"/>
  <c r="Q42" i="197"/>
  <c r="P42" i="197"/>
  <c r="O42" i="197"/>
  <c r="N42" i="197"/>
  <c r="M42" i="197"/>
  <c r="L42" i="197"/>
  <c r="K42" i="197"/>
  <c r="J42" i="197"/>
  <c r="I42" i="197"/>
  <c r="H42" i="197"/>
  <c r="G42" i="197"/>
  <c r="F42" i="197"/>
  <c r="E42" i="197"/>
  <c r="D42" i="197"/>
  <c r="A42" i="197"/>
  <c r="AA41" i="197"/>
  <c r="Z41" i="197"/>
  <c r="Y41" i="197"/>
  <c r="X41" i="197"/>
  <c r="W41" i="197"/>
  <c r="V41" i="197"/>
  <c r="U41" i="197"/>
  <c r="T41" i="197"/>
  <c r="S41" i="197"/>
  <c r="R41" i="197"/>
  <c r="Q41" i="197"/>
  <c r="P41" i="197"/>
  <c r="O41" i="197"/>
  <c r="N41" i="197"/>
  <c r="M41" i="197"/>
  <c r="L41" i="197"/>
  <c r="K41" i="197"/>
  <c r="J41" i="197"/>
  <c r="I41" i="197"/>
  <c r="H41" i="197"/>
  <c r="G41" i="197"/>
  <c r="F41" i="197"/>
  <c r="E41" i="197"/>
  <c r="D41" i="197"/>
  <c r="AJ40" i="197"/>
  <c r="AI40" i="197"/>
  <c r="AH40" i="197"/>
  <c r="AG40" i="197"/>
  <c r="AF40" i="197"/>
  <c r="AD40" i="197"/>
  <c r="Z40" i="197"/>
  <c r="Y40" i="197"/>
  <c r="W40" i="197"/>
  <c r="V40" i="197"/>
  <c r="U40" i="197"/>
  <c r="S40" i="197"/>
  <c r="R40" i="197"/>
  <c r="Q40" i="197"/>
  <c r="P40" i="197"/>
  <c r="O40" i="197"/>
  <c r="N40" i="197"/>
  <c r="M40" i="197"/>
  <c r="L40" i="197"/>
  <c r="K40" i="197"/>
  <c r="J40" i="197"/>
  <c r="I40" i="197"/>
  <c r="H40" i="197"/>
  <c r="G40" i="197"/>
  <c r="F40" i="197"/>
  <c r="E40" i="197"/>
  <c r="D40" i="197"/>
  <c r="A40" i="197"/>
  <c r="AJ39" i="197"/>
  <c r="AI39" i="197"/>
  <c r="AH39" i="197"/>
  <c r="AG39" i="197"/>
  <c r="AF39" i="197"/>
  <c r="AD39" i="197"/>
  <c r="Z39" i="197"/>
  <c r="Y39" i="197"/>
  <c r="W39" i="197"/>
  <c r="V39" i="197"/>
  <c r="U39" i="197"/>
  <c r="S39" i="197"/>
  <c r="R39" i="197"/>
  <c r="Q39" i="197"/>
  <c r="P39" i="197"/>
  <c r="O39" i="197"/>
  <c r="N39" i="197"/>
  <c r="M39" i="197"/>
  <c r="L39" i="197"/>
  <c r="K39" i="197"/>
  <c r="J39" i="197"/>
  <c r="I39" i="197"/>
  <c r="H39" i="197"/>
  <c r="G39" i="197"/>
  <c r="F39" i="197"/>
  <c r="E39" i="197"/>
  <c r="D39" i="197"/>
  <c r="A39" i="197"/>
  <c r="AD38" i="197"/>
  <c r="AA38" i="197"/>
  <c r="Z38" i="197"/>
  <c r="Y38" i="197"/>
  <c r="X38" i="197"/>
  <c r="W38" i="197"/>
  <c r="V38" i="197"/>
  <c r="U38" i="197"/>
  <c r="T38" i="197"/>
  <c r="S38" i="197"/>
  <c r="R38" i="197"/>
  <c r="Q38" i="197"/>
  <c r="P38" i="197"/>
  <c r="O38" i="197"/>
  <c r="N38" i="197"/>
  <c r="M38" i="197"/>
  <c r="L38" i="197"/>
  <c r="K38" i="197"/>
  <c r="J38" i="197"/>
  <c r="I38" i="197"/>
  <c r="H38" i="197"/>
  <c r="G38" i="197"/>
  <c r="F38" i="197"/>
  <c r="E38" i="197"/>
  <c r="D38" i="197"/>
  <c r="AJ37" i="197"/>
  <c r="AI37" i="197"/>
  <c r="AH37" i="197"/>
  <c r="AG37" i="197"/>
  <c r="AF37" i="197"/>
  <c r="AD37" i="197"/>
  <c r="W37" i="197"/>
  <c r="V37" i="197"/>
  <c r="U37" i="197"/>
  <c r="S37" i="197"/>
  <c r="R37" i="197"/>
  <c r="Q37" i="197"/>
  <c r="P37" i="197"/>
  <c r="O37" i="197"/>
  <c r="N37" i="197"/>
  <c r="M37" i="197"/>
  <c r="L37" i="197"/>
  <c r="K37" i="197"/>
  <c r="J37" i="197"/>
  <c r="I37" i="197"/>
  <c r="H37" i="197"/>
  <c r="G37" i="197"/>
  <c r="F37" i="197"/>
  <c r="E37" i="197"/>
  <c r="D37" i="197"/>
  <c r="A37" i="197"/>
  <c r="AJ36" i="197"/>
  <c r="AI36" i="197"/>
  <c r="AH36" i="197"/>
  <c r="AG36" i="197"/>
  <c r="AF36" i="197"/>
  <c r="AD36" i="197"/>
  <c r="Z36" i="197"/>
  <c r="Y36" i="197"/>
  <c r="W36" i="197"/>
  <c r="V36" i="197"/>
  <c r="U36" i="197"/>
  <c r="S36" i="197"/>
  <c r="R36" i="197"/>
  <c r="Q36" i="197"/>
  <c r="P36" i="197"/>
  <c r="O36" i="197"/>
  <c r="N36" i="197"/>
  <c r="M36" i="197"/>
  <c r="L36" i="197"/>
  <c r="K36" i="197"/>
  <c r="J36" i="197"/>
  <c r="I36" i="197"/>
  <c r="H36" i="197"/>
  <c r="G36" i="197"/>
  <c r="F36" i="197"/>
  <c r="E36" i="197"/>
  <c r="D36" i="197"/>
  <c r="A36" i="197"/>
  <c r="AD35" i="197"/>
  <c r="AA35" i="197"/>
  <c r="Z35" i="197"/>
  <c r="Y35" i="197"/>
  <c r="X35" i="197"/>
  <c r="W35" i="197"/>
  <c r="V35" i="197"/>
  <c r="U35" i="197"/>
  <c r="T35" i="197"/>
  <c r="S35" i="197"/>
  <c r="R35" i="197"/>
  <c r="Q35" i="197"/>
  <c r="P35" i="197"/>
  <c r="O35" i="197"/>
  <c r="N35" i="197"/>
  <c r="M35" i="197"/>
  <c r="L35" i="197"/>
  <c r="K35" i="197"/>
  <c r="J35" i="197"/>
  <c r="I35" i="197"/>
  <c r="H35" i="197"/>
  <c r="G35" i="197"/>
  <c r="F35" i="197"/>
  <c r="E35" i="197"/>
  <c r="D35" i="197"/>
  <c r="Z34" i="197"/>
  <c r="Y34" i="197"/>
  <c r="W34" i="197"/>
  <c r="V34" i="197"/>
  <c r="U34" i="197"/>
  <c r="S34" i="197"/>
  <c r="R34" i="197"/>
  <c r="Q34" i="197"/>
  <c r="P34" i="197"/>
  <c r="O34" i="197"/>
  <c r="N34" i="197"/>
  <c r="M34" i="197"/>
  <c r="L34" i="197"/>
  <c r="K34" i="197"/>
  <c r="J34" i="197"/>
  <c r="I34" i="197"/>
  <c r="H34" i="197"/>
  <c r="G34" i="197"/>
  <c r="F34" i="197"/>
  <c r="E34" i="197"/>
  <c r="D34" i="197"/>
  <c r="A34" i="197"/>
  <c r="AJ33" i="197"/>
  <c r="AI33" i="197"/>
  <c r="AH33" i="197"/>
  <c r="AG33" i="197"/>
  <c r="AF33" i="197"/>
  <c r="AD33" i="197"/>
  <c r="Z33" i="197"/>
  <c r="Y33" i="197"/>
  <c r="W33" i="197"/>
  <c r="V33" i="197"/>
  <c r="U33" i="197"/>
  <c r="S33" i="197"/>
  <c r="R33" i="197"/>
  <c r="Q33" i="197"/>
  <c r="P33" i="197"/>
  <c r="O33" i="197"/>
  <c r="N33" i="197"/>
  <c r="M33" i="197"/>
  <c r="L33" i="197"/>
  <c r="K33" i="197"/>
  <c r="J33" i="197"/>
  <c r="I33" i="197"/>
  <c r="H33" i="197"/>
  <c r="G33" i="197"/>
  <c r="F33" i="197"/>
  <c r="E33" i="197"/>
  <c r="D33" i="197"/>
  <c r="A33" i="197"/>
  <c r="AD32" i="197"/>
  <c r="AA32" i="197"/>
  <c r="Z32" i="197"/>
  <c r="Y32" i="197"/>
  <c r="X32" i="197"/>
  <c r="W32" i="197"/>
  <c r="V32" i="197"/>
  <c r="U32" i="197"/>
  <c r="T32" i="197"/>
  <c r="S32" i="197"/>
  <c r="R32" i="197"/>
  <c r="Q32" i="197"/>
  <c r="P32" i="197"/>
  <c r="O32" i="197"/>
  <c r="N32" i="197"/>
  <c r="M32" i="197"/>
  <c r="L32" i="197"/>
  <c r="K32" i="197"/>
  <c r="J32" i="197"/>
  <c r="I32" i="197"/>
  <c r="H32" i="197"/>
  <c r="G32" i="197"/>
  <c r="F32" i="197"/>
  <c r="E32" i="197"/>
  <c r="D32" i="197"/>
  <c r="AD31" i="197"/>
  <c r="AA31" i="197"/>
  <c r="Z31" i="197"/>
  <c r="Y31" i="197"/>
  <c r="X31" i="197"/>
  <c r="W31" i="197"/>
  <c r="V31" i="197"/>
  <c r="U31" i="197"/>
  <c r="T31" i="197"/>
  <c r="S31" i="197"/>
  <c r="R31" i="197"/>
  <c r="Q31" i="197"/>
  <c r="P31" i="197"/>
  <c r="O31" i="197"/>
  <c r="N31" i="197"/>
  <c r="M31" i="197"/>
  <c r="L31" i="197"/>
  <c r="K31" i="197"/>
  <c r="J31" i="197"/>
  <c r="I31" i="197"/>
  <c r="H31" i="197"/>
  <c r="G31" i="197"/>
  <c r="F31" i="197"/>
  <c r="E31" i="197"/>
  <c r="D31" i="197"/>
  <c r="AJ30" i="197"/>
  <c r="AI30" i="197"/>
  <c r="AH30" i="197"/>
  <c r="AG30" i="197"/>
  <c r="AF30" i="197"/>
  <c r="AD30" i="197"/>
  <c r="Y30" i="197"/>
  <c r="W30" i="197"/>
  <c r="V30" i="197"/>
  <c r="U30" i="197"/>
  <c r="S30" i="197"/>
  <c r="R30" i="197"/>
  <c r="Q30" i="197"/>
  <c r="P30" i="197"/>
  <c r="O30" i="197"/>
  <c r="N30" i="197"/>
  <c r="M30" i="197"/>
  <c r="L30" i="197"/>
  <c r="K30" i="197"/>
  <c r="J30" i="197"/>
  <c r="I30" i="197"/>
  <c r="H30" i="197"/>
  <c r="G30" i="197"/>
  <c r="F30" i="197"/>
  <c r="E30" i="197"/>
  <c r="D30" i="197"/>
  <c r="A30" i="197"/>
  <c r="AD29" i="197"/>
  <c r="AA29" i="197"/>
  <c r="Z29" i="197"/>
  <c r="Y29" i="197"/>
  <c r="X29" i="197"/>
  <c r="W29" i="197"/>
  <c r="V29" i="197"/>
  <c r="U29" i="197"/>
  <c r="T29" i="197"/>
  <c r="S29" i="197"/>
  <c r="R29" i="197"/>
  <c r="Q29" i="197"/>
  <c r="P29" i="197"/>
  <c r="O29" i="197"/>
  <c r="N29" i="197"/>
  <c r="M29" i="197"/>
  <c r="L29" i="197"/>
  <c r="K29" i="197"/>
  <c r="J29" i="197"/>
  <c r="I29" i="197"/>
  <c r="H29" i="197"/>
  <c r="G29" i="197"/>
  <c r="F29" i="197"/>
  <c r="E29" i="197"/>
  <c r="D29" i="197"/>
  <c r="AJ28" i="197"/>
  <c r="AI28" i="197"/>
  <c r="AH28" i="197"/>
  <c r="AG28" i="197"/>
  <c r="AF28" i="197"/>
  <c r="AD28" i="197"/>
  <c r="Y28" i="197"/>
  <c r="W28" i="197"/>
  <c r="V28" i="197"/>
  <c r="U28" i="197"/>
  <c r="S28" i="197"/>
  <c r="R28" i="197"/>
  <c r="Q28" i="197"/>
  <c r="P28" i="197"/>
  <c r="O28" i="197"/>
  <c r="N28" i="197"/>
  <c r="M28" i="197"/>
  <c r="L28" i="197"/>
  <c r="K28" i="197"/>
  <c r="J28" i="197"/>
  <c r="I28" i="197"/>
  <c r="H28" i="197"/>
  <c r="G28" i="197"/>
  <c r="F28" i="197"/>
  <c r="E28" i="197"/>
  <c r="D28" i="197"/>
  <c r="A28" i="197"/>
  <c r="AJ27" i="197"/>
  <c r="AI27" i="197"/>
  <c r="AH27" i="197"/>
  <c r="AG27" i="197"/>
  <c r="AF27" i="197"/>
  <c r="AD27" i="197"/>
  <c r="Y27" i="197"/>
  <c r="W27" i="197"/>
  <c r="V27" i="197"/>
  <c r="U27" i="197"/>
  <c r="S27" i="197"/>
  <c r="R27" i="197"/>
  <c r="Q27" i="197"/>
  <c r="P27" i="197"/>
  <c r="O27" i="197"/>
  <c r="N27" i="197"/>
  <c r="M27" i="197"/>
  <c r="L27" i="197"/>
  <c r="K27" i="197"/>
  <c r="J27" i="197"/>
  <c r="I27" i="197"/>
  <c r="H27" i="197"/>
  <c r="G27" i="197"/>
  <c r="F27" i="197"/>
  <c r="E27" i="197"/>
  <c r="D27" i="197"/>
  <c r="A27" i="197"/>
  <c r="AD26" i="197"/>
  <c r="AA26" i="197"/>
  <c r="Z26" i="197"/>
  <c r="Y26" i="197"/>
  <c r="X26" i="197"/>
  <c r="W26" i="197"/>
  <c r="V26" i="197"/>
  <c r="U26" i="197"/>
  <c r="T26" i="197"/>
  <c r="S26" i="197"/>
  <c r="R26" i="197"/>
  <c r="Q26" i="197"/>
  <c r="P26" i="197"/>
  <c r="O26" i="197"/>
  <c r="N26" i="197"/>
  <c r="M26" i="197"/>
  <c r="L26" i="197"/>
  <c r="K26" i="197"/>
  <c r="J26" i="197"/>
  <c r="I26" i="197"/>
  <c r="H26" i="197"/>
  <c r="G26" i="197"/>
  <c r="F26" i="197"/>
  <c r="E26" i="197"/>
  <c r="D26" i="197"/>
  <c r="AJ25" i="197"/>
  <c r="AI25" i="197"/>
  <c r="AH25" i="197"/>
  <c r="AG25" i="197"/>
  <c r="AF25" i="197"/>
  <c r="AD25" i="197"/>
  <c r="Z25" i="197"/>
  <c r="Y25" i="197"/>
  <c r="W25" i="197"/>
  <c r="U25" i="197"/>
  <c r="S25" i="197"/>
  <c r="R25" i="197"/>
  <c r="Q25" i="197"/>
  <c r="P25" i="197"/>
  <c r="O25" i="197"/>
  <c r="N25" i="197"/>
  <c r="M25" i="197"/>
  <c r="L25" i="197"/>
  <c r="K25" i="197"/>
  <c r="I25" i="197"/>
  <c r="G25" i="197"/>
  <c r="F25" i="197"/>
  <c r="E25" i="197"/>
  <c r="A25" i="197"/>
  <c r="AJ24" i="197"/>
  <c r="AI24" i="197"/>
  <c r="AH24" i="197"/>
  <c r="AG24" i="197"/>
  <c r="AF24" i="197"/>
  <c r="AD24" i="197"/>
  <c r="Z24" i="197"/>
  <c r="Y24" i="197"/>
  <c r="W24" i="197"/>
  <c r="U24" i="197"/>
  <c r="S24" i="197"/>
  <c r="R24" i="197"/>
  <c r="Q24" i="197"/>
  <c r="P24" i="197"/>
  <c r="O24" i="197"/>
  <c r="N24" i="197"/>
  <c r="M24" i="197"/>
  <c r="L24" i="197"/>
  <c r="K24" i="197"/>
  <c r="I24" i="197"/>
  <c r="G24" i="197"/>
  <c r="F24" i="197"/>
  <c r="E24" i="197"/>
  <c r="A24" i="197"/>
  <c r="AJ23" i="197"/>
  <c r="AI23" i="197"/>
  <c r="AH23" i="197"/>
  <c r="AG23" i="197"/>
  <c r="AF23" i="197"/>
  <c r="AD23" i="197"/>
  <c r="Z23" i="197"/>
  <c r="Y23" i="197"/>
  <c r="W23" i="197"/>
  <c r="U23" i="197"/>
  <c r="S23" i="197"/>
  <c r="R23" i="197"/>
  <c r="Q23" i="197"/>
  <c r="P23" i="197"/>
  <c r="O23" i="197"/>
  <c r="N23" i="197"/>
  <c r="M23" i="197"/>
  <c r="L23" i="197"/>
  <c r="K23" i="197"/>
  <c r="I23" i="197"/>
  <c r="G23" i="197"/>
  <c r="F23" i="197"/>
  <c r="E23" i="197"/>
  <c r="A23" i="197"/>
  <c r="AJ22" i="197"/>
  <c r="AI22" i="197"/>
  <c r="AH22" i="197"/>
  <c r="AG22" i="197"/>
  <c r="AF22" i="197"/>
  <c r="AD22" i="197"/>
  <c r="Z22" i="197"/>
  <c r="Y22" i="197"/>
  <c r="W22" i="197"/>
  <c r="V22" i="197"/>
  <c r="U22" i="197"/>
  <c r="S22" i="197"/>
  <c r="R22" i="197"/>
  <c r="Q22" i="197"/>
  <c r="P22" i="197"/>
  <c r="O22" i="197"/>
  <c r="N22" i="197"/>
  <c r="M22" i="197"/>
  <c r="L22" i="197"/>
  <c r="K22" i="197"/>
  <c r="J22" i="197"/>
  <c r="I22" i="197"/>
  <c r="H22" i="197"/>
  <c r="G22" i="197"/>
  <c r="F22" i="197"/>
  <c r="E22" i="197"/>
  <c r="D22" i="197"/>
  <c r="A22" i="197"/>
  <c r="AD21" i="197"/>
  <c r="AA21" i="197"/>
  <c r="Z21" i="197"/>
  <c r="Y21" i="197"/>
  <c r="X21" i="197"/>
  <c r="W21" i="197"/>
  <c r="V21" i="197"/>
  <c r="U21" i="197"/>
  <c r="T21" i="197"/>
  <c r="S21" i="197"/>
  <c r="R21" i="197"/>
  <c r="Q21" i="197"/>
  <c r="P21" i="197"/>
  <c r="O21" i="197"/>
  <c r="N21" i="197"/>
  <c r="M21" i="197"/>
  <c r="L21" i="197"/>
  <c r="K21" i="197"/>
  <c r="J21" i="197"/>
  <c r="I21" i="197"/>
  <c r="H21" i="197"/>
  <c r="G21" i="197"/>
  <c r="F21" i="197"/>
  <c r="E21" i="197"/>
  <c r="D21" i="197"/>
  <c r="AJ20" i="197"/>
  <c r="AI20" i="197"/>
  <c r="AH20" i="197"/>
  <c r="AG20" i="197"/>
  <c r="AF20" i="197"/>
  <c r="AD20" i="197"/>
  <c r="Y20" i="197"/>
  <c r="W20" i="197"/>
  <c r="V20" i="197"/>
  <c r="U20" i="197"/>
  <c r="S20" i="197"/>
  <c r="R20" i="197"/>
  <c r="Q20" i="197"/>
  <c r="P20" i="197"/>
  <c r="O20" i="197"/>
  <c r="N20" i="197"/>
  <c r="M20" i="197"/>
  <c r="L20" i="197"/>
  <c r="K20" i="197"/>
  <c r="J20" i="197"/>
  <c r="I20" i="197"/>
  <c r="H20" i="197"/>
  <c r="G20" i="197"/>
  <c r="F20" i="197"/>
  <c r="E20" i="197"/>
  <c r="D20" i="197"/>
  <c r="A20" i="197"/>
  <c r="AJ19" i="197"/>
  <c r="AI19" i="197"/>
  <c r="AH19" i="197"/>
  <c r="AG19" i="197"/>
  <c r="AF19" i="197"/>
  <c r="AD19" i="197"/>
  <c r="AA19" i="197"/>
  <c r="Z19" i="197"/>
  <c r="Y19" i="197"/>
  <c r="W19" i="197"/>
  <c r="V19" i="197"/>
  <c r="U19" i="197"/>
  <c r="S19" i="197"/>
  <c r="R19" i="197"/>
  <c r="Q19" i="197"/>
  <c r="P19" i="197"/>
  <c r="O19" i="197"/>
  <c r="N19" i="197"/>
  <c r="M19" i="197"/>
  <c r="L19" i="197"/>
  <c r="K19" i="197"/>
  <c r="J19" i="197"/>
  <c r="I19" i="197"/>
  <c r="H19" i="197"/>
  <c r="G19" i="197"/>
  <c r="F19" i="197"/>
  <c r="E19" i="197"/>
  <c r="D19" i="197"/>
  <c r="A19" i="197"/>
  <c r="AJ18" i="197"/>
  <c r="AI18" i="197"/>
  <c r="AH18" i="197"/>
  <c r="AG18" i="197"/>
  <c r="AF18" i="197"/>
  <c r="AD18" i="197"/>
  <c r="AA18" i="197"/>
  <c r="Z18" i="197"/>
  <c r="Y18" i="197"/>
  <c r="W18" i="197"/>
  <c r="V18" i="197"/>
  <c r="U18" i="197"/>
  <c r="S18" i="197"/>
  <c r="R18" i="197"/>
  <c r="Q18" i="197"/>
  <c r="P18" i="197"/>
  <c r="O18" i="197"/>
  <c r="N18" i="197"/>
  <c r="M18" i="197"/>
  <c r="L18" i="197"/>
  <c r="K18" i="197"/>
  <c r="J18" i="197"/>
  <c r="I18" i="197"/>
  <c r="H18" i="197"/>
  <c r="G18" i="197"/>
  <c r="F18" i="197"/>
  <c r="E18" i="197"/>
  <c r="D18" i="197"/>
  <c r="A18" i="197"/>
  <c r="AJ17" i="197"/>
  <c r="AI17" i="197"/>
  <c r="AH17" i="197"/>
  <c r="AG17" i="197"/>
  <c r="AF17" i="197"/>
  <c r="AD17" i="197"/>
  <c r="AA17" i="197"/>
  <c r="Z17" i="197"/>
  <c r="Y17" i="197"/>
  <c r="W17" i="197"/>
  <c r="V17" i="197"/>
  <c r="U17" i="197"/>
  <c r="S17" i="197"/>
  <c r="R17" i="197"/>
  <c r="Q17" i="197"/>
  <c r="P17" i="197"/>
  <c r="O17" i="197"/>
  <c r="N17" i="197"/>
  <c r="M17" i="197"/>
  <c r="L17" i="197"/>
  <c r="K17" i="197"/>
  <c r="J17" i="197"/>
  <c r="I17" i="197"/>
  <c r="H17" i="197"/>
  <c r="G17" i="197"/>
  <c r="F17" i="197"/>
  <c r="E17" i="197"/>
  <c r="D17" i="197"/>
  <c r="A17" i="197"/>
  <c r="AJ16" i="197"/>
  <c r="AI16" i="197"/>
  <c r="AH16" i="197"/>
  <c r="AG16" i="197"/>
  <c r="AF16" i="197"/>
  <c r="AD16" i="197"/>
  <c r="AA16" i="197"/>
  <c r="Y16" i="197"/>
  <c r="W16" i="197"/>
  <c r="V16" i="197"/>
  <c r="U16" i="197"/>
  <c r="S16" i="197"/>
  <c r="R16" i="197"/>
  <c r="Q16" i="197"/>
  <c r="P16" i="197"/>
  <c r="O16" i="197"/>
  <c r="N16" i="197"/>
  <c r="M16" i="197"/>
  <c r="L16" i="197"/>
  <c r="K16" i="197"/>
  <c r="J16" i="197"/>
  <c r="I16" i="197"/>
  <c r="H16" i="197"/>
  <c r="G16" i="197"/>
  <c r="F16" i="197"/>
  <c r="E16" i="197"/>
  <c r="D16" i="197"/>
  <c r="A16" i="197"/>
  <c r="AD15" i="197"/>
  <c r="AA15" i="197"/>
  <c r="Z15" i="197"/>
  <c r="Y15" i="197"/>
  <c r="X15" i="197"/>
  <c r="W15" i="197"/>
  <c r="V15" i="197"/>
  <c r="U15" i="197"/>
  <c r="T15" i="197"/>
  <c r="S15" i="197"/>
  <c r="R15" i="197"/>
  <c r="Q15" i="197"/>
  <c r="P15" i="197"/>
  <c r="O15" i="197"/>
  <c r="N15" i="197"/>
  <c r="M15" i="197"/>
  <c r="L15" i="197"/>
  <c r="K15" i="197"/>
  <c r="J15" i="197"/>
  <c r="I15" i="197"/>
  <c r="H15" i="197"/>
  <c r="G15" i="197"/>
  <c r="F15" i="197"/>
  <c r="E15" i="197"/>
  <c r="D15" i="197"/>
  <c r="AJ14" i="197"/>
  <c r="AI14" i="197"/>
  <c r="AH14" i="197"/>
  <c r="AG14" i="197"/>
  <c r="AF14" i="197"/>
  <c r="AD14" i="197"/>
  <c r="AA14" i="197"/>
  <c r="Z14" i="197"/>
  <c r="Y14" i="197"/>
  <c r="W14" i="197"/>
  <c r="V14" i="197"/>
  <c r="U14" i="197"/>
  <c r="S14" i="197"/>
  <c r="R14" i="197"/>
  <c r="Q14" i="197"/>
  <c r="P14" i="197"/>
  <c r="O14" i="197"/>
  <c r="N14" i="197"/>
  <c r="M14" i="197"/>
  <c r="L14" i="197"/>
  <c r="K14" i="197"/>
  <c r="J14" i="197"/>
  <c r="I14" i="197"/>
  <c r="H14" i="197"/>
  <c r="G14" i="197"/>
  <c r="F14" i="197"/>
  <c r="E14" i="197"/>
  <c r="D14" i="197"/>
  <c r="A14" i="197"/>
  <c r="AJ13" i="197"/>
  <c r="AI13" i="197"/>
  <c r="AH13" i="197"/>
  <c r="AG13" i="197"/>
  <c r="AF13" i="197"/>
  <c r="AD13" i="197"/>
  <c r="AA13" i="197"/>
  <c r="Z13" i="197"/>
  <c r="Y13" i="197"/>
  <c r="W13" i="197"/>
  <c r="V13" i="197"/>
  <c r="U13" i="197"/>
  <c r="S13" i="197"/>
  <c r="R13" i="197"/>
  <c r="Q13" i="197"/>
  <c r="P13" i="197"/>
  <c r="O13" i="197"/>
  <c r="N13" i="197"/>
  <c r="M13" i="197"/>
  <c r="L13" i="197"/>
  <c r="K13" i="197"/>
  <c r="J13" i="197"/>
  <c r="I13" i="197"/>
  <c r="H13" i="197"/>
  <c r="G13" i="197"/>
  <c r="F13" i="197"/>
  <c r="E13" i="197"/>
  <c r="D13" i="197"/>
  <c r="AJ12" i="197"/>
  <c r="AI12" i="197"/>
  <c r="AH12" i="197"/>
  <c r="AG12" i="197"/>
  <c r="AF12" i="197"/>
  <c r="AD12" i="197"/>
  <c r="AA12" i="197"/>
  <c r="Z12" i="197"/>
  <c r="Y12" i="197"/>
  <c r="W12" i="197"/>
  <c r="V12" i="197"/>
  <c r="U12" i="197"/>
  <c r="S12" i="197"/>
  <c r="R12" i="197"/>
  <c r="Q12" i="197"/>
  <c r="P12" i="197"/>
  <c r="O12" i="197"/>
  <c r="N12" i="197"/>
  <c r="M12" i="197"/>
  <c r="L12" i="197"/>
  <c r="K12" i="197"/>
  <c r="J12" i="197"/>
  <c r="I12" i="197"/>
  <c r="H12" i="197"/>
  <c r="G12" i="197"/>
  <c r="F12" i="197"/>
  <c r="E12" i="197"/>
  <c r="D12" i="197"/>
  <c r="AJ11" i="197"/>
  <c r="AI11" i="197"/>
  <c r="AH11" i="197"/>
  <c r="AG11" i="197"/>
  <c r="AF11" i="197"/>
  <c r="AD11" i="197"/>
  <c r="Y11" i="197"/>
  <c r="W11" i="197"/>
  <c r="V11" i="197"/>
  <c r="U11" i="197"/>
  <c r="S11" i="197"/>
  <c r="R11" i="197"/>
  <c r="Q11" i="197"/>
  <c r="P11" i="197"/>
  <c r="O11" i="197"/>
  <c r="N11" i="197"/>
  <c r="M11" i="197"/>
  <c r="L11" i="197"/>
  <c r="K11" i="197"/>
  <c r="J11" i="197"/>
  <c r="I11" i="197"/>
  <c r="H11" i="197"/>
  <c r="G11" i="197"/>
  <c r="F11" i="197"/>
  <c r="E11" i="197"/>
  <c r="D11" i="197"/>
  <c r="AD10" i="197"/>
  <c r="AA10" i="197"/>
  <c r="Z10" i="197"/>
  <c r="Y10" i="197"/>
  <c r="X10" i="197"/>
  <c r="W10" i="197"/>
  <c r="V10" i="197"/>
  <c r="U10" i="197"/>
  <c r="T10" i="197"/>
  <c r="S10" i="197"/>
  <c r="R10" i="197"/>
  <c r="Q10" i="197"/>
  <c r="P10" i="197"/>
  <c r="O10" i="197"/>
  <c r="N10" i="197"/>
  <c r="M10" i="197"/>
  <c r="L10" i="197"/>
  <c r="K10" i="197"/>
  <c r="J10" i="197"/>
  <c r="I10" i="197"/>
  <c r="H10" i="197"/>
  <c r="G10" i="197"/>
  <c r="F10" i="197"/>
  <c r="E10" i="197"/>
  <c r="D10" i="197"/>
  <c r="AJ9" i="197"/>
  <c r="AI9" i="197"/>
  <c r="AH9" i="197"/>
  <c r="AG9" i="197"/>
  <c r="AF9" i="197"/>
  <c r="Z9" i="197"/>
  <c r="Y9" i="197"/>
  <c r="W9" i="197"/>
  <c r="V9" i="197"/>
  <c r="U9" i="197"/>
  <c r="S9" i="197"/>
  <c r="R9" i="197"/>
  <c r="Q9" i="197"/>
  <c r="P9" i="197"/>
  <c r="O9" i="197"/>
  <c r="N9" i="197"/>
  <c r="M9" i="197"/>
  <c r="L9" i="197"/>
  <c r="K9" i="197"/>
  <c r="J9" i="197"/>
  <c r="I9" i="197"/>
  <c r="H9" i="197"/>
  <c r="G9" i="197"/>
  <c r="F9" i="197"/>
  <c r="E9" i="197"/>
  <c r="D9" i="197"/>
  <c r="AJ8" i="197"/>
  <c r="AI8" i="197"/>
  <c r="AH8" i="197"/>
  <c r="AG8" i="197"/>
  <c r="AF8" i="197"/>
  <c r="Z8" i="197"/>
  <c r="Y8" i="197"/>
  <c r="W8" i="197"/>
  <c r="V8" i="197"/>
  <c r="U8" i="197"/>
  <c r="S8" i="197"/>
  <c r="R8" i="197"/>
  <c r="Q8" i="197"/>
  <c r="P8" i="197"/>
  <c r="O8" i="197"/>
  <c r="N8" i="197"/>
  <c r="M8" i="197"/>
  <c r="L8" i="197"/>
  <c r="K8" i="197"/>
  <c r="J8" i="197"/>
  <c r="I8" i="197"/>
  <c r="H8" i="197"/>
  <c r="G8" i="197"/>
  <c r="F8" i="197"/>
  <c r="E8" i="197"/>
  <c r="D8" i="197"/>
  <c r="AJ7" i="197"/>
  <c r="AI7" i="197"/>
  <c r="AH7" i="197"/>
  <c r="AG7" i="197"/>
  <c r="AF7" i="197"/>
  <c r="Z7" i="197"/>
  <c r="Y7" i="197"/>
  <c r="W7" i="197"/>
  <c r="V7" i="197"/>
  <c r="U7" i="197"/>
  <c r="S7" i="197"/>
  <c r="R7" i="197"/>
  <c r="Q7" i="197"/>
  <c r="P7" i="197"/>
  <c r="O7" i="197"/>
  <c r="N7" i="197"/>
  <c r="M7" i="197"/>
  <c r="L7" i="197"/>
  <c r="K7" i="197"/>
  <c r="J7" i="197"/>
  <c r="I7" i="197"/>
  <c r="H7" i="197"/>
  <c r="G7" i="197"/>
  <c r="F7" i="197"/>
  <c r="E7" i="197"/>
  <c r="D7" i="197"/>
  <c r="AJ6" i="197"/>
  <c r="AI6" i="197"/>
  <c r="AH6" i="197"/>
  <c r="AG6" i="197"/>
  <c r="AF6" i="197"/>
  <c r="Z6" i="197"/>
  <c r="Y6" i="197"/>
  <c r="W6" i="197"/>
  <c r="V6" i="197"/>
  <c r="U6" i="197"/>
  <c r="S6" i="197"/>
  <c r="R6" i="197"/>
  <c r="Q6" i="197"/>
  <c r="P6" i="197"/>
  <c r="O6" i="197"/>
  <c r="N6" i="197"/>
  <c r="M6" i="197"/>
  <c r="L6" i="197"/>
  <c r="K6" i="197"/>
  <c r="J6" i="197"/>
  <c r="I6" i="197"/>
  <c r="H6" i="197"/>
  <c r="G6" i="197"/>
  <c r="F6" i="197"/>
  <c r="E6" i="197"/>
  <c r="D6" i="197"/>
  <c r="AJ5" i="197"/>
  <c r="AI5" i="197"/>
  <c r="AH5" i="197"/>
  <c r="AG5" i="197"/>
  <c r="AF5" i="197"/>
  <c r="AD5" i="197"/>
  <c r="Z5" i="197"/>
  <c r="Y5" i="197"/>
  <c r="W5" i="197"/>
  <c r="V5" i="197"/>
  <c r="U5" i="197"/>
  <c r="S5" i="197"/>
  <c r="R5" i="197"/>
  <c r="Q5" i="197"/>
  <c r="P5" i="197"/>
  <c r="O5" i="197"/>
  <c r="N5" i="197"/>
  <c r="M5" i="197"/>
  <c r="L5" i="197"/>
  <c r="K5" i="197"/>
  <c r="J5" i="197"/>
  <c r="I5" i="197"/>
  <c r="H5" i="197"/>
  <c r="G5" i="197"/>
  <c r="F5" i="197"/>
  <c r="E5" i="197"/>
  <c r="D5" i="197"/>
  <c r="AH4" i="197"/>
  <c r="AF4" i="197"/>
  <c r="AE143" i="133"/>
  <c r="AE142" i="133"/>
  <c r="AE141" i="133"/>
  <c r="R141" i="133"/>
  <c r="P141" i="133"/>
  <c r="L141" i="133"/>
  <c r="I141" i="133"/>
  <c r="G141" i="133"/>
  <c r="F141" i="133"/>
  <c r="E141" i="133"/>
  <c r="AE140" i="133"/>
  <c r="P140" i="133"/>
  <c r="L140" i="133"/>
  <c r="I140" i="133"/>
  <c r="G140" i="133"/>
  <c r="F140" i="133"/>
  <c r="E140" i="133"/>
  <c r="AE139" i="133"/>
  <c r="AD139" i="133"/>
  <c r="Z139" i="133"/>
  <c r="X139" i="133"/>
  <c r="W139" i="133"/>
  <c r="V139" i="133"/>
  <c r="U139" i="133"/>
  <c r="T139" i="133"/>
  <c r="S139" i="133"/>
  <c r="R139" i="133"/>
  <c r="Q139" i="133"/>
  <c r="P139" i="133"/>
  <c r="O139" i="133"/>
  <c r="N139" i="133"/>
  <c r="M139" i="133"/>
  <c r="L139" i="133"/>
  <c r="K139" i="133"/>
  <c r="J139" i="133"/>
  <c r="I139" i="133"/>
  <c r="H139" i="133"/>
  <c r="G139" i="133"/>
  <c r="F139" i="133"/>
  <c r="E139" i="133"/>
  <c r="D139" i="133"/>
  <c r="A139" i="133"/>
  <c r="AE138" i="133"/>
  <c r="AD138" i="133"/>
  <c r="Z138" i="133"/>
  <c r="X138" i="133"/>
  <c r="W138" i="133"/>
  <c r="V138" i="133"/>
  <c r="U138" i="133"/>
  <c r="T138" i="133"/>
  <c r="S138" i="133"/>
  <c r="R138" i="133"/>
  <c r="Q138" i="133"/>
  <c r="P138" i="133"/>
  <c r="O138" i="133"/>
  <c r="N138" i="133"/>
  <c r="M138" i="133"/>
  <c r="L138" i="133"/>
  <c r="K138" i="133"/>
  <c r="J138" i="133"/>
  <c r="I138" i="133"/>
  <c r="H138" i="133"/>
  <c r="G138" i="133"/>
  <c r="F138" i="133"/>
  <c r="E138" i="133"/>
  <c r="D138" i="133"/>
  <c r="AE137" i="133"/>
  <c r="AD137" i="133"/>
  <c r="AA137" i="133"/>
  <c r="Z137" i="133"/>
  <c r="Y137" i="133"/>
  <c r="X137" i="133"/>
  <c r="W137" i="133"/>
  <c r="V137" i="133"/>
  <c r="U137" i="133"/>
  <c r="T137" i="133"/>
  <c r="S137" i="133"/>
  <c r="R137" i="133"/>
  <c r="Q137" i="133"/>
  <c r="P137" i="133"/>
  <c r="O137" i="133"/>
  <c r="N137" i="133"/>
  <c r="M137" i="133"/>
  <c r="L137" i="133"/>
  <c r="K137" i="133"/>
  <c r="J137" i="133"/>
  <c r="I137" i="133"/>
  <c r="H137" i="133"/>
  <c r="G137" i="133"/>
  <c r="F137" i="133"/>
  <c r="E137" i="133"/>
  <c r="D137" i="133"/>
  <c r="AJ136" i="133"/>
  <c r="AI136" i="133"/>
  <c r="AH136" i="133"/>
  <c r="AG136" i="133"/>
  <c r="AF136" i="133"/>
  <c r="AE136" i="133"/>
  <c r="AD136" i="133"/>
  <c r="Z136" i="133"/>
  <c r="Y136" i="133"/>
  <c r="W136" i="133"/>
  <c r="V136" i="133"/>
  <c r="U136" i="133"/>
  <c r="S136" i="133"/>
  <c r="R136" i="133"/>
  <c r="Q136" i="133"/>
  <c r="P136" i="133"/>
  <c r="O136" i="133"/>
  <c r="N136" i="133"/>
  <c r="M136" i="133"/>
  <c r="L136" i="133"/>
  <c r="K136" i="133"/>
  <c r="J136" i="133"/>
  <c r="I136" i="133"/>
  <c r="H136" i="133"/>
  <c r="G136" i="133"/>
  <c r="F136" i="133"/>
  <c r="E136" i="133"/>
  <c r="D136" i="133"/>
  <c r="A136" i="133"/>
  <c r="AJ135" i="133"/>
  <c r="AI135" i="133"/>
  <c r="AH135" i="133"/>
  <c r="AG135" i="133"/>
  <c r="AF135" i="133"/>
  <c r="AE135" i="133"/>
  <c r="AD135" i="133"/>
  <c r="Z135" i="133"/>
  <c r="Y135" i="133"/>
  <c r="W135" i="133"/>
  <c r="V135" i="133"/>
  <c r="U135" i="133"/>
  <c r="S135" i="133"/>
  <c r="R135" i="133"/>
  <c r="Q135" i="133"/>
  <c r="P135" i="133"/>
  <c r="O135" i="133"/>
  <c r="N135" i="133"/>
  <c r="M135" i="133"/>
  <c r="L135" i="133"/>
  <c r="K135" i="133"/>
  <c r="J135" i="133"/>
  <c r="I135" i="133"/>
  <c r="H135" i="133"/>
  <c r="G135" i="133"/>
  <c r="F135" i="133"/>
  <c r="E135" i="133"/>
  <c r="D135" i="133"/>
  <c r="A135" i="133"/>
  <c r="AJ134" i="133"/>
  <c r="AI134" i="133"/>
  <c r="AH134" i="133"/>
  <c r="AG134" i="133"/>
  <c r="AF134" i="133"/>
  <c r="AE134" i="133"/>
  <c r="AD134" i="133"/>
  <c r="Z134" i="133"/>
  <c r="Y134" i="133"/>
  <c r="W134" i="133"/>
  <c r="V134" i="133"/>
  <c r="U134" i="133"/>
  <c r="S134" i="133"/>
  <c r="R134" i="133"/>
  <c r="Q134" i="133"/>
  <c r="P134" i="133"/>
  <c r="O134" i="133"/>
  <c r="N134" i="133"/>
  <c r="M134" i="133"/>
  <c r="L134" i="133"/>
  <c r="K134" i="133"/>
  <c r="J134" i="133"/>
  <c r="I134" i="133"/>
  <c r="H134" i="133"/>
  <c r="G134" i="133"/>
  <c r="F134" i="133"/>
  <c r="E134" i="133"/>
  <c r="D134" i="133"/>
  <c r="A134" i="133"/>
  <c r="AE133" i="133"/>
  <c r="AD133" i="133"/>
  <c r="AA133" i="133"/>
  <c r="Z133" i="133"/>
  <c r="Y133" i="133"/>
  <c r="X133" i="133"/>
  <c r="W133" i="133"/>
  <c r="V133" i="133"/>
  <c r="U133" i="133"/>
  <c r="T133" i="133"/>
  <c r="S133" i="133"/>
  <c r="R133" i="133"/>
  <c r="Q133" i="133"/>
  <c r="P133" i="133"/>
  <c r="O133" i="133"/>
  <c r="N133" i="133"/>
  <c r="M133" i="133"/>
  <c r="L133" i="133"/>
  <c r="K133" i="133"/>
  <c r="J133" i="133"/>
  <c r="I133" i="133"/>
  <c r="H133" i="133"/>
  <c r="G133" i="133"/>
  <c r="F133" i="133"/>
  <c r="E133" i="133"/>
  <c r="D133" i="133"/>
  <c r="W132" i="133"/>
  <c r="V132" i="133"/>
  <c r="U132" i="133"/>
  <c r="S132" i="133"/>
  <c r="R132" i="133"/>
  <c r="Q132" i="133"/>
  <c r="P132" i="133"/>
  <c r="O132" i="133"/>
  <c r="N132" i="133"/>
  <c r="M132" i="133"/>
  <c r="L132" i="133"/>
  <c r="K132" i="133"/>
  <c r="J132" i="133"/>
  <c r="I132" i="133"/>
  <c r="H132" i="133"/>
  <c r="G132" i="133"/>
  <c r="F132" i="133"/>
  <c r="E132" i="133"/>
  <c r="D132" i="133"/>
  <c r="A132" i="133"/>
  <c r="AJ131" i="133"/>
  <c r="AI131" i="133"/>
  <c r="AH131" i="133"/>
  <c r="AG131" i="133"/>
  <c r="AF131" i="133"/>
  <c r="AE131" i="133"/>
  <c r="AD131" i="133"/>
  <c r="W131" i="133"/>
  <c r="V131" i="133"/>
  <c r="U131" i="133"/>
  <c r="S131" i="133"/>
  <c r="R131" i="133"/>
  <c r="Q131" i="133"/>
  <c r="P131" i="133"/>
  <c r="O131" i="133"/>
  <c r="N131" i="133"/>
  <c r="M131" i="133"/>
  <c r="L131" i="133"/>
  <c r="K131" i="133"/>
  <c r="J131" i="133"/>
  <c r="I131" i="133"/>
  <c r="H131" i="133"/>
  <c r="G131" i="133"/>
  <c r="F131" i="133"/>
  <c r="E131" i="133"/>
  <c r="D131" i="133"/>
  <c r="A131" i="133"/>
  <c r="AJ130" i="133"/>
  <c r="AI130" i="133"/>
  <c r="AH130" i="133"/>
  <c r="AG130" i="133"/>
  <c r="AF130" i="133"/>
  <c r="AE130" i="133"/>
  <c r="AD130" i="133"/>
  <c r="W130" i="133"/>
  <c r="V130" i="133"/>
  <c r="U130" i="133"/>
  <c r="S130" i="133"/>
  <c r="R130" i="133"/>
  <c r="Q130" i="133"/>
  <c r="P130" i="133"/>
  <c r="O130" i="133"/>
  <c r="N130" i="133"/>
  <c r="M130" i="133"/>
  <c r="L130" i="133"/>
  <c r="K130" i="133"/>
  <c r="J130" i="133"/>
  <c r="I130" i="133"/>
  <c r="H130" i="133"/>
  <c r="G130" i="133"/>
  <c r="F130" i="133"/>
  <c r="E130" i="133"/>
  <c r="D130" i="133"/>
  <c r="A130" i="133"/>
  <c r="AJ129" i="133"/>
  <c r="AI129" i="133"/>
  <c r="AH129" i="133"/>
  <c r="AG129" i="133"/>
  <c r="AF129" i="133"/>
  <c r="AE129" i="133"/>
  <c r="AD129" i="133"/>
  <c r="W129" i="133"/>
  <c r="V129" i="133"/>
  <c r="U129" i="133"/>
  <c r="S129" i="133"/>
  <c r="R129" i="133"/>
  <c r="Q129" i="133"/>
  <c r="P129" i="133"/>
  <c r="O129" i="133"/>
  <c r="N129" i="133"/>
  <c r="M129" i="133"/>
  <c r="L129" i="133"/>
  <c r="K129" i="133"/>
  <c r="J129" i="133"/>
  <c r="I129" i="133"/>
  <c r="H129" i="133"/>
  <c r="G129" i="133"/>
  <c r="F129" i="133"/>
  <c r="E129" i="133"/>
  <c r="D129" i="133"/>
  <c r="A129" i="133"/>
  <c r="AJ128" i="133"/>
  <c r="AI128" i="133"/>
  <c r="AH128" i="133"/>
  <c r="AG128" i="133"/>
  <c r="AF128" i="133"/>
  <c r="AE128" i="133"/>
  <c r="AD128" i="133"/>
  <c r="W128" i="133"/>
  <c r="V128" i="133"/>
  <c r="U128" i="133"/>
  <c r="S128" i="133"/>
  <c r="R128" i="133"/>
  <c r="Q128" i="133"/>
  <c r="P128" i="133"/>
  <c r="O128" i="133"/>
  <c r="N128" i="133"/>
  <c r="M128" i="133"/>
  <c r="L128" i="133"/>
  <c r="K128" i="133"/>
  <c r="J128" i="133"/>
  <c r="I128" i="133"/>
  <c r="H128" i="133"/>
  <c r="G128" i="133"/>
  <c r="F128" i="133"/>
  <c r="E128" i="133"/>
  <c r="D128" i="133"/>
  <c r="A128" i="133"/>
  <c r="AJ127" i="133"/>
  <c r="AI127" i="133"/>
  <c r="AH127" i="133"/>
  <c r="AG127" i="133"/>
  <c r="AF127" i="133"/>
  <c r="AE127" i="133"/>
  <c r="AD127" i="133"/>
  <c r="W127" i="133"/>
  <c r="V127" i="133"/>
  <c r="U127" i="133"/>
  <c r="S127" i="133"/>
  <c r="R127" i="133"/>
  <c r="Q127" i="133"/>
  <c r="P127" i="133"/>
  <c r="O127" i="133"/>
  <c r="N127" i="133"/>
  <c r="M127" i="133"/>
  <c r="L127" i="133"/>
  <c r="K127" i="133"/>
  <c r="J127" i="133"/>
  <c r="I127" i="133"/>
  <c r="H127" i="133"/>
  <c r="G127" i="133"/>
  <c r="F127" i="133"/>
  <c r="E127" i="133"/>
  <c r="D127" i="133"/>
  <c r="A127" i="133"/>
  <c r="AJ126" i="133"/>
  <c r="AI126" i="133"/>
  <c r="AH126" i="133"/>
  <c r="AG126" i="133"/>
  <c r="AF126" i="133"/>
  <c r="AE126" i="133"/>
  <c r="AD126" i="133"/>
  <c r="W126" i="133"/>
  <c r="V126" i="133"/>
  <c r="U126" i="133"/>
  <c r="S126" i="133"/>
  <c r="R126" i="133"/>
  <c r="Q126" i="133"/>
  <c r="P126" i="133"/>
  <c r="O126" i="133"/>
  <c r="N126" i="133"/>
  <c r="M126" i="133"/>
  <c r="L126" i="133"/>
  <c r="K126" i="133"/>
  <c r="J126" i="133"/>
  <c r="I126" i="133"/>
  <c r="H126" i="133"/>
  <c r="G126" i="133"/>
  <c r="F126" i="133"/>
  <c r="E126" i="133"/>
  <c r="D126" i="133"/>
  <c r="A126" i="133"/>
  <c r="AJ125" i="133"/>
  <c r="AI125" i="133"/>
  <c r="AH125" i="133"/>
  <c r="AG125" i="133"/>
  <c r="AF125" i="133"/>
  <c r="AE125" i="133"/>
  <c r="AD125" i="133"/>
  <c r="W125" i="133"/>
  <c r="V125" i="133"/>
  <c r="U125" i="133"/>
  <c r="S125" i="133"/>
  <c r="R125" i="133"/>
  <c r="Q125" i="133"/>
  <c r="P125" i="133"/>
  <c r="O125" i="133"/>
  <c r="N125" i="133"/>
  <c r="M125" i="133"/>
  <c r="L125" i="133"/>
  <c r="K125" i="133"/>
  <c r="J125" i="133"/>
  <c r="I125" i="133"/>
  <c r="H125" i="133"/>
  <c r="G125" i="133"/>
  <c r="F125" i="133"/>
  <c r="E125" i="133"/>
  <c r="D125" i="133"/>
  <c r="A125" i="133"/>
  <c r="AJ124" i="133"/>
  <c r="AI124" i="133"/>
  <c r="AH124" i="133"/>
  <c r="AG124" i="133"/>
  <c r="AF124" i="133"/>
  <c r="AE124" i="133"/>
  <c r="AD124" i="133"/>
  <c r="Z124" i="133"/>
  <c r="Y124" i="133"/>
  <c r="W124" i="133"/>
  <c r="V124" i="133"/>
  <c r="U124" i="133"/>
  <c r="S124" i="133"/>
  <c r="R124" i="133"/>
  <c r="Q124" i="133"/>
  <c r="P124" i="133"/>
  <c r="O124" i="133"/>
  <c r="N124" i="133"/>
  <c r="M124" i="133"/>
  <c r="L124" i="133"/>
  <c r="K124" i="133"/>
  <c r="J124" i="133"/>
  <c r="I124" i="133"/>
  <c r="H124" i="133"/>
  <c r="G124" i="133"/>
  <c r="F124" i="133"/>
  <c r="E124" i="133"/>
  <c r="D124" i="133"/>
  <c r="A124" i="133"/>
  <c r="AE123" i="133"/>
  <c r="AD123" i="133"/>
  <c r="Z123" i="133"/>
  <c r="X123" i="133"/>
  <c r="W123" i="133"/>
  <c r="V123" i="133"/>
  <c r="U123" i="133"/>
  <c r="T123" i="133"/>
  <c r="S123" i="133"/>
  <c r="R123" i="133"/>
  <c r="Q123" i="133"/>
  <c r="P123" i="133"/>
  <c r="O123" i="133"/>
  <c r="N123" i="133"/>
  <c r="M123" i="133"/>
  <c r="L123" i="133"/>
  <c r="K123" i="133"/>
  <c r="J123" i="133"/>
  <c r="I123" i="133"/>
  <c r="H123" i="133"/>
  <c r="G123" i="133"/>
  <c r="F123" i="133"/>
  <c r="E123" i="133"/>
  <c r="D123" i="133"/>
  <c r="AJ122" i="133"/>
  <c r="AI122" i="133"/>
  <c r="AH122" i="133"/>
  <c r="AG122" i="133"/>
  <c r="AF122" i="133"/>
  <c r="AE122" i="133"/>
  <c r="AD122" i="133"/>
  <c r="Y122" i="133"/>
  <c r="W122" i="133"/>
  <c r="V122" i="133"/>
  <c r="U122" i="133"/>
  <c r="S122" i="133"/>
  <c r="R122" i="133"/>
  <c r="Q122" i="133"/>
  <c r="P122" i="133"/>
  <c r="O122" i="133"/>
  <c r="N122" i="133"/>
  <c r="M122" i="133"/>
  <c r="L122" i="133"/>
  <c r="K122" i="133"/>
  <c r="J122" i="133"/>
  <c r="I122" i="133"/>
  <c r="H122" i="133"/>
  <c r="G122" i="133"/>
  <c r="F122" i="133"/>
  <c r="E122" i="133"/>
  <c r="D122" i="133"/>
  <c r="A122" i="133"/>
  <c r="AJ121" i="133"/>
  <c r="AI121" i="133"/>
  <c r="AH121" i="133"/>
  <c r="AG121" i="133"/>
  <c r="AF121" i="133"/>
  <c r="AE121" i="133"/>
  <c r="AD121" i="133"/>
  <c r="Y121" i="133"/>
  <c r="W121" i="133"/>
  <c r="V121" i="133"/>
  <c r="U121" i="133"/>
  <c r="S121" i="133"/>
  <c r="R121" i="133"/>
  <c r="Q121" i="133"/>
  <c r="P121" i="133"/>
  <c r="O121" i="133"/>
  <c r="N121" i="133"/>
  <c r="M121" i="133"/>
  <c r="L121" i="133"/>
  <c r="K121" i="133"/>
  <c r="J121" i="133"/>
  <c r="I121" i="133"/>
  <c r="H121" i="133"/>
  <c r="G121" i="133"/>
  <c r="F121" i="133"/>
  <c r="E121" i="133"/>
  <c r="D121" i="133"/>
  <c r="A121" i="133"/>
  <c r="AJ120" i="133"/>
  <c r="AI120" i="133"/>
  <c r="AH120" i="133"/>
  <c r="AG120" i="133"/>
  <c r="AF120" i="133"/>
  <c r="AE120" i="133"/>
  <c r="AD120" i="133"/>
  <c r="W120" i="133"/>
  <c r="V120" i="133"/>
  <c r="U120" i="133"/>
  <c r="S120" i="133"/>
  <c r="R120" i="133"/>
  <c r="Q120" i="133"/>
  <c r="P120" i="133"/>
  <c r="O120" i="133"/>
  <c r="N120" i="133"/>
  <c r="M120" i="133"/>
  <c r="L120" i="133"/>
  <c r="K120" i="133"/>
  <c r="J120" i="133"/>
  <c r="I120" i="133"/>
  <c r="H120" i="133"/>
  <c r="G120" i="133"/>
  <c r="F120" i="133"/>
  <c r="E120" i="133"/>
  <c r="D120" i="133"/>
  <c r="A120" i="133"/>
  <c r="AJ119" i="133"/>
  <c r="AI119" i="133"/>
  <c r="AH119" i="133"/>
  <c r="AG119" i="133"/>
  <c r="AF119" i="133"/>
  <c r="AE119" i="133"/>
  <c r="AD119" i="133"/>
  <c r="W119" i="133"/>
  <c r="V119" i="133"/>
  <c r="U119" i="133"/>
  <c r="S119" i="133"/>
  <c r="R119" i="133"/>
  <c r="Q119" i="133"/>
  <c r="P119" i="133"/>
  <c r="O119" i="133"/>
  <c r="N119" i="133"/>
  <c r="M119" i="133"/>
  <c r="L119" i="133"/>
  <c r="K119" i="133"/>
  <c r="J119" i="133"/>
  <c r="I119" i="133"/>
  <c r="H119" i="133"/>
  <c r="G119" i="133"/>
  <c r="F119" i="133"/>
  <c r="E119" i="133"/>
  <c r="D119" i="133"/>
  <c r="A119" i="133"/>
  <c r="AJ118" i="133"/>
  <c r="AI118" i="133"/>
  <c r="AH118" i="133"/>
  <c r="AG118" i="133"/>
  <c r="AF118" i="133"/>
  <c r="AE118" i="133"/>
  <c r="AD118" i="133"/>
  <c r="Y118" i="133"/>
  <c r="W118" i="133"/>
  <c r="V118" i="133"/>
  <c r="U118" i="133"/>
  <c r="S118" i="133"/>
  <c r="R118" i="133"/>
  <c r="Q118" i="133"/>
  <c r="P118" i="133"/>
  <c r="O118" i="133"/>
  <c r="N118" i="133"/>
  <c r="M118" i="133"/>
  <c r="L118" i="133"/>
  <c r="K118" i="133"/>
  <c r="J118" i="133"/>
  <c r="I118" i="133"/>
  <c r="H118" i="133"/>
  <c r="G118" i="133"/>
  <c r="F118" i="133"/>
  <c r="E118" i="133"/>
  <c r="D118" i="133"/>
  <c r="A118" i="133"/>
  <c r="AJ117" i="133"/>
  <c r="AI117" i="133"/>
  <c r="AH117" i="133"/>
  <c r="AG117" i="133"/>
  <c r="AF117" i="133"/>
  <c r="AE117" i="133"/>
  <c r="AD117" i="133"/>
  <c r="Y117" i="133"/>
  <c r="W117" i="133"/>
  <c r="V117" i="133"/>
  <c r="U117" i="133"/>
  <c r="S117" i="133"/>
  <c r="R117" i="133"/>
  <c r="Q117" i="133"/>
  <c r="P117" i="133"/>
  <c r="O117" i="133"/>
  <c r="N117" i="133"/>
  <c r="M117" i="133"/>
  <c r="L117" i="133"/>
  <c r="K117" i="133"/>
  <c r="J117" i="133"/>
  <c r="I117" i="133"/>
  <c r="H117" i="133"/>
  <c r="G117" i="133"/>
  <c r="F117" i="133"/>
  <c r="E117" i="133"/>
  <c r="D117" i="133"/>
  <c r="A117" i="133"/>
  <c r="AJ116" i="133"/>
  <c r="AI116" i="133"/>
  <c r="AH116" i="133"/>
  <c r="AG116" i="133"/>
  <c r="AF116" i="133"/>
  <c r="AE116" i="133"/>
  <c r="AD116" i="133"/>
  <c r="Y116" i="133"/>
  <c r="W116" i="133"/>
  <c r="V116" i="133"/>
  <c r="U116" i="133"/>
  <c r="S116" i="133"/>
  <c r="R116" i="133"/>
  <c r="Q116" i="133"/>
  <c r="P116" i="133"/>
  <c r="O116" i="133"/>
  <c r="N116" i="133"/>
  <c r="M116" i="133"/>
  <c r="L116" i="133"/>
  <c r="K116" i="133"/>
  <c r="J116" i="133"/>
  <c r="I116" i="133"/>
  <c r="H116" i="133"/>
  <c r="G116" i="133"/>
  <c r="F116" i="133"/>
  <c r="E116" i="133"/>
  <c r="D116" i="133"/>
  <c r="A116" i="133"/>
  <c r="AJ115" i="133"/>
  <c r="AI115" i="133"/>
  <c r="AH115" i="133"/>
  <c r="AG115" i="133"/>
  <c r="AF115" i="133"/>
  <c r="AE115" i="133"/>
  <c r="AD115" i="133"/>
  <c r="Y115" i="133"/>
  <c r="W115" i="133"/>
  <c r="V115" i="133"/>
  <c r="U115" i="133"/>
  <c r="S115" i="133"/>
  <c r="R115" i="133"/>
  <c r="Q115" i="133"/>
  <c r="P115" i="133"/>
  <c r="O115" i="133"/>
  <c r="N115" i="133"/>
  <c r="M115" i="133"/>
  <c r="L115" i="133"/>
  <c r="K115" i="133"/>
  <c r="J115" i="133"/>
  <c r="I115" i="133"/>
  <c r="H115" i="133"/>
  <c r="G115" i="133"/>
  <c r="F115" i="133"/>
  <c r="E115" i="133"/>
  <c r="D115" i="133"/>
  <c r="A115" i="133"/>
  <c r="AJ114" i="133"/>
  <c r="AI114" i="133"/>
  <c r="AH114" i="133"/>
  <c r="AG114" i="133"/>
  <c r="AF114" i="133"/>
  <c r="AE114" i="133"/>
  <c r="AD114" i="133"/>
  <c r="Y114" i="133"/>
  <c r="W114" i="133"/>
  <c r="V114" i="133"/>
  <c r="U114" i="133"/>
  <c r="S114" i="133"/>
  <c r="R114" i="133"/>
  <c r="Q114" i="133"/>
  <c r="P114" i="133"/>
  <c r="O114" i="133"/>
  <c r="N114" i="133"/>
  <c r="M114" i="133"/>
  <c r="L114" i="133"/>
  <c r="K114" i="133"/>
  <c r="J114" i="133"/>
  <c r="I114" i="133"/>
  <c r="H114" i="133"/>
  <c r="G114" i="133"/>
  <c r="F114" i="133"/>
  <c r="E114" i="133"/>
  <c r="D114" i="133"/>
  <c r="A114" i="133"/>
  <c r="AJ113" i="133"/>
  <c r="AI113" i="133"/>
  <c r="AH113" i="133"/>
  <c r="AG113" i="133"/>
  <c r="AF113" i="133"/>
  <c r="AE113" i="133"/>
  <c r="AD113" i="133"/>
  <c r="Y113" i="133"/>
  <c r="W113" i="133"/>
  <c r="V113" i="133"/>
  <c r="U113" i="133"/>
  <c r="S113" i="133"/>
  <c r="R113" i="133"/>
  <c r="Q113" i="133"/>
  <c r="P113" i="133"/>
  <c r="O113" i="133"/>
  <c r="N113" i="133"/>
  <c r="M113" i="133"/>
  <c r="L113" i="133"/>
  <c r="K113" i="133"/>
  <c r="J113" i="133"/>
  <c r="I113" i="133"/>
  <c r="H113" i="133"/>
  <c r="G113" i="133"/>
  <c r="F113" i="133"/>
  <c r="E113" i="133"/>
  <c r="D113" i="133"/>
  <c r="A113" i="133"/>
  <c r="AJ112" i="133"/>
  <c r="AI112" i="133"/>
  <c r="AH112" i="133"/>
  <c r="AG112" i="133"/>
  <c r="AF112" i="133"/>
  <c r="AE112" i="133"/>
  <c r="AD112" i="133"/>
  <c r="AA112" i="133"/>
  <c r="Y112" i="133" s="1"/>
  <c r="Y123" i="133" s="1"/>
  <c r="Z112" i="133"/>
  <c r="W112" i="133"/>
  <c r="V112" i="133"/>
  <c r="U112" i="133"/>
  <c r="S112" i="133"/>
  <c r="R112" i="133"/>
  <c r="Q112" i="133"/>
  <c r="P112" i="133"/>
  <c r="O112" i="133"/>
  <c r="N112" i="133"/>
  <c r="M112" i="133"/>
  <c r="L112" i="133"/>
  <c r="K112" i="133"/>
  <c r="J112" i="133"/>
  <c r="I112" i="133"/>
  <c r="H112" i="133"/>
  <c r="G112" i="133"/>
  <c r="F112" i="133"/>
  <c r="E112" i="133"/>
  <c r="D112" i="133"/>
  <c r="A112" i="133"/>
  <c r="AE111" i="133"/>
  <c r="AD111" i="133"/>
  <c r="Z111" i="133"/>
  <c r="Y111" i="133"/>
  <c r="X111" i="133"/>
  <c r="W111" i="133"/>
  <c r="V111" i="133"/>
  <c r="U111" i="133"/>
  <c r="T111" i="133"/>
  <c r="S111" i="133"/>
  <c r="R111" i="133"/>
  <c r="Q111" i="133"/>
  <c r="P111" i="133"/>
  <c r="O111" i="133"/>
  <c r="N111" i="133"/>
  <c r="M111" i="133"/>
  <c r="L111" i="133"/>
  <c r="K111" i="133"/>
  <c r="J111" i="133"/>
  <c r="I111" i="133"/>
  <c r="H111" i="133"/>
  <c r="G111" i="133"/>
  <c r="F111" i="133"/>
  <c r="E111" i="133"/>
  <c r="D111" i="133"/>
  <c r="AJ110" i="133"/>
  <c r="AI110" i="133"/>
  <c r="AH110" i="133"/>
  <c r="AG110" i="133"/>
  <c r="AF110" i="133"/>
  <c r="AE110" i="133"/>
  <c r="AD110" i="133"/>
  <c r="W110" i="133"/>
  <c r="V110" i="133"/>
  <c r="U110" i="133"/>
  <c r="S110" i="133"/>
  <c r="R110" i="133"/>
  <c r="Q110" i="133"/>
  <c r="P110" i="133"/>
  <c r="O110" i="133"/>
  <c r="N110" i="133"/>
  <c r="M110" i="133"/>
  <c r="K110" i="133"/>
  <c r="J110" i="133"/>
  <c r="I110" i="133"/>
  <c r="H110" i="133"/>
  <c r="G110" i="133"/>
  <c r="F110" i="133"/>
  <c r="E110" i="133"/>
  <c r="D110" i="133"/>
  <c r="A110" i="133"/>
  <c r="AJ109" i="133"/>
  <c r="AI109" i="133"/>
  <c r="AH109" i="133"/>
  <c r="AG109" i="133"/>
  <c r="AF109" i="133"/>
  <c r="AE109" i="133"/>
  <c r="AD109" i="133"/>
  <c r="W109" i="133"/>
  <c r="V109" i="133"/>
  <c r="U109" i="133"/>
  <c r="S109" i="133"/>
  <c r="R109" i="133"/>
  <c r="Q109" i="133"/>
  <c r="P109" i="133"/>
  <c r="O109" i="133"/>
  <c r="N109" i="133"/>
  <c r="M109" i="133"/>
  <c r="K109" i="133"/>
  <c r="J109" i="133"/>
  <c r="I109" i="133"/>
  <c r="H109" i="133"/>
  <c r="G109" i="133"/>
  <c r="F109" i="133"/>
  <c r="E109" i="133"/>
  <c r="D109" i="133"/>
  <c r="A109" i="133"/>
  <c r="AJ108" i="133"/>
  <c r="AI108" i="133"/>
  <c r="AH108" i="133"/>
  <c r="AG108" i="133"/>
  <c r="AF108" i="133"/>
  <c r="AE108" i="133"/>
  <c r="AD108" i="133"/>
  <c r="AA108" i="133"/>
  <c r="AA111" i="133" s="1"/>
  <c r="Z108" i="133"/>
  <c r="Y108" i="133"/>
  <c r="W108" i="133"/>
  <c r="V108" i="133"/>
  <c r="U108" i="133"/>
  <c r="S108" i="133"/>
  <c r="R108" i="133"/>
  <c r="Q108" i="133"/>
  <c r="P108" i="133"/>
  <c r="O108" i="133"/>
  <c r="N108" i="133"/>
  <c r="M108" i="133"/>
  <c r="K108" i="133"/>
  <c r="J108" i="133"/>
  <c r="I108" i="133"/>
  <c r="H108" i="133"/>
  <c r="G108" i="133"/>
  <c r="F108" i="133"/>
  <c r="E108" i="133"/>
  <c r="D108" i="133"/>
  <c r="A108" i="133"/>
  <c r="AE107" i="133"/>
  <c r="AD107" i="133"/>
  <c r="Z107" i="133"/>
  <c r="X107" i="133"/>
  <c r="W107" i="133"/>
  <c r="V107" i="133"/>
  <c r="U107" i="133"/>
  <c r="T107" i="133"/>
  <c r="S107" i="133"/>
  <c r="R107" i="133"/>
  <c r="Q107" i="133"/>
  <c r="P107" i="133"/>
  <c r="O107" i="133"/>
  <c r="N107" i="133"/>
  <c r="M107" i="133"/>
  <c r="L107" i="133"/>
  <c r="K107" i="133"/>
  <c r="J107" i="133"/>
  <c r="I107" i="133"/>
  <c r="H107" i="133"/>
  <c r="G107" i="133"/>
  <c r="F107" i="133"/>
  <c r="E107" i="133"/>
  <c r="D107" i="133"/>
  <c r="AJ106" i="133"/>
  <c r="AI106" i="133"/>
  <c r="AH106" i="133"/>
  <c r="AG106" i="133"/>
  <c r="AF106" i="133"/>
  <c r="AE106" i="133"/>
  <c r="AD106" i="133"/>
  <c r="AA106" i="133"/>
  <c r="AA107" i="133" s="1"/>
  <c r="Z106" i="133"/>
  <c r="W106" i="133"/>
  <c r="V106" i="133"/>
  <c r="U106" i="133"/>
  <c r="S106" i="133"/>
  <c r="R106" i="133"/>
  <c r="Q106" i="133"/>
  <c r="P106" i="133"/>
  <c r="O106" i="133"/>
  <c r="N106" i="133"/>
  <c r="M106" i="133"/>
  <c r="L106" i="133"/>
  <c r="K106" i="133"/>
  <c r="J106" i="133"/>
  <c r="I106" i="133"/>
  <c r="H106" i="133"/>
  <c r="G106" i="133"/>
  <c r="F106" i="133"/>
  <c r="E106" i="133"/>
  <c r="D106" i="133"/>
  <c r="A106" i="133"/>
  <c r="AE105" i="133"/>
  <c r="AD105" i="133"/>
  <c r="AA105" i="133"/>
  <c r="Z105" i="133"/>
  <c r="X105" i="133"/>
  <c r="W105" i="133"/>
  <c r="V105" i="133"/>
  <c r="U105" i="133"/>
  <c r="T105" i="133"/>
  <c r="S105" i="133"/>
  <c r="R105" i="133"/>
  <c r="Q105" i="133"/>
  <c r="P105" i="133"/>
  <c r="O105" i="133"/>
  <c r="N105" i="133"/>
  <c r="M105" i="133"/>
  <c r="L105" i="133"/>
  <c r="K105" i="133"/>
  <c r="J105" i="133"/>
  <c r="I105" i="133"/>
  <c r="H105" i="133"/>
  <c r="G105" i="133"/>
  <c r="F105" i="133"/>
  <c r="E105" i="133"/>
  <c r="D105" i="133"/>
  <c r="AJ104" i="133"/>
  <c r="AI104" i="133"/>
  <c r="AH104" i="133"/>
  <c r="AG104" i="133"/>
  <c r="AF104" i="133"/>
  <c r="AE104" i="133"/>
  <c r="AD104" i="133"/>
  <c r="W104" i="133"/>
  <c r="V104" i="133"/>
  <c r="U104" i="133"/>
  <c r="S104" i="133"/>
  <c r="R104" i="133"/>
  <c r="Q104" i="133"/>
  <c r="P104" i="133"/>
  <c r="O104" i="133"/>
  <c r="N104" i="133"/>
  <c r="M104" i="133"/>
  <c r="L104" i="133"/>
  <c r="K104" i="133"/>
  <c r="J104" i="133"/>
  <c r="I104" i="133"/>
  <c r="H104" i="133"/>
  <c r="G104" i="133"/>
  <c r="F104" i="133"/>
  <c r="E104" i="133"/>
  <c r="D104" i="133"/>
  <c r="A104" i="133"/>
  <c r="AJ103" i="133"/>
  <c r="AI103" i="133"/>
  <c r="AH103" i="133"/>
  <c r="AG103" i="133"/>
  <c r="AF103" i="133"/>
  <c r="AE103" i="133"/>
  <c r="AD103" i="133"/>
  <c r="W103" i="133"/>
  <c r="V103" i="133"/>
  <c r="U103" i="133"/>
  <c r="S103" i="133"/>
  <c r="R103" i="133"/>
  <c r="Q103" i="133"/>
  <c r="P103" i="133"/>
  <c r="O103" i="133"/>
  <c r="N103" i="133"/>
  <c r="M103" i="133"/>
  <c r="L103" i="133"/>
  <c r="K103" i="133"/>
  <c r="J103" i="133"/>
  <c r="I103" i="133"/>
  <c r="H103" i="133"/>
  <c r="G103" i="133"/>
  <c r="F103" i="133"/>
  <c r="E103" i="133"/>
  <c r="D103" i="133"/>
  <c r="A103" i="133"/>
  <c r="AJ102" i="133"/>
  <c r="AI102" i="133"/>
  <c r="AH102" i="133"/>
  <c r="AG102" i="133"/>
  <c r="AF102" i="133"/>
  <c r="AE102" i="133"/>
  <c r="AD102" i="133"/>
  <c r="AA102" i="133"/>
  <c r="Z102" i="133"/>
  <c r="Y102" i="133"/>
  <c r="Y105" i="133" s="1"/>
  <c r="W102" i="133"/>
  <c r="V102" i="133"/>
  <c r="U102" i="133"/>
  <c r="S102" i="133"/>
  <c r="R102" i="133"/>
  <c r="Q102" i="133"/>
  <c r="P102" i="133"/>
  <c r="O102" i="133"/>
  <c r="N102" i="133"/>
  <c r="M102" i="133"/>
  <c r="L102" i="133"/>
  <c r="K102" i="133"/>
  <c r="J102" i="133"/>
  <c r="I102" i="133"/>
  <c r="H102" i="133"/>
  <c r="G102" i="133"/>
  <c r="F102" i="133"/>
  <c r="E102" i="133"/>
  <c r="D102" i="133"/>
  <c r="A102" i="133"/>
  <c r="AE101" i="133"/>
  <c r="AD101" i="133"/>
  <c r="Z101" i="133"/>
  <c r="X101" i="133"/>
  <c r="W101" i="133"/>
  <c r="V101" i="133"/>
  <c r="U101" i="133"/>
  <c r="T101" i="133"/>
  <c r="S101" i="133"/>
  <c r="R101" i="133"/>
  <c r="Q101" i="133"/>
  <c r="P101" i="133"/>
  <c r="O101" i="133"/>
  <c r="N101" i="133"/>
  <c r="M101" i="133"/>
  <c r="L101" i="133"/>
  <c r="K101" i="133"/>
  <c r="J101" i="133"/>
  <c r="I101" i="133"/>
  <c r="H101" i="133"/>
  <c r="G101" i="133"/>
  <c r="F101" i="133"/>
  <c r="E101" i="133"/>
  <c r="D101" i="133"/>
  <c r="AJ100" i="133"/>
  <c r="AI100" i="133"/>
  <c r="AH100" i="133"/>
  <c r="AG100" i="133"/>
  <c r="AF100" i="133"/>
  <c r="AE100" i="133"/>
  <c r="AD100" i="133"/>
  <c r="AA100" i="133"/>
  <c r="AA101" i="133" s="1"/>
  <c r="Z100" i="133"/>
  <c r="W100" i="133"/>
  <c r="V100" i="133"/>
  <c r="U100" i="133"/>
  <c r="S100" i="133"/>
  <c r="R100" i="133"/>
  <c r="Q100" i="133"/>
  <c r="P100" i="133"/>
  <c r="O100" i="133"/>
  <c r="N100" i="133"/>
  <c r="M100" i="133"/>
  <c r="L100" i="133"/>
  <c r="K100" i="133"/>
  <c r="J100" i="133"/>
  <c r="I100" i="133"/>
  <c r="H100" i="133"/>
  <c r="G100" i="133"/>
  <c r="F100" i="133"/>
  <c r="E100" i="133"/>
  <c r="D100" i="133"/>
  <c r="A100" i="133"/>
  <c r="AE99" i="133"/>
  <c r="AD99" i="133"/>
  <c r="Z99" i="133"/>
  <c r="X99" i="133"/>
  <c r="W99" i="133"/>
  <c r="V99" i="133"/>
  <c r="U99" i="133"/>
  <c r="T99" i="133"/>
  <c r="S99" i="133"/>
  <c r="R99" i="133"/>
  <c r="Q99" i="133"/>
  <c r="P99" i="133"/>
  <c r="O99" i="133"/>
  <c r="N99" i="133"/>
  <c r="M99" i="133"/>
  <c r="L99" i="133"/>
  <c r="K99" i="133"/>
  <c r="J99" i="133"/>
  <c r="I99" i="133"/>
  <c r="H99" i="133"/>
  <c r="G99" i="133"/>
  <c r="F99" i="133"/>
  <c r="E99" i="133"/>
  <c r="D99" i="133"/>
  <c r="AJ98" i="133"/>
  <c r="AI98" i="133"/>
  <c r="AH98" i="133"/>
  <c r="AG98" i="133"/>
  <c r="AF98" i="133"/>
  <c r="AE98" i="133"/>
  <c r="AD98" i="133"/>
  <c r="Y98" i="133"/>
  <c r="W98" i="133"/>
  <c r="V98" i="133"/>
  <c r="U98" i="133"/>
  <c r="S98" i="133"/>
  <c r="R98" i="133"/>
  <c r="Q98" i="133"/>
  <c r="P98" i="133"/>
  <c r="O98" i="133"/>
  <c r="N98" i="133"/>
  <c r="M98" i="133"/>
  <c r="L98" i="133"/>
  <c r="K98" i="133"/>
  <c r="J98" i="133"/>
  <c r="I98" i="133"/>
  <c r="H98" i="133"/>
  <c r="G98" i="133"/>
  <c r="F98" i="133"/>
  <c r="E98" i="133"/>
  <c r="D98" i="133"/>
  <c r="A98" i="133"/>
  <c r="AJ97" i="133"/>
  <c r="AI97" i="133"/>
  <c r="AH97" i="133"/>
  <c r="AG97" i="133"/>
  <c r="AF97" i="133"/>
  <c r="AE97" i="133"/>
  <c r="AD97" i="133"/>
  <c r="AA97" i="133"/>
  <c r="AA99" i="133" s="1"/>
  <c r="Z97" i="133"/>
  <c r="W97" i="133"/>
  <c r="V97" i="133"/>
  <c r="U97" i="133"/>
  <c r="S97" i="133"/>
  <c r="R97" i="133"/>
  <c r="Q97" i="133"/>
  <c r="P97" i="133"/>
  <c r="O97" i="133"/>
  <c r="N97" i="133"/>
  <c r="M97" i="133"/>
  <c r="L97" i="133"/>
  <c r="K97" i="133"/>
  <c r="J97" i="133"/>
  <c r="I97" i="133"/>
  <c r="H97" i="133"/>
  <c r="G97" i="133"/>
  <c r="F97" i="133"/>
  <c r="E97" i="133"/>
  <c r="D97" i="133"/>
  <c r="A97" i="133"/>
  <c r="AE96" i="133"/>
  <c r="Z96" i="133"/>
  <c r="X96" i="133"/>
  <c r="W96" i="133"/>
  <c r="V96" i="133"/>
  <c r="U96" i="133"/>
  <c r="T96" i="133"/>
  <c r="S96" i="133"/>
  <c r="R96" i="133"/>
  <c r="Q96" i="133"/>
  <c r="P96" i="133"/>
  <c r="O96" i="133"/>
  <c r="N96" i="133"/>
  <c r="M96" i="133"/>
  <c r="L96" i="133"/>
  <c r="K96" i="133"/>
  <c r="J96" i="133"/>
  <c r="I96" i="133"/>
  <c r="H96" i="133"/>
  <c r="G96" i="133"/>
  <c r="F96" i="133"/>
  <c r="E96" i="133"/>
  <c r="D96" i="133"/>
  <c r="AJ95" i="133"/>
  <c r="AI95" i="133"/>
  <c r="AH95" i="133"/>
  <c r="AG95" i="133"/>
  <c r="AF95" i="133"/>
  <c r="AE95" i="133"/>
  <c r="AD95" i="133"/>
  <c r="Y95" i="133"/>
  <c r="W95" i="133"/>
  <c r="V95" i="133"/>
  <c r="U95" i="133"/>
  <c r="S95" i="133"/>
  <c r="R95" i="133"/>
  <c r="Q95" i="133"/>
  <c r="P95" i="133"/>
  <c r="O95" i="133"/>
  <c r="N95" i="133"/>
  <c r="M95" i="133"/>
  <c r="L95" i="133"/>
  <c r="K95" i="133"/>
  <c r="J95" i="133"/>
  <c r="I95" i="133"/>
  <c r="H95" i="133"/>
  <c r="G95" i="133"/>
  <c r="F95" i="133"/>
  <c r="E95" i="133"/>
  <c r="D95" i="133"/>
  <c r="A95" i="133"/>
  <c r="AE94" i="133"/>
  <c r="AA94" i="133"/>
  <c r="AA96" i="133" s="1"/>
  <c r="Z94" i="133"/>
  <c r="Y94" i="133"/>
  <c r="Y96" i="133" s="1"/>
  <c r="W94" i="133"/>
  <c r="V94" i="133"/>
  <c r="U94" i="133"/>
  <c r="S94" i="133"/>
  <c r="R94" i="133"/>
  <c r="Q94" i="133"/>
  <c r="P94" i="133"/>
  <c r="O94" i="133"/>
  <c r="N94" i="133"/>
  <c r="M94" i="133"/>
  <c r="L94" i="133"/>
  <c r="K94" i="133"/>
  <c r="J94" i="133"/>
  <c r="I94" i="133"/>
  <c r="H94" i="133"/>
  <c r="G94" i="133"/>
  <c r="F94" i="133"/>
  <c r="E94" i="133"/>
  <c r="D94" i="133"/>
  <c r="A94" i="133"/>
  <c r="AE93" i="133"/>
  <c r="Z93" i="133"/>
  <c r="X93" i="133"/>
  <c r="W93" i="133"/>
  <c r="V93" i="133"/>
  <c r="U93" i="133"/>
  <c r="T93" i="133"/>
  <c r="S93" i="133"/>
  <c r="R93" i="133"/>
  <c r="Q93" i="133"/>
  <c r="P93" i="133"/>
  <c r="O93" i="133"/>
  <c r="N93" i="133"/>
  <c r="M93" i="133"/>
  <c r="L93" i="133"/>
  <c r="K93" i="133"/>
  <c r="J93" i="133"/>
  <c r="I93" i="133"/>
  <c r="H93" i="133"/>
  <c r="G93" i="133"/>
  <c r="F93" i="133"/>
  <c r="E93" i="133"/>
  <c r="D93" i="133"/>
  <c r="AJ92" i="133"/>
  <c r="AI92" i="133"/>
  <c r="AH92" i="133"/>
  <c r="AG92" i="133"/>
  <c r="AF92" i="133"/>
  <c r="AE92" i="133"/>
  <c r="AD92" i="133"/>
  <c r="Y92" i="133"/>
  <c r="W92" i="133"/>
  <c r="V92" i="133"/>
  <c r="U92" i="133"/>
  <c r="S92" i="133"/>
  <c r="R92" i="133"/>
  <c r="Q92" i="133"/>
  <c r="P92" i="133"/>
  <c r="O92" i="133"/>
  <c r="N92" i="133"/>
  <c r="M92" i="133"/>
  <c r="L92" i="133"/>
  <c r="K92" i="133"/>
  <c r="J92" i="133"/>
  <c r="I92" i="133"/>
  <c r="H92" i="133"/>
  <c r="G92" i="133"/>
  <c r="F92" i="133"/>
  <c r="E92" i="133"/>
  <c r="D92" i="133"/>
  <c r="A92" i="133"/>
  <c r="AE91" i="133"/>
  <c r="AA91" i="133"/>
  <c r="AA93" i="133" s="1"/>
  <c r="Z91" i="133"/>
  <c r="Y91" i="133"/>
  <c r="Y93" i="133" s="1"/>
  <c r="W91" i="133"/>
  <c r="V91" i="133"/>
  <c r="U91" i="133"/>
  <c r="S91" i="133"/>
  <c r="R91" i="133"/>
  <c r="Q91" i="133"/>
  <c r="P91" i="133"/>
  <c r="O91" i="133"/>
  <c r="N91" i="133"/>
  <c r="M91" i="133"/>
  <c r="L91" i="133"/>
  <c r="K91" i="133"/>
  <c r="J91" i="133"/>
  <c r="I91" i="133"/>
  <c r="H91" i="133"/>
  <c r="G91" i="133"/>
  <c r="F91" i="133"/>
  <c r="E91" i="133"/>
  <c r="D91" i="133"/>
  <c r="A91" i="133"/>
  <c r="AE90" i="133"/>
  <c r="AD90" i="133"/>
  <c r="AA90" i="133"/>
  <c r="Z90" i="133"/>
  <c r="X90" i="133"/>
  <c r="W90" i="133"/>
  <c r="V90" i="133"/>
  <c r="U90" i="133"/>
  <c r="T90" i="133"/>
  <c r="S90" i="133"/>
  <c r="R90" i="133"/>
  <c r="Q90" i="133"/>
  <c r="P90" i="133"/>
  <c r="O90" i="133"/>
  <c r="N90" i="133"/>
  <c r="M90" i="133"/>
  <c r="L90" i="133"/>
  <c r="K90" i="133"/>
  <c r="J90" i="133"/>
  <c r="I90" i="133"/>
  <c r="H90" i="133"/>
  <c r="G90" i="133"/>
  <c r="F90" i="133"/>
  <c r="E90" i="133"/>
  <c r="D90" i="133"/>
  <c r="AJ89" i="133"/>
  <c r="AI89" i="133"/>
  <c r="AH89" i="133"/>
  <c r="AG89" i="133"/>
  <c r="AF89" i="133"/>
  <c r="AE89" i="133"/>
  <c r="AD89" i="133"/>
  <c r="Y89" i="133"/>
  <c r="W89" i="133"/>
  <c r="V89" i="133"/>
  <c r="U89" i="133"/>
  <c r="S89" i="133"/>
  <c r="R89" i="133"/>
  <c r="Q89" i="133"/>
  <c r="P89" i="133"/>
  <c r="O89" i="133"/>
  <c r="N89" i="133"/>
  <c r="M89" i="133"/>
  <c r="L89" i="133"/>
  <c r="K89" i="133"/>
  <c r="J89" i="133"/>
  <c r="I89" i="133"/>
  <c r="H89" i="133"/>
  <c r="G89" i="133"/>
  <c r="F89" i="133"/>
  <c r="E89" i="133"/>
  <c r="D89" i="133"/>
  <c r="A89" i="133"/>
  <c r="AJ88" i="133"/>
  <c r="AI88" i="133"/>
  <c r="AH88" i="133"/>
  <c r="AG88" i="133"/>
  <c r="AF88" i="133"/>
  <c r="AE88" i="133"/>
  <c r="AD88" i="133"/>
  <c r="AA88" i="133"/>
  <c r="Z88" i="133"/>
  <c r="Y88" i="133"/>
  <c r="Y90" i="133" s="1"/>
  <c r="W88" i="133"/>
  <c r="V88" i="133"/>
  <c r="U88" i="133"/>
  <c r="S88" i="133"/>
  <c r="R88" i="133"/>
  <c r="Q88" i="133"/>
  <c r="P88" i="133"/>
  <c r="O88" i="133"/>
  <c r="N88" i="133"/>
  <c r="M88" i="133"/>
  <c r="L88" i="133"/>
  <c r="K88" i="133"/>
  <c r="J88" i="133"/>
  <c r="I88" i="133"/>
  <c r="H88" i="133"/>
  <c r="G88" i="133"/>
  <c r="F88" i="133"/>
  <c r="E88" i="133"/>
  <c r="D88" i="133"/>
  <c r="A88" i="133"/>
  <c r="AE87" i="133"/>
  <c r="AD87" i="133"/>
  <c r="Z87" i="133"/>
  <c r="X87" i="133"/>
  <c r="W87" i="133"/>
  <c r="V87" i="133"/>
  <c r="U87" i="133"/>
  <c r="T87" i="133"/>
  <c r="S87" i="133"/>
  <c r="R87" i="133"/>
  <c r="Q87" i="133"/>
  <c r="P87" i="133"/>
  <c r="O87" i="133"/>
  <c r="N87" i="133"/>
  <c r="M87" i="133"/>
  <c r="L87" i="133"/>
  <c r="K87" i="133"/>
  <c r="J87" i="133"/>
  <c r="I87" i="133"/>
  <c r="H87" i="133"/>
  <c r="G87" i="133"/>
  <c r="F87" i="133"/>
  <c r="E87" i="133"/>
  <c r="D87" i="133"/>
  <c r="AJ86" i="133"/>
  <c r="AI86" i="133"/>
  <c r="AH86" i="133"/>
  <c r="AG86" i="133"/>
  <c r="AF86" i="133"/>
  <c r="AE86" i="133"/>
  <c r="AD86" i="133"/>
  <c r="AA86" i="133"/>
  <c r="AA87" i="133" s="1"/>
  <c r="Z86" i="133"/>
  <c r="W86" i="133"/>
  <c r="V86" i="133"/>
  <c r="U86" i="133"/>
  <c r="S86" i="133"/>
  <c r="R86" i="133"/>
  <c r="Q86" i="133"/>
  <c r="P86" i="133"/>
  <c r="O86" i="133"/>
  <c r="N86" i="133"/>
  <c r="M86" i="133"/>
  <c r="L86" i="133"/>
  <c r="K86" i="133"/>
  <c r="J86" i="133"/>
  <c r="I86" i="133"/>
  <c r="H86" i="133"/>
  <c r="G86" i="133"/>
  <c r="F86" i="133"/>
  <c r="E86" i="133"/>
  <c r="D86" i="133"/>
  <c r="A86" i="133"/>
  <c r="AE85" i="133"/>
  <c r="AD85" i="133"/>
  <c r="AA85" i="133"/>
  <c r="Z85" i="133"/>
  <c r="X85" i="133"/>
  <c r="W85" i="133"/>
  <c r="V85" i="133"/>
  <c r="U85" i="133"/>
  <c r="T85" i="133"/>
  <c r="S85" i="133"/>
  <c r="R85" i="133"/>
  <c r="Q85" i="133"/>
  <c r="P85" i="133"/>
  <c r="O85" i="133"/>
  <c r="N85" i="133"/>
  <c r="M85" i="133"/>
  <c r="L85" i="133"/>
  <c r="K85" i="133"/>
  <c r="J85" i="133"/>
  <c r="I85" i="133"/>
  <c r="H85" i="133"/>
  <c r="G85" i="133"/>
  <c r="F85" i="133"/>
  <c r="E85" i="133"/>
  <c r="D85" i="133"/>
  <c r="AJ84" i="133"/>
  <c r="AI84" i="133"/>
  <c r="AH84" i="133"/>
  <c r="AG84" i="133"/>
  <c r="AF84" i="133"/>
  <c r="AE84" i="133"/>
  <c r="AD84" i="133"/>
  <c r="Y84" i="133"/>
  <c r="W84" i="133"/>
  <c r="V84" i="133"/>
  <c r="U84" i="133"/>
  <c r="S84" i="133"/>
  <c r="R84" i="133"/>
  <c r="Q84" i="133"/>
  <c r="P84" i="133"/>
  <c r="O84" i="133"/>
  <c r="N84" i="133"/>
  <c r="M84" i="133"/>
  <c r="L84" i="133"/>
  <c r="K84" i="133"/>
  <c r="J84" i="133"/>
  <c r="I84" i="133"/>
  <c r="H84" i="133"/>
  <c r="G84" i="133"/>
  <c r="F84" i="133"/>
  <c r="E84" i="133"/>
  <c r="D84" i="133"/>
  <c r="A84" i="133"/>
  <c r="AJ83" i="133"/>
  <c r="AI83" i="133"/>
  <c r="AH83" i="133"/>
  <c r="AG83" i="133"/>
  <c r="AF83" i="133"/>
  <c r="AE83" i="133"/>
  <c r="AD83" i="133"/>
  <c r="AA83" i="133"/>
  <c r="Z83" i="133"/>
  <c r="Y83" i="133"/>
  <c r="Y85" i="133" s="1"/>
  <c r="W83" i="133"/>
  <c r="V83" i="133"/>
  <c r="U83" i="133"/>
  <c r="S83" i="133"/>
  <c r="R83" i="133"/>
  <c r="Q83" i="133"/>
  <c r="P83" i="133"/>
  <c r="O83" i="133"/>
  <c r="N83" i="133"/>
  <c r="M83" i="133"/>
  <c r="L83" i="133"/>
  <c r="K83" i="133"/>
  <c r="J83" i="133"/>
  <c r="I83" i="133"/>
  <c r="H83" i="133"/>
  <c r="G83" i="133"/>
  <c r="F83" i="133"/>
  <c r="E83" i="133"/>
  <c r="D83" i="133"/>
  <c r="A83" i="133"/>
  <c r="AE82" i="133"/>
  <c r="AD82" i="133"/>
  <c r="Z82" i="133"/>
  <c r="X82" i="133"/>
  <c r="W82" i="133"/>
  <c r="V82" i="133"/>
  <c r="U82" i="133"/>
  <c r="T82" i="133"/>
  <c r="S82" i="133"/>
  <c r="R82" i="133"/>
  <c r="Q82" i="133"/>
  <c r="P82" i="133"/>
  <c r="O82" i="133"/>
  <c r="N82" i="133"/>
  <c r="M82" i="133"/>
  <c r="L82" i="133"/>
  <c r="K82" i="133"/>
  <c r="J82" i="133"/>
  <c r="I82" i="133"/>
  <c r="H82" i="133"/>
  <c r="G82" i="133"/>
  <c r="F82" i="133"/>
  <c r="E82" i="133"/>
  <c r="D82" i="133"/>
  <c r="AJ81" i="133"/>
  <c r="AI81" i="133"/>
  <c r="AH81" i="133"/>
  <c r="AG81" i="133"/>
  <c r="AF81" i="133"/>
  <c r="AE81" i="133"/>
  <c r="AD81" i="133"/>
  <c r="AA81" i="133"/>
  <c r="Y81" i="133" s="1"/>
  <c r="Z81" i="133"/>
  <c r="W81" i="133"/>
  <c r="V81" i="133"/>
  <c r="U81" i="133"/>
  <c r="S81" i="133"/>
  <c r="R81" i="133"/>
  <c r="Q81" i="133"/>
  <c r="P81" i="133"/>
  <c r="O81" i="133"/>
  <c r="N81" i="133"/>
  <c r="M81" i="133"/>
  <c r="L81" i="133"/>
  <c r="K81" i="133"/>
  <c r="J81" i="133"/>
  <c r="I81" i="133"/>
  <c r="H81" i="133"/>
  <c r="G81" i="133"/>
  <c r="F81" i="133"/>
  <c r="E81" i="133"/>
  <c r="D81" i="133"/>
  <c r="A81" i="133"/>
  <c r="AJ80" i="133"/>
  <c r="AI80" i="133"/>
  <c r="AH80" i="133"/>
  <c r="AG80" i="133"/>
  <c r="AF80" i="133"/>
  <c r="AE80" i="133"/>
  <c r="AD80" i="133"/>
  <c r="AA80" i="133"/>
  <c r="Y80" i="133" s="1"/>
  <c r="Y82" i="133" s="1"/>
  <c r="Z80" i="133"/>
  <c r="W80" i="133"/>
  <c r="V80" i="133"/>
  <c r="U80" i="133"/>
  <c r="S80" i="133"/>
  <c r="R80" i="133"/>
  <c r="Q80" i="133"/>
  <c r="P80" i="133"/>
  <c r="O80" i="133"/>
  <c r="N80" i="133"/>
  <c r="M80" i="133"/>
  <c r="L80" i="133"/>
  <c r="K80" i="133"/>
  <c r="J80" i="133"/>
  <c r="I80" i="133"/>
  <c r="H80" i="133"/>
  <c r="G80" i="133"/>
  <c r="F80" i="133"/>
  <c r="E80" i="133"/>
  <c r="D80" i="133"/>
  <c r="A80" i="133"/>
  <c r="AE79" i="133"/>
  <c r="AD79" i="133"/>
  <c r="Z79" i="133"/>
  <c r="X79" i="133"/>
  <c r="W79" i="133"/>
  <c r="V79" i="133"/>
  <c r="U79" i="133"/>
  <c r="T79" i="133"/>
  <c r="S79" i="133"/>
  <c r="R79" i="133"/>
  <c r="Q79" i="133"/>
  <c r="P79" i="133"/>
  <c r="O79" i="133"/>
  <c r="N79" i="133"/>
  <c r="M79" i="133"/>
  <c r="L79" i="133"/>
  <c r="K79" i="133"/>
  <c r="J79" i="133"/>
  <c r="I79" i="133"/>
  <c r="H79" i="133"/>
  <c r="G79" i="133"/>
  <c r="F79" i="133"/>
  <c r="E79" i="133"/>
  <c r="D79" i="133"/>
  <c r="AJ78" i="133"/>
  <c r="AI78" i="133"/>
  <c r="AH78" i="133"/>
  <c r="AG78" i="133"/>
  <c r="AF78" i="133"/>
  <c r="AE78" i="133"/>
  <c r="AD78" i="133"/>
  <c r="AA78" i="133"/>
  <c r="Z78" i="133"/>
  <c r="Y78" i="133"/>
  <c r="W78" i="133"/>
  <c r="V78" i="133"/>
  <c r="U78" i="133"/>
  <c r="S78" i="133"/>
  <c r="R78" i="133"/>
  <c r="Q78" i="133"/>
  <c r="P78" i="133"/>
  <c r="O78" i="133"/>
  <c r="N78" i="133"/>
  <c r="M78" i="133"/>
  <c r="L78" i="133"/>
  <c r="K78" i="133"/>
  <c r="J78" i="133"/>
  <c r="I78" i="133"/>
  <c r="H78" i="133"/>
  <c r="G78" i="133"/>
  <c r="F78" i="133"/>
  <c r="E78" i="133"/>
  <c r="D78" i="133"/>
  <c r="A78" i="133"/>
  <c r="AJ77" i="133"/>
  <c r="AI77" i="133"/>
  <c r="AH77" i="133"/>
  <c r="AG77" i="133"/>
  <c r="AF77" i="133"/>
  <c r="AE77" i="133"/>
  <c r="AD77" i="133"/>
  <c r="AA77" i="133"/>
  <c r="Y77" i="133" s="1"/>
  <c r="Y79" i="133" s="1"/>
  <c r="Z77" i="133"/>
  <c r="W77" i="133"/>
  <c r="V77" i="133"/>
  <c r="U77" i="133"/>
  <c r="S77" i="133"/>
  <c r="R77" i="133"/>
  <c r="Q77" i="133"/>
  <c r="P77" i="133"/>
  <c r="O77" i="133"/>
  <c r="N77" i="133"/>
  <c r="M77" i="133"/>
  <c r="L77" i="133"/>
  <c r="K77" i="133"/>
  <c r="J77" i="133"/>
  <c r="I77" i="133"/>
  <c r="H77" i="133"/>
  <c r="G77" i="133"/>
  <c r="F77" i="133"/>
  <c r="E77" i="133"/>
  <c r="D77" i="133"/>
  <c r="A77" i="133"/>
  <c r="AE76" i="133"/>
  <c r="AD76" i="133"/>
  <c r="AA76" i="133"/>
  <c r="Z76" i="133"/>
  <c r="Y76" i="133"/>
  <c r="X76" i="133"/>
  <c r="W76" i="133"/>
  <c r="V76" i="133"/>
  <c r="U76" i="133"/>
  <c r="T76" i="133"/>
  <c r="S76" i="133"/>
  <c r="R76" i="133"/>
  <c r="Q76" i="133"/>
  <c r="P76" i="133"/>
  <c r="O76" i="133"/>
  <c r="N76" i="133"/>
  <c r="M76" i="133"/>
  <c r="L76" i="133"/>
  <c r="K76" i="133"/>
  <c r="J76" i="133"/>
  <c r="I76" i="133"/>
  <c r="H76" i="133"/>
  <c r="G76" i="133"/>
  <c r="F76" i="133"/>
  <c r="E76" i="133"/>
  <c r="D76" i="133"/>
  <c r="AJ75" i="133"/>
  <c r="AI75" i="133"/>
  <c r="AH75" i="133"/>
  <c r="AG75" i="133"/>
  <c r="AF75" i="133"/>
  <c r="AE75" i="133"/>
  <c r="AD75" i="133"/>
  <c r="Z75" i="133"/>
  <c r="Y75" i="133"/>
  <c r="W75" i="133"/>
  <c r="V75" i="133"/>
  <c r="U75" i="133"/>
  <c r="S75" i="133"/>
  <c r="R75" i="133"/>
  <c r="Q75" i="133"/>
  <c r="P75" i="133"/>
  <c r="O75" i="133"/>
  <c r="N75" i="133"/>
  <c r="M75" i="133"/>
  <c r="L75" i="133"/>
  <c r="K75" i="133"/>
  <c r="J75" i="133"/>
  <c r="I75" i="133"/>
  <c r="H75" i="133"/>
  <c r="G75" i="133"/>
  <c r="F75" i="133"/>
  <c r="E75" i="133"/>
  <c r="D75" i="133"/>
  <c r="A75" i="133"/>
  <c r="AJ74" i="133"/>
  <c r="AI74" i="133"/>
  <c r="AH74" i="133"/>
  <c r="AG74" i="133"/>
  <c r="AF74" i="133"/>
  <c r="AE74" i="133"/>
  <c r="AD74" i="133"/>
  <c r="Z74" i="133"/>
  <c r="Y74" i="133"/>
  <c r="W74" i="133"/>
  <c r="V74" i="133"/>
  <c r="U74" i="133"/>
  <c r="S74" i="133"/>
  <c r="R74" i="133"/>
  <c r="Q74" i="133"/>
  <c r="P74" i="133"/>
  <c r="O74" i="133"/>
  <c r="N74" i="133"/>
  <c r="M74" i="133"/>
  <c r="L74" i="133"/>
  <c r="K74" i="133"/>
  <c r="J74" i="133"/>
  <c r="I74" i="133"/>
  <c r="H74" i="133"/>
  <c r="G74" i="133"/>
  <c r="F74" i="133"/>
  <c r="E74" i="133"/>
  <c r="D74" i="133"/>
  <c r="A74" i="133"/>
  <c r="AJ73" i="133"/>
  <c r="AI73" i="133"/>
  <c r="AH73" i="133"/>
  <c r="AG73" i="133"/>
  <c r="AF73" i="133"/>
  <c r="AE73" i="133"/>
  <c r="AD73" i="133"/>
  <c r="Z73" i="133"/>
  <c r="Y73" i="133"/>
  <c r="W73" i="133"/>
  <c r="V73" i="133"/>
  <c r="U73" i="133"/>
  <c r="S73" i="133"/>
  <c r="R73" i="133"/>
  <c r="Q73" i="133"/>
  <c r="P73" i="133"/>
  <c r="O73" i="133"/>
  <c r="N73" i="133"/>
  <c r="M73" i="133"/>
  <c r="L73" i="133"/>
  <c r="K73" i="133"/>
  <c r="J73" i="133"/>
  <c r="I73" i="133"/>
  <c r="H73" i="133"/>
  <c r="G73" i="133"/>
  <c r="F73" i="133"/>
  <c r="E73" i="133"/>
  <c r="D73" i="133"/>
  <c r="A73" i="133"/>
  <c r="AJ72" i="133"/>
  <c r="AI72" i="133"/>
  <c r="AH72" i="133"/>
  <c r="AG72" i="133"/>
  <c r="AF72" i="133"/>
  <c r="AE72" i="133"/>
  <c r="AD72" i="133"/>
  <c r="Z72" i="133"/>
  <c r="Y72" i="133"/>
  <c r="W72" i="133"/>
  <c r="V72" i="133"/>
  <c r="U72" i="133"/>
  <c r="S72" i="133"/>
  <c r="R72" i="133"/>
  <c r="Q72" i="133"/>
  <c r="P72" i="133"/>
  <c r="O72" i="133"/>
  <c r="N72" i="133"/>
  <c r="M72" i="133"/>
  <c r="L72" i="133"/>
  <c r="K72" i="133"/>
  <c r="J72" i="133"/>
  <c r="I72" i="133"/>
  <c r="H72" i="133"/>
  <c r="G72" i="133"/>
  <c r="F72" i="133"/>
  <c r="E72" i="133"/>
  <c r="D72" i="133"/>
  <c r="A72" i="133"/>
  <c r="AJ71" i="133"/>
  <c r="AI71" i="133"/>
  <c r="AH71" i="133"/>
  <c r="AG71" i="133"/>
  <c r="AF71" i="133"/>
  <c r="AE71" i="133"/>
  <c r="AD71" i="133"/>
  <c r="Z71" i="133"/>
  <c r="Y71" i="133"/>
  <c r="W71" i="133"/>
  <c r="V71" i="133"/>
  <c r="U71" i="133"/>
  <c r="S71" i="133"/>
  <c r="R71" i="133"/>
  <c r="Q71" i="133"/>
  <c r="P71" i="133"/>
  <c r="O71" i="133"/>
  <c r="N71" i="133"/>
  <c r="M71" i="133"/>
  <c r="L71" i="133"/>
  <c r="K71" i="133"/>
  <c r="J71" i="133"/>
  <c r="I71" i="133"/>
  <c r="H71" i="133"/>
  <c r="G71" i="133"/>
  <c r="F71" i="133"/>
  <c r="E71" i="133"/>
  <c r="D71" i="133"/>
  <c r="A71" i="133"/>
  <c r="AE70" i="133"/>
  <c r="AD70" i="133"/>
  <c r="AA70" i="133"/>
  <c r="Z70" i="133"/>
  <c r="Y70" i="133"/>
  <c r="X70" i="133"/>
  <c r="W70" i="133"/>
  <c r="V70" i="133"/>
  <c r="U70" i="133"/>
  <c r="T70" i="133"/>
  <c r="S70" i="133"/>
  <c r="R70" i="133"/>
  <c r="Q70" i="133"/>
  <c r="P70" i="133"/>
  <c r="O70" i="133"/>
  <c r="N70" i="133"/>
  <c r="M70" i="133"/>
  <c r="L70" i="133"/>
  <c r="K70" i="133"/>
  <c r="J70" i="133"/>
  <c r="I70" i="133"/>
  <c r="H70" i="133"/>
  <c r="G70" i="133"/>
  <c r="F70" i="133"/>
  <c r="E70" i="133"/>
  <c r="D70" i="133"/>
  <c r="AE69" i="133"/>
  <c r="AD69" i="133"/>
  <c r="AA69" i="133"/>
  <c r="Z69" i="133"/>
  <c r="Y69" i="133"/>
  <c r="X69" i="133"/>
  <c r="W69" i="133"/>
  <c r="V69" i="133"/>
  <c r="U69" i="133"/>
  <c r="T69" i="133"/>
  <c r="S69" i="133"/>
  <c r="R69" i="133"/>
  <c r="Q69" i="133"/>
  <c r="P69" i="133"/>
  <c r="O69" i="133"/>
  <c r="N69" i="133"/>
  <c r="M69" i="133"/>
  <c r="L69" i="133"/>
  <c r="K69" i="133"/>
  <c r="J69" i="133"/>
  <c r="I69" i="133"/>
  <c r="H69" i="133"/>
  <c r="G69" i="133"/>
  <c r="F69" i="133"/>
  <c r="E69" i="133"/>
  <c r="D69" i="133"/>
  <c r="AJ68" i="133"/>
  <c r="AI68" i="133"/>
  <c r="AH68" i="133"/>
  <c r="AG68" i="133"/>
  <c r="AF68" i="133"/>
  <c r="AE68" i="133"/>
  <c r="AD68" i="133"/>
  <c r="Z68" i="133"/>
  <c r="Y68" i="133"/>
  <c r="W68" i="133"/>
  <c r="V68" i="133"/>
  <c r="U68" i="133"/>
  <c r="S68" i="133"/>
  <c r="R68" i="133"/>
  <c r="Q68" i="133"/>
  <c r="P68" i="133"/>
  <c r="O68" i="133"/>
  <c r="N68" i="133"/>
  <c r="M68" i="133"/>
  <c r="L68" i="133"/>
  <c r="K68" i="133"/>
  <c r="J68" i="133"/>
  <c r="I68" i="133"/>
  <c r="H68" i="133"/>
  <c r="G68" i="133"/>
  <c r="F68" i="133"/>
  <c r="E68" i="133"/>
  <c r="D68" i="133"/>
  <c r="A68" i="133"/>
  <c r="AJ67" i="133"/>
  <c r="AI67" i="133"/>
  <c r="AH67" i="133"/>
  <c r="AG67" i="133"/>
  <c r="AF67" i="133"/>
  <c r="AE67" i="133"/>
  <c r="AD67" i="133"/>
  <c r="Z67" i="133"/>
  <c r="Y67" i="133"/>
  <c r="W67" i="133"/>
  <c r="V67" i="133"/>
  <c r="U67" i="133"/>
  <c r="S67" i="133"/>
  <c r="R67" i="133"/>
  <c r="Q67" i="133"/>
  <c r="P67" i="133"/>
  <c r="O67" i="133"/>
  <c r="N67" i="133"/>
  <c r="M67" i="133"/>
  <c r="L67" i="133"/>
  <c r="K67" i="133"/>
  <c r="J67" i="133"/>
  <c r="I67" i="133"/>
  <c r="H67" i="133"/>
  <c r="G67" i="133"/>
  <c r="F67" i="133"/>
  <c r="E67" i="133"/>
  <c r="D67" i="133"/>
  <c r="A67" i="133"/>
  <c r="AJ66" i="133"/>
  <c r="AI66" i="133"/>
  <c r="AH66" i="133"/>
  <c r="AG66" i="133"/>
  <c r="AF66" i="133"/>
  <c r="AE66" i="133"/>
  <c r="AD66" i="133"/>
  <c r="Z66" i="133"/>
  <c r="Y66" i="133"/>
  <c r="W66" i="133"/>
  <c r="V66" i="133"/>
  <c r="U66" i="133"/>
  <c r="S66" i="133"/>
  <c r="R66" i="133"/>
  <c r="Q66" i="133"/>
  <c r="P66" i="133"/>
  <c r="O66" i="133"/>
  <c r="N66" i="133"/>
  <c r="M66" i="133"/>
  <c r="L66" i="133"/>
  <c r="K66" i="133"/>
  <c r="J66" i="133"/>
  <c r="I66" i="133"/>
  <c r="H66" i="133"/>
  <c r="G66" i="133"/>
  <c r="F66" i="133"/>
  <c r="E66" i="133"/>
  <c r="D66" i="133"/>
  <c r="A66" i="133"/>
  <c r="AJ65" i="133"/>
  <c r="AI65" i="133"/>
  <c r="AH65" i="133"/>
  <c r="AG65" i="133"/>
  <c r="AF65" i="133"/>
  <c r="AE65" i="133"/>
  <c r="AD65" i="133"/>
  <c r="Z65" i="133"/>
  <c r="Y65" i="133"/>
  <c r="W65" i="133"/>
  <c r="V65" i="133"/>
  <c r="U65" i="133"/>
  <c r="S65" i="133"/>
  <c r="R65" i="133"/>
  <c r="Q65" i="133"/>
  <c r="P65" i="133"/>
  <c r="O65" i="133"/>
  <c r="N65" i="133"/>
  <c r="M65" i="133"/>
  <c r="L65" i="133"/>
  <c r="K65" i="133"/>
  <c r="J65" i="133"/>
  <c r="I65" i="133"/>
  <c r="H65" i="133"/>
  <c r="G65" i="133"/>
  <c r="F65" i="133"/>
  <c r="E65" i="133"/>
  <c r="D65" i="133"/>
  <c r="A65" i="133"/>
  <c r="AJ64" i="133"/>
  <c r="AI64" i="133"/>
  <c r="AH64" i="133"/>
  <c r="AG64" i="133"/>
  <c r="AF64" i="133"/>
  <c r="AE64" i="133"/>
  <c r="AD64" i="133"/>
  <c r="Z64" i="133"/>
  <c r="Y64" i="133"/>
  <c r="W64" i="133"/>
  <c r="V64" i="133"/>
  <c r="U64" i="133"/>
  <c r="S64" i="133"/>
  <c r="R64" i="133"/>
  <c r="Q64" i="133"/>
  <c r="P64" i="133"/>
  <c r="O64" i="133"/>
  <c r="N64" i="133"/>
  <c r="M64" i="133"/>
  <c r="L64" i="133"/>
  <c r="K64" i="133"/>
  <c r="J64" i="133"/>
  <c r="I64" i="133"/>
  <c r="H64" i="133"/>
  <c r="G64" i="133"/>
  <c r="F64" i="133"/>
  <c r="E64" i="133"/>
  <c r="D64" i="133"/>
  <c r="A64" i="133"/>
  <c r="AJ63" i="133"/>
  <c r="AI63" i="133"/>
  <c r="AH63" i="133"/>
  <c r="AG63" i="133"/>
  <c r="AF63" i="133"/>
  <c r="AE63" i="133"/>
  <c r="AD63" i="133"/>
  <c r="Z63" i="133"/>
  <c r="Y63" i="133"/>
  <c r="W63" i="133"/>
  <c r="V63" i="133"/>
  <c r="U63" i="133"/>
  <c r="S63" i="133"/>
  <c r="R63" i="133"/>
  <c r="Q63" i="133"/>
  <c r="P63" i="133"/>
  <c r="O63" i="133"/>
  <c r="N63" i="133"/>
  <c r="M63" i="133"/>
  <c r="L63" i="133"/>
  <c r="K63" i="133"/>
  <c r="J63" i="133"/>
  <c r="I63" i="133"/>
  <c r="H63" i="133"/>
  <c r="G63" i="133"/>
  <c r="F63" i="133"/>
  <c r="E63" i="133"/>
  <c r="D63" i="133"/>
  <c r="A63" i="133"/>
  <c r="AE62" i="133"/>
  <c r="AD62" i="133"/>
  <c r="AA62" i="133"/>
  <c r="Z62" i="133"/>
  <c r="Y62" i="133"/>
  <c r="X62" i="133"/>
  <c r="W62" i="133"/>
  <c r="V62" i="133"/>
  <c r="U62" i="133"/>
  <c r="T62" i="133"/>
  <c r="S62" i="133"/>
  <c r="R62" i="133"/>
  <c r="Q62" i="133"/>
  <c r="P62" i="133"/>
  <c r="O62" i="133"/>
  <c r="N62" i="133"/>
  <c r="M62" i="133"/>
  <c r="L62" i="133"/>
  <c r="K62" i="133"/>
  <c r="J62" i="133"/>
  <c r="I62" i="133"/>
  <c r="H62" i="133"/>
  <c r="G62" i="133"/>
  <c r="F62" i="133"/>
  <c r="E62" i="133"/>
  <c r="D62" i="133"/>
  <c r="AJ61" i="133"/>
  <c r="AI61" i="133"/>
  <c r="AH61" i="133"/>
  <c r="AG61" i="133"/>
  <c r="AF61" i="133"/>
  <c r="AE61" i="133"/>
  <c r="AD61" i="133"/>
  <c r="Z61" i="133"/>
  <c r="Y61" i="133"/>
  <c r="W61" i="133"/>
  <c r="V61" i="133"/>
  <c r="U61" i="133"/>
  <c r="S61" i="133"/>
  <c r="R61" i="133"/>
  <c r="Q61" i="133"/>
  <c r="P61" i="133"/>
  <c r="O61" i="133"/>
  <c r="N61" i="133"/>
  <c r="M61" i="133"/>
  <c r="L61" i="133"/>
  <c r="K61" i="133"/>
  <c r="J61" i="133"/>
  <c r="I61" i="133"/>
  <c r="H61" i="133"/>
  <c r="G61" i="133"/>
  <c r="F61" i="133"/>
  <c r="E61" i="133"/>
  <c r="D61" i="133"/>
  <c r="A61" i="133"/>
  <c r="AJ60" i="133"/>
  <c r="AI60" i="133"/>
  <c r="AH60" i="133"/>
  <c r="AG60" i="133"/>
  <c r="AF60" i="133"/>
  <c r="AE60" i="133"/>
  <c r="AD60" i="133"/>
  <c r="Z60" i="133"/>
  <c r="Y60" i="133"/>
  <c r="W60" i="133"/>
  <c r="V60" i="133"/>
  <c r="U60" i="133"/>
  <c r="S60" i="133"/>
  <c r="R60" i="133"/>
  <c r="Q60" i="133"/>
  <c r="P60" i="133"/>
  <c r="O60" i="133"/>
  <c r="N60" i="133"/>
  <c r="M60" i="133"/>
  <c r="L60" i="133"/>
  <c r="K60" i="133"/>
  <c r="J60" i="133"/>
  <c r="I60" i="133"/>
  <c r="H60" i="133"/>
  <c r="G60" i="133"/>
  <c r="F60" i="133"/>
  <c r="E60" i="133"/>
  <c r="D60" i="133"/>
  <c r="A60" i="133"/>
  <c r="AJ59" i="133"/>
  <c r="AI59" i="133"/>
  <c r="AH59" i="133"/>
  <c r="AG59" i="133"/>
  <c r="AF59" i="133"/>
  <c r="AE59" i="133"/>
  <c r="AD59" i="133"/>
  <c r="Z59" i="133"/>
  <c r="Y59" i="133"/>
  <c r="W59" i="133"/>
  <c r="V59" i="133"/>
  <c r="U59" i="133"/>
  <c r="S59" i="133"/>
  <c r="R59" i="133"/>
  <c r="Q59" i="133"/>
  <c r="P59" i="133"/>
  <c r="O59" i="133"/>
  <c r="N59" i="133"/>
  <c r="M59" i="133"/>
  <c r="L59" i="133"/>
  <c r="K59" i="133"/>
  <c r="J59" i="133"/>
  <c r="I59" i="133"/>
  <c r="H59" i="133"/>
  <c r="G59" i="133"/>
  <c r="F59" i="133"/>
  <c r="E59" i="133"/>
  <c r="D59" i="133"/>
  <c r="A59" i="133"/>
  <c r="AE58" i="133"/>
  <c r="AD58" i="133"/>
  <c r="AA58" i="133"/>
  <c r="Z58" i="133"/>
  <c r="Y58" i="133"/>
  <c r="X58" i="133"/>
  <c r="W58" i="133"/>
  <c r="V58" i="133"/>
  <c r="U58" i="133"/>
  <c r="T58" i="133"/>
  <c r="S58" i="133"/>
  <c r="R58" i="133"/>
  <c r="Q58" i="133"/>
  <c r="P58" i="133"/>
  <c r="O58" i="133"/>
  <c r="N58" i="133"/>
  <c r="M58" i="133"/>
  <c r="L58" i="133"/>
  <c r="K58" i="133"/>
  <c r="J58" i="133"/>
  <c r="I58" i="133"/>
  <c r="H58" i="133"/>
  <c r="G58" i="133"/>
  <c r="F58" i="133"/>
  <c r="E58" i="133"/>
  <c r="D58" i="133"/>
  <c r="AJ57" i="133"/>
  <c r="AI57" i="133"/>
  <c r="AH57" i="133"/>
  <c r="AG57" i="133"/>
  <c r="AF57" i="133"/>
  <c r="AE57" i="133"/>
  <c r="AD57" i="133"/>
  <c r="Y57" i="133"/>
  <c r="W57" i="133"/>
  <c r="V57" i="133"/>
  <c r="U57" i="133"/>
  <c r="S57" i="133"/>
  <c r="R57" i="133"/>
  <c r="Q57" i="133"/>
  <c r="P57" i="133"/>
  <c r="O57" i="133"/>
  <c r="N57" i="133"/>
  <c r="M57" i="133"/>
  <c r="L57" i="133"/>
  <c r="K57" i="133"/>
  <c r="J57" i="133"/>
  <c r="I57" i="133"/>
  <c r="H57" i="133"/>
  <c r="G57" i="133"/>
  <c r="F57" i="133"/>
  <c r="E57" i="133"/>
  <c r="D57" i="133"/>
  <c r="A57" i="133"/>
  <c r="AJ56" i="133"/>
  <c r="AI56" i="133"/>
  <c r="AH56" i="133"/>
  <c r="AG56" i="133"/>
  <c r="AF56" i="133"/>
  <c r="AE56" i="133"/>
  <c r="AD56" i="133"/>
  <c r="Y56" i="133"/>
  <c r="W56" i="133"/>
  <c r="U56" i="133"/>
  <c r="S56" i="133"/>
  <c r="R56" i="133"/>
  <c r="Q56" i="133"/>
  <c r="P56" i="133"/>
  <c r="O56" i="133"/>
  <c r="N56" i="133"/>
  <c r="M56" i="133"/>
  <c r="L56" i="133"/>
  <c r="K56" i="133"/>
  <c r="A56" i="133"/>
  <c r="AJ55" i="133"/>
  <c r="AI55" i="133"/>
  <c r="AH55" i="133"/>
  <c r="AG55" i="133"/>
  <c r="AF55" i="133"/>
  <c r="AE55" i="133"/>
  <c r="AD55" i="133"/>
  <c r="Y55" i="133"/>
  <c r="W55" i="133"/>
  <c r="V55" i="133"/>
  <c r="U55" i="133"/>
  <c r="S55" i="133"/>
  <c r="R55" i="133"/>
  <c r="Q55" i="133"/>
  <c r="P55" i="133"/>
  <c r="O55" i="133"/>
  <c r="N55" i="133"/>
  <c r="M55" i="133"/>
  <c r="L55" i="133"/>
  <c r="K55" i="133"/>
  <c r="J55" i="133"/>
  <c r="I55" i="133"/>
  <c r="H55" i="133"/>
  <c r="G55" i="133"/>
  <c r="F55" i="133"/>
  <c r="E55" i="133"/>
  <c r="D55" i="133"/>
  <c r="A55" i="133"/>
  <c r="AJ54" i="133"/>
  <c r="AI54" i="133"/>
  <c r="AH54" i="133"/>
  <c r="AG54" i="133"/>
  <c r="AF54" i="133"/>
  <c r="AE54" i="133"/>
  <c r="AD54" i="133"/>
  <c r="Y54" i="133"/>
  <c r="W54" i="133"/>
  <c r="V54" i="133"/>
  <c r="U54" i="133"/>
  <c r="S54" i="133"/>
  <c r="R54" i="133"/>
  <c r="Q54" i="133"/>
  <c r="P54" i="133"/>
  <c r="O54" i="133"/>
  <c r="N54" i="133"/>
  <c r="M54" i="133"/>
  <c r="L54" i="133"/>
  <c r="K54" i="133"/>
  <c r="J54" i="133"/>
  <c r="I54" i="133"/>
  <c r="H54" i="133"/>
  <c r="G54" i="133"/>
  <c r="F54" i="133"/>
  <c r="E54" i="133"/>
  <c r="D54" i="133"/>
  <c r="A54" i="133"/>
  <c r="AJ53" i="133"/>
  <c r="AI53" i="133"/>
  <c r="AH53" i="133"/>
  <c r="AG53" i="133"/>
  <c r="AF53" i="133"/>
  <c r="AE53" i="133"/>
  <c r="AD53" i="133"/>
  <c r="Y53" i="133"/>
  <c r="W53" i="133"/>
  <c r="V53" i="133"/>
  <c r="U53" i="133"/>
  <c r="S53" i="133"/>
  <c r="R53" i="133"/>
  <c r="Q53" i="133"/>
  <c r="P53" i="133"/>
  <c r="O53" i="133"/>
  <c r="N53" i="133"/>
  <c r="M53" i="133"/>
  <c r="L53" i="133"/>
  <c r="K53" i="133"/>
  <c r="A53" i="133"/>
  <c r="AJ52" i="133"/>
  <c r="AI52" i="133"/>
  <c r="AH52" i="133"/>
  <c r="AG52" i="133"/>
  <c r="AF52" i="133"/>
  <c r="AE52" i="133"/>
  <c r="AD52" i="133"/>
  <c r="Y52" i="133"/>
  <c r="W52" i="133"/>
  <c r="V52" i="133"/>
  <c r="U52" i="133"/>
  <c r="S52" i="133"/>
  <c r="R52" i="133"/>
  <c r="Q52" i="133"/>
  <c r="P52" i="133"/>
  <c r="O52" i="133"/>
  <c r="N52" i="133"/>
  <c r="M52" i="133"/>
  <c r="L52" i="133"/>
  <c r="K52" i="133"/>
  <c r="A52" i="133"/>
  <c r="AJ51" i="133"/>
  <c r="AI51" i="133"/>
  <c r="AH51" i="133"/>
  <c r="AG51" i="133"/>
  <c r="AF51" i="133"/>
  <c r="AE51" i="133"/>
  <c r="AD51" i="133"/>
  <c r="Y51" i="133"/>
  <c r="W51" i="133"/>
  <c r="U51" i="133"/>
  <c r="S51" i="133"/>
  <c r="R51" i="133"/>
  <c r="Q51" i="133"/>
  <c r="P51" i="133"/>
  <c r="O51" i="133"/>
  <c r="N51" i="133"/>
  <c r="M51" i="133"/>
  <c r="L51" i="133"/>
  <c r="K51" i="133"/>
  <c r="A51" i="133"/>
  <c r="AJ50" i="133"/>
  <c r="AI50" i="133"/>
  <c r="AH50" i="133"/>
  <c r="AG50" i="133"/>
  <c r="AF50" i="133"/>
  <c r="AE50" i="133"/>
  <c r="AD50" i="133"/>
  <c r="Y50" i="133"/>
  <c r="W50" i="133"/>
  <c r="U50" i="133"/>
  <c r="S50" i="133"/>
  <c r="R50" i="133"/>
  <c r="Q50" i="133"/>
  <c r="P50" i="133"/>
  <c r="O50" i="133"/>
  <c r="N50" i="133"/>
  <c r="M50" i="133"/>
  <c r="L50" i="133"/>
  <c r="K50" i="133"/>
  <c r="A50" i="133"/>
  <c r="AJ49" i="133"/>
  <c r="AI49" i="133"/>
  <c r="AH49" i="133"/>
  <c r="AG49" i="133"/>
  <c r="AF49" i="133"/>
  <c r="AE49" i="133"/>
  <c r="AD49" i="133"/>
  <c r="Y49" i="133"/>
  <c r="W49" i="133"/>
  <c r="V49" i="133"/>
  <c r="U49" i="133"/>
  <c r="S49" i="133"/>
  <c r="R49" i="133"/>
  <c r="Q49" i="133"/>
  <c r="P49" i="133"/>
  <c r="O49" i="133"/>
  <c r="N49" i="133"/>
  <c r="M49" i="133"/>
  <c r="L49" i="133"/>
  <c r="K49" i="133"/>
  <c r="J49" i="133"/>
  <c r="I49" i="133"/>
  <c r="H49" i="133"/>
  <c r="G49" i="133"/>
  <c r="F49" i="133"/>
  <c r="E49" i="133"/>
  <c r="D49" i="133"/>
  <c r="A49" i="133"/>
  <c r="AJ48" i="133"/>
  <c r="AI48" i="133"/>
  <c r="AH48" i="133"/>
  <c r="AG48" i="133"/>
  <c r="AF48" i="133"/>
  <c r="AE48" i="133"/>
  <c r="AD48" i="133"/>
  <c r="Y48" i="133"/>
  <c r="W48" i="133"/>
  <c r="V48" i="133"/>
  <c r="U48" i="133"/>
  <c r="S48" i="133"/>
  <c r="R48" i="133"/>
  <c r="Q48" i="133"/>
  <c r="P48" i="133"/>
  <c r="O48" i="133"/>
  <c r="N48" i="133"/>
  <c r="M48" i="133"/>
  <c r="L48" i="133"/>
  <c r="K48" i="133"/>
  <c r="J48" i="133"/>
  <c r="I48" i="133"/>
  <c r="H48" i="133"/>
  <c r="G48" i="133"/>
  <c r="F48" i="133"/>
  <c r="E48" i="133"/>
  <c r="D48" i="133"/>
  <c r="A48" i="133"/>
  <c r="AJ47" i="133"/>
  <c r="AI47" i="133"/>
  <c r="AH47" i="133"/>
  <c r="AG47" i="133"/>
  <c r="AF47" i="133"/>
  <c r="AE47" i="133"/>
  <c r="AD47" i="133"/>
  <c r="Y47" i="133"/>
  <c r="W47" i="133"/>
  <c r="V47" i="133"/>
  <c r="U47" i="133"/>
  <c r="S47" i="133"/>
  <c r="R47" i="133"/>
  <c r="Q47" i="133"/>
  <c r="P47" i="133"/>
  <c r="O47" i="133"/>
  <c r="N47" i="133"/>
  <c r="M47" i="133"/>
  <c r="L47" i="133"/>
  <c r="K47" i="133"/>
  <c r="J47" i="133"/>
  <c r="I47" i="133"/>
  <c r="H47" i="133"/>
  <c r="G47" i="133"/>
  <c r="F47" i="133"/>
  <c r="E47" i="133"/>
  <c r="D47" i="133"/>
  <c r="A47" i="133"/>
  <c r="AJ46" i="133"/>
  <c r="AI46" i="133"/>
  <c r="AH46" i="133"/>
  <c r="AG46" i="133"/>
  <c r="AF46" i="133"/>
  <c r="AE46" i="133"/>
  <c r="AD46" i="133"/>
  <c r="Y46" i="133"/>
  <c r="W46" i="133"/>
  <c r="V46" i="133"/>
  <c r="U46" i="133"/>
  <c r="S46" i="133"/>
  <c r="R46" i="133"/>
  <c r="Q46" i="133"/>
  <c r="P46" i="133"/>
  <c r="O46" i="133"/>
  <c r="N46" i="133"/>
  <c r="M46" i="133"/>
  <c r="L46" i="133"/>
  <c r="K46" i="133"/>
  <c r="J46" i="133"/>
  <c r="I46" i="133"/>
  <c r="H46" i="133"/>
  <c r="G46" i="133"/>
  <c r="F46" i="133"/>
  <c r="E46" i="133"/>
  <c r="D46" i="133"/>
  <c r="A46" i="133"/>
  <c r="AE45" i="133"/>
  <c r="AD45" i="133"/>
  <c r="AA45" i="133"/>
  <c r="Z45" i="133"/>
  <c r="Y45" i="133"/>
  <c r="X45" i="133"/>
  <c r="W45" i="133"/>
  <c r="V45" i="133"/>
  <c r="U45" i="133"/>
  <c r="T45" i="133"/>
  <c r="S45" i="133"/>
  <c r="R45" i="133"/>
  <c r="Q45" i="133"/>
  <c r="P45" i="133"/>
  <c r="O45" i="133"/>
  <c r="N45" i="133"/>
  <c r="M45" i="133"/>
  <c r="L45" i="133"/>
  <c r="K45" i="133"/>
  <c r="J45" i="133"/>
  <c r="I45" i="133"/>
  <c r="H45" i="133"/>
  <c r="G45" i="133"/>
  <c r="F45" i="133"/>
  <c r="E45" i="133"/>
  <c r="D45" i="133"/>
  <c r="AJ44" i="133"/>
  <c r="AI44" i="133"/>
  <c r="AH44" i="133"/>
  <c r="AG44" i="133"/>
  <c r="AF44" i="133"/>
  <c r="AE44" i="133"/>
  <c r="AD44" i="133"/>
  <c r="Z44" i="133"/>
  <c r="Y44" i="133"/>
  <c r="W44" i="133"/>
  <c r="V44" i="133"/>
  <c r="U44" i="133"/>
  <c r="S44" i="133"/>
  <c r="R44" i="133"/>
  <c r="Q44" i="133"/>
  <c r="P44" i="133"/>
  <c r="O44" i="133"/>
  <c r="N44" i="133"/>
  <c r="M44" i="133"/>
  <c r="L44" i="133"/>
  <c r="K44" i="133"/>
  <c r="J44" i="133"/>
  <c r="I44" i="133"/>
  <c r="H44" i="133"/>
  <c r="G44" i="133"/>
  <c r="F44" i="133"/>
  <c r="E44" i="133"/>
  <c r="D44" i="133"/>
  <c r="A44" i="133"/>
  <c r="AJ43" i="133"/>
  <c r="AI43" i="133"/>
  <c r="AH43" i="133"/>
  <c r="AG43" i="133"/>
  <c r="AF43" i="133"/>
  <c r="AE43" i="133"/>
  <c r="AD43" i="133"/>
  <c r="Z43" i="133"/>
  <c r="Y43" i="133"/>
  <c r="W43" i="133"/>
  <c r="V43" i="133"/>
  <c r="U43" i="133"/>
  <c r="S43" i="133"/>
  <c r="R43" i="133"/>
  <c r="Q43" i="133"/>
  <c r="P43" i="133"/>
  <c r="O43" i="133"/>
  <c r="N43" i="133"/>
  <c r="M43" i="133"/>
  <c r="L43" i="133"/>
  <c r="K43" i="133"/>
  <c r="J43" i="133"/>
  <c r="I43" i="133"/>
  <c r="H43" i="133"/>
  <c r="G43" i="133"/>
  <c r="F43" i="133"/>
  <c r="E43" i="133"/>
  <c r="D43" i="133"/>
  <c r="A43" i="133"/>
  <c r="AE42" i="133"/>
  <c r="AD42" i="133"/>
  <c r="AA42" i="133"/>
  <c r="Z42" i="133"/>
  <c r="Y42" i="133"/>
  <c r="X42" i="133"/>
  <c r="W42" i="133"/>
  <c r="V42" i="133"/>
  <c r="U42" i="133"/>
  <c r="T42" i="133"/>
  <c r="S42" i="133"/>
  <c r="R42" i="133"/>
  <c r="Q42" i="133"/>
  <c r="P42" i="133"/>
  <c r="O42" i="133"/>
  <c r="N42" i="133"/>
  <c r="M42" i="133"/>
  <c r="L42" i="133"/>
  <c r="K42" i="133"/>
  <c r="J42" i="133"/>
  <c r="I42" i="133"/>
  <c r="H42" i="133"/>
  <c r="G42" i="133"/>
  <c r="F42" i="133"/>
  <c r="E42" i="133"/>
  <c r="D42" i="133"/>
  <c r="AJ41" i="133"/>
  <c r="AI41" i="133"/>
  <c r="AH41" i="133"/>
  <c r="AG41" i="133"/>
  <c r="AF41" i="133"/>
  <c r="AE41" i="133"/>
  <c r="AD41" i="133"/>
  <c r="AA41" i="133"/>
  <c r="Z41" i="133"/>
  <c r="Y41" i="133"/>
  <c r="W41" i="133"/>
  <c r="V41" i="133"/>
  <c r="U41" i="133"/>
  <c r="S41" i="133"/>
  <c r="R41" i="133"/>
  <c r="Q41" i="133"/>
  <c r="P41" i="133"/>
  <c r="O41" i="133"/>
  <c r="N41" i="133"/>
  <c r="M41" i="133"/>
  <c r="L41" i="133"/>
  <c r="K41" i="133"/>
  <c r="J41" i="133"/>
  <c r="I41" i="133"/>
  <c r="H41" i="133"/>
  <c r="G41" i="133"/>
  <c r="F41" i="133"/>
  <c r="E41" i="133"/>
  <c r="D41" i="133"/>
  <c r="A41" i="133"/>
  <c r="AJ40" i="133"/>
  <c r="AI40" i="133"/>
  <c r="AH40" i="133"/>
  <c r="AG40" i="133"/>
  <c r="AF40" i="133"/>
  <c r="AE40" i="133"/>
  <c r="AD40" i="133"/>
  <c r="AA40" i="133"/>
  <c r="Z40" i="133"/>
  <c r="Y40" i="133"/>
  <c r="W40" i="133"/>
  <c r="V40" i="133"/>
  <c r="U40" i="133"/>
  <c r="S40" i="133"/>
  <c r="R40" i="133"/>
  <c r="Q40" i="133"/>
  <c r="P40" i="133"/>
  <c r="O40" i="133"/>
  <c r="N40" i="133"/>
  <c r="M40" i="133"/>
  <c r="L40" i="133"/>
  <c r="K40" i="133"/>
  <c r="J40" i="133"/>
  <c r="I40" i="133"/>
  <c r="H40" i="133"/>
  <c r="G40" i="133"/>
  <c r="F40" i="133"/>
  <c r="E40" i="133"/>
  <c r="D40" i="133"/>
  <c r="A40" i="133"/>
  <c r="AJ39" i="133"/>
  <c r="AI39" i="133"/>
  <c r="AH39" i="133"/>
  <c r="AG39" i="133"/>
  <c r="AF39" i="133"/>
  <c r="AE39" i="133"/>
  <c r="AD39" i="133"/>
  <c r="AA39" i="133"/>
  <c r="Z39" i="133"/>
  <c r="Y39" i="133"/>
  <c r="W39" i="133"/>
  <c r="V39" i="133"/>
  <c r="U39" i="133"/>
  <c r="S39" i="133"/>
  <c r="R39" i="133"/>
  <c r="Q39" i="133"/>
  <c r="P39" i="133"/>
  <c r="O39" i="133"/>
  <c r="N39" i="133"/>
  <c r="M39" i="133"/>
  <c r="L39" i="133"/>
  <c r="K39" i="133"/>
  <c r="J39" i="133"/>
  <c r="I39" i="133"/>
  <c r="H39" i="133"/>
  <c r="G39" i="133"/>
  <c r="F39" i="133"/>
  <c r="E39" i="133"/>
  <c r="D39" i="133"/>
  <c r="A39" i="133"/>
  <c r="AJ38" i="133"/>
  <c r="AI38" i="133"/>
  <c r="AH38" i="133"/>
  <c r="AG38" i="133"/>
  <c r="AF38" i="133"/>
  <c r="AE38" i="133"/>
  <c r="AD38" i="133"/>
  <c r="AA38" i="133"/>
  <c r="Z38" i="133"/>
  <c r="Y38" i="133"/>
  <c r="W38" i="133"/>
  <c r="V38" i="133"/>
  <c r="U38" i="133"/>
  <c r="S38" i="133"/>
  <c r="R38" i="133"/>
  <c r="Q38" i="133"/>
  <c r="P38" i="133"/>
  <c r="O38" i="133"/>
  <c r="N38" i="133"/>
  <c r="M38" i="133"/>
  <c r="L38" i="133"/>
  <c r="K38" i="133"/>
  <c r="J38" i="133"/>
  <c r="I38" i="133"/>
  <c r="H38" i="133"/>
  <c r="G38" i="133"/>
  <c r="F38" i="133"/>
  <c r="E38" i="133"/>
  <c r="D38" i="133"/>
  <c r="A38" i="133"/>
  <c r="AJ37" i="133"/>
  <c r="AI37" i="133"/>
  <c r="AH37" i="133"/>
  <c r="AG37" i="133"/>
  <c r="AF37" i="133"/>
  <c r="AE37" i="133"/>
  <c r="AD37" i="133"/>
  <c r="AA37" i="133"/>
  <c r="Z37" i="133"/>
  <c r="Y37" i="133"/>
  <c r="W37" i="133"/>
  <c r="V37" i="133"/>
  <c r="U37" i="133"/>
  <c r="S37" i="133"/>
  <c r="R37" i="133"/>
  <c r="Q37" i="133"/>
  <c r="P37" i="133"/>
  <c r="O37" i="133"/>
  <c r="N37" i="133"/>
  <c r="M37" i="133"/>
  <c r="L37" i="133"/>
  <c r="K37" i="133"/>
  <c r="J37" i="133"/>
  <c r="I37" i="133"/>
  <c r="H37" i="133"/>
  <c r="G37" i="133"/>
  <c r="F37" i="133"/>
  <c r="E37" i="133"/>
  <c r="D37" i="133"/>
  <c r="A37" i="133"/>
  <c r="AJ36" i="133"/>
  <c r="AI36" i="133"/>
  <c r="AH36" i="133"/>
  <c r="AG36" i="133"/>
  <c r="AF36" i="133"/>
  <c r="AE36" i="133"/>
  <c r="AD36" i="133"/>
  <c r="AA36" i="133"/>
  <c r="Z36" i="133"/>
  <c r="Y36" i="133"/>
  <c r="W36" i="133"/>
  <c r="V36" i="133"/>
  <c r="U36" i="133"/>
  <c r="S36" i="133"/>
  <c r="R36" i="133"/>
  <c r="Q36" i="133"/>
  <c r="P36" i="133"/>
  <c r="O36" i="133"/>
  <c r="N36" i="133"/>
  <c r="M36" i="133"/>
  <c r="L36" i="133"/>
  <c r="K36" i="133"/>
  <c r="J36" i="133"/>
  <c r="I36" i="133"/>
  <c r="H36" i="133"/>
  <c r="G36" i="133"/>
  <c r="F36" i="133"/>
  <c r="E36" i="133"/>
  <c r="D36" i="133"/>
  <c r="A36" i="133"/>
  <c r="AJ35" i="133"/>
  <c r="AI35" i="133"/>
  <c r="AH35" i="133"/>
  <c r="AG35" i="133"/>
  <c r="AF35" i="133"/>
  <c r="AE35" i="133"/>
  <c r="AD35" i="133"/>
  <c r="AA35" i="133"/>
  <c r="Z35" i="133"/>
  <c r="Y35" i="133"/>
  <c r="W35" i="133"/>
  <c r="V35" i="133"/>
  <c r="U35" i="133"/>
  <c r="S35" i="133"/>
  <c r="R35" i="133"/>
  <c r="Q35" i="133"/>
  <c r="P35" i="133"/>
  <c r="O35" i="133"/>
  <c r="N35" i="133"/>
  <c r="M35" i="133"/>
  <c r="L35" i="133"/>
  <c r="K35" i="133"/>
  <c r="J35" i="133"/>
  <c r="I35" i="133"/>
  <c r="H35" i="133"/>
  <c r="G35" i="133"/>
  <c r="F35" i="133"/>
  <c r="E35" i="133"/>
  <c r="D35" i="133"/>
  <c r="A35" i="133"/>
  <c r="AJ34" i="133"/>
  <c r="AI34" i="133"/>
  <c r="AH34" i="133"/>
  <c r="AG34" i="133"/>
  <c r="AF34" i="133"/>
  <c r="AE34" i="133"/>
  <c r="AD34" i="133"/>
  <c r="AA34" i="133"/>
  <c r="Z34" i="133"/>
  <c r="Y34" i="133"/>
  <c r="W34" i="133"/>
  <c r="V34" i="133"/>
  <c r="U34" i="133"/>
  <c r="S34" i="133"/>
  <c r="R34" i="133"/>
  <c r="Q34" i="133"/>
  <c r="P34" i="133"/>
  <c r="O34" i="133"/>
  <c r="N34" i="133"/>
  <c r="M34" i="133"/>
  <c r="L34" i="133"/>
  <c r="K34" i="133"/>
  <c r="J34" i="133"/>
  <c r="I34" i="133"/>
  <c r="H34" i="133"/>
  <c r="G34" i="133"/>
  <c r="F34" i="133"/>
  <c r="E34" i="133"/>
  <c r="D34" i="133"/>
  <c r="A34" i="133"/>
  <c r="AJ33" i="133"/>
  <c r="AI33" i="133"/>
  <c r="AH33" i="133"/>
  <c r="AG33" i="133"/>
  <c r="AF33" i="133"/>
  <c r="AE33" i="133"/>
  <c r="AD33" i="133"/>
  <c r="AA33" i="133"/>
  <c r="Z33" i="133"/>
  <c r="Y33" i="133"/>
  <c r="W33" i="133"/>
  <c r="V33" i="133"/>
  <c r="U33" i="133"/>
  <c r="S33" i="133"/>
  <c r="R33" i="133"/>
  <c r="Q33" i="133"/>
  <c r="P33" i="133"/>
  <c r="O33" i="133"/>
  <c r="N33" i="133"/>
  <c r="M33" i="133"/>
  <c r="L33" i="133"/>
  <c r="K33" i="133"/>
  <c r="J33" i="133"/>
  <c r="I33" i="133"/>
  <c r="H33" i="133"/>
  <c r="G33" i="133"/>
  <c r="F33" i="133"/>
  <c r="E33" i="133"/>
  <c r="D33" i="133"/>
  <c r="A33" i="133"/>
  <c r="AJ32" i="133"/>
  <c r="AI32" i="133"/>
  <c r="AH32" i="133"/>
  <c r="AG32" i="133"/>
  <c r="AF32" i="133"/>
  <c r="AE32" i="133"/>
  <c r="AD32" i="133"/>
  <c r="AA32" i="133"/>
  <c r="Z32" i="133"/>
  <c r="Y32" i="133"/>
  <c r="W32" i="133"/>
  <c r="V32" i="133"/>
  <c r="U32" i="133"/>
  <c r="S32" i="133"/>
  <c r="R32" i="133"/>
  <c r="Q32" i="133"/>
  <c r="P32" i="133"/>
  <c r="O32" i="133"/>
  <c r="N32" i="133"/>
  <c r="M32" i="133"/>
  <c r="L32" i="133"/>
  <c r="K32" i="133"/>
  <c r="J32" i="133"/>
  <c r="I32" i="133"/>
  <c r="H32" i="133"/>
  <c r="G32" i="133"/>
  <c r="F32" i="133"/>
  <c r="E32" i="133"/>
  <c r="D32" i="133"/>
  <c r="A32" i="133"/>
  <c r="AJ31" i="133"/>
  <c r="AI31" i="133"/>
  <c r="AH31" i="133"/>
  <c r="AG31" i="133"/>
  <c r="AF31" i="133"/>
  <c r="AE31" i="133"/>
  <c r="AD31" i="133"/>
  <c r="AA31" i="133"/>
  <c r="Z31" i="133"/>
  <c r="Y31" i="133"/>
  <c r="W31" i="133"/>
  <c r="V31" i="133"/>
  <c r="U31" i="133"/>
  <c r="S31" i="133"/>
  <c r="R31" i="133"/>
  <c r="Q31" i="133"/>
  <c r="P31" i="133"/>
  <c r="O31" i="133"/>
  <c r="N31" i="133"/>
  <c r="M31" i="133"/>
  <c r="L31" i="133"/>
  <c r="K31" i="133"/>
  <c r="J31" i="133"/>
  <c r="I31" i="133"/>
  <c r="H31" i="133"/>
  <c r="G31" i="133"/>
  <c r="F31" i="133"/>
  <c r="E31" i="133"/>
  <c r="D31" i="133"/>
  <c r="A31" i="133"/>
  <c r="AJ30" i="133"/>
  <c r="AI30" i="133"/>
  <c r="AH30" i="133"/>
  <c r="AG30" i="133"/>
  <c r="AF30" i="133"/>
  <c r="AE30" i="133"/>
  <c r="AD30" i="133"/>
  <c r="AA30" i="133"/>
  <c r="Z30" i="133"/>
  <c r="Y30" i="133"/>
  <c r="W30" i="133"/>
  <c r="V30" i="133"/>
  <c r="U30" i="133"/>
  <c r="S30" i="133"/>
  <c r="R30" i="133"/>
  <c r="Q30" i="133"/>
  <c r="P30" i="133"/>
  <c r="O30" i="133"/>
  <c r="N30" i="133"/>
  <c r="M30" i="133"/>
  <c r="L30" i="133"/>
  <c r="K30" i="133"/>
  <c r="J30" i="133"/>
  <c r="I30" i="133"/>
  <c r="H30" i="133"/>
  <c r="G30" i="133"/>
  <c r="F30" i="133"/>
  <c r="E30" i="133"/>
  <c r="D30" i="133"/>
  <c r="A30" i="133"/>
  <c r="AJ29" i="133"/>
  <c r="AI29" i="133"/>
  <c r="AH29" i="133"/>
  <c r="AG29" i="133"/>
  <c r="AF29" i="133"/>
  <c r="AE29" i="133"/>
  <c r="AD29" i="133"/>
  <c r="AA29" i="133"/>
  <c r="Z29" i="133"/>
  <c r="Y29" i="133"/>
  <c r="W29" i="133"/>
  <c r="V29" i="133"/>
  <c r="U29" i="133"/>
  <c r="S29" i="133"/>
  <c r="R29" i="133"/>
  <c r="Q29" i="133"/>
  <c r="P29" i="133"/>
  <c r="O29" i="133"/>
  <c r="N29" i="133"/>
  <c r="M29" i="133"/>
  <c r="L29" i="133"/>
  <c r="K29" i="133"/>
  <c r="J29" i="133"/>
  <c r="I29" i="133"/>
  <c r="H29" i="133"/>
  <c r="G29" i="133"/>
  <c r="F29" i="133"/>
  <c r="E29" i="133"/>
  <c r="D29" i="133"/>
  <c r="A29" i="133"/>
  <c r="AJ28" i="133"/>
  <c r="AI28" i="133"/>
  <c r="AH28" i="133"/>
  <c r="AG28" i="133"/>
  <c r="AF28" i="133"/>
  <c r="AE28" i="133"/>
  <c r="AD28" i="133"/>
  <c r="AA28" i="133"/>
  <c r="Z28" i="133"/>
  <c r="Y28" i="133"/>
  <c r="W28" i="133"/>
  <c r="V28" i="133"/>
  <c r="U28" i="133"/>
  <c r="S28" i="133"/>
  <c r="R28" i="133"/>
  <c r="Q28" i="133"/>
  <c r="P28" i="133"/>
  <c r="O28" i="133"/>
  <c r="N28" i="133"/>
  <c r="M28" i="133"/>
  <c r="L28" i="133"/>
  <c r="K28" i="133"/>
  <c r="J28" i="133"/>
  <c r="I28" i="133"/>
  <c r="H28" i="133"/>
  <c r="G28" i="133"/>
  <c r="F28" i="133"/>
  <c r="E28" i="133"/>
  <c r="D28" i="133"/>
  <c r="A28" i="133"/>
  <c r="AJ27" i="133"/>
  <c r="AI27" i="133"/>
  <c r="AH27" i="133"/>
  <c r="AG27" i="133"/>
  <c r="AF27" i="133"/>
  <c r="AE27" i="133"/>
  <c r="AD27" i="133"/>
  <c r="Z27" i="133"/>
  <c r="Y27" i="133"/>
  <c r="W27" i="133"/>
  <c r="V27" i="133"/>
  <c r="U27" i="133"/>
  <c r="S27" i="133"/>
  <c r="R27" i="133"/>
  <c r="Q27" i="133"/>
  <c r="P27" i="133"/>
  <c r="O27" i="133"/>
  <c r="N27" i="133"/>
  <c r="M27" i="133"/>
  <c r="L27" i="133"/>
  <c r="K27" i="133"/>
  <c r="J27" i="133"/>
  <c r="I27" i="133"/>
  <c r="H27" i="133"/>
  <c r="G27" i="133"/>
  <c r="F27" i="133"/>
  <c r="E27" i="133"/>
  <c r="D27" i="133"/>
  <c r="A27" i="133"/>
  <c r="AE26" i="133"/>
  <c r="AD26" i="133"/>
  <c r="AA26" i="133"/>
  <c r="Z26" i="133"/>
  <c r="Y26" i="133"/>
  <c r="X26" i="133"/>
  <c r="W26" i="133"/>
  <c r="V26" i="133"/>
  <c r="U26" i="133"/>
  <c r="T26" i="133"/>
  <c r="S26" i="133"/>
  <c r="R26" i="133"/>
  <c r="Q26" i="133"/>
  <c r="P26" i="133"/>
  <c r="O26" i="133"/>
  <c r="N26" i="133"/>
  <c r="M26" i="133"/>
  <c r="L26" i="133"/>
  <c r="K26" i="133"/>
  <c r="J26" i="133"/>
  <c r="I26" i="133"/>
  <c r="H26" i="133"/>
  <c r="G26" i="133"/>
  <c r="F26" i="133"/>
  <c r="E26" i="133"/>
  <c r="D26" i="133"/>
  <c r="AE25" i="133"/>
  <c r="Z25" i="133"/>
  <c r="Y25" i="133"/>
  <c r="W25" i="133"/>
  <c r="V25" i="133"/>
  <c r="U25" i="133"/>
  <c r="S25" i="133"/>
  <c r="R25" i="133"/>
  <c r="Q25" i="133"/>
  <c r="P25" i="133"/>
  <c r="O25" i="133"/>
  <c r="N25" i="133"/>
  <c r="M25" i="133"/>
  <c r="L25" i="133"/>
  <c r="K25" i="133"/>
  <c r="I25" i="133"/>
  <c r="H25" i="133"/>
  <c r="G25" i="133"/>
  <c r="F25" i="133"/>
  <c r="E25" i="133"/>
  <c r="D25" i="133"/>
  <c r="A25" i="133"/>
  <c r="AJ24" i="133"/>
  <c r="AI24" i="133"/>
  <c r="AH24" i="133"/>
  <c r="AG24" i="133"/>
  <c r="AF24" i="133"/>
  <c r="AE24" i="133"/>
  <c r="AD24" i="133"/>
  <c r="Z24" i="133"/>
  <c r="Y24" i="133"/>
  <c r="W24" i="133"/>
  <c r="V24" i="133"/>
  <c r="U24" i="133"/>
  <c r="S24" i="133"/>
  <c r="R24" i="133"/>
  <c r="Q24" i="133"/>
  <c r="P24" i="133"/>
  <c r="O24" i="133"/>
  <c r="N24" i="133"/>
  <c r="M24" i="133"/>
  <c r="L24" i="133"/>
  <c r="K24" i="133"/>
  <c r="J24" i="133"/>
  <c r="I24" i="133"/>
  <c r="H24" i="133"/>
  <c r="G24" i="133"/>
  <c r="F24" i="133"/>
  <c r="E24" i="133"/>
  <c r="D24" i="133"/>
  <c r="A24" i="133"/>
  <c r="AJ23" i="133"/>
  <c r="AI23" i="133"/>
  <c r="AH23" i="133"/>
  <c r="AG23" i="133"/>
  <c r="AF23" i="133"/>
  <c r="AE23" i="133"/>
  <c r="AD23" i="133"/>
  <c r="Z23" i="133"/>
  <c r="Y23" i="133"/>
  <c r="W23" i="133"/>
  <c r="V23" i="133"/>
  <c r="U23" i="133"/>
  <c r="S23" i="133"/>
  <c r="R23" i="133"/>
  <c r="Q23" i="133"/>
  <c r="P23" i="133"/>
  <c r="O23" i="133"/>
  <c r="N23" i="133"/>
  <c r="M23" i="133"/>
  <c r="L23" i="133"/>
  <c r="K23" i="133"/>
  <c r="J23" i="133"/>
  <c r="I23" i="133"/>
  <c r="H23" i="133"/>
  <c r="G23" i="133"/>
  <c r="F23" i="133"/>
  <c r="E23" i="133"/>
  <c r="D23" i="133"/>
  <c r="A23" i="133"/>
  <c r="AJ22" i="133"/>
  <c r="AI22" i="133"/>
  <c r="AH22" i="133"/>
  <c r="AG22" i="133"/>
  <c r="AF22" i="133"/>
  <c r="AE22" i="133"/>
  <c r="AD22" i="133"/>
  <c r="Z22" i="133"/>
  <c r="Y22" i="133"/>
  <c r="W22" i="133"/>
  <c r="V22" i="133"/>
  <c r="U22" i="133"/>
  <c r="S22" i="133"/>
  <c r="R22" i="133"/>
  <c r="Q22" i="133"/>
  <c r="P22" i="133"/>
  <c r="O22" i="133"/>
  <c r="N22" i="133"/>
  <c r="M22" i="133"/>
  <c r="L22" i="133"/>
  <c r="K22" i="133"/>
  <c r="J22" i="133"/>
  <c r="I22" i="133"/>
  <c r="H22" i="133"/>
  <c r="G22" i="133"/>
  <c r="F22" i="133"/>
  <c r="E22" i="133"/>
  <c r="D22" i="133"/>
  <c r="A22" i="133"/>
  <c r="AJ21" i="133"/>
  <c r="AI21" i="133"/>
  <c r="AH21" i="133"/>
  <c r="AG21" i="133"/>
  <c r="AF21" i="133"/>
  <c r="AE21" i="133"/>
  <c r="AD21" i="133"/>
  <c r="Z21" i="133"/>
  <c r="Y21" i="133"/>
  <c r="W21" i="133"/>
  <c r="V21" i="133"/>
  <c r="U21" i="133"/>
  <c r="S21" i="133"/>
  <c r="R21" i="133"/>
  <c r="Q21" i="133"/>
  <c r="P21" i="133"/>
  <c r="O21" i="133"/>
  <c r="N21" i="133"/>
  <c r="M21" i="133"/>
  <c r="L21" i="133"/>
  <c r="K21" i="133"/>
  <c r="J21" i="133"/>
  <c r="I21" i="133"/>
  <c r="H21" i="133"/>
  <c r="G21" i="133"/>
  <c r="F21" i="133"/>
  <c r="E21" i="133"/>
  <c r="D21" i="133"/>
  <c r="A21" i="133"/>
  <c r="AJ20" i="133"/>
  <c r="AI20" i="133"/>
  <c r="AH20" i="133"/>
  <c r="AG20" i="133"/>
  <c r="AF20" i="133"/>
  <c r="AE20" i="133"/>
  <c r="AD20" i="133"/>
  <c r="Z20" i="133"/>
  <c r="Y20" i="133"/>
  <c r="W20" i="133"/>
  <c r="V20" i="133"/>
  <c r="U20" i="133"/>
  <c r="S20" i="133"/>
  <c r="R20" i="133"/>
  <c r="Q20" i="133"/>
  <c r="P20" i="133"/>
  <c r="O20" i="133"/>
  <c r="N20" i="133"/>
  <c r="M20" i="133"/>
  <c r="L20" i="133"/>
  <c r="K20" i="133"/>
  <c r="J20" i="133"/>
  <c r="I20" i="133"/>
  <c r="H20" i="133"/>
  <c r="G20" i="133"/>
  <c r="F20" i="133"/>
  <c r="E20" i="133"/>
  <c r="D20" i="133"/>
  <c r="A20" i="133"/>
  <c r="AE19" i="133"/>
  <c r="AD19" i="133"/>
  <c r="AA19" i="133"/>
  <c r="Z19" i="133"/>
  <c r="Y19" i="133"/>
  <c r="X19" i="133"/>
  <c r="W19" i="133"/>
  <c r="V19" i="133"/>
  <c r="U19" i="133"/>
  <c r="T19" i="133"/>
  <c r="S19" i="133"/>
  <c r="R19" i="133"/>
  <c r="Q19" i="133"/>
  <c r="P19" i="133"/>
  <c r="O19" i="133"/>
  <c r="N19" i="133"/>
  <c r="M19" i="133"/>
  <c r="L19" i="133"/>
  <c r="K19" i="133"/>
  <c r="J19" i="133"/>
  <c r="I19" i="133"/>
  <c r="H19" i="133"/>
  <c r="G19" i="133"/>
  <c r="F19" i="133"/>
  <c r="E19" i="133"/>
  <c r="D19" i="133"/>
  <c r="AJ18" i="133"/>
  <c r="AI18" i="133"/>
  <c r="AH18" i="133"/>
  <c r="AG18" i="133"/>
  <c r="AF18" i="133"/>
  <c r="AE18" i="133"/>
  <c r="AD18" i="133"/>
  <c r="Y18" i="133"/>
  <c r="W18" i="133"/>
  <c r="V18" i="133"/>
  <c r="U18" i="133"/>
  <c r="S18" i="133"/>
  <c r="R18" i="133"/>
  <c r="Q18" i="133"/>
  <c r="P18" i="133"/>
  <c r="O18" i="133"/>
  <c r="N18" i="133"/>
  <c r="M18" i="133"/>
  <c r="L18" i="133"/>
  <c r="K18" i="133"/>
  <c r="J18" i="133"/>
  <c r="I18" i="133"/>
  <c r="H18" i="133"/>
  <c r="G18" i="133"/>
  <c r="F18" i="133"/>
  <c r="E18" i="133"/>
  <c r="D18" i="133"/>
  <c r="A18" i="133"/>
  <c r="AJ17" i="133"/>
  <c r="AI17" i="133"/>
  <c r="AH17" i="133"/>
  <c r="AG17" i="133"/>
  <c r="AF17" i="133"/>
  <c r="AE17" i="133"/>
  <c r="AD17" i="133"/>
  <c r="Y17" i="133"/>
  <c r="W17" i="133"/>
  <c r="V17" i="133"/>
  <c r="U17" i="133"/>
  <c r="S17" i="133"/>
  <c r="R17" i="133"/>
  <c r="Q17" i="133"/>
  <c r="P17" i="133"/>
  <c r="O17" i="133"/>
  <c r="N17" i="133"/>
  <c r="M17" i="133"/>
  <c r="L17" i="133"/>
  <c r="K17" i="133"/>
  <c r="J17" i="133"/>
  <c r="I17" i="133"/>
  <c r="H17" i="133"/>
  <c r="G17" i="133"/>
  <c r="F17" i="133"/>
  <c r="E17" i="133"/>
  <c r="D17" i="133"/>
  <c r="A17" i="133"/>
  <c r="AJ16" i="133"/>
  <c r="AI16" i="133"/>
  <c r="AH16" i="133"/>
  <c r="AG16" i="133"/>
  <c r="AF16" i="133"/>
  <c r="AE16" i="133"/>
  <c r="AD16" i="133"/>
  <c r="Y16" i="133"/>
  <c r="W16" i="133"/>
  <c r="V16" i="133"/>
  <c r="U16" i="133"/>
  <c r="S16" i="133"/>
  <c r="R16" i="133"/>
  <c r="Q16" i="133"/>
  <c r="P16" i="133"/>
  <c r="O16" i="133"/>
  <c r="N16" i="133"/>
  <c r="M16" i="133"/>
  <c r="L16" i="133"/>
  <c r="K16" i="133"/>
  <c r="J16" i="133"/>
  <c r="I16" i="133"/>
  <c r="H16" i="133"/>
  <c r="G16" i="133"/>
  <c r="F16" i="133"/>
  <c r="E16" i="133"/>
  <c r="D16" i="133"/>
  <c r="A16" i="133"/>
  <c r="AJ15" i="133"/>
  <c r="AI15" i="133"/>
  <c r="AH15" i="133"/>
  <c r="AG15" i="133"/>
  <c r="AF15" i="133"/>
  <c r="AE15" i="133"/>
  <c r="AD15" i="133"/>
  <c r="Y15" i="133"/>
  <c r="W15" i="133"/>
  <c r="V15" i="133"/>
  <c r="U15" i="133"/>
  <c r="S15" i="133"/>
  <c r="R15" i="133"/>
  <c r="Q15" i="133"/>
  <c r="P15" i="133"/>
  <c r="O15" i="133"/>
  <c r="N15" i="133"/>
  <c r="M15" i="133"/>
  <c r="L15" i="133"/>
  <c r="K15" i="133"/>
  <c r="J15" i="133"/>
  <c r="I15" i="133"/>
  <c r="H15" i="133"/>
  <c r="G15" i="133"/>
  <c r="F15" i="133"/>
  <c r="E15" i="133"/>
  <c r="D15" i="133"/>
  <c r="A15" i="133"/>
  <c r="AE14" i="133"/>
  <c r="AD14" i="133"/>
  <c r="AA14" i="133"/>
  <c r="Z14" i="133"/>
  <c r="Y14" i="133"/>
  <c r="X14" i="133"/>
  <c r="W14" i="133"/>
  <c r="V14" i="133"/>
  <c r="U14" i="133"/>
  <c r="T14" i="133"/>
  <c r="S14" i="133"/>
  <c r="R14" i="133"/>
  <c r="Q14" i="133"/>
  <c r="P14" i="133"/>
  <c r="O14" i="133"/>
  <c r="N14" i="133"/>
  <c r="M14" i="133"/>
  <c r="L14" i="133"/>
  <c r="K14" i="133"/>
  <c r="J14" i="133"/>
  <c r="I14" i="133"/>
  <c r="H14" i="133"/>
  <c r="G14" i="133"/>
  <c r="F14" i="133"/>
  <c r="E14" i="133"/>
  <c r="D14" i="133"/>
  <c r="AJ13" i="133"/>
  <c r="AI13" i="133"/>
  <c r="AH13" i="133"/>
  <c r="AG13" i="133"/>
  <c r="AF13" i="133"/>
  <c r="AE13" i="133"/>
  <c r="AD13" i="133"/>
  <c r="Z13" i="133"/>
  <c r="Y13" i="133"/>
  <c r="W13" i="133"/>
  <c r="V13" i="133"/>
  <c r="U13" i="133"/>
  <c r="S13" i="133"/>
  <c r="R13" i="133"/>
  <c r="Q13" i="133"/>
  <c r="P13" i="133"/>
  <c r="O13" i="133"/>
  <c r="N13" i="133"/>
  <c r="M13" i="133"/>
  <c r="L13" i="133"/>
  <c r="K13" i="133"/>
  <c r="J13" i="133"/>
  <c r="I13" i="133"/>
  <c r="H13" i="133"/>
  <c r="G13" i="133"/>
  <c r="F13" i="133"/>
  <c r="E13" i="133"/>
  <c r="D13" i="133"/>
  <c r="A13" i="133"/>
  <c r="AJ12" i="133"/>
  <c r="AI12" i="133"/>
  <c r="AH12" i="133"/>
  <c r="AG12" i="133"/>
  <c r="AF12" i="133"/>
  <c r="AE12" i="133"/>
  <c r="AD12" i="133"/>
  <c r="Z12" i="133"/>
  <c r="Y12" i="133"/>
  <c r="W12" i="133"/>
  <c r="V12" i="133"/>
  <c r="U12" i="133"/>
  <c r="S12" i="133"/>
  <c r="R12" i="133"/>
  <c r="Q12" i="133"/>
  <c r="P12" i="133"/>
  <c r="O12" i="133"/>
  <c r="N12" i="133"/>
  <c r="M12" i="133"/>
  <c r="L12" i="133"/>
  <c r="K12" i="133"/>
  <c r="J12" i="133"/>
  <c r="I12" i="133"/>
  <c r="H12" i="133"/>
  <c r="G12" i="133"/>
  <c r="F12" i="133"/>
  <c r="E12" i="133"/>
  <c r="D12" i="133"/>
  <c r="A12" i="133"/>
  <c r="AJ11" i="133"/>
  <c r="AI11" i="133"/>
  <c r="AH11" i="133"/>
  <c r="AG11" i="133"/>
  <c r="AF11" i="133"/>
  <c r="AE11" i="133"/>
  <c r="AD11" i="133"/>
  <c r="Z11" i="133"/>
  <c r="Y11" i="133"/>
  <c r="W11" i="133"/>
  <c r="V11" i="133"/>
  <c r="U11" i="133"/>
  <c r="S11" i="133"/>
  <c r="R11" i="133"/>
  <c r="Q11" i="133"/>
  <c r="P11" i="133"/>
  <c r="O11" i="133"/>
  <c r="N11" i="133"/>
  <c r="M11" i="133"/>
  <c r="L11" i="133"/>
  <c r="K11" i="133"/>
  <c r="J11" i="133"/>
  <c r="I11" i="133"/>
  <c r="H11" i="133"/>
  <c r="G11" i="133"/>
  <c r="F11" i="133"/>
  <c r="E11" i="133"/>
  <c r="D11" i="133"/>
  <c r="A11" i="133"/>
  <c r="AJ10" i="133"/>
  <c r="AI10" i="133"/>
  <c r="AH10" i="133"/>
  <c r="AG10" i="133"/>
  <c r="AF10" i="133"/>
  <c r="AE10" i="133"/>
  <c r="AD10" i="133"/>
  <c r="Z10" i="133"/>
  <c r="Y10" i="133"/>
  <c r="W10" i="133"/>
  <c r="V10" i="133"/>
  <c r="U10" i="133"/>
  <c r="S10" i="133"/>
  <c r="R10" i="133"/>
  <c r="Q10" i="133"/>
  <c r="P10" i="133"/>
  <c r="O10" i="133"/>
  <c r="N10" i="133"/>
  <c r="M10" i="133"/>
  <c r="L10" i="133"/>
  <c r="K10" i="133"/>
  <c r="J10" i="133"/>
  <c r="I10" i="133"/>
  <c r="H10" i="133"/>
  <c r="G10" i="133"/>
  <c r="F10" i="133"/>
  <c r="E10" i="133"/>
  <c r="D10" i="133"/>
  <c r="A10" i="133"/>
  <c r="AJ9" i="133"/>
  <c r="AI9" i="133"/>
  <c r="AH9" i="133"/>
  <c r="AG9" i="133"/>
  <c r="AF9" i="133"/>
  <c r="AE9" i="133"/>
  <c r="AD9" i="133"/>
  <c r="Z9" i="133"/>
  <c r="Y9" i="133"/>
  <c r="W9" i="133"/>
  <c r="V9" i="133"/>
  <c r="U9" i="133"/>
  <c r="S9" i="133"/>
  <c r="R9" i="133"/>
  <c r="Q9" i="133"/>
  <c r="P9" i="133"/>
  <c r="O9" i="133"/>
  <c r="N9" i="133"/>
  <c r="M9" i="133"/>
  <c r="L9" i="133"/>
  <c r="K9" i="133"/>
  <c r="J9" i="133"/>
  <c r="I9" i="133"/>
  <c r="H9" i="133"/>
  <c r="G9" i="133"/>
  <c r="F9" i="133"/>
  <c r="E9" i="133"/>
  <c r="D9" i="133"/>
  <c r="A9" i="133"/>
  <c r="AE8" i="133"/>
  <c r="AD8" i="133"/>
  <c r="AA8" i="133"/>
  <c r="Z8" i="133"/>
  <c r="Y8" i="133"/>
  <c r="X8" i="133"/>
  <c r="W8" i="133"/>
  <c r="V8" i="133"/>
  <c r="U8" i="133"/>
  <c r="T8" i="133"/>
  <c r="S8" i="133"/>
  <c r="R8" i="133"/>
  <c r="Q8" i="133"/>
  <c r="P8" i="133"/>
  <c r="O8" i="133"/>
  <c r="N8" i="133"/>
  <c r="M8" i="133"/>
  <c r="L8" i="133"/>
  <c r="K8" i="133"/>
  <c r="J8" i="133"/>
  <c r="I8" i="133"/>
  <c r="H8" i="133"/>
  <c r="G8" i="133"/>
  <c r="F8" i="133"/>
  <c r="E8" i="133"/>
  <c r="D8" i="133"/>
  <c r="AJ7" i="133"/>
  <c r="AI7" i="133"/>
  <c r="AH7" i="133"/>
  <c r="AG7" i="133"/>
  <c r="AF7" i="133"/>
  <c r="AE7" i="133"/>
  <c r="AD7" i="133"/>
  <c r="Z7" i="133"/>
  <c r="W7" i="133"/>
  <c r="V7" i="133"/>
  <c r="U7" i="133"/>
  <c r="S7" i="133"/>
  <c r="R7" i="133"/>
  <c r="Q7" i="133"/>
  <c r="P7" i="133"/>
  <c r="O7" i="133"/>
  <c r="N7" i="133"/>
  <c r="M7" i="133"/>
  <c r="L7" i="133"/>
  <c r="K7" i="133"/>
  <c r="J7" i="133"/>
  <c r="I7" i="133"/>
  <c r="H7" i="133"/>
  <c r="G7" i="133"/>
  <c r="F7" i="133"/>
  <c r="E7" i="133"/>
  <c r="D7" i="133"/>
  <c r="AJ6" i="133"/>
  <c r="AI6" i="133"/>
  <c r="AH6" i="133"/>
  <c r="AG6" i="133"/>
  <c r="AF6" i="133"/>
  <c r="AE6" i="133"/>
  <c r="AD6" i="133"/>
  <c r="W6" i="133"/>
  <c r="V6" i="133"/>
  <c r="U6" i="133"/>
  <c r="S6" i="133"/>
  <c r="R6" i="133"/>
  <c r="Q6" i="133"/>
  <c r="P6" i="133"/>
  <c r="O6" i="133"/>
  <c r="N6" i="133"/>
  <c r="M6" i="133"/>
  <c r="L6" i="133"/>
  <c r="K6" i="133"/>
  <c r="J6" i="133"/>
  <c r="I6" i="133"/>
  <c r="H6" i="133"/>
  <c r="G6" i="133"/>
  <c r="F6" i="133"/>
  <c r="E6" i="133"/>
  <c r="D6" i="133"/>
  <c r="AJ5" i="133"/>
  <c r="AI5" i="133"/>
  <c r="AH5" i="133"/>
  <c r="AG5" i="133"/>
  <c r="AF5" i="133"/>
  <c r="AE5" i="133"/>
  <c r="AD5" i="133"/>
  <c r="W5" i="133"/>
  <c r="V5" i="133"/>
  <c r="U5" i="133"/>
  <c r="S5" i="133"/>
  <c r="R5" i="133"/>
  <c r="Q5" i="133"/>
  <c r="P5" i="133"/>
  <c r="O5" i="133"/>
  <c r="N5" i="133"/>
  <c r="M5" i="133"/>
  <c r="L5" i="133"/>
  <c r="K5" i="133"/>
  <c r="J5" i="133"/>
  <c r="I5" i="133"/>
  <c r="H5" i="133"/>
  <c r="G5" i="133"/>
  <c r="F5" i="133"/>
  <c r="E5" i="133"/>
  <c r="D5" i="133"/>
  <c r="AH4" i="133"/>
  <c r="AF4" i="133"/>
  <c r="AA82" i="133" l="1"/>
  <c r="Y97" i="133"/>
  <c r="Y99" i="133" s="1"/>
  <c r="Y100" i="133"/>
  <c r="Y101" i="133" s="1"/>
  <c r="AA123" i="133"/>
  <c r="AA79" i="133"/>
  <c r="AA138" i="133" s="1"/>
  <c r="AA139" i="133" s="1"/>
  <c r="Y86" i="133"/>
  <c r="Y87" i="133" s="1"/>
  <c r="Y138" i="133" s="1"/>
  <c r="Y139" i="133" s="1"/>
  <c r="Y106" i="133"/>
  <c r="Y107" i="1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lql20160530</author>
    <author>Administrator</author>
    <author>PC</author>
  </authors>
  <commentList>
    <comment ref="L3" authorId="0" shapeId="0" xr:uid="{00000000-0006-0000-0000-000001000000}">
      <text>
        <r>
          <rPr>
            <b/>
            <sz val="9"/>
            <rFont val="宋体"/>
            <family val="3"/>
            <charset val="134"/>
          </rPr>
          <t>秋</t>
        </r>
        <r>
          <rPr>
            <b/>
            <sz val="9"/>
            <rFont val="Tahoma"/>
            <family val="2"/>
          </rPr>
          <t>:</t>
        </r>
        <r>
          <rPr>
            <sz val="9"/>
            <rFont val="Tahoma"/>
            <family val="2"/>
          </rPr>
          <t xml:space="preserve">
</t>
        </r>
        <r>
          <rPr>
            <sz val="9"/>
            <rFont val="宋体"/>
            <family val="3"/>
            <charset val="134"/>
          </rPr>
          <t>满意度考核及其他附加提成</t>
        </r>
      </text>
    </comment>
    <comment ref="Z3" authorId="1" shapeId="0" xr:uid="{00000000-0006-0000-0000-000002000000}">
      <text>
        <r>
          <rPr>
            <b/>
            <sz val="9"/>
            <rFont val="Tahoma"/>
            <family val="2"/>
          </rPr>
          <t>Administrator:</t>
        </r>
        <r>
          <rPr>
            <sz val="9"/>
            <rFont val="Tahoma"/>
            <family val="2"/>
          </rPr>
          <t xml:space="preserve">
</t>
        </r>
        <r>
          <rPr>
            <sz val="9"/>
            <rFont val="宋体"/>
            <family val="3"/>
            <charset val="134"/>
          </rPr>
          <t>台次</t>
        </r>
      </text>
    </comment>
    <comment ref="AA3" authorId="1" shapeId="0" xr:uid="{00000000-0006-0000-0000-000003000000}">
      <text>
        <r>
          <rPr>
            <b/>
            <sz val="9"/>
            <rFont val="Tahoma"/>
            <family val="2"/>
          </rPr>
          <t>Administrator:</t>
        </r>
        <r>
          <rPr>
            <sz val="9"/>
            <rFont val="Tahoma"/>
            <family val="2"/>
          </rPr>
          <t xml:space="preserve">
</t>
        </r>
        <r>
          <rPr>
            <sz val="9"/>
            <rFont val="宋体"/>
            <family val="3"/>
            <charset val="134"/>
          </rPr>
          <t>产值</t>
        </r>
      </text>
    </comment>
    <comment ref="F140" authorId="2" shapeId="0" xr:uid="{00000000-0006-0000-0000-000004000000}">
      <text>
        <r>
          <rPr>
            <b/>
            <sz val="9"/>
            <rFont val="宋体"/>
            <family val="3"/>
            <charset val="134"/>
          </rPr>
          <t>PC:</t>
        </r>
        <r>
          <rPr>
            <sz val="9"/>
            <rFont val="宋体"/>
            <family val="3"/>
            <charset val="134"/>
          </rPr>
          <t xml:space="preserve">
刘海</t>
        </r>
      </text>
    </comment>
    <comment ref="G140" authorId="2" shapeId="0" xr:uid="{00000000-0006-0000-0000-000005000000}">
      <text>
        <r>
          <rPr>
            <b/>
            <sz val="9"/>
            <rFont val="宋体"/>
            <family val="3"/>
            <charset val="134"/>
          </rPr>
          <t>PC:</t>
        </r>
        <r>
          <rPr>
            <sz val="9"/>
            <rFont val="宋体"/>
            <family val="3"/>
            <charset val="134"/>
          </rPr>
          <t xml:space="preserve">
刘海</t>
        </r>
      </text>
    </comment>
    <comment ref="I141" authorId="1" shapeId="0" xr:uid="{00000000-0006-0000-0000-000006000000}">
      <text>
        <r>
          <rPr>
            <b/>
            <sz val="9"/>
            <rFont val="宋体"/>
            <family val="3"/>
            <charset val="134"/>
          </rPr>
          <t>武侯店代徐源支付底薪1000元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lql20160530</author>
    <author>Administrator</author>
    <author>admin</author>
    <author>PC</author>
  </authors>
  <commentList>
    <comment ref="L3" authorId="0" shapeId="0" xr:uid="{00000000-0006-0000-0100-000001000000}">
      <text>
        <r>
          <rPr>
            <b/>
            <sz val="9"/>
            <rFont val="宋体"/>
            <family val="3"/>
            <charset val="134"/>
          </rPr>
          <t>秋</t>
        </r>
        <r>
          <rPr>
            <b/>
            <sz val="9"/>
            <rFont val="Tahoma"/>
            <family val="2"/>
          </rPr>
          <t>:</t>
        </r>
        <r>
          <rPr>
            <sz val="9"/>
            <rFont val="Tahoma"/>
            <family val="2"/>
          </rPr>
          <t xml:space="preserve">
</t>
        </r>
        <r>
          <rPr>
            <sz val="9"/>
            <rFont val="宋体"/>
            <family val="3"/>
            <charset val="134"/>
          </rPr>
          <t>满意度考核及其他附加提成</t>
        </r>
      </text>
    </comment>
    <comment ref="Z3" authorId="1" shapeId="0" xr:uid="{00000000-0006-0000-0100-000002000000}">
      <text>
        <r>
          <rPr>
            <b/>
            <sz val="9"/>
            <rFont val="Tahoma"/>
            <family val="2"/>
          </rPr>
          <t>Administrator:</t>
        </r>
        <r>
          <rPr>
            <sz val="9"/>
            <rFont val="Tahoma"/>
            <family val="2"/>
          </rPr>
          <t xml:space="preserve">
</t>
        </r>
        <r>
          <rPr>
            <sz val="9"/>
            <rFont val="宋体"/>
            <family val="3"/>
            <charset val="134"/>
          </rPr>
          <t>台次</t>
        </r>
      </text>
    </comment>
    <comment ref="AA3" authorId="1" shapeId="0" xr:uid="{00000000-0006-0000-0100-000003000000}">
      <text>
        <r>
          <rPr>
            <b/>
            <sz val="9"/>
            <rFont val="Tahoma"/>
            <family val="2"/>
          </rPr>
          <t>Administrator:</t>
        </r>
        <r>
          <rPr>
            <sz val="9"/>
            <rFont val="Tahoma"/>
            <family val="2"/>
          </rPr>
          <t xml:space="preserve">
</t>
        </r>
        <r>
          <rPr>
            <sz val="9"/>
            <rFont val="宋体"/>
            <family val="3"/>
            <charset val="134"/>
          </rPr>
          <t>产值</t>
        </r>
      </text>
    </comment>
    <comment ref="C7" authorId="2" shapeId="0" xr:uid="{00000000-0006-0000-0100-000004000000}">
      <text>
        <r>
          <rPr>
            <b/>
            <sz val="9"/>
            <rFont val="宋体"/>
            <family val="3"/>
            <charset val="134"/>
          </rPr>
          <t>admin:</t>
        </r>
        <r>
          <rPr>
            <sz val="9"/>
            <rFont val="宋体"/>
            <family val="3"/>
            <charset val="134"/>
          </rPr>
          <t xml:space="preserve">
配件兼索赔</t>
        </r>
      </text>
    </comment>
    <comment ref="C30" authorId="2" shapeId="0" xr:uid="{00000000-0006-0000-0100-000005000000}">
      <text>
        <r>
          <rPr>
            <b/>
            <sz val="9"/>
            <rFont val="宋体"/>
            <family val="3"/>
            <charset val="134"/>
          </rPr>
          <t>admin:</t>
        </r>
        <r>
          <rPr>
            <sz val="9"/>
            <rFont val="宋体"/>
            <family val="3"/>
            <charset val="134"/>
          </rPr>
          <t xml:space="preserve">
吧员</t>
        </r>
      </text>
    </comment>
    <comment ref="F54" authorId="3" shapeId="0" xr:uid="{00000000-0006-0000-0100-000006000000}">
      <text>
        <r>
          <rPr>
            <b/>
            <sz val="9"/>
            <rFont val="宋体"/>
            <family val="3"/>
            <charset val="134"/>
          </rPr>
          <t>PC:</t>
        </r>
        <r>
          <rPr>
            <sz val="9"/>
            <rFont val="宋体"/>
            <family val="3"/>
            <charset val="134"/>
          </rPr>
          <t xml:space="preserve">
刘海</t>
        </r>
      </text>
    </comment>
    <comment ref="G54" authorId="3" shapeId="0" xr:uid="{00000000-0006-0000-0100-000007000000}">
      <text>
        <r>
          <rPr>
            <b/>
            <sz val="9"/>
            <rFont val="宋体"/>
            <family val="3"/>
            <charset val="134"/>
          </rPr>
          <t>PC:</t>
        </r>
        <r>
          <rPr>
            <sz val="9"/>
            <rFont val="宋体"/>
            <family val="3"/>
            <charset val="134"/>
          </rPr>
          <t xml:space="preserve">
刘海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lql20160530</author>
    <author>LEE</author>
    <author>GEELYCW2</author>
    <author>Administrator</author>
  </authors>
  <commentList>
    <comment ref="AR3" authorId="0" shapeId="0" xr:uid="{00000000-0006-0000-0200-000001000000}">
      <text>
        <r>
          <rPr>
            <b/>
            <sz val="9"/>
            <rFont val="宋体"/>
            <family val="3"/>
            <charset val="134"/>
          </rPr>
          <t>秋</t>
        </r>
        <r>
          <rPr>
            <b/>
            <sz val="9"/>
            <rFont val="Tahoma"/>
            <family val="2"/>
          </rPr>
          <t>:</t>
        </r>
        <r>
          <rPr>
            <sz val="9"/>
            <rFont val="Tahoma"/>
            <family val="2"/>
          </rPr>
          <t xml:space="preserve">
20</t>
        </r>
        <r>
          <rPr>
            <sz val="9"/>
            <rFont val="宋体"/>
            <family val="3"/>
            <charset val="134"/>
          </rPr>
          <t>元</t>
        </r>
        <r>
          <rPr>
            <sz val="9"/>
            <rFont val="Tahoma"/>
            <family val="2"/>
          </rPr>
          <t>/</t>
        </r>
        <r>
          <rPr>
            <sz val="9"/>
            <rFont val="宋体"/>
            <family val="3"/>
            <charset val="134"/>
          </rPr>
          <t>单</t>
        </r>
      </text>
    </comment>
    <comment ref="BB3" authorId="1" shapeId="0" xr:uid="{00000000-0006-0000-0200-000002000000}">
      <text>
        <r>
          <rPr>
            <b/>
            <sz val="9"/>
            <rFont val="宋体"/>
            <family val="3"/>
            <charset val="134"/>
          </rPr>
          <t>LEE:</t>
        </r>
        <r>
          <rPr>
            <sz val="9"/>
            <rFont val="宋体"/>
            <family val="3"/>
            <charset val="134"/>
          </rPr>
          <t xml:space="preserve">
现金发放</t>
        </r>
      </text>
    </comment>
    <comment ref="AV4" authorId="1" shapeId="0" xr:uid="{00000000-0006-0000-0200-000003000000}">
      <text>
        <r>
          <rPr>
            <b/>
            <sz val="9"/>
            <rFont val="宋体"/>
            <family val="3"/>
            <charset val="134"/>
          </rPr>
          <t>LEE:</t>
        </r>
        <r>
          <rPr>
            <sz val="9"/>
            <rFont val="宋体"/>
            <family val="3"/>
            <charset val="134"/>
          </rPr>
          <t xml:space="preserve">
扣减上月提成错误数据</t>
        </r>
      </text>
    </comment>
    <comment ref="BH4" authorId="0" shapeId="0" xr:uid="{00000000-0006-0000-0200-000004000000}">
      <text>
        <r>
          <rPr>
            <b/>
            <sz val="9"/>
            <rFont val="宋体"/>
            <family val="3"/>
            <charset val="134"/>
          </rPr>
          <t>秋</t>
        </r>
        <r>
          <rPr>
            <b/>
            <sz val="9"/>
            <rFont val="Tahoma"/>
            <family val="2"/>
          </rPr>
          <t>:</t>
        </r>
        <r>
          <rPr>
            <sz val="9"/>
            <rFont val="Tahoma"/>
            <family val="2"/>
          </rPr>
          <t xml:space="preserve">
</t>
        </r>
        <r>
          <rPr>
            <sz val="9"/>
            <rFont val="宋体"/>
            <family val="3"/>
            <charset val="134"/>
          </rPr>
          <t>其他考核项</t>
        </r>
      </text>
    </comment>
    <comment ref="F31" authorId="2" shapeId="0" xr:uid="{00000000-0006-0000-0200-000005000000}">
      <text>
        <r>
          <rPr>
            <b/>
            <sz val="9"/>
            <rFont val="宋体"/>
            <family val="3"/>
            <charset val="134"/>
          </rPr>
          <t>保险 索赔未做精品收入 目前美容业务销售顾问不提成</t>
        </r>
      </text>
    </comment>
    <comment ref="J31" authorId="3" shapeId="0" xr:uid="{00000000-0006-0000-0200-000006000000}">
      <text>
        <r>
          <rPr>
            <b/>
            <sz val="9"/>
            <rFont val="宋体"/>
            <family val="3"/>
            <charset val="134"/>
          </rPr>
          <t>姚金东按照总产值提成 固单项不提成</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Micorosoft</author>
    <author>不冷</author>
    <author>CWB-N</author>
    <author>PC</author>
    <author>曹磊</author>
    <author>admin</author>
  </authors>
  <commentList>
    <comment ref="E3" authorId="0" shapeId="0" xr:uid="{00000000-0006-0000-0300-000001000000}">
      <text>
        <r>
          <rPr>
            <b/>
            <sz val="9"/>
            <rFont val="宋体"/>
            <family val="3"/>
            <charset val="134"/>
          </rPr>
          <t>Administrator:</t>
        </r>
        <r>
          <rPr>
            <sz val="9"/>
            <rFont val="宋体"/>
            <family val="3"/>
            <charset val="134"/>
          </rPr>
          <t xml:space="preserve">
（已加回续保赠送）
2018年加上PDI产值
</t>
        </r>
      </text>
    </comment>
    <comment ref="S3" authorId="0" shapeId="0" xr:uid="{00000000-0006-0000-0300-000002000000}">
      <text>
        <r>
          <rPr>
            <b/>
            <sz val="9"/>
            <rFont val="Tahoma"/>
            <family val="2"/>
          </rPr>
          <t>Administrator:</t>
        </r>
        <r>
          <rPr>
            <sz val="9"/>
            <rFont val="Tahoma"/>
            <family val="2"/>
          </rPr>
          <t xml:space="preserve">
</t>
        </r>
        <r>
          <rPr>
            <sz val="9"/>
            <rFont val="宋体"/>
            <family val="3"/>
            <charset val="134"/>
          </rPr>
          <t>台次</t>
        </r>
      </text>
    </comment>
    <comment ref="T3" authorId="0" shapeId="0" xr:uid="{00000000-0006-0000-0300-000003000000}">
      <text>
        <r>
          <rPr>
            <b/>
            <sz val="9"/>
            <rFont val="Tahoma"/>
            <family val="2"/>
          </rPr>
          <t>Administrator:</t>
        </r>
        <r>
          <rPr>
            <sz val="9"/>
            <rFont val="Tahoma"/>
            <family val="2"/>
          </rPr>
          <t xml:space="preserve">
</t>
        </r>
        <r>
          <rPr>
            <sz val="9"/>
            <rFont val="宋体"/>
            <family val="3"/>
            <charset val="134"/>
          </rPr>
          <t>产值</t>
        </r>
      </text>
    </comment>
    <comment ref="I4" authorId="1" shapeId="0" xr:uid="{00000000-0006-0000-0300-000004000000}">
      <text>
        <r>
          <rPr>
            <b/>
            <sz val="9"/>
            <rFont val="宋体"/>
            <family val="3"/>
            <charset val="134"/>
          </rPr>
          <t>扣除内部结算</t>
        </r>
      </text>
    </comment>
    <comment ref="F6" authorId="2" shapeId="0" xr:uid="{00000000-0006-0000-0300-000005000000}">
      <text>
        <r>
          <rPr>
            <b/>
            <sz val="9"/>
            <rFont val="宋体"/>
            <family val="3"/>
            <charset val="134"/>
          </rPr>
          <t>只取了武侯店索赔产值</t>
        </r>
      </text>
    </comment>
    <comment ref="G6" authorId="3" shapeId="0" xr:uid="{00000000-0006-0000-0300-000006000000}">
      <text>
        <r>
          <rPr>
            <b/>
            <sz val="9"/>
            <rFont val="宋体"/>
            <family val="3"/>
            <charset val="134"/>
          </rPr>
          <t>CWB-N:机场店台次算管理费提成</t>
        </r>
      </text>
    </comment>
    <comment ref="I6" authorId="1" shapeId="0" xr:uid="{00000000-0006-0000-0300-000007000000}">
      <text>
        <r>
          <rPr>
            <b/>
            <sz val="9"/>
            <rFont val="宋体"/>
            <family val="3"/>
            <charset val="134"/>
          </rPr>
          <t>扣除内部结算</t>
        </r>
      </text>
    </comment>
    <comment ref="O6" authorId="4" shapeId="0" xr:uid="{00000000-0006-0000-0300-000008000000}">
      <text>
        <r>
          <rPr>
            <b/>
            <sz val="9"/>
            <rFont val="宋体"/>
            <family val="3"/>
            <charset val="134"/>
          </rPr>
          <t>PC:
2025年由7000调整到8666.67</t>
        </r>
      </text>
    </comment>
    <comment ref="O7" authorId="4" shapeId="0" xr:uid="{00000000-0006-0000-0300-000009000000}">
      <text>
        <r>
          <rPr>
            <b/>
            <sz val="9"/>
            <rFont val="宋体"/>
            <family val="3"/>
            <charset val="134"/>
          </rPr>
          <t>PC:</t>
        </r>
        <r>
          <rPr>
            <sz val="9"/>
            <rFont val="宋体"/>
            <family val="3"/>
            <charset val="134"/>
          </rPr>
          <t xml:space="preserve">
2月开始由8333.33调整到10833.33</t>
        </r>
      </text>
    </comment>
    <comment ref="O9" authorId="5" shapeId="0" xr:uid="{00000000-0006-0000-0300-00000A000000}">
      <text>
        <r>
          <rPr>
            <b/>
            <sz val="9"/>
            <rFont val="宋体"/>
            <family val="3"/>
            <charset val="134"/>
          </rPr>
          <t>曹磊:</t>
        </r>
        <r>
          <rPr>
            <sz val="9"/>
            <rFont val="宋体"/>
            <family val="3"/>
            <charset val="134"/>
          </rPr>
          <t xml:space="preserve">
实习服务经理，按原绩效方案*90%执行</t>
        </r>
      </text>
    </comment>
    <comment ref="M16" authorId="0" shapeId="0" xr:uid="{00000000-0006-0000-0300-00000B000000}">
      <text>
        <r>
          <rPr>
            <b/>
            <sz val="9"/>
            <rFont val="宋体"/>
            <family val="3"/>
            <charset val="134"/>
          </rPr>
          <t>销售新能源补贴</t>
        </r>
      </text>
    </comment>
    <comment ref="P16" authorId="0" shapeId="0" xr:uid="{00000000-0006-0000-0300-00000C000000}">
      <text>
        <r>
          <rPr>
            <sz val="9"/>
            <rFont val="宋体"/>
            <family val="3"/>
            <charset val="134"/>
          </rPr>
          <t xml:space="preserve">不计量销售提成101+47
</t>
        </r>
      </text>
    </comment>
    <comment ref="C17" authorId="4" shapeId="0" xr:uid="{00000000-0006-0000-0300-00000D000000}">
      <text>
        <r>
          <rPr>
            <b/>
            <sz val="9"/>
            <rFont val="宋体"/>
            <family val="3"/>
            <charset val="134"/>
          </rPr>
          <t>PC:</t>
        </r>
        <r>
          <rPr>
            <sz val="9"/>
            <rFont val="宋体"/>
            <family val="3"/>
            <charset val="134"/>
          </rPr>
          <t xml:space="preserve">
6月22日入职</t>
        </r>
      </text>
    </comment>
    <comment ref="L61" authorId="5" shapeId="0" xr:uid="{00000000-0006-0000-0300-00000E000000}">
      <text>
        <r>
          <rPr>
            <b/>
            <sz val="9"/>
            <rFont val="宋体"/>
            <family val="3"/>
            <charset val="134"/>
          </rPr>
          <t>曹磊:</t>
        </r>
        <r>
          <rPr>
            <sz val="9"/>
            <rFont val="宋体"/>
            <family val="3"/>
            <charset val="134"/>
          </rPr>
          <t xml:space="preserve">
原系数0.006
</t>
        </r>
      </text>
    </comment>
    <comment ref="O63" authorId="6" shapeId="0" xr:uid="{00000000-0006-0000-0300-00000F000000}">
      <text>
        <r>
          <rPr>
            <b/>
            <sz val="9"/>
            <rFont val="宋体"/>
            <family val="3"/>
            <charset val="134"/>
          </rPr>
          <t>admin:</t>
        </r>
        <r>
          <rPr>
            <sz val="9"/>
            <rFont val="宋体"/>
            <family val="3"/>
            <charset val="134"/>
          </rPr>
          <t xml:space="preserve">
25年新标6500-调6800</t>
        </r>
      </text>
    </comment>
    <comment ref="O64" authorId="6" shapeId="0" xr:uid="{00000000-0006-0000-0300-000010000000}">
      <text>
        <r>
          <rPr>
            <b/>
            <sz val="9"/>
            <rFont val="宋体"/>
            <family val="3"/>
            <charset val="134"/>
          </rPr>
          <t>admin:</t>
        </r>
        <r>
          <rPr>
            <sz val="9"/>
            <rFont val="宋体"/>
            <family val="3"/>
            <charset val="134"/>
          </rPr>
          <t xml:space="preserve">
25年新标6500-调6800</t>
        </r>
      </text>
    </comment>
    <comment ref="L65" authorId="5" shapeId="0" xr:uid="{00000000-0006-0000-0300-000011000000}">
      <text>
        <r>
          <rPr>
            <b/>
            <sz val="9"/>
            <rFont val="宋体"/>
            <family val="3"/>
            <charset val="134"/>
          </rPr>
          <t>曹磊:</t>
        </r>
        <r>
          <rPr>
            <sz val="9"/>
            <rFont val="宋体"/>
            <family val="3"/>
            <charset val="134"/>
          </rPr>
          <t xml:space="preserve">
原系数0.008</t>
        </r>
      </text>
    </comment>
    <comment ref="L69" authorId="5" shapeId="0" xr:uid="{00000000-0006-0000-0300-000012000000}">
      <text>
        <r>
          <rPr>
            <b/>
            <sz val="9"/>
            <rFont val="宋体"/>
            <family val="3"/>
            <charset val="134"/>
          </rPr>
          <t>曹磊:</t>
        </r>
        <r>
          <rPr>
            <sz val="9"/>
            <rFont val="宋体"/>
            <family val="3"/>
            <charset val="134"/>
          </rPr>
          <t xml:space="preserve">
原系数0.008
</t>
        </r>
      </text>
    </comment>
    <comment ref="K71" authorId="4" shapeId="0" xr:uid="{00000000-0006-0000-0300-000013000000}">
      <text>
        <r>
          <rPr>
            <b/>
            <sz val="9"/>
            <rFont val="宋体"/>
            <family val="3"/>
            <charset val="134"/>
          </rPr>
          <t>PC:</t>
        </r>
        <r>
          <rPr>
            <sz val="9"/>
            <rFont val="宋体"/>
            <family val="3"/>
            <charset val="134"/>
          </rPr>
          <t xml:space="preserve">
入库量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zhb12</author>
    <author>曹磊</author>
    <author>sh008</author>
    <author>Innocence</author>
    <author>LEE</author>
  </authors>
  <commentList>
    <comment ref="D3" authorId="0" shapeId="0" xr:uid="{00000000-0006-0000-0400-000001000000}">
      <text>
        <r>
          <rPr>
            <b/>
            <sz val="9"/>
            <rFont val="宋体"/>
            <family val="3"/>
            <charset val="134"/>
          </rPr>
          <t>Administrator:</t>
        </r>
        <r>
          <rPr>
            <sz val="9"/>
            <rFont val="宋体"/>
            <family val="3"/>
            <charset val="134"/>
          </rPr>
          <t xml:space="preserve">
港宏系统-班组绩效查询报表-工时汇总</t>
        </r>
      </text>
    </comment>
    <comment ref="E3" authorId="0" shapeId="0" xr:uid="{00000000-0006-0000-0400-000002000000}">
      <text>
        <r>
          <rPr>
            <b/>
            <sz val="9"/>
            <rFont val="宋体"/>
            <family val="3"/>
            <charset val="134"/>
          </rPr>
          <t>Administrator:</t>
        </r>
        <r>
          <rPr>
            <sz val="9"/>
            <rFont val="宋体"/>
            <family val="3"/>
            <charset val="134"/>
          </rPr>
          <t xml:space="preserve">
港宏-班组绩效-维修项目明细-折扣前工时费用</t>
        </r>
      </text>
    </comment>
    <comment ref="I3" authorId="0" shapeId="0" xr:uid="{00000000-0006-0000-0400-000003000000}">
      <text>
        <r>
          <rPr>
            <b/>
            <sz val="9"/>
            <rFont val="宋体"/>
            <family val="3"/>
            <charset val="134"/>
          </rPr>
          <t>Administrator:</t>
        </r>
        <r>
          <rPr>
            <sz val="9"/>
            <rFont val="宋体"/>
            <family val="3"/>
            <charset val="134"/>
          </rPr>
          <t xml:space="preserve">
雷姐报表</t>
        </r>
      </text>
    </comment>
    <comment ref="J3" authorId="0" shapeId="0" xr:uid="{00000000-0006-0000-0400-000004000000}">
      <text>
        <r>
          <rPr>
            <b/>
            <sz val="9"/>
            <rFont val="宋体"/>
            <family val="3"/>
            <charset val="134"/>
          </rPr>
          <t>Administrator:</t>
        </r>
        <r>
          <rPr>
            <sz val="9"/>
            <rFont val="宋体"/>
            <family val="3"/>
            <charset val="134"/>
          </rPr>
          <t xml:space="preserve">
正常+保险+索赔（包含折扣</t>
        </r>
      </text>
    </comment>
    <comment ref="K3" authorId="0" shapeId="0" xr:uid="{00000000-0006-0000-0400-000005000000}">
      <text>
        <r>
          <rPr>
            <b/>
            <sz val="9"/>
            <rFont val="宋体"/>
            <family val="3"/>
            <charset val="134"/>
          </rPr>
          <t>Administrator:</t>
        </r>
        <r>
          <rPr>
            <sz val="9"/>
            <rFont val="宋体"/>
            <family val="3"/>
            <charset val="134"/>
          </rPr>
          <t xml:space="preserve">
</t>
        </r>
      </text>
    </comment>
    <comment ref="Q3" authorId="1" shapeId="0" xr:uid="{00000000-0006-0000-0400-000006000000}">
      <text>
        <r>
          <rPr>
            <b/>
            <sz val="9"/>
            <rFont val="宋体"/>
            <family val="3"/>
            <charset val="134"/>
          </rPr>
          <t>zhb12:</t>
        </r>
        <r>
          <rPr>
            <sz val="9"/>
            <rFont val="宋体"/>
            <family val="3"/>
            <charset val="134"/>
          </rPr>
          <t xml:space="preserve">
领料人</t>
        </r>
      </text>
    </comment>
    <comment ref="S3" authorId="0" shapeId="0" xr:uid="{00000000-0006-0000-0400-000007000000}">
      <text>
        <r>
          <rPr>
            <b/>
            <sz val="9"/>
            <rFont val="宋体"/>
            <family val="3"/>
            <charset val="134"/>
          </rPr>
          <t>Administrator:</t>
        </r>
        <r>
          <rPr>
            <sz val="9"/>
            <rFont val="宋体"/>
            <family val="3"/>
            <charset val="134"/>
          </rPr>
          <t xml:space="preserve">
正常材料包含折扣
通川明细正常材料费</t>
        </r>
      </text>
    </comment>
    <comment ref="U3" authorId="0" shapeId="0" xr:uid="{00000000-0006-0000-0400-000008000000}">
      <text>
        <r>
          <rPr>
            <b/>
            <sz val="9"/>
            <rFont val="宋体"/>
            <family val="3"/>
            <charset val="134"/>
          </rPr>
          <t>Administrator:</t>
        </r>
        <r>
          <rPr>
            <sz val="9"/>
            <rFont val="宋体"/>
            <family val="3"/>
            <charset val="134"/>
          </rPr>
          <t xml:space="preserve">
精品产值按7%提成</t>
        </r>
      </text>
    </comment>
    <comment ref="V3" authorId="0" shapeId="0" xr:uid="{00000000-0006-0000-0400-000009000000}">
      <text>
        <r>
          <rPr>
            <b/>
            <sz val="9"/>
            <rFont val="宋体"/>
            <family val="3"/>
            <charset val="134"/>
          </rPr>
          <t>Administrator:</t>
        </r>
        <r>
          <rPr>
            <sz val="9"/>
            <rFont val="宋体"/>
            <family val="3"/>
            <charset val="134"/>
          </rPr>
          <t xml:space="preserve">
库房提供</t>
        </r>
      </text>
    </comment>
    <comment ref="J4" authorId="2" shapeId="0" xr:uid="{00000000-0006-0000-0400-00000A000000}">
      <text>
        <r>
          <rPr>
            <b/>
            <sz val="9"/>
            <rFont val="宋体"/>
            <family val="3"/>
            <charset val="134"/>
          </rPr>
          <t>曹磊:</t>
        </r>
        <r>
          <rPr>
            <sz val="9"/>
            <rFont val="宋体"/>
            <family val="3"/>
            <charset val="134"/>
          </rPr>
          <t xml:space="preserve">
武汉技师认证7天</t>
        </r>
      </text>
    </comment>
    <comment ref="K8" authorId="2" shapeId="0" xr:uid="{00000000-0006-0000-0400-00000B000000}">
      <text>
        <r>
          <rPr>
            <b/>
            <sz val="9"/>
            <rFont val="宋体"/>
            <family val="3"/>
            <charset val="134"/>
          </rPr>
          <t>曹磊:</t>
        </r>
        <r>
          <rPr>
            <sz val="9"/>
            <rFont val="宋体"/>
            <family val="3"/>
            <charset val="134"/>
          </rPr>
          <t xml:space="preserve">
世运会PDI</t>
        </r>
      </text>
    </comment>
    <comment ref="B10" authorId="3" shapeId="0" xr:uid="{00000000-0006-0000-0400-00000C000000}">
      <text>
        <r>
          <rPr>
            <sz val="9"/>
            <rFont val="宋体"/>
            <family val="3"/>
            <charset val="134"/>
          </rPr>
          <t>原7组章东因快修组人员变动-工时台次合并到了快修1组。</t>
        </r>
      </text>
    </comment>
    <comment ref="J10" authorId="2" shapeId="0" xr:uid="{00000000-0006-0000-0400-00000D000000}">
      <text>
        <r>
          <rPr>
            <b/>
            <sz val="9"/>
            <rFont val="宋体"/>
            <family val="3"/>
            <charset val="134"/>
          </rPr>
          <t>曹磊:</t>
        </r>
        <r>
          <rPr>
            <sz val="9"/>
            <rFont val="宋体"/>
            <family val="3"/>
            <charset val="134"/>
          </rPr>
          <t xml:space="preserve">
武汉技师认证7天
</t>
        </r>
      </text>
    </comment>
    <comment ref="I12" authorId="2" shapeId="0" xr:uid="{00000000-0006-0000-0400-00000E000000}">
      <text>
        <r>
          <rPr>
            <b/>
            <sz val="9"/>
            <rFont val="宋体"/>
            <family val="3"/>
            <charset val="134"/>
          </rPr>
          <t>曹磊:</t>
        </r>
        <r>
          <rPr>
            <sz val="9"/>
            <rFont val="宋体"/>
            <family val="3"/>
            <charset val="134"/>
          </rPr>
          <t xml:space="preserve">
PDI台次</t>
        </r>
      </text>
    </comment>
    <comment ref="K12" authorId="2" shapeId="0" xr:uid="{00000000-0006-0000-0400-00000F000000}">
      <text>
        <r>
          <rPr>
            <b/>
            <sz val="9"/>
            <rFont val="宋体"/>
            <family val="3"/>
            <charset val="134"/>
          </rPr>
          <t>曹磊:</t>
        </r>
        <r>
          <rPr>
            <sz val="9"/>
            <rFont val="宋体"/>
            <family val="3"/>
            <charset val="134"/>
          </rPr>
          <t xml:space="preserve">
世运会PDI
</t>
        </r>
      </text>
    </comment>
    <comment ref="K14" authorId="2" shapeId="0" xr:uid="{00000000-0006-0000-0400-000010000000}">
      <text>
        <r>
          <rPr>
            <b/>
            <sz val="9"/>
            <rFont val="宋体"/>
            <family val="3"/>
            <charset val="134"/>
          </rPr>
          <t>曹磊:</t>
        </r>
        <r>
          <rPr>
            <sz val="9"/>
            <rFont val="宋体"/>
            <family val="3"/>
            <charset val="134"/>
          </rPr>
          <t xml:space="preserve">
世运会PDI
</t>
        </r>
      </text>
    </comment>
    <comment ref="K16" authorId="2" shapeId="0" xr:uid="{00000000-0006-0000-0400-000011000000}">
      <text>
        <r>
          <rPr>
            <b/>
            <sz val="9"/>
            <rFont val="宋体"/>
            <family val="3"/>
            <charset val="134"/>
          </rPr>
          <t>曹磊:</t>
        </r>
        <r>
          <rPr>
            <sz val="9"/>
            <rFont val="宋体"/>
            <family val="3"/>
            <charset val="134"/>
          </rPr>
          <t xml:space="preserve">
世运会PDI
</t>
        </r>
      </text>
    </comment>
    <comment ref="S31" authorId="4" shapeId="0" xr:uid="{00000000-0006-0000-0400-000012000000}">
      <text>
        <r>
          <rPr>
            <b/>
            <sz val="9"/>
            <rFont val="宋体"/>
            <family val="3"/>
            <charset val="134"/>
          </rPr>
          <t>Innocence:</t>
        </r>
        <r>
          <rPr>
            <sz val="9"/>
            <rFont val="宋体"/>
            <family val="3"/>
            <charset val="134"/>
          </rPr>
          <t xml:space="preserve">
轮胎外修</t>
        </r>
      </text>
    </comment>
    <comment ref="S32" authorId="5" shapeId="0" xr:uid="{00000000-0006-0000-0400-000013000000}">
      <text>
        <r>
          <rPr>
            <b/>
            <sz val="9"/>
            <rFont val="宋体"/>
            <family val="3"/>
            <charset val="134"/>
          </rPr>
          <t>LEE:通川总产值含明折</t>
        </r>
        <r>
          <rPr>
            <sz val="9"/>
            <rFont val="宋体"/>
            <family val="3"/>
            <charset val="134"/>
          </rPr>
          <t xml:space="preserve">
  </t>
        </r>
      </text>
    </comment>
    <comment ref="T32" authorId="5" shapeId="0" xr:uid="{00000000-0006-0000-0400-000014000000}">
      <text>
        <r>
          <rPr>
            <b/>
            <sz val="9"/>
            <rFont val="宋体"/>
            <family val="3"/>
            <charset val="134"/>
          </rPr>
          <t>LEE:</t>
        </r>
        <r>
          <rPr>
            <sz val="9"/>
            <rFont val="宋体"/>
            <family val="3"/>
            <charset val="134"/>
          </rPr>
          <t xml:space="preserve">
维修系统材料明折一和美容</t>
        </r>
      </text>
    </comment>
    <comment ref="A33" authorId="5" shapeId="0" xr:uid="{00000000-0006-0000-0400-000015000000}">
      <text>
        <r>
          <rPr>
            <b/>
            <sz val="9"/>
            <rFont val="宋体"/>
            <family val="3"/>
            <charset val="134"/>
          </rPr>
          <t>LEE:</t>
        </r>
        <r>
          <rPr>
            <sz val="9"/>
            <rFont val="宋体"/>
            <family val="3"/>
            <charset val="134"/>
          </rPr>
          <t xml:space="preserve">
非车间班组装配，在装饰部加装</t>
        </r>
      </text>
    </comment>
    <comment ref="Q33" authorId="4" shapeId="0" xr:uid="{00000000-0006-0000-0400-000016000000}">
      <text>
        <r>
          <rPr>
            <b/>
            <sz val="9"/>
            <rFont val="宋体"/>
            <family val="3"/>
            <charset val="134"/>
          </rPr>
          <t>Innocence:</t>
        </r>
        <r>
          <rPr>
            <sz val="9"/>
            <rFont val="宋体"/>
            <family val="3"/>
            <charset val="134"/>
          </rPr>
          <t xml:space="preserve">
:配件出库不是车间人员（含车间离职人员）领用“客户部分”</t>
        </r>
      </text>
    </comment>
    <comment ref="S33" authorId="4" shapeId="0" xr:uid="{00000000-0006-0000-0400-000017000000}">
      <text>
        <r>
          <rPr>
            <b/>
            <sz val="9"/>
            <rFont val="宋体"/>
            <family val="3"/>
            <charset val="134"/>
          </rPr>
          <t>Innocence:</t>
        </r>
        <r>
          <rPr>
            <sz val="9"/>
            <rFont val="宋体"/>
            <family val="3"/>
            <charset val="134"/>
          </rPr>
          <t xml:space="preserve">
轮胎外修</t>
        </r>
      </text>
    </comment>
    <comment ref="T33" authorId="0" shapeId="0" xr:uid="{00000000-0006-0000-0400-000018000000}">
      <text>
        <r>
          <rPr>
            <b/>
            <sz val="9"/>
            <rFont val="宋体"/>
            <family val="3"/>
            <charset val="134"/>
          </rPr>
          <t>Administrator:配件出库不是车间人员（含车间离职人员）领用“客户部分”</t>
        </r>
      </text>
    </comment>
    <comment ref="F35" authorId="0" shapeId="0" xr:uid="{00000000-0006-0000-0400-000019000000}">
      <text>
        <r>
          <rPr>
            <b/>
            <sz val="9"/>
            <rFont val="宋体"/>
            <family val="3"/>
            <charset val="134"/>
          </rPr>
          <t>JLWH25034498:工时多赔付69.14，人为结算错误
JLWH25034999:客户自费500元</t>
        </r>
      </text>
    </comment>
    <comment ref="R35" authorId="0" shapeId="0" xr:uid="{00000000-0006-0000-0400-00001A000000}">
      <text>
        <r>
          <rPr>
            <b/>
            <sz val="9"/>
            <rFont val="宋体"/>
            <family val="3"/>
            <charset val="134"/>
          </rPr>
          <t>Administrator:</t>
        </r>
        <r>
          <rPr>
            <sz val="9"/>
            <rFont val="宋体"/>
            <family val="3"/>
            <charset val="134"/>
          </rPr>
          <t xml:space="preserve">
材料明折1和非车间人员领用
非车间领用+车间班组精品产值-材料明折1</t>
        </r>
      </text>
    </comment>
    <comment ref="S35" authorId="0" shapeId="0" xr:uid="{00000000-0006-0000-0400-00001B000000}">
      <text>
        <r>
          <rPr>
            <b/>
            <sz val="9"/>
            <rFont val="宋体"/>
            <family val="3"/>
            <charset val="134"/>
          </rPr>
          <t>Administrator:</t>
        </r>
        <r>
          <rPr>
            <sz val="9"/>
            <rFont val="宋体"/>
            <family val="3"/>
            <charset val="134"/>
          </rPr>
          <t xml:space="preserve">
材料明折1和非车间人员领用
非车间领用+车间班组精品产值-材料明折1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G18" authorId="0" shapeId="0" xr:uid="{00000000-0006-0000-0500-000001000000}">
      <text>
        <r>
          <rPr>
            <b/>
            <sz val="9"/>
            <rFont val="宋体"/>
            <family val="3"/>
            <charset val="134"/>
          </rPr>
          <t>dell:</t>
        </r>
        <r>
          <rPr>
            <sz val="9"/>
            <rFont val="宋体"/>
            <family val="3"/>
            <charset val="134"/>
          </rPr>
          <t xml:space="preserve">
7月优秀班组，绩效增加1个点</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lql20160530</author>
    <author>Administrator</author>
    <author>CWB-N</author>
    <author>作者</author>
    <author>lijiaying</author>
    <author>LEE</author>
    <author>GEELYCW2</author>
    <author>Micorosoft</author>
  </authors>
  <commentList>
    <comment ref="AZ2" authorId="0" shapeId="0" xr:uid="{00000000-0006-0000-0600-000001000000}">
      <text>
        <r>
          <rPr>
            <b/>
            <sz val="9"/>
            <rFont val="宋体"/>
            <family val="3"/>
            <charset val="134"/>
          </rPr>
          <t>秋</t>
        </r>
        <r>
          <rPr>
            <b/>
            <sz val="9"/>
            <rFont val="Tahoma"/>
            <family val="2"/>
          </rPr>
          <t>:</t>
        </r>
        <r>
          <rPr>
            <sz val="9"/>
            <rFont val="Tahoma"/>
            <family val="2"/>
          </rPr>
          <t xml:space="preserve">
</t>
        </r>
        <r>
          <rPr>
            <sz val="9"/>
            <rFont val="宋体"/>
            <family val="3"/>
            <charset val="134"/>
          </rPr>
          <t>业务顾问</t>
        </r>
        <r>
          <rPr>
            <sz val="9"/>
            <rFont val="Tahoma"/>
            <family val="2"/>
          </rPr>
          <t>10</t>
        </r>
        <r>
          <rPr>
            <sz val="9"/>
            <rFont val="宋体"/>
            <family val="3"/>
            <charset val="134"/>
          </rPr>
          <t>元</t>
        </r>
        <r>
          <rPr>
            <sz val="9"/>
            <rFont val="Tahoma"/>
            <family val="2"/>
          </rPr>
          <t>/</t>
        </r>
        <r>
          <rPr>
            <sz val="9"/>
            <rFont val="宋体"/>
            <family val="3"/>
            <charset val="134"/>
          </rPr>
          <t>单
车间班组</t>
        </r>
        <r>
          <rPr>
            <sz val="9"/>
            <rFont val="Tahoma"/>
            <family val="2"/>
          </rPr>
          <t>15</t>
        </r>
        <r>
          <rPr>
            <sz val="9"/>
            <rFont val="宋体"/>
            <family val="3"/>
            <charset val="134"/>
          </rPr>
          <t>元</t>
        </r>
        <r>
          <rPr>
            <sz val="9"/>
            <rFont val="Tahoma"/>
            <family val="2"/>
          </rPr>
          <t>/</t>
        </r>
        <r>
          <rPr>
            <sz val="9"/>
            <rFont val="宋体"/>
            <family val="3"/>
            <charset val="134"/>
          </rPr>
          <t>单</t>
        </r>
      </text>
    </comment>
    <comment ref="BI2" authorId="1" shapeId="0" xr:uid="{00000000-0006-0000-0600-000002000000}">
      <text>
        <r>
          <rPr>
            <b/>
            <sz val="9"/>
            <rFont val="宋体"/>
            <family val="3"/>
            <charset val="134"/>
          </rPr>
          <t>Administrator:</t>
        </r>
        <r>
          <rPr>
            <sz val="9"/>
            <rFont val="宋体"/>
            <family val="3"/>
            <charset val="134"/>
          </rPr>
          <t xml:space="preserve">
提成：25/个</t>
        </r>
      </text>
    </comment>
    <comment ref="BL2" authorId="1" shapeId="0" xr:uid="{00000000-0006-0000-0600-000003000000}">
      <text>
        <r>
          <rPr>
            <b/>
            <sz val="9"/>
            <rFont val="宋体"/>
            <family val="3"/>
            <charset val="134"/>
          </rPr>
          <t>Administrator:</t>
        </r>
        <r>
          <rPr>
            <sz val="9"/>
            <rFont val="宋体"/>
            <family val="3"/>
            <charset val="134"/>
          </rPr>
          <t xml:space="preserve">
LED考核：完成率低于80%，考核20元/单
</t>
        </r>
      </text>
    </comment>
    <comment ref="AR3" authorId="2" shapeId="0" xr:uid="{00000000-0006-0000-0600-000004000000}">
      <text>
        <r>
          <rPr>
            <b/>
            <sz val="9"/>
            <rFont val="宋体"/>
            <family val="3"/>
            <charset val="134"/>
          </rPr>
          <t>CWB-N:</t>
        </r>
        <r>
          <rPr>
            <sz val="9"/>
            <rFont val="宋体"/>
            <family val="3"/>
            <charset val="134"/>
          </rPr>
          <t xml:space="preserve">
DMS套餐50一单</t>
        </r>
      </text>
    </comment>
    <comment ref="AU3" authorId="3" shapeId="0" xr:uid="{00000000-0006-0000-0600-000005000000}">
      <text>
        <r>
          <rPr>
            <b/>
            <sz val="9"/>
            <rFont val="宋体"/>
            <family val="3"/>
            <charset val="134"/>
          </rPr>
          <t>作者:</t>
        </r>
        <r>
          <rPr>
            <sz val="9"/>
            <rFont val="宋体"/>
            <family val="3"/>
            <charset val="134"/>
          </rPr>
          <t xml:space="preserve">
首保福袋卡提成：35元/个</t>
        </r>
      </text>
    </comment>
    <comment ref="AV3" authorId="1" shapeId="0" xr:uid="{00000000-0006-0000-0600-000006000000}">
      <text>
        <r>
          <rPr>
            <b/>
            <sz val="9"/>
            <rFont val="宋体"/>
            <family val="3"/>
            <charset val="134"/>
          </rPr>
          <t>Administrator:</t>
        </r>
        <r>
          <rPr>
            <sz val="9"/>
            <rFont val="宋体"/>
            <family val="3"/>
            <charset val="134"/>
          </rPr>
          <t xml:space="preserve">
保养福袋卡25元个</t>
        </r>
      </text>
    </comment>
    <comment ref="BE3" authorId="4" shapeId="0" xr:uid="{00000000-0006-0000-0600-000007000000}">
      <text>
        <r>
          <rPr>
            <b/>
            <sz val="9"/>
            <rFont val="宋体"/>
            <family val="3"/>
            <charset val="134"/>
          </rPr>
          <t>提成：30元/个</t>
        </r>
      </text>
    </comment>
    <comment ref="BW3" authorId="3" shapeId="0" xr:uid="{00000000-0006-0000-0600-000008000000}">
      <text>
        <r>
          <rPr>
            <b/>
            <sz val="9"/>
            <rFont val="宋体"/>
            <family val="3"/>
            <charset val="134"/>
          </rPr>
          <t>作者:</t>
        </r>
        <r>
          <rPr>
            <sz val="9"/>
            <rFont val="宋体"/>
            <family val="3"/>
            <charset val="134"/>
          </rPr>
          <t xml:space="preserve">
提成：30元/个</t>
        </r>
      </text>
    </comment>
    <comment ref="N4" authorId="5" shapeId="0" xr:uid="{00000000-0006-0000-0600-000009000000}">
      <text>
        <r>
          <rPr>
            <b/>
            <sz val="9"/>
            <rFont val="宋体"/>
            <family val="3"/>
            <charset val="134"/>
          </rPr>
          <t>LEE:</t>
        </r>
        <r>
          <rPr>
            <sz val="9"/>
            <rFont val="宋体"/>
            <family val="3"/>
            <charset val="134"/>
          </rPr>
          <t xml:space="preserve">
含明折一</t>
        </r>
      </text>
    </comment>
    <comment ref="R41" authorId="1" shapeId="0" xr:uid="{00000000-0006-0000-0600-00000A000000}">
      <text>
        <r>
          <rPr>
            <b/>
            <sz val="9"/>
            <rFont val="宋体"/>
            <family val="3"/>
            <charset val="134"/>
          </rPr>
          <t>Administrator:</t>
        </r>
        <r>
          <rPr>
            <sz val="9"/>
            <rFont val="宋体"/>
            <family val="3"/>
            <charset val="134"/>
          </rPr>
          <t xml:space="preserve">
罗筱凡名字出单2215元</t>
        </r>
      </text>
    </comment>
    <comment ref="AH41" authorId="5" shapeId="0" xr:uid="{00000000-0006-0000-0600-00000B000000}">
      <text>
        <r>
          <rPr>
            <b/>
            <sz val="9"/>
            <rFont val="宋体"/>
            <family val="3"/>
            <charset val="134"/>
          </rPr>
          <t>LEE:</t>
        </r>
        <r>
          <rPr>
            <sz val="9"/>
            <rFont val="宋体"/>
            <family val="3"/>
            <charset val="134"/>
          </rPr>
          <t xml:space="preserve">
精品：博瑞前制动盘（索赔）</t>
        </r>
      </text>
    </comment>
    <comment ref="AJ41" authorId="5" shapeId="0" xr:uid="{00000000-0006-0000-0600-00000C000000}">
      <text>
        <r>
          <rPr>
            <b/>
            <sz val="9"/>
            <rFont val="宋体"/>
            <family val="3"/>
            <charset val="134"/>
          </rPr>
          <t>LEE:</t>
        </r>
        <r>
          <rPr>
            <sz val="9"/>
            <rFont val="宋体"/>
            <family val="3"/>
            <charset val="134"/>
          </rPr>
          <t xml:space="preserve">
精品：博瑞前制动盘（索赔）</t>
        </r>
      </text>
    </comment>
    <comment ref="CJ44" authorId="6" shapeId="0" xr:uid="{00000000-0006-0000-0600-00000D000000}">
      <text>
        <r>
          <rPr>
            <b/>
            <sz val="9"/>
            <rFont val="宋体"/>
            <family val="3"/>
            <charset val="134"/>
          </rPr>
          <t xml:space="preserve">曹磊:
结算错误导致工时差异  明折2处理
</t>
        </r>
      </text>
    </comment>
    <comment ref="N45" authorId="1" shapeId="0" xr:uid="{00000000-0006-0000-0600-00000E000000}">
      <text>
        <r>
          <rPr>
            <b/>
            <sz val="9"/>
            <rFont val="宋体"/>
            <family val="3"/>
            <charset val="134"/>
          </rPr>
          <t>Administrator:</t>
        </r>
        <r>
          <rPr>
            <sz val="9"/>
            <rFont val="宋体"/>
            <family val="3"/>
            <charset val="134"/>
          </rPr>
          <t xml:space="preserve">
保险未做精品收入 目前美容业务销售顾问不提成</t>
        </r>
      </text>
    </comment>
    <comment ref="AH45" authorId="1" shapeId="0" xr:uid="{00000000-0006-0000-0600-00000F000000}">
      <text>
        <r>
          <rPr>
            <b/>
            <sz val="9"/>
            <rFont val="宋体"/>
            <family val="3"/>
            <charset val="134"/>
          </rPr>
          <t>Administrator:</t>
        </r>
        <r>
          <rPr>
            <sz val="9"/>
            <rFont val="宋体"/>
            <family val="3"/>
            <charset val="134"/>
          </rPr>
          <t xml:space="preserve">
保险未做精品收入-车机产值差异  不含车间产值部分</t>
        </r>
      </text>
    </comment>
    <comment ref="CJ46" authorId="7" shapeId="0" xr:uid="{00000000-0006-0000-0600-000010000000}">
      <text>
        <r>
          <rPr>
            <sz val="9"/>
            <rFont val="宋体"/>
            <family val="3"/>
            <charset val="134"/>
          </rPr>
          <t>与其他部门提成产值总额核对</t>
        </r>
        <r>
          <rPr>
            <sz val="9"/>
            <rFont val="Tahoma"/>
            <family val="2"/>
          </rPr>
          <t xml:space="preserve">
</t>
        </r>
        <r>
          <rPr>
            <sz val="9"/>
            <rFont val="宋体"/>
            <family val="3"/>
            <charset val="134"/>
          </rPr>
          <t>美容业务顾问不提成</t>
        </r>
      </text>
    </comment>
    <comment ref="N47" authorId="1" shapeId="0" xr:uid="{00000000-0006-0000-0600-000011000000}">
      <text>
        <r>
          <rPr>
            <b/>
            <sz val="9"/>
            <rFont val="宋体"/>
            <family val="3"/>
            <charset val="134"/>
          </rPr>
          <t>保险 索赔未做精品收入</t>
        </r>
        <r>
          <rPr>
            <sz val="9"/>
            <rFont val="宋体"/>
            <family val="3"/>
            <charset val="134"/>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PC</author>
    <author>齐坤忠</author>
    <author>Administrator</author>
  </authors>
  <commentList>
    <comment ref="J6" authorId="0" shapeId="0" xr:uid="{00000000-0006-0000-0700-000001000000}">
      <text>
        <r>
          <rPr>
            <b/>
            <sz val="9"/>
            <rFont val="宋体"/>
            <family val="3"/>
            <charset val="134"/>
          </rPr>
          <t>PC:</t>
        </r>
        <r>
          <rPr>
            <sz val="9"/>
            <rFont val="宋体"/>
            <family val="3"/>
            <charset val="134"/>
          </rPr>
          <t xml:space="preserve">
6月高温</t>
        </r>
      </text>
    </comment>
    <comment ref="E10" authorId="0" shapeId="0" xr:uid="{00000000-0006-0000-0700-000002000000}">
      <text>
        <r>
          <rPr>
            <b/>
            <sz val="9"/>
            <rFont val="宋体"/>
            <family val="3"/>
            <charset val="134"/>
          </rPr>
          <t>PC:</t>
        </r>
        <r>
          <rPr>
            <sz val="9"/>
            <rFont val="宋体"/>
            <family val="3"/>
            <charset val="134"/>
          </rPr>
          <t xml:space="preserve">
2021年3月调级至2200</t>
        </r>
      </text>
    </comment>
    <comment ref="M125" authorId="0" shapeId="0" xr:uid="{00000000-0006-0000-0700-000003000000}">
      <text>
        <r>
          <rPr>
            <b/>
            <sz val="9"/>
            <rFont val="Tahoma"/>
            <family val="2"/>
          </rPr>
          <t>PC:</t>
        </r>
        <r>
          <rPr>
            <sz val="9"/>
            <rFont val="Tahoma"/>
            <family val="2"/>
          </rPr>
          <t xml:space="preserve">
</t>
        </r>
        <r>
          <rPr>
            <sz val="9"/>
            <rFont val="宋体"/>
            <family val="3"/>
            <charset val="134"/>
          </rPr>
          <t>餐补</t>
        </r>
      </text>
    </comment>
    <comment ref="AF125" authorId="1" shapeId="0" xr:uid="{00000000-0006-0000-0700-000004000000}">
      <text>
        <r>
          <rPr>
            <b/>
            <sz val="9"/>
            <rFont val="宋体"/>
            <family val="3"/>
            <charset val="134"/>
          </rPr>
          <t>电话费</t>
        </r>
      </text>
    </comment>
    <comment ref="AG125" authorId="2" shapeId="0" xr:uid="{00000000-0006-0000-0700-000005000000}">
      <text>
        <r>
          <rPr>
            <b/>
            <sz val="9"/>
            <rFont val="Tahoma"/>
            <family val="2"/>
          </rPr>
          <t>Administrator:</t>
        </r>
        <r>
          <rPr>
            <sz val="9"/>
            <rFont val="Tahoma"/>
            <family val="2"/>
          </rPr>
          <t xml:space="preserve">
</t>
        </r>
      </text>
    </comment>
    <comment ref="E127" authorId="2" shapeId="0" xr:uid="{00000000-0006-0000-0700-000006000000}">
      <text>
        <r>
          <rPr>
            <b/>
            <sz val="9"/>
            <rFont val="宋体"/>
            <family val="3"/>
            <charset val="134"/>
          </rPr>
          <t>2024年3月岗位调整</t>
        </r>
      </text>
    </comment>
    <comment ref="C142" authorId="2" shapeId="0" xr:uid="{00000000-0006-0000-0700-000007000000}">
      <text>
        <r>
          <rPr>
            <b/>
            <sz val="9"/>
            <rFont val="宋体"/>
            <family val="3"/>
            <charset val="134"/>
          </rPr>
          <t>2026.5.1调西物售后</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lql20160530</author>
    <author>Administrator</author>
  </authors>
  <commentList>
    <comment ref="K3" authorId="0" shapeId="0" xr:uid="{00000000-0006-0000-0800-000001000000}">
      <text>
        <r>
          <rPr>
            <b/>
            <sz val="9"/>
            <rFont val="宋体"/>
            <family val="3"/>
            <charset val="134"/>
          </rPr>
          <t>秋</t>
        </r>
        <r>
          <rPr>
            <b/>
            <sz val="9"/>
            <rFont val="Tahoma"/>
            <family val="2"/>
          </rPr>
          <t>:</t>
        </r>
        <r>
          <rPr>
            <sz val="9"/>
            <rFont val="Tahoma"/>
            <family val="2"/>
          </rPr>
          <t xml:space="preserve">
</t>
        </r>
        <r>
          <rPr>
            <sz val="9"/>
            <rFont val="宋体"/>
            <family val="3"/>
            <charset val="134"/>
          </rPr>
          <t>满意度考核及其他附加提成</t>
        </r>
      </text>
    </comment>
    <comment ref="Y3" authorId="1" shapeId="0" xr:uid="{00000000-0006-0000-0800-000002000000}">
      <text>
        <r>
          <rPr>
            <b/>
            <sz val="9"/>
            <rFont val="Tahoma"/>
            <family val="2"/>
          </rPr>
          <t>Administrator:</t>
        </r>
        <r>
          <rPr>
            <sz val="9"/>
            <rFont val="Tahoma"/>
            <family val="2"/>
          </rPr>
          <t xml:space="preserve">
</t>
        </r>
        <r>
          <rPr>
            <sz val="9"/>
            <rFont val="宋体"/>
            <family val="3"/>
            <charset val="134"/>
          </rPr>
          <t>台次</t>
        </r>
      </text>
    </comment>
    <comment ref="Z3" authorId="1" shapeId="0" xr:uid="{00000000-0006-0000-0800-000003000000}">
      <text>
        <r>
          <rPr>
            <b/>
            <sz val="9"/>
            <rFont val="Tahoma"/>
            <family val="2"/>
          </rPr>
          <t>Administrator:</t>
        </r>
        <r>
          <rPr>
            <sz val="9"/>
            <rFont val="Tahoma"/>
            <family val="2"/>
          </rPr>
          <t xml:space="preserve">
</t>
        </r>
        <r>
          <rPr>
            <sz val="9"/>
            <rFont val="宋体"/>
            <family val="3"/>
            <charset val="134"/>
          </rPr>
          <t>产值</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jlxzz</author>
    <author>xzbk</author>
    <author>微软用户</author>
    <author>Administrator</author>
  </authors>
  <commentList>
    <comment ref="G2" authorId="0" shapeId="0" xr:uid="{00000000-0006-0000-0A00-000001000000}">
      <text>
        <r>
          <rPr>
            <b/>
            <sz val="9"/>
            <rFont val="宋体"/>
            <family val="3"/>
            <charset val="134"/>
          </rPr>
          <t>jlxzz:</t>
        </r>
        <r>
          <rPr>
            <sz val="9"/>
            <rFont val="宋体"/>
            <family val="3"/>
            <charset val="134"/>
          </rPr>
          <t xml:space="preserve">
2023.3.1日调入机场店</t>
        </r>
      </text>
    </comment>
    <comment ref="B22" authorId="1" shapeId="0" xr:uid="{00000000-0006-0000-0A00-000002000000}">
      <text>
        <r>
          <rPr>
            <b/>
            <sz val="9"/>
            <rFont val="宋体"/>
            <family val="3"/>
            <charset val="134"/>
          </rPr>
          <t>xzbk:</t>
        </r>
        <r>
          <rPr>
            <sz val="9"/>
            <rFont val="宋体"/>
            <family val="3"/>
            <charset val="134"/>
          </rPr>
          <t xml:space="preserve">
2021.4.6转前台接待</t>
        </r>
      </text>
    </comment>
    <comment ref="B24" authorId="1" shapeId="0" xr:uid="{00000000-0006-0000-0A00-000003000000}">
      <text>
        <r>
          <rPr>
            <sz val="9"/>
            <rFont val="宋体"/>
            <family val="3"/>
            <charset val="134"/>
          </rPr>
          <t>2021年4月21日调市场部</t>
        </r>
      </text>
    </comment>
    <comment ref="B29" authorId="2" shapeId="0" xr:uid="{00000000-0006-0000-0A00-000004000000}">
      <text>
        <r>
          <rPr>
            <b/>
            <sz val="9"/>
            <rFont val="宋体"/>
            <family val="3"/>
            <charset val="134"/>
          </rPr>
          <t>微软用户</t>
        </r>
        <r>
          <rPr>
            <b/>
            <sz val="9"/>
            <rFont val="Tahoma"/>
            <family val="2"/>
          </rPr>
          <t>:</t>
        </r>
        <r>
          <rPr>
            <sz val="9"/>
            <rFont val="Tahoma"/>
            <family val="2"/>
          </rPr>
          <t xml:space="preserve">
2016.3.2</t>
        </r>
        <r>
          <rPr>
            <sz val="9"/>
            <rFont val="宋体"/>
            <family val="3"/>
            <charset val="134"/>
          </rPr>
          <t>日转正，2020.4.1晋升为主管三级</t>
        </r>
      </text>
    </comment>
    <comment ref="B33" authorId="3" shapeId="0" xr:uid="{00000000-0006-0000-0A00-000005000000}">
      <text>
        <r>
          <rPr>
            <b/>
            <sz val="9"/>
            <rFont val="宋体"/>
            <family val="3"/>
            <charset val="134"/>
          </rPr>
          <t>2019.10.1调增值业务部</t>
        </r>
        <r>
          <rPr>
            <sz val="9"/>
            <rFont val="宋体"/>
            <family val="3"/>
            <charset val="134"/>
          </rPr>
          <t xml:space="preserve">
</t>
        </r>
      </text>
    </comment>
    <comment ref="B40" authorId="1" shapeId="0" xr:uid="{00000000-0006-0000-0A00-000006000000}">
      <text>
        <r>
          <rPr>
            <b/>
            <sz val="9"/>
            <rFont val="宋体"/>
            <family val="3"/>
            <charset val="134"/>
          </rPr>
          <t>xzbk:</t>
        </r>
        <r>
          <rPr>
            <sz val="9"/>
            <rFont val="宋体"/>
            <family val="3"/>
            <charset val="134"/>
          </rPr>
          <t xml:space="preserve">
4.18调机场店交车专员</t>
        </r>
      </text>
    </comment>
    <comment ref="G61" authorId="0" shapeId="0" xr:uid="{00000000-0006-0000-0A00-000007000000}">
      <text>
        <r>
          <rPr>
            <b/>
            <sz val="9"/>
            <rFont val="宋体"/>
            <family val="3"/>
            <charset val="134"/>
          </rPr>
          <t>jlxzz:</t>
        </r>
        <r>
          <rPr>
            <sz val="9"/>
            <rFont val="宋体"/>
            <family val="3"/>
            <charset val="134"/>
          </rPr>
          <t xml:space="preserve">
2026.4.1调动吉利超市</t>
        </r>
      </text>
    </comment>
    <comment ref="B80" authorId="0" shapeId="0" xr:uid="{00000000-0006-0000-0A00-000008000000}">
      <text>
        <r>
          <rPr>
            <b/>
            <sz val="9"/>
            <rFont val="宋体"/>
            <family val="3"/>
            <charset val="134"/>
          </rPr>
          <t>jlxzz:</t>
        </r>
        <r>
          <rPr>
            <sz val="9"/>
            <rFont val="宋体"/>
            <family val="3"/>
            <charset val="134"/>
          </rPr>
          <t xml:space="preserve">
2023.3.1调入机场店</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38304</author>
    <author>Micorosoft</author>
  </authors>
  <commentList>
    <comment ref="AB1" authorId="0" shapeId="0" xr:uid="{00000000-0006-0000-0D00-000001000000}">
      <text>
        <r>
          <rPr>
            <sz val="9"/>
            <rFont val="宋体"/>
            <family val="3"/>
            <charset val="134"/>
          </rPr>
          <t>低于50%考核500元</t>
        </r>
      </text>
    </comment>
    <comment ref="A7" authorId="0" shapeId="0" xr:uid="{00000000-0006-0000-0D00-000002000000}">
      <text>
        <r>
          <rPr>
            <sz val="9"/>
            <rFont val="宋体"/>
            <family val="3"/>
            <charset val="134"/>
          </rPr>
          <t xml:space="preserve">周凤英离职后由高梓绮接手，因此共同计算续保率
</t>
        </r>
      </text>
    </comment>
    <comment ref="A22" authorId="1" shapeId="0" xr:uid="{00000000-0006-0000-0D00-000003000000}">
      <text>
        <r>
          <rPr>
            <b/>
            <sz val="9"/>
            <rFont val="宋体"/>
            <family val="3"/>
            <charset val="134"/>
          </rPr>
          <t>注：保险公司设置为下拉菜单，不得自行修改</t>
        </r>
        <r>
          <rPr>
            <sz val="9"/>
            <rFont val="宋体"/>
            <family val="3"/>
            <charset val="134"/>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00000000-0006-0000-1100-000001000000}">
      <text>
        <r>
          <rPr>
            <b/>
            <sz val="9"/>
            <rFont val="宋体"/>
            <family val="3"/>
            <charset val="134"/>
          </rPr>
          <t>Administrator:</t>
        </r>
        <r>
          <rPr>
            <sz val="9"/>
            <rFont val="宋体"/>
            <family val="3"/>
            <charset val="134"/>
          </rPr>
          <t xml:space="preserve">
促进春节假期终端销量提升，春节期间(除夕到初七，2月16-23日），为鼓励销售顾问多订车，给与销售顾问发放200元/单的红包奖励  渠道100元/单的红包奖励
匹配订单</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PC</author>
    <author>Administrator</author>
    <author>admin</author>
    <author>GEELYCW2</author>
  </authors>
  <commentList>
    <comment ref="I3" authorId="0" shapeId="0" xr:uid="{00000000-0006-0000-1200-000001000000}">
      <text>
        <r>
          <rPr>
            <b/>
            <sz val="9"/>
            <rFont val="宋体"/>
            <family val="3"/>
            <charset val="134"/>
          </rPr>
          <t>PC:录音考核</t>
        </r>
      </text>
    </comment>
    <comment ref="I4" authorId="1" shapeId="0" xr:uid="{00000000-0006-0000-1200-000002000000}">
      <text>
        <r>
          <rPr>
            <b/>
            <sz val="9"/>
            <rFont val="宋体"/>
            <family val="3"/>
            <charset val="134"/>
          </rPr>
          <t>1-2月BOC考核奖励600元</t>
        </r>
        <r>
          <rPr>
            <sz val="9"/>
            <rFont val="宋体"/>
            <family val="3"/>
            <charset val="134"/>
          </rPr>
          <t xml:space="preserve">
</t>
        </r>
      </text>
    </comment>
    <comment ref="X19" authorId="1" shapeId="0" xr:uid="{00000000-0006-0000-1200-000003000000}">
      <text>
        <r>
          <rPr>
            <b/>
            <sz val="9"/>
            <rFont val="宋体"/>
            <family val="3"/>
            <charset val="134"/>
          </rPr>
          <t>3月B0C免考核奖励</t>
        </r>
        <r>
          <rPr>
            <sz val="9"/>
            <rFont val="宋体"/>
            <family val="3"/>
            <charset val="134"/>
          </rPr>
          <t xml:space="preserve">
</t>
        </r>
      </text>
    </comment>
    <comment ref="J31" authorId="0" shapeId="0" xr:uid="{00000000-0006-0000-1200-000004000000}">
      <text>
        <r>
          <rPr>
            <b/>
            <sz val="9"/>
            <rFont val="宋体"/>
            <family val="3"/>
            <charset val="134"/>
          </rPr>
          <t>PC:</t>
        </r>
        <r>
          <rPr>
            <sz val="9"/>
            <rFont val="宋体"/>
            <family val="3"/>
            <charset val="134"/>
          </rPr>
          <t xml:space="preserve">
5月1日晋升代理业务主管。基本调整至1200，补差异300，管理绩效1800</t>
        </r>
      </text>
    </comment>
    <comment ref="I50" authorId="2" shapeId="0" xr:uid="{00000000-0006-0000-1200-000005000000}">
      <text>
        <r>
          <rPr>
            <b/>
            <sz val="9"/>
            <rFont val="宋体"/>
            <family val="3"/>
            <charset val="134"/>
          </rPr>
          <t>admin:</t>
        </r>
        <r>
          <rPr>
            <sz val="9"/>
            <rFont val="宋体"/>
            <family val="3"/>
            <charset val="134"/>
          </rPr>
          <t xml:space="preserve">
补1月薪酬差异</t>
        </r>
      </text>
    </comment>
    <comment ref="G216" authorId="3" shapeId="0" xr:uid="{00000000-0006-0000-1200-000006000000}">
      <text>
        <r>
          <rPr>
            <b/>
            <sz val="9"/>
            <rFont val="宋体"/>
            <family val="3"/>
            <charset val="134"/>
          </rPr>
          <t>差异为徐炳涛</t>
        </r>
        <r>
          <rPr>
            <sz val="9"/>
            <rFont val="宋体"/>
            <family val="3"/>
            <charset val="134"/>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曹磊</author>
  </authors>
  <commentList>
    <comment ref="G21" authorId="0" shapeId="0" xr:uid="{00000000-0006-0000-1500-000001000000}">
      <text>
        <r>
          <rPr>
            <b/>
            <sz val="9"/>
            <rFont val="宋体"/>
            <family val="3"/>
            <charset val="134"/>
          </rPr>
          <t>曹磊:</t>
        </r>
        <r>
          <rPr>
            <sz val="9"/>
            <rFont val="宋体"/>
            <family val="3"/>
            <charset val="134"/>
          </rPr>
          <t xml:space="preserve">
储备服务经理补助</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3" authorId="0" shapeId="0" xr:uid="{00000000-0006-0000-1700-000001000000}">
      <text>
        <r>
          <rPr>
            <b/>
            <sz val="9"/>
            <rFont val="宋体"/>
            <family val="3"/>
            <charset val="134"/>
          </rPr>
          <t>除开无效信息后，真实战败量</t>
        </r>
      </text>
    </comment>
    <comment ref="J3" authorId="0" shapeId="0" xr:uid="{00000000-0006-0000-1700-000002000000}">
      <text>
        <r>
          <rPr>
            <b/>
            <sz val="9"/>
            <rFont val="宋体"/>
            <family val="3"/>
            <charset val="134"/>
          </rPr>
          <t>除开无效信息后，真实占比</t>
        </r>
        <r>
          <rPr>
            <sz val="9"/>
            <rFont val="宋体"/>
            <family val="3"/>
            <charset val="134"/>
          </rPr>
          <t xml:space="preserve">
</t>
        </r>
      </text>
    </comment>
    <comment ref="R3" authorId="0" shapeId="0" xr:uid="{00000000-0006-0000-1700-000003000000}">
      <text>
        <r>
          <rPr>
            <b/>
            <sz val="9"/>
            <rFont val="宋体"/>
            <family val="3"/>
            <charset val="134"/>
          </rPr>
          <t>除开无效信息后，真实战败量</t>
        </r>
      </text>
    </comment>
    <comment ref="S3" authorId="0" shapeId="0" xr:uid="{00000000-0006-0000-1700-000004000000}">
      <text>
        <r>
          <rPr>
            <b/>
            <sz val="9"/>
            <rFont val="宋体"/>
            <family val="3"/>
            <charset val="134"/>
          </rPr>
          <t>除开无效信息后，真实占比</t>
        </r>
        <r>
          <rPr>
            <sz val="9"/>
            <rFont val="宋体"/>
            <family val="3"/>
            <charset val="134"/>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Administrator</author>
    <author>齐坤忠</author>
  </authors>
  <commentList>
    <comment ref="A75" authorId="0" shapeId="0" xr:uid="{00000000-0006-0000-1F00-000001000000}">
      <text>
        <r>
          <rPr>
            <b/>
            <sz val="9"/>
            <rFont val="宋体"/>
            <family val="3"/>
            <charset val="134"/>
          </rPr>
          <t>批注:</t>
        </r>
        <r>
          <rPr>
            <sz val="9"/>
            <rFont val="宋体"/>
            <family val="3"/>
            <charset val="134"/>
          </rPr>
          <t xml:space="preserve">
Administrator:
2022年2月从明睿调超市
</t>
        </r>
      </text>
    </comment>
    <comment ref="C231" authorId="1" shapeId="0" xr:uid="{00000000-0006-0000-1F00-000002000000}">
      <text>
        <r>
          <rPr>
            <b/>
            <sz val="9"/>
            <rFont val="宋体"/>
            <family val="3"/>
            <charset val="134"/>
          </rPr>
          <t>齐坤忠</t>
        </r>
        <r>
          <rPr>
            <b/>
            <sz val="9"/>
            <rFont val="Tahoma"/>
            <family val="2"/>
          </rPr>
          <t>:</t>
        </r>
        <r>
          <rPr>
            <sz val="9"/>
            <rFont val="Tahoma"/>
            <family val="2"/>
          </rPr>
          <t xml:space="preserve">
2015</t>
        </r>
        <r>
          <rPr>
            <sz val="9"/>
            <rFont val="宋体"/>
            <family val="3"/>
            <charset val="134"/>
          </rPr>
          <t>年</t>
        </r>
        <r>
          <rPr>
            <sz val="9"/>
            <rFont val="Tahoma"/>
            <family val="2"/>
          </rPr>
          <t>4</t>
        </r>
        <r>
          <rPr>
            <sz val="9"/>
            <rFont val="宋体"/>
            <family val="3"/>
            <charset val="134"/>
          </rPr>
          <t xml:space="preserve">月调薪年薪
</t>
        </r>
        <r>
          <rPr>
            <sz val="9"/>
            <rFont val="Tahoma"/>
            <family val="2"/>
          </rPr>
          <t>2016</t>
        </r>
        <r>
          <rPr>
            <sz val="9"/>
            <rFont val="宋体"/>
            <family val="3"/>
            <charset val="134"/>
          </rPr>
          <t>年</t>
        </r>
        <r>
          <rPr>
            <sz val="9"/>
            <rFont val="Tahoma"/>
            <family val="2"/>
          </rPr>
          <t>7</t>
        </r>
        <r>
          <rPr>
            <sz val="9"/>
            <rFont val="宋体"/>
            <family val="3"/>
            <charset val="134"/>
          </rPr>
          <t>月调薪、</t>
        </r>
        <r>
          <rPr>
            <sz val="9"/>
            <rFont val="Tahoma"/>
            <family val="2"/>
          </rPr>
          <t>2023</t>
        </r>
        <r>
          <rPr>
            <sz val="9"/>
            <rFont val="宋体"/>
            <family val="3"/>
            <charset val="134"/>
          </rPr>
          <t xml:space="preserve">年调薪
</t>
        </r>
      </text>
    </comment>
  </commentList>
</comments>
</file>

<file path=xl/sharedStrings.xml><?xml version="1.0" encoding="utf-8"?>
<sst xmlns="http://schemas.openxmlformats.org/spreadsheetml/2006/main" count="22679" uniqueCount="5885">
  <si>
    <r>
      <rPr>
        <b/>
        <sz val="18"/>
        <color theme="1"/>
        <rFont val="宋体"/>
        <family val="3"/>
        <charset val="134"/>
      </rPr>
      <t>2026年</t>
    </r>
    <r>
      <rPr>
        <b/>
        <sz val="18"/>
        <color rgb="FF000000"/>
        <rFont val="宋体"/>
        <family val="3"/>
        <charset val="134"/>
      </rPr>
      <t>05月成都吉利汽车超市工资明细表（售后）</t>
    </r>
  </si>
  <si>
    <t>编制：人事部</t>
  </si>
  <si>
    <r>
      <rPr>
        <b/>
        <sz val="11"/>
        <color indexed="8"/>
        <rFont val="宋体"/>
        <family val="3"/>
        <charset val="134"/>
      </rPr>
      <t>序号</t>
    </r>
  </si>
  <si>
    <r>
      <rPr>
        <b/>
        <sz val="11"/>
        <color indexed="8"/>
        <rFont val="宋体"/>
        <family val="3"/>
        <charset val="134"/>
      </rPr>
      <t>部门</t>
    </r>
  </si>
  <si>
    <r>
      <rPr>
        <b/>
        <sz val="11"/>
        <color indexed="8"/>
        <rFont val="宋体"/>
        <family val="3"/>
        <charset val="134"/>
      </rPr>
      <t>姓</t>
    </r>
    <r>
      <rPr>
        <b/>
        <sz val="11"/>
        <color indexed="8"/>
        <rFont val="Times New Roman"/>
        <family val="1"/>
      </rPr>
      <t xml:space="preserve"> </t>
    </r>
    <r>
      <rPr>
        <b/>
        <sz val="11"/>
        <color indexed="8"/>
        <rFont val="宋体"/>
        <family val="3"/>
        <charset val="134"/>
      </rPr>
      <t>名</t>
    </r>
  </si>
  <si>
    <t>其他补贴</t>
  </si>
  <si>
    <r>
      <rPr>
        <b/>
        <sz val="11"/>
        <color indexed="8"/>
        <rFont val="宋体"/>
        <family val="3"/>
        <charset val="134"/>
      </rPr>
      <t>单位社保</t>
    </r>
  </si>
  <si>
    <r>
      <rPr>
        <b/>
        <sz val="11"/>
        <color indexed="8"/>
        <rFont val="宋体"/>
        <family val="3"/>
        <charset val="134"/>
      </rPr>
      <t>个人社保</t>
    </r>
  </si>
  <si>
    <t>个人公积金</t>
  </si>
  <si>
    <t>其它</t>
  </si>
  <si>
    <r>
      <rPr>
        <b/>
        <sz val="11"/>
        <color indexed="8"/>
        <rFont val="宋体"/>
        <family val="3"/>
        <charset val="134"/>
      </rPr>
      <t>基本工资</t>
    </r>
  </si>
  <si>
    <r>
      <rPr>
        <b/>
        <sz val="11"/>
        <color indexed="8"/>
        <rFont val="宋体"/>
        <family val="3"/>
        <charset val="134"/>
      </rPr>
      <t>其中：
加班工资</t>
    </r>
  </si>
  <si>
    <t>当月应计提绩效</t>
  </si>
  <si>
    <t>综合考核/其他</t>
  </si>
  <si>
    <t>应付提
成工资</t>
  </si>
  <si>
    <t>代扣社保</t>
  </si>
  <si>
    <t>实付提成</t>
  </si>
  <si>
    <t>已发并税</t>
  </si>
  <si>
    <r>
      <rPr>
        <b/>
        <sz val="11"/>
        <color indexed="8"/>
        <rFont val="宋体"/>
        <family val="3"/>
        <charset val="134"/>
      </rPr>
      <t>计税工资</t>
    </r>
  </si>
  <si>
    <r>
      <rPr>
        <b/>
        <sz val="11"/>
        <color indexed="8"/>
        <rFont val="宋体"/>
        <family val="3"/>
        <charset val="134"/>
      </rPr>
      <t>代扣个税</t>
    </r>
  </si>
  <si>
    <t>其他(代扣项)</t>
  </si>
  <si>
    <r>
      <rPr>
        <b/>
        <sz val="11"/>
        <color indexed="8"/>
        <rFont val="宋体"/>
        <family val="3"/>
        <charset val="134"/>
      </rPr>
      <t>实发提成</t>
    </r>
  </si>
  <si>
    <r>
      <rPr>
        <b/>
        <sz val="11"/>
        <color indexed="8"/>
        <rFont val="宋体"/>
        <family val="3"/>
        <charset val="134"/>
      </rPr>
      <t>备注</t>
    </r>
    <r>
      <rPr>
        <b/>
        <sz val="11"/>
        <color indexed="8"/>
        <rFont val="Times New Roman"/>
        <family val="1"/>
      </rPr>
      <t xml:space="preserve"> </t>
    </r>
  </si>
  <si>
    <t>留存 合计</t>
  </si>
  <si>
    <t>留存1</t>
  </si>
  <si>
    <t>留存2</t>
  </si>
  <si>
    <t>其他部门</t>
  </si>
  <si>
    <t>车间</t>
  </si>
  <si>
    <t>业务</t>
  </si>
  <si>
    <r>
      <rPr>
        <b/>
        <sz val="11"/>
        <color indexed="8"/>
        <rFont val="宋体"/>
        <family val="3"/>
        <charset val="134"/>
      </rPr>
      <t>应扣税</t>
    </r>
  </si>
  <si>
    <r>
      <rPr>
        <b/>
        <sz val="11"/>
        <color indexed="8"/>
        <rFont val="宋体"/>
        <family val="3"/>
        <charset val="134"/>
      </rPr>
      <t>已扣税</t>
    </r>
  </si>
  <si>
    <t>实际扣税</t>
  </si>
  <si>
    <t>留存</t>
  </si>
  <si>
    <t>姓名</t>
  </si>
  <si>
    <t>累计应补(退)税额</t>
  </si>
  <si>
    <t>管理部</t>
  </si>
  <si>
    <t>曹磊</t>
  </si>
  <si>
    <t>曾吉斌</t>
  </si>
  <si>
    <t>谢尧江</t>
  </si>
  <si>
    <t/>
  </si>
  <si>
    <r>
      <rPr>
        <sz val="9"/>
        <color indexed="8"/>
        <rFont val="宋体"/>
        <family val="3"/>
        <charset val="134"/>
      </rPr>
      <t>小计</t>
    </r>
  </si>
  <si>
    <t>张敏</t>
  </si>
  <si>
    <t>财务部</t>
  </si>
  <si>
    <t>邱小艳</t>
  </si>
  <si>
    <t>潘倩</t>
  </si>
  <si>
    <t>唐玉屏</t>
  </si>
  <si>
    <t>业务部</t>
  </si>
  <si>
    <t>陈川蓉</t>
  </si>
  <si>
    <t>白影</t>
  </si>
  <si>
    <t>曹青</t>
  </si>
  <si>
    <t>服务部</t>
  </si>
  <si>
    <t>陶纯玲</t>
  </si>
  <si>
    <t>朱开莲</t>
  </si>
  <si>
    <t>唐梅</t>
  </si>
  <si>
    <t>陈琳琳</t>
  </si>
  <si>
    <t>邱昭丽</t>
  </si>
  <si>
    <t>回访部</t>
  </si>
  <si>
    <t>黄雪梅</t>
  </si>
  <si>
    <t>李彩琼</t>
  </si>
  <si>
    <t>向阳</t>
  </si>
  <si>
    <t>阳国华</t>
  </si>
  <si>
    <t>舒童强</t>
  </si>
  <si>
    <t>罗义瑕</t>
  </si>
  <si>
    <t>段宝安</t>
  </si>
  <si>
    <t>张建</t>
  </si>
  <si>
    <t>贾文哲</t>
  </si>
  <si>
    <t>黄小炼</t>
  </si>
  <si>
    <t>陈昱良</t>
  </si>
  <si>
    <t>张林</t>
  </si>
  <si>
    <t>王毅</t>
  </si>
  <si>
    <t>李国民</t>
  </si>
  <si>
    <t>金亮亮</t>
  </si>
  <si>
    <t>应文龙</t>
  </si>
  <si>
    <t>曾浩</t>
  </si>
  <si>
    <t>刘强</t>
  </si>
  <si>
    <t>辜晓菲</t>
  </si>
  <si>
    <t>李超</t>
  </si>
  <si>
    <t>黄意轩</t>
  </si>
  <si>
    <t>唐芳兰</t>
  </si>
  <si>
    <t>赵水仙</t>
  </si>
  <si>
    <t>张琴</t>
  </si>
  <si>
    <t>刘林</t>
  </si>
  <si>
    <t>鄢雨濛</t>
  </si>
  <si>
    <t>续保</t>
  </si>
  <si>
    <t>刘尧梅</t>
  </si>
  <si>
    <t>冯桢</t>
  </si>
  <si>
    <t>高梓绮</t>
  </si>
  <si>
    <t>罗文琦</t>
  </si>
  <si>
    <t>周凤英</t>
  </si>
  <si>
    <t>孙茂梅</t>
  </si>
  <si>
    <t>雷维可</t>
  </si>
  <si>
    <t>梁宁</t>
  </si>
  <si>
    <t>陈晓波</t>
  </si>
  <si>
    <t>颜书琼</t>
  </si>
  <si>
    <t>李波</t>
  </si>
  <si>
    <t>肖伦容</t>
  </si>
  <si>
    <t>李桃</t>
  </si>
  <si>
    <t>索赔部</t>
  </si>
  <si>
    <r>
      <rPr>
        <sz val="9"/>
        <color indexed="8"/>
        <rFont val="宋体"/>
        <family val="3"/>
        <charset val="134"/>
      </rPr>
      <t>雷维可</t>
    </r>
  </si>
  <si>
    <t>宋航</t>
  </si>
  <si>
    <t>伍成勇</t>
  </si>
  <si>
    <t>何毅</t>
  </si>
  <si>
    <t>王竹飞</t>
  </si>
  <si>
    <r>
      <rPr>
        <b/>
        <sz val="9"/>
        <color indexed="8"/>
        <rFont val="宋体"/>
        <family val="3"/>
        <charset val="134"/>
      </rPr>
      <t>配件</t>
    </r>
  </si>
  <si>
    <r>
      <rPr>
        <sz val="9"/>
        <color indexed="8"/>
        <rFont val="宋体"/>
        <family val="3"/>
        <charset val="134"/>
      </rPr>
      <t>颜书琼</t>
    </r>
  </si>
  <si>
    <t>周劲松</t>
  </si>
  <si>
    <r>
      <rPr>
        <sz val="9"/>
        <color indexed="8"/>
        <rFont val="宋体"/>
        <family val="3"/>
        <charset val="134"/>
      </rPr>
      <t>李波</t>
    </r>
  </si>
  <si>
    <t>田建勇</t>
  </si>
  <si>
    <t>宋虹冰</t>
  </si>
  <si>
    <t>冉维朗</t>
  </si>
  <si>
    <t>柳超</t>
  </si>
  <si>
    <t>杨洋</t>
  </si>
  <si>
    <t>王华通</t>
  </si>
  <si>
    <r>
      <rPr>
        <b/>
        <sz val="8"/>
        <color indexed="8"/>
        <rFont val="宋体"/>
        <family val="3"/>
        <charset val="134"/>
      </rPr>
      <t>小计</t>
    </r>
  </si>
  <si>
    <t>谢波桃</t>
  </si>
  <si>
    <t>车间管理</t>
  </si>
  <si>
    <t>吴德亮</t>
  </si>
  <si>
    <t>蔡青山</t>
  </si>
  <si>
    <t>廖君</t>
  </si>
  <si>
    <t>李欢</t>
  </si>
  <si>
    <t>李建国</t>
  </si>
  <si>
    <t>左三明</t>
  </si>
  <si>
    <t>机一</t>
  </si>
  <si>
    <t>李伦伟</t>
  </si>
  <si>
    <t>刘新宇</t>
  </si>
  <si>
    <t>机修一组</t>
  </si>
  <si>
    <t>章东</t>
  </si>
  <si>
    <r>
      <rPr>
        <b/>
        <sz val="9"/>
        <color indexed="8"/>
        <rFont val="宋体"/>
        <family val="3"/>
        <charset val="134"/>
      </rPr>
      <t>机二</t>
    </r>
  </si>
  <si>
    <t>冯波</t>
  </si>
  <si>
    <t>周俊宏</t>
  </si>
  <si>
    <t>机修二组</t>
  </si>
  <si>
    <t>易林江</t>
  </si>
  <si>
    <t>机三</t>
  </si>
  <si>
    <t>罗烽</t>
  </si>
  <si>
    <t>王浩宇</t>
  </si>
  <si>
    <t>机修三组</t>
  </si>
  <si>
    <t>王鹏</t>
  </si>
  <si>
    <r>
      <rPr>
        <b/>
        <sz val="9"/>
        <color indexed="8"/>
        <rFont val="宋体"/>
        <family val="3"/>
        <charset val="134"/>
      </rPr>
      <t>机四</t>
    </r>
  </si>
  <si>
    <t>刘玳琳</t>
  </si>
  <si>
    <t>机修四组</t>
  </si>
  <si>
    <t>赵廷宇</t>
  </si>
  <si>
    <t>机五</t>
  </si>
  <si>
    <t>邓尚明</t>
  </si>
  <si>
    <t>刘石磊</t>
  </si>
  <si>
    <t>机修五组</t>
  </si>
  <si>
    <t>陈晓华</t>
  </si>
  <si>
    <t>机六</t>
  </si>
  <si>
    <t>王立勃</t>
  </si>
  <si>
    <t>陈志扬</t>
  </si>
  <si>
    <t>机修六组</t>
  </si>
  <si>
    <t>朱小军</t>
  </si>
  <si>
    <t>机七</t>
  </si>
  <si>
    <t>王强</t>
  </si>
  <si>
    <t>胡磊</t>
  </si>
  <si>
    <t>机修七组</t>
  </si>
  <si>
    <t>李双权</t>
  </si>
  <si>
    <t>快修1</t>
  </si>
  <si>
    <t>李垚</t>
  </si>
  <si>
    <t>王柳毅</t>
  </si>
  <si>
    <t>快修一组</t>
  </si>
  <si>
    <t>李璐</t>
  </si>
  <si>
    <t>机电十组</t>
  </si>
  <si>
    <t>王成</t>
  </si>
  <si>
    <t>李长春</t>
  </si>
  <si>
    <t>机十一</t>
  </si>
  <si>
    <t>吕自红</t>
  </si>
  <si>
    <t>机十二</t>
  </si>
  <si>
    <t>谭磊</t>
  </si>
  <si>
    <t>赵前波</t>
  </si>
  <si>
    <t>机修十一组</t>
  </si>
  <si>
    <t>任彬</t>
  </si>
  <si>
    <t>罗洪</t>
  </si>
  <si>
    <t>机修十二组</t>
  </si>
  <si>
    <t>雷毫</t>
  </si>
  <si>
    <t>事故组</t>
  </si>
  <si>
    <t>冯建勇</t>
  </si>
  <si>
    <t>孙小平</t>
  </si>
  <si>
    <t>成万强</t>
  </si>
  <si>
    <t>贾卫红</t>
  </si>
  <si>
    <t>钣金组</t>
  </si>
  <si>
    <t>油漆组</t>
  </si>
  <si>
    <t>PDI</t>
  </si>
  <si>
    <r>
      <rPr>
        <b/>
        <sz val="8"/>
        <color indexed="8"/>
        <rFont val="宋体"/>
        <family val="3"/>
        <charset val="134"/>
      </rPr>
      <t>合计</t>
    </r>
  </si>
  <si>
    <t>总计</t>
  </si>
  <si>
    <t>附：</t>
  </si>
  <si>
    <r>
      <rPr>
        <b/>
        <sz val="11"/>
        <color indexed="8"/>
        <rFont val="Arial"/>
        <family val="2"/>
      </rPr>
      <t>1</t>
    </r>
    <r>
      <rPr>
        <b/>
        <sz val="11"/>
        <color indexed="8"/>
        <rFont val="Times New Roman"/>
        <family val="1"/>
      </rPr>
      <t>、维修业务统计月报表</t>
    </r>
  </si>
  <si>
    <r>
      <rPr>
        <b/>
        <sz val="11"/>
        <color indexed="8"/>
        <rFont val="Arial"/>
        <family val="2"/>
      </rPr>
      <t>3</t>
    </r>
    <r>
      <rPr>
        <b/>
        <sz val="11"/>
        <color indexed="8"/>
        <rFont val="Times New Roman"/>
        <family val="1"/>
      </rPr>
      <t>、加装提成统计表</t>
    </r>
  </si>
  <si>
    <r>
      <rPr>
        <b/>
        <sz val="8"/>
        <color indexed="8"/>
        <rFont val="Arial"/>
        <family val="2"/>
      </rPr>
      <t>2</t>
    </r>
    <r>
      <rPr>
        <b/>
        <sz val="8"/>
        <color indexed="8"/>
        <rFont val="Times New Roman"/>
        <family val="1"/>
      </rPr>
      <t>、生产人员提成分配明细表</t>
    </r>
  </si>
  <si>
    <r>
      <rPr>
        <b/>
        <sz val="11"/>
        <color indexed="8"/>
        <rFont val="Arial"/>
        <family val="2"/>
      </rPr>
      <t>4</t>
    </r>
    <r>
      <rPr>
        <b/>
        <sz val="11"/>
        <color indexed="8"/>
        <rFont val="宋体"/>
        <family val="3"/>
        <charset val="134"/>
      </rPr>
      <t>、旧车续保返利统计表</t>
    </r>
  </si>
  <si>
    <r>
      <rPr>
        <b/>
        <sz val="11"/>
        <color indexed="8"/>
        <rFont val="宋体"/>
        <family val="3"/>
        <charset val="134"/>
      </rPr>
      <t>事业部总经理：</t>
    </r>
  </si>
  <si>
    <t>事业部审核：</t>
  </si>
  <si>
    <r>
      <rPr>
        <b/>
        <sz val="11"/>
        <color indexed="8"/>
        <rFont val="宋体"/>
        <family val="3"/>
        <charset val="134"/>
      </rPr>
      <t>财务审核：</t>
    </r>
  </si>
  <si>
    <t>直属领导审核：</t>
  </si>
  <si>
    <t>制表：</t>
  </si>
  <si>
    <r>
      <rPr>
        <b/>
        <sz val="18"/>
        <color theme="1"/>
        <rFont val="宋体"/>
        <family val="3"/>
        <charset val="134"/>
      </rPr>
      <t>2026年</t>
    </r>
    <r>
      <rPr>
        <b/>
        <sz val="18"/>
        <color rgb="FF000000"/>
        <rFont val="宋体"/>
        <family val="3"/>
        <charset val="134"/>
      </rPr>
      <t>05月成都西物汽车工资明细表-（机场售后）</t>
    </r>
  </si>
  <si>
    <t>机场管理岗</t>
  </si>
  <si>
    <t>罗筱凡</t>
  </si>
  <si>
    <t>机场财务</t>
  </si>
  <si>
    <t>李佳语</t>
  </si>
  <si>
    <t>配件部</t>
  </si>
  <si>
    <t>古镇吉</t>
  </si>
  <si>
    <t>孙俊杰</t>
  </si>
  <si>
    <t>周毅</t>
  </si>
  <si>
    <t>徐源</t>
  </si>
  <si>
    <t>机场业务</t>
  </si>
  <si>
    <t>刘红</t>
  </si>
  <si>
    <t>何滔</t>
  </si>
  <si>
    <t>李东梅</t>
  </si>
  <si>
    <t>刘辉玺</t>
  </si>
  <si>
    <t>贾兴卜</t>
  </si>
  <si>
    <t>事故理赔</t>
  </si>
  <si>
    <t>周兴强</t>
  </si>
  <si>
    <t>姚金东</t>
  </si>
  <si>
    <t>舒麒羽</t>
  </si>
  <si>
    <t>苟艳</t>
  </si>
  <si>
    <t>孙苗</t>
  </si>
  <si>
    <t>翁林星</t>
  </si>
  <si>
    <t>续保部</t>
  </si>
  <si>
    <t>曹锟</t>
  </si>
  <si>
    <t>况婷婷</t>
  </si>
  <si>
    <t>谢婷</t>
  </si>
  <si>
    <t>鞠双双</t>
  </si>
  <si>
    <t>陈浩</t>
  </si>
  <si>
    <t>刘志洪</t>
  </si>
  <si>
    <t>严云中</t>
  </si>
  <si>
    <t>吴明洋</t>
  </si>
  <si>
    <t>韩爱民</t>
  </si>
  <si>
    <t>蒋湘龙</t>
  </si>
  <si>
    <t>张雨</t>
  </si>
  <si>
    <t>机场车间</t>
  </si>
  <si>
    <t>郑晓龙</t>
  </si>
  <si>
    <t>刘杨</t>
  </si>
  <si>
    <t>小计</t>
  </si>
  <si>
    <t>陈超</t>
  </si>
  <si>
    <t>机场店1组</t>
  </si>
  <si>
    <t>陈凤平</t>
  </si>
  <si>
    <t>韩维</t>
  </si>
  <si>
    <t>机场店1组合计</t>
  </si>
  <si>
    <t>何辉</t>
  </si>
  <si>
    <t>机场店2组</t>
  </si>
  <si>
    <t>杨定安</t>
  </si>
  <si>
    <t>机场店3组</t>
  </si>
  <si>
    <r>
      <rPr>
        <sz val="9"/>
        <color rgb="FF000000"/>
        <rFont val="宋体"/>
        <family val="3"/>
        <charset val="134"/>
      </rPr>
      <t>机场店</t>
    </r>
    <r>
      <rPr>
        <sz val="9"/>
        <color rgb="FF000000"/>
        <rFont val="Times New Roman"/>
        <family val="1"/>
      </rPr>
      <t>2</t>
    </r>
    <r>
      <rPr>
        <sz val="9"/>
        <color rgb="FF000000"/>
        <rFont val="宋体"/>
        <family val="3"/>
        <charset val="134"/>
      </rPr>
      <t>组</t>
    </r>
  </si>
  <si>
    <t>机场-钣喷中心</t>
  </si>
  <si>
    <t>机场店钣喷</t>
  </si>
  <si>
    <t>机场店合计</t>
  </si>
  <si>
    <r>
      <rPr>
        <b/>
        <sz val="8"/>
        <color indexed="8"/>
        <rFont val="宋体"/>
        <family val="3"/>
        <charset val="134"/>
      </rPr>
      <t>总计</t>
    </r>
  </si>
  <si>
    <t>2月业务提成</t>
  </si>
  <si>
    <t>职  务</t>
  </si>
  <si>
    <t>当月产值提成</t>
  </si>
  <si>
    <t>当月基本</t>
  </si>
  <si>
    <t>当月应提绩效</t>
  </si>
  <si>
    <t>台次提成</t>
  </si>
  <si>
    <t>维修产值提成（不含保险，养护，精品，美容）</t>
  </si>
  <si>
    <t>保险提成</t>
  </si>
  <si>
    <t>索赔提成</t>
  </si>
  <si>
    <t>养护提成</t>
  </si>
  <si>
    <t>精品提成</t>
  </si>
  <si>
    <t>美容提成</t>
  </si>
  <si>
    <t>福袋提成</t>
  </si>
  <si>
    <t>续保提成</t>
  </si>
  <si>
    <t>LED灯完成考核</t>
  </si>
  <si>
    <t>车机奖励</t>
  </si>
  <si>
    <t>美容奖励</t>
  </si>
  <si>
    <t>轻小损提成</t>
  </si>
  <si>
    <t>推荐事故</t>
  </si>
  <si>
    <t>延保提成</t>
  </si>
  <si>
    <t>综合考核</t>
  </si>
  <si>
    <t>台次</t>
  </si>
  <si>
    <t>单台/元</t>
  </si>
  <si>
    <t>提成产值</t>
  </si>
  <si>
    <t>完成率</t>
  </si>
  <si>
    <t>提成系数</t>
  </si>
  <si>
    <t>产值提成</t>
  </si>
  <si>
    <t>索赔产值</t>
  </si>
  <si>
    <t>养护用品产值</t>
  </si>
  <si>
    <t>首保赠送养护/变速箱保护剂</t>
  </si>
  <si>
    <t>精品产值</t>
  </si>
  <si>
    <r>
      <rPr>
        <b/>
        <sz val="9"/>
        <color rgb="FF000000"/>
        <rFont val="Microsoft YaHei UI"/>
        <family val="2"/>
        <charset val="134"/>
      </rPr>
      <t>美容</t>
    </r>
    <r>
      <rPr>
        <b/>
        <sz val="9"/>
        <color indexed="8"/>
        <rFont val="腾祥铭宋简-W4"/>
        <charset val="134"/>
      </rPr>
      <t>产值</t>
    </r>
  </si>
  <si>
    <r>
      <rPr>
        <b/>
        <sz val="9"/>
        <color rgb="FFFF0000"/>
        <rFont val="Microsoft YaHei UI"/>
        <family val="2"/>
        <charset val="134"/>
      </rPr>
      <t>美容</t>
    </r>
    <r>
      <rPr>
        <b/>
        <sz val="9"/>
        <color rgb="FFFF0000"/>
        <rFont val="腾祥铭宋简-W4"/>
        <charset val="134"/>
      </rPr>
      <t>提成</t>
    </r>
  </si>
  <si>
    <t>首保福袋卡</t>
  </si>
  <si>
    <t>保养福袋卡</t>
  </si>
  <si>
    <t>DMS保养套餐（实际）</t>
  </si>
  <si>
    <t>DMS保养套餐（目标）</t>
  </si>
  <si>
    <r>
      <rPr>
        <b/>
        <sz val="9"/>
        <color rgb="FF000000"/>
        <rFont val="Microsoft YaHei UI"/>
        <family val="2"/>
        <charset val="134"/>
      </rPr>
      <t>首保</t>
    </r>
    <r>
      <rPr>
        <b/>
        <sz val="9"/>
        <color indexed="8"/>
        <rFont val="腾祥铭宋简-W4"/>
        <charset val="134"/>
      </rPr>
      <t>单台/元</t>
    </r>
  </si>
  <si>
    <r>
      <rPr>
        <b/>
        <sz val="9"/>
        <color rgb="FF000000"/>
        <rFont val="Microsoft YaHei UI"/>
        <family val="2"/>
        <charset val="134"/>
      </rPr>
      <t>保养</t>
    </r>
    <r>
      <rPr>
        <b/>
        <sz val="9"/>
        <color indexed="8"/>
        <rFont val="腾祥铭宋简-W4"/>
        <charset val="134"/>
      </rPr>
      <t>单台/元</t>
    </r>
  </si>
  <si>
    <r>
      <rPr>
        <b/>
        <sz val="9"/>
        <color rgb="FF000000"/>
        <rFont val="Microsoft YaHei UI"/>
        <family val="2"/>
        <charset val="134"/>
      </rPr>
      <t>DMS套餐</t>
    </r>
    <r>
      <rPr>
        <b/>
        <sz val="9"/>
        <color indexed="8"/>
        <rFont val="腾祥铭宋简-W4"/>
        <charset val="134"/>
      </rPr>
      <t>单台/元</t>
    </r>
  </si>
  <si>
    <r>
      <rPr>
        <b/>
        <sz val="9"/>
        <color rgb="FFFF0000"/>
        <rFont val="腾祥铭宋简-W4"/>
        <charset val="134"/>
      </rPr>
      <t>福袋</t>
    </r>
    <r>
      <rPr>
        <b/>
        <sz val="9"/>
        <color rgb="FFFF0000"/>
        <rFont val="宋体"/>
        <family val="3"/>
        <charset val="134"/>
      </rPr>
      <t>&amp;保养</t>
    </r>
    <r>
      <rPr>
        <b/>
        <sz val="9"/>
        <color rgb="FFFF0000"/>
        <rFont val="腾祥铭宋简-W4"/>
        <charset val="134"/>
      </rPr>
      <t>提成</t>
    </r>
  </si>
  <si>
    <t>续保台次</t>
  </si>
  <si>
    <t>LED灯未完成数</t>
  </si>
  <si>
    <t>LED灯完成数</t>
  </si>
  <si>
    <t>LED灯考核</t>
  </si>
  <si>
    <t>车机提成</t>
  </si>
  <si>
    <t>美容</t>
  </si>
  <si>
    <t>推介成功0.5个面25元/1个面以上50元</t>
  </si>
  <si>
    <t>推介成功25元一个</t>
  </si>
  <si>
    <t>续保推荐事故</t>
  </si>
  <si>
    <t>延保台次</t>
  </si>
  <si>
    <t>有技师参与</t>
  </si>
  <si>
    <t>固定绩效</t>
  </si>
  <si>
    <t>基本工资</t>
  </si>
  <si>
    <t>其中：
加班工资</t>
  </si>
  <si>
    <t>其中：
特殊津贴</t>
  </si>
  <si>
    <t>其中：病假、事假、缺勤、罚款</t>
  </si>
  <si>
    <t>备注</t>
  </si>
  <si>
    <t>维修产值</t>
  </si>
  <si>
    <t>shuo</t>
  </si>
  <si>
    <t>养护</t>
  </si>
  <si>
    <t>精品</t>
  </si>
  <si>
    <r>
      <rPr>
        <b/>
        <sz val="9"/>
        <rFont val="Microsoft YaHei UI"/>
        <family val="2"/>
        <charset val="134"/>
      </rPr>
      <t>武侯</t>
    </r>
    <r>
      <rPr>
        <b/>
        <sz val="9"/>
        <rFont val="腾祥铭宋简-W4"/>
        <charset val="134"/>
      </rPr>
      <t>服务前台</t>
    </r>
  </si>
  <si>
    <t>机场服务前台</t>
  </si>
  <si>
    <t>合计</t>
  </si>
  <si>
    <t>张登</t>
  </si>
  <si>
    <t>核对</t>
  </si>
  <si>
    <t>2026年05月吉利超市售后提成工资明细表</t>
  </si>
  <si>
    <t>序号</t>
  </si>
  <si>
    <t>部门</t>
  </si>
  <si>
    <t>本月预算</t>
  </si>
  <si>
    <t>总产值</t>
  </si>
  <si>
    <t>代理索赔手续费</t>
  </si>
  <si>
    <t>PDI台次</t>
  </si>
  <si>
    <t>配件销售</t>
  </si>
  <si>
    <t>事故产值</t>
  </si>
  <si>
    <t>小卖部收入</t>
  </si>
  <si>
    <t>系数</t>
  </si>
  <si>
    <t>月度提成（固定）</t>
  </si>
  <si>
    <t>月度提成（活动）</t>
  </si>
  <si>
    <t>新能源专项</t>
  </si>
  <si>
    <t>月度提成</t>
  </si>
  <si>
    <t>留存合计</t>
  </si>
  <si>
    <t>备注1</t>
  </si>
  <si>
    <t>备注2</t>
  </si>
  <si>
    <t>验证</t>
  </si>
  <si>
    <t>经营数据</t>
  </si>
  <si>
    <t>武侯店</t>
  </si>
  <si>
    <t>机场店</t>
  </si>
  <si>
    <t>月薪8333，月度总产值考核，季度综合考核</t>
  </si>
  <si>
    <t>总产值*0.0015</t>
  </si>
  <si>
    <t>客户部</t>
  </si>
  <si>
    <t>配件</t>
  </si>
  <si>
    <t>机场管理</t>
  </si>
  <si>
    <t>维修产值年度预算</t>
  </si>
  <si>
    <t>维修产值月均预算</t>
  </si>
  <si>
    <t>机场售后-车间管理</t>
  </si>
  <si>
    <t>机场配件部</t>
  </si>
  <si>
    <t>客户关系部</t>
  </si>
  <si>
    <t>机场业务前台</t>
  </si>
  <si>
    <t>保险理赔</t>
  </si>
  <si>
    <r>
      <rPr>
        <b/>
        <sz val="18"/>
        <color rgb="FF000000"/>
        <rFont val="Times New Roman"/>
        <family val="1"/>
      </rPr>
      <t>2026</t>
    </r>
    <r>
      <rPr>
        <b/>
        <sz val="18"/>
        <color rgb="FF000000"/>
        <rFont val="宋体"/>
        <family val="3"/>
        <charset val="134"/>
      </rPr>
      <t>年</t>
    </r>
    <r>
      <rPr>
        <b/>
        <sz val="18"/>
        <color rgb="FF000000"/>
        <rFont val="Times New Roman"/>
        <family val="1"/>
      </rPr>
      <t>05</t>
    </r>
    <r>
      <rPr>
        <b/>
        <sz val="18"/>
        <color rgb="FF000000"/>
        <rFont val="宋体"/>
        <family val="3"/>
        <charset val="134"/>
      </rPr>
      <t>月西物维修生产工时统计月报表</t>
    </r>
  </si>
  <si>
    <t>表2：</t>
  </si>
  <si>
    <t>班组</t>
  </si>
  <si>
    <t>组长</t>
  </si>
  <si>
    <t>维修台次</t>
  </si>
  <si>
    <t>正常工时</t>
  </si>
  <si>
    <t>保险工时</t>
  </si>
  <si>
    <t>三包索赔工时</t>
  </si>
  <si>
    <t>折扣工时</t>
  </si>
  <si>
    <t>PDI工时</t>
  </si>
  <si>
    <t>工时2</t>
  </si>
  <si>
    <t>补贴工时</t>
  </si>
  <si>
    <t>正常工时合计</t>
  </si>
  <si>
    <t>工时合计</t>
  </si>
  <si>
    <t>减：辅料耗用</t>
  </si>
  <si>
    <t>减：加工费</t>
  </si>
  <si>
    <t>实际应分配工时</t>
  </si>
  <si>
    <t>正常+机油+养护材料</t>
  </si>
  <si>
    <t>车机产值</t>
  </si>
  <si>
    <t>材料2</t>
  </si>
  <si>
    <t>材料合计</t>
  </si>
  <si>
    <t>班组精品产值</t>
  </si>
  <si>
    <t>精品安装提成金额</t>
  </si>
  <si>
    <t>轮胎推销提成金额</t>
  </si>
  <si>
    <t>生产</t>
  </si>
  <si>
    <t>姜恩柱</t>
  </si>
  <si>
    <t>机修八组</t>
  </si>
  <si>
    <t>王艺强</t>
  </si>
  <si>
    <t>油漆一组</t>
  </si>
  <si>
    <t>验车组</t>
  </si>
  <si>
    <t>PDI组</t>
  </si>
  <si>
    <t>机场店油漆</t>
  </si>
  <si>
    <t>机场店钣金</t>
  </si>
  <si>
    <t>机场店备件部</t>
  </si>
  <si>
    <t>美容组</t>
  </si>
  <si>
    <t>机场店钣金整备</t>
  </si>
  <si>
    <t>通川总产值</t>
  </si>
  <si>
    <t>通川折扣/明折一</t>
  </si>
  <si>
    <t>非车间人员领用</t>
  </si>
  <si>
    <t>合 计</t>
  </si>
  <si>
    <t>检查</t>
  </si>
  <si>
    <t>注</t>
  </si>
  <si>
    <t xml:space="preserve"> 1、本月保险欠款=上月保险欠款+本月保险挂账-本月保险回款</t>
  </si>
  <si>
    <t xml:space="preserve"> 2、加装毛利（含税）=加装收入-加装成本</t>
  </si>
  <si>
    <t xml:space="preserve"> 3、索赔工时结算不含救急工时费</t>
  </si>
  <si>
    <t>站长：</t>
  </si>
  <si>
    <t>车间经理：</t>
  </si>
  <si>
    <t>财务：</t>
  </si>
  <si>
    <t>棉纱、手套、洗衣粉、拖布、毛巾、口罩、扫把</t>
  </si>
  <si>
    <t>漆料</t>
  </si>
  <si>
    <t>龙泉驿区大面街办旭信涂料经营部</t>
  </si>
  <si>
    <t>九欣物资有限公司</t>
  </si>
  <si>
    <t>四川省桦达汽车服务有限公司(工厂）</t>
  </si>
  <si>
    <t>四川省桦达汽车服务有限公司</t>
  </si>
  <si>
    <t>蓉信达商贸有限公司</t>
  </si>
  <si>
    <t>宁波吉润汽车部件有限公司杭州湾新区备件分公司</t>
  </si>
  <si>
    <t>外购</t>
  </si>
  <si>
    <t>浙江吉利汽车备件有限公司</t>
  </si>
  <si>
    <t>成都鸿涂汽车用品有限公司</t>
  </si>
  <si>
    <t>绩效扣除</t>
  </si>
  <si>
    <t>油漆快修</t>
  </si>
  <si>
    <t>2026年05月成都吉利汽车超市售后提成工资明细表</t>
  </si>
  <si>
    <t>编制：</t>
  </si>
  <si>
    <t>姓 名</t>
  </si>
  <si>
    <t>正常工时收入</t>
  </si>
  <si>
    <t>辅料耗用</t>
  </si>
  <si>
    <t>正常工时提成比例</t>
  </si>
  <si>
    <t>保险工时提成比例</t>
  </si>
  <si>
    <t>工时提成</t>
  </si>
  <si>
    <t>材料</t>
  </si>
  <si>
    <t>提成比例</t>
  </si>
  <si>
    <t>材料提成</t>
  </si>
  <si>
    <t>精品安装提成</t>
  </si>
  <si>
    <t>工时+材料+精品+快修</t>
  </si>
  <si>
    <t>满意度考核</t>
  </si>
  <si>
    <t>签字确认</t>
  </si>
  <si>
    <t>出勤天数</t>
  </si>
  <si>
    <t>机二</t>
  </si>
  <si>
    <t>机四</t>
  </si>
  <si>
    <t>机八</t>
  </si>
  <si>
    <t>空白</t>
  </si>
  <si>
    <t>机十</t>
  </si>
  <si>
    <t>罗宏</t>
  </si>
  <si>
    <t>王成1</t>
  </si>
  <si>
    <t>雷豪</t>
  </si>
  <si>
    <t>机电一组严云中：11028，吴明洋6573，机电二组韩爱民10854，蒋湘龙5338，机电三组张雨10854，马宏国5739，刘杨9081</t>
  </si>
  <si>
    <t>钣喷中心-机场</t>
  </si>
  <si>
    <t>变化前提成</t>
  </si>
  <si>
    <t>变化后-变化前</t>
  </si>
  <si>
    <t>（5月）售后业务产值完成指示(不含配件外销）</t>
  </si>
  <si>
    <t>收费台次</t>
  </si>
  <si>
    <t>保险、正常维修收入</t>
  </si>
  <si>
    <t>养护，精品</t>
  </si>
  <si>
    <t>美容产值</t>
  </si>
  <si>
    <t>福袋</t>
  </si>
  <si>
    <t>轮胎提成</t>
  </si>
  <si>
    <t>保险推介成功</t>
  </si>
  <si>
    <t>轮胎活动奖励</t>
  </si>
  <si>
    <t>1月机油活动奖励</t>
  </si>
  <si>
    <t>车衣</t>
  </si>
  <si>
    <t>底盘装甲</t>
  </si>
  <si>
    <t>减震缓冲器</t>
  </si>
  <si>
    <t>车窗自动关闭器</t>
  </si>
  <si>
    <t>附加指标考核</t>
  </si>
  <si>
    <t>附加指标奖励</t>
  </si>
  <si>
    <t>考核合计</t>
  </si>
  <si>
    <t>维修台次目标</t>
  </si>
  <si>
    <t>实际维修台次</t>
  </si>
  <si>
    <t>保险/新能源结算台次</t>
  </si>
  <si>
    <t>零收费台次</t>
  </si>
  <si>
    <t>台次完成率</t>
  </si>
  <si>
    <t>实际维修台次(通川)</t>
  </si>
  <si>
    <t>预计目标</t>
  </si>
  <si>
    <t>实际完成总产值</t>
  </si>
  <si>
    <t>实际完成系统总产值</t>
  </si>
  <si>
    <t>预计完成目标</t>
  </si>
  <si>
    <t>维修软件</t>
  </si>
  <si>
    <t>通川</t>
  </si>
  <si>
    <t>保险，正常产值（+续保赠送-精品养护）</t>
  </si>
  <si>
    <t>提成产值（除去另外给奖励的产值)</t>
  </si>
  <si>
    <t>预计用品产值目标</t>
  </si>
  <si>
    <t>实际用品产值</t>
  </si>
  <si>
    <t>预计精品产值目标</t>
  </si>
  <si>
    <t>服务顾问精品</t>
  </si>
  <si>
    <t>车间精品</t>
  </si>
  <si>
    <t>M9踏板产值（不提成）</t>
  </si>
  <si>
    <t>养护精品合计</t>
  </si>
  <si>
    <t>预计美容产值目标</t>
  </si>
  <si>
    <t>DMS保养套餐目标</t>
  </si>
  <si>
    <t>DMS保养套餐实际</t>
  </si>
  <si>
    <t>福袋保养套餐目标</t>
  </si>
  <si>
    <t>福袋保养渗透率</t>
  </si>
  <si>
    <t>福袋首保渗透率</t>
  </si>
  <si>
    <t>车机提成金额（100元/台）</t>
  </si>
  <si>
    <t>美容提成（6%）</t>
  </si>
  <si>
    <t>出单量</t>
  </si>
  <si>
    <t>出单200元/单</t>
  </si>
  <si>
    <t>续保推荐完成率</t>
  </si>
  <si>
    <t>轻小损完成率</t>
  </si>
  <si>
    <t>目标</t>
  </si>
  <si>
    <t>实际完成</t>
  </si>
  <si>
    <t>完成差异数</t>
  </si>
  <si>
    <t>累计完成率</t>
  </si>
  <si>
    <t>是否考核</t>
  </si>
  <si>
    <t>绩效金额</t>
  </si>
  <si>
    <t>合计金额</t>
  </si>
  <si>
    <t>数量</t>
  </si>
  <si>
    <t>团队处罚</t>
  </si>
  <si>
    <t>福袋处罚</t>
  </si>
  <si>
    <t>精品处罚</t>
  </si>
  <si>
    <t>其他</t>
  </si>
  <si>
    <t>双系统录入完成奖励</t>
  </si>
  <si>
    <t>预约完成奖励</t>
  </si>
  <si>
    <t>升级活动完成奖励</t>
  </si>
  <si>
    <t>实际正常维修总产值</t>
  </si>
  <si>
    <t>明折1</t>
  </si>
  <si>
    <t>其中：续保赠送</t>
  </si>
  <si>
    <t>实际保险净产值</t>
  </si>
  <si>
    <t>正常保险维修净产值</t>
  </si>
  <si>
    <t>正常产值</t>
  </si>
  <si>
    <t>保险产值</t>
  </si>
  <si>
    <t>电驱动齿轮保护剂</t>
  </si>
  <si>
    <t>实际索赔产值</t>
  </si>
  <si>
    <t>何杰</t>
  </si>
  <si>
    <t>文丽</t>
  </si>
  <si>
    <t>李银丰</t>
  </si>
  <si>
    <t>叶漾</t>
  </si>
  <si>
    <t>总完成</t>
  </si>
  <si>
    <t>差异</t>
  </si>
  <si>
    <t>正常</t>
  </si>
  <si>
    <t>续保赠送</t>
  </si>
  <si>
    <t>保险</t>
  </si>
  <si>
    <t>通川正常</t>
  </si>
  <si>
    <t>通川保险</t>
  </si>
  <si>
    <t>索赔</t>
  </si>
  <si>
    <t>通川索赔</t>
  </si>
  <si>
    <t>附表：</t>
  </si>
  <si>
    <t>工时产值</t>
  </si>
  <si>
    <t>材料产值</t>
  </si>
  <si>
    <t>备注：JLJC26005717：5月刘红用古镇吉账号建单小修产值51元</t>
  </si>
  <si>
    <t>工资明细表</t>
  </si>
  <si>
    <t>编制单位：成都吉利汽车超市连锁有限公司</t>
  </si>
  <si>
    <t>所属月份：2026年5月</t>
  </si>
  <si>
    <t>部    门：吉利超市</t>
  </si>
  <si>
    <t>金额单位：元</t>
  </si>
  <si>
    <t>出勤情况</t>
  </si>
  <si>
    <t>应发工资</t>
  </si>
  <si>
    <t>其他应发</t>
  </si>
  <si>
    <t>单位承担社会保险</t>
  </si>
  <si>
    <t>代扣款项</t>
  </si>
  <si>
    <t>实发金额</t>
  </si>
  <si>
    <t>加班工资</t>
  </si>
  <si>
    <t>保密工资</t>
  </si>
  <si>
    <t>值班补贴</t>
  </si>
  <si>
    <t>高温补贴</t>
  </si>
  <si>
    <t>餐补</t>
  </si>
  <si>
    <t>交通补贴</t>
  </si>
  <si>
    <t>通讯补贴</t>
  </si>
  <si>
    <t>减：病假、事假、缺勤</t>
  </si>
  <si>
    <t>减：罚款</t>
  </si>
  <si>
    <t>应发小计</t>
  </si>
  <si>
    <t>预发</t>
  </si>
  <si>
    <t>其他小计</t>
  </si>
  <si>
    <t>基本养老保险16％</t>
  </si>
  <si>
    <t>基本医疗保险7.7％</t>
  </si>
  <si>
    <t>失业保险0.6%</t>
  </si>
  <si>
    <t>工伤保险0.1%</t>
  </si>
  <si>
    <t>大病医疗补充保险0.6%</t>
  </si>
  <si>
    <t>*月社保补差</t>
  </si>
  <si>
    <t>公积金公司承担</t>
  </si>
  <si>
    <t>单位承担小计</t>
  </si>
  <si>
    <t>社保个人承担</t>
  </si>
  <si>
    <t>公积金个人承担</t>
  </si>
  <si>
    <t>服装</t>
  </si>
  <si>
    <t>爱心基金</t>
  </si>
  <si>
    <t>其他代扣款项</t>
  </si>
  <si>
    <t>代扣合计</t>
  </si>
  <si>
    <t>事业部服务总监</t>
  </si>
  <si>
    <t>站长</t>
  </si>
  <si>
    <t>业务前台</t>
  </si>
  <si>
    <t>服务经理</t>
  </si>
  <si>
    <t>主办会计</t>
  </si>
  <si>
    <t>收银员</t>
  </si>
  <si>
    <t>回访专员</t>
  </si>
  <si>
    <t>服务员</t>
  </si>
  <si>
    <t>5月11日调精锐</t>
  </si>
  <si>
    <t>信息员</t>
  </si>
  <si>
    <t>业务接待</t>
  </si>
  <si>
    <t>-207.15绩效补回207.15</t>
  </si>
  <si>
    <t>保险主管</t>
  </si>
  <si>
    <t>留修员</t>
  </si>
  <si>
    <t>保险专员</t>
  </si>
  <si>
    <t>保险外拓</t>
  </si>
  <si>
    <t>病假5天</t>
  </si>
  <si>
    <t>事故接待</t>
  </si>
  <si>
    <t>渠道经理</t>
  </si>
  <si>
    <t>索赔主管</t>
  </si>
  <si>
    <t>迟到1次</t>
  </si>
  <si>
    <t>索赔专员</t>
  </si>
  <si>
    <t>保客营销部</t>
  </si>
  <si>
    <t>保客经理</t>
  </si>
  <si>
    <t>续保专员</t>
  </si>
  <si>
    <t>事假0.5天</t>
  </si>
  <si>
    <t>5月6日入职，5月9日离职生效，本月实际出勤3天</t>
  </si>
  <si>
    <t>5月18日入职，本月实际出勤14天</t>
  </si>
  <si>
    <t>5月26日入职，本月实际出勤6天</t>
  </si>
  <si>
    <t>配件经理</t>
  </si>
  <si>
    <t>配件专员</t>
  </si>
  <si>
    <t>新车PDI</t>
  </si>
  <si>
    <t>生产管理</t>
  </si>
  <si>
    <t>车间经理</t>
  </si>
  <si>
    <t>技术总监</t>
  </si>
  <si>
    <t>维修调度</t>
  </si>
  <si>
    <t>维修质检</t>
  </si>
  <si>
    <t>钣喷工段长</t>
  </si>
  <si>
    <t>辅修</t>
  </si>
  <si>
    <t>年休1天</t>
  </si>
  <si>
    <t>机电组长</t>
  </si>
  <si>
    <t>事假1天</t>
  </si>
  <si>
    <t>迟到2次</t>
  </si>
  <si>
    <t>学徒</t>
  </si>
  <si>
    <t>副修</t>
  </si>
  <si>
    <t>机电辅修</t>
  </si>
  <si>
    <t>机电实习生</t>
  </si>
  <si>
    <t>快保一组</t>
  </si>
  <si>
    <t>机电学徒</t>
  </si>
  <si>
    <t>主修</t>
  </si>
  <si>
    <t>钣金组长</t>
  </si>
  <si>
    <t>油漆组长</t>
  </si>
  <si>
    <t>总经理：</t>
  </si>
  <si>
    <t>审批：</t>
  </si>
  <si>
    <t>复核：</t>
  </si>
  <si>
    <t>财务审核：</t>
  </si>
  <si>
    <t>直属主管：</t>
  </si>
  <si>
    <t>代扣款项中的员工基金和其他代扣款项系指不能在个人所得税税前扣除的集团代垫款项或借款，需在备注栏中说明。</t>
  </si>
  <si>
    <t xml:space="preserve">                                                                      工资明细表</t>
  </si>
  <si>
    <t>编制单位：成都西物汽车限公司</t>
  </si>
  <si>
    <r>
      <rPr>
        <sz val="9"/>
        <rFont val="楷体_GB2312"/>
        <charset val="134"/>
      </rPr>
      <t>部</t>
    </r>
    <r>
      <rPr>
        <sz val="9"/>
        <rFont val="Arial"/>
        <family val="2"/>
      </rPr>
      <t xml:space="preserve">    </t>
    </r>
    <r>
      <rPr>
        <sz val="9"/>
        <rFont val="楷体_GB2312"/>
        <charset val="134"/>
      </rPr>
      <t>门：西物汽车</t>
    </r>
    <r>
      <rPr>
        <sz val="9"/>
        <rFont val="Arial"/>
        <family val="2"/>
      </rPr>
      <t>-</t>
    </r>
    <r>
      <rPr>
        <sz val="9"/>
        <rFont val="宋体"/>
        <family val="3"/>
        <charset val="134"/>
      </rPr>
      <t>机场售后</t>
    </r>
  </si>
  <si>
    <r>
      <rPr>
        <sz val="9"/>
        <rFont val="楷体_GB2312"/>
        <charset val="134"/>
      </rPr>
      <t>金额单位：元</t>
    </r>
  </si>
  <si>
    <r>
      <rPr>
        <sz val="8"/>
        <rFont val="楷体_GB2312"/>
        <charset val="134"/>
      </rPr>
      <t>序号</t>
    </r>
  </si>
  <si>
    <r>
      <rPr>
        <sz val="8"/>
        <rFont val="楷体_GB2312"/>
        <charset val="134"/>
      </rPr>
      <t>姓名</t>
    </r>
  </si>
  <si>
    <r>
      <rPr>
        <sz val="8"/>
        <rFont val="楷体_GB2312"/>
        <charset val="134"/>
      </rPr>
      <t>职</t>
    </r>
    <r>
      <rPr>
        <sz val="8"/>
        <rFont val="Arial"/>
        <family val="2"/>
      </rPr>
      <t xml:space="preserve">  </t>
    </r>
    <r>
      <rPr>
        <sz val="8"/>
        <rFont val="楷体_GB2312"/>
        <charset val="134"/>
      </rPr>
      <t>务</t>
    </r>
  </si>
  <si>
    <r>
      <rPr>
        <sz val="8"/>
        <rFont val="楷体_GB2312"/>
        <charset val="134"/>
      </rPr>
      <t>应发工资</t>
    </r>
  </si>
  <si>
    <r>
      <rPr>
        <sz val="8"/>
        <rFont val="楷体_GB2312"/>
        <charset val="134"/>
      </rPr>
      <t>其他应发</t>
    </r>
  </si>
  <si>
    <r>
      <rPr>
        <sz val="8"/>
        <rFont val="楷体_GB2312"/>
        <charset val="134"/>
      </rPr>
      <t>单位承担社会保险</t>
    </r>
  </si>
  <si>
    <r>
      <rPr>
        <sz val="8"/>
        <rFont val="楷体_GB2312"/>
        <charset val="134"/>
      </rPr>
      <t>代扣款项</t>
    </r>
  </si>
  <si>
    <r>
      <rPr>
        <sz val="8"/>
        <rFont val="楷体_GB2312"/>
        <charset val="134"/>
      </rPr>
      <t>实发金额</t>
    </r>
  </si>
  <si>
    <r>
      <rPr>
        <sz val="8"/>
        <rFont val="楷体_GB2312"/>
        <charset val="134"/>
      </rPr>
      <t>备注</t>
    </r>
  </si>
  <si>
    <t>津贴补贴</t>
  </si>
  <si>
    <r>
      <rPr>
        <sz val="8"/>
        <rFont val="宋体"/>
        <family val="3"/>
        <charset val="134"/>
      </rPr>
      <t>交通补贴</t>
    </r>
  </si>
  <si>
    <r>
      <rPr>
        <sz val="8"/>
        <rFont val="宋体"/>
        <family val="3"/>
        <charset val="134"/>
      </rPr>
      <t>通讯补贴</t>
    </r>
  </si>
  <si>
    <r>
      <rPr>
        <sz val="8"/>
        <rFont val="宋体"/>
        <family val="3"/>
        <charset val="134"/>
      </rPr>
      <t>其他补贴</t>
    </r>
  </si>
  <si>
    <t>减：病假、事假、缺勤、罚款</t>
  </si>
  <si>
    <t>减：未发绩效</t>
  </si>
  <si>
    <r>
      <rPr>
        <sz val="8"/>
        <rFont val="宋体"/>
        <family val="3"/>
        <charset val="134"/>
      </rPr>
      <t>基本养老保险</t>
    </r>
    <r>
      <rPr>
        <sz val="8"/>
        <rFont val="Arial"/>
        <family val="2"/>
      </rPr>
      <t>16</t>
    </r>
    <r>
      <rPr>
        <sz val="8"/>
        <rFont val="宋体"/>
        <family val="3"/>
        <charset val="134"/>
      </rPr>
      <t>％</t>
    </r>
  </si>
  <si>
    <r>
      <rPr>
        <sz val="8"/>
        <rFont val="宋体"/>
        <family val="3"/>
        <charset val="134"/>
      </rPr>
      <t>失业保险0.6</t>
    </r>
    <r>
      <rPr>
        <sz val="8"/>
        <rFont val="Arial"/>
        <family val="2"/>
      </rPr>
      <t>%</t>
    </r>
  </si>
  <si>
    <r>
      <rPr>
        <sz val="8"/>
        <rFont val="宋体"/>
        <family val="3"/>
        <charset val="134"/>
      </rPr>
      <t>工伤保险</t>
    </r>
    <r>
      <rPr>
        <sz val="8"/>
        <rFont val="Arial"/>
        <family val="2"/>
      </rPr>
      <t>0.1%</t>
    </r>
  </si>
  <si>
    <r>
      <rPr>
        <sz val="8"/>
        <rFont val="宋体"/>
        <family val="3"/>
        <charset val="134"/>
      </rPr>
      <t>大病医疗补充保险</t>
    </r>
    <r>
      <rPr>
        <sz val="8"/>
        <rFont val="Arial"/>
        <family val="2"/>
      </rPr>
      <t>0.6</t>
    </r>
    <r>
      <rPr>
        <sz val="8"/>
        <rFont val="楷体_GB2312"/>
        <charset val="134"/>
      </rPr>
      <t>%</t>
    </r>
  </si>
  <si>
    <t>1-9月社保补差</t>
  </si>
  <si>
    <r>
      <rPr>
        <sz val="8"/>
        <rFont val="楷体_GB2312"/>
        <charset val="134"/>
      </rPr>
      <t>单位承担小计</t>
    </r>
  </si>
  <si>
    <r>
      <rPr>
        <sz val="8"/>
        <rFont val="楷体_GB2312"/>
        <charset val="134"/>
      </rPr>
      <t>其他代扣款项</t>
    </r>
  </si>
  <si>
    <r>
      <rPr>
        <sz val="8"/>
        <rFont val="楷体_GB2312"/>
        <charset val="134"/>
      </rPr>
      <t>代扣合计</t>
    </r>
  </si>
  <si>
    <t>实习服务站长</t>
  </si>
  <si>
    <t>会计</t>
  </si>
  <si>
    <t>配件主管</t>
  </si>
  <si>
    <t>5月6日入职，本月实际出勤26天，迟到1次</t>
  </si>
  <si>
    <t>事故主管</t>
  </si>
  <si>
    <t>留修专员</t>
  </si>
  <si>
    <t>机场机电一组</t>
  </si>
  <si>
    <t>机场机电二组</t>
  </si>
  <si>
    <t>机场机电三组</t>
  </si>
  <si>
    <t>机电主修</t>
  </si>
  <si>
    <t>钣喷中心-钣金组</t>
  </si>
  <si>
    <t>钣喷中心-油漆组</t>
  </si>
  <si>
    <t>机场售后合计</t>
  </si>
  <si>
    <t>车部总：</t>
  </si>
  <si>
    <t>2026年05月成都西物钣喷中心关联公司发放明细</t>
  </si>
  <si>
    <t>发放公司</t>
  </si>
  <si>
    <t>胡毕君</t>
  </si>
  <si>
    <t>西物极客</t>
  </si>
  <si>
    <t>王岗</t>
  </si>
  <si>
    <t>吉利超市</t>
  </si>
  <si>
    <t>刘鑫宇</t>
  </si>
  <si>
    <t>西物领秀</t>
  </si>
  <si>
    <t>毛小红</t>
  </si>
  <si>
    <t>何朝林</t>
  </si>
  <si>
    <t>钟源</t>
  </si>
  <si>
    <t>雷国志</t>
  </si>
  <si>
    <t>罗荣炬</t>
  </si>
  <si>
    <t>曾伟杰</t>
  </si>
  <si>
    <t>朱炳龙</t>
  </si>
  <si>
    <t>任叶红</t>
  </si>
  <si>
    <t>客户关系部2026年05月绩效汇总</t>
  </si>
  <si>
    <t>值</t>
  </si>
  <si>
    <t>项</t>
  </si>
  <si>
    <t>达成率</t>
  </si>
  <si>
    <t>增值</t>
  </si>
  <si>
    <t>N-3首保</t>
  </si>
  <si>
    <t>2月份自有店基盘达成率62%</t>
  </si>
  <si>
    <t>N-4首保</t>
  </si>
  <si>
    <t>1月份自有店基盘达成率71%</t>
  </si>
  <si>
    <t>2月份自有店基盘达成率机场44%</t>
  </si>
  <si>
    <t>N-5首保</t>
  </si>
  <si>
    <t>12月份自有店基盘达成率68%</t>
  </si>
  <si>
    <t>1月份自有店基盘达成率机场61%</t>
  </si>
  <si>
    <t>N-6二保</t>
  </si>
  <si>
    <t>25年11月本店首保基盘达成率9%</t>
  </si>
  <si>
    <t>12月份自有店基盘达成率机场63%</t>
  </si>
  <si>
    <t>N-9二保</t>
  </si>
  <si>
    <t>25年08月本店首保基盘达成率26%</t>
  </si>
  <si>
    <t>25年11月本店首保基盘达成率机场12%</t>
  </si>
  <si>
    <t>N-12二保</t>
  </si>
  <si>
    <t>26年4月本店首保基盘达成率61%</t>
  </si>
  <si>
    <t>25年08月本店首保基盘达成率机场25%</t>
  </si>
  <si>
    <t>N-6定保</t>
  </si>
  <si>
    <t>25年11月本店定保基盘保持率22%</t>
  </si>
  <si>
    <t>25年5月本店首保基盘达成率机场62%</t>
  </si>
  <si>
    <t>N-9定保</t>
  </si>
  <si>
    <t>25年08月本店定保基盘保持率40%</t>
  </si>
  <si>
    <t>25年11月本店定保基盘保持率机场20%</t>
  </si>
  <si>
    <t>N-12定保</t>
  </si>
  <si>
    <t>26年5月本店定保基盘保持率66%</t>
  </si>
  <si>
    <t>25年8月本店定保基盘保持率机场37%</t>
  </si>
  <si>
    <t>外拓</t>
  </si>
  <si>
    <t>26年5月本店定保基盘保持率机场62%</t>
  </si>
  <si>
    <t>N-6其他</t>
  </si>
  <si>
    <t>N-9其他</t>
  </si>
  <si>
    <t>N-12其他</t>
  </si>
  <si>
    <t>无福袋</t>
  </si>
  <si>
    <t>新能源</t>
  </si>
  <si>
    <t>3DC</t>
  </si>
  <si>
    <t>保养套餐</t>
  </si>
  <si>
    <t>绩效合计</t>
  </si>
  <si>
    <t>武侯4月私家车进站量2468/线上预约进站536，预约率22%，</t>
  </si>
  <si>
    <t>机场私家车1026/线上预约230线上预约22%,</t>
  </si>
  <si>
    <t>类别</t>
  </si>
  <si>
    <t>档位</t>
  </si>
  <si>
    <t>3个月(N-3)</t>
  </si>
  <si>
    <t>4个月(N-4)</t>
  </si>
  <si>
    <t>5个月(N-5)</t>
  </si>
  <si>
    <t>目标达成</t>
  </si>
  <si>
    <t>元/个</t>
  </si>
  <si>
    <t>首保</t>
  </si>
  <si>
    <t>A</t>
  </si>
  <si>
    <t>N&lt;70%</t>
  </si>
  <si>
    <t>N&lt;75%</t>
  </si>
  <si>
    <t>B</t>
  </si>
  <si>
    <t>70%≤N&lt;75%</t>
  </si>
  <si>
    <t>75%≤N&lt;80%</t>
  </si>
  <si>
    <t>C</t>
  </si>
  <si>
    <t>80%≤N&lt;85%</t>
  </si>
  <si>
    <t>D</t>
  </si>
  <si>
    <t>N≥80%</t>
  </si>
  <si>
    <t>N≥85%</t>
  </si>
  <si>
    <t>6个月(N-6)</t>
  </si>
  <si>
    <t>9个月(N-9)</t>
  </si>
  <si>
    <t>12个月(N-12)</t>
  </si>
  <si>
    <t>二保</t>
  </si>
  <si>
    <t>N&lt;35%</t>
  </si>
  <si>
    <t>N&lt;45%</t>
  </si>
  <si>
    <t>N&lt;55%</t>
  </si>
  <si>
    <t>35%≤N&lt;40%</t>
  </si>
  <si>
    <t>45%≤N&lt;55%</t>
  </si>
  <si>
    <t>55%≤N&lt;65%</t>
  </si>
  <si>
    <t>40%≤N&lt;45%</t>
  </si>
  <si>
    <t>55%≤N&lt;60%</t>
  </si>
  <si>
    <t>65%≤N&lt;70%</t>
  </si>
  <si>
    <t>N≥45%</t>
  </si>
  <si>
    <t>N≥60%</t>
  </si>
  <si>
    <t>N≥70%</t>
  </si>
  <si>
    <t>定保</t>
  </si>
  <si>
    <t>N&lt;50%</t>
  </si>
  <si>
    <t>N&lt;60%</t>
  </si>
  <si>
    <t>50%≤N&lt;55%</t>
  </si>
  <si>
    <t>60%≤N&lt;65%</t>
  </si>
  <si>
    <t>N&lt;20%</t>
  </si>
  <si>
    <t>N&lt;30%</t>
  </si>
  <si>
    <t>N&lt;40%</t>
  </si>
  <si>
    <t>20%≤N&lt;25%</t>
  </si>
  <si>
    <t>30%≤N&lt;35%</t>
  </si>
  <si>
    <t>25%≤N&lt;30%</t>
  </si>
  <si>
    <t>45%≤N&lt;50%</t>
  </si>
  <si>
    <t>N≥30%</t>
  </si>
  <si>
    <t>N≥40%</t>
  </si>
  <si>
    <t>N≥50%</t>
  </si>
  <si>
    <t>备注：</t>
  </si>
  <si>
    <t>1、外拓，经主动预约回站的，有不低于50元消费记录，20元/个</t>
  </si>
  <si>
    <t>2、预约回站后，对于非福袋客户，单个提成加2元</t>
  </si>
  <si>
    <t>3、最终提成系数，线上预约率目标15%</t>
  </si>
  <si>
    <t>公司</t>
  </si>
  <si>
    <t>大部</t>
  </si>
  <si>
    <t>分部</t>
  </si>
  <si>
    <t>店别</t>
  </si>
  <si>
    <t>岗位</t>
  </si>
  <si>
    <t>入职日期</t>
  </si>
  <si>
    <t>1季度目标任务量</t>
  </si>
  <si>
    <t>1季度实际达成量</t>
  </si>
  <si>
    <t>考核</t>
  </si>
  <si>
    <t>西物汽车</t>
  </si>
  <si>
    <t>管理人员</t>
  </si>
  <si>
    <t>陈俊霖</t>
  </si>
  <si>
    <t>总经理</t>
  </si>
  <si>
    <t>销售财务部</t>
  </si>
  <si>
    <t>顾雪梅</t>
  </si>
  <si>
    <t>财务经理</t>
  </si>
  <si>
    <t>销售后勤二线</t>
  </si>
  <si>
    <t>丁红</t>
  </si>
  <si>
    <t>财务主管</t>
  </si>
  <si>
    <t>沈燕</t>
  </si>
  <si>
    <t>销售财务收银</t>
  </si>
  <si>
    <t>高敏</t>
  </si>
  <si>
    <t>罗涵</t>
  </si>
  <si>
    <t>销售财务会计</t>
  </si>
  <si>
    <t>唐梁英</t>
  </si>
  <si>
    <t>李芳</t>
  </si>
  <si>
    <t>销售财务出纳</t>
  </si>
  <si>
    <t>邓琦琪</t>
  </si>
  <si>
    <t>销售财务会计助理</t>
  </si>
  <si>
    <t>李佳乐</t>
  </si>
  <si>
    <t>行政人事部</t>
  </si>
  <si>
    <t>林琼</t>
  </si>
  <si>
    <t>行政人事总监</t>
  </si>
  <si>
    <t>周小红</t>
  </si>
  <si>
    <t>行政人事主管</t>
  </si>
  <si>
    <t>刘晓琴</t>
  </si>
  <si>
    <t>行政人事专员</t>
  </si>
  <si>
    <t>何婷婷</t>
  </si>
  <si>
    <t>后勤支持部</t>
  </si>
  <si>
    <t>康忠伦</t>
  </si>
  <si>
    <t>司机</t>
  </si>
  <si>
    <t>销售服务部</t>
  </si>
  <si>
    <t>谢槟羽</t>
  </si>
  <si>
    <t>销售吧员</t>
  </si>
  <si>
    <t>刘玉兰</t>
  </si>
  <si>
    <t>市场部</t>
  </si>
  <si>
    <t>谭艳</t>
  </si>
  <si>
    <t>市场经理</t>
  </si>
  <si>
    <t>黄思路</t>
  </si>
  <si>
    <t>市场专员</t>
  </si>
  <si>
    <t>付国晓</t>
  </si>
  <si>
    <t>销售前台</t>
  </si>
  <si>
    <t>邓娟</t>
  </si>
  <si>
    <t>李青洋</t>
  </si>
  <si>
    <t>新媒体部</t>
  </si>
  <si>
    <t>肖廷忠</t>
  </si>
  <si>
    <t>新媒体主管</t>
  </si>
  <si>
    <t>物流部</t>
  </si>
  <si>
    <t>杨英</t>
  </si>
  <si>
    <t>物流主管</t>
  </si>
  <si>
    <t>李燕</t>
  </si>
  <si>
    <t>物流专员</t>
  </si>
  <si>
    <t>罗良清</t>
  </si>
  <si>
    <t>物流库管</t>
  </si>
  <si>
    <t>唐中华</t>
  </si>
  <si>
    <t>增值业务部</t>
  </si>
  <si>
    <t>晏彬文</t>
  </si>
  <si>
    <t>金融主管</t>
  </si>
  <si>
    <t>陈凌</t>
  </si>
  <si>
    <t>物流总监</t>
  </si>
  <si>
    <t>刘彦</t>
  </si>
  <si>
    <t>金融专员</t>
  </si>
  <si>
    <t>周德芳</t>
  </si>
  <si>
    <t>熊宇</t>
  </si>
  <si>
    <t>李彦林</t>
  </si>
  <si>
    <t>张龙</t>
  </si>
  <si>
    <t>二手车专员</t>
  </si>
  <si>
    <t>销售客服部</t>
  </si>
  <si>
    <t>张保珍</t>
  </si>
  <si>
    <t>销售CRM经理</t>
  </si>
  <si>
    <t>销售一线</t>
  </si>
  <si>
    <t>销售部</t>
  </si>
  <si>
    <t>袁顺序</t>
  </si>
  <si>
    <t>销售总监</t>
  </si>
  <si>
    <t>王欢</t>
  </si>
  <si>
    <t>王秋望</t>
  </si>
  <si>
    <t>试驾专员</t>
  </si>
  <si>
    <t>苟松柏</t>
  </si>
  <si>
    <t>交车专员</t>
  </si>
  <si>
    <t>张春燕</t>
  </si>
  <si>
    <t>销售保险专员</t>
  </si>
  <si>
    <t>李姣</t>
  </si>
  <si>
    <t>白林</t>
  </si>
  <si>
    <t>上户部</t>
  </si>
  <si>
    <t>邓小军</t>
  </si>
  <si>
    <t>上户专员</t>
  </si>
  <si>
    <t>西物翼真</t>
  </si>
  <si>
    <t>薛祥建</t>
  </si>
  <si>
    <t>蒋利</t>
  </si>
  <si>
    <t>新媒体主播</t>
  </si>
  <si>
    <t>销售部直营店</t>
  </si>
  <si>
    <t>孙杰</t>
  </si>
  <si>
    <t>余才万</t>
  </si>
  <si>
    <t>销售渠道人员</t>
  </si>
  <si>
    <t>华阳直营店</t>
  </si>
  <si>
    <t>钟涛</t>
  </si>
  <si>
    <t>直营店经理</t>
  </si>
  <si>
    <t>毛婷婷</t>
  </si>
  <si>
    <t>直营店内勤</t>
  </si>
  <si>
    <t>邓芳</t>
  </si>
  <si>
    <t>销售CRM专员</t>
  </si>
  <si>
    <t>周舟</t>
  </si>
  <si>
    <t>王茂林</t>
  </si>
  <si>
    <t>直营店总监</t>
  </si>
  <si>
    <t>彭州直营店</t>
  </si>
  <si>
    <t>黎明朗</t>
  </si>
  <si>
    <t>崇州直营店</t>
  </si>
  <si>
    <t>朱剑波</t>
  </si>
  <si>
    <t>邛崃直营店</t>
  </si>
  <si>
    <t>吴思超</t>
  </si>
  <si>
    <t>大邑直营店</t>
  </si>
  <si>
    <t>孙伟</t>
  </si>
  <si>
    <t>黄凤</t>
  </si>
  <si>
    <t>新媒体视频/剪辑</t>
  </si>
  <si>
    <t>周梅</t>
  </si>
  <si>
    <t>销售邀约专员</t>
  </si>
  <si>
    <t>曾子乂</t>
  </si>
  <si>
    <t>张嘉唯</t>
  </si>
  <si>
    <t>马瑞</t>
  </si>
  <si>
    <t>王芝婕</t>
  </si>
  <si>
    <t>邓戈</t>
  </si>
  <si>
    <t>展厅主管</t>
  </si>
  <si>
    <t>蓝仁楷</t>
  </si>
  <si>
    <t>何玉</t>
  </si>
  <si>
    <t>王艳</t>
  </si>
  <si>
    <t>上户主管</t>
  </si>
  <si>
    <t>刘珣</t>
  </si>
  <si>
    <t>李春梅</t>
  </si>
  <si>
    <t>王俊茹</t>
  </si>
  <si>
    <t>贾名伟</t>
  </si>
  <si>
    <t>王泽文</t>
  </si>
  <si>
    <t>熊杰文</t>
  </si>
  <si>
    <t>钟小丽</t>
  </si>
  <si>
    <t>DCC经理</t>
  </si>
  <si>
    <t>金玉梅</t>
  </si>
  <si>
    <t>杜小红</t>
  </si>
  <si>
    <t>陈文霜</t>
  </si>
  <si>
    <t>周思雨</t>
  </si>
  <si>
    <t>DCC运维专员</t>
  </si>
  <si>
    <t>范娜</t>
  </si>
  <si>
    <t>陈子逸</t>
  </si>
  <si>
    <t>魏艳</t>
  </si>
  <si>
    <t>谷雨</t>
  </si>
  <si>
    <t>张丹</t>
  </si>
  <si>
    <t>赖跃坤</t>
  </si>
  <si>
    <t>花芸芸</t>
  </si>
  <si>
    <t>邱勇</t>
  </si>
  <si>
    <t>杨婷</t>
  </si>
  <si>
    <t>售后业务部</t>
  </si>
  <si>
    <t>售后二线</t>
  </si>
  <si>
    <t>售后财务部</t>
  </si>
  <si>
    <t>售后续保部</t>
  </si>
  <si>
    <t>售后客服部</t>
  </si>
  <si>
    <t>售后索赔部</t>
  </si>
  <si>
    <t>目前为在校实习生 取消考核</t>
  </si>
  <si>
    <t>售后服务部</t>
  </si>
  <si>
    <t>刘伟生</t>
  </si>
  <si>
    <t>事业部总经理</t>
  </si>
  <si>
    <t>代蓓</t>
  </si>
  <si>
    <t>事业部油车总经理</t>
  </si>
  <si>
    <t>齐坤忠</t>
  </si>
  <si>
    <t>事业部副总经理</t>
  </si>
  <si>
    <t>汤小明</t>
  </si>
  <si>
    <t>事业部水平业务总监</t>
  </si>
  <si>
    <t>唐玲</t>
  </si>
  <si>
    <t>事业部内勤</t>
  </si>
  <si>
    <t>冯岚</t>
  </si>
  <si>
    <t>保客营销总监</t>
  </si>
  <si>
    <t>提成标准</t>
  </si>
  <si>
    <t>月度工作效能</t>
  </si>
  <si>
    <t>提成</t>
  </si>
  <si>
    <t>做底45%</t>
  </si>
  <si>
    <t>喷漆33%</t>
  </si>
  <si>
    <t>抛光11%</t>
  </si>
  <si>
    <t>交车11%</t>
  </si>
  <si>
    <t>做底</t>
  </si>
  <si>
    <t>喷漆</t>
  </si>
  <si>
    <t>抛光</t>
  </si>
  <si>
    <t>交车</t>
  </si>
  <si>
    <t xml:space="preserve">备注 </t>
  </si>
  <si>
    <t>2025.11月完工车辆版面</t>
  </si>
  <si>
    <t>2025年2月油漆个人版面统计</t>
  </si>
  <si>
    <t>类型</t>
  </si>
  <si>
    <t>油漆三组</t>
  </si>
  <si>
    <t>总版面</t>
  </si>
  <si>
    <t>人数</t>
  </si>
  <si>
    <t>版面</t>
  </si>
  <si>
    <t>出勤率</t>
  </si>
  <si>
    <t>人均版面</t>
  </si>
  <si>
    <t>备注：数据采样根据完工车辆采取，非转正人员以半人计算</t>
  </si>
  <si>
    <t>油漆对比</t>
  </si>
  <si>
    <t>总版面对比</t>
  </si>
  <si>
    <t>3月</t>
  </si>
  <si>
    <t>4月</t>
  </si>
  <si>
    <t>对比</t>
  </si>
  <si>
    <t>2026年05吉利超市售后吧台提成工资明细表</t>
  </si>
  <si>
    <t>05月吧台月均营业额</t>
  </si>
  <si>
    <t>提成金额</t>
  </si>
  <si>
    <t>2026年05月售后维修台次</t>
  </si>
  <si>
    <t>单台比例</t>
  </si>
  <si>
    <t>考核+其它</t>
  </si>
  <si>
    <t>分配比例</t>
  </si>
  <si>
    <t>浮动绩效分配金额</t>
  </si>
  <si>
    <t>月度薪资合计</t>
  </si>
  <si>
    <t>2026年度5月</t>
  </si>
  <si>
    <t>新转续（次新车）</t>
  </si>
  <si>
    <t>续转续</t>
  </si>
  <si>
    <t>流失</t>
  </si>
  <si>
    <t>外品牌</t>
  </si>
  <si>
    <t>出单数合计</t>
  </si>
  <si>
    <t>保单事故主动推修率</t>
  </si>
  <si>
    <t>考核金额</t>
  </si>
  <si>
    <t>实际薪资</t>
  </si>
  <si>
    <t>基盘</t>
  </si>
  <si>
    <t>目标率</t>
  </si>
  <si>
    <t>任务量</t>
  </si>
  <si>
    <t>实际达成量</t>
  </si>
  <si>
    <t>实际达成率</t>
  </si>
  <si>
    <t>绩效系数</t>
  </si>
  <si>
    <t>绩效</t>
  </si>
  <si>
    <t>不涉及</t>
  </si>
  <si>
    <t>翁星林</t>
  </si>
  <si>
    <t>朱万林</t>
  </si>
  <si>
    <t>是否有效</t>
  </si>
  <si>
    <t>(空白)</t>
  </si>
  <si>
    <t>保险公司</t>
  </si>
  <si>
    <t>销售时间</t>
  </si>
  <si>
    <t>起保日期</t>
  </si>
  <si>
    <t>车架号</t>
  </si>
  <si>
    <t>车牌号</t>
  </si>
  <si>
    <t>车型代码</t>
  </si>
  <si>
    <t>车辆名称</t>
  </si>
  <si>
    <t>客户姓名</t>
  </si>
  <si>
    <t>商业险保费</t>
  </si>
  <si>
    <t>交强险保费</t>
  </si>
  <si>
    <t>出单员</t>
  </si>
  <si>
    <t>销售类型</t>
  </si>
  <si>
    <t>考核标准</t>
  </si>
  <si>
    <t>中国平安</t>
  </si>
  <si>
    <t>LB37822Z2PB013836</t>
  </si>
  <si>
    <t>川G1FP33</t>
  </si>
  <si>
    <t>HQ6471D02</t>
  </si>
  <si>
    <t>吉利</t>
  </si>
  <si>
    <t>郭春林</t>
  </si>
  <si>
    <t>次新车</t>
  </si>
  <si>
    <t>绩效(台/元)</t>
  </si>
  <si>
    <t>计数项:车架号</t>
  </si>
  <si>
    <t>LB37722Z9JA036756</t>
  </si>
  <si>
    <t>川A46BD2</t>
  </si>
  <si>
    <t>HQ7142C01</t>
  </si>
  <si>
    <t>徐乐曼</t>
  </si>
  <si>
    <t>次新车考核指标</t>
  </si>
  <si>
    <t>50%以下</t>
  </si>
  <si>
    <t>50%-55%</t>
  </si>
  <si>
    <t>55%及以上</t>
  </si>
  <si>
    <t>新转续</t>
  </si>
  <si>
    <t>LB37824Z8RG048951</t>
  </si>
  <si>
    <t>川GKJ235</t>
  </si>
  <si>
    <t>HQ7151D02</t>
  </si>
  <si>
    <t>刘明东</t>
  </si>
  <si>
    <t>LB37522S7LL005277</t>
  </si>
  <si>
    <t>川AD8F39</t>
  </si>
  <si>
    <t>JL7151M01</t>
  </si>
  <si>
    <t>续转续考核指标</t>
  </si>
  <si>
    <t>70%以下</t>
  </si>
  <si>
    <t>70%-73%</t>
  </si>
  <si>
    <t>73%及以上</t>
  </si>
  <si>
    <t>中国人保</t>
  </si>
  <si>
    <t>L6T7854Z9PD035430</t>
  </si>
  <si>
    <t>川AG543F</t>
  </si>
  <si>
    <t>MR7203D17</t>
  </si>
  <si>
    <t>代婷</t>
  </si>
  <si>
    <t>流失客户</t>
  </si>
  <si>
    <t>LB37622Z5PX926129</t>
  </si>
  <si>
    <t>川G1KH90</t>
  </si>
  <si>
    <t>JL6432D24</t>
  </si>
  <si>
    <t>邓雄</t>
  </si>
  <si>
    <t>7%以下</t>
  </si>
  <si>
    <t>7%-9%</t>
  </si>
  <si>
    <t>9%及以上</t>
  </si>
  <si>
    <t>安诚保险</t>
  </si>
  <si>
    <t>LB37824Z5NG110915</t>
  </si>
  <si>
    <t>川G854R6</t>
  </si>
  <si>
    <t>HQ7151D01</t>
  </si>
  <si>
    <t>罗政</t>
  </si>
  <si>
    <t>LB37852Z4PS049464</t>
  </si>
  <si>
    <t>川E2288A</t>
  </si>
  <si>
    <t>JL6482D05</t>
  </si>
  <si>
    <t>保单主动推修率未达到50%</t>
  </si>
  <si>
    <t>考核500元</t>
  </si>
  <si>
    <t>中银保险</t>
  </si>
  <si>
    <t>L6T7842ZXLY047263</t>
  </si>
  <si>
    <t>川A34CT2</t>
  </si>
  <si>
    <t>MR6471D09</t>
  </si>
  <si>
    <t>张旭</t>
  </si>
  <si>
    <t>中华联合</t>
  </si>
  <si>
    <t>LB378JNZ1SH025309</t>
  </si>
  <si>
    <t>川AFG9802</t>
  </si>
  <si>
    <t>HQ6471DCHEV04</t>
  </si>
  <si>
    <t>龚东梅</t>
  </si>
  <si>
    <t>LB378JNZ0SH006329</t>
  </si>
  <si>
    <t>川AGG2515</t>
  </si>
  <si>
    <t>付光露</t>
  </si>
  <si>
    <t>LB375GNN0SX042567</t>
  </si>
  <si>
    <t>川ABY8554</t>
  </si>
  <si>
    <t>JL7001BEV71</t>
  </si>
  <si>
    <t>何小雪</t>
  </si>
  <si>
    <t>LB37852Z3RS078702</t>
  </si>
  <si>
    <t>川GHW330</t>
  </si>
  <si>
    <t>JL6482D07</t>
  </si>
  <si>
    <t>常敬宇</t>
  </si>
  <si>
    <t>L6T7824Z9RD199567</t>
  </si>
  <si>
    <t>川GQE940</t>
  </si>
  <si>
    <t>MR7153D20</t>
  </si>
  <si>
    <t>陈强</t>
  </si>
  <si>
    <t>阳光保险</t>
  </si>
  <si>
    <t>L6T7854Z3RD069639</t>
  </si>
  <si>
    <t>川GD3T56</t>
  </si>
  <si>
    <t>于延泊</t>
  </si>
  <si>
    <t>LB37852ZXRS065879</t>
  </si>
  <si>
    <t>川GU5R93</t>
  </si>
  <si>
    <t>JL6482D04</t>
  </si>
  <si>
    <t>赵一航</t>
  </si>
  <si>
    <t>中国太平</t>
  </si>
  <si>
    <t>LB378LCZ7RB016075</t>
  </si>
  <si>
    <t>川AFX9600</t>
  </si>
  <si>
    <t>HQ6472DCHEV01</t>
  </si>
  <si>
    <t>徐开平</t>
  </si>
  <si>
    <t>L6T7854ZXPD028860</t>
  </si>
  <si>
    <t>川G8HM31</t>
  </si>
  <si>
    <t>胥冶</t>
  </si>
  <si>
    <t>app</t>
  </si>
  <si>
    <t>LB37852Z5PS058612</t>
  </si>
  <si>
    <t>川GG2R73</t>
  </si>
  <si>
    <t>张邓岚</t>
  </si>
  <si>
    <t>LB37852ZXPS066558</t>
  </si>
  <si>
    <t>川G7FY89</t>
  </si>
  <si>
    <t>杨宝明</t>
  </si>
  <si>
    <t>国寿财险</t>
  </si>
  <si>
    <t>LB37824Z7PG025383</t>
  </si>
  <si>
    <t>川A865CL</t>
  </si>
  <si>
    <t>HQ7151D03</t>
  </si>
  <si>
    <t>刘婷</t>
  </si>
  <si>
    <t>太平洋保险</t>
  </si>
  <si>
    <t>LB37722Z3PX304965</t>
  </si>
  <si>
    <t>川G8E162</t>
  </si>
  <si>
    <t>JL6453D12</t>
  </si>
  <si>
    <t>孙梓偎</t>
  </si>
  <si>
    <t>LB37722Z5MH020338</t>
  </si>
  <si>
    <t>川XR559F</t>
  </si>
  <si>
    <t>HQ7142D12</t>
  </si>
  <si>
    <t>宋佳</t>
  </si>
  <si>
    <t>LB377U2W3NA177152</t>
  </si>
  <si>
    <t>川AAM5335</t>
  </si>
  <si>
    <t>HQ7003BEV01</t>
  </si>
  <si>
    <t>郭强</t>
  </si>
  <si>
    <t>紫金保险</t>
  </si>
  <si>
    <t>L6T7854Z7PD019078</t>
  </si>
  <si>
    <t>川AS7W59</t>
  </si>
  <si>
    <t>罗明元</t>
  </si>
  <si>
    <t>L6T7854Z0ND037743</t>
  </si>
  <si>
    <t>川G51A19</t>
  </si>
  <si>
    <t>MR7203D12</t>
  </si>
  <si>
    <t>王勇</t>
  </si>
  <si>
    <t>L6T75MNN5SF371748</t>
  </si>
  <si>
    <t>川ABT8864</t>
  </si>
  <si>
    <t>MR7001BEV111</t>
  </si>
  <si>
    <t>杜志博</t>
  </si>
  <si>
    <t>LB37822Z3SB051892</t>
  </si>
  <si>
    <t>川GF63R6</t>
  </si>
  <si>
    <t>HQ6472D100</t>
  </si>
  <si>
    <t>徐琳</t>
  </si>
  <si>
    <t>L6T7824Z0SD052737</t>
  </si>
  <si>
    <t>川GL1L82</t>
  </si>
  <si>
    <t>L6T7722Z0SV044816</t>
  </si>
  <si>
    <t>川GPB272</t>
  </si>
  <si>
    <t>MR7152D31</t>
  </si>
  <si>
    <t>强菡</t>
  </si>
  <si>
    <t>LB37852Z8SS111019</t>
  </si>
  <si>
    <t>川GFR756</t>
  </si>
  <si>
    <t>罗仕虎</t>
  </si>
  <si>
    <t>LB370ADN1PJ137954</t>
  </si>
  <si>
    <t>川AAD5416</t>
  </si>
  <si>
    <t>JL7007BEV04</t>
  </si>
  <si>
    <t>何勇</t>
  </si>
  <si>
    <t>LB37824Z8PG033329</t>
  </si>
  <si>
    <t>川A7D41X</t>
  </si>
  <si>
    <t>赵雪辰</t>
  </si>
  <si>
    <t>LB37852Z0PS051826</t>
  </si>
  <si>
    <t>川A7804Y</t>
  </si>
  <si>
    <t>周萌</t>
  </si>
  <si>
    <t>LB37852Z1PS071180</t>
  </si>
  <si>
    <t>川G35M97</t>
  </si>
  <si>
    <t>胡先韬</t>
  </si>
  <si>
    <t>LB37852Z6PS055587</t>
  </si>
  <si>
    <t>川G81R94</t>
  </si>
  <si>
    <t>张沥予</t>
  </si>
  <si>
    <t>L6T7824Z0SD054410</t>
  </si>
  <si>
    <t>川A8X67S</t>
  </si>
  <si>
    <t>曾元</t>
  </si>
  <si>
    <t>LB37824S4PG047375</t>
  </si>
  <si>
    <t>川AF1Y23</t>
  </si>
  <si>
    <t>HQ7151M02</t>
  </si>
  <si>
    <t>程金凤</t>
  </si>
  <si>
    <t>LB37852D4SS121972</t>
  </si>
  <si>
    <t>川A37J1P</t>
  </si>
  <si>
    <t>JL6482D08</t>
  </si>
  <si>
    <t>李军</t>
  </si>
  <si>
    <t>L6T7854Z5PD035974</t>
  </si>
  <si>
    <t>川W259KQ</t>
  </si>
  <si>
    <t>宋丰谷</t>
  </si>
  <si>
    <t>LJ2KP7FG0MA017633</t>
  </si>
  <si>
    <t>川AD50279</t>
  </si>
  <si>
    <t>JHC7003BEV06</t>
  </si>
  <si>
    <t>卢少华</t>
  </si>
  <si>
    <t>LB37824Z5JH062689</t>
  </si>
  <si>
    <t>川A97W4Q</t>
  </si>
  <si>
    <t>HQ7142C02</t>
  </si>
  <si>
    <t>乔仕超</t>
  </si>
  <si>
    <t>LB378JNZ8SH046254</t>
  </si>
  <si>
    <t>川AGH6956</t>
  </si>
  <si>
    <t>刘恒</t>
  </si>
  <si>
    <t>LB378LEZ6RH064290</t>
  </si>
  <si>
    <t>川AG99359</t>
  </si>
  <si>
    <t>HQ7153DCHEV01</t>
  </si>
  <si>
    <t>王杰</t>
  </si>
  <si>
    <t>华泰保险</t>
  </si>
  <si>
    <t>L6T7824Z5SD055715</t>
  </si>
  <si>
    <t>川G980B8</t>
  </si>
  <si>
    <t>游炳凤</t>
  </si>
  <si>
    <t>LB378LEZ8RH002552</t>
  </si>
  <si>
    <t>川AFU1852</t>
  </si>
  <si>
    <t>HQ7153DCHEV05</t>
  </si>
  <si>
    <t>廖大鹏</t>
  </si>
  <si>
    <t>LB37822ZXPB012515</t>
  </si>
  <si>
    <t>川G1G096</t>
  </si>
  <si>
    <t>周亮</t>
  </si>
  <si>
    <t>大地保险</t>
  </si>
  <si>
    <t>LB37824Z2PG052443</t>
  </si>
  <si>
    <t>川AWZ201</t>
  </si>
  <si>
    <t>王伯生</t>
  </si>
  <si>
    <t>LB37852Z6SS090834</t>
  </si>
  <si>
    <t>川A0AS92</t>
  </si>
  <si>
    <t>李欣</t>
  </si>
  <si>
    <t>L6T7824Z0SD034948</t>
  </si>
  <si>
    <t>川GQY358</t>
  </si>
  <si>
    <t>韩佳敏</t>
  </si>
  <si>
    <t>L6T7824Z6KW035235</t>
  </si>
  <si>
    <t>川XCL169</t>
  </si>
  <si>
    <t>MR7142C03</t>
  </si>
  <si>
    <t>杨继深</t>
  </si>
  <si>
    <t>LB375GNN2SX433445</t>
  </si>
  <si>
    <t>川AA18045</t>
  </si>
  <si>
    <t>丁汪梦雪</t>
  </si>
  <si>
    <t>LB378JRZ3SH071945</t>
  </si>
  <si>
    <t>川AGK1575</t>
  </si>
  <si>
    <t>HQ7152DCHEV102</t>
  </si>
  <si>
    <t>熊帆</t>
  </si>
  <si>
    <t>LB37742S8FC259753</t>
  </si>
  <si>
    <t>川A63DJ6</t>
  </si>
  <si>
    <t>JL6453L03</t>
  </si>
  <si>
    <t>任德文</t>
  </si>
  <si>
    <t>申能财险</t>
  </si>
  <si>
    <t>L107722Z0NC004492</t>
  </si>
  <si>
    <t>川GG7P82</t>
  </si>
  <si>
    <t>RX6453D03</t>
  </si>
  <si>
    <t>谢永海</t>
  </si>
  <si>
    <t>L6T7944Z2HN426969</t>
  </si>
  <si>
    <t>川A5G5J4</t>
  </si>
  <si>
    <t>MR7183C01</t>
  </si>
  <si>
    <t>杨世宇</t>
  </si>
  <si>
    <t>LB37522S4LL070412</t>
  </si>
  <si>
    <t>川AX5S74</t>
  </si>
  <si>
    <t>JL7151M02</t>
  </si>
  <si>
    <t>陈万伦</t>
  </si>
  <si>
    <t>L6T7952Z7RY013244</t>
  </si>
  <si>
    <t>川G6XR77</t>
  </si>
  <si>
    <t>MR6491D02</t>
  </si>
  <si>
    <t>王刚</t>
  </si>
  <si>
    <t>L6T7854Z3SD059859</t>
  </si>
  <si>
    <t>川AB7F00</t>
  </si>
  <si>
    <t>MR7203D19</t>
  </si>
  <si>
    <t>帅文强</t>
  </si>
  <si>
    <t>LB3784EZ3RH017997</t>
  </si>
  <si>
    <t>川AF86634</t>
  </si>
  <si>
    <t>HQ7152DCHEV02</t>
  </si>
  <si>
    <t>曾晓丽</t>
  </si>
  <si>
    <t>L6T7854Z0MD031374</t>
  </si>
  <si>
    <t>川GM84B8</t>
  </si>
  <si>
    <t>刘玉义</t>
  </si>
  <si>
    <t>LB37622Z3RX602678</t>
  </si>
  <si>
    <t>川GW0J76</t>
  </si>
  <si>
    <t>JL6442D02</t>
  </si>
  <si>
    <t>徐丽</t>
  </si>
  <si>
    <t>L6T7622Z0NV028381</t>
  </si>
  <si>
    <t>川GG3H52</t>
  </si>
  <si>
    <t>MR7152D27</t>
  </si>
  <si>
    <t>杨蝶</t>
  </si>
  <si>
    <t>L6T75MNN9SF365600</t>
  </si>
  <si>
    <t>川ACA6229</t>
  </si>
  <si>
    <t>魏军民</t>
  </si>
  <si>
    <t>LB378JNZ9SH059076</t>
  </si>
  <si>
    <t>川AGK0530</t>
  </si>
  <si>
    <t>董学江</t>
  </si>
  <si>
    <t>L6T75MNN4SF373474</t>
  </si>
  <si>
    <t>川ACA7189</t>
  </si>
  <si>
    <t>赵锐</t>
  </si>
  <si>
    <t>L6T7742Z2GN018785</t>
  </si>
  <si>
    <t>川AJG113</t>
  </si>
  <si>
    <t>MR6453C04</t>
  </si>
  <si>
    <t>魏红兵</t>
  </si>
  <si>
    <t>LB370ADN6RJ123728</t>
  </si>
  <si>
    <t>川ABD0430</t>
  </si>
  <si>
    <t>JL7007BEV13</t>
  </si>
  <si>
    <t>柴菱</t>
  </si>
  <si>
    <t>LB37822Z3RB039784</t>
  </si>
  <si>
    <t>川G5W281</t>
  </si>
  <si>
    <t>苏晓</t>
  </si>
  <si>
    <t>LB37622Z1KX601051</t>
  </si>
  <si>
    <t>川AH4715</t>
  </si>
  <si>
    <t>JL6432D10</t>
  </si>
  <si>
    <t>朱春雨</t>
  </si>
  <si>
    <t>LB370ADN9SJ144658</t>
  </si>
  <si>
    <t>川ACD5290</t>
  </si>
  <si>
    <t>JL7002BEV101</t>
  </si>
  <si>
    <t>唐雪</t>
  </si>
  <si>
    <t>LB37824Z7LH142420</t>
  </si>
  <si>
    <t>川KYK505</t>
  </si>
  <si>
    <t>HQ7142D11</t>
  </si>
  <si>
    <t>曾永达</t>
  </si>
  <si>
    <t>LB37722Z5NH016825</t>
  </si>
  <si>
    <t>川ABA478</t>
  </si>
  <si>
    <t>刘威</t>
  </si>
  <si>
    <t>LB37852Z6SS112654</t>
  </si>
  <si>
    <t>川AF698V</t>
  </si>
  <si>
    <t>黎燕</t>
  </si>
  <si>
    <t>L6T78CNW6SY060456</t>
  </si>
  <si>
    <t>川ACA5753</t>
  </si>
  <si>
    <t>MR6465BEV01</t>
  </si>
  <si>
    <t>覃浩</t>
  </si>
  <si>
    <t>L6T79XEZXSV253015</t>
  </si>
  <si>
    <t>川AG99366</t>
  </si>
  <si>
    <t>MR7151DCHEV105</t>
  </si>
  <si>
    <t>陈莉</t>
  </si>
  <si>
    <t>华安保险</t>
  </si>
  <si>
    <t>LBERCADB1FX845906</t>
  </si>
  <si>
    <t>川A8N6N2</t>
  </si>
  <si>
    <t>BH7141AY</t>
  </si>
  <si>
    <t>田载林</t>
  </si>
  <si>
    <t>L6T75MNN6SF363240</t>
  </si>
  <si>
    <t>川ACD8767</t>
  </si>
  <si>
    <t>刘欢</t>
  </si>
  <si>
    <t>L6T7824Z9SD059377</t>
  </si>
  <si>
    <t>川G71V56</t>
  </si>
  <si>
    <t>徐京杰</t>
  </si>
  <si>
    <t>L6T7854Z9PD023049</t>
  </si>
  <si>
    <t>川A13E0X</t>
  </si>
  <si>
    <t>肖建勇</t>
  </si>
  <si>
    <t>L6T7854Z5ND100559</t>
  </si>
  <si>
    <t>川GG7P38</t>
  </si>
  <si>
    <t>段家琛</t>
  </si>
  <si>
    <t>LB37824Z0NG112068</t>
  </si>
  <si>
    <t>川G43B00</t>
  </si>
  <si>
    <t>陈德元</t>
  </si>
  <si>
    <t>LB37622Z6LX601287</t>
  </si>
  <si>
    <t>川A9B16L</t>
  </si>
  <si>
    <t>JL6432D16</t>
  </si>
  <si>
    <t>魏开德</t>
  </si>
  <si>
    <t>L6T7854Z5SD059801</t>
  </si>
  <si>
    <t>川GFL064</t>
  </si>
  <si>
    <t>吕麟</t>
  </si>
  <si>
    <t>L6T7742ZXGN018145</t>
  </si>
  <si>
    <t>川A87V4J</t>
  </si>
  <si>
    <t>周历玲</t>
  </si>
  <si>
    <t>LB37852D5PS066181</t>
  </si>
  <si>
    <t>川GJ2K86</t>
  </si>
  <si>
    <t>JL6482D06</t>
  </si>
  <si>
    <t>陈晓莉</t>
  </si>
  <si>
    <t>L6T7622Z2NV032383</t>
  </si>
  <si>
    <t>川G8E178</t>
  </si>
  <si>
    <t>陈瑶</t>
  </si>
  <si>
    <t>LB37622Z7SX611499</t>
  </si>
  <si>
    <t>川G4K006</t>
  </si>
  <si>
    <t>马崇礼</t>
  </si>
  <si>
    <t>L6T7824Z2SD053758</t>
  </si>
  <si>
    <t>川GD0V12</t>
  </si>
  <si>
    <t>赵焱</t>
  </si>
  <si>
    <t>L6T7824Z0KN018081</t>
  </si>
  <si>
    <t>川G9G332</t>
  </si>
  <si>
    <t>MR7152C09</t>
  </si>
  <si>
    <t>邓培</t>
  </si>
  <si>
    <t>L6T75MNN7SF373212</t>
  </si>
  <si>
    <t>川AC58073</t>
  </si>
  <si>
    <t>徐飞</t>
  </si>
  <si>
    <t>LB378JNZ2SH047576</t>
  </si>
  <si>
    <t>川AFU9351</t>
  </si>
  <si>
    <t>巫洋</t>
  </si>
  <si>
    <t>LB37622Z8RX909313</t>
  </si>
  <si>
    <t>川GY7Y63</t>
  </si>
  <si>
    <t>四川德禹虹科技有限公司</t>
  </si>
  <si>
    <t>LB37852Z5PS052339</t>
  </si>
  <si>
    <t>川AB34F8</t>
  </si>
  <si>
    <t>王樊</t>
  </si>
  <si>
    <t>LB37622SXNX723107</t>
  </si>
  <si>
    <t>川G6AM25</t>
  </si>
  <si>
    <t>JL6432M21</t>
  </si>
  <si>
    <t>高建立</t>
  </si>
  <si>
    <t>LB37742Z6LB031569</t>
  </si>
  <si>
    <t>川R71S57</t>
  </si>
  <si>
    <t>HQ6453D20</t>
  </si>
  <si>
    <t>王浠</t>
  </si>
  <si>
    <t>LB37852Z0NS032349</t>
  </si>
  <si>
    <t>川G6CH26</t>
  </si>
  <si>
    <t>JL6482D01</t>
  </si>
  <si>
    <t>林俊</t>
  </si>
  <si>
    <t>LB37742Z5HB154951</t>
  </si>
  <si>
    <t>川A9MD41</t>
  </si>
  <si>
    <t>HQ6453C03</t>
  </si>
  <si>
    <t>刘云</t>
  </si>
  <si>
    <t>L107722Z3PC002738</t>
  </si>
  <si>
    <t>川GG0K95</t>
  </si>
  <si>
    <t>李成君</t>
  </si>
  <si>
    <t>LB37852Z2PS032789</t>
  </si>
  <si>
    <t>川G9HN61</t>
  </si>
  <si>
    <t>李金宇</t>
  </si>
  <si>
    <t>L6T7854Z9ND033626</t>
  </si>
  <si>
    <t>川AG6M10</t>
  </si>
  <si>
    <t>罗润</t>
  </si>
  <si>
    <t>LB37822Z2SB056193</t>
  </si>
  <si>
    <t>川CH9517</t>
  </si>
  <si>
    <t>陈雄</t>
  </si>
  <si>
    <t>L6T7622Z6LV005751</t>
  </si>
  <si>
    <t>川XJL550</t>
  </si>
  <si>
    <t>MR7152D01</t>
  </si>
  <si>
    <t>杨阳</t>
  </si>
  <si>
    <t>L6T7622ZXLV006689</t>
  </si>
  <si>
    <t>川A29F9A</t>
  </si>
  <si>
    <t>MR7152D20</t>
  </si>
  <si>
    <t>LB37742Z7LB023612</t>
  </si>
  <si>
    <t>川AKZ568</t>
  </si>
  <si>
    <t>HQ6453D24</t>
  </si>
  <si>
    <t>麦吉</t>
  </si>
  <si>
    <t>L6T7824Z5KW033931</t>
  </si>
  <si>
    <t>川TLA667</t>
  </si>
  <si>
    <t>罗亮</t>
  </si>
  <si>
    <t>LB37724Z9MX205236</t>
  </si>
  <si>
    <t>川A4K6X6</t>
  </si>
  <si>
    <t>JL7152D06</t>
  </si>
  <si>
    <t>王国威</t>
  </si>
  <si>
    <t>LB37822Z2SB048692</t>
  </si>
  <si>
    <t>川GFT970</t>
  </si>
  <si>
    <t>邹翠</t>
  </si>
  <si>
    <t>LB37852Z6NS027298</t>
  </si>
  <si>
    <t>川A2D6K1</t>
  </si>
  <si>
    <t>左罗</t>
  </si>
  <si>
    <t>LB378JNZ0SH047849</t>
  </si>
  <si>
    <t>川AGD8035</t>
  </si>
  <si>
    <t>余晓东</t>
  </si>
  <si>
    <t>LB37622Z9PX609504</t>
  </si>
  <si>
    <t>川G50N25</t>
  </si>
  <si>
    <t>宋学彬</t>
  </si>
  <si>
    <t>LB37722Z0RX313724</t>
  </si>
  <si>
    <t>川GKN090</t>
  </si>
  <si>
    <t>雷兵</t>
  </si>
  <si>
    <t>LB37824Z1NG111639</t>
  </si>
  <si>
    <t>川A17P3F</t>
  </si>
  <si>
    <t>陈佳</t>
  </si>
  <si>
    <t>LB37852Z5PS047044</t>
  </si>
  <si>
    <t>川A752LN</t>
  </si>
  <si>
    <t>黎杰</t>
  </si>
  <si>
    <t>LB37522Z6KL015195</t>
  </si>
  <si>
    <t>川B539TQ</t>
  </si>
  <si>
    <t>JL7151C08</t>
  </si>
  <si>
    <t>陈少甫</t>
  </si>
  <si>
    <t>LB37722Z6LC013989</t>
  </si>
  <si>
    <t>川A681K9</t>
  </si>
  <si>
    <t>JL6453D09</t>
  </si>
  <si>
    <t>何国倩</t>
  </si>
  <si>
    <t>LB37824Z9PG031945</t>
  </si>
  <si>
    <t>川AP0N17</t>
  </si>
  <si>
    <t>HQ7152D13</t>
  </si>
  <si>
    <t>梁肇洪</t>
  </si>
  <si>
    <t>LB375GNN6SX430127</t>
  </si>
  <si>
    <t>川AC28910</t>
  </si>
  <si>
    <t>伏一铭</t>
  </si>
  <si>
    <t>L6T7942Z4NY015005</t>
  </si>
  <si>
    <t>川G1CC60</t>
  </si>
  <si>
    <t>MR6481D08</t>
  </si>
  <si>
    <t>冷静柯</t>
  </si>
  <si>
    <t>L6T78CNW3RY103435</t>
  </si>
  <si>
    <t>川ACB1313</t>
  </si>
  <si>
    <t>张晓龙</t>
  </si>
  <si>
    <t>LB37742S0HH077213</t>
  </si>
  <si>
    <t>川A29L5C</t>
  </si>
  <si>
    <t>HQ7182L04</t>
  </si>
  <si>
    <t>罗城</t>
  </si>
  <si>
    <t>L6T7822Z7KD028891</t>
  </si>
  <si>
    <t>川A24S6E</t>
  </si>
  <si>
    <t>MR6463D03</t>
  </si>
  <si>
    <t>彭福祥</t>
  </si>
  <si>
    <t>L6T7824SXLW177947</t>
  </si>
  <si>
    <t>川GKK829</t>
  </si>
  <si>
    <t>MR7152M14</t>
  </si>
  <si>
    <t>陈文武</t>
  </si>
  <si>
    <t>L6T7854Z8RD064727</t>
  </si>
  <si>
    <t>川G0WK56</t>
  </si>
  <si>
    <t>魏可民</t>
  </si>
  <si>
    <t>LB37852Z9PS061335</t>
  </si>
  <si>
    <t>川G69N49</t>
  </si>
  <si>
    <t>徐建平</t>
  </si>
  <si>
    <t>L6T7854Z3PD039666</t>
  </si>
  <si>
    <t>川GJ5Q68</t>
  </si>
  <si>
    <t>王益琴</t>
  </si>
  <si>
    <t>L6T75MNN9SF366956</t>
  </si>
  <si>
    <t>川WD33335</t>
  </si>
  <si>
    <t>贺丹</t>
  </si>
  <si>
    <t>L6T7854ZXND032629</t>
  </si>
  <si>
    <t>川A4H751</t>
  </si>
  <si>
    <t>周春燕</t>
  </si>
  <si>
    <t>L6T7854Z8PD036763</t>
  </si>
  <si>
    <t>川A15M7K</t>
  </si>
  <si>
    <t>唐帅</t>
  </si>
  <si>
    <t>LB37742Z4LB023308</t>
  </si>
  <si>
    <t>川AS82Z8</t>
  </si>
  <si>
    <t>舒刚</t>
  </si>
  <si>
    <t>L6T7722S4KN010882</t>
  </si>
  <si>
    <t>川A920J4</t>
  </si>
  <si>
    <t>MR7152L32</t>
  </si>
  <si>
    <t>杨姚</t>
  </si>
  <si>
    <t>L6T7824Z9RD040886</t>
  </si>
  <si>
    <t>川GU1Y65</t>
  </si>
  <si>
    <t>刘先平</t>
  </si>
  <si>
    <t>LB37622Z9KX682199</t>
  </si>
  <si>
    <t>川A9W4X1</t>
  </si>
  <si>
    <t>冯利</t>
  </si>
  <si>
    <t>LB37722Z7RX307452</t>
  </si>
  <si>
    <t>川G2J882</t>
  </si>
  <si>
    <t>苟正</t>
  </si>
  <si>
    <t>LB37824S4PG047408</t>
  </si>
  <si>
    <t>川GJ9B33</t>
  </si>
  <si>
    <t>张桂芬</t>
  </si>
  <si>
    <t>LB37742Z6LB030115</t>
  </si>
  <si>
    <t>川A20C2V</t>
  </si>
  <si>
    <t>李华林</t>
  </si>
  <si>
    <t>LB37522Z7LL009682</t>
  </si>
  <si>
    <t>川AM224X</t>
  </si>
  <si>
    <t>JL7151D01</t>
  </si>
  <si>
    <t>曹泽彬</t>
  </si>
  <si>
    <t>LB37824Z4LH024079</t>
  </si>
  <si>
    <t>川A52K6F</t>
  </si>
  <si>
    <t>罗雷</t>
  </si>
  <si>
    <t>L6T7854Z9PD023214</t>
  </si>
  <si>
    <t>川AT29J9</t>
  </si>
  <si>
    <t>LB37742D7HB045394</t>
  </si>
  <si>
    <t>川AS6D35</t>
  </si>
  <si>
    <t>HQ6453C04</t>
  </si>
  <si>
    <t>李晓乔</t>
  </si>
  <si>
    <t>LB37522S0LL005217</t>
  </si>
  <si>
    <t>川A6W66X</t>
  </si>
  <si>
    <t>黄正平</t>
  </si>
  <si>
    <t>LB375GNN4SX430062</t>
  </si>
  <si>
    <t>川AC63662</t>
  </si>
  <si>
    <t>龙发英</t>
  </si>
  <si>
    <t>LB378B2Z0PS029369</t>
  </si>
  <si>
    <t>川G50N81</t>
  </si>
  <si>
    <t>JL6482DCHEV01</t>
  </si>
  <si>
    <t>陈志琼</t>
  </si>
  <si>
    <t>LB378LCZ5PB118648</t>
  </si>
  <si>
    <t>川AFK7852</t>
  </si>
  <si>
    <t>HQ6472DCHEV03</t>
  </si>
  <si>
    <t>张容华</t>
  </si>
  <si>
    <t>LB37824Z0PG029436</t>
  </si>
  <si>
    <t>川G9PP16</t>
  </si>
  <si>
    <t>吴开昊</t>
  </si>
  <si>
    <t>LB378JRZ8SH062884</t>
  </si>
  <si>
    <t>川AG40788</t>
  </si>
  <si>
    <t>HQ7152DCHEV100</t>
  </si>
  <si>
    <t>华威武</t>
  </si>
  <si>
    <t>L6T7824Z3HN021128</t>
  </si>
  <si>
    <t>川A3Q3E5</t>
  </si>
  <si>
    <t>MR7152C06</t>
  </si>
  <si>
    <t>锦江区胜传锋弘服装店</t>
  </si>
  <si>
    <t>LB37742Z3KB019717</t>
  </si>
  <si>
    <t>川AM6S37</t>
  </si>
  <si>
    <t>董涛</t>
  </si>
  <si>
    <t>LB37822Z6RB039553</t>
  </si>
  <si>
    <t>川AB889D</t>
  </si>
  <si>
    <t>吴汶泽</t>
  </si>
  <si>
    <t>LB375GNN4SX047125</t>
  </si>
  <si>
    <t>川ACB3835</t>
  </si>
  <si>
    <t>赵文</t>
  </si>
  <si>
    <t>LB375GNN5SX430278</t>
  </si>
  <si>
    <t>川ACB5204</t>
  </si>
  <si>
    <t>罗蔷玉</t>
  </si>
  <si>
    <t>LB37622ZXRX604797</t>
  </si>
  <si>
    <t>川GG7G24</t>
  </si>
  <si>
    <t>张高林</t>
  </si>
  <si>
    <t>L6T7854Z2PD036760</t>
  </si>
  <si>
    <t>川A5465M</t>
  </si>
  <si>
    <t>李京</t>
  </si>
  <si>
    <t>L6T7852Z0KD027275</t>
  </si>
  <si>
    <t>川AYM660</t>
  </si>
  <si>
    <t>MR6463D06</t>
  </si>
  <si>
    <t>田勇</t>
  </si>
  <si>
    <t>LB37852D7NS032823</t>
  </si>
  <si>
    <t>川A193HJ</t>
  </si>
  <si>
    <t>JL6482D03</t>
  </si>
  <si>
    <t>周林楷</t>
  </si>
  <si>
    <t>LB37824Z9PG042332</t>
  </si>
  <si>
    <t>川A8B896</t>
  </si>
  <si>
    <t>周代兴</t>
  </si>
  <si>
    <t>L6T7824Z5RD061802</t>
  </si>
  <si>
    <t>川GGP100</t>
  </si>
  <si>
    <t>L6T7824Z5MW271264</t>
  </si>
  <si>
    <t>川G10A32</t>
  </si>
  <si>
    <t>MR7142D20</t>
  </si>
  <si>
    <t>江德传</t>
  </si>
  <si>
    <t>L6T7824S3JN193197</t>
  </si>
  <si>
    <t>川CVC265</t>
  </si>
  <si>
    <t>MR7152L33</t>
  </si>
  <si>
    <t>卓莉</t>
  </si>
  <si>
    <t>LB37822Z2RB041719</t>
  </si>
  <si>
    <t>川GHR026</t>
  </si>
  <si>
    <t>曾健</t>
  </si>
  <si>
    <t>LB378JNZ1SH051828</t>
  </si>
  <si>
    <t>川AGJ2888</t>
  </si>
  <si>
    <t>曾磊</t>
  </si>
  <si>
    <t>L6T75MNN6SF383410</t>
  </si>
  <si>
    <t>川AC44556</t>
  </si>
  <si>
    <t>李晓昆</t>
  </si>
  <si>
    <t>L107722S1MC004437</t>
  </si>
  <si>
    <t>川A0LT95</t>
  </si>
  <si>
    <t>RX6453M01</t>
  </si>
  <si>
    <t>张学忠</t>
  </si>
  <si>
    <t>L6T79BRN0SV172082</t>
  </si>
  <si>
    <t>川ACB8603</t>
  </si>
  <si>
    <t>MR7005BEV27</t>
  </si>
  <si>
    <t>周铜</t>
  </si>
  <si>
    <t>LB376F2Z0NX601229</t>
  </si>
  <si>
    <t>川AF32723</t>
  </si>
  <si>
    <t>JL6432DPHEV14</t>
  </si>
  <si>
    <t>唐迟</t>
  </si>
  <si>
    <t>L6T791RZ4SV301907</t>
  </si>
  <si>
    <t>川AGH2009</t>
  </si>
  <si>
    <t>MR7151DCHEV111</t>
  </si>
  <si>
    <t>刘慧</t>
  </si>
  <si>
    <t>L6T7722Z5NF023779</t>
  </si>
  <si>
    <t>川A308RQ</t>
  </si>
  <si>
    <t>MR6453D55</t>
  </si>
  <si>
    <t>江琼</t>
  </si>
  <si>
    <t>LB37852ZXSS029504</t>
  </si>
  <si>
    <t>川G868B3</t>
  </si>
  <si>
    <t>钟华健</t>
  </si>
  <si>
    <t>L6T7824Z4SD054748</t>
  </si>
  <si>
    <t>川G5E5R8</t>
  </si>
  <si>
    <t>李安瑞</t>
  </si>
  <si>
    <t>华农保险</t>
  </si>
  <si>
    <t>LB37724SXGX025464</t>
  </si>
  <si>
    <t>川A28HL5</t>
  </si>
  <si>
    <t>JL7152L13</t>
  </si>
  <si>
    <t>代世平</t>
  </si>
  <si>
    <t>LJ2KV8NA6MA019587</t>
  </si>
  <si>
    <t>川HV5672</t>
  </si>
  <si>
    <t>JHC7152D01</t>
  </si>
  <si>
    <t>胡文学</t>
  </si>
  <si>
    <t>LB37824S5PG057560</t>
  </si>
  <si>
    <t>川AB0R62</t>
  </si>
  <si>
    <t>刘玉华</t>
  </si>
  <si>
    <t>L6T7824Z3SD051369</t>
  </si>
  <si>
    <t>川GL2127</t>
  </si>
  <si>
    <t>汤奎</t>
  </si>
  <si>
    <t>LB378LCZ4PB133447</t>
  </si>
  <si>
    <t>川AFP6295</t>
  </si>
  <si>
    <t>张涛</t>
  </si>
  <si>
    <t>LB37824Z1PG056578</t>
  </si>
  <si>
    <t>川ACY818</t>
  </si>
  <si>
    <t>邹自强</t>
  </si>
  <si>
    <t>L6T791RZXSV302673</t>
  </si>
  <si>
    <t>川AGK5869</t>
  </si>
  <si>
    <t>黄燕</t>
  </si>
  <si>
    <t>LB37742S6JB044886</t>
  </si>
  <si>
    <t>川A3UH84</t>
  </si>
  <si>
    <t>HQ6453L02</t>
  </si>
  <si>
    <t>冯丽</t>
  </si>
  <si>
    <t>L6T75N2W7PV329890</t>
  </si>
  <si>
    <t>川ABA8807</t>
  </si>
  <si>
    <t>MR7003BEV09</t>
  </si>
  <si>
    <t>王怀兵</t>
  </si>
  <si>
    <t>L6T7824Z2RD064608</t>
  </si>
  <si>
    <t>川GL5C29</t>
  </si>
  <si>
    <t>王文武</t>
  </si>
  <si>
    <t>LB37852Z4PS051697</t>
  </si>
  <si>
    <t>川AMH586</t>
  </si>
  <si>
    <t>杨建华</t>
  </si>
  <si>
    <t>L6T7942Z9MY003835</t>
  </si>
  <si>
    <t>川AYU683</t>
  </si>
  <si>
    <t>张秀君</t>
  </si>
  <si>
    <t>L107722S9MC004461</t>
  </si>
  <si>
    <t>川AHR953</t>
  </si>
  <si>
    <t>康飞洋</t>
  </si>
  <si>
    <t>L6T7742Z8GN405549</t>
  </si>
  <si>
    <t>川AW8W44</t>
  </si>
  <si>
    <t>邹深雯</t>
  </si>
  <si>
    <t>L6T7854ZXND126381</t>
  </si>
  <si>
    <t>川A0WP45</t>
  </si>
  <si>
    <t>岑俊</t>
  </si>
  <si>
    <t>LB378JNZ0SB009864</t>
  </si>
  <si>
    <t>川AFG4919</t>
  </si>
  <si>
    <t>HQ6472DCHEV100</t>
  </si>
  <si>
    <t>王扣成</t>
  </si>
  <si>
    <t>LB37824Z5SG057600</t>
  </si>
  <si>
    <t>川G697A2</t>
  </si>
  <si>
    <t>HQ7151D05</t>
  </si>
  <si>
    <t>辜锡文</t>
  </si>
  <si>
    <t>LB378JNZ2SH048050</t>
  </si>
  <si>
    <t>川AGK2040</t>
  </si>
  <si>
    <t>文蕴竹</t>
  </si>
  <si>
    <t>LB378LEZ5RH064278</t>
  </si>
  <si>
    <t>川AGE9023</t>
  </si>
  <si>
    <t>邹文俊</t>
  </si>
  <si>
    <t>LB37722Z7KH036201</t>
  </si>
  <si>
    <t>川AX7Y47</t>
  </si>
  <si>
    <t>邱芮</t>
  </si>
  <si>
    <t>LB37822Z5RB013736</t>
  </si>
  <si>
    <t>川GU7W89</t>
  </si>
  <si>
    <t>刘刚</t>
  </si>
  <si>
    <t>LB378JNZ9SH054511</t>
  </si>
  <si>
    <t>川AGH2298</t>
  </si>
  <si>
    <t>谭远光</t>
  </si>
  <si>
    <t>LB37824ZXNG110795</t>
  </si>
  <si>
    <t>川G8CE69</t>
  </si>
  <si>
    <t>施建洪</t>
  </si>
  <si>
    <t>LB370ADN1PJ140224</t>
  </si>
  <si>
    <t>川AAT3513</t>
  </si>
  <si>
    <t>凌曦</t>
  </si>
  <si>
    <t>L6T7824Z7SD054839</t>
  </si>
  <si>
    <t>川LR0856</t>
  </si>
  <si>
    <t>黄芃</t>
  </si>
  <si>
    <t>LB37822Z4PB013837</t>
  </si>
  <si>
    <t>川G01R90</t>
  </si>
  <si>
    <t>刘开磊</t>
  </si>
  <si>
    <t>L6T7824S3JN193054</t>
  </si>
  <si>
    <t>川AE42Y0</t>
  </si>
  <si>
    <t>叶存文</t>
  </si>
  <si>
    <t>LB37722Z0MH015404</t>
  </si>
  <si>
    <t>川AK32A9</t>
  </si>
  <si>
    <t>HQ7142D1</t>
  </si>
  <si>
    <t>王雪山</t>
  </si>
  <si>
    <t>LB37722Z9LC014005</t>
  </si>
  <si>
    <t>川KWR756</t>
  </si>
  <si>
    <t>谢碧尧</t>
  </si>
  <si>
    <t>LB378LEZ4RH064269</t>
  </si>
  <si>
    <t>川EF92778</t>
  </si>
  <si>
    <t>周炼</t>
  </si>
  <si>
    <t>LB370ADN4PJ138239</t>
  </si>
  <si>
    <t>川AAR0208</t>
  </si>
  <si>
    <t>胡莹</t>
  </si>
  <si>
    <t>LB37852Z9NS038263</t>
  </si>
  <si>
    <t>川AU8Z30</t>
  </si>
  <si>
    <t>张绍帅</t>
  </si>
  <si>
    <t>LB37852Z3PS040271</t>
  </si>
  <si>
    <t>川G9FF09</t>
  </si>
  <si>
    <t>刘雅婷</t>
  </si>
  <si>
    <t>LB37622Z3NX715282</t>
  </si>
  <si>
    <t>川GC5K55</t>
  </si>
  <si>
    <t>JL6432D19</t>
  </si>
  <si>
    <t>简万军</t>
  </si>
  <si>
    <t>LB37852Z6RS078712</t>
  </si>
  <si>
    <t>川GJY919</t>
  </si>
  <si>
    <t>范海蓉</t>
  </si>
  <si>
    <t>LB37824Z8LH032198</t>
  </si>
  <si>
    <t>川XL510W</t>
  </si>
  <si>
    <t>杨鑫</t>
  </si>
  <si>
    <t>L6T7854Z2ND033628</t>
  </si>
  <si>
    <t>川AM63F3</t>
  </si>
  <si>
    <t>杨仁润</t>
  </si>
  <si>
    <t>LB375GNN8SX425043</t>
  </si>
  <si>
    <t>川AC65466</t>
  </si>
  <si>
    <t>魏天一</t>
  </si>
  <si>
    <t>L6T7854Z7SD052767</t>
  </si>
  <si>
    <t>川G39424</t>
  </si>
  <si>
    <t>刘磊</t>
  </si>
  <si>
    <t>L6T79XEZXSV252754</t>
  </si>
  <si>
    <t>川AGG9108</t>
  </si>
  <si>
    <t>高友谊</t>
  </si>
  <si>
    <t>LB37622Z2KX601768</t>
  </si>
  <si>
    <t>川ZQH316</t>
  </si>
  <si>
    <t>杨太成</t>
  </si>
  <si>
    <t>L6T7722S7GN022354</t>
  </si>
  <si>
    <t>川AW14J8</t>
  </si>
  <si>
    <t>MR7152L23</t>
  </si>
  <si>
    <t>周祚丞</t>
  </si>
  <si>
    <t>LB37824Z9NG017895</t>
  </si>
  <si>
    <t>川AVB337</t>
  </si>
  <si>
    <t>四川诗诺美科技有限公司</t>
  </si>
  <si>
    <t>LB37824Z5RG048745</t>
  </si>
  <si>
    <t>川G3BF00</t>
  </si>
  <si>
    <t>廖芝芝</t>
  </si>
  <si>
    <t>L6T7854Z1ND037850</t>
  </si>
  <si>
    <t>川AK64X8</t>
  </si>
  <si>
    <t>高开连</t>
  </si>
  <si>
    <t>LB37622Z7PX703008</t>
  </si>
  <si>
    <t>川GH8P22</t>
  </si>
  <si>
    <t>JL6432D25</t>
  </si>
  <si>
    <t>黄文超</t>
  </si>
  <si>
    <t>LB37624S9EL021770</t>
  </si>
  <si>
    <t>川A6ZY29</t>
  </si>
  <si>
    <t>JL7152D</t>
  </si>
  <si>
    <t>刘曾勇</t>
  </si>
  <si>
    <t>LB37742S4JA032998</t>
  </si>
  <si>
    <t>川MRL315</t>
  </si>
  <si>
    <t>HQ7132L05</t>
  </si>
  <si>
    <t>阳涛</t>
  </si>
  <si>
    <t>LB37742Z0NB019548</t>
  </si>
  <si>
    <t>川A381Z5</t>
  </si>
  <si>
    <t>陈兴贵</t>
  </si>
  <si>
    <t>L6T7854ZXPD039714</t>
  </si>
  <si>
    <t>川A61US3</t>
  </si>
  <si>
    <t>程雪</t>
  </si>
  <si>
    <t>LB37742Z2LB010671</t>
  </si>
  <si>
    <t>川AXY001</t>
  </si>
  <si>
    <t>杨朝洋</t>
  </si>
  <si>
    <t>L6T791RZ6SV301214</t>
  </si>
  <si>
    <t>川AG96972</t>
  </si>
  <si>
    <t>李川</t>
  </si>
  <si>
    <t>LB37852Z0SS107918</t>
  </si>
  <si>
    <t>川G3TH16</t>
  </si>
  <si>
    <t>柏邈</t>
  </si>
  <si>
    <t>L6T7824Z8RD059283</t>
  </si>
  <si>
    <t>川G62C54</t>
  </si>
  <si>
    <t>张燕丽</t>
  </si>
  <si>
    <t>LB37722D0LB026067</t>
  </si>
  <si>
    <t>川EK33G3</t>
  </si>
  <si>
    <t>HQ6453D13</t>
  </si>
  <si>
    <t>李忠强</t>
  </si>
  <si>
    <t>LB37852Z4PS066605</t>
  </si>
  <si>
    <t>川AER122</t>
  </si>
  <si>
    <t>张勇</t>
  </si>
  <si>
    <t>LB37824Z1NG034562</t>
  </si>
  <si>
    <t>川A000BT</t>
  </si>
  <si>
    <t>HQ7152D11</t>
  </si>
  <si>
    <t>任益峰</t>
  </si>
  <si>
    <t>LB37724S8HX669000</t>
  </si>
  <si>
    <t>川A73R2U</t>
  </si>
  <si>
    <t>李龙</t>
  </si>
  <si>
    <t>LB37824ZXPG031954</t>
  </si>
  <si>
    <t>川G7HV16</t>
  </si>
  <si>
    <t>詹福</t>
  </si>
  <si>
    <t>L6T79XEZ7SV251528</t>
  </si>
  <si>
    <t>川AGK5997</t>
  </si>
  <si>
    <t>肖成语</t>
  </si>
  <si>
    <t>L6T791RZ1SV302965</t>
  </si>
  <si>
    <t>川AG93006</t>
  </si>
  <si>
    <t>吴海瑞</t>
  </si>
  <si>
    <t>LB37852Z5NS024215</t>
  </si>
  <si>
    <t>川G9AB00</t>
  </si>
  <si>
    <t>唐顾恩</t>
  </si>
  <si>
    <t>L6T7824S1KN022336</t>
  </si>
  <si>
    <t>川A406T9</t>
  </si>
  <si>
    <t>冯亮</t>
  </si>
  <si>
    <t>LB37722Z3NH013566</t>
  </si>
  <si>
    <t>川A02HW9</t>
  </si>
  <si>
    <t>李双峰</t>
  </si>
  <si>
    <t>LB37824ZXRG047865</t>
  </si>
  <si>
    <t>川GL3A38</t>
  </si>
  <si>
    <t>陈宏</t>
  </si>
  <si>
    <t>LB37522S5ML013900</t>
  </si>
  <si>
    <t>川A7M40K</t>
  </si>
  <si>
    <t>李禄琼</t>
  </si>
  <si>
    <t>LB37742Z9LB107690</t>
  </si>
  <si>
    <t>川A75C4Q</t>
  </si>
  <si>
    <t>余涛</t>
  </si>
  <si>
    <t>LB37852Z2SS070547</t>
  </si>
  <si>
    <t>川A1P5Y4</t>
  </si>
  <si>
    <t>曾娟</t>
  </si>
  <si>
    <t>LB378JNZ1SB033901</t>
  </si>
  <si>
    <t>川AFU2691</t>
  </si>
  <si>
    <t>付杰</t>
  </si>
  <si>
    <t>LB378LEZXRH063739</t>
  </si>
  <si>
    <t>川AGH2692</t>
  </si>
  <si>
    <t>李焱</t>
  </si>
  <si>
    <t>L6T75MNN6SF365540</t>
  </si>
  <si>
    <t>川ACA5502</t>
  </si>
  <si>
    <t>詹晓辉</t>
  </si>
  <si>
    <t>LB37852Z4RS041092</t>
  </si>
  <si>
    <t>川A935AN</t>
  </si>
  <si>
    <t>先为群</t>
  </si>
  <si>
    <t>LB378LCZ9RB012951</t>
  </si>
  <si>
    <t>川AFX0781</t>
  </si>
  <si>
    <t>陈年</t>
  </si>
  <si>
    <t>L6T7824Z1JN052707</t>
  </si>
  <si>
    <t>川A55XX2</t>
  </si>
  <si>
    <t>况莉萍</t>
  </si>
  <si>
    <t>L6T7824Z5SD054869</t>
  </si>
  <si>
    <t>川A398V3</t>
  </si>
  <si>
    <t>邱卉</t>
  </si>
  <si>
    <t>LB37852Z3PS048953</t>
  </si>
  <si>
    <t>川G2FY58</t>
  </si>
  <si>
    <t>罗德清</t>
  </si>
  <si>
    <t>LB37724S8GX029643</t>
  </si>
  <si>
    <t>川A28AY0</t>
  </si>
  <si>
    <t>黄启德</t>
  </si>
  <si>
    <t>LB37724ZXJX047713</t>
  </si>
  <si>
    <t>川AH88U4</t>
  </si>
  <si>
    <t>JL7152C11</t>
  </si>
  <si>
    <t>姚坤</t>
  </si>
  <si>
    <t>LB37824Z7LH032189</t>
  </si>
  <si>
    <t>川A0A4K6</t>
  </si>
  <si>
    <t>汤小刚</t>
  </si>
  <si>
    <t>L6T7854Z0SD057373</t>
  </si>
  <si>
    <t>川G45705</t>
  </si>
  <si>
    <t>梅本泽</t>
  </si>
  <si>
    <t>L6T7742Z1LU087435</t>
  </si>
  <si>
    <t>川A426NB</t>
  </si>
  <si>
    <t>MR6453D35</t>
  </si>
  <si>
    <t>张桂蓉</t>
  </si>
  <si>
    <t>LB37622Z7MX710407</t>
  </si>
  <si>
    <t>川A10Y3J</t>
  </si>
  <si>
    <t>伍亚东</t>
  </si>
  <si>
    <t>LB37824Z7KH013186</t>
  </si>
  <si>
    <t>川G3WY09</t>
  </si>
  <si>
    <t>HQ7142C05</t>
  </si>
  <si>
    <t>吴有兵</t>
  </si>
  <si>
    <t>LB37522S2JL045618</t>
  </si>
  <si>
    <t>川MRZ728</t>
  </si>
  <si>
    <t>JL7151L15</t>
  </si>
  <si>
    <t>唐代</t>
  </si>
  <si>
    <t>LB37824Z9LH140622</t>
  </si>
  <si>
    <t>川A408PA</t>
  </si>
  <si>
    <t>张义</t>
  </si>
  <si>
    <t>LB37522S5JL041126</t>
  </si>
  <si>
    <t>川A48Z7T</t>
  </si>
  <si>
    <t>熊伟</t>
  </si>
  <si>
    <t>LB378LEZ9RH022471</t>
  </si>
  <si>
    <t>川AG15217</t>
  </si>
  <si>
    <t>黄馨仪</t>
  </si>
  <si>
    <t>L6T7844SXBN111611</t>
  </si>
  <si>
    <t>川G5E6G6</t>
  </si>
  <si>
    <t>MR7184E4</t>
  </si>
  <si>
    <t>LB3752CWXNA300647</t>
  </si>
  <si>
    <t>川AA20139</t>
  </si>
  <si>
    <t>HQ7004BEV01</t>
  </si>
  <si>
    <t>欧洲</t>
  </si>
  <si>
    <t>L6T75MNN9SF363510</t>
  </si>
  <si>
    <t>川AC30126</t>
  </si>
  <si>
    <t>兰文财</t>
  </si>
  <si>
    <t>LB37824S4LH041614</t>
  </si>
  <si>
    <t>川B6TS81</t>
  </si>
  <si>
    <t>HQ7142M09</t>
  </si>
  <si>
    <t>王仁兵</t>
  </si>
  <si>
    <t>LB37742Z9MB008935</t>
  </si>
  <si>
    <t>川A11L4M</t>
  </si>
  <si>
    <t>王小愿</t>
  </si>
  <si>
    <t>L6T7822Z2KD027941</t>
  </si>
  <si>
    <t>川AM00G3</t>
  </si>
  <si>
    <t>何登甲</t>
  </si>
  <si>
    <t>LB375HNN4SX051567</t>
  </si>
  <si>
    <t>川ACA0406</t>
  </si>
  <si>
    <t>JL7001BEV72</t>
  </si>
  <si>
    <t>杨理晶</t>
  </si>
  <si>
    <t>LB37852D2PS051394</t>
  </si>
  <si>
    <t>川G5HJ18</t>
  </si>
  <si>
    <t>林昌顺</t>
  </si>
  <si>
    <t>L6T7854Z1MD025017</t>
  </si>
  <si>
    <t>川A61A4N</t>
  </si>
  <si>
    <t>王静</t>
  </si>
  <si>
    <t>LB378JNZ9SH063967</t>
  </si>
  <si>
    <t>川AGG0630</t>
  </si>
  <si>
    <t>LB37852ZXPS046942</t>
  </si>
  <si>
    <t>川JF8866</t>
  </si>
  <si>
    <t>罗京</t>
  </si>
  <si>
    <t>LB37624Z2FL058951</t>
  </si>
  <si>
    <t>川A6Q7C3</t>
  </si>
  <si>
    <t>JL7151C06</t>
  </si>
  <si>
    <t>张清富</t>
  </si>
  <si>
    <t>LB37742Z2LB023193</t>
  </si>
  <si>
    <t>川A97SN1</t>
  </si>
  <si>
    <t>李东</t>
  </si>
  <si>
    <t>LB37742D7HB045668</t>
  </si>
  <si>
    <t>川AM6A70</t>
  </si>
  <si>
    <t>向国江</t>
  </si>
  <si>
    <t>L6T78CNW6SY060490</t>
  </si>
  <si>
    <t>川ABP6135</t>
  </si>
  <si>
    <t>白苹</t>
  </si>
  <si>
    <t>LB37852Z0PS066584</t>
  </si>
  <si>
    <t>川A3U70Z</t>
  </si>
  <si>
    <t>廖连伟</t>
  </si>
  <si>
    <t>L6T7854Z7MD032215</t>
  </si>
  <si>
    <t>川AP2S13</t>
  </si>
  <si>
    <t>四川云飞亦商贸有限公司</t>
  </si>
  <si>
    <t>L6T7824SXDN210047</t>
  </si>
  <si>
    <t>川AN873Q</t>
  </si>
  <si>
    <t>MR7152K03</t>
  </si>
  <si>
    <t>王洋</t>
  </si>
  <si>
    <t>LB37742Z4LB014205</t>
  </si>
  <si>
    <t>川A3L466</t>
  </si>
  <si>
    <t>吴茜</t>
  </si>
  <si>
    <t>LB37742Z7LB023836</t>
  </si>
  <si>
    <t>川AM1001</t>
  </si>
  <si>
    <t>余川川</t>
  </si>
  <si>
    <t>L6T7854Z8PD039694</t>
  </si>
  <si>
    <t>川GJ2Z29</t>
  </si>
  <si>
    <t>曹毅</t>
  </si>
  <si>
    <t>LB370ADN2RJ118008</t>
  </si>
  <si>
    <t>川ABG7123</t>
  </si>
  <si>
    <t>罗志芳</t>
  </si>
  <si>
    <t>LB37822Z4PB013854</t>
  </si>
  <si>
    <t>川GJ6R60</t>
  </si>
  <si>
    <t>蔡汶昊</t>
  </si>
  <si>
    <t>LB378LCZ6PB124345</t>
  </si>
  <si>
    <t>川AFX8329</t>
  </si>
  <si>
    <t>周加凤</t>
  </si>
  <si>
    <t>LB37712Z2HC043489</t>
  </si>
  <si>
    <t>川A60L3W</t>
  </si>
  <si>
    <t>JL6453C05</t>
  </si>
  <si>
    <t>梁停</t>
  </si>
  <si>
    <t>L6T7824Z5KN022983</t>
  </si>
  <si>
    <t>川A9R34D</t>
  </si>
  <si>
    <t>李丹妮</t>
  </si>
  <si>
    <t>LB37622Z9NX717554</t>
  </si>
  <si>
    <t>川A256X9</t>
  </si>
  <si>
    <t>付连清</t>
  </si>
  <si>
    <t>LB37742Z1LB023217</t>
  </si>
  <si>
    <t>川AG0682</t>
  </si>
  <si>
    <t>高金秋</t>
  </si>
  <si>
    <t>L6T7854Z1ND039193</t>
  </si>
  <si>
    <t>川A44JY1</t>
  </si>
  <si>
    <t>祝晴</t>
  </si>
  <si>
    <t>LJ2KP7FG3MA019263</t>
  </si>
  <si>
    <t>川YD01151</t>
  </si>
  <si>
    <t>四川大正云济文化发展有限公司</t>
  </si>
  <si>
    <t>L6T7952Z5RY012223</t>
  </si>
  <si>
    <t>川GHY708</t>
  </si>
  <si>
    <t>彭红</t>
  </si>
  <si>
    <t>LB37852Z8PS013003</t>
  </si>
  <si>
    <t>川AJ9E57</t>
  </si>
  <si>
    <t>张团龙</t>
  </si>
  <si>
    <t>LB37822Z0SB068701</t>
  </si>
  <si>
    <t>川GU2Q13</t>
  </si>
  <si>
    <t>龙珠</t>
  </si>
  <si>
    <t>LB378JNZ1SH046810</t>
  </si>
  <si>
    <t>川AGD7070</t>
  </si>
  <si>
    <t>孙曲超</t>
  </si>
  <si>
    <t>L6T7852ZXLD005656</t>
  </si>
  <si>
    <t>川AYJ487</t>
  </si>
  <si>
    <t>MR6463D08</t>
  </si>
  <si>
    <t>张子曦</t>
  </si>
  <si>
    <t>L6T7822Z0KY011830</t>
  </si>
  <si>
    <t>川A2E6J2</t>
  </si>
  <si>
    <t>MR6471D03</t>
  </si>
  <si>
    <t>黄凯宇</t>
  </si>
  <si>
    <t>LB37852Z3SS106973</t>
  </si>
  <si>
    <t>川G4KH55</t>
  </si>
  <si>
    <t>康青川</t>
  </si>
  <si>
    <t>LB37742Z8MB021403</t>
  </si>
  <si>
    <t>川Q298KB</t>
  </si>
  <si>
    <t>谭同斌</t>
  </si>
  <si>
    <t>L6T791RZ4SV306363</t>
  </si>
  <si>
    <t>川AFH9291</t>
  </si>
  <si>
    <t>杨乾</t>
  </si>
  <si>
    <t>L6T7824Z0SD065505</t>
  </si>
  <si>
    <t>川G5G4G8</t>
  </si>
  <si>
    <t>廖成林</t>
  </si>
  <si>
    <t>LB370ADN5RJ112672</t>
  </si>
  <si>
    <t>川AAF1075</t>
  </si>
  <si>
    <t>刘亭亭</t>
  </si>
  <si>
    <t>L6T75MNN1SF366689</t>
  </si>
  <si>
    <t>川ACB3380</t>
  </si>
  <si>
    <t>罗向伟</t>
  </si>
  <si>
    <t>L6T7824Z9SD069407</t>
  </si>
  <si>
    <t>川GQP702</t>
  </si>
  <si>
    <t>陈前鹏</t>
  </si>
  <si>
    <t>L6T7824Z1SD065349</t>
  </si>
  <si>
    <t>川G7G7M0</t>
  </si>
  <si>
    <t>林珍强</t>
  </si>
  <si>
    <t>LB37722Z2NH013557</t>
  </si>
  <si>
    <t>川A982T1</t>
  </si>
  <si>
    <t>王晨</t>
  </si>
  <si>
    <t>LB37852Z0PS027400</t>
  </si>
  <si>
    <t>川G0GS93</t>
  </si>
  <si>
    <t>寇永成</t>
  </si>
  <si>
    <t>L6T7824Z9KW012502</t>
  </si>
  <si>
    <t>川A91M64</t>
  </si>
  <si>
    <t>王春福</t>
  </si>
  <si>
    <t>LB37824Z5SG057595</t>
  </si>
  <si>
    <t>川GWX520</t>
  </si>
  <si>
    <t>刘申亮</t>
  </si>
  <si>
    <t>LB37852Z1PS071230</t>
  </si>
  <si>
    <t>川A2S79J</t>
  </si>
  <si>
    <t>石鹏</t>
  </si>
  <si>
    <t>LB37522Z5ML007592</t>
  </si>
  <si>
    <t>川AR6H97</t>
  </si>
  <si>
    <t>JL7151D02</t>
  </si>
  <si>
    <t>吴翠</t>
  </si>
  <si>
    <t>L6T79XEZ2SV253641</t>
  </si>
  <si>
    <t>川AG96811</t>
  </si>
  <si>
    <t>曾述才</t>
  </si>
  <si>
    <t>LB375GNN3SX035807</t>
  </si>
  <si>
    <t>川AC45500</t>
  </si>
  <si>
    <t>王蒙</t>
  </si>
  <si>
    <t>LB37712Z2HC040821</t>
  </si>
  <si>
    <t>川A303TM</t>
  </si>
  <si>
    <t>叶小波</t>
  </si>
  <si>
    <t>LB37824S5LH146582</t>
  </si>
  <si>
    <t>川A62D18</t>
  </si>
  <si>
    <t>刘文俊</t>
  </si>
  <si>
    <t>LB37722Z3LC021564</t>
  </si>
  <si>
    <t>川AF8243</t>
  </si>
  <si>
    <t>蒋超文</t>
  </si>
  <si>
    <t>LB37824ZXPG036071</t>
  </si>
  <si>
    <t>川GJ3H61</t>
  </si>
  <si>
    <t>任燕</t>
  </si>
  <si>
    <t>LLV5CWB25R0001110</t>
  </si>
  <si>
    <t>川ABF7003</t>
  </si>
  <si>
    <t>LF6462SEV01</t>
  </si>
  <si>
    <t>尹志森</t>
  </si>
  <si>
    <t>LB37822Z8PB009998</t>
  </si>
  <si>
    <t>川A6Y5N5</t>
  </si>
  <si>
    <t>翟彪</t>
  </si>
  <si>
    <t>LB37742Z0NB017153</t>
  </si>
  <si>
    <t>川GC1T88</t>
  </si>
  <si>
    <t>杨坤</t>
  </si>
  <si>
    <t>LB37824Z1LH031247</t>
  </si>
  <si>
    <t>川V20A90</t>
  </si>
  <si>
    <t>杨星</t>
  </si>
  <si>
    <t>LB37752S7KB024654</t>
  </si>
  <si>
    <t>川AY2081</t>
  </si>
  <si>
    <t>HQ6453L01</t>
  </si>
  <si>
    <t>林正文</t>
  </si>
  <si>
    <t>LB370ADN1SJ148249</t>
  </si>
  <si>
    <t>川ACL8861</t>
  </si>
  <si>
    <t>JL7007BEV14</t>
  </si>
  <si>
    <t>刘波</t>
  </si>
  <si>
    <t>L6T7822Z8LD003631</t>
  </si>
  <si>
    <t>川AW5H51</t>
  </si>
  <si>
    <t>MR6463D11</t>
  </si>
  <si>
    <t>梁成</t>
  </si>
  <si>
    <t>LB370ADN3PJ138152</t>
  </si>
  <si>
    <t>川AA38949</t>
  </si>
  <si>
    <t>JL7007BEV02</t>
  </si>
  <si>
    <t>王学杰</t>
  </si>
  <si>
    <t>L107722Z3LC084268</t>
  </si>
  <si>
    <t>川G3NK99</t>
  </si>
  <si>
    <t>RX6453D01</t>
  </si>
  <si>
    <t>邬超</t>
  </si>
  <si>
    <t>L6T7924Z3LU018855</t>
  </si>
  <si>
    <t>川A1CB28</t>
  </si>
  <si>
    <t>MR7153D06</t>
  </si>
  <si>
    <t>林英</t>
  </si>
  <si>
    <t>LB378LCZ7RB038626</t>
  </si>
  <si>
    <t>川AFZ6461</t>
  </si>
  <si>
    <t>HQ7153DCHEV04</t>
  </si>
  <si>
    <t>邹慧</t>
  </si>
  <si>
    <t>LB37622Z3MX704586</t>
  </si>
  <si>
    <t>川KM978B</t>
  </si>
  <si>
    <t>黄叔坤</t>
  </si>
  <si>
    <t>LB375GNN4SX427081</t>
  </si>
  <si>
    <t>川AC35315</t>
  </si>
  <si>
    <t>张海鹏</t>
  </si>
  <si>
    <t>LB37824Z1KH034289</t>
  </si>
  <si>
    <t>川F20TP3</t>
  </si>
  <si>
    <t>邓杉</t>
  </si>
  <si>
    <t>LB37852Z8SS029677</t>
  </si>
  <si>
    <t>川G46846</t>
  </si>
  <si>
    <t>马朋飞</t>
  </si>
  <si>
    <t>L6T7852DXMD026173</t>
  </si>
  <si>
    <t>川Y877D8</t>
  </si>
  <si>
    <t>MR6463D09</t>
  </si>
  <si>
    <t>王聪</t>
  </si>
  <si>
    <t>LB37852Z5SS140154</t>
  </si>
  <si>
    <t>川GK4N88</t>
  </si>
  <si>
    <t>张鹏</t>
  </si>
  <si>
    <t>LB378JNZ9SH049129</t>
  </si>
  <si>
    <t>川AG90689</t>
  </si>
  <si>
    <t>雷毅</t>
  </si>
  <si>
    <t>LB37852Z7PS066582</t>
  </si>
  <si>
    <t>川GD2R46</t>
  </si>
  <si>
    <t>邬自强</t>
  </si>
  <si>
    <t>L6T75MNN6SF371760</t>
  </si>
  <si>
    <t>川ACB1323</t>
  </si>
  <si>
    <t>杨潇</t>
  </si>
  <si>
    <t>LB378LEZ6RH009922</t>
  </si>
  <si>
    <t>川AFZ0707</t>
  </si>
  <si>
    <t>鲁馨月</t>
  </si>
  <si>
    <t>LB37742Z8MB037469</t>
  </si>
  <si>
    <t>川Y692D2</t>
  </si>
  <si>
    <t>程建文</t>
  </si>
  <si>
    <t>L6T7852Z7KD027886</t>
  </si>
  <si>
    <t>川F5C5T2</t>
  </si>
  <si>
    <t>陈庆玲</t>
  </si>
  <si>
    <t>L6T7824Z7SD033733</t>
  </si>
  <si>
    <t>川GF55Z0</t>
  </si>
  <si>
    <t>赵明洁</t>
  </si>
  <si>
    <t>L6T75N2W5RV153974</t>
  </si>
  <si>
    <t>川ABF6803</t>
  </si>
  <si>
    <t>闫石</t>
  </si>
  <si>
    <t>LB37852Z5RS030585</t>
  </si>
  <si>
    <t>川AYM705</t>
  </si>
  <si>
    <t>LB370ADN9PJ139189</t>
  </si>
  <si>
    <t>川AAS8827</t>
  </si>
  <si>
    <t>JL7007BEV03</t>
  </si>
  <si>
    <t>范美</t>
  </si>
  <si>
    <t>L6T75MNN4SF372339</t>
  </si>
  <si>
    <t>川AAB2950</t>
  </si>
  <si>
    <t>张郅</t>
  </si>
  <si>
    <t>LB37822Z4PB013823</t>
  </si>
  <si>
    <t>川A157WU</t>
  </si>
  <si>
    <t>龙晶城</t>
  </si>
  <si>
    <t>LB37742ZXJB044452</t>
  </si>
  <si>
    <t>川A04H4E</t>
  </si>
  <si>
    <t>朱海燕</t>
  </si>
  <si>
    <t>LB37822Z7RB023054</t>
  </si>
  <si>
    <t>川A849VE</t>
  </si>
  <si>
    <t>辜松</t>
  </si>
  <si>
    <t>LB378LCZ4PB124117</t>
  </si>
  <si>
    <t>川AFX1797</t>
  </si>
  <si>
    <t>张盼</t>
  </si>
  <si>
    <t>LB37622Z0NX715224</t>
  </si>
  <si>
    <t>川G80B97</t>
  </si>
  <si>
    <t>文刚</t>
  </si>
  <si>
    <t>L6T7824Z9RD056148</t>
  </si>
  <si>
    <t>川G1S987</t>
  </si>
  <si>
    <t>汪东豪</t>
  </si>
  <si>
    <t>LB37822Z6PB006100</t>
  </si>
  <si>
    <t>川GYP186</t>
  </si>
  <si>
    <t>李均元</t>
  </si>
  <si>
    <t>L6T7824Z8SD057197</t>
  </si>
  <si>
    <t>川GQR123</t>
  </si>
  <si>
    <t>侯文杰</t>
  </si>
  <si>
    <t>L6T7824Z1MW043682</t>
  </si>
  <si>
    <t>川GC939W</t>
  </si>
  <si>
    <t>李红萍</t>
  </si>
  <si>
    <t>LB370ADN5RJ124949</t>
  </si>
  <si>
    <t>川ABA7385</t>
  </si>
  <si>
    <t>张洪云</t>
  </si>
  <si>
    <t>LB37824ZXLH142508</t>
  </si>
  <si>
    <t>川AD740M</t>
  </si>
  <si>
    <t>郭华兵</t>
  </si>
  <si>
    <t>LB37742Z5LB003729</t>
  </si>
  <si>
    <t>川A926XD</t>
  </si>
  <si>
    <t>张国彦</t>
  </si>
  <si>
    <t>L6T7804Z0LW021188</t>
  </si>
  <si>
    <t>川AY532Q</t>
  </si>
  <si>
    <t>MR7102D10</t>
  </si>
  <si>
    <t>雷开平</t>
  </si>
  <si>
    <t>LB37852Z2RS057050</t>
  </si>
  <si>
    <t>川GU9K01</t>
  </si>
  <si>
    <t>石钰杰</t>
  </si>
  <si>
    <t>LB37722Z8JA027420</t>
  </si>
  <si>
    <t>川A64Z4T</t>
  </si>
  <si>
    <t>廖晓玲</t>
  </si>
  <si>
    <t>L6T7622Z3LV005223</t>
  </si>
  <si>
    <t>川AK648N</t>
  </si>
  <si>
    <t>田甜</t>
  </si>
  <si>
    <t>LB37722Z7JH079063</t>
  </si>
  <si>
    <t>川AXY196</t>
  </si>
  <si>
    <t>黄群</t>
  </si>
  <si>
    <t>LB37622Z5PX642032</t>
  </si>
  <si>
    <t>川GU7S06</t>
  </si>
  <si>
    <t>张宁</t>
  </si>
  <si>
    <t>LB378LCZ0SB054933</t>
  </si>
  <si>
    <t>川AGD9618</t>
  </si>
  <si>
    <t>刘欣曈</t>
  </si>
  <si>
    <t>L6T797EZ9RD037852</t>
  </si>
  <si>
    <t>川GY2S62</t>
  </si>
  <si>
    <t>MR7153DCHEV01</t>
  </si>
  <si>
    <t>杨龙</t>
  </si>
  <si>
    <t>LB37852Z5RS092455</t>
  </si>
  <si>
    <t>川GFX008</t>
  </si>
  <si>
    <t>李贵川</t>
  </si>
  <si>
    <t>LB37724Z1MX205330</t>
  </si>
  <si>
    <t>川AYX390</t>
  </si>
  <si>
    <t>李叙</t>
  </si>
  <si>
    <t>LB378LCZ3RB031009</t>
  </si>
  <si>
    <t>川AG19781</t>
  </si>
  <si>
    <t>何莉</t>
  </si>
  <si>
    <t>LB37722Z5LH019804</t>
  </si>
  <si>
    <t>川R99R19</t>
  </si>
  <si>
    <t>HQ7142D09</t>
  </si>
  <si>
    <t>邓煜祺</t>
  </si>
  <si>
    <t>WDC0J4GB2KF619012</t>
  </si>
  <si>
    <t>川A8N3J9</t>
  </si>
  <si>
    <t>BENZ GLC260 COUPE</t>
  </si>
  <si>
    <t>杨娟</t>
  </si>
  <si>
    <t>LB37622Z1NX715278</t>
  </si>
  <si>
    <t>川A4D1S5</t>
  </si>
  <si>
    <t>徐伯松</t>
  </si>
  <si>
    <t>LB37852Z0PS084812</t>
  </si>
  <si>
    <t>川AY58A2</t>
  </si>
  <si>
    <t>费浪</t>
  </si>
  <si>
    <t>L6T7854Z8PD039761</t>
  </si>
  <si>
    <t>川GG4A80</t>
  </si>
  <si>
    <t>高智</t>
  </si>
  <si>
    <t>L6T75N2W0RV151789</t>
  </si>
  <si>
    <t>川AB24977</t>
  </si>
  <si>
    <t>吴金虹</t>
  </si>
  <si>
    <t>LB37852D7NS024768</t>
  </si>
  <si>
    <t>川G17B22</t>
  </si>
  <si>
    <t>周树欢</t>
  </si>
  <si>
    <t>LB378B2Z7PS093957</t>
  </si>
  <si>
    <t>川G29R38</t>
  </si>
  <si>
    <t>JL6482DCHEV05</t>
  </si>
  <si>
    <t>徐思睿</t>
  </si>
  <si>
    <t>L6T7824S4KW033843</t>
  </si>
  <si>
    <t>川A42A73</t>
  </si>
  <si>
    <t>MR7142L05</t>
  </si>
  <si>
    <t>唐建</t>
  </si>
  <si>
    <t>L6T7854Z1PD033400</t>
  </si>
  <si>
    <t>川G1CH97</t>
  </si>
  <si>
    <t>陈航</t>
  </si>
  <si>
    <t>LB37824ZXSG048651</t>
  </si>
  <si>
    <t>川GUN161</t>
  </si>
  <si>
    <t>何思正</t>
  </si>
  <si>
    <t>LB37742Z8LB107700</t>
  </si>
  <si>
    <t>川AR05D1</t>
  </si>
  <si>
    <t>戚红艳</t>
  </si>
  <si>
    <t>LB378JNZ0SH027360</t>
  </si>
  <si>
    <t>川AGG7985</t>
  </si>
  <si>
    <t>巫思成</t>
  </si>
  <si>
    <t>L6T75MNN2SF374199</t>
  </si>
  <si>
    <t>川ADY0404</t>
  </si>
  <si>
    <t>薛力通</t>
  </si>
  <si>
    <t>L6T79XEZ1SV251301</t>
  </si>
  <si>
    <t>川AGH6882</t>
  </si>
  <si>
    <t>张晓宇</t>
  </si>
  <si>
    <t>LB37622Z6LX732736</t>
  </si>
  <si>
    <t>川A6S18C</t>
  </si>
  <si>
    <t>陈海燕</t>
  </si>
  <si>
    <t>LB37742Z2NB023391</t>
  </si>
  <si>
    <t>川A2E140</t>
  </si>
  <si>
    <t>童志勇</t>
  </si>
  <si>
    <t>L6T7622Z9PV014885</t>
  </si>
  <si>
    <t>川GD0C95</t>
  </si>
  <si>
    <t>罗蓉</t>
  </si>
  <si>
    <t>LB378LEZXRH019935</t>
  </si>
  <si>
    <t>川AFX0917</t>
  </si>
  <si>
    <t>杨启萍</t>
  </si>
  <si>
    <t>LB37522Z3ML007591</t>
  </si>
  <si>
    <t>川AC3P79</t>
  </si>
  <si>
    <t>陈元昌</t>
  </si>
  <si>
    <t>LB37724Z2HX654523</t>
  </si>
  <si>
    <t>川A6W72S</t>
  </si>
  <si>
    <t>JL7152C02</t>
  </si>
  <si>
    <t>成华区刘银忠商贸部</t>
  </si>
  <si>
    <t>LB37722Z3LC015005</t>
  </si>
  <si>
    <t>川A381JE</t>
  </si>
  <si>
    <t>代继金</t>
  </si>
  <si>
    <t>国任保险</t>
  </si>
  <si>
    <t>L6T7824Z5SD055701</t>
  </si>
  <si>
    <t>川A03Y3B</t>
  </si>
  <si>
    <t>陈先华</t>
  </si>
  <si>
    <t>LB37724Z8LX214394</t>
  </si>
  <si>
    <t>川F10FN9</t>
  </si>
  <si>
    <t>邓中兵</t>
  </si>
  <si>
    <t>LB375GNN1SX054596</t>
  </si>
  <si>
    <t>川ACB5921</t>
  </si>
  <si>
    <t>李林飞</t>
  </si>
  <si>
    <t>LB37624S2BL037479</t>
  </si>
  <si>
    <t>川AY26N8</t>
  </si>
  <si>
    <t>周玉</t>
  </si>
  <si>
    <t>L6T7824Z4KW032639</t>
  </si>
  <si>
    <t>川AY29F1</t>
  </si>
  <si>
    <t>杨钟</t>
  </si>
  <si>
    <t>LB37522S9JL044773</t>
  </si>
  <si>
    <t>川LZL788</t>
  </si>
  <si>
    <t>王秋平</t>
  </si>
  <si>
    <t>LB37822Z5PB106155</t>
  </si>
  <si>
    <t>川GU0K42</t>
  </si>
  <si>
    <t>陈太平</t>
  </si>
  <si>
    <t>L6T7854Z5RD064720</t>
  </si>
  <si>
    <t>川G3J405</t>
  </si>
  <si>
    <t>周灿</t>
  </si>
  <si>
    <t>LB37724S5DX075040</t>
  </si>
  <si>
    <t>川A41Q46</t>
  </si>
  <si>
    <t>JL7152K12</t>
  </si>
  <si>
    <t>魏国中</t>
  </si>
  <si>
    <t>L6T75MNN8SF373428</t>
  </si>
  <si>
    <t>川ACA9123</t>
  </si>
  <si>
    <t>廖静</t>
  </si>
  <si>
    <t>LB37852Z5SS097094</t>
  </si>
  <si>
    <t>川A6C43G</t>
  </si>
  <si>
    <t>王爽</t>
  </si>
  <si>
    <t>LB370ADN1PJ137419</t>
  </si>
  <si>
    <t>川AAG6971</t>
  </si>
  <si>
    <t>向宇</t>
  </si>
  <si>
    <t>LB37852Z3SS137057</t>
  </si>
  <si>
    <t>川G552B8</t>
  </si>
  <si>
    <t>邓李毅</t>
  </si>
  <si>
    <t>L6T7742ZXLU087580</t>
  </si>
  <si>
    <t>川A97B8S</t>
  </si>
  <si>
    <t>魏祥兵</t>
  </si>
  <si>
    <t>LB37622ZXPX608118</t>
  </si>
  <si>
    <t>川GD0258</t>
  </si>
  <si>
    <t>肖舒鑫</t>
  </si>
  <si>
    <t>LB375GNN8SX047855</t>
  </si>
  <si>
    <t>川ACB0000</t>
  </si>
  <si>
    <t>沈文武</t>
  </si>
  <si>
    <t>LB37824Z0LH018960</t>
  </si>
  <si>
    <t>川ACZ067</t>
  </si>
  <si>
    <t>曾思维</t>
  </si>
  <si>
    <t>LB37852Z4RS054926</t>
  </si>
  <si>
    <t>川AV812G</t>
  </si>
  <si>
    <t>刘毅</t>
  </si>
  <si>
    <t>L6T7824Z7RD067648</t>
  </si>
  <si>
    <t>川A60DE8</t>
  </si>
  <si>
    <t>杨蔡燏</t>
  </si>
  <si>
    <t>LB378LEZ1RH023002</t>
  </si>
  <si>
    <t>川AFY8510</t>
  </si>
  <si>
    <t>唐文武</t>
  </si>
  <si>
    <t>L6T7824Z1RD201215</t>
  </si>
  <si>
    <t>川GA868P</t>
  </si>
  <si>
    <t>云超</t>
  </si>
  <si>
    <t>LB378LCZ2RB064650</t>
  </si>
  <si>
    <t>川AG15729</t>
  </si>
  <si>
    <t>刘瑞霖</t>
  </si>
  <si>
    <t>LB37852Z9SS081898</t>
  </si>
  <si>
    <t>川G3G8C9</t>
  </si>
  <si>
    <t>袁承俊</t>
  </si>
  <si>
    <t>L6T7742Z4LU087462</t>
  </si>
  <si>
    <t>川A47J3U</t>
  </si>
  <si>
    <t>何也</t>
  </si>
  <si>
    <t>L6T791RZ7SV306390</t>
  </si>
  <si>
    <t>川AGE8298</t>
  </si>
  <si>
    <t>LB378GCZ6NS130294</t>
  </si>
  <si>
    <t>川AFJ6474</t>
  </si>
  <si>
    <t>JL6482DCHEV03</t>
  </si>
  <si>
    <t>伍益毅</t>
  </si>
  <si>
    <t>LB37822Z4PB008217</t>
  </si>
  <si>
    <t>川GD8F98</t>
  </si>
  <si>
    <t>黄昊</t>
  </si>
  <si>
    <t>LB37722Z5JC036273</t>
  </si>
  <si>
    <t>川A39L89</t>
  </si>
  <si>
    <t>JL6453C12</t>
  </si>
  <si>
    <t>刘啸</t>
  </si>
  <si>
    <t>LB37852Z3RS078344</t>
  </si>
  <si>
    <t>川G0XV33</t>
  </si>
  <si>
    <t>陈朴阳</t>
  </si>
  <si>
    <t>LB378JRZ0SH063012</t>
  </si>
  <si>
    <t>川AGJ9281</t>
  </si>
  <si>
    <t>谢宗颖</t>
  </si>
  <si>
    <t>LB370ADN6PJ138386</t>
  </si>
  <si>
    <t>川AAR5550</t>
  </si>
  <si>
    <t>黄浩渊</t>
  </si>
  <si>
    <t>L6T7824S7DN127014</t>
  </si>
  <si>
    <t>川A2JT08</t>
  </si>
  <si>
    <t>文卫兵</t>
  </si>
  <si>
    <t>LB37824Z8MH076560</t>
  </si>
  <si>
    <t>川ACW342</t>
  </si>
  <si>
    <t>HQ7142D13</t>
  </si>
  <si>
    <t>田淼</t>
  </si>
  <si>
    <t>LB378LEZ5RH017297</t>
  </si>
  <si>
    <t>川AFW6387</t>
  </si>
  <si>
    <t>唐梦婕</t>
  </si>
  <si>
    <t>LB37824Z5LH033342</t>
  </si>
  <si>
    <t>川A44774</t>
  </si>
  <si>
    <t>施曰斌</t>
  </si>
  <si>
    <t>LB37622Z3SX620491</t>
  </si>
  <si>
    <t>川G5TB86</t>
  </si>
  <si>
    <t>朱思雨</t>
  </si>
  <si>
    <t>LB37814S6HH071716</t>
  </si>
  <si>
    <t>川A78R5K</t>
  </si>
  <si>
    <t>HQ7132L06</t>
  </si>
  <si>
    <t>锦江区鑫康源广告设计工作室</t>
  </si>
  <si>
    <t>LB37822ZXSB056023</t>
  </si>
  <si>
    <t>川AM3D18</t>
  </si>
  <si>
    <t>蒲先国</t>
  </si>
  <si>
    <t>L6T7854Z8MD035785</t>
  </si>
  <si>
    <t>川SB963K</t>
  </si>
  <si>
    <t>郭清忠</t>
  </si>
  <si>
    <t>L6T7854Z8ND032614</t>
  </si>
  <si>
    <t>川G40C88</t>
  </si>
  <si>
    <t>许文文</t>
  </si>
  <si>
    <t>LB37742S0KC008719</t>
  </si>
  <si>
    <t>川A33WR0</t>
  </si>
  <si>
    <t>JL6453L09</t>
  </si>
  <si>
    <t>陈聪</t>
  </si>
  <si>
    <t>L6T7824S1LW006794</t>
  </si>
  <si>
    <t>川AZ249K</t>
  </si>
  <si>
    <t>MR7152M11</t>
  </si>
  <si>
    <t>L6T7622Z0LV008564</t>
  </si>
  <si>
    <t>川A51K8G</t>
  </si>
  <si>
    <t>黎贤峰</t>
  </si>
  <si>
    <t>LB370ADN2PJ138319</t>
  </si>
  <si>
    <t>川AAT3709</t>
  </si>
  <si>
    <t>郭欣雨</t>
  </si>
  <si>
    <t>L6T7854Z9MD020860</t>
  </si>
  <si>
    <t>川Q0Q215</t>
  </si>
  <si>
    <t>陈宜</t>
  </si>
  <si>
    <t>LB37742S1JC031389</t>
  </si>
  <si>
    <t>川B222MZ</t>
  </si>
  <si>
    <t>蒋红军</t>
  </si>
  <si>
    <t>LB378JRZ1SH068882</t>
  </si>
  <si>
    <t>川AGK0921</t>
  </si>
  <si>
    <t>蒋凯</t>
  </si>
  <si>
    <t>L6T7952Z9RY108291</t>
  </si>
  <si>
    <t>川G7E0G0</t>
  </si>
  <si>
    <t>熊海滨</t>
  </si>
  <si>
    <t>L6T7844S2CN115086</t>
  </si>
  <si>
    <t>川A792MA</t>
  </si>
  <si>
    <t>袁志刚</t>
  </si>
  <si>
    <t>LB37752S5HB036097</t>
  </si>
  <si>
    <t>川A64FM6</t>
  </si>
  <si>
    <t>成华区刘泽庆商贸部</t>
  </si>
  <si>
    <t>LB378JNZ1SH068094</t>
  </si>
  <si>
    <t>川AGJ2310</t>
  </si>
  <si>
    <t>钟新</t>
  </si>
  <si>
    <t>L6T7822Z4KY007697</t>
  </si>
  <si>
    <t>川A433L0</t>
  </si>
  <si>
    <t>尚积清</t>
  </si>
  <si>
    <t>LB37852ZXNS028731</t>
  </si>
  <si>
    <t>川A35B5U</t>
  </si>
  <si>
    <t>范大军</t>
  </si>
  <si>
    <t>L6T75N2W8RV157615</t>
  </si>
  <si>
    <t>川ABH5763</t>
  </si>
  <si>
    <t>MR7003BEV03</t>
  </si>
  <si>
    <t>李桂凤</t>
  </si>
  <si>
    <t>LB37852Z5PS066581</t>
  </si>
  <si>
    <t>川A69PC8</t>
  </si>
  <si>
    <t>谢习波</t>
  </si>
  <si>
    <t>LB37824Z3PG031911</t>
  </si>
  <si>
    <t>川A531H3</t>
  </si>
  <si>
    <t>庞肖</t>
  </si>
  <si>
    <t>L6T7964Z5HN434964</t>
  </si>
  <si>
    <t>川A11S7P</t>
  </si>
  <si>
    <t>MR7243C01</t>
  </si>
  <si>
    <t>郭祥凤</t>
  </si>
  <si>
    <t>LB37742Z1NB005674</t>
  </si>
  <si>
    <t>川A48Q6D</t>
  </si>
  <si>
    <t>王群芳</t>
  </si>
  <si>
    <t>LB37822Z6RB041318</t>
  </si>
  <si>
    <t>川GY2C08</t>
  </si>
  <si>
    <t>尹胜国</t>
  </si>
  <si>
    <t>LB37722Z5JA031392</t>
  </si>
  <si>
    <t>川ARP939</t>
  </si>
  <si>
    <t>赵春霞</t>
  </si>
  <si>
    <t>L6T7944Z5FN001579</t>
  </si>
  <si>
    <t>川GKT273</t>
  </si>
  <si>
    <t>魏心登</t>
  </si>
  <si>
    <t>LB37742Z1HB043278</t>
  </si>
  <si>
    <t>川A22G0X</t>
  </si>
  <si>
    <t>高健</t>
  </si>
  <si>
    <t>LB37712Z5HC033331</t>
  </si>
  <si>
    <t>川A51R3Q</t>
  </si>
  <si>
    <t>周凤</t>
  </si>
  <si>
    <t>LB37852DXPS067472</t>
  </si>
  <si>
    <t>川A7ZW63</t>
  </si>
  <si>
    <t>刘维骏</t>
  </si>
  <si>
    <t>L6T7824S9KW022417</t>
  </si>
  <si>
    <t>川J13R30</t>
  </si>
  <si>
    <t>胡海龙</t>
  </si>
  <si>
    <t>LB37522Z7KL028389</t>
  </si>
  <si>
    <t>川AQ8H34</t>
  </si>
  <si>
    <t>邓琼</t>
  </si>
  <si>
    <t>L6T75MNN0SF365498</t>
  </si>
  <si>
    <t>川ACD5687</t>
  </si>
  <si>
    <t>郑祁月</t>
  </si>
  <si>
    <t>LB37824Z1LH032804</t>
  </si>
  <si>
    <t>川HHN396</t>
  </si>
  <si>
    <t>杨强</t>
  </si>
  <si>
    <t>LB37722Z3LC014825</t>
  </si>
  <si>
    <t>川AW083Q</t>
  </si>
  <si>
    <t>刘汉宁</t>
  </si>
  <si>
    <t>LB37844Z0JH057041</t>
  </si>
  <si>
    <t>川A90BA5</t>
  </si>
  <si>
    <t>HQ7182C04</t>
  </si>
  <si>
    <t>杨炎</t>
  </si>
  <si>
    <t>LB370ADN1SJ156500</t>
  </si>
  <si>
    <t>川ADP8832</t>
  </si>
  <si>
    <t>JL7002BEV100</t>
  </si>
  <si>
    <t>赵兰鑫</t>
  </si>
  <si>
    <t>LB378LEZ9RH064297</t>
  </si>
  <si>
    <t>川AFC1272</t>
  </si>
  <si>
    <t>魏铁林</t>
  </si>
  <si>
    <t>LB375GNNXSX047856</t>
  </si>
  <si>
    <t>川ACE1386</t>
  </si>
  <si>
    <t>肖彤</t>
  </si>
  <si>
    <t>LB378LEZ0RH087919</t>
  </si>
  <si>
    <t>川AFL7466</t>
  </si>
  <si>
    <t>LB370ADN3PJ140421</t>
  </si>
  <si>
    <t>川AAM4778</t>
  </si>
  <si>
    <t>李文硕</t>
  </si>
  <si>
    <t>L6T7942Z4MY017352</t>
  </si>
  <si>
    <t>川AWC884</t>
  </si>
  <si>
    <t>陈立</t>
  </si>
  <si>
    <t>LB37824Z5SG046936</t>
  </si>
  <si>
    <t>川G371A7</t>
  </si>
  <si>
    <t>宋家云</t>
  </si>
  <si>
    <t>LB37852Z4RS053050</t>
  </si>
  <si>
    <t>川GX5N26</t>
  </si>
  <si>
    <t>唐怒涛</t>
  </si>
  <si>
    <t>LB37852Z2PS066568</t>
  </si>
  <si>
    <t>川GC8Z39</t>
  </si>
  <si>
    <t>李永萍</t>
  </si>
  <si>
    <t>LB37822Z7RB027119</t>
  </si>
  <si>
    <t>川GKY861</t>
  </si>
  <si>
    <t>陈永琼</t>
  </si>
  <si>
    <t>LB378LCZ4PB128863</t>
  </si>
  <si>
    <t>川AG17588</t>
  </si>
  <si>
    <t>田露</t>
  </si>
  <si>
    <t>LB37852Z9SS111479</t>
  </si>
  <si>
    <t>川A0DW49</t>
  </si>
  <si>
    <t>张平</t>
  </si>
  <si>
    <t>L6T7622Z1MV010499</t>
  </si>
  <si>
    <t>川A2V31Z</t>
  </si>
  <si>
    <t>邓海艳</t>
  </si>
  <si>
    <t>LB37824Z7RG046611</t>
  </si>
  <si>
    <t>川GFX142</t>
  </si>
  <si>
    <t>管飞翔</t>
  </si>
  <si>
    <t>LB37824S9JH063038</t>
  </si>
  <si>
    <t>川AB12S4</t>
  </si>
  <si>
    <t>HQ7142L02</t>
  </si>
  <si>
    <t>宋根华</t>
  </si>
  <si>
    <t>LB37824S4PG058361</t>
  </si>
  <si>
    <t>川Z3JK85</t>
  </si>
  <si>
    <t>彭小波</t>
  </si>
  <si>
    <t>L6T7622Z0LV005728</t>
  </si>
  <si>
    <t>川A00QV0</t>
  </si>
  <si>
    <t>赵子坤</t>
  </si>
  <si>
    <t>LB37522Z7LL013134</t>
  </si>
  <si>
    <t>川A6Z450</t>
  </si>
  <si>
    <t>周纪学</t>
  </si>
  <si>
    <t>L6T7824Z4KW038781</t>
  </si>
  <si>
    <t>川A9B61G</t>
  </si>
  <si>
    <t>唐婷</t>
  </si>
  <si>
    <t>LB37852Z4NS021581</t>
  </si>
  <si>
    <t>川G3CC79</t>
  </si>
  <si>
    <t>安培壮</t>
  </si>
  <si>
    <t>L6T7824Z3SD045006</t>
  </si>
  <si>
    <t>川GQQ942</t>
  </si>
  <si>
    <t>钱琪</t>
  </si>
  <si>
    <t>LB37852Z7SS118155</t>
  </si>
  <si>
    <t>川GPB256</t>
  </si>
  <si>
    <t>后华成</t>
  </si>
  <si>
    <t>LB378JNZ3SH057582</t>
  </si>
  <si>
    <t>川AGE6050</t>
  </si>
  <si>
    <t>吴思波</t>
  </si>
  <si>
    <t>LB37852Z6RS097552</t>
  </si>
  <si>
    <t>川A4B68L</t>
  </si>
  <si>
    <t>廖明珍</t>
  </si>
  <si>
    <t>LB37852Z8NS034494</t>
  </si>
  <si>
    <t>川G63C56</t>
  </si>
  <si>
    <t>刘兰香</t>
  </si>
  <si>
    <t>LB37822Z0SB058928</t>
  </si>
  <si>
    <t>川G9TR91</t>
  </si>
  <si>
    <t>张欢</t>
  </si>
  <si>
    <t>L6T7742Z1GN407370</t>
  </si>
  <si>
    <t>川A92LL0</t>
  </si>
  <si>
    <t>张倩</t>
  </si>
  <si>
    <t>LB37742Z6KB020702</t>
  </si>
  <si>
    <t>川GR8694</t>
  </si>
  <si>
    <t>周涛</t>
  </si>
  <si>
    <t>LB37824Z6PG035130</t>
  </si>
  <si>
    <t>川G1E653</t>
  </si>
  <si>
    <t>马雨霏</t>
  </si>
  <si>
    <t>L6T7854Z4ND042007</t>
  </si>
  <si>
    <t>川AC874N</t>
  </si>
  <si>
    <t>邱佳</t>
  </si>
  <si>
    <t>L6T791RZXSV301801</t>
  </si>
  <si>
    <t>川AFH6832</t>
  </si>
  <si>
    <t>肖敏</t>
  </si>
  <si>
    <t>LB378JNZ0SH028377</t>
  </si>
  <si>
    <t>川AG99456</t>
  </si>
  <si>
    <t>刘明</t>
  </si>
  <si>
    <t>LB37742S9FC228575</t>
  </si>
  <si>
    <t>川A8R4B8</t>
  </si>
  <si>
    <t>JL6453K05</t>
  </si>
  <si>
    <t>吴婧</t>
  </si>
  <si>
    <t>L6T7742ZXGN019859</t>
  </si>
  <si>
    <t>川A06FF2</t>
  </si>
  <si>
    <t>袁世菊</t>
  </si>
  <si>
    <t>L6T79XEZ4SV250353</t>
  </si>
  <si>
    <t>川AFM4398</t>
  </si>
  <si>
    <t>张鑫</t>
  </si>
  <si>
    <t>LB375GNN8SX700412</t>
  </si>
  <si>
    <t>川AC04030</t>
  </si>
  <si>
    <t>张玉禄</t>
  </si>
  <si>
    <t>LB37622Z4NX720006</t>
  </si>
  <si>
    <t>川A9F6T3</t>
  </si>
  <si>
    <t>毛嘉</t>
  </si>
  <si>
    <t>LB37852Z9SS119047</t>
  </si>
  <si>
    <t>川G2H6V8</t>
  </si>
  <si>
    <t>徐志周</t>
  </si>
  <si>
    <t>LB37622ZXMX704603</t>
  </si>
  <si>
    <t>川EJJ258</t>
  </si>
  <si>
    <t>周忠萍</t>
  </si>
  <si>
    <t>L6T79XEZ5SV253052</t>
  </si>
  <si>
    <t>川AGA3127</t>
  </si>
  <si>
    <t>王树忠</t>
  </si>
  <si>
    <t>LB37822ZXSB060525</t>
  </si>
  <si>
    <t>川AD51U8</t>
  </si>
  <si>
    <t>秦天建</t>
  </si>
  <si>
    <t>LB37824S2SG042751</t>
  </si>
  <si>
    <t>川A097CB</t>
  </si>
  <si>
    <t>HQ7151M04</t>
  </si>
  <si>
    <t>李林刚</t>
  </si>
  <si>
    <t>LB378LEZ1RH024697</t>
  </si>
  <si>
    <t>川AFD6249</t>
  </si>
  <si>
    <t>胡贵康</t>
  </si>
  <si>
    <t>L6T7824Z9KN024087</t>
  </si>
  <si>
    <t>川A0915H</t>
  </si>
  <si>
    <t>彭德春</t>
  </si>
  <si>
    <t>L6T7824Z5KW033590</t>
  </si>
  <si>
    <t>川GAU823</t>
  </si>
  <si>
    <t>廖成兵</t>
  </si>
  <si>
    <t>L6T75MNN4SF374155</t>
  </si>
  <si>
    <t>川ACC7836</t>
  </si>
  <si>
    <t>聂丹</t>
  </si>
  <si>
    <t>LB37722Z8SX310124</t>
  </si>
  <si>
    <t>川GK90N3</t>
  </si>
  <si>
    <t>谢素君</t>
  </si>
  <si>
    <t>LB37822Z7SB061292</t>
  </si>
  <si>
    <t>川G5S431</t>
  </si>
  <si>
    <t>王显维</t>
  </si>
  <si>
    <t>LB37742Z2HB051793</t>
  </si>
  <si>
    <t>川AV643R</t>
  </si>
  <si>
    <t>万磊</t>
  </si>
  <si>
    <t>LB37742S5KH013644</t>
  </si>
  <si>
    <t>川A45TC5</t>
  </si>
  <si>
    <t>王正科</t>
  </si>
  <si>
    <t>L6T7742ZXGN015701</t>
  </si>
  <si>
    <t>川A33FM8</t>
  </si>
  <si>
    <t>刘鹏</t>
  </si>
  <si>
    <t>L6T7824Z3MW042632</t>
  </si>
  <si>
    <t>川A2D93M</t>
  </si>
  <si>
    <t>薛高明</t>
  </si>
  <si>
    <t>L6T7824S8DN133646</t>
  </si>
  <si>
    <t>川AZK456</t>
  </si>
  <si>
    <t>卢华中</t>
  </si>
  <si>
    <t>LB37742S9JC029969</t>
  </si>
  <si>
    <t>川AUY662</t>
  </si>
  <si>
    <t>宋英业</t>
  </si>
  <si>
    <t>LB370ADN5RJ131058</t>
  </si>
  <si>
    <t>川ABH9172</t>
  </si>
  <si>
    <t>赵乔华</t>
  </si>
  <si>
    <t>LB37742Z8KH031374</t>
  </si>
  <si>
    <t>川A80GS2</t>
  </si>
  <si>
    <t>HQ7182C03</t>
  </si>
  <si>
    <t>林春华</t>
  </si>
  <si>
    <t>L6T7622Z3RV011919</t>
  </si>
  <si>
    <t>川G0TY58</t>
  </si>
  <si>
    <t>汪昌群</t>
  </si>
  <si>
    <t>LB37724S3HX020950</t>
  </si>
  <si>
    <t>川A5W5S0</t>
  </si>
  <si>
    <t>王莎</t>
  </si>
  <si>
    <t>LB37822Z5SB069360</t>
  </si>
  <si>
    <t>川GQH570</t>
  </si>
  <si>
    <t>严福强</t>
  </si>
  <si>
    <t>L6T79P4N7RV340315</t>
  </si>
  <si>
    <t>川ABH3873</t>
  </si>
  <si>
    <t>MR7005BEV17</t>
  </si>
  <si>
    <t>刘永贵</t>
  </si>
  <si>
    <t>L6T7854Z8ND039885</t>
  </si>
  <si>
    <t>川A4AA82</t>
  </si>
  <si>
    <t>段燕</t>
  </si>
  <si>
    <t>L6T7824S3EN023170</t>
  </si>
  <si>
    <t>川AD38X8</t>
  </si>
  <si>
    <t>唐华林</t>
  </si>
  <si>
    <t>LB37824S1SG054423</t>
  </si>
  <si>
    <t>川A219VS</t>
  </si>
  <si>
    <t>李云祥</t>
  </si>
  <si>
    <t>L6T7804Z0LW020252</t>
  </si>
  <si>
    <t>川R5AP86</t>
  </si>
  <si>
    <t>杨军</t>
  </si>
  <si>
    <t>L6T7942Z4MY018551</t>
  </si>
  <si>
    <t>川AP94T2</t>
  </si>
  <si>
    <t>李小月</t>
  </si>
  <si>
    <t>LB37622Z8PX702756</t>
  </si>
  <si>
    <t>川GK1J83</t>
  </si>
  <si>
    <t>刘国伟</t>
  </si>
  <si>
    <t>L6T78CNW8SY060295</t>
  </si>
  <si>
    <t>川ACB6623</t>
  </si>
  <si>
    <t>MR6465BEV05</t>
  </si>
  <si>
    <t>刘嫒</t>
  </si>
  <si>
    <t>LB37722Z1KH042172</t>
  </si>
  <si>
    <t>川A14E7S</t>
  </si>
  <si>
    <t>蒲小国</t>
  </si>
  <si>
    <t>LB37852Z2PS060916</t>
  </si>
  <si>
    <t>川G6E629</t>
  </si>
  <si>
    <t>卢亦成</t>
  </si>
  <si>
    <t>LB37824Z2JH059779</t>
  </si>
  <si>
    <t>川F13HT3</t>
  </si>
  <si>
    <t>刘曦</t>
  </si>
  <si>
    <t>LB37722Z2LH019761</t>
  </si>
  <si>
    <t>川ARJ508</t>
  </si>
  <si>
    <t>郑王莉</t>
  </si>
  <si>
    <t>L6T7842Z3LY003430</t>
  </si>
  <si>
    <t>川G0U671</t>
  </si>
  <si>
    <t>MR6471D06</t>
  </si>
  <si>
    <t>四川天中佳建筑工程有限公司</t>
  </si>
  <si>
    <t>LB37722Z2NH063665</t>
  </si>
  <si>
    <t>川A011CJ</t>
  </si>
  <si>
    <t>唐铭</t>
  </si>
  <si>
    <t>LB37822Z9RB027865</t>
  </si>
  <si>
    <t>川A8LM20</t>
  </si>
  <si>
    <t>代万礼</t>
  </si>
  <si>
    <t>LB37742S0NB012392</t>
  </si>
  <si>
    <t>川A4910Y</t>
  </si>
  <si>
    <t>HQ6453M03</t>
  </si>
  <si>
    <t>LB37822Z5SB059668</t>
  </si>
  <si>
    <t>川A2908H</t>
  </si>
  <si>
    <t>张志明</t>
  </si>
  <si>
    <t>LB37852Z1RS097555</t>
  </si>
  <si>
    <t>川GZ0Z90</t>
  </si>
  <si>
    <t>赵玉双</t>
  </si>
  <si>
    <t>L6T7622Z6LV007029</t>
  </si>
  <si>
    <t>川A41A8E</t>
  </si>
  <si>
    <t>陈世萍</t>
  </si>
  <si>
    <t>LB378JRZ3SH068995</t>
  </si>
  <si>
    <t>川AG98972</t>
  </si>
  <si>
    <t>邓雯</t>
  </si>
  <si>
    <t>LB37852Z1SS138983</t>
  </si>
  <si>
    <t>川GPH229</t>
  </si>
  <si>
    <t>刘红卫</t>
  </si>
  <si>
    <t>LB37724Z1MX205361</t>
  </si>
  <si>
    <t>川G8C0S9</t>
  </si>
  <si>
    <t>杨远君</t>
  </si>
  <si>
    <t>L6T79BRNXSV175054</t>
  </si>
  <si>
    <t>川ADP0362</t>
  </si>
  <si>
    <t>MR7005BEV29</t>
  </si>
  <si>
    <t>杨润良</t>
  </si>
  <si>
    <t>L6T7852Z0LD005925</t>
  </si>
  <si>
    <t>川AS8W12</t>
  </si>
  <si>
    <t>谢春来</t>
  </si>
  <si>
    <t>L6T79BRN6SV173222</t>
  </si>
  <si>
    <t>川ACE3737</t>
  </si>
  <si>
    <t>帅丕英</t>
  </si>
  <si>
    <t>LB370ADNXRJ131038</t>
  </si>
  <si>
    <t>川ABF1100</t>
  </si>
  <si>
    <t>刘清秀</t>
  </si>
  <si>
    <t>永诚保险</t>
  </si>
  <si>
    <t>LB37824S0RG053676</t>
  </si>
  <si>
    <t>川AF6W17</t>
  </si>
  <si>
    <t>付正海</t>
  </si>
  <si>
    <t>LB37962Z7FC237519</t>
  </si>
  <si>
    <t>川A2F2J5</t>
  </si>
  <si>
    <t>JL6483C01</t>
  </si>
  <si>
    <t>张发俊</t>
  </si>
  <si>
    <t>LB37824Z2LH049708</t>
  </si>
  <si>
    <t>川A6RV27</t>
  </si>
  <si>
    <t>廖燕</t>
  </si>
  <si>
    <t>L6T7924Z3KU016649</t>
  </si>
  <si>
    <t>川A121V5</t>
  </si>
  <si>
    <t>MR7153C01</t>
  </si>
  <si>
    <t>董城</t>
  </si>
  <si>
    <t>LVSHCFDB9DE203795</t>
  </si>
  <si>
    <t>川A24U1L</t>
  </si>
  <si>
    <t>CAF7163A4</t>
  </si>
  <si>
    <t>LB37822Z1SB056024</t>
  </si>
  <si>
    <t>川G1G3V3</t>
  </si>
  <si>
    <t>魏玮</t>
  </si>
  <si>
    <t>LJ2KV8NA1MA020016</t>
  </si>
  <si>
    <t>川GQ5Y26</t>
  </si>
  <si>
    <t>刘召军</t>
  </si>
  <si>
    <t>L6T7952Z5SY600760</t>
  </si>
  <si>
    <t>川A371LD</t>
  </si>
  <si>
    <t>宋小龙</t>
  </si>
  <si>
    <t>L6T75MNN4SF391019</t>
  </si>
  <si>
    <t>川AC44288</t>
  </si>
  <si>
    <t>龙瑞</t>
  </si>
  <si>
    <t>LB37852Z5RS100649</t>
  </si>
  <si>
    <t>川AA1R79</t>
  </si>
  <si>
    <t>张恩瑞</t>
  </si>
  <si>
    <t>L6T7824Z4RD065274</t>
  </si>
  <si>
    <t>川A6Q99W</t>
  </si>
  <si>
    <t>彭渝婷</t>
  </si>
  <si>
    <t>L6T7824Z2MW043366</t>
  </si>
  <si>
    <t>川XS975H</t>
  </si>
  <si>
    <t>刘勇</t>
  </si>
  <si>
    <t>LB37742Z3LB021615</t>
  </si>
  <si>
    <t>川A8A3F4</t>
  </si>
  <si>
    <t>黎小龙</t>
  </si>
  <si>
    <t>LB370ADN7PJ140003</t>
  </si>
  <si>
    <t>川AAQ5478</t>
  </si>
  <si>
    <t>蔡佩珊</t>
  </si>
  <si>
    <t>LB37622Z6LX732722</t>
  </si>
  <si>
    <t>川A2U10D</t>
  </si>
  <si>
    <t>李彬</t>
  </si>
  <si>
    <t>LB378JNZ7SH049095</t>
  </si>
  <si>
    <t>川AG91117</t>
  </si>
  <si>
    <t>LB378LEZXRH024214</t>
  </si>
  <si>
    <t>川AFX3531</t>
  </si>
  <si>
    <t>任静</t>
  </si>
  <si>
    <t>LB37852Z4PS028453</t>
  </si>
  <si>
    <t>川A43717</t>
  </si>
  <si>
    <t>赵鹏</t>
  </si>
  <si>
    <t>LB37824Z4LH024258</t>
  </si>
  <si>
    <t>川A042K5</t>
  </si>
  <si>
    <t>吴伟</t>
  </si>
  <si>
    <t>LB37742Z3LB031691</t>
  </si>
  <si>
    <t>川AN9R89</t>
  </si>
  <si>
    <t>胡黄刚</t>
  </si>
  <si>
    <t>LB37852ZXRS089423</t>
  </si>
  <si>
    <t>川G2S915</t>
  </si>
  <si>
    <t>张诗贝</t>
  </si>
  <si>
    <t>L6T7952Z4RY005666</t>
  </si>
  <si>
    <t>川AS853U</t>
  </si>
  <si>
    <t>何瑞礼</t>
  </si>
  <si>
    <t>L6T79P4NXRV336016</t>
  </si>
  <si>
    <t>川ABH3414</t>
  </si>
  <si>
    <t>MR7005BEV19</t>
  </si>
  <si>
    <t>曾思健</t>
  </si>
  <si>
    <t>L6T7852Z5KD025814</t>
  </si>
  <si>
    <t>川A785NQ</t>
  </si>
  <si>
    <t>四川含章可桢贸易有限公司</t>
  </si>
  <si>
    <t>LB378JNZ3SH075810</t>
  </si>
  <si>
    <t>川AGF1151</t>
  </si>
  <si>
    <t>魏波</t>
  </si>
  <si>
    <t>L6T7824Z7KW034367</t>
  </si>
  <si>
    <t>川A92D24</t>
  </si>
  <si>
    <t>姚朝莹</t>
  </si>
  <si>
    <t>L6T79P4N8RV340209</t>
  </si>
  <si>
    <t>川AB84994</t>
  </si>
  <si>
    <t>周杨</t>
  </si>
  <si>
    <t>LB37852Z6RS019465</t>
  </si>
  <si>
    <t>川GY7G19</t>
  </si>
  <si>
    <t>秦强</t>
  </si>
  <si>
    <t>LB37742Z2LB030337</t>
  </si>
  <si>
    <t>川A50BG2</t>
  </si>
  <si>
    <t>LB37814Z9HH070315</t>
  </si>
  <si>
    <t>川A34S5M</t>
  </si>
  <si>
    <t>HQ7132C04</t>
  </si>
  <si>
    <t>武侯区刘涛商贸部</t>
  </si>
  <si>
    <t>LB37852Z0RS098017</t>
  </si>
  <si>
    <t>川G3CK10</t>
  </si>
  <si>
    <t>屈俊祥</t>
  </si>
  <si>
    <t>L6T7854Z6RD069232</t>
  </si>
  <si>
    <t>川GW7C79</t>
  </si>
  <si>
    <t>吴晓芳</t>
  </si>
  <si>
    <t>L6T7824Z0JN036675</t>
  </si>
  <si>
    <t>川AZB993</t>
  </si>
  <si>
    <t>杨闯</t>
  </si>
  <si>
    <t>L6T7942Z1NY017388</t>
  </si>
  <si>
    <t>川A27YD9</t>
  </si>
  <si>
    <t>杨勇</t>
  </si>
  <si>
    <t>LB37742Z5NB004110</t>
  </si>
  <si>
    <t>川A140K8</t>
  </si>
  <si>
    <t>何海深</t>
  </si>
  <si>
    <t>LB378JNZ2SH035136</t>
  </si>
  <si>
    <t>川AG15423</t>
  </si>
  <si>
    <t>杨彬</t>
  </si>
  <si>
    <t>LB37622Z1PX620111</t>
  </si>
  <si>
    <t>川G9FC62</t>
  </si>
  <si>
    <t>陈思行</t>
  </si>
  <si>
    <t>LB37742Z6LB009992</t>
  </si>
  <si>
    <t>川A022CL</t>
  </si>
  <si>
    <t>甘游</t>
  </si>
  <si>
    <t>L6T7824Z8MW043470</t>
  </si>
  <si>
    <t>川KXY661</t>
  </si>
  <si>
    <t>王昆</t>
  </si>
  <si>
    <t>LJ2KU8NA7MA027815</t>
  </si>
  <si>
    <t>川A044C3</t>
  </si>
  <si>
    <t>JHC7152M01</t>
  </si>
  <si>
    <t>邹婷</t>
  </si>
  <si>
    <t>LB37852Z8NS040134</t>
  </si>
  <si>
    <t>川AC2U13</t>
  </si>
  <si>
    <t>李嘉逸</t>
  </si>
  <si>
    <t>L6T7854Z6MD049362</t>
  </si>
  <si>
    <t>川A0S97X</t>
  </si>
  <si>
    <t>单小琦</t>
  </si>
  <si>
    <t>LB37522Z5LL013164</t>
  </si>
  <si>
    <t>川A01UN6</t>
  </si>
  <si>
    <t>陈娇龙</t>
  </si>
  <si>
    <t>LB37852D0PS069845</t>
  </si>
  <si>
    <t>川GG0U52</t>
  </si>
  <si>
    <t>李圆美</t>
  </si>
  <si>
    <t>LB37722Z4MH023747</t>
  </si>
  <si>
    <t>川AT4S24</t>
  </si>
  <si>
    <t>卿银</t>
  </si>
  <si>
    <t>LB375GNN0SX053990</t>
  </si>
  <si>
    <t>川AAV2651</t>
  </si>
  <si>
    <t>肖莹颖</t>
  </si>
  <si>
    <t>L6T7942ZXMY003553</t>
  </si>
  <si>
    <t>川A256MN</t>
  </si>
  <si>
    <t>漆心玫</t>
  </si>
  <si>
    <t>L6T7854ZXMD050045</t>
  </si>
  <si>
    <t>川A8F7W4</t>
  </si>
  <si>
    <t>兰奎林</t>
  </si>
  <si>
    <t>LB37852ZXSS123897</t>
  </si>
  <si>
    <t>川GG556S</t>
  </si>
  <si>
    <t>刘书勇</t>
  </si>
  <si>
    <t>LB37722Z9KH038984</t>
  </si>
  <si>
    <t>川A87Q4K</t>
  </si>
  <si>
    <t>蒲静</t>
  </si>
  <si>
    <t>L6T7824Z2RD068111</t>
  </si>
  <si>
    <t>川GLG989</t>
  </si>
  <si>
    <t>付美宁</t>
  </si>
  <si>
    <t>LB37824Z8NG239408</t>
  </si>
  <si>
    <t>川GJ5J02</t>
  </si>
  <si>
    <t>赵天昊</t>
  </si>
  <si>
    <t>LB378LCZ4SB053980</t>
  </si>
  <si>
    <t>川AGK1250</t>
  </si>
  <si>
    <t>熊桂林</t>
  </si>
  <si>
    <t>LB37742SXHC047021</t>
  </si>
  <si>
    <t>川A86R2R</t>
  </si>
  <si>
    <t>成华区周秋梅商贸部</t>
  </si>
  <si>
    <t>LB37622Z0LX603407</t>
  </si>
  <si>
    <t>川B1TX78</t>
  </si>
  <si>
    <t>李兵</t>
  </si>
  <si>
    <t>LB37742Z6NB016492</t>
  </si>
  <si>
    <t>川A7E80S</t>
  </si>
  <si>
    <t>王德云</t>
  </si>
  <si>
    <t>LB37742Z4HB049401</t>
  </si>
  <si>
    <t>川A20R7K</t>
  </si>
  <si>
    <t>冉啟松</t>
  </si>
  <si>
    <t>LB378LEZ7RH002557</t>
  </si>
  <si>
    <t>川AFT3076</t>
  </si>
  <si>
    <t>张雪婷</t>
  </si>
  <si>
    <t>L6T7944Z7HN446134</t>
  </si>
  <si>
    <t>川A85S9A</t>
  </si>
  <si>
    <t>成华区杨督商贸部</t>
  </si>
  <si>
    <t>LB37722S5KC077152</t>
  </si>
  <si>
    <t>川GX9801</t>
  </si>
  <si>
    <t>JL6453M02</t>
  </si>
  <si>
    <t>余玲</t>
  </si>
  <si>
    <t>L6T79XEZ6SV251200</t>
  </si>
  <si>
    <t>川AG65210</t>
  </si>
  <si>
    <t>邹文生</t>
  </si>
  <si>
    <t>L6T79BRN2SV174142</t>
  </si>
  <si>
    <t>川ACM6818</t>
  </si>
  <si>
    <t>田小慧</t>
  </si>
  <si>
    <t>LB37824Z9LH032162</t>
  </si>
  <si>
    <t>川G4C248</t>
  </si>
  <si>
    <t>郑春林</t>
  </si>
  <si>
    <t>L6T7944Z2HN506529</t>
  </si>
  <si>
    <t>川ADM077</t>
  </si>
  <si>
    <t>MR7183C05</t>
  </si>
  <si>
    <t>董奎</t>
  </si>
  <si>
    <t>L6T7824Z7KW046678</t>
  </si>
  <si>
    <t>川A1H46B</t>
  </si>
  <si>
    <t>王宇</t>
  </si>
  <si>
    <t>L6T7824S7HN020972</t>
  </si>
  <si>
    <t>川CTY558</t>
  </si>
  <si>
    <t>MR7152L21</t>
  </si>
  <si>
    <t>张超</t>
  </si>
  <si>
    <t>L6T7854Z3ND042466</t>
  </si>
  <si>
    <t>川AJ5646</t>
  </si>
  <si>
    <t>吴洁</t>
  </si>
  <si>
    <t>LB37722Z9LC014831</t>
  </si>
  <si>
    <t>川AJ4E02</t>
  </si>
  <si>
    <t>杨万春</t>
  </si>
  <si>
    <t>LB37712Z2JA011157</t>
  </si>
  <si>
    <t>川AD684Q</t>
  </si>
  <si>
    <t>HQ7132C03</t>
  </si>
  <si>
    <t>黄利恒</t>
  </si>
  <si>
    <t>LB37622Z5PX612884</t>
  </si>
  <si>
    <t>川A4X838</t>
  </si>
  <si>
    <t>徐鹏</t>
  </si>
  <si>
    <t>LB375GNN5SX437232</t>
  </si>
  <si>
    <t>川ACE3220</t>
  </si>
  <si>
    <t>郑铃泱</t>
  </si>
  <si>
    <t>LB377U2W8MA106799</t>
  </si>
  <si>
    <t>川ADF0010</t>
  </si>
  <si>
    <t>HQ7003BEV04</t>
  </si>
  <si>
    <t>刘阳</t>
  </si>
  <si>
    <t>LB37522S4KL030975</t>
  </si>
  <si>
    <t>川A152KA</t>
  </si>
  <si>
    <t>杨进</t>
  </si>
  <si>
    <t>L6T7824Z1HN029146</t>
  </si>
  <si>
    <t>川A86T0B</t>
  </si>
  <si>
    <t>王蕾</t>
  </si>
  <si>
    <t>L6T7854Z8MD048519</t>
  </si>
  <si>
    <t>川Z1TZ61</t>
  </si>
  <si>
    <t>王洁</t>
  </si>
  <si>
    <t>L6T7944Z8GN020533</t>
  </si>
  <si>
    <t>川A9P452</t>
  </si>
  <si>
    <t>朱平</t>
  </si>
  <si>
    <t>LB37852Z3PS032350</t>
  </si>
  <si>
    <t>川AZ639D</t>
  </si>
  <si>
    <t>付超</t>
  </si>
  <si>
    <t>L6T7824Z0SD064838</t>
  </si>
  <si>
    <t>川GL6839</t>
  </si>
  <si>
    <t>宋荣锋</t>
  </si>
  <si>
    <t>L6T7854ZXRD068892</t>
  </si>
  <si>
    <t>川A796CB</t>
  </si>
  <si>
    <t>张杰</t>
  </si>
  <si>
    <t>LB37742Z7HB056679</t>
  </si>
  <si>
    <t>川A02R3H</t>
  </si>
  <si>
    <t>成都御林卫士安全科技有限公司</t>
  </si>
  <si>
    <t>WAU9GCF26LN065369</t>
  </si>
  <si>
    <t>川A477DT</t>
  </si>
  <si>
    <t>AUDI A6 55TFSI ALLROAD QUATTRO</t>
  </si>
  <si>
    <t>陈万迎</t>
  </si>
  <si>
    <t>LB37822Z9RB013917</t>
  </si>
  <si>
    <t>川R12G73</t>
  </si>
  <si>
    <t>黎家清</t>
  </si>
  <si>
    <t>LB37622ZXNX715246</t>
  </si>
  <si>
    <t>川G10C12</t>
  </si>
  <si>
    <t>张雪静</t>
  </si>
  <si>
    <t>L6T7742Z1GN011505</t>
  </si>
  <si>
    <t>川A46JJ8</t>
  </si>
  <si>
    <t>陈林兵</t>
  </si>
  <si>
    <t>L6T7854Z9MD050442</t>
  </si>
  <si>
    <t>川ARJ436</t>
  </si>
  <si>
    <t>吴叶函</t>
  </si>
  <si>
    <t>LB370ADN7PJ120155</t>
  </si>
  <si>
    <t>川AAR8923</t>
  </si>
  <si>
    <t>唐佳</t>
  </si>
  <si>
    <t>LB378JNZ3SH068095</t>
  </si>
  <si>
    <t>川AFV9226</t>
  </si>
  <si>
    <t>何逍</t>
  </si>
  <si>
    <t>LB37852Z2RS036957</t>
  </si>
  <si>
    <t>川A66MF0</t>
  </si>
  <si>
    <t>赖东</t>
  </si>
  <si>
    <t>LB37742S5HC049193</t>
  </si>
  <si>
    <t>川A61R3L</t>
  </si>
  <si>
    <t>周仲林</t>
  </si>
  <si>
    <t>LB37622Z1RX602517</t>
  </si>
  <si>
    <t>川A060A8</t>
  </si>
  <si>
    <t>林欢</t>
  </si>
  <si>
    <t>L6T79XEZ7SV253151</t>
  </si>
  <si>
    <t>川AGF5725</t>
  </si>
  <si>
    <t>韩力柯</t>
  </si>
  <si>
    <t>LB37742ZXMB024545</t>
  </si>
  <si>
    <t>川M2366R</t>
  </si>
  <si>
    <t>王勋</t>
  </si>
  <si>
    <t>LB378LEZ7PH030582</t>
  </si>
  <si>
    <t>川AFM6442</t>
  </si>
  <si>
    <t>张延发</t>
  </si>
  <si>
    <t>L6T7854Z5MD034352</t>
  </si>
  <si>
    <t>川A3G7D0</t>
  </si>
  <si>
    <t>曾静</t>
  </si>
  <si>
    <t>LB37822Z6PB022023</t>
  </si>
  <si>
    <t>川G6FN55</t>
  </si>
  <si>
    <t>马建军</t>
  </si>
  <si>
    <t>LB37622Z7PX618962</t>
  </si>
  <si>
    <t>川AN7087</t>
  </si>
  <si>
    <t>徐成禄</t>
  </si>
  <si>
    <t>LB37852ZXRS055398</t>
  </si>
  <si>
    <t>川GKM987</t>
  </si>
  <si>
    <t>许亮军</t>
  </si>
  <si>
    <t>LB378JNZ0SH062612</t>
  </si>
  <si>
    <t>川AFZ4990</t>
  </si>
  <si>
    <t>付贵</t>
  </si>
  <si>
    <t>L6T7824SXFN154372</t>
  </si>
  <si>
    <t>川AS3Z30</t>
  </si>
  <si>
    <t>MR7152L09</t>
  </si>
  <si>
    <t>朱祥友</t>
  </si>
  <si>
    <t>L6T7824S2HN030115</t>
  </si>
  <si>
    <t>川A80T0F</t>
  </si>
  <si>
    <t>向先林</t>
  </si>
  <si>
    <t>LB37752S6HB024363</t>
  </si>
  <si>
    <t>川A36G0N</t>
  </si>
  <si>
    <t>成华区刘倩军商贸部</t>
  </si>
  <si>
    <t>锦泰保险</t>
  </si>
  <si>
    <t>LB37742Z2LB112472</t>
  </si>
  <si>
    <t>川A007TW</t>
  </si>
  <si>
    <t>张鹰</t>
  </si>
  <si>
    <t>LB37824Z9KH031267</t>
  </si>
  <si>
    <t>川ALK478</t>
  </si>
  <si>
    <t>黄文君</t>
  </si>
  <si>
    <t>品牌</t>
  </si>
  <si>
    <t>新车</t>
  </si>
  <si>
    <t>已发放工资</t>
  </si>
  <si>
    <t>未发放部分</t>
  </si>
  <si>
    <t>提留</t>
  </si>
  <si>
    <t>出单提成</t>
  </si>
  <si>
    <t>驾意险提成</t>
  </si>
  <si>
    <t>玻璃提成</t>
  </si>
  <si>
    <t>新车绩效</t>
  </si>
  <si>
    <t>目标续保率</t>
  </si>
  <si>
    <t>实际目标达成率</t>
  </si>
  <si>
    <t>出单数</t>
  </si>
  <si>
    <t>单价</t>
  </si>
  <si>
    <t>5.6号入职，保底5000</t>
  </si>
  <si>
    <t>已离职</t>
  </si>
  <si>
    <t>吉利续保管理费</t>
  </si>
  <si>
    <t>个人客户号</t>
  </si>
  <si>
    <t>证件类型</t>
  </si>
  <si>
    <t>证件号码</t>
  </si>
  <si>
    <t>缴存状态</t>
  </si>
  <si>
    <t>缴存基数</t>
  </si>
  <si>
    <t>月缴存额</t>
  </si>
  <si>
    <t>个人月缴存额</t>
  </si>
  <si>
    <t>单位月缴存额</t>
  </si>
  <si>
    <t>单位缴存比例</t>
  </si>
  <si>
    <t>个人缴存比例</t>
  </si>
  <si>
    <t>开户日期</t>
  </si>
  <si>
    <t>基数调整次数</t>
  </si>
  <si>
    <t>缴至年月</t>
  </si>
  <si>
    <t>手机号码</t>
  </si>
  <si>
    <t>签约卡</t>
  </si>
  <si>
    <t>220050441770</t>
  </si>
  <si>
    <t>身份证</t>
  </si>
  <si>
    <t>510108197708061246</t>
  </si>
  <si>
    <t>2,100.00</t>
  </si>
  <si>
    <t>5%</t>
  </si>
  <si>
    <t>2025-11-01</t>
  </si>
  <si>
    <t>202510</t>
  </si>
  <si>
    <t>13541399114</t>
  </si>
  <si>
    <t xml:space="preserve"> </t>
  </si>
  <si>
    <t>220081486537</t>
  </si>
  <si>
    <t>510181198704056417</t>
  </si>
  <si>
    <t>18180783519</t>
  </si>
  <si>
    <t>220101934760</t>
  </si>
  <si>
    <t>510503198608060048</t>
  </si>
  <si>
    <t>13608069835</t>
  </si>
  <si>
    <t>6227003813610181477</t>
  </si>
  <si>
    <t>220101940740</t>
  </si>
  <si>
    <t>513822198308146286</t>
  </si>
  <si>
    <t>18081176552</t>
  </si>
  <si>
    <t>6227003811200797454</t>
  </si>
  <si>
    <t>220101957631</t>
  </si>
  <si>
    <t>510602198408146188</t>
  </si>
  <si>
    <t>13551016469</t>
  </si>
  <si>
    <t>6222128327806780</t>
  </si>
  <si>
    <t>220101964410</t>
  </si>
  <si>
    <t>510184198707272915</t>
  </si>
  <si>
    <t>18981879371</t>
  </si>
  <si>
    <t>6227003811630590487</t>
  </si>
  <si>
    <t>220111999922</t>
  </si>
  <si>
    <t>胡臣</t>
  </si>
  <si>
    <t>420203197908042578</t>
  </si>
  <si>
    <t>13981914177</t>
  </si>
  <si>
    <t>220112081664</t>
  </si>
  <si>
    <t>511023197906280879</t>
  </si>
  <si>
    <t>15198252301</t>
  </si>
  <si>
    <t>6222128327865562</t>
  </si>
  <si>
    <t>220112085662</t>
  </si>
  <si>
    <t>宁袁</t>
  </si>
  <si>
    <t>51018419890805632X</t>
  </si>
  <si>
    <t>17711522664</t>
  </si>
  <si>
    <t>220122396113</t>
  </si>
  <si>
    <t>王海</t>
  </si>
  <si>
    <t>510183198812036432</t>
  </si>
  <si>
    <t>13558623502</t>
  </si>
  <si>
    <t>220122835507</t>
  </si>
  <si>
    <t>510124198209230193</t>
  </si>
  <si>
    <t>13658080829</t>
  </si>
  <si>
    <t>6221522230001021458</t>
  </si>
  <si>
    <t>220133069767</t>
  </si>
  <si>
    <t>510104197910242870</t>
  </si>
  <si>
    <t>13880081018</t>
  </si>
  <si>
    <t>6227003811170378772</t>
  </si>
  <si>
    <t>220133078247</t>
  </si>
  <si>
    <t>杨念慈</t>
  </si>
  <si>
    <t>510129198909104026</t>
  </si>
  <si>
    <t>13568807394</t>
  </si>
  <si>
    <t>220133195057</t>
  </si>
  <si>
    <t>511124198910304921</t>
  </si>
  <si>
    <t>13666200328</t>
  </si>
  <si>
    <t>6214820130010943623</t>
  </si>
  <si>
    <t>220132950356</t>
  </si>
  <si>
    <t>510122199008204927</t>
  </si>
  <si>
    <t>18582301831</t>
  </si>
  <si>
    <t>6225881289153032</t>
  </si>
  <si>
    <t>220143327697</t>
  </si>
  <si>
    <t>612401198608238325</t>
  </si>
  <si>
    <t>15982208911</t>
  </si>
  <si>
    <t>6221522220000138775</t>
  </si>
  <si>
    <t>220143342098</t>
  </si>
  <si>
    <t>510121198108022660</t>
  </si>
  <si>
    <t>15882328616</t>
  </si>
  <si>
    <t>220153690854</t>
  </si>
  <si>
    <t>熊俊杰</t>
  </si>
  <si>
    <t>652901199004084037</t>
  </si>
  <si>
    <t>18181900067</t>
  </si>
  <si>
    <t>6212264402003435157</t>
  </si>
  <si>
    <t>220143571278</t>
  </si>
  <si>
    <t>511025199110103860</t>
  </si>
  <si>
    <t>18011439110</t>
  </si>
  <si>
    <t>220132980548</t>
  </si>
  <si>
    <t>510105198408061274</t>
  </si>
  <si>
    <t>13547879012</t>
  </si>
  <si>
    <t>6227003812941285817</t>
  </si>
  <si>
    <t>220091701968</t>
  </si>
  <si>
    <t>唐鹏</t>
  </si>
  <si>
    <t>510184198906246314</t>
  </si>
  <si>
    <t>18980675314</t>
  </si>
  <si>
    <t>6227003812270203506</t>
  </si>
  <si>
    <t>220112001487</t>
  </si>
  <si>
    <t>王攀</t>
  </si>
  <si>
    <t>511325198908054510</t>
  </si>
  <si>
    <t>15884482617</t>
  </si>
  <si>
    <t>6227003811171283955</t>
  </si>
  <si>
    <t>220050786573</t>
  </si>
  <si>
    <t>510321198010273550</t>
  </si>
  <si>
    <t>13982031050</t>
  </si>
  <si>
    <t>6217003810066465397</t>
  </si>
  <si>
    <t>220174632997</t>
  </si>
  <si>
    <t>刘发</t>
  </si>
  <si>
    <t>510722198907102295</t>
  </si>
  <si>
    <t>15882821028</t>
  </si>
  <si>
    <t>220174661115</t>
  </si>
  <si>
    <t>王玉琴</t>
  </si>
  <si>
    <t>51138119931114878X</t>
  </si>
  <si>
    <t>封存</t>
  </si>
  <si>
    <t>18383113447</t>
  </si>
  <si>
    <t>6212262314003252643</t>
  </si>
  <si>
    <t>220174669485</t>
  </si>
  <si>
    <t>邱小林</t>
  </si>
  <si>
    <t>513723199809266193</t>
  </si>
  <si>
    <t>15928937727</t>
  </si>
  <si>
    <t>220174692079</t>
  </si>
  <si>
    <t>513701199208106620</t>
  </si>
  <si>
    <t>18382416926</t>
  </si>
  <si>
    <t>6221532320030392794</t>
  </si>
  <si>
    <t>220174765437</t>
  </si>
  <si>
    <t>511028199504025120</t>
  </si>
  <si>
    <t>18408216201</t>
  </si>
  <si>
    <t>6221532330010376113</t>
  </si>
  <si>
    <t>220122721565</t>
  </si>
  <si>
    <t>刘华</t>
  </si>
  <si>
    <t>511324198612280301</t>
  </si>
  <si>
    <t>15881187886</t>
  </si>
  <si>
    <t>6227003811172390700</t>
  </si>
  <si>
    <t>220184976183</t>
  </si>
  <si>
    <t>510129198304118329</t>
  </si>
  <si>
    <t>15208169500</t>
  </si>
  <si>
    <t>6217003800021284850</t>
  </si>
  <si>
    <t>220184996798</t>
  </si>
  <si>
    <t>511027198102088814</t>
  </si>
  <si>
    <t>13730806209</t>
  </si>
  <si>
    <t>6214850281379161</t>
  </si>
  <si>
    <t>220153714664</t>
  </si>
  <si>
    <t>向兰</t>
  </si>
  <si>
    <t>510623199408244921</t>
  </si>
  <si>
    <t>15982174296</t>
  </si>
  <si>
    <t>220185144104</t>
  </si>
  <si>
    <t>刘娅</t>
  </si>
  <si>
    <t>510182198603234823</t>
  </si>
  <si>
    <t>2025-11-03</t>
  </si>
  <si>
    <t>18782228315</t>
  </si>
  <si>
    <t>220185149714</t>
  </si>
  <si>
    <t>费朝旭</t>
  </si>
  <si>
    <t>511126198602173731</t>
  </si>
  <si>
    <t>17790218654</t>
  </si>
  <si>
    <t>6212264402026107510</t>
  </si>
  <si>
    <t>220185158399</t>
  </si>
  <si>
    <t>511011198308019792</t>
  </si>
  <si>
    <t>15182107757</t>
  </si>
  <si>
    <t>6212264402072132164</t>
  </si>
  <si>
    <t>220122394078</t>
  </si>
  <si>
    <t>51390219881024106X</t>
  </si>
  <si>
    <t>18080982915</t>
  </si>
  <si>
    <t>6221532330005695840</t>
  </si>
  <si>
    <t>220153689856</t>
  </si>
  <si>
    <t>511023199001291513</t>
  </si>
  <si>
    <t>17790280609</t>
  </si>
  <si>
    <t>6221532320027720023</t>
  </si>
  <si>
    <t>220185283618</t>
  </si>
  <si>
    <t>510723199505272567</t>
  </si>
  <si>
    <t>18583186527</t>
  </si>
  <si>
    <t>220185412141</t>
  </si>
  <si>
    <t>510623199006124636</t>
  </si>
  <si>
    <t>13548079346</t>
  </si>
  <si>
    <t>6217214402036102311</t>
  </si>
  <si>
    <t>220143332588</t>
  </si>
  <si>
    <t>510112199005234423</t>
  </si>
  <si>
    <t>15982072954</t>
  </si>
  <si>
    <t>6217003800004211763</t>
  </si>
  <si>
    <t>220153780253</t>
  </si>
  <si>
    <t>513030199207212038</t>
  </si>
  <si>
    <t>18215501527</t>
  </si>
  <si>
    <t>6221532320037019598</t>
  </si>
  <si>
    <t>220143538407</t>
  </si>
  <si>
    <t>511028199110075117</t>
  </si>
  <si>
    <t>15228818835</t>
  </si>
  <si>
    <t>220112220681</t>
  </si>
  <si>
    <t>51132219891205686X</t>
  </si>
  <si>
    <t>13551171838</t>
  </si>
  <si>
    <t>6225881283308558</t>
  </si>
  <si>
    <t>220195518901</t>
  </si>
  <si>
    <t>513902198604068729</t>
  </si>
  <si>
    <t>15828268402</t>
  </si>
  <si>
    <t>6221532320013360214</t>
  </si>
  <si>
    <t>220195662938</t>
  </si>
  <si>
    <t>姚佳秀</t>
  </si>
  <si>
    <t>510184199104071465</t>
  </si>
  <si>
    <t>18328696963</t>
  </si>
  <si>
    <t>220195663943</t>
  </si>
  <si>
    <t>510724199307010853</t>
  </si>
  <si>
    <t>18381695826</t>
  </si>
  <si>
    <t>6214838574833176</t>
  </si>
  <si>
    <t>220122690407</t>
  </si>
  <si>
    <t>510727199112210619</t>
  </si>
  <si>
    <t>13541742620</t>
  </si>
  <si>
    <t>6222024402056592474</t>
  </si>
  <si>
    <t>220195962781</t>
  </si>
  <si>
    <t>511024199508057407</t>
  </si>
  <si>
    <t>13568829122</t>
  </si>
  <si>
    <t>6228480469741821471</t>
  </si>
  <si>
    <t>220195927169</t>
  </si>
  <si>
    <t>梁伟</t>
  </si>
  <si>
    <t>510522199701013135</t>
  </si>
  <si>
    <t>18117965002</t>
  </si>
  <si>
    <t>220133089044</t>
  </si>
  <si>
    <t>510921199306182110</t>
  </si>
  <si>
    <t>15108271270</t>
  </si>
  <si>
    <t>6217003800000140644</t>
  </si>
  <si>
    <t>220206214436</t>
  </si>
  <si>
    <t>513022198410051511</t>
  </si>
  <si>
    <t>18908030510</t>
  </si>
  <si>
    <t>220206230283</t>
  </si>
  <si>
    <t>赵可</t>
  </si>
  <si>
    <t>510182199308140810</t>
  </si>
  <si>
    <t>19940670715</t>
  </si>
  <si>
    <t>6217976510020397875</t>
  </si>
  <si>
    <t>220206487305</t>
  </si>
  <si>
    <t>510522199601279286</t>
  </si>
  <si>
    <t>15608004337</t>
  </si>
  <si>
    <t>6222034402010880278</t>
  </si>
  <si>
    <t>220206517642</t>
  </si>
  <si>
    <t>赵强</t>
  </si>
  <si>
    <t>61020219960329123X</t>
  </si>
  <si>
    <t>18710448408</t>
  </si>
  <si>
    <t>220195718876</t>
  </si>
  <si>
    <t>熊鑫</t>
  </si>
  <si>
    <t>511602199606160736</t>
  </si>
  <si>
    <t>18848414616</t>
  </si>
  <si>
    <t>6214832823193326</t>
  </si>
  <si>
    <t>220216677722</t>
  </si>
  <si>
    <t>袁湘</t>
  </si>
  <si>
    <t>510922200203240279</t>
  </si>
  <si>
    <t>15282579859</t>
  </si>
  <si>
    <t>220185442376</t>
  </si>
  <si>
    <t>513822199506182434</t>
  </si>
  <si>
    <t>18224144719</t>
  </si>
  <si>
    <t>220195890178</t>
  </si>
  <si>
    <t>黄兴宇</t>
  </si>
  <si>
    <t>510107199601280871</t>
  </si>
  <si>
    <t>13666289980</t>
  </si>
  <si>
    <t>6217003800020080218</t>
  </si>
  <si>
    <t>220174914176</t>
  </si>
  <si>
    <t>511025199205212883</t>
  </si>
  <si>
    <t>15208340142</t>
  </si>
  <si>
    <t>6227003818520958799</t>
  </si>
  <si>
    <t>220185416255</t>
  </si>
  <si>
    <t>513823199506221516</t>
  </si>
  <si>
    <t>18784431752</t>
  </si>
  <si>
    <t>220206464675</t>
  </si>
  <si>
    <t>古瑞婷</t>
  </si>
  <si>
    <t>510321200008046586</t>
  </si>
  <si>
    <t>18981734105</t>
  </si>
  <si>
    <t>6217711007346255</t>
  </si>
  <si>
    <t>220185221195</t>
  </si>
  <si>
    <t>曹晓晓</t>
  </si>
  <si>
    <t>511324199610276901</t>
  </si>
  <si>
    <t>18283821156</t>
  </si>
  <si>
    <t>6221522220002483203</t>
  </si>
  <si>
    <t>220217031488</t>
  </si>
  <si>
    <t>513902199003030949</t>
  </si>
  <si>
    <t>13666155469</t>
  </si>
  <si>
    <t>220122791776</t>
  </si>
  <si>
    <t>511303199201043363</t>
  </si>
  <si>
    <t>15228978207</t>
  </si>
  <si>
    <t>6214832833751071</t>
  </si>
  <si>
    <t>220164485709</t>
  </si>
  <si>
    <t>511124198802070021</t>
  </si>
  <si>
    <t>13540359993</t>
  </si>
  <si>
    <t>6214831287379306</t>
  </si>
  <si>
    <t>220153727485</t>
  </si>
  <si>
    <t>510107198311051275</t>
  </si>
  <si>
    <t>13880031600</t>
  </si>
  <si>
    <t>6227003812571629383</t>
  </si>
  <si>
    <t>220220000898</t>
  </si>
  <si>
    <t>513922198705100762</t>
  </si>
  <si>
    <t>15198177339</t>
  </si>
  <si>
    <t>220220052030</t>
  </si>
  <si>
    <t>510184199909016068</t>
  </si>
  <si>
    <t>18428014709</t>
  </si>
  <si>
    <t>220230098088</t>
  </si>
  <si>
    <t>向凤</t>
  </si>
  <si>
    <t>510623199408244948</t>
  </si>
  <si>
    <t>15982174289</t>
  </si>
  <si>
    <t>220230481135</t>
  </si>
  <si>
    <t>511002199210247218</t>
  </si>
  <si>
    <t>15902811840</t>
  </si>
  <si>
    <t>6217853100003314978</t>
  </si>
  <si>
    <t>220240155018</t>
  </si>
  <si>
    <t>510525199303083436</t>
  </si>
  <si>
    <t>18200217946</t>
  </si>
  <si>
    <t>220250191975</t>
  </si>
  <si>
    <t>黄军</t>
  </si>
  <si>
    <t>513822198609064831</t>
  </si>
  <si>
    <t>13880764370</t>
  </si>
  <si>
    <t>220250455230</t>
  </si>
  <si>
    <t>高东琴</t>
  </si>
  <si>
    <t>510183199312271027</t>
  </si>
  <si>
    <t>18382246016</t>
  </si>
  <si>
    <t>220250455231</t>
  </si>
  <si>
    <t>杨凤华</t>
  </si>
  <si>
    <t>510183200408180045</t>
  </si>
  <si>
    <t>18200344980</t>
  </si>
  <si>
    <t>220250455232</t>
  </si>
  <si>
    <t>王巧巧</t>
  </si>
  <si>
    <t>510129199402180040</t>
  </si>
  <si>
    <t>15881125809</t>
  </si>
  <si>
    <t>220250455233</t>
  </si>
  <si>
    <t>程羊</t>
  </si>
  <si>
    <t>510184199103174673</t>
  </si>
  <si>
    <t>13568882740</t>
  </si>
  <si>
    <t>220250455234</t>
  </si>
  <si>
    <t>常涛</t>
  </si>
  <si>
    <t>510129198412216719</t>
  </si>
  <si>
    <t>18202843280</t>
  </si>
  <si>
    <t>220250455235</t>
  </si>
  <si>
    <t>510681198511065517</t>
  </si>
  <si>
    <t>13408657497</t>
  </si>
  <si>
    <t>220250455236</t>
  </si>
  <si>
    <t>510132199509095717</t>
  </si>
  <si>
    <t>13438969705</t>
  </si>
  <si>
    <t>220250455237</t>
  </si>
  <si>
    <t>叶荣鹏</t>
  </si>
  <si>
    <t>510183199110275492</t>
  </si>
  <si>
    <t>13608207721</t>
  </si>
  <si>
    <t>220250455238</t>
  </si>
  <si>
    <t>马勇</t>
  </si>
  <si>
    <t>510184199203183673</t>
  </si>
  <si>
    <t>15756290690</t>
  </si>
  <si>
    <t>220250455239</t>
  </si>
  <si>
    <t>510304199601165023</t>
  </si>
  <si>
    <t>18583391368</t>
  </si>
  <si>
    <t>220250455240</t>
  </si>
  <si>
    <t>510623199709276927</t>
  </si>
  <si>
    <t>18328002729</t>
  </si>
  <si>
    <t>220250455241</t>
  </si>
  <si>
    <t>51152320010112044X</t>
  </si>
  <si>
    <t>18780616471</t>
  </si>
  <si>
    <t>220250455242</t>
  </si>
  <si>
    <t>510781198706180035</t>
  </si>
  <si>
    <t>18681610852</t>
  </si>
  <si>
    <t>220250455243</t>
  </si>
  <si>
    <t>511302198804175321</t>
  </si>
  <si>
    <t>18030871975</t>
  </si>
  <si>
    <t>220250455244</t>
  </si>
  <si>
    <t>622827199306184116</t>
  </si>
  <si>
    <t>13552833869</t>
  </si>
  <si>
    <t>220250455245</t>
  </si>
  <si>
    <t>510902198712161549</t>
  </si>
  <si>
    <t>13518187685</t>
  </si>
  <si>
    <t>220250455246</t>
  </si>
  <si>
    <t>510322198701238128</t>
  </si>
  <si>
    <t>13541241552</t>
  </si>
  <si>
    <t>220250455247</t>
  </si>
  <si>
    <t>51370119940918422X</t>
  </si>
  <si>
    <t>19857132113</t>
  </si>
  <si>
    <t>220250455248</t>
  </si>
  <si>
    <t>510221198109265344</t>
  </si>
  <si>
    <t>13980687124</t>
  </si>
  <si>
    <t>220250455249</t>
  </si>
  <si>
    <t>511025198001072896</t>
  </si>
  <si>
    <t>13981949944</t>
  </si>
  <si>
    <t>220250455250</t>
  </si>
  <si>
    <t>500228199906186566</t>
  </si>
  <si>
    <t>15723513101</t>
  </si>
  <si>
    <t>220250455251</t>
  </si>
  <si>
    <t>51012219970308551X</t>
  </si>
  <si>
    <t>18780185980</t>
  </si>
  <si>
    <t>220250455252</t>
  </si>
  <si>
    <t>510107197707232967</t>
  </si>
  <si>
    <t>13688001410</t>
  </si>
  <si>
    <t>220250455253</t>
  </si>
  <si>
    <t>511321199508138343</t>
  </si>
  <si>
    <t>18384289326</t>
  </si>
  <si>
    <t>220250455254</t>
  </si>
  <si>
    <t>511028198506010323</t>
  </si>
  <si>
    <t>15002870041</t>
  </si>
  <si>
    <t>220250455255</t>
  </si>
  <si>
    <t>512222197301263465</t>
  </si>
  <si>
    <t>13521326008</t>
  </si>
  <si>
    <t>220250455256</t>
  </si>
  <si>
    <t>360203197704244024</t>
  </si>
  <si>
    <t>13208169311</t>
  </si>
  <si>
    <t>220250455257</t>
  </si>
  <si>
    <t>51178120020416700X</t>
  </si>
  <si>
    <t>17311550429</t>
  </si>
  <si>
    <t>220250455258</t>
  </si>
  <si>
    <t>何姣</t>
  </si>
  <si>
    <t>511321199010106467</t>
  </si>
  <si>
    <t>19150205595</t>
  </si>
  <si>
    <t>220250455259</t>
  </si>
  <si>
    <t>赵若贝</t>
  </si>
  <si>
    <t>513722200207142029</t>
  </si>
  <si>
    <t>13308236597</t>
  </si>
  <si>
    <t>220250455260</t>
  </si>
  <si>
    <t>332522200106063887</t>
  </si>
  <si>
    <t>19828976380</t>
  </si>
  <si>
    <t>220250455261</t>
  </si>
  <si>
    <t>440981200007178318</t>
  </si>
  <si>
    <t>15625585717</t>
  </si>
  <si>
    <t>220250455262</t>
  </si>
  <si>
    <t>510106198203224822</t>
  </si>
  <si>
    <t>13551170500</t>
  </si>
  <si>
    <t>220250455263</t>
  </si>
  <si>
    <t>510322196810300833</t>
  </si>
  <si>
    <t>15928523731</t>
  </si>
  <si>
    <t>220250455264</t>
  </si>
  <si>
    <t>510107199403233425</t>
  </si>
  <si>
    <t>13550156380</t>
  </si>
  <si>
    <t>220229058011</t>
  </si>
  <si>
    <t>513901199001085528</t>
  </si>
  <si>
    <t>18180898867</t>
  </si>
  <si>
    <t>220250455265</t>
  </si>
  <si>
    <t>511025198908039103</t>
  </si>
  <si>
    <t>15982314389</t>
  </si>
  <si>
    <t>220250455266</t>
  </si>
  <si>
    <t>510824199310068648</t>
  </si>
  <si>
    <t>18180575857</t>
  </si>
  <si>
    <t>220250455267</t>
  </si>
  <si>
    <t>51310119760326001X</t>
  </si>
  <si>
    <t>13808208432</t>
  </si>
  <si>
    <t>220250455268</t>
  </si>
  <si>
    <t>510122199310055512</t>
  </si>
  <si>
    <t>13708061534</t>
  </si>
  <si>
    <t>220250455269</t>
  </si>
  <si>
    <t>510107199810215013</t>
  </si>
  <si>
    <t>18140007696</t>
  </si>
  <si>
    <t>220250455270</t>
  </si>
  <si>
    <t>511325199608165918</t>
  </si>
  <si>
    <t>15982103933</t>
  </si>
  <si>
    <t>220250455271</t>
  </si>
  <si>
    <t>513021199508267458</t>
  </si>
  <si>
    <t>18408281601</t>
  </si>
  <si>
    <t>220250455272</t>
  </si>
  <si>
    <t>513922199406116697</t>
  </si>
  <si>
    <t>18408296127</t>
  </si>
  <si>
    <t>220250455273</t>
  </si>
  <si>
    <t>刘凤英</t>
  </si>
  <si>
    <t>513902199309092181</t>
  </si>
  <si>
    <t>18140038196</t>
  </si>
  <si>
    <t>220250455274</t>
  </si>
  <si>
    <t>姚元利</t>
  </si>
  <si>
    <t>510113198511137425</t>
  </si>
  <si>
    <t>13551292627</t>
  </si>
  <si>
    <t>220250455275</t>
  </si>
  <si>
    <t>莫晓何</t>
  </si>
  <si>
    <t>510922199004150291</t>
  </si>
  <si>
    <t>18116756356</t>
  </si>
  <si>
    <t>220250455276</t>
  </si>
  <si>
    <t>毛艺俊</t>
  </si>
  <si>
    <t>513901199902270034</t>
  </si>
  <si>
    <t>18882515489</t>
  </si>
  <si>
    <t>220250455277</t>
  </si>
  <si>
    <t>王熙鸿</t>
  </si>
  <si>
    <t>510623199809211610</t>
  </si>
  <si>
    <t>19302867857</t>
  </si>
  <si>
    <t>220250455278</t>
  </si>
  <si>
    <t>冯超</t>
  </si>
  <si>
    <t>511322199806112578</t>
  </si>
  <si>
    <t>15208152815</t>
  </si>
  <si>
    <t>220250455279</t>
  </si>
  <si>
    <t>510824199508211614</t>
  </si>
  <si>
    <t>15196124305</t>
  </si>
  <si>
    <t>220250455280</t>
  </si>
  <si>
    <t>513723199605084654</t>
  </si>
  <si>
    <t>18579092168</t>
  </si>
  <si>
    <t>220250455281</t>
  </si>
  <si>
    <t>黄婷婷</t>
  </si>
  <si>
    <t>51152119960801252X</t>
  </si>
  <si>
    <t>18328020298</t>
  </si>
  <si>
    <t>220250455282</t>
  </si>
  <si>
    <t>邱明杰</t>
  </si>
  <si>
    <t>510104199809021677</t>
  </si>
  <si>
    <t>19136086157</t>
  </si>
  <si>
    <t>220250455283</t>
  </si>
  <si>
    <t>陈林</t>
  </si>
  <si>
    <t>510113199806276814</t>
  </si>
  <si>
    <t>19136177042</t>
  </si>
  <si>
    <t>220250455284</t>
  </si>
  <si>
    <t>510105199309191270</t>
  </si>
  <si>
    <t>18081901170</t>
  </si>
  <si>
    <t>220250455285</t>
  </si>
  <si>
    <t>511724200404252180</t>
  </si>
  <si>
    <t>19881830192</t>
  </si>
  <si>
    <t>220250455286</t>
  </si>
  <si>
    <t>葛兴丽</t>
  </si>
  <si>
    <t>533224200308092728</t>
  </si>
  <si>
    <t>19828194376</t>
  </si>
  <si>
    <t>220250455287</t>
  </si>
  <si>
    <t>张永强</t>
  </si>
  <si>
    <t>510125197808041839</t>
  </si>
  <si>
    <t>13882055050</t>
  </si>
  <si>
    <t>220250455288</t>
  </si>
  <si>
    <t>51010319660402281X</t>
  </si>
  <si>
    <t>13540261720</t>
  </si>
  <si>
    <t>220250455289</t>
  </si>
  <si>
    <t>51092319890616773X</t>
  </si>
  <si>
    <t>18980962107</t>
  </si>
  <si>
    <t>220250455290</t>
  </si>
  <si>
    <t>510122199403246617</t>
  </si>
  <si>
    <t>18144342808</t>
  </si>
  <si>
    <t>220250455291</t>
  </si>
  <si>
    <t>吴小琴</t>
  </si>
  <si>
    <t>511123199908141965</t>
  </si>
  <si>
    <t>13881388546</t>
  </si>
  <si>
    <t>220250455292</t>
  </si>
  <si>
    <t>513902198906229022</t>
  </si>
  <si>
    <t>15828065710</t>
  </si>
  <si>
    <t>220250455293</t>
  </si>
  <si>
    <t>张坤</t>
  </si>
  <si>
    <t>513021199507153950</t>
  </si>
  <si>
    <t>13689060447</t>
  </si>
  <si>
    <t>220250455294</t>
  </si>
  <si>
    <t>丁小玲</t>
  </si>
  <si>
    <t>513029199405155569</t>
  </si>
  <si>
    <t>13678131407</t>
  </si>
  <si>
    <t>220250455295</t>
  </si>
  <si>
    <t>511526199202184219</t>
  </si>
  <si>
    <t>13458812622</t>
  </si>
  <si>
    <t>220250455296</t>
  </si>
  <si>
    <t>钟家林</t>
  </si>
  <si>
    <t>511527199109075612</t>
  </si>
  <si>
    <t>15184333398</t>
  </si>
  <si>
    <t>6215340302507761556</t>
  </si>
  <si>
    <t>220250455297</t>
  </si>
  <si>
    <t>牟春柳</t>
  </si>
  <si>
    <t>510182198701231423</t>
  </si>
  <si>
    <t>18008071431</t>
  </si>
  <si>
    <t>220250455298</t>
  </si>
  <si>
    <t>510182199507216216</t>
  </si>
  <si>
    <t>18482130175</t>
  </si>
  <si>
    <t>220250455299</t>
  </si>
  <si>
    <t>任和奎</t>
  </si>
  <si>
    <t>510182199612306854</t>
  </si>
  <si>
    <t>13880090644</t>
  </si>
  <si>
    <t>220250455300</t>
  </si>
  <si>
    <t>兰代全</t>
  </si>
  <si>
    <t>510182198508015411</t>
  </si>
  <si>
    <t>18349487176</t>
  </si>
  <si>
    <t>220250455301</t>
  </si>
  <si>
    <t>甘伟</t>
  </si>
  <si>
    <t>511025200404086635</t>
  </si>
  <si>
    <t>19938656149</t>
  </si>
  <si>
    <t>220250455302</t>
  </si>
  <si>
    <t>511323198712281161</t>
  </si>
  <si>
    <t>13540758693</t>
  </si>
  <si>
    <t>220250455303</t>
  </si>
  <si>
    <t>511011200307126932</t>
  </si>
  <si>
    <t>18328382281</t>
  </si>
  <si>
    <t>220250455304</t>
  </si>
  <si>
    <t>赵思梵</t>
  </si>
  <si>
    <t>511526200204291312</t>
  </si>
  <si>
    <t>15583151520</t>
  </si>
  <si>
    <t>220250455305</t>
  </si>
  <si>
    <t>陈勇建</t>
  </si>
  <si>
    <t>510321199501182690</t>
  </si>
  <si>
    <t>18782117803</t>
  </si>
  <si>
    <t>220250455306</t>
  </si>
  <si>
    <t>李容</t>
  </si>
  <si>
    <t>51152619951128212X</t>
  </si>
  <si>
    <t>19981541379</t>
  </si>
  <si>
    <t>220250455307</t>
  </si>
  <si>
    <t>510184199008100932</t>
  </si>
  <si>
    <t>15982385122</t>
  </si>
  <si>
    <t>220250455308</t>
  </si>
  <si>
    <t>510122197412191575</t>
  </si>
  <si>
    <t>13086669022</t>
  </si>
  <si>
    <t>220250455309</t>
  </si>
  <si>
    <t>510105199111033517</t>
  </si>
  <si>
    <t>13551375152</t>
  </si>
  <si>
    <t>220250455310</t>
  </si>
  <si>
    <t>512921197109044651</t>
  </si>
  <si>
    <t>13668194671</t>
  </si>
  <si>
    <t>220250455311</t>
  </si>
  <si>
    <t>511325197906093116</t>
  </si>
  <si>
    <t>13683433293</t>
  </si>
  <si>
    <t>220250455312</t>
  </si>
  <si>
    <t>510623197509237932</t>
  </si>
  <si>
    <t>13558867706</t>
  </si>
  <si>
    <t>220250455313</t>
  </si>
  <si>
    <t>140932198811120012</t>
  </si>
  <si>
    <t>18111230444</t>
  </si>
  <si>
    <t>220250455314</t>
  </si>
  <si>
    <t>510108197607123014</t>
  </si>
  <si>
    <t>13032813956</t>
  </si>
  <si>
    <t>220250455315</t>
  </si>
  <si>
    <t>510122198101159572</t>
  </si>
  <si>
    <t>13540627901</t>
  </si>
  <si>
    <t>220250455316</t>
  </si>
  <si>
    <t>513002199801156897</t>
  </si>
  <si>
    <t>15196852279</t>
  </si>
  <si>
    <t>220250455317</t>
  </si>
  <si>
    <t>511529200012161715</t>
  </si>
  <si>
    <t>15181196918</t>
  </si>
  <si>
    <t>220250455318</t>
  </si>
  <si>
    <t>510922199305283151</t>
  </si>
  <si>
    <t>17345459593</t>
  </si>
  <si>
    <t>220250455319</t>
  </si>
  <si>
    <t>511921199909220033</t>
  </si>
  <si>
    <t>18282740174</t>
  </si>
  <si>
    <t>220250455320</t>
  </si>
  <si>
    <t>510922198605014338</t>
  </si>
  <si>
    <t>15112776632</t>
  </si>
  <si>
    <t>220250455321</t>
  </si>
  <si>
    <t>511621199609186615</t>
  </si>
  <si>
    <t>18030533199</t>
  </si>
  <si>
    <t>220250455322</t>
  </si>
  <si>
    <t>510902198408187015</t>
  </si>
  <si>
    <t>18981991746</t>
  </si>
  <si>
    <t>220250455323</t>
  </si>
  <si>
    <t>510922199101303157</t>
  </si>
  <si>
    <t>15902812094</t>
  </si>
  <si>
    <t>220250455324</t>
  </si>
  <si>
    <t>513921200212168877</t>
  </si>
  <si>
    <t>18123498985</t>
  </si>
  <si>
    <t>220250455325</t>
  </si>
  <si>
    <t>513822199903314832</t>
  </si>
  <si>
    <t>15982868643</t>
  </si>
  <si>
    <t>220250455326</t>
  </si>
  <si>
    <t>蔡树林</t>
  </si>
  <si>
    <t>513029199912273359</t>
  </si>
  <si>
    <t>17628660558</t>
  </si>
  <si>
    <t>220250455327</t>
  </si>
  <si>
    <t>51302119950126289X</t>
  </si>
  <si>
    <t>18228655529</t>
  </si>
  <si>
    <t>220250455328</t>
  </si>
  <si>
    <t>51138119910620827X</t>
  </si>
  <si>
    <t>18200456115</t>
  </si>
  <si>
    <t>220250455329</t>
  </si>
  <si>
    <t>黄麒</t>
  </si>
  <si>
    <t>511724200512130236</t>
  </si>
  <si>
    <t>18381084792</t>
  </si>
  <si>
    <t>220250455330</t>
  </si>
  <si>
    <t>511781200202235435</t>
  </si>
  <si>
    <t>15182863643</t>
  </si>
  <si>
    <t>220250455331</t>
  </si>
  <si>
    <t>513721199012252373</t>
  </si>
  <si>
    <t>18113754288</t>
  </si>
  <si>
    <t>220250455332</t>
  </si>
  <si>
    <t>510681199107194135</t>
  </si>
  <si>
    <t>13540001038</t>
  </si>
  <si>
    <t>220250455333</t>
  </si>
  <si>
    <t>51302119930310441X</t>
  </si>
  <si>
    <t>18228689264</t>
  </si>
  <si>
    <t>220250455334</t>
  </si>
  <si>
    <t>51013219810110163X</t>
  </si>
  <si>
    <t>13568987997</t>
  </si>
  <si>
    <t>220250455335</t>
  </si>
  <si>
    <t>430481199708248433</t>
  </si>
  <si>
    <t>18202888459</t>
  </si>
  <si>
    <t>220250455336</t>
  </si>
  <si>
    <t>130132199212302892</t>
  </si>
  <si>
    <t>17761400283</t>
  </si>
  <si>
    <t>220250455337</t>
  </si>
  <si>
    <t>513021199709196174</t>
  </si>
  <si>
    <t>13982097252</t>
  </si>
  <si>
    <t>220250455338</t>
  </si>
  <si>
    <t>51208120040315313X</t>
  </si>
  <si>
    <t>13307565445</t>
  </si>
  <si>
    <t>220250455339</t>
  </si>
  <si>
    <t>510182199808191219</t>
  </si>
  <si>
    <t>15928522262</t>
  </si>
  <si>
    <t>220250455340</t>
  </si>
  <si>
    <t>511321199405083511</t>
  </si>
  <si>
    <t>17381370611</t>
  </si>
  <si>
    <t>220250455341</t>
  </si>
  <si>
    <t>510902199604104656</t>
  </si>
  <si>
    <t>13684441409</t>
  </si>
  <si>
    <t>220250455342</t>
  </si>
  <si>
    <t>50022619951103467X</t>
  </si>
  <si>
    <t>18011375766</t>
  </si>
  <si>
    <t>220250455343</t>
  </si>
  <si>
    <t>510623199811114019</t>
  </si>
  <si>
    <t>18482242179</t>
  </si>
  <si>
    <t>220250455344</t>
  </si>
  <si>
    <t>513721198712162294</t>
  </si>
  <si>
    <t>18582993357</t>
  </si>
  <si>
    <t>220229045224</t>
  </si>
  <si>
    <t>142623199009106129</t>
  </si>
  <si>
    <t>18780041944</t>
  </si>
  <si>
    <t>220250455345</t>
  </si>
  <si>
    <t>马魁明</t>
  </si>
  <si>
    <t>513922198706246798</t>
  </si>
  <si>
    <t>13518143203</t>
  </si>
  <si>
    <t>220250455346</t>
  </si>
  <si>
    <t>徐靓</t>
  </si>
  <si>
    <t>321182198611241025</t>
  </si>
  <si>
    <t>18682552313</t>
  </si>
  <si>
    <t>220250455347</t>
  </si>
  <si>
    <t>丁丽</t>
  </si>
  <si>
    <t>500235199307021480</t>
  </si>
  <si>
    <t>13882139771</t>
  </si>
  <si>
    <t>220250455348</t>
  </si>
  <si>
    <t>510183199910201619</t>
  </si>
  <si>
    <t>17711087580</t>
  </si>
  <si>
    <t>220250455349</t>
  </si>
  <si>
    <t>511424200604172816</t>
  </si>
  <si>
    <t>17780284862</t>
  </si>
  <si>
    <t>220250455350</t>
  </si>
  <si>
    <t>钟雨佟</t>
  </si>
  <si>
    <t>51012119981022227X</t>
  </si>
  <si>
    <t>15388204177</t>
  </si>
  <si>
    <t>220250455351</t>
  </si>
  <si>
    <t>蒋志强</t>
  </si>
  <si>
    <t>500112199805011496</t>
  </si>
  <si>
    <t>15828240167</t>
  </si>
  <si>
    <t>220250455352</t>
  </si>
  <si>
    <t>何建灵</t>
  </si>
  <si>
    <t>511921200301030472</t>
  </si>
  <si>
    <t>18782793313</t>
  </si>
  <si>
    <t>220250455353</t>
  </si>
  <si>
    <t>吴善角</t>
  </si>
  <si>
    <t>352228199505183018</t>
  </si>
  <si>
    <t>16683171618</t>
  </si>
  <si>
    <t>220250455354</t>
  </si>
  <si>
    <t>陈杰</t>
  </si>
  <si>
    <t>51160220001229429X</t>
  </si>
  <si>
    <t>18160128567</t>
  </si>
  <si>
    <t>220250455355</t>
  </si>
  <si>
    <t>鲁杰培</t>
  </si>
  <si>
    <t>511527200104256719</t>
  </si>
  <si>
    <t>18380827634</t>
  </si>
  <si>
    <t>220250455356</t>
  </si>
  <si>
    <t>廖磊</t>
  </si>
  <si>
    <t>51102519990627143X</t>
  </si>
  <si>
    <t>19382908157</t>
  </si>
  <si>
    <t>220250455357</t>
  </si>
  <si>
    <t>郭静</t>
  </si>
  <si>
    <t>513021199108061389</t>
  </si>
  <si>
    <t>13508250578</t>
  </si>
  <si>
    <t>220250455358</t>
  </si>
  <si>
    <t>陈光婷</t>
  </si>
  <si>
    <t>511602199106067308</t>
  </si>
  <si>
    <t>15008292511</t>
  </si>
  <si>
    <t>220250455359</t>
  </si>
  <si>
    <t>叶子骏</t>
  </si>
  <si>
    <t>511002200211241534</t>
  </si>
  <si>
    <t>19983103534</t>
  </si>
  <si>
    <t>220250455360</t>
  </si>
  <si>
    <t>何松</t>
  </si>
  <si>
    <t>511526199108013034</t>
  </si>
  <si>
    <t>13340667779</t>
  </si>
  <si>
    <t>220250455361</t>
  </si>
  <si>
    <t>赵申伟</t>
  </si>
  <si>
    <t>511526199112214218</t>
  </si>
  <si>
    <t>18010511580</t>
  </si>
  <si>
    <t>220250455362</t>
  </si>
  <si>
    <t>姜玲玲</t>
  </si>
  <si>
    <t>510704200106102823</t>
  </si>
  <si>
    <t>19909091371</t>
  </si>
  <si>
    <t>220250455369</t>
  </si>
  <si>
    <t>张林1</t>
  </si>
  <si>
    <t>513029199709183059</t>
  </si>
  <si>
    <t>18666477757</t>
  </si>
  <si>
    <t>220250455370</t>
  </si>
  <si>
    <t>511381199409038079</t>
  </si>
  <si>
    <t>15198013658</t>
  </si>
  <si>
    <t>220143589055</t>
  </si>
  <si>
    <t>513701198706055438</t>
  </si>
  <si>
    <t>13982208943</t>
  </si>
  <si>
    <t>220153921836</t>
  </si>
  <si>
    <t>金梁平</t>
  </si>
  <si>
    <t>511123199204085352</t>
  </si>
  <si>
    <t>18109066005</t>
  </si>
  <si>
    <t>220050895674</t>
  </si>
  <si>
    <t>511521198103214172</t>
  </si>
  <si>
    <t>13072881227</t>
  </si>
  <si>
    <t>220050414181</t>
  </si>
  <si>
    <t>510106198601170014</t>
  </si>
  <si>
    <t>18683722558</t>
  </si>
  <si>
    <t>6222138327341985</t>
  </si>
  <si>
    <t>220081450452</t>
  </si>
  <si>
    <t>511132198611154118</t>
  </si>
  <si>
    <t>13981731330</t>
  </si>
  <si>
    <t>6227003813370280287</t>
  </si>
  <si>
    <t>220091660891</t>
  </si>
  <si>
    <t>511027197308241859</t>
  </si>
  <si>
    <t>13982202382</t>
  </si>
  <si>
    <t>6222138327702434</t>
  </si>
  <si>
    <t>220101887884</t>
  </si>
  <si>
    <t>51012419860613295X</t>
  </si>
  <si>
    <t>13568942048</t>
  </si>
  <si>
    <t>6227003813180655280</t>
  </si>
  <si>
    <t>220101931716</t>
  </si>
  <si>
    <t>511112197504291416</t>
  </si>
  <si>
    <t>13980820979</t>
  </si>
  <si>
    <t>6222128327903256</t>
  </si>
  <si>
    <t>220112218204</t>
  </si>
  <si>
    <t>511121198211052367</t>
  </si>
  <si>
    <t>13402856897</t>
  </si>
  <si>
    <t>6227003811171408727</t>
  </si>
  <si>
    <t>220112374419</t>
  </si>
  <si>
    <t>彭义</t>
  </si>
  <si>
    <t>510230198107100710</t>
  </si>
  <si>
    <t>13076003335</t>
  </si>
  <si>
    <t>6221522230000201713</t>
  </si>
  <si>
    <t>220050997379</t>
  </si>
  <si>
    <t>654201198103090810</t>
  </si>
  <si>
    <t>13541130997</t>
  </si>
  <si>
    <t>220050782209</t>
  </si>
  <si>
    <t>51030219770904204X</t>
  </si>
  <si>
    <t>13550159202</t>
  </si>
  <si>
    <t>6221522230001021359</t>
  </si>
  <si>
    <t>220122776266</t>
  </si>
  <si>
    <t>511526198903220927</t>
  </si>
  <si>
    <t>18512803379</t>
  </si>
  <si>
    <t>6217003810039266351</t>
  </si>
  <si>
    <t>220133226028</t>
  </si>
  <si>
    <t>曹佳琳</t>
  </si>
  <si>
    <t>510108197601160922</t>
  </si>
  <si>
    <t>13880160011</t>
  </si>
  <si>
    <t>6227003811841185416</t>
  </si>
  <si>
    <t>220122639347</t>
  </si>
  <si>
    <t>蒲喜</t>
  </si>
  <si>
    <t>510823198802245179</t>
  </si>
  <si>
    <t>17628292508</t>
  </si>
  <si>
    <t>6221522230000321958</t>
  </si>
  <si>
    <t>220122439198</t>
  </si>
  <si>
    <t>513002198307254163</t>
  </si>
  <si>
    <t>18828096958</t>
  </si>
  <si>
    <t>6221522220000127703</t>
  </si>
  <si>
    <t>220153971273</t>
  </si>
  <si>
    <t>510821199312043744</t>
  </si>
  <si>
    <t>17318910009</t>
  </si>
  <si>
    <t>6221532320030690809</t>
  </si>
  <si>
    <t>220164013112</t>
  </si>
  <si>
    <t>51010719830729299X</t>
  </si>
  <si>
    <t>13086607780</t>
  </si>
  <si>
    <t>6222629530003990141</t>
  </si>
  <si>
    <t>220101774281</t>
  </si>
  <si>
    <t>干小楠</t>
  </si>
  <si>
    <t>513901198710061073</t>
  </si>
  <si>
    <t>13438997200</t>
  </si>
  <si>
    <t>6222128327531099</t>
  </si>
  <si>
    <t>220164483545</t>
  </si>
  <si>
    <t>510125199406284722</t>
  </si>
  <si>
    <t>18280395763</t>
  </si>
  <si>
    <t>6221532320030399484</t>
  </si>
  <si>
    <t>220174539594</t>
  </si>
  <si>
    <t>510902199403267686</t>
  </si>
  <si>
    <t>18380405596</t>
  </si>
  <si>
    <t>6212264402028244030</t>
  </si>
  <si>
    <t>220174571973</t>
  </si>
  <si>
    <t>李成成</t>
  </si>
  <si>
    <t>510922199308290090</t>
  </si>
  <si>
    <t>19980770829</t>
  </si>
  <si>
    <t>622908433032408814</t>
  </si>
  <si>
    <t>220174679761</t>
  </si>
  <si>
    <t>510921199304265350</t>
  </si>
  <si>
    <t>18728550435</t>
  </si>
  <si>
    <t>6217003800023907367</t>
  </si>
  <si>
    <t>220174813674</t>
  </si>
  <si>
    <t>廖晓军</t>
  </si>
  <si>
    <t>510727199512081115</t>
  </si>
  <si>
    <t>15281473083</t>
  </si>
  <si>
    <t>6217222305000232560</t>
  </si>
  <si>
    <t>220153725920</t>
  </si>
  <si>
    <t>舒孟蝶</t>
  </si>
  <si>
    <t>513922199311021361</t>
  </si>
  <si>
    <t>15328014211</t>
  </si>
  <si>
    <t>6221532320031312957</t>
  </si>
  <si>
    <t>220174851961</t>
  </si>
  <si>
    <t>魏巍</t>
  </si>
  <si>
    <t>513723199607027151</t>
  </si>
  <si>
    <t>18280436675</t>
  </si>
  <si>
    <t>220185325278</t>
  </si>
  <si>
    <t>张桥英</t>
  </si>
  <si>
    <t>440223198304073537</t>
  </si>
  <si>
    <t>18160024131</t>
  </si>
  <si>
    <t>6217003150000725576</t>
  </si>
  <si>
    <t>220185057179</t>
  </si>
  <si>
    <t>康鳞波</t>
  </si>
  <si>
    <t>510904199908313599</t>
  </si>
  <si>
    <t>13778710745</t>
  </si>
  <si>
    <t>6214832805474272</t>
  </si>
  <si>
    <t>220195732157</t>
  </si>
  <si>
    <t>卢瑶</t>
  </si>
  <si>
    <t>510623199407165615</t>
  </si>
  <si>
    <t>18583765230</t>
  </si>
  <si>
    <t>220195795957</t>
  </si>
  <si>
    <t>甘美琳</t>
  </si>
  <si>
    <t>51102519970402748X</t>
  </si>
  <si>
    <t>18382400738</t>
  </si>
  <si>
    <t>220196002391</t>
  </si>
  <si>
    <t>513822198410032488</t>
  </si>
  <si>
    <t>13208102083</t>
  </si>
  <si>
    <t>4340613811102079</t>
  </si>
  <si>
    <t>220196022628</t>
  </si>
  <si>
    <t>唐操</t>
  </si>
  <si>
    <t>513902199403015959</t>
  </si>
  <si>
    <t>13540446345</t>
  </si>
  <si>
    <t>6217003800010797599</t>
  </si>
  <si>
    <t>220206282948</t>
  </si>
  <si>
    <t>邬良栋</t>
  </si>
  <si>
    <t>510107198909201338</t>
  </si>
  <si>
    <t>19160312924</t>
  </si>
  <si>
    <t>220206146217</t>
  </si>
  <si>
    <t>曹兰</t>
  </si>
  <si>
    <t>510121199706147222</t>
  </si>
  <si>
    <t>18202896138</t>
  </si>
  <si>
    <t>6217003580002314872</t>
  </si>
  <si>
    <t>220206570176</t>
  </si>
  <si>
    <t>曾一峰</t>
  </si>
  <si>
    <t>51072219930208595X</t>
  </si>
  <si>
    <t>13699429917</t>
  </si>
  <si>
    <t>220195507105</t>
  </si>
  <si>
    <t>徐荣尧</t>
  </si>
  <si>
    <t>511621199603257531</t>
  </si>
  <si>
    <t>18223140822</t>
  </si>
  <si>
    <t>6217003760105565733</t>
  </si>
  <si>
    <t>220164184681</t>
  </si>
  <si>
    <t>511025199311144941</t>
  </si>
  <si>
    <t>13880945093</t>
  </si>
  <si>
    <t>6227003811841605132</t>
  </si>
  <si>
    <t>220133236598</t>
  </si>
  <si>
    <t>510112199310194616</t>
  </si>
  <si>
    <t>13551383892</t>
  </si>
  <si>
    <t>6221532320039243014</t>
  </si>
  <si>
    <t>220122788845</t>
  </si>
  <si>
    <t>黄利君</t>
  </si>
  <si>
    <t>511381199109247741</t>
  </si>
  <si>
    <t>18787967401</t>
  </si>
  <si>
    <t>6227003812571154044</t>
  </si>
  <si>
    <t>220216743306</t>
  </si>
  <si>
    <t>王泳文</t>
  </si>
  <si>
    <t>510181199711143628</t>
  </si>
  <si>
    <t>13678024680</t>
  </si>
  <si>
    <t>6212264402034375729</t>
  </si>
  <si>
    <t>220216880763</t>
  </si>
  <si>
    <t>余梦蕾</t>
  </si>
  <si>
    <t>510603199901077666</t>
  </si>
  <si>
    <t>15183861330</t>
  </si>
  <si>
    <t>6216603100005073502</t>
  </si>
  <si>
    <t>220164371725</t>
  </si>
  <si>
    <t>代力</t>
  </si>
  <si>
    <t>510923199203167754</t>
  </si>
  <si>
    <t>18782146105</t>
  </si>
  <si>
    <t>6217003810064126272</t>
  </si>
  <si>
    <t>220185353004</t>
  </si>
  <si>
    <t>张蕙</t>
  </si>
  <si>
    <t>510184199006234160</t>
  </si>
  <si>
    <t>18280185318</t>
  </si>
  <si>
    <t>6215340302502167254</t>
  </si>
  <si>
    <t>220217189133</t>
  </si>
  <si>
    <t>梁金露</t>
  </si>
  <si>
    <t>510182199810046221</t>
  </si>
  <si>
    <t>18382196410</t>
  </si>
  <si>
    <t>6212264402063018372</t>
  </si>
  <si>
    <t>220220046214</t>
  </si>
  <si>
    <t>51102319930925468X</t>
  </si>
  <si>
    <t>15114092532</t>
  </si>
  <si>
    <t>622908433075568615</t>
  </si>
  <si>
    <t>220220046620</t>
  </si>
  <si>
    <t>513723199310108970</t>
  </si>
  <si>
    <t>13550136432</t>
  </si>
  <si>
    <t>220229277029</t>
  </si>
  <si>
    <t>刘建容</t>
  </si>
  <si>
    <t>510623198609177740</t>
  </si>
  <si>
    <t>15008273365</t>
  </si>
  <si>
    <t>220229429144</t>
  </si>
  <si>
    <t>511002199801207015</t>
  </si>
  <si>
    <t>18382160744</t>
  </si>
  <si>
    <t>220230253608</t>
  </si>
  <si>
    <t>510681199606225928</t>
  </si>
  <si>
    <t>18380146616</t>
  </si>
  <si>
    <t>220230313320</t>
  </si>
  <si>
    <t>500102200205248708</t>
  </si>
  <si>
    <t>18302818654</t>
  </si>
  <si>
    <t>220230447660</t>
  </si>
  <si>
    <t>51072220010218502X</t>
  </si>
  <si>
    <t>13688024020</t>
  </si>
  <si>
    <t>220230522661</t>
  </si>
  <si>
    <t>513002199901245547</t>
  </si>
  <si>
    <t>15008434249</t>
  </si>
  <si>
    <t>6222034402013691623</t>
  </si>
  <si>
    <t>220230564832</t>
  </si>
  <si>
    <t>510122199809088129</t>
  </si>
  <si>
    <t>13088072535</t>
  </si>
  <si>
    <t>220240001798</t>
  </si>
  <si>
    <t>王晓菲</t>
  </si>
  <si>
    <t>510107197803182963</t>
  </si>
  <si>
    <t>13608055911</t>
  </si>
  <si>
    <t>6228480468009751974</t>
  </si>
  <si>
    <t>220240069672</t>
  </si>
  <si>
    <t>谯腾飞</t>
  </si>
  <si>
    <t>511722200202071039</t>
  </si>
  <si>
    <t>19108231927</t>
  </si>
  <si>
    <t>6214851282009948</t>
  </si>
  <si>
    <t>220240105886</t>
  </si>
  <si>
    <t>李秋园</t>
  </si>
  <si>
    <t>511024200110140011</t>
  </si>
  <si>
    <t>15196720952</t>
  </si>
  <si>
    <t>6217000200014759245</t>
  </si>
  <si>
    <t>220240476698</t>
  </si>
  <si>
    <t>张友</t>
  </si>
  <si>
    <t>510722199603166251</t>
  </si>
  <si>
    <t>13881831489</t>
  </si>
  <si>
    <t>6214832841606663</t>
  </si>
  <si>
    <t>220250078745</t>
  </si>
  <si>
    <t>张娅萍</t>
  </si>
  <si>
    <t>511923200310264943</t>
  </si>
  <si>
    <t>15775742787</t>
  </si>
  <si>
    <t>220250151950</t>
  </si>
  <si>
    <t>510181199105160524</t>
  </si>
  <si>
    <t>18980767400</t>
  </si>
  <si>
    <t>220250456346</t>
  </si>
  <si>
    <t>511024198711180190</t>
  </si>
  <si>
    <t>15908157354</t>
  </si>
  <si>
    <t>220250456347</t>
  </si>
  <si>
    <t>513023198803152723</t>
  </si>
  <si>
    <t>13438325785</t>
  </si>
  <si>
    <t>220250456348</t>
  </si>
  <si>
    <t>510102196612264396</t>
  </si>
  <si>
    <t>13551286999</t>
  </si>
  <si>
    <t>220250456349</t>
  </si>
  <si>
    <t>511027197510283761</t>
  </si>
  <si>
    <t>13678041713</t>
  </si>
  <si>
    <t>220250456350</t>
  </si>
  <si>
    <t>511321199812267967</t>
  </si>
  <si>
    <t>18148174643</t>
  </si>
  <si>
    <t>220250456351</t>
  </si>
  <si>
    <t>510921199906032503</t>
  </si>
  <si>
    <t>13547771427</t>
  </si>
  <si>
    <t>220250456352</t>
  </si>
  <si>
    <t>642224199603122423</t>
  </si>
  <si>
    <t>13187079961</t>
  </si>
  <si>
    <t>220250456353</t>
  </si>
  <si>
    <t>511002199201136823</t>
  </si>
  <si>
    <t>13882032665</t>
  </si>
  <si>
    <t>220250456354</t>
  </si>
  <si>
    <t>510921199306153600</t>
  </si>
  <si>
    <t>15882238702</t>
  </si>
  <si>
    <t>220250456355</t>
  </si>
  <si>
    <t>511323198912013065</t>
  </si>
  <si>
    <t>15828623964</t>
  </si>
  <si>
    <t>220250456356</t>
  </si>
  <si>
    <t>510106200302260108</t>
  </si>
  <si>
    <t>13558626776</t>
  </si>
  <si>
    <t>220250456357</t>
  </si>
  <si>
    <t>513002199709109836</t>
  </si>
  <si>
    <t>18483683623</t>
  </si>
  <si>
    <t>220250456358</t>
  </si>
  <si>
    <t>510107198201223427</t>
  </si>
  <si>
    <t>15982073392</t>
  </si>
  <si>
    <t>220250456359</t>
  </si>
  <si>
    <t>511121197905227841</t>
  </si>
  <si>
    <t>13547826565</t>
  </si>
  <si>
    <t>220250456360</t>
  </si>
  <si>
    <t>511023197011106618</t>
  </si>
  <si>
    <t>13882080609</t>
  </si>
  <si>
    <t>220250456361</t>
  </si>
  <si>
    <t>510902198709060181</t>
  </si>
  <si>
    <t>13880689342</t>
  </si>
  <si>
    <t>220250456362</t>
  </si>
  <si>
    <t>511122197802250703</t>
  </si>
  <si>
    <t>15928575857</t>
  </si>
  <si>
    <t>220250456363</t>
  </si>
  <si>
    <t>511323199601073081</t>
  </si>
  <si>
    <t>18320013809</t>
  </si>
  <si>
    <t>220250456364</t>
  </si>
  <si>
    <t>马攀</t>
  </si>
  <si>
    <t>51132519941002591X</t>
  </si>
  <si>
    <t>13880773947</t>
  </si>
  <si>
    <t>6228480467100009472</t>
  </si>
  <si>
    <t>220250456365</t>
  </si>
  <si>
    <t>易花贞子</t>
  </si>
  <si>
    <t>510121198810081767</t>
  </si>
  <si>
    <t>13438331119</t>
  </si>
  <si>
    <t>220250456366</t>
  </si>
  <si>
    <t>毛春秀</t>
  </si>
  <si>
    <t>51102719830122898X</t>
  </si>
  <si>
    <t>13880343737</t>
  </si>
  <si>
    <t>220250456367</t>
  </si>
  <si>
    <t>500229200102063319</t>
  </si>
  <si>
    <t>18382101727</t>
  </si>
  <si>
    <t>220250456368</t>
  </si>
  <si>
    <t>510823198905075694</t>
  </si>
  <si>
    <t>18328499616</t>
  </si>
  <si>
    <t>220250456369</t>
  </si>
  <si>
    <t>511528199904021812</t>
  </si>
  <si>
    <t>17388213664</t>
  </si>
  <si>
    <t>220250456370</t>
  </si>
  <si>
    <t>舒健</t>
  </si>
  <si>
    <t>510322200009011795</t>
  </si>
  <si>
    <t>17343302658</t>
  </si>
  <si>
    <t>220250456371</t>
  </si>
  <si>
    <t>何伟</t>
  </si>
  <si>
    <t>511325199510063112</t>
  </si>
  <si>
    <t>18111107530</t>
  </si>
  <si>
    <t>220229025786</t>
  </si>
  <si>
    <t>万柳</t>
  </si>
  <si>
    <t>511725200207051116</t>
  </si>
  <si>
    <t>17683190492</t>
  </si>
  <si>
    <t>220250456372</t>
  </si>
  <si>
    <t>刘飞</t>
  </si>
  <si>
    <t>511321200211257830</t>
  </si>
  <si>
    <t>18080359834</t>
  </si>
  <si>
    <t>220250456373</t>
  </si>
  <si>
    <t>母勇</t>
  </si>
  <si>
    <t>511527198802030637</t>
  </si>
  <si>
    <t>15928846560</t>
  </si>
  <si>
    <t>220250456374</t>
  </si>
  <si>
    <t>何宇</t>
  </si>
  <si>
    <t>51132419930507027X</t>
  </si>
  <si>
    <t>13688232679</t>
  </si>
  <si>
    <t>220250456375</t>
  </si>
  <si>
    <t>511025199311163288</t>
  </si>
  <si>
    <t>15208379326</t>
  </si>
  <si>
    <t>220250456376</t>
  </si>
  <si>
    <t>510122199311213228</t>
  </si>
  <si>
    <t>15202823538</t>
  </si>
  <si>
    <t>220250456377</t>
  </si>
  <si>
    <t>51132419920718234X</t>
  </si>
  <si>
    <t>15680588202</t>
  </si>
  <si>
    <t>220250456378</t>
  </si>
  <si>
    <t>510122199608284940</t>
  </si>
  <si>
    <t>13678160795</t>
  </si>
  <si>
    <t>220250456379</t>
  </si>
  <si>
    <t>邹晓敏</t>
  </si>
  <si>
    <t>513322200203165029</t>
  </si>
  <si>
    <t>18227457195</t>
  </si>
  <si>
    <t>220250456380</t>
  </si>
  <si>
    <t>510112199112071834</t>
  </si>
  <si>
    <t>13882243353</t>
  </si>
  <si>
    <t>220250456381</t>
  </si>
  <si>
    <t>吴嘉敏</t>
  </si>
  <si>
    <t>511102200001250729</t>
  </si>
  <si>
    <t>17882353356</t>
  </si>
  <si>
    <t>220250456382</t>
  </si>
  <si>
    <t>韩柏成</t>
  </si>
  <si>
    <t>142723199303161810</t>
  </si>
  <si>
    <t>18980948882</t>
  </si>
  <si>
    <t>220250456383</t>
  </si>
  <si>
    <t>510102196609074372</t>
  </si>
  <si>
    <t>13320988589</t>
  </si>
  <si>
    <t>220250456384</t>
  </si>
  <si>
    <t>511024198710100240</t>
  </si>
  <si>
    <t>13880278779</t>
  </si>
  <si>
    <t>220240457703</t>
  </si>
  <si>
    <t>513221198911021411</t>
  </si>
  <si>
    <t>15881121301</t>
  </si>
  <si>
    <t>220250456385</t>
  </si>
  <si>
    <t>513825199504042015</t>
  </si>
  <si>
    <t>18282473476</t>
  </si>
  <si>
    <t>220250456386</t>
  </si>
  <si>
    <t>210102197503011510</t>
  </si>
  <si>
    <t>13980446905</t>
  </si>
  <si>
    <t>220250456387</t>
  </si>
  <si>
    <t>钟刘学</t>
  </si>
  <si>
    <t>510108199605143061</t>
  </si>
  <si>
    <t>18980728360</t>
  </si>
  <si>
    <t>220250456388</t>
  </si>
  <si>
    <t>511024199408070372</t>
  </si>
  <si>
    <t>13990598907</t>
  </si>
  <si>
    <t>220250456389</t>
  </si>
  <si>
    <t>510106198410312518</t>
  </si>
  <si>
    <t>13730637890</t>
  </si>
  <si>
    <t>220250456390</t>
  </si>
  <si>
    <t>510781199101251157</t>
  </si>
  <si>
    <t>18740842267</t>
  </si>
  <si>
    <t>220250456391</t>
  </si>
  <si>
    <t>511024200011132833</t>
  </si>
  <si>
    <t>19934241001</t>
  </si>
  <si>
    <t>220250456392</t>
  </si>
  <si>
    <t>511923200312115175</t>
  </si>
  <si>
    <t>18398989406</t>
  </si>
  <si>
    <t>220250456393</t>
  </si>
  <si>
    <t>510725199311127735</t>
  </si>
  <si>
    <t>19812813327</t>
  </si>
  <si>
    <t>220250456394</t>
  </si>
  <si>
    <t>51382219991027869X</t>
  </si>
  <si>
    <t>17612843604</t>
  </si>
  <si>
    <t>220250456395</t>
  </si>
  <si>
    <t>510623199203267118</t>
  </si>
  <si>
    <t>15928804703</t>
  </si>
  <si>
    <t>220250456396</t>
  </si>
  <si>
    <t>511324199709176919</t>
  </si>
  <si>
    <t>17612863787</t>
  </si>
  <si>
    <t>220250456397</t>
  </si>
  <si>
    <t>511322200012065015</t>
  </si>
  <si>
    <t>18281738551</t>
  </si>
  <si>
    <t>220250456398</t>
  </si>
  <si>
    <t>510922199607128077</t>
  </si>
  <si>
    <t>18382398927</t>
  </si>
  <si>
    <t>220250456399</t>
  </si>
  <si>
    <t>51152319940807661X</t>
  </si>
  <si>
    <t>13419295779</t>
  </si>
  <si>
    <t>220250456400</t>
  </si>
  <si>
    <t>陈俊侪</t>
  </si>
  <si>
    <t>510723200201161513</t>
  </si>
  <si>
    <t>17378487501</t>
  </si>
  <si>
    <t>220250456401</t>
  </si>
  <si>
    <t>张权</t>
  </si>
  <si>
    <t>510722199005256679</t>
  </si>
  <si>
    <t>18780101709</t>
  </si>
  <si>
    <t>220250456402</t>
  </si>
  <si>
    <t>李黎</t>
  </si>
  <si>
    <t>510104198302052373</t>
  </si>
  <si>
    <t>13880610600</t>
  </si>
  <si>
    <t>220250456403</t>
  </si>
  <si>
    <t>范轻祥</t>
  </si>
  <si>
    <t>510121198906218414</t>
  </si>
  <si>
    <t>15882144295</t>
  </si>
  <si>
    <t>220250456404</t>
  </si>
  <si>
    <t>黄鹏</t>
  </si>
  <si>
    <t>511028199102044011</t>
  </si>
  <si>
    <t>18584857727</t>
  </si>
  <si>
    <t>220250456405</t>
  </si>
  <si>
    <t>邓莉霞</t>
  </si>
  <si>
    <t>511025200106078047</t>
  </si>
  <si>
    <t>15982841507</t>
  </si>
  <si>
    <t>220250456406</t>
  </si>
  <si>
    <t>杨涛</t>
  </si>
  <si>
    <t>510722200103014812</t>
  </si>
  <si>
    <t>15523205106</t>
  </si>
  <si>
    <t>220250456407</t>
  </si>
  <si>
    <t>李森林</t>
  </si>
  <si>
    <t>511681198710054571</t>
  </si>
  <si>
    <t>13402855190</t>
  </si>
  <si>
    <t>220250456408</t>
  </si>
  <si>
    <t>沈枳休</t>
  </si>
  <si>
    <t>511024200103067952</t>
  </si>
  <si>
    <t>17378721096</t>
  </si>
  <si>
    <t>220250456409</t>
  </si>
  <si>
    <t>曹志峰</t>
  </si>
  <si>
    <t>511702200306270213</t>
  </si>
  <si>
    <t>15182851378</t>
  </si>
  <si>
    <t>220250456410</t>
  </si>
  <si>
    <t>王笃熠</t>
  </si>
  <si>
    <t>130404200401010617</t>
  </si>
  <si>
    <t>13315006835</t>
  </si>
  <si>
    <t>220250456411</t>
  </si>
  <si>
    <t>胡艺凡</t>
  </si>
  <si>
    <t>510321199311276207</t>
  </si>
  <si>
    <t>18882025189</t>
  </si>
  <si>
    <t>220250456412</t>
  </si>
  <si>
    <t>廖潇</t>
  </si>
  <si>
    <t>510112200408160030</t>
  </si>
  <si>
    <t>15902895740</t>
  </si>
  <si>
    <t>220250456413</t>
  </si>
  <si>
    <t>蒋凤梅</t>
  </si>
  <si>
    <t>511023198908172569</t>
  </si>
  <si>
    <t>13679064037</t>
  </si>
  <si>
    <t>220250456414</t>
  </si>
  <si>
    <t>吴燕</t>
  </si>
  <si>
    <t>510122198804153361</t>
  </si>
  <si>
    <t>15308060430</t>
  </si>
  <si>
    <t>220250456415</t>
  </si>
  <si>
    <t>朱倩源</t>
  </si>
  <si>
    <t>510321200404256323</t>
  </si>
  <si>
    <t>13183924508</t>
  </si>
  <si>
    <t>220250456416</t>
  </si>
  <si>
    <t>谢德</t>
  </si>
  <si>
    <t>513701198104243917</t>
  </si>
  <si>
    <t>13981941158</t>
  </si>
  <si>
    <t>220250456417</t>
  </si>
  <si>
    <t>510213198301271226</t>
  </si>
  <si>
    <t>13808027083</t>
  </si>
  <si>
    <t>220250456418</t>
  </si>
  <si>
    <t>李先军</t>
  </si>
  <si>
    <t>511023198608032679</t>
  </si>
  <si>
    <t>18109066010</t>
  </si>
  <si>
    <t>220250456419</t>
  </si>
  <si>
    <t>刘菁妍</t>
  </si>
  <si>
    <t>510108199104040021</t>
  </si>
  <si>
    <t>13550017511</t>
  </si>
  <si>
    <t>220164131169</t>
  </si>
  <si>
    <t>陈文虎</t>
  </si>
  <si>
    <t>510722199101285592</t>
  </si>
  <si>
    <t>13880723863</t>
  </si>
  <si>
    <t>2025年商务大会表彰优秀奖励</t>
  </si>
  <si>
    <t>2026年05月转介绍+二手车成交情况</t>
  </si>
  <si>
    <t>2026年5月售后全员留存奖励</t>
  </si>
  <si>
    <t>合计奖励金额</t>
  </si>
  <si>
    <t>店面</t>
  </si>
  <si>
    <t>新车销售顾问/后勤</t>
  </si>
  <si>
    <t>新车成交归口部门</t>
  </si>
  <si>
    <t>销售顾问/后勤</t>
  </si>
  <si>
    <t>售后</t>
  </si>
  <si>
    <t>超市售后</t>
  </si>
  <si>
    <r>
      <rPr>
        <b/>
        <sz val="14"/>
        <color rgb="FF000000"/>
        <rFont val="宋体"/>
        <family val="3"/>
        <charset val="134"/>
      </rPr>
      <t>05月</t>
    </r>
    <r>
      <rPr>
        <b/>
        <sz val="14"/>
        <color rgb="FF000000"/>
        <rFont val="腾祥铭宋简-W4"/>
        <charset val="134"/>
      </rPr>
      <t>合并考核表</t>
    </r>
  </si>
  <si>
    <t>配件考核</t>
  </si>
  <si>
    <t>服装代扣款</t>
  </si>
  <si>
    <t>04考核</t>
  </si>
  <si>
    <t>0月满意度考核</t>
  </si>
  <si>
    <t>发放到工资合计</t>
  </si>
  <si>
    <t>已发放并税项</t>
  </si>
  <si>
    <t>2026年05月售后管理岗位目标考核汇总表</t>
  </si>
  <si>
    <t>装饰部5月份绩效提成表</t>
  </si>
  <si>
    <t>本月返还</t>
  </si>
  <si>
    <t>本月扣款</t>
  </si>
  <si>
    <t>送车/事故车推荐</t>
  </si>
  <si>
    <t>转介绍提成/并税</t>
  </si>
  <si>
    <t>工作车救急</t>
  </si>
  <si>
    <t>400投诉响应/闭环</t>
  </si>
  <si>
    <t>400考核</t>
  </si>
  <si>
    <t>KPI目标分值</t>
  </si>
  <si>
    <r>
      <rPr>
        <sz val="10"/>
        <color rgb="FF000000"/>
        <rFont val="微软雅黑"/>
        <family val="2"/>
        <charset val="134"/>
      </rPr>
      <t>04</t>
    </r>
    <r>
      <rPr>
        <sz val="10"/>
        <color rgb="FF000000"/>
        <rFont val="腾祥铭宋简-W4"/>
        <charset val="134"/>
      </rPr>
      <t>月考核分值</t>
    </r>
  </si>
  <si>
    <t>考核系数%</t>
  </si>
  <si>
    <r>
      <rPr>
        <sz val="10"/>
        <color indexed="8"/>
        <rFont val="腾祥铭宋简-W4"/>
        <charset val="134"/>
      </rPr>
      <t>0</t>
    </r>
    <r>
      <rPr>
        <sz val="10"/>
        <color rgb="FF000000"/>
        <rFont val="Microsoft YaHei UI"/>
        <family val="2"/>
        <charset val="134"/>
      </rPr>
      <t>3</t>
    </r>
    <r>
      <rPr>
        <sz val="10"/>
        <color indexed="8"/>
        <rFont val="腾祥铭宋简-W4"/>
        <charset val="134"/>
      </rPr>
      <t>月绩效</t>
    </r>
  </si>
  <si>
    <t>BOC考核</t>
  </si>
  <si>
    <t>满意度金额</t>
  </si>
  <si>
    <t>工时</t>
  </si>
  <si>
    <t>精品类别</t>
  </si>
  <si>
    <t>月均安装台次</t>
  </si>
  <si>
    <t>销售价格</t>
  </si>
  <si>
    <t>毛利</t>
  </si>
  <si>
    <t>工时费</t>
  </si>
  <si>
    <t>总金额</t>
  </si>
  <si>
    <t xml:space="preserve">  关于2025年10月份售后400考核奖励的通知</t>
  </si>
  <si>
    <t>下护板工时</t>
  </si>
  <si>
    <t xml:space="preserve">  成都西物/成都吉利超市各部门：
       根据吉利工厂2025年4月9号下发的2025年3月400售后满意度（95.51分，高于城市目标值分0.01），客户关系部按《工厂400满意度考核方案调整通知》2023年10月18号签发版，统计得分后，现将满意度整理如下：
</t>
  </si>
  <si>
    <t>行车记录仪工时</t>
  </si>
  <si>
    <t>满意度总分</t>
  </si>
  <si>
    <t>侧踏板工时</t>
  </si>
  <si>
    <t>服务站代码</t>
  </si>
  <si>
    <t>全包围工时</t>
  </si>
  <si>
    <t>责任人</t>
  </si>
  <si>
    <t>得分</t>
  </si>
  <si>
    <t>Q3. 请对接待您的服务顾问进行评价，1-10 分，您给几分？</t>
  </si>
  <si>
    <t>Q4-1. 请问您进站的时候，是否有人主动及时接待您？</t>
  </si>
  <si>
    <t>Q4-2. 服务顾问在开单时，是否对维修/保养项目和费用向您解释清楚？</t>
  </si>
  <si>
    <t>Q4-3.请问服务结束后，服务顾问是否陪同您展示维修结果或旧件？</t>
  </si>
  <si>
    <t>Q5-2. 请问服务站是否在承诺时间内完成维修/保养？</t>
  </si>
  <si>
    <t>Q5-3. 请问您对此次维修保养所占用的时间是否满意？</t>
  </si>
  <si>
    <t>Q6-3. 您离站的时候，是否有人向您挥手礼貌送行？</t>
  </si>
  <si>
    <t>否定项小计</t>
  </si>
  <si>
    <t>否定项考核</t>
  </si>
  <si>
    <t>合计考核金额</t>
  </si>
  <si>
    <t>交车礼盒工时</t>
  </si>
  <si>
    <t>否定项数量 50/个</t>
  </si>
  <si>
    <t>儿童座椅工时</t>
  </si>
  <si>
    <t>服务顾问</t>
  </si>
  <si>
    <t>后备箱垫工时</t>
  </si>
  <si>
    <t>车衣工时</t>
  </si>
  <si>
    <t>抱枕工时</t>
  </si>
  <si>
    <t>头枕工时</t>
  </si>
  <si>
    <t>电动踏板工时</t>
  </si>
  <si>
    <t>贯穿尾灯工时</t>
  </si>
  <si>
    <t>充气床工时</t>
  </si>
  <si>
    <t>电池底护板工时</t>
  </si>
  <si>
    <t>爱车保工时</t>
  </si>
  <si>
    <t>平板脚垫工时</t>
  </si>
  <si>
    <t>LED灯工时</t>
  </si>
  <si>
    <t>软包脚垫工时（需要拆座椅）</t>
  </si>
  <si>
    <t>ETC安装费</t>
  </si>
  <si>
    <t>充放电枪工时费</t>
  </si>
  <si>
    <t>详见附表1</t>
  </si>
  <si>
    <t>扶手箱工时</t>
  </si>
  <si>
    <t>详见附表2</t>
  </si>
  <si>
    <t>牛仔行李架工时</t>
  </si>
  <si>
    <t>提成分配：</t>
  </si>
  <si>
    <t>维修班组</t>
  </si>
  <si>
    <t>5月汇总</t>
  </si>
  <si>
    <t>何奇</t>
  </si>
  <si>
    <t>王贤剑</t>
  </si>
  <si>
    <t>快修二组</t>
  </si>
  <si>
    <t>周再银</t>
  </si>
  <si>
    <t>主题词：售后满意度 奖惩 通知</t>
  </si>
  <si>
    <t>呈送：陈总</t>
  </si>
  <si>
    <t>预提工时</t>
  </si>
  <si>
    <t xml:space="preserve">主送：公司各部门                                           审核：                                                                签发：                                                                                       </t>
  </si>
  <si>
    <t>成都西物汽车有限公司</t>
  </si>
  <si>
    <t>比对</t>
  </si>
  <si>
    <t>70%-74%</t>
  </si>
  <si>
    <t>75%及以上</t>
  </si>
  <si>
    <t>70%-72%</t>
  </si>
  <si>
    <t>7%-8%</t>
  </si>
  <si>
    <t>玻璃险</t>
  </si>
  <si>
    <t>负责人考核</t>
  </si>
  <si>
    <t>+</t>
  </si>
  <si>
    <t>预存保费渗透率</t>
  </si>
  <si>
    <t>商业保险综合单笔保额</t>
  </si>
  <si>
    <t>4500以上</t>
  </si>
  <si>
    <t>4400-4499</t>
  </si>
  <si>
    <t>4400-4300以下</t>
  </si>
  <si>
    <t>4300以下</t>
  </si>
  <si>
    <t>提成标准（元/台）</t>
  </si>
  <si>
    <t>玻璃险+划痕险单数</t>
  </si>
  <si>
    <t>渗透率考核标准</t>
  </si>
  <si>
    <t>新车-新转续</t>
  </si>
  <si>
    <t>渗透率40%</t>
  </si>
  <si>
    <t>续保-续转续</t>
  </si>
  <si>
    <t>渗透率60%</t>
  </si>
  <si>
    <t>流失-新增</t>
  </si>
  <si>
    <t>渗透率标准40%</t>
  </si>
  <si>
    <t>-</t>
  </si>
  <si>
    <t>单笔金额</t>
  </si>
  <si>
    <r>
      <rPr>
        <sz val="11"/>
        <color theme="1"/>
        <rFont val="微软雅黑"/>
        <family val="2"/>
        <charset val="134"/>
      </rPr>
      <t>05</t>
    </r>
    <r>
      <rPr>
        <sz val="11"/>
        <color theme="1"/>
        <rFont val="腾祥铭宋简-W4"/>
        <charset val="134"/>
      </rPr>
      <t>月目标台次</t>
    </r>
  </si>
  <si>
    <t>实际台次</t>
  </si>
  <si>
    <t>渗透率</t>
  </si>
  <si>
    <t>渗透率考核标准-玻璃险</t>
  </si>
  <si>
    <t>座位险</t>
  </si>
  <si>
    <t>出单</t>
  </si>
  <si>
    <t>老标准计算</t>
  </si>
  <si>
    <t>5月保险外协提成</t>
  </si>
  <si>
    <t>协助人</t>
  </si>
  <si>
    <t>补贴合计</t>
  </si>
  <si>
    <t>提成合计</t>
  </si>
  <si>
    <t>时间</t>
  </si>
  <si>
    <t>车牌</t>
  </si>
  <si>
    <t>区域</t>
  </si>
  <si>
    <t>保单类型</t>
  </si>
  <si>
    <t>补贴标准</t>
  </si>
  <si>
    <t>维修金额</t>
  </si>
  <si>
    <t>产值标准</t>
  </si>
  <si>
    <t>川GQP178</t>
  </si>
  <si>
    <t>成都</t>
  </si>
  <si>
    <t>非保单</t>
  </si>
  <si>
    <t>川G8TH19</t>
  </si>
  <si>
    <t>保单</t>
  </si>
  <si>
    <t>川AH96391</t>
  </si>
  <si>
    <t>彭州</t>
  </si>
  <si>
    <t>川AB22921</t>
  </si>
  <si>
    <t>川AH12601</t>
  </si>
  <si>
    <t>川SYR758</t>
  </si>
  <si>
    <t>川AGL4999</t>
  </si>
  <si>
    <t>川A942XB</t>
  </si>
  <si>
    <t>川A9YH20</t>
  </si>
  <si>
    <t>川AEE8822</t>
  </si>
  <si>
    <t>浦江</t>
  </si>
  <si>
    <t>川AN0K05</t>
  </si>
  <si>
    <t>川A6A5V6</t>
  </si>
  <si>
    <t>川AGT5676</t>
  </si>
  <si>
    <t>川G5FS12</t>
  </si>
  <si>
    <t>川APA653</t>
  </si>
  <si>
    <t>川ABY0300</t>
  </si>
  <si>
    <t>简阳</t>
  </si>
  <si>
    <t>川A5MV17</t>
  </si>
  <si>
    <t>德阳</t>
  </si>
  <si>
    <t>川A2Q37H</t>
  </si>
  <si>
    <t>川G3FL02</t>
  </si>
  <si>
    <t>川AGZ2052</t>
  </si>
  <si>
    <t>川G3EV18</t>
  </si>
  <si>
    <t>川GTS885</t>
  </si>
  <si>
    <t>川AGR0512</t>
  </si>
  <si>
    <t>川AGW0911</t>
  </si>
  <si>
    <t>川AC25916</t>
  </si>
  <si>
    <t>川G5S001</t>
  </si>
  <si>
    <t>川AFW7952</t>
  </si>
  <si>
    <t>川A75YX5</t>
  </si>
  <si>
    <t>川AFD7410</t>
  </si>
  <si>
    <t>川AFF0468</t>
  </si>
  <si>
    <t>川GSK292</t>
  </si>
  <si>
    <t>川AC71197</t>
  </si>
  <si>
    <t>新都</t>
  </si>
  <si>
    <t>川AB06179</t>
  </si>
  <si>
    <t>赣GW6X18</t>
  </si>
  <si>
    <t>川GA8431</t>
  </si>
  <si>
    <t>川AGK5793</t>
  </si>
  <si>
    <t>川AGM6887</t>
  </si>
  <si>
    <t>川AH17937</t>
  </si>
  <si>
    <t>川GK80N7</t>
  </si>
  <si>
    <t>川AG83826</t>
  </si>
  <si>
    <t>云DMA789</t>
  </si>
  <si>
    <t>川AGK8927</t>
  </si>
  <si>
    <t>金堂</t>
  </si>
  <si>
    <t>川AU719D</t>
  </si>
  <si>
    <t>川AC76301</t>
  </si>
  <si>
    <t>川G355N6</t>
  </si>
  <si>
    <t>川AFM2087</t>
  </si>
  <si>
    <t>川KK300B</t>
  </si>
  <si>
    <t>川AA45805</t>
  </si>
  <si>
    <t>宁A740DX</t>
  </si>
  <si>
    <t>川A7740H</t>
  </si>
  <si>
    <t>川A2EH61</t>
  </si>
  <si>
    <t>新津</t>
  </si>
  <si>
    <t>川GA959U</t>
  </si>
  <si>
    <t>川GM16P2</t>
  </si>
  <si>
    <t>川LPP766</t>
  </si>
  <si>
    <t>川AGY2795</t>
  </si>
  <si>
    <t>川A3VQ35</t>
  </si>
  <si>
    <t>川G9P5Z9</t>
  </si>
  <si>
    <t>川AGT6225</t>
  </si>
  <si>
    <t>川AGA6614</t>
  </si>
  <si>
    <t>彭山</t>
  </si>
  <si>
    <t>川GCB283</t>
  </si>
  <si>
    <t>川AGT5015</t>
  </si>
  <si>
    <t>川GC7C99</t>
  </si>
  <si>
    <t>川AGF2691</t>
  </si>
  <si>
    <t>川AGU0992</t>
  </si>
  <si>
    <t>川GL0J98</t>
  </si>
  <si>
    <t>川F01JJ5</t>
  </si>
  <si>
    <t>川AFM7539</t>
  </si>
  <si>
    <t>川G131E7</t>
  </si>
  <si>
    <t>川ACW2381</t>
  </si>
  <si>
    <t>川AAB9246</t>
  </si>
  <si>
    <t>都江堰</t>
  </si>
  <si>
    <t>川AGS5151</t>
  </si>
  <si>
    <t>川AD15126</t>
  </si>
  <si>
    <t>龙泉</t>
  </si>
  <si>
    <t>川GQS916</t>
  </si>
  <si>
    <t>邛崃</t>
  </si>
  <si>
    <t>川GZL121</t>
  </si>
  <si>
    <t>青白江</t>
  </si>
  <si>
    <t>苏UY7865</t>
  </si>
  <si>
    <t>川AC66925</t>
  </si>
  <si>
    <t>川ACH3458</t>
  </si>
  <si>
    <t>川AGT6613</t>
  </si>
  <si>
    <t>川AGE0318</t>
  </si>
  <si>
    <t>川A7C5E3</t>
  </si>
  <si>
    <t>川G056B6</t>
  </si>
  <si>
    <t>川AG53637</t>
  </si>
  <si>
    <t>川G7K7Z6</t>
  </si>
  <si>
    <t>川A71LE8</t>
  </si>
  <si>
    <t>川GU5Z59</t>
  </si>
  <si>
    <t>川AC86770</t>
  </si>
  <si>
    <t>苏BFE7616</t>
  </si>
  <si>
    <t>川AFW8173</t>
  </si>
  <si>
    <t>川ABQ6984</t>
  </si>
  <si>
    <t>川GD1C92</t>
  </si>
  <si>
    <t>川GC21N6</t>
  </si>
  <si>
    <t>川H1023S</t>
  </si>
  <si>
    <t>川AF65703</t>
  </si>
  <si>
    <t>川AS25V0</t>
  </si>
  <si>
    <t>川ACN0105</t>
  </si>
  <si>
    <t>川GPJ810</t>
  </si>
  <si>
    <t>川ACR6059</t>
  </si>
  <si>
    <t>川A0B2V2</t>
  </si>
  <si>
    <t>川ACK8684</t>
  </si>
  <si>
    <t>川GL1Q83</t>
  </si>
  <si>
    <t>川AGK5276</t>
  </si>
  <si>
    <t>川ACR3720</t>
  </si>
  <si>
    <t>川A4ZK08</t>
  </si>
  <si>
    <t>川G8M8A8</t>
  </si>
  <si>
    <t>川A31N9S</t>
  </si>
  <si>
    <t>川AGH8091</t>
  </si>
  <si>
    <t>川A36D3Q</t>
  </si>
  <si>
    <t>川AH96675</t>
  </si>
  <si>
    <t>川G6J8L2</t>
  </si>
  <si>
    <t>川ACR2152</t>
  </si>
  <si>
    <t>川GH128H</t>
  </si>
  <si>
    <t>川G8KE32</t>
  </si>
  <si>
    <t>川ACB6982</t>
  </si>
  <si>
    <t>川A0JE27</t>
  </si>
  <si>
    <t>川ADE9545</t>
  </si>
  <si>
    <t>川ABH6703</t>
  </si>
  <si>
    <t>川GVE756</t>
  </si>
  <si>
    <t>川AV82P8</t>
  </si>
  <si>
    <t>川B4T044</t>
  </si>
  <si>
    <t>川AE78366</t>
  </si>
  <si>
    <t>眉山</t>
  </si>
  <si>
    <t>川AGJ1220</t>
  </si>
  <si>
    <t>川AAZ1296</t>
  </si>
  <si>
    <t>川AQ82Z2</t>
  </si>
  <si>
    <t>川G4TM18</t>
  </si>
  <si>
    <t>川A68Y3M</t>
  </si>
  <si>
    <t>川AC42424</t>
  </si>
  <si>
    <t>川AGQ7977</t>
  </si>
  <si>
    <t>川G0S1U1</t>
  </si>
  <si>
    <t>川G9D238</t>
  </si>
  <si>
    <t>川AB52287</t>
  </si>
  <si>
    <t>川AE85568</t>
  </si>
  <si>
    <t>双流</t>
  </si>
  <si>
    <t>川A702LS</t>
  </si>
  <si>
    <t>川A07VY1</t>
  </si>
  <si>
    <t>匹配外拓明细</t>
  </si>
  <si>
    <t>川G1TH25</t>
  </si>
  <si>
    <t>LB37852Z8RS012307</t>
  </si>
  <si>
    <t>川GFT428</t>
  </si>
  <si>
    <t>LB37852Z3RS102464</t>
  </si>
  <si>
    <t>川AGD6352</t>
  </si>
  <si>
    <t>LB378LCZ0RB192160</t>
  </si>
  <si>
    <t>川A23CS8</t>
  </si>
  <si>
    <t>LB37622Z9KX426239</t>
  </si>
  <si>
    <t>川A227CR</t>
  </si>
  <si>
    <t>LB37852Z9SS122661</t>
  </si>
  <si>
    <t>川AH13167</t>
  </si>
  <si>
    <t>LB3781NZ8SH156902</t>
  </si>
  <si>
    <t>川AW65N6</t>
  </si>
  <si>
    <t>LB37852Z8SS269666</t>
  </si>
  <si>
    <t>川G9D1J6</t>
  </si>
  <si>
    <t>LB37822Z1SB086155</t>
  </si>
  <si>
    <t>川GVQ213</t>
  </si>
  <si>
    <t>LB37622Z3PX639209</t>
  </si>
  <si>
    <t>皖B1879B</t>
  </si>
  <si>
    <t>LB37852Z5RS263284</t>
  </si>
  <si>
    <t>川GL7416</t>
  </si>
  <si>
    <t>LB37852D3SS062073</t>
  </si>
  <si>
    <t>川AM550N</t>
  </si>
  <si>
    <t>LB37742Z2NB003643</t>
  </si>
  <si>
    <t>川GV2788</t>
  </si>
  <si>
    <t>L6T7924Z9SD153529</t>
  </si>
  <si>
    <t>川G9B0E6</t>
  </si>
  <si>
    <t>LB37852Z7RS289238</t>
  </si>
  <si>
    <t>川GY6F25</t>
  </si>
  <si>
    <t>L6T7622Z0RV010503</t>
  </si>
  <si>
    <t>川ACR7711</t>
  </si>
  <si>
    <t>LB375GNN2SX744373</t>
  </si>
  <si>
    <t>川ACW1128</t>
  </si>
  <si>
    <t>LB375HNN4SX158263</t>
  </si>
  <si>
    <t>川ACA5706</t>
  </si>
  <si>
    <t>L6T75MNN0SF358051</t>
  </si>
  <si>
    <t>川AM96T7</t>
  </si>
  <si>
    <t>LB37852Z2SS187206</t>
  </si>
  <si>
    <t>川G004T4</t>
  </si>
  <si>
    <t>L6T7622Z0SV018378</t>
  </si>
  <si>
    <t>川GJ939W</t>
  </si>
  <si>
    <t>LB37822ZXSB207426</t>
  </si>
  <si>
    <t>川GV6311</t>
  </si>
  <si>
    <t>LB37852Z9SS228169</t>
  </si>
  <si>
    <t>川AGN6282</t>
  </si>
  <si>
    <t>L6T79BAZ7SV357521</t>
  </si>
  <si>
    <t>川AEJ2590</t>
  </si>
  <si>
    <t>L6T75MNN6TF355124</t>
  </si>
  <si>
    <t>川AGP5066</t>
  </si>
  <si>
    <t>L6T79BAZ9SV367631</t>
  </si>
  <si>
    <t>川ACK0293</t>
  </si>
  <si>
    <t>L6T78CNW5SY083372</t>
  </si>
  <si>
    <t>川AGF4628</t>
  </si>
  <si>
    <t>人寿</t>
  </si>
  <si>
    <t>LB378JNZ4SH051791</t>
  </si>
  <si>
    <t>川G12028</t>
  </si>
  <si>
    <t>LB37822Z7PB082666</t>
  </si>
  <si>
    <t>川AH11187</t>
  </si>
  <si>
    <t>金川县</t>
  </si>
  <si>
    <t>LB378JRZ1SH105915</t>
  </si>
  <si>
    <t>川ABV2008</t>
  </si>
  <si>
    <t>L6T79P4N8RV342476</t>
  </si>
  <si>
    <t>川AJ995J</t>
  </si>
  <si>
    <t>遂宁</t>
  </si>
  <si>
    <t>LB37852Z5TS033770</t>
  </si>
  <si>
    <t>川AB25U7</t>
  </si>
  <si>
    <t>预估1200</t>
  </si>
  <si>
    <t>LB37852Z2TS054849</t>
  </si>
  <si>
    <t>川GS3135</t>
  </si>
  <si>
    <t>预估1500</t>
  </si>
  <si>
    <t>LB37852Z4SS293902</t>
  </si>
  <si>
    <t>川G2G6E3</t>
  </si>
  <si>
    <t>预估17000</t>
  </si>
  <si>
    <t>LB37852D9SS224997</t>
  </si>
  <si>
    <t>甘D77Z18</t>
  </si>
  <si>
    <t>金牛</t>
  </si>
  <si>
    <t>预估2000</t>
  </si>
  <si>
    <t>L6T7722Z0NF003617</t>
  </si>
  <si>
    <t>川G1FT69</t>
  </si>
  <si>
    <t>LB37822Z1NB071885</t>
  </si>
  <si>
    <t>川ACA3521</t>
  </si>
  <si>
    <t>预估20000</t>
  </si>
  <si>
    <t>L6T79NEE5SV220165</t>
  </si>
  <si>
    <t>川G2KA99</t>
  </si>
  <si>
    <t>预估25000</t>
  </si>
  <si>
    <t>LB37824ZXPG111402</t>
  </si>
  <si>
    <t>川GK13L3</t>
  </si>
  <si>
    <t>L6T7924Z7SD121629</t>
  </si>
  <si>
    <t>川AGP6350</t>
  </si>
  <si>
    <t>预估3000</t>
  </si>
  <si>
    <t>L6T791RZ4SY101124</t>
  </si>
  <si>
    <t>川GN29P8</t>
  </si>
  <si>
    <t>预估30000</t>
  </si>
  <si>
    <t>LB37852Z7SS035549</t>
  </si>
  <si>
    <t>川A50G6B</t>
  </si>
  <si>
    <t>预估4000</t>
  </si>
  <si>
    <t>LB37824S3MH052315</t>
  </si>
  <si>
    <t>川G748B9</t>
  </si>
  <si>
    <t>预估40000</t>
  </si>
  <si>
    <t>LB37822Z2RB206216</t>
  </si>
  <si>
    <t>川ABZ5329</t>
  </si>
  <si>
    <t>预估6000</t>
  </si>
  <si>
    <t>L6T75MNN6SF364100</t>
  </si>
  <si>
    <t>川M259B1</t>
  </si>
  <si>
    <t>川F5L7W0</t>
  </si>
  <si>
    <t>川AEC6935</t>
  </si>
  <si>
    <t>2026年5月外拓事故车统计表</t>
  </si>
  <si>
    <t xml:space="preserve">                               2026年5月事故车统计表                 公司：西物吉利超市</t>
  </si>
  <si>
    <t>外拓产值</t>
  </si>
  <si>
    <t>外拓专员</t>
  </si>
  <si>
    <t>5月总外拓产值</t>
  </si>
  <si>
    <t>返点金额</t>
  </si>
  <si>
    <t>外拓提成产值</t>
  </si>
  <si>
    <t>进店日期</t>
  </si>
  <si>
    <t>主车</t>
  </si>
  <si>
    <t>三者车</t>
  </si>
  <si>
    <t>总维修金额</t>
  </si>
  <si>
    <t>系统结算金额（元）</t>
  </si>
  <si>
    <t>保险佣金额</t>
  </si>
  <si>
    <t>实际提成金额</t>
  </si>
  <si>
    <t>完工时间</t>
  </si>
  <si>
    <t>对接人</t>
  </si>
  <si>
    <t>除税佣金</t>
  </si>
  <si>
    <t>车辆来源</t>
  </si>
  <si>
    <t>川ADN7653</t>
  </si>
  <si>
    <t>LB3752CW9NA301059</t>
  </si>
  <si>
    <t>人保标的</t>
  </si>
  <si>
    <t>返客户</t>
  </si>
  <si>
    <t>川AB82639</t>
  </si>
  <si>
    <t>LB370ADN4RJ124926</t>
  </si>
  <si>
    <t>人保三者</t>
  </si>
  <si>
    <t>客户不票</t>
  </si>
  <si>
    <t>川F05JX1</t>
  </si>
  <si>
    <t>LB37742S5JC069031</t>
  </si>
  <si>
    <t>平安标的</t>
  </si>
  <si>
    <t>建国邱</t>
  </si>
  <si>
    <t>川AGX3066</t>
  </si>
  <si>
    <t>L6T79BAZ5SV373457</t>
  </si>
  <si>
    <t>锦泰三者</t>
  </si>
  <si>
    <t>渠道</t>
  </si>
  <si>
    <t>合计：</t>
  </si>
  <si>
    <t>川AXA206</t>
  </si>
  <si>
    <t>LB37622ZXLX604984</t>
  </si>
  <si>
    <t>客户1500建国邱</t>
  </si>
  <si>
    <t>粤S00L5P</t>
  </si>
  <si>
    <t>L6T7854Z8ND080159</t>
  </si>
  <si>
    <t>平安人保三者</t>
  </si>
  <si>
    <t>华丁</t>
  </si>
  <si>
    <t>外协提成</t>
  </si>
  <si>
    <t>外协专员</t>
  </si>
  <si>
    <t>协助量</t>
  </si>
  <si>
    <t>补贴金额</t>
  </si>
  <si>
    <t>合计提成金额</t>
  </si>
  <si>
    <t>川ACU9853</t>
  </si>
  <si>
    <t>L6T78CNW3SY173586</t>
  </si>
  <si>
    <t>平安三者</t>
  </si>
  <si>
    <t>川AAK9088</t>
  </si>
  <si>
    <t>LB378U4W3NA172480</t>
  </si>
  <si>
    <t>太平三者</t>
  </si>
  <si>
    <t>客户9渠道1</t>
  </si>
  <si>
    <t>川ACU2361</t>
  </si>
  <si>
    <t>L6T78CNW7SY192142</t>
  </si>
  <si>
    <t>龙艳</t>
  </si>
  <si>
    <t>川G2KG02</t>
  </si>
  <si>
    <t>LB37852Z0PS138724</t>
  </si>
  <si>
    <t>紫金三者</t>
  </si>
  <si>
    <t>卿</t>
  </si>
  <si>
    <t>川ADN3334</t>
  </si>
  <si>
    <t>LB378U4W3MA122712</t>
  </si>
  <si>
    <t>张鱼</t>
  </si>
  <si>
    <t>川G8M494</t>
  </si>
  <si>
    <t>LB37712ZXGC343375</t>
  </si>
  <si>
    <t>客户</t>
  </si>
  <si>
    <t>川ACP8013</t>
  </si>
  <si>
    <t>L6T75MNN4TF318461</t>
  </si>
  <si>
    <t>国任三者</t>
  </si>
  <si>
    <t>刘</t>
  </si>
  <si>
    <t>核对：</t>
  </si>
  <si>
    <t>川UD88776</t>
  </si>
  <si>
    <t>LA71CU834S0155236</t>
  </si>
  <si>
    <t>中银标的</t>
  </si>
  <si>
    <t>悦星行</t>
  </si>
  <si>
    <t>川A6RR78</t>
  </si>
  <si>
    <t>LB37852Z1NS028729</t>
  </si>
  <si>
    <t>川GP2X23</t>
  </si>
  <si>
    <t>L6T7854Z0PD073662</t>
  </si>
  <si>
    <t>成彭钱</t>
  </si>
  <si>
    <t>外拓总产值</t>
  </si>
  <si>
    <t>外拓提成金额</t>
  </si>
  <si>
    <t>基本已发</t>
  </si>
  <si>
    <t>实际提成</t>
  </si>
  <si>
    <t>预留金额</t>
  </si>
  <si>
    <t>川GV9337</t>
  </si>
  <si>
    <t>L6T7924Z8SD128928</t>
  </si>
  <si>
    <t>事故理赔曾客户</t>
  </si>
  <si>
    <t>川HB9255</t>
  </si>
  <si>
    <t>LB37852Z2SS267816</t>
  </si>
  <si>
    <t>川AQ149U</t>
  </si>
  <si>
    <t>L6T7822Z2KY014812</t>
  </si>
  <si>
    <t>代</t>
  </si>
  <si>
    <t>川GFY150</t>
  </si>
  <si>
    <t>LB37622ZXRX917395</t>
  </si>
  <si>
    <t>人保平安三者</t>
  </si>
  <si>
    <t>送修杨</t>
  </si>
  <si>
    <t>川AG80388</t>
  </si>
  <si>
    <t>LB378LEZ8PH032390</t>
  </si>
  <si>
    <t>中华标的</t>
  </si>
  <si>
    <t>川AA37669</t>
  </si>
  <si>
    <t>LB378U4W3NA125112</t>
  </si>
  <si>
    <t>送修金额</t>
  </si>
  <si>
    <t>川GCD543</t>
  </si>
  <si>
    <t>LB37852Z9RS256032</t>
  </si>
  <si>
    <t>A杯水</t>
  </si>
  <si>
    <t>川G0H6V6</t>
  </si>
  <si>
    <t>L6T7854Z4MD080495</t>
  </si>
  <si>
    <t>贾</t>
  </si>
  <si>
    <t>川A432H2</t>
  </si>
  <si>
    <t>LB37852Z0MS057444</t>
  </si>
  <si>
    <t>川AGQ2004</t>
  </si>
  <si>
    <t>L6T79CAD5SV393380</t>
  </si>
  <si>
    <t>川GC0W73</t>
  </si>
  <si>
    <t>LB37822Z2PB078945</t>
  </si>
  <si>
    <t>华安三者</t>
  </si>
  <si>
    <t>川AG94305</t>
  </si>
  <si>
    <t>L6T791RZ9SU025956</t>
  </si>
  <si>
    <t>中华三者</t>
  </si>
  <si>
    <t>川G08M95</t>
  </si>
  <si>
    <t>L6T7924Z3TD006978</t>
  </si>
  <si>
    <t>苏EG02266</t>
  </si>
  <si>
    <t>LB378LCZ1RB089197</t>
  </si>
  <si>
    <t>川GPH562</t>
  </si>
  <si>
    <t>LB37852Z1SS165097</t>
  </si>
  <si>
    <t>蒙KH070Y</t>
  </si>
  <si>
    <t>LB37822Z4TB026999</t>
  </si>
  <si>
    <t>客户9飞飞1</t>
  </si>
  <si>
    <t>川GE9U53</t>
  </si>
  <si>
    <t>L6T7942ZXNY026459</t>
  </si>
  <si>
    <t>川AH58893</t>
  </si>
  <si>
    <t>L6T791RZ5SV338884</t>
  </si>
  <si>
    <t>川GA756G</t>
  </si>
  <si>
    <t>LB37822Z3SB118250</t>
  </si>
  <si>
    <t>西门渠</t>
  </si>
  <si>
    <t>川G19F42</t>
  </si>
  <si>
    <t>L6T7854Z7ND123986</t>
  </si>
  <si>
    <t>大立</t>
  </si>
  <si>
    <t>川V00F59</t>
  </si>
  <si>
    <t>L6T7852Z1KD004040</t>
  </si>
  <si>
    <t>神州三者</t>
  </si>
  <si>
    <t>华阳刘</t>
  </si>
  <si>
    <t>川AFP7930</t>
  </si>
  <si>
    <t>LB378LCZ0PB115219</t>
  </si>
  <si>
    <t>外拓考核</t>
  </si>
  <si>
    <t>保单现场到达率</t>
  </si>
  <si>
    <t>事故留修率70%</t>
  </si>
  <si>
    <t>川A7900M</t>
  </si>
  <si>
    <t>LB37822Z7PB002847</t>
  </si>
  <si>
    <t>不考核</t>
  </si>
  <si>
    <t>川G7K385</t>
  </si>
  <si>
    <t>LB37522Z0LL009197</t>
  </si>
  <si>
    <t>川AGL7518</t>
  </si>
  <si>
    <t>L6T791RZ6SV304677</t>
  </si>
  <si>
    <t>川AFY2042</t>
  </si>
  <si>
    <t>LB378LCZ7RB118170</t>
  </si>
  <si>
    <t>川GF8C17</t>
  </si>
  <si>
    <t>L6T7852Z3LD013971</t>
  </si>
  <si>
    <t>川B591ET</t>
  </si>
  <si>
    <t>L6T7824S0GN093230</t>
  </si>
  <si>
    <t>太平标的</t>
  </si>
  <si>
    <t>川GL7923</t>
  </si>
  <si>
    <t>L6T7824Z7RD200201</t>
  </si>
  <si>
    <t>人保平安同责</t>
  </si>
  <si>
    <t>川HH0531</t>
  </si>
  <si>
    <t>L6T7854Z3MD052414</t>
  </si>
  <si>
    <t>华泰三者</t>
  </si>
  <si>
    <t>湘L9YF85</t>
  </si>
  <si>
    <t>LB37742Z0LB029137</t>
  </si>
  <si>
    <t>川XR756C</t>
  </si>
  <si>
    <t>LB37824ZXSG156915</t>
  </si>
  <si>
    <t>川JG1585</t>
  </si>
  <si>
    <t>LB37622Z5LX636788</t>
  </si>
  <si>
    <t>川Z9163W</t>
  </si>
  <si>
    <t>L6T7854Z4ND049006</t>
  </si>
  <si>
    <t>川AFT1208</t>
  </si>
  <si>
    <t>LB378LCZ3PB097640</t>
  </si>
  <si>
    <t>富邦三者</t>
  </si>
  <si>
    <t>川GH4T29</t>
  </si>
  <si>
    <t>LB37822Z8PB004588</t>
  </si>
  <si>
    <t>川G6LW08</t>
  </si>
  <si>
    <t>L6T7854Z5PD059952</t>
  </si>
  <si>
    <t>川A1H0D2</t>
  </si>
  <si>
    <t>L6T7824Z8RD047571</t>
  </si>
  <si>
    <t>阳光</t>
  </si>
  <si>
    <t>是</t>
  </si>
  <si>
    <t>川H66919</t>
  </si>
  <si>
    <t>L6T7742Z7NU028358</t>
  </si>
  <si>
    <t>人保</t>
  </si>
  <si>
    <t>川AFG3944</t>
  </si>
  <si>
    <t>LB378LEZ2RH015555</t>
  </si>
  <si>
    <t>贵AG56E7</t>
  </si>
  <si>
    <t>L6T7854Z1ND045883</t>
  </si>
  <si>
    <t>川G68R44</t>
  </si>
  <si>
    <t>LB37852Z0SS042665</t>
  </si>
  <si>
    <t>平安</t>
  </si>
  <si>
    <t>川G4GY65</t>
  </si>
  <si>
    <t>L6T7622Z5NV027159</t>
  </si>
  <si>
    <t>川AVW686</t>
  </si>
  <si>
    <t>L6T7824Z8KW176971</t>
  </si>
  <si>
    <t>川A755CJ</t>
  </si>
  <si>
    <t>LB37852Z4RS161345</t>
  </si>
  <si>
    <t>川AFS5712</t>
  </si>
  <si>
    <t>LB378LCZ5PB097610</t>
  </si>
  <si>
    <t>川GFR671</t>
  </si>
  <si>
    <t>L6T7824Z8RD133964</t>
  </si>
  <si>
    <t>川AA77362</t>
  </si>
  <si>
    <t>LB375HNN3RX401345</t>
  </si>
  <si>
    <t>川A843RF</t>
  </si>
  <si>
    <t>L6T7824S2KN037623</t>
  </si>
  <si>
    <t>川ADZ3355</t>
  </si>
  <si>
    <t>LB378U4W8NA128197</t>
  </si>
  <si>
    <t>川AA19151</t>
  </si>
  <si>
    <t>L6T78CNW0RY093981</t>
  </si>
  <si>
    <t>川AGW8652</t>
  </si>
  <si>
    <t>L6T791RZ4SV662005</t>
  </si>
  <si>
    <t>川A3F207</t>
  </si>
  <si>
    <t>LB37852Z6RS250513</t>
  </si>
  <si>
    <t>川ABR5796</t>
  </si>
  <si>
    <t>L6T78CNW9RY041958</t>
  </si>
  <si>
    <t>川A593QB</t>
  </si>
  <si>
    <t>LB37822Z0SB156082</t>
  </si>
  <si>
    <t>川G4KP94</t>
  </si>
  <si>
    <t>LB37622S1PX710054</t>
  </si>
  <si>
    <t>大家</t>
  </si>
  <si>
    <t>2026年5月接送车明细</t>
  </si>
  <si>
    <t>日期</t>
  </si>
  <si>
    <t>接送地址</t>
  </si>
  <si>
    <t>协助接送人员</t>
  </si>
  <si>
    <t>川GL4999</t>
  </si>
  <si>
    <t>川AFM2992</t>
  </si>
  <si>
    <t>中江</t>
  </si>
  <si>
    <t>苏BFE616</t>
  </si>
  <si>
    <t>川AD66580</t>
  </si>
  <si>
    <t>川ACB6985</t>
  </si>
  <si>
    <t>川AQW303</t>
  </si>
  <si>
    <t>川GM32V2</t>
  </si>
  <si>
    <t>2026年05月武侯站各保险公司送返修分析</t>
  </si>
  <si>
    <t>武侯站</t>
  </si>
  <si>
    <t>总送修信息量</t>
  </si>
  <si>
    <t>总送修信息回厂量</t>
  </si>
  <si>
    <t>总送修信息回厂率</t>
  </si>
  <si>
    <t>其中无效信息量</t>
  </si>
  <si>
    <t>其中无效信息占比</t>
  </si>
  <si>
    <t>送修有效信息回厂率</t>
  </si>
  <si>
    <t>有效信息战败量</t>
  </si>
  <si>
    <t>有效信息战败率</t>
  </si>
  <si>
    <t>战败原因分析</t>
  </si>
  <si>
    <t>总返修信息量</t>
  </si>
  <si>
    <t>总返修信息回厂量</t>
  </si>
  <si>
    <t>总返修信息回厂率</t>
  </si>
  <si>
    <t>返修有效信息回厂率</t>
  </si>
  <si>
    <t>提升方案</t>
  </si>
  <si>
    <t>考核办法</t>
  </si>
  <si>
    <t>中国人保保险</t>
  </si>
  <si>
    <t>中国平安保险</t>
  </si>
  <si>
    <t>中华保险</t>
  </si>
  <si>
    <t>太平保险</t>
  </si>
  <si>
    <t>国寿保险</t>
  </si>
  <si>
    <t>天安保险</t>
  </si>
  <si>
    <t>大家保险</t>
  </si>
  <si>
    <t>永安保险</t>
  </si>
  <si>
    <t>制表人：</t>
  </si>
  <si>
    <t>制表时间：</t>
  </si>
  <si>
    <t>注：无效信息：修理厂报案、其它4S店报案、客户撤案、本车无损只修三者</t>
  </si>
  <si>
    <t>战败分析中对战败原因达到5%的共性问题必须进行分析和描述，对原因达到8%的共性问题必须做出提升方案、措施和考核办法。</t>
  </si>
  <si>
    <t>留修专员05月提成</t>
  </si>
  <si>
    <t>留修信息量</t>
  </si>
  <si>
    <t>返修信息量</t>
  </si>
  <si>
    <t>送修信息量</t>
  </si>
  <si>
    <t>合计信息量</t>
  </si>
  <si>
    <t>线索量提成</t>
  </si>
  <si>
    <t>大事故补贴</t>
  </si>
  <si>
    <t>合计提成</t>
  </si>
  <si>
    <t>最终提成</t>
  </si>
  <si>
    <t>本月发放</t>
  </si>
  <si>
    <t>5月考核：</t>
  </si>
  <si>
    <t>项目</t>
  </si>
  <si>
    <t>2月保单留修率</t>
  </si>
  <si>
    <t>免考核</t>
  </si>
  <si>
    <t>2月送修留修率</t>
  </si>
  <si>
    <t>保单留修率</t>
  </si>
  <si>
    <t>目标：70%</t>
  </si>
  <si>
    <t>X&lt;70%，每下降1%，绩效考核2%</t>
  </si>
  <si>
    <t>送修留修率</t>
  </si>
  <si>
    <t>目标：35%</t>
  </si>
  <si>
    <t>X&lt;35%，每下降1%，绩效考核2%</t>
  </si>
  <si>
    <t>2026年02月救急汇总表</t>
  </si>
  <si>
    <t>救急人员</t>
  </si>
  <si>
    <t>奖励金额</t>
  </si>
  <si>
    <t>2026年02月救急车登记表</t>
  </si>
  <si>
    <t>2026年02月救急车汇总表</t>
  </si>
  <si>
    <t>7：00-19:00</t>
  </si>
  <si>
    <t>出车日期</t>
  </si>
  <si>
    <t>出车时间</t>
  </si>
  <si>
    <t>到达时间</t>
  </si>
  <si>
    <t>车主电话</t>
  </si>
  <si>
    <t>救急地址</t>
  </si>
  <si>
    <t>维修技师</t>
  </si>
  <si>
    <t>救急次数</t>
  </si>
  <si>
    <t>川A5X2C3</t>
  </si>
  <si>
    <t>青羊</t>
  </si>
  <si>
    <t>川BFG7788</t>
  </si>
  <si>
    <t>金花</t>
  </si>
  <si>
    <t>推荐人姓名</t>
  </si>
  <si>
    <t>推荐时间</t>
  </si>
  <si>
    <t>电话</t>
  </si>
  <si>
    <t>是否到店</t>
  </si>
  <si>
    <t>到店时间</t>
  </si>
  <si>
    <t>推荐人</t>
  </si>
  <si>
    <t>推荐量</t>
  </si>
  <si>
    <t>到货通知时间</t>
  </si>
  <si>
    <t>配件编码</t>
  </si>
  <si>
    <t>缺件名称</t>
  </si>
  <si>
    <t>订货数量</t>
  </si>
  <si>
    <t>成本价</t>
  </si>
  <si>
    <t>业务员</t>
  </si>
  <si>
    <t>川A9A65L</t>
  </si>
  <si>
    <t>1014014592</t>
  </si>
  <si>
    <t>内防尘罩修理包(GX7)</t>
  </si>
  <si>
    <t>川A5UE09</t>
  </si>
  <si>
    <t>1014027707</t>
  </si>
  <si>
    <t>前减振器上支座总成（远景X6）</t>
  </si>
  <si>
    <t>鲜帝虎</t>
  </si>
  <si>
    <t>周在银</t>
  </si>
  <si>
    <t>川A52P7D</t>
  </si>
  <si>
    <t>5060005000</t>
  </si>
  <si>
    <t>行李舱门气弹簧总成(KC-1A)</t>
  </si>
  <si>
    <t>川AVG571</t>
  </si>
  <si>
    <t>101801066851</t>
  </si>
  <si>
    <t>右前车门玻璃导槽（远景X6）</t>
  </si>
  <si>
    <t>川ZRH830</t>
  </si>
  <si>
    <t>1017034149</t>
  </si>
  <si>
    <t>内置天线(GNSS)（FE-3AC、FE-4KA）</t>
  </si>
  <si>
    <t>李小刚</t>
  </si>
  <si>
    <t>川A92413</t>
  </si>
  <si>
    <t>7045011000</t>
  </si>
  <si>
    <t>右后门玻璃升降器控制开关带面板总成(FE-7、高配）</t>
  </si>
  <si>
    <t>库别</t>
  </si>
  <si>
    <t>工号</t>
  </si>
  <si>
    <t>出库日期</t>
  </si>
  <si>
    <t>审核</t>
  </si>
  <si>
    <t>出库单号</t>
  </si>
  <si>
    <t>配件号</t>
  </si>
  <si>
    <t>配件名称</t>
  </si>
  <si>
    <t>单位</t>
  </si>
  <si>
    <t>出库单价</t>
  </si>
  <si>
    <t>出库价税金额</t>
  </si>
  <si>
    <t>实际出库金额</t>
  </si>
  <si>
    <t>出库类型</t>
  </si>
  <si>
    <t>收款类型</t>
  </si>
  <si>
    <t>材料类型</t>
  </si>
  <si>
    <t>结算时间</t>
  </si>
  <si>
    <t>VIN号</t>
  </si>
  <si>
    <t>车型</t>
  </si>
  <si>
    <t>规格</t>
  </si>
  <si>
    <t>仓位</t>
  </si>
  <si>
    <t>发料人</t>
  </si>
  <si>
    <t>领料人</t>
  </si>
  <si>
    <t>出库去税金额</t>
  </si>
  <si>
    <t>实际出库去税金额</t>
  </si>
  <si>
    <t>税率(%)</t>
  </si>
  <si>
    <t>出库税金</t>
  </si>
  <si>
    <t>维修类型</t>
  </si>
  <si>
    <t>维修类别</t>
  </si>
  <si>
    <t>折扣部门</t>
  </si>
  <si>
    <t>折扣原因</t>
  </si>
  <si>
    <t>折扣金额</t>
  </si>
  <si>
    <t>进价</t>
  </si>
  <si>
    <t>成本去税金额</t>
  </si>
  <si>
    <t>成本税金</t>
  </si>
  <si>
    <t>成本价税金额</t>
  </si>
  <si>
    <t>出库毛利(不含税)</t>
  </si>
  <si>
    <t>制单人</t>
  </si>
  <si>
    <t>适用车型</t>
  </si>
  <si>
    <t>一级</t>
  </si>
  <si>
    <t>二级</t>
  </si>
  <si>
    <t>三级</t>
  </si>
  <si>
    <t>标准一级</t>
  </si>
  <si>
    <t>标准二级</t>
  </si>
  <si>
    <t>标准三级</t>
  </si>
  <si>
    <t>标准四级</t>
  </si>
  <si>
    <t>配件类型</t>
  </si>
  <si>
    <t>配件信息备注</t>
  </si>
  <si>
    <t>单位名称</t>
  </si>
  <si>
    <t>入库时间</t>
  </si>
  <si>
    <t>供货商</t>
  </si>
  <si>
    <t>单据备注</t>
  </si>
  <si>
    <t>收款单号</t>
  </si>
  <si>
    <t>单位编号</t>
  </si>
  <si>
    <t>油漆库</t>
  </si>
  <si>
    <t>True</t>
  </si>
  <si>
    <t>YQCK25000637</t>
  </si>
  <si>
    <t>4114588350</t>
  </si>
  <si>
    <t>GL-VL100通用清漆（清漆）</t>
  </si>
  <si>
    <t xml:space="preserve">车间辅料出库                  </t>
  </si>
  <si>
    <t>领用</t>
  </si>
  <si>
    <t>YQCK</t>
  </si>
  <si>
    <t>通用油漆</t>
  </si>
  <si>
    <t>其他类</t>
  </si>
  <si>
    <t>WXBZ18000003</t>
  </si>
  <si>
    <t>基础库</t>
  </si>
  <si>
    <t>JCKCK25002048</t>
  </si>
  <si>
    <t>889885252</t>
  </si>
  <si>
    <t>冷却液（冰点-40℃）（龙蟠科技</t>
  </si>
  <si>
    <t>AA16-09</t>
  </si>
  <si>
    <t>李俊璠</t>
  </si>
  <si>
    <t>事故机电</t>
  </si>
  <si>
    <t>通用辅料件</t>
  </si>
  <si>
    <t>保养快流件</t>
  </si>
  <si>
    <t>川A756XS     川LTE957</t>
  </si>
  <si>
    <t>WXBZ20000002</t>
  </si>
  <si>
    <t>4134000102</t>
  </si>
  <si>
    <t>冷媒（罐装R134a、300g、金冷）</t>
  </si>
  <si>
    <t>AA16-04</t>
  </si>
  <si>
    <t>通用保养件</t>
  </si>
  <si>
    <t>辅料库</t>
  </si>
  <si>
    <t>FLKCK25000473</t>
  </si>
  <si>
    <t>B000075</t>
  </si>
  <si>
    <t>千叶片.砂布片</t>
  </si>
  <si>
    <t>张</t>
  </si>
  <si>
    <t>F24</t>
  </si>
  <si>
    <t>钣金2组</t>
  </si>
  <si>
    <t>WXBZ11000008</t>
  </si>
  <si>
    <t>B100807</t>
  </si>
  <si>
    <t>切割片</t>
  </si>
  <si>
    <t>B000118</t>
  </si>
  <si>
    <t>各种铁丝</t>
  </si>
  <si>
    <t>斤</t>
  </si>
  <si>
    <t>FLCK</t>
  </si>
  <si>
    <t>B000115</t>
  </si>
  <si>
    <t>CO2保护焊丝</t>
  </si>
  <si>
    <t>盒</t>
  </si>
  <si>
    <t>FLKCK25000474</t>
  </si>
  <si>
    <t>B000163</t>
  </si>
  <si>
    <t>各种电池</t>
  </si>
  <si>
    <t>个</t>
  </si>
  <si>
    <t>车间办公室</t>
  </si>
  <si>
    <t>WXBZ11000012</t>
  </si>
  <si>
    <t>JCKCK25002196</t>
  </si>
  <si>
    <t>肖伦荣</t>
  </si>
  <si>
    <t>YQCK25000638</t>
  </si>
  <si>
    <t>4114870507</t>
  </si>
  <si>
    <t>6寸干磨砂17孔/P600</t>
  </si>
  <si>
    <t>SA13-01</t>
  </si>
  <si>
    <t>4114870505</t>
  </si>
  <si>
    <t>6寸干磨砂17孔/P400</t>
  </si>
  <si>
    <t>C000052</t>
  </si>
  <si>
    <t>稀释剂-稀释剂</t>
  </si>
  <si>
    <t>桶</t>
  </si>
  <si>
    <t>FLKCK25000475</t>
  </si>
  <si>
    <t>A111421</t>
  </si>
  <si>
    <t>标签</t>
  </si>
  <si>
    <t>WXBZ11000010</t>
  </si>
  <si>
    <t>FLKCK25000476</t>
  </si>
  <si>
    <t>A12145</t>
  </si>
  <si>
    <t>衣服(夏装）</t>
  </si>
  <si>
    <t>河北玖叁陆车辆用品有限公司</t>
  </si>
  <si>
    <t>FLKCK25000477</t>
  </si>
  <si>
    <t>B10083</t>
  </si>
  <si>
    <t>带垫螺丝</t>
  </si>
  <si>
    <t>B10015</t>
  </si>
  <si>
    <t>自攻丝</t>
  </si>
  <si>
    <t>B000071</t>
  </si>
  <si>
    <t>各种螺丝及垫片</t>
  </si>
  <si>
    <t>FL-DLT001</t>
  </si>
  <si>
    <t>电洛铁</t>
  </si>
  <si>
    <t>JCKCK25002549</t>
  </si>
  <si>
    <t>川AFB8632</t>
  </si>
  <si>
    <t>JCKCK25002772</t>
  </si>
  <si>
    <t>川A20PE9    川VD1815</t>
  </si>
  <si>
    <t>YQCK25000639</t>
  </si>
  <si>
    <t>4114588390</t>
  </si>
  <si>
    <t>GL-VL110快干干剂（固化剂）</t>
  </si>
  <si>
    <t>4114588420</t>
  </si>
  <si>
    <t>GL-AM103快干稀释剂（稀释剂及其</t>
  </si>
  <si>
    <t>AS00001198</t>
  </si>
  <si>
    <t>油漆辅料-油漆（GEP-PP11塑料件?</t>
  </si>
  <si>
    <t>AS00001200</t>
  </si>
  <si>
    <t>油漆辅料-油漆（GEP-D41除油清洁</t>
  </si>
  <si>
    <t>4114870547</t>
  </si>
  <si>
    <t>纸600MM*200M</t>
  </si>
  <si>
    <t>JCKCK25002971</t>
  </si>
  <si>
    <t>197A2</t>
  </si>
  <si>
    <t>YQCK25000640</t>
  </si>
  <si>
    <t>4114588340</t>
  </si>
  <si>
    <t>GL-PL400中涂漆（灰色）（中涂漆</t>
  </si>
  <si>
    <t>411473161</t>
  </si>
  <si>
    <t>GE-G1钣金灰（原子灰）</t>
  </si>
  <si>
    <t>FLKCK25000481</t>
  </si>
  <si>
    <t>A001949</t>
  </si>
  <si>
    <t>钣金胶</t>
  </si>
  <si>
    <t>只</t>
  </si>
  <si>
    <t>FL-001</t>
  </si>
  <si>
    <t>扎带</t>
  </si>
  <si>
    <t>包</t>
  </si>
  <si>
    <t>YQCK25000641</t>
  </si>
  <si>
    <t>4114870503</t>
  </si>
  <si>
    <t>6寸干磨砂17孔/P240</t>
  </si>
  <si>
    <t>4114870502</t>
  </si>
  <si>
    <t>6寸干磨砂17孔/P180</t>
  </si>
  <si>
    <t>FLKCK25000482</t>
  </si>
  <si>
    <t>GB91</t>
  </si>
  <si>
    <t>开口销</t>
  </si>
  <si>
    <t>B10082</t>
  </si>
  <si>
    <t>小铆钉</t>
  </si>
  <si>
    <t>JCKCK25003536</t>
  </si>
  <si>
    <t>川A3434Y    川GUR928</t>
  </si>
  <si>
    <t>冷却液（冰点-40℃）（龙蟠科技?</t>
  </si>
  <si>
    <t>JCKCK25003956</t>
  </si>
  <si>
    <t>YQCK25000642</t>
  </si>
  <si>
    <t>4114870548</t>
  </si>
  <si>
    <t>整车膜3.8M*100M</t>
  </si>
  <si>
    <t>4114870549</t>
  </si>
  <si>
    <t>遮蔽胶带18mm*50m</t>
  </si>
  <si>
    <t>4114588430</t>
  </si>
  <si>
    <t>GL-AM003通用稀释剂（稀释剂及其</t>
  </si>
  <si>
    <t>YQCK25000643</t>
  </si>
  <si>
    <t>C000063</t>
  </si>
  <si>
    <t>速干水-速干水</t>
  </si>
  <si>
    <t>L</t>
  </si>
  <si>
    <t>C000114</t>
  </si>
  <si>
    <t>辅料类-3M过滤棉</t>
  </si>
  <si>
    <t>4114870021</t>
  </si>
  <si>
    <t>6085A蜡</t>
  </si>
  <si>
    <t>瓶</t>
  </si>
  <si>
    <t>C000049</t>
  </si>
  <si>
    <t>除油剂-除油剂</t>
  </si>
  <si>
    <t>C000124587</t>
  </si>
  <si>
    <t>自喷底漆1</t>
  </si>
  <si>
    <t>C000166</t>
  </si>
  <si>
    <t>砂纸类-3M砂纸</t>
  </si>
  <si>
    <t>C000109</t>
  </si>
  <si>
    <t>辅料类-3M防毒面具</t>
  </si>
  <si>
    <t>YQCK25000644</t>
  </si>
  <si>
    <t>4114870156</t>
  </si>
  <si>
    <t>海棉砂纸1200#</t>
  </si>
  <si>
    <t>C000011222</t>
  </si>
  <si>
    <t>3M5723抛光盘</t>
  </si>
  <si>
    <t>对</t>
  </si>
  <si>
    <t>YQCK25000645</t>
  </si>
  <si>
    <t>C000001026</t>
  </si>
  <si>
    <t>海棉砂600#</t>
  </si>
  <si>
    <t>件</t>
  </si>
  <si>
    <t>C00000025</t>
  </si>
  <si>
    <t>色漆类-TMK洗手膏</t>
  </si>
  <si>
    <t>支</t>
  </si>
  <si>
    <t>YQCK25000646</t>
  </si>
  <si>
    <t>YQCK25000647</t>
  </si>
  <si>
    <t>C000132</t>
  </si>
  <si>
    <t>色漆类-TMK-香槟色</t>
  </si>
  <si>
    <t>YQCK25000648</t>
  </si>
  <si>
    <t>C000134</t>
  </si>
  <si>
    <t>色漆类-TMK-黑珍珠</t>
  </si>
  <si>
    <t>FB24</t>
  </si>
  <si>
    <t>YQCK25000649</t>
  </si>
  <si>
    <t>YQCK25000650</t>
  </si>
  <si>
    <t>YQCK25000651</t>
  </si>
  <si>
    <t>YQCK25000652</t>
  </si>
  <si>
    <t>YQCK25000653</t>
  </si>
  <si>
    <t>YQCK25000654</t>
  </si>
  <si>
    <t>YQCK25000655</t>
  </si>
  <si>
    <t>YQCK25000656</t>
  </si>
  <si>
    <t>YQCK25000657</t>
  </si>
  <si>
    <t>YQCK25000658</t>
  </si>
  <si>
    <t>YQCK25000659</t>
  </si>
  <si>
    <t>YQCK25000660</t>
  </si>
  <si>
    <t>YQCK25000661</t>
  </si>
  <si>
    <t>YQCK25000662</t>
  </si>
  <si>
    <t>YQCK25000663</t>
  </si>
  <si>
    <t>YQCK25000664</t>
  </si>
  <si>
    <t>YQCK25000665</t>
  </si>
  <si>
    <t>YQCK25000666</t>
  </si>
  <si>
    <t>YQCK25000667</t>
  </si>
  <si>
    <t>JCKCK25004201</t>
  </si>
  <si>
    <t>李俊璠领</t>
  </si>
  <si>
    <t>JCKCK25004202</t>
  </si>
  <si>
    <t>川AD17993   李俊璠领</t>
  </si>
  <si>
    <t>JCKCK25004203</t>
  </si>
  <si>
    <t>川FD9J29  邓尚明领</t>
  </si>
  <si>
    <t>YQCK25000668</t>
  </si>
  <si>
    <t>YQCK25000669</t>
  </si>
  <si>
    <t>YQCK25000670</t>
  </si>
  <si>
    <t>YQCK25000671</t>
  </si>
  <si>
    <t>JCKCK25004275</t>
  </si>
  <si>
    <t>FLKCK25000500</t>
  </si>
  <si>
    <t>B000125</t>
  </si>
  <si>
    <t>铁撮箕（铲子）</t>
  </si>
  <si>
    <t>JCKCK25004411</t>
  </si>
  <si>
    <t>川GN55D3</t>
  </si>
  <si>
    <t>JCKCK25004462</t>
  </si>
  <si>
    <t>9025002800</t>
  </si>
  <si>
    <t>防冻液-冷却液（德联）（1.5TD)?</t>
  </si>
  <si>
    <t>AA26-01</t>
  </si>
  <si>
    <t>博瑞GE-KC-2</t>
  </si>
  <si>
    <t>邓尚明  领</t>
  </si>
  <si>
    <t>JCKCK25004463</t>
  </si>
  <si>
    <t>川AQ97P3</t>
  </si>
  <si>
    <t>JCKCK25004464</t>
  </si>
  <si>
    <t>JCKCK25004465</t>
  </si>
  <si>
    <t>李俊璠  领</t>
  </si>
  <si>
    <t>JCKCK25004526</t>
  </si>
  <si>
    <t>川A7KB33</t>
  </si>
  <si>
    <t>JCKCK25004576</t>
  </si>
  <si>
    <t>川GD1R83</t>
  </si>
  <si>
    <t>JCKCK25004824</t>
  </si>
  <si>
    <t>邓尚明 领</t>
  </si>
  <si>
    <t>FLKCK25000507</t>
  </si>
  <si>
    <t>JND</t>
  </si>
  <si>
    <t>LED节能灯</t>
  </si>
  <si>
    <t>车间照明领用</t>
  </si>
  <si>
    <t>FLKCK25000508</t>
  </si>
  <si>
    <t>B10086009</t>
  </si>
  <si>
    <t>热胶棒</t>
  </si>
  <si>
    <t>YQCK25000674</t>
  </si>
  <si>
    <t>JCKCK25004943</t>
  </si>
  <si>
    <t>3718</t>
  </si>
  <si>
    <t>JCKCK25005112</t>
  </si>
  <si>
    <t>川ABT2675</t>
  </si>
  <si>
    <t>JCKCK25005195</t>
  </si>
  <si>
    <t>川AAW8718</t>
  </si>
  <si>
    <t>YQCK25000677</t>
  </si>
  <si>
    <t>4114588330</t>
  </si>
  <si>
    <t>GL-998合金原子灰（原子灰）</t>
  </si>
  <si>
    <t>YQCK25000678</t>
  </si>
  <si>
    <t>1234560</t>
  </si>
  <si>
    <t>辅料类-喷漆服</t>
  </si>
  <si>
    <t>YQCK25000679</t>
  </si>
  <si>
    <t>YQCK25000680</t>
  </si>
  <si>
    <t>YQCK25000690</t>
  </si>
  <si>
    <t>4114730102</t>
  </si>
  <si>
    <t>星越L灰银</t>
  </si>
  <si>
    <t>4114730106</t>
  </si>
  <si>
    <t>雷神白珍珠</t>
  </si>
  <si>
    <t>4114730265</t>
  </si>
  <si>
    <t>星越L白底</t>
  </si>
  <si>
    <t>YQCK25000691</t>
  </si>
  <si>
    <t>YQCK25000692</t>
  </si>
  <si>
    <t>YQCK25000693</t>
  </si>
  <si>
    <t>YQCK25000681</t>
  </si>
  <si>
    <t>C000000235</t>
  </si>
  <si>
    <t>海棉球</t>
  </si>
  <si>
    <t>YQCK25000682</t>
  </si>
  <si>
    <t>YQCK25000683</t>
  </si>
  <si>
    <t>YQCK25000684</t>
  </si>
  <si>
    <t>YQCK25000685</t>
  </si>
  <si>
    <t>YQCK25000686</t>
  </si>
  <si>
    <t>YQCK25000687</t>
  </si>
  <si>
    <t>YQCK25000688</t>
  </si>
  <si>
    <t>机电12组</t>
  </si>
  <si>
    <t>WXBZ17000010</t>
  </si>
  <si>
    <t>YQCK25000689</t>
  </si>
  <si>
    <t>YQCK25000694</t>
  </si>
  <si>
    <t>YQCK25000695</t>
  </si>
  <si>
    <t>YQCK25000696</t>
  </si>
  <si>
    <t>YQCK25000697</t>
  </si>
  <si>
    <t>YQCK25000698</t>
  </si>
  <si>
    <t>YQCK25000699</t>
  </si>
  <si>
    <t>YQCK25000700</t>
  </si>
  <si>
    <t>YQCK25000701</t>
  </si>
  <si>
    <t>YQCK25000702</t>
  </si>
  <si>
    <t>YQCK25000703</t>
  </si>
  <si>
    <t>YQCK25000704</t>
  </si>
  <si>
    <t>YQCK25000705</t>
  </si>
  <si>
    <t>FLKCK25000513</t>
  </si>
  <si>
    <t>TMJ123</t>
  </si>
  <si>
    <t>透明胶带</t>
  </si>
  <si>
    <t>AA22-05</t>
  </si>
  <si>
    <t>B000025</t>
  </si>
  <si>
    <t>万能清洗剂</t>
  </si>
  <si>
    <t>重庆神马锐创电子科技有限公司</t>
  </si>
  <si>
    <t>FLKCK25000514</t>
  </si>
  <si>
    <t>FL-0020</t>
  </si>
  <si>
    <t>小扎带</t>
  </si>
  <si>
    <t>WXBZ21000007</t>
  </si>
  <si>
    <t>B000066</t>
  </si>
  <si>
    <t>刀片</t>
  </si>
  <si>
    <t>B000033</t>
  </si>
  <si>
    <t>502胶水</t>
  </si>
  <si>
    <t>FL11-01</t>
  </si>
  <si>
    <t>B000092</t>
  </si>
  <si>
    <t>红双面胶（宽）</t>
  </si>
  <si>
    <t>圈</t>
  </si>
  <si>
    <t>FLKCK25000515</t>
  </si>
  <si>
    <t>B000144</t>
  </si>
  <si>
    <t>泡沫双面胶</t>
  </si>
  <si>
    <t>C000065</t>
  </si>
  <si>
    <t>五件套（以100套为单位）</t>
  </si>
  <si>
    <t>套</t>
  </si>
  <si>
    <t>容城县兴盛纸塑料包装厂</t>
  </si>
  <si>
    <t>B000083</t>
  </si>
  <si>
    <t>绝缘胶带</t>
  </si>
  <si>
    <t>FLKCK25000516</t>
  </si>
  <si>
    <t>YQJHB</t>
  </si>
  <si>
    <t>记号笔</t>
  </si>
  <si>
    <t>保险部领用</t>
  </si>
  <si>
    <t>YQCK25000706</t>
  </si>
  <si>
    <t>FLKCK25000517</t>
  </si>
  <si>
    <t>5076</t>
  </si>
  <si>
    <t>化清剂</t>
  </si>
  <si>
    <t>JPCK</t>
  </si>
  <si>
    <t>FLKCK25000518</t>
  </si>
  <si>
    <t>FLKCK25000519</t>
  </si>
  <si>
    <t>FLKCK25000521</t>
  </si>
  <si>
    <t>吴俊杰</t>
  </si>
  <si>
    <t>快修1组</t>
  </si>
  <si>
    <t>WXBZ11000002</t>
  </si>
  <si>
    <t>JQ690E82</t>
  </si>
  <si>
    <t>装饰扣</t>
  </si>
  <si>
    <t>AA12</t>
  </si>
  <si>
    <t>金刚LG-1</t>
  </si>
  <si>
    <t>B000084</t>
  </si>
  <si>
    <t>砂纸</t>
  </si>
  <si>
    <t>B000065</t>
  </si>
  <si>
    <t>辅料类-生料带</t>
  </si>
  <si>
    <t>FL-003</t>
  </si>
  <si>
    <t>粘铅块</t>
  </si>
  <si>
    <t>条</t>
  </si>
  <si>
    <t>B000027</t>
  </si>
  <si>
    <t>AB胶</t>
  </si>
  <si>
    <t>FLKCK25000520</t>
  </si>
  <si>
    <t>机电10组</t>
  </si>
  <si>
    <t>WXBZ17000004</t>
  </si>
  <si>
    <t>FLKCK25000522</t>
  </si>
  <si>
    <t>机电8组</t>
  </si>
  <si>
    <t>WXBZ17000001</t>
  </si>
  <si>
    <t>FLKCK25000523</t>
  </si>
  <si>
    <t>机电6组</t>
  </si>
  <si>
    <t>WXBZ11000006</t>
  </si>
  <si>
    <t>FLKCK25000524</t>
  </si>
  <si>
    <t>机修5组</t>
  </si>
  <si>
    <t>WXBZ11000005</t>
  </si>
  <si>
    <t>FLKCK25000525</t>
  </si>
  <si>
    <t>机修4组</t>
  </si>
  <si>
    <t>WXBZ11000004</t>
  </si>
  <si>
    <t>YQCK25000707</t>
  </si>
  <si>
    <t>YQCK25000708</t>
  </si>
  <si>
    <t>FLKCK25000526</t>
  </si>
  <si>
    <t>机修3组</t>
  </si>
  <si>
    <t>WXBZ11000003</t>
  </si>
  <si>
    <t>FLKCK25000527</t>
  </si>
  <si>
    <t>机修2组</t>
  </si>
  <si>
    <t>FLKCK25000528</t>
  </si>
  <si>
    <t>机修1组</t>
  </si>
  <si>
    <t>WXBZ11000001</t>
  </si>
  <si>
    <t>FLKCK25000529</t>
  </si>
  <si>
    <t>B000019</t>
  </si>
  <si>
    <t>松锈剂</t>
  </si>
  <si>
    <t>AA26-03</t>
  </si>
  <si>
    <t>FLKCK25000530</t>
  </si>
  <si>
    <t>B000068</t>
  </si>
  <si>
    <t>毛刷</t>
  </si>
  <si>
    <t>SPQ</t>
  </si>
  <si>
    <t>手喷漆</t>
  </si>
  <si>
    <t>FLKCK25000531</t>
  </si>
  <si>
    <t>YQCK25000711</t>
  </si>
  <si>
    <t>YQCK25000712</t>
  </si>
  <si>
    <t>4114870500</t>
  </si>
  <si>
    <t>6寸干磨砂17孔/P80</t>
  </si>
  <si>
    <t>YQCK25000709</t>
  </si>
  <si>
    <t>YQCK25000710</t>
  </si>
  <si>
    <t>YQCK25000713</t>
  </si>
  <si>
    <t>4114588380</t>
  </si>
  <si>
    <t>GL-PL410中涂快干干剂（固化剂）</t>
  </si>
  <si>
    <t>4114730282</t>
  </si>
  <si>
    <t>清漆类-通用清漆</t>
  </si>
  <si>
    <t>F24-11</t>
  </si>
  <si>
    <t>油漆库/机场</t>
  </si>
  <si>
    <t>JCYQCK25000021</t>
  </si>
  <si>
    <t>JCLBPFL009</t>
  </si>
  <si>
    <t>膨胀螺丝</t>
  </si>
  <si>
    <t>成都顺弘聚科技有限公司（钣喷）</t>
  </si>
  <si>
    <t>2025.9钣喷中心油漆辅料出库</t>
  </si>
  <si>
    <t>WXBZ24000003</t>
  </si>
  <si>
    <t>辅料库/机场</t>
  </si>
  <si>
    <t>JCFLCK25000059</t>
  </si>
  <si>
    <t>JCBP024</t>
  </si>
  <si>
    <t>多功能扎带</t>
  </si>
  <si>
    <t>蓉信达商贸有限公司（钣喷）</t>
  </si>
  <si>
    <t>钣喷中心辅料</t>
  </si>
  <si>
    <t>JCDBPFL001</t>
  </si>
  <si>
    <t>海绵砂（干磨砂）钣喷</t>
  </si>
  <si>
    <t>JCLBPFL001</t>
  </si>
  <si>
    <t>牌照框扣</t>
  </si>
  <si>
    <t>JCLBPFL002</t>
  </si>
  <si>
    <t>多功能补片(钣喷）</t>
  </si>
  <si>
    <t>JCLBPFL003</t>
  </si>
  <si>
    <t>硫化剂(钣喷）</t>
  </si>
  <si>
    <t>JCLBPFL004</t>
  </si>
  <si>
    <t>铆钉(钣喷）</t>
  </si>
  <si>
    <t>JCLBPFL005</t>
  </si>
  <si>
    <t>自攻丝垫片(钣喷）</t>
  </si>
  <si>
    <t>JCLBPFL008</t>
  </si>
  <si>
    <t>大绑带</t>
  </si>
  <si>
    <t>JCYQCK25000020</t>
  </si>
  <si>
    <t>JCBP001</t>
  </si>
  <si>
    <t>金属漆（钣喷）</t>
  </si>
  <si>
    <t>四川省桦达汽车服务有限公司（钣喷）</t>
  </si>
  <si>
    <t>JCBP002</t>
  </si>
  <si>
    <t>清漆（钣喷）</t>
  </si>
  <si>
    <t>JCBP012</t>
  </si>
  <si>
    <t>香蕉水（钣喷）</t>
  </si>
  <si>
    <t>JCBP014</t>
  </si>
  <si>
    <t>钣金灰（钣喷）</t>
  </si>
  <si>
    <t>JCBP020</t>
  </si>
  <si>
    <t>钣金灰固化剂</t>
  </si>
  <si>
    <t>JCBP022</t>
  </si>
  <si>
    <t>纸胶带</t>
  </si>
  <si>
    <t>JCBP029</t>
  </si>
  <si>
    <t>国标环保固化剂</t>
  </si>
  <si>
    <t>JCBP036</t>
  </si>
  <si>
    <t>美容水砂纸</t>
  </si>
  <si>
    <t>SSQBP</t>
  </si>
  <si>
    <t>素色漆(钣喷）</t>
  </si>
  <si>
    <t>JCBP005</t>
  </si>
  <si>
    <t>塑料底漆（钣喷）</t>
  </si>
  <si>
    <t>JCBP028</t>
  </si>
  <si>
    <t>猎王小方海绵砂P1200-P1500#【米</t>
  </si>
  <si>
    <t>JCBP032</t>
  </si>
  <si>
    <t>环保清漆</t>
  </si>
  <si>
    <t>JCBP037</t>
  </si>
  <si>
    <t>快干稀释剂</t>
  </si>
  <si>
    <t>JCKCK25005793</t>
  </si>
  <si>
    <t>6608381652</t>
  </si>
  <si>
    <t>DOT4制动液（HN404、1L、与40602</t>
  </si>
  <si>
    <t>AA15-09</t>
  </si>
  <si>
    <t>银河E8-E171</t>
  </si>
  <si>
    <t>养护库</t>
  </si>
  <si>
    <t>JCYHCK25002502</t>
  </si>
  <si>
    <t>AP1401</t>
  </si>
  <si>
    <t>空调室内杀菌除臭剂</t>
  </si>
  <si>
    <t>通用养护品</t>
  </si>
  <si>
    <t>养护类</t>
  </si>
  <si>
    <t>四川汇鹏兴成汽车服务有限公司</t>
  </si>
  <si>
    <t>WXBZ25000005</t>
  </si>
  <si>
    <t>JCYHCK25002564</t>
  </si>
  <si>
    <t>JCYHCK25002611</t>
  </si>
  <si>
    <t>WXBZ25000006</t>
  </si>
  <si>
    <t>JCYHCK25002638</t>
  </si>
  <si>
    <t>JCFLCK25000120</t>
  </si>
  <si>
    <t>机场店机修1</t>
  </si>
  <si>
    <t>BM25003003</t>
  </si>
  <si>
    <t>JCJCCK25004854</t>
  </si>
  <si>
    <t>4114720142</t>
  </si>
  <si>
    <t>滤清器扳手(1.8T)</t>
  </si>
  <si>
    <t>厂家配车间工具</t>
  </si>
  <si>
    <t>JCFLCK25000118</t>
  </si>
  <si>
    <t>JCFLCK25000119</t>
  </si>
  <si>
    <t>成都吉利汽车超市连锁有限公司</t>
  </si>
  <si>
    <t>前台领用</t>
  </si>
  <si>
    <t>JCJCCK25005074</t>
  </si>
  <si>
    <t>7010064500</t>
  </si>
  <si>
    <t>GLDS许可证</t>
  </si>
  <si>
    <t>通用精品件</t>
  </si>
  <si>
    <t>新开通两个账号</t>
  </si>
  <si>
    <t>JCFLCK25000124</t>
  </si>
  <si>
    <t>A002184</t>
  </si>
  <si>
    <t>衣服（冬装）</t>
  </si>
  <si>
    <t>机场店机修3</t>
  </si>
  <si>
    <t>班组领用</t>
  </si>
  <si>
    <t>WXBZ25000003</t>
  </si>
  <si>
    <t>JCFLCK25000125</t>
  </si>
  <si>
    <t>FXSD</t>
  </si>
  <si>
    <t>防汛沙袋</t>
  </si>
  <si>
    <t>刘志宏</t>
  </si>
  <si>
    <t>JCFLCK25000126</t>
  </si>
  <si>
    <t>钣喷中心领</t>
  </si>
  <si>
    <t>JCJCCK25005553</t>
  </si>
  <si>
    <t>检测仪续费</t>
  </si>
  <si>
    <t>JCYQCK25000005</t>
  </si>
  <si>
    <t>钣喷油漆辅料</t>
  </si>
  <si>
    <t>JCFLCK25000129</t>
  </si>
  <si>
    <t>4114870322</t>
  </si>
  <si>
    <t>AVM平台化360影像标定布</t>
  </si>
  <si>
    <t>AF44-08</t>
  </si>
  <si>
    <t>工具设备</t>
  </si>
  <si>
    <t>JCFLCK25000130</t>
  </si>
  <si>
    <t xml:space="preserve">车间辅料出库退库              </t>
  </si>
  <si>
    <t>20565单据退库</t>
  </si>
  <si>
    <t xml:space="preserve">                  </t>
  </si>
  <si>
    <t>JCJCCK25005755</t>
  </si>
  <si>
    <t>JCFLCK25000131</t>
  </si>
  <si>
    <t>4214120061</t>
  </si>
  <si>
    <t>配件盒（新图标）（590*300*200</t>
  </si>
  <si>
    <t>安排仓位</t>
  </si>
  <si>
    <t>WXBZ25000004</t>
  </si>
  <si>
    <t>JCFLCK25000132</t>
  </si>
  <si>
    <t>JCFLCK25000133</t>
  </si>
  <si>
    <r>
      <rPr>
        <sz val="9"/>
        <color indexed="8"/>
        <rFont val="宋体"/>
        <family val="3"/>
        <charset val="134"/>
      </rPr>
      <t>项</t>
    </r>
    <r>
      <rPr>
        <sz val="9"/>
        <color indexed="8"/>
        <rFont val="Times New Roman"/>
        <family val="1"/>
      </rPr>
      <t xml:space="preserve">  </t>
    </r>
    <r>
      <rPr>
        <sz val="9"/>
        <color indexed="8"/>
        <rFont val="宋体"/>
        <family val="3"/>
        <charset val="134"/>
      </rPr>
      <t>目</t>
    </r>
  </si>
  <si>
    <r>
      <rPr>
        <sz val="9"/>
        <color indexed="8"/>
        <rFont val="宋体"/>
        <family val="3"/>
        <charset val="134"/>
      </rPr>
      <t>业务（维修、保险）产值</t>
    </r>
    <r>
      <rPr>
        <sz val="9"/>
        <color indexed="8"/>
        <rFont val="Times New Roman"/>
        <family val="1"/>
      </rPr>
      <t>-</t>
    </r>
    <r>
      <rPr>
        <sz val="9"/>
        <color indexed="8"/>
        <rFont val="宋体"/>
        <family val="3"/>
        <charset val="134"/>
      </rPr>
      <t>α</t>
    </r>
  </si>
  <si>
    <r>
      <rPr>
        <sz val="9"/>
        <color indexed="8"/>
        <rFont val="宋体"/>
        <family val="3"/>
        <charset val="134"/>
      </rPr>
      <t>养护</t>
    </r>
    <r>
      <rPr>
        <sz val="9"/>
        <color indexed="8"/>
        <rFont val="Times New Roman"/>
        <family val="1"/>
      </rPr>
      <t>/</t>
    </r>
    <r>
      <rPr>
        <sz val="9"/>
        <color indexed="8"/>
        <rFont val="宋体"/>
        <family val="3"/>
        <charset val="134"/>
      </rPr>
      <t>精品产值</t>
    </r>
    <r>
      <rPr>
        <sz val="9"/>
        <color indexed="8"/>
        <rFont val="Times New Roman"/>
        <family val="1"/>
      </rPr>
      <t>-</t>
    </r>
    <r>
      <rPr>
        <sz val="9"/>
        <color indexed="8"/>
        <rFont val="宋体"/>
        <family val="3"/>
        <charset val="134"/>
      </rPr>
      <t>β</t>
    </r>
  </si>
  <si>
    <t>考核完成率</t>
  </si>
  <si>
    <t>分段</t>
  </si>
  <si>
    <t>产值绩效</t>
  </si>
  <si>
    <r>
      <rPr>
        <sz val="9"/>
        <color indexed="8"/>
        <rFont val="Times New Roman"/>
        <family val="1"/>
      </rPr>
      <t>0</t>
    </r>
    <r>
      <rPr>
        <sz val="9"/>
        <color indexed="8"/>
        <rFont val="宋体"/>
        <family val="3"/>
        <charset val="134"/>
      </rPr>
      <t>≤α＜</t>
    </r>
    <r>
      <rPr>
        <sz val="9"/>
        <color indexed="8"/>
        <rFont val="Times New Roman"/>
        <family val="1"/>
      </rPr>
      <t>85%</t>
    </r>
  </si>
  <si>
    <r>
      <rPr>
        <sz val="9"/>
        <color indexed="8"/>
        <rFont val="Times New Roman"/>
        <family val="1"/>
      </rPr>
      <t>0</t>
    </r>
    <r>
      <rPr>
        <sz val="9"/>
        <color indexed="8"/>
        <rFont val="宋体"/>
        <family val="3"/>
        <charset val="134"/>
      </rPr>
      <t>≤β＜</t>
    </r>
    <r>
      <rPr>
        <sz val="9"/>
        <color indexed="8"/>
        <rFont val="Times New Roman"/>
        <family val="1"/>
      </rPr>
      <t>85%</t>
    </r>
  </si>
  <si>
    <r>
      <rPr>
        <sz val="9"/>
        <color indexed="8"/>
        <rFont val="Times New Roman"/>
        <family val="1"/>
      </rPr>
      <t>85%</t>
    </r>
    <r>
      <rPr>
        <sz val="9"/>
        <color indexed="8"/>
        <rFont val="宋体"/>
        <family val="3"/>
        <charset val="134"/>
      </rPr>
      <t>≤α＜</t>
    </r>
    <r>
      <rPr>
        <sz val="9"/>
        <color indexed="8"/>
        <rFont val="Times New Roman"/>
        <family val="1"/>
      </rPr>
      <t>100%</t>
    </r>
  </si>
  <si>
    <r>
      <rPr>
        <sz val="9"/>
        <color indexed="8"/>
        <rFont val="Times New Roman"/>
        <family val="1"/>
      </rPr>
      <t>85%</t>
    </r>
    <r>
      <rPr>
        <sz val="9"/>
        <color indexed="8"/>
        <rFont val="宋体"/>
        <family val="3"/>
        <charset val="134"/>
      </rPr>
      <t>≤β＜</t>
    </r>
    <r>
      <rPr>
        <sz val="9"/>
        <color indexed="8"/>
        <rFont val="Times New Roman"/>
        <family val="1"/>
      </rPr>
      <t>100%</t>
    </r>
  </si>
  <si>
    <r>
      <rPr>
        <sz val="9"/>
        <color indexed="8"/>
        <rFont val="宋体"/>
        <family val="3"/>
        <charset val="134"/>
      </rPr>
      <t>α≥</t>
    </r>
    <r>
      <rPr>
        <sz val="9"/>
        <color indexed="8"/>
        <rFont val="Times New Roman"/>
        <family val="1"/>
      </rPr>
      <t>100%</t>
    </r>
  </si>
  <si>
    <r>
      <rPr>
        <sz val="9"/>
        <color indexed="8"/>
        <rFont val="宋体"/>
        <family val="3"/>
        <charset val="134"/>
      </rPr>
      <t>β≥</t>
    </r>
    <r>
      <rPr>
        <sz val="9"/>
        <color indexed="8"/>
        <rFont val="Times New Roman"/>
        <family val="1"/>
      </rPr>
      <t>100%</t>
    </r>
  </si>
  <si>
    <r>
      <rPr>
        <sz val="9"/>
        <color indexed="8"/>
        <rFont val="Times New Roman"/>
        <family val="1"/>
      </rPr>
      <t>1</t>
    </r>
    <r>
      <rPr>
        <sz val="9"/>
        <color indexed="8"/>
        <rFont val="宋体"/>
        <family val="3"/>
        <charset val="134"/>
      </rPr>
      <t>、正常产值基数</t>
    </r>
    <r>
      <rPr>
        <sz val="9"/>
        <color indexed="8"/>
        <rFont val="Times New Roman"/>
        <family val="1"/>
      </rPr>
      <t>=</t>
    </r>
    <r>
      <rPr>
        <sz val="9"/>
        <color indexed="8"/>
        <rFont val="宋体"/>
        <family val="3"/>
        <charset val="134"/>
      </rPr>
      <t>正常工时</t>
    </r>
    <r>
      <rPr>
        <sz val="9"/>
        <color indexed="8"/>
        <rFont val="Times New Roman"/>
        <family val="1"/>
      </rPr>
      <t>+</t>
    </r>
    <r>
      <rPr>
        <sz val="9"/>
        <color indexed="8"/>
        <rFont val="宋体"/>
        <family val="3"/>
        <charset val="134"/>
      </rPr>
      <t>正常材料</t>
    </r>
    <r>
      <rPr>
        <sz val="9"/>
        <color indexed="8"/>
        <rFont val="Times New Roman"/>
        <family val="1"/>
      </rPr>
      <t>-(</t>
    </r>
    <r>
      <rPr>
        <sz val="9"/>
        <color indexed="8"/>
        <rFont val="宋体"/>
        <family val="3"/>
        <charset val="134"/>
      </rPr>
      <t>折扣工时或材料）</t>
    </r>
    <r>
      <rPr>
        <sz val="9"/>
        <color indexed="8"/>
        <rFont val="Times New Roman"/>
        <family val="1"/>
      </rPr>
      <t>+</t>
    </r>
    <r>
      <rPr>
        <sz val="9"/>
        <color indexed="8"/>
        <rFont val="宋体"/>
        <family val="3"/>
        <charset val="134"/>
      </rPr>
      <t>续保赠送</t>
    </r>
  </si>
  <si>
    <r>
      <rPr>
        <sz val="9"/>
        <color indexed="8"/>
        <rFont val="Times New Roman"/>
        <family val="1"/>
      </rPr>
      <t>2</t>
    </r>
    <r>
      <rPr>
        <sz val="9"/>
        <color indexed="8"/>
        <rFont val="宋体"/>
        <family val="3"/>
        <charset val="134"/>
      </rPr>
      <t>、α</t>
    </r>
    <r>
      <rPr>
        <sz val="9"/>
        <color indexed="8"/>
        <rFont val="Times New Roman"/>
        <family val="1"/>
      </rPr>
      <t>/</t>
    </r>
    <r>
      <rPr>
        <sz val="9"/>
        <color indexed="8"/>
        <rFont val="宋体"/>
        <family val="3"/>
        <charset val="134"/>
      </rPr>
      <t>β为月度任务达成率</t>
    </r>
    <r>
      <rPr>
        <sz val="9"/>
        <color indexed="8"/>
        <rFont val="Times New Roman"/>
        <family val="1"/>
      </rPr>
      <t>=</t>
    </r>
    <r>
      <rPr>
        <sz val="9"/>
        <color indexed="8"/>
        <rFont val="宋体"/>
        <family val="3"/>
        <charset val="134"/>
      </rPr>
      <t>实际达成</t>
    </r>
    <r>
      <rPr>
        <sz val="9"/>
        <color indexed="8"/>
        <rFont val="Times New Roman"/>
        <family val="1"/>
      </rPr>
      <t>/</t>
    </r>
    <r>
      <rPr>
        <sz val="9"/>
        <color indexed="8"/>
        <rFont val="宋体"/>
        <family val="3"/>
        <charset val="134"/>
      </rPr>
      <t>月度任务指标</t>
    </r>
    <r>
      <rPr>
        <sz val="9"/>
        <color indexed="8"/>
        <rFont val="Times New Roman"/>
        <family val="1"/>
      </rPr>
      <t>95%</t>
    </r>
  </si>
  <si>
    <t>2021年X月维修经营报表</t>
  </si>
  <si>
    <t>服务站总产值</t>
  </si>
  <si>
    <t>主营业务产值</t>
  </si>
  <si>
    <t>增值业务产值</t>
  </si>
  <si>
    <t xml:space="preserve">配件 </t>
  </si>
  <si>
    <t>增值服务</t>
  </si>
  <si>
    <t>正常维修</t>
  </si>
  <si>
    <t>主营合计</t>
  </si>
  <si>
    <t>附加合计</t>
  </si>
  <si>
    <t>配件外销</t>
  </si>
  <si>
    <t>进厂台次</t>
  </si>
  <si>
    <t>结算台次</t>
  </si>
  <si>
    <t>福袋套餐</t>
  </si>
  <si>
    <t>延保</t>
  </si>
  <si>
    <t>实际参保</t>
  </si>
  <si>
    <t xml:space="preserve">目标任务 </t>
  </si>
  <si>
    <t>累积完成情况</t>
  </si>
  <si>
    <t>目标完成率</t>
  </si>
  <si>
    <t>实际完成率</t>
  </si>
  <si>
    <t>8月售后满意度</t>
  </si>
  <si>
    <t>400得分</t>
  </si>
  <si>
    <t>区间</t>
  </si>
  <si>
    <t>奖惩情况</t>
  </si>
  <si>
    <t>短信满意度</t>
  </si>
  <si>
    <t>N≥92</t>
  </si>
  <si>
    <t>N≥96</t>
  </si>
  <si>
    <t>业务经理</t>
  </si>
  <si>
    <t>杨清</t>
  </si>
  <si>
    <t>客服经理</t>
  </si>
  <si>
    <t>黄霞</t>
  </si>
  <si>
    <t>索赔经理</t>
  </si>
  <si>
    <t>董飞</t>
  </si>
  <si>
    <t>96＞N≥94</t>
  </si>
  <si>
    <t>技术经理</t>
  </si>
  <si>
    <t>质检</t>
  </si>
  <si>
    <t>调度</t>
  </si>
  <si>
    <t>苟子文</t>
  </si>
  <si>
    <t>N≥97</t>
  </si>
  <si>
    <t>李奇</t>
  </si>
  <si>
    <t>95＞N≥88</t>
  </si>
  <si>
    <t>李霞</t>
  </si>
  <si>
    <t>97＞N≥95</t>
  </si>
  <si>
    <t>董万肖</t>
  </si>
  <si>
    <t>邓理珂</t>
  </si>
  <si>
    <t>95＞N≥92</t>
  </si>
  <si>
    <t>李海林</t>
  </si>
  <si>
    <t>邓传宝</t>
  </si>
  <si>
    <t>N＜92</t>
  </si>
  <si>
    <t>何映林</t>
  </si>
  <si>
    <t>周科</t>
  </si>
  <si>
    <t>何海轮</t>
  </si>
  <si>
    <t>邓堃</t>
  </si>
  <si>
    <t>徐炳涛</t>
  </si>
  <si>
    <t>李胜</t>
  </si>
  <si>
    <t>谢双龙</t>
  </si>
  <si>
    <t>吴磊</t>
  </si>
  <si>
    <t>孟伟</t>
  </si>
  <si>
    <t>刘顺辉</t>
  </si>
  <si>
    <t>宋平</t>
  </si>
  <si>
    <t>李强</t>
  </si>
  <si>
    <t>徐浩</t>
  </si>
  <si>
    <t>吧员</t>
  </si>
  <si>
    <t>何佳骏</t>
  </si>
  <si>
    <t>王丽</t>
  </si>
  <si>
    <t>高顺容</t>
  </si>
  <si>
    <t>洗车</t>
  </si>
  <si>
    <t>文德富</t>
  </si>
  <si>
    <t>李幼银</t>
  </si>
  <si>
    <t>月份</t>
  </si>
  <si>
    <t>新能源台次</t>
  </si>
  <si>
    <t>燃油车台次</t>
  </si>
  <si>
    <t>配件金额</t>
  </si>
  <si>
    <t>基本薪资</t>
  </si>
  <si>
    <t>合计收入</t>
  </si>
  <si>
    <t>5月</t>
  </si>
  <si>
    <t>2024年秋季西服套装领用明细（扣款）</t>
  </si>
  <si>
    <t>费用归属</t>
  </si>
  <si>
    <t>实际领取数量</t>
  </si>
  <si>
    <t>西服单价</t>
  </si>
  <si>
    <t>金额</t>
  </si>
  <si>
    <t>西服公司承担</t>
  </si>
  <si>
    <t>西服个人承担金额</t>
  </si>
  <si>
    <t>冲锋衣领取量</t>
  </si>
  <si>
    <t>冲锋衣承担金额</t>
  </si>
  <si>
    <t>个人承担金额</t>
  </si>
  <si>
    <t>公司合计承担金额</t>
  </si>
  <si>
    <t>公司承担金额</t>
  </si>
  <si>
    <t>事业部</t>
  </si>
  <si>
    <t>西物</t>
  </si>
  <si>
    <t>超市</t>
  </si>
  <si>
    <t>机场售后</t>
  </si>
  <si>
    <t>陶兰</t>
  </si>
  <si>
    <t>华阳</t>
  </si>
  <si>
    <t>大客户</t>
  </si>
  <si>
    <t>大邑</t>
  </si>
  <si>
    <t>总经办</t>
  </si>
  <si>
    <t>崇州</t>
  </si>
  <si>
    <t>直营店</t>
  </si>
  <si>
    <t>翼真-展厅</t>
  </si>
  <si>
    <t>侯林池</t>
  </si>
  <si>
    <t>王秋玲</t>
  </si>
  <si>
    <t>岳彦宏</t>
  </si>
  <si>
    <t>·</t>
  </si>
  <si>
    <t>安金津</t>
  </si>
  <si>
    <t>阳睿</t>
  </si>
  <si>
    <t>销售管理部</t>
  </si>
  <si>
    <t>武侯店-展厅</t>
  </si>
  <si>
    <t>杜甫</t>
  </si>
  <si>
    <t>杨植森</t>
  </si>
  <si>
    <t>林豪杰</t>
  </si>
  <si>
    <t>杨虎</t>
  </si>
  <si>
    <t>汪奕辛</t>
  </si>
  <si>
    <t>侯施量</t>
  </si>
  <si>
    <t>武侯-DCC</t>
  </si>
  <si>
    <t>王小平</t>
  </si>
  <si>
    <t>伍仟逸</t>
  </si>
  <si>
    <t>纪海燕</t>
  </si>
  <si>
    <t>刘强1</t>
  </si>
  <si>
    <t>钟兴悦</t>
  </si>
  <si>
    <t>卓富杰</t>
  </si>
  <si>
    <t>王琴</t>
  </si>
  <si>
    <t>王雨露</t>
  </si>
  <si>
    <t>上户中心</t>
  </si>
  <si>
    <t>机场店-展厅</t>
  </si>
  <si>
    <t>王吴超</t>
  </si>
  <si>
    <t>机场店-DCC</t>
  </si>
  <si>
    <t>唐萡</t>
  </si>
  <si>
    <t>曹茜</t>
  </si>
  <si>
    <t>李婷婷1</t>
  </si>
  <si>
    <t>石铁</t>
  </si>
  <si>
    <t>直营店支持</t>
  </si>
  <si>
    <t>直营店网络</t>
  </si>
  <si>
    <t>郑洋</t>
  </si>
  <si>
    <t>李智洪</t>
  </si>
  <si>
    <t>王渔浩</t>
  </si>
  <si>
    <t>王伟</t>
  </si>
  <si>
    <t>管理部-机场店</t>
  </si>
  <si>
    <t>邓桂英</t>
  </si>
  <si>
    <t>事故保险部</t>
  </si>
  <si>
    <t>伍伟</t>
  </si>
  <si>
    <t>邓智超</t>
  </si>
  <si>
    <t>李婷婷</t>
  </si>
  <si>
    <t>郭超</t>
  </si>
  <si>
    <t>杜银全</t>
  </si>
  <si>
    <t>张建辉</t>
  </si>
  <si>
    <t>刘恩凉</t>
  </si>
  <si>
    <t>李伟</t>
  </si>
  <si>
    <t>王怀坤</t>
  </si>
  <si>
    <t>保险部-机场店</t>
  </si>
  <si>
    <t>业务部-机场店</t>
  </si>
  <si>
    <t>李赛</t>
  </si>
  <si>
    <t>员工承担金额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</si>
</sst>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6">
    <numFmt numFmtId="41" formatCode="_ * #,##0_ ;_ * \-#,##0_ ;_ * &quot;-&quot;_ ;_ @_ "/>
    <numFmt numFmtId="43" formatCode="_ * #,##0.00_ ;_ * \-#,##0.00_ ;_ * &quot;-&quot;??_ ;_ @_ "/>
    <numFmt numFmtId="178" formatCode="_(* #,##0.00_);_(* \(#,##0.00\);_(* &quot;-&quot;??_);_(@_)"/>
    <numFmt numFmtId="179" formatCode="_(* #,##0_);_(* \(#,##0\);_(* &quot;-&quot;_);_(@_)"/>
    <numFmt numFmtId="180" formatCode="0.00_);[Red]\(0.00\)"/>
    <numFmt numFmtId="181" formatCode="[$-F400]h:mm:ss\ AM/PM"/>
    <numFmt numFmtId="182" formatCode="0.00;[Red]0.00"/>
    <numFmt numFmtId="183" formatCode="0;[Red]0"/>
    <numFmt numFmtId="184" formatCode="0.00_);\(0.00\)"/>
    <numFmt numFmtId="185" formatCode="0_ "/>
    <numFmt numFmtId="186" formatCode="0_);[Red]\(0\)"/>
    <numFmt numFmtId="187" formatCode="0.0%"/>
    <numFmt numFmtId="188" formatCode="0.0_ "/>
    <numFmt numFmtId="189" formatCode="0.00_ "/>
    <numFmt numFmtId="190" formatCode="yyyy/m/d;@"/>
    <numFmt numFmtId="191" formatCode="m&quot;月&quot;d&quot;日&quot;;@"/>
    <numFmt numFmtId="192" formatCode="h:mm;@"/>
    <numFmt numFmtId="193" formatCode="[$-F800]dddd\,\ mmmm\ dd\,\ yyyy"/>
    <numFmt numFmtId="194" formatCode="#,##0.00_ "/>
    <numFmt numFmtId="195" formatCode="#,##0.00_);[Red]\(#,##0.00\)"/>
    <numFmt numFmtId="196" formatCode="yyyy/m/d\ "/>
    <numFmt numFmtId="197" formatCode="yyyy&quot;年&quot;m&quot;月&quot;d&quot;日&quot;;@"/>
    <numFmt numFmtId="198" formatCode="yyyy&quot;年&quot;m&quot;月&quot;;@"/>
    <numFmt numFmtId="199" formatCode="#,##0.0_ "/>
    <numFmt numFmtId="200" formatCode="#,##0_ "/>
    <numFmt numFmtId="201" formatCode="_ * #,##0_ ;_ * \-#,##0_ ;_ * &quot;-&quot;??_ ;_ @_ "/>
    <numFmt numFmtId="202" formatCode="_ * #,##0.00_ ;_ * \-#,##0.00_ ;_ * &quot;-&quot;_ ;_ @_ "/>
    <numFmt numFmtId="203" formatCode="_ \¥* #,##0.00_ ;_ \¥* \-#,##0.00_ ;_ \¥* &quot;-&quot;??_ ;_ @_ "/>
    <numFmt numFmtId="204" formatCode="#,##0.00_);\(#,##0.00\)"/>
    <numFmt numFmtId="205" formatCode="#,##0_);[Red]\(#,##0\)"/>
    <numFmt numFmtId="206" formatCode="0.000%"/>
    <numFmt numFmtId="207" formatCode="_ * #,##0.0000_ ;_ * \-#,##0.0000_ ;_ * &quot;-&quot;????_ ;_ @_ "/>
    <numFmt numFmtId="208" formatCode="_ * #,##0.0000_ ;_ * \-#,##0.0000_ ;_ * &quot;-&quot;??.00_ ;_ @_ "/>
    <numFmt numFmtId="209" formatCode="_ * #,##0.0000_ ;_ * \-#,##0.0000_ ;_ * &quot;-&quot;??_ ;_ @_ "/>
    <numFmt numFmtId="210" formatCode="0.0000_);[Red]\(0.0000\)"/>
    <numFmt numFmtId="211" formatCode="_ * #,##0.00_ ;_ * \-#,##0.00_ ;_ * &quot;-&quot;??.0_ ;_ @_ "/>
  </numFmts>
  <fonts count="185">
    <font>
      <sz val="11"/>
      <color indexed="8"/>
      <name val="宋体"/>
      <charset val="134"/>
    </font>
    <font>
      <sz val="12"/>
      <name val="宋体"/>
      <family val="3"/>
      <charset val="134"/>
    </font>
    <font>
      <b/>
      <sz val="18"/>
      <name val="宋体"/>
      <family val="3"/>
      <charset val="134"/>
    </font>
    <font>
      <sz val="13"/>
      <name val="宋体"/>
      <family val="3"/>
      <charset val="134"/>
    </font>
    <font>
      <sz val="11"/>
      <color theme="1"/>
      <name val="宋体"/>
      <family val="3"/>
      <charset val="134"/>
      <scheme val="minor"/>
    </font>
    <font>
      <sz val="9"/>
      <name val="宋体"/>
      <family val="3"/>
      <charset val="134"/>
    </font>
    <font>
      <sz val="10"/>
      <color theme="1"/>
      <name val="宋体"/>
      <family val="3"/>
      <charset val="134"/>
      <scheme val="minor"/>
    </font>
    <font>
      <sz val="9"/>
      <color theme="1"/>
      <name val="宋体"/>
      <family val="3"/>
      <charset val="134"/>
      <scheme val="minor"/>
    </font>
    <font>
      <sz val="10"/>
      <name val="宋体"/>
      <family val="3"/>
      <charset val="134"/>
    </font>
    <font>
      <sz val="10"/>
      <color theme="1"/>
      <name val="宋体"/>
      <family val="3"/>
      <charset val="134"/>
    </font>
    <font>
      <sz val="11"/>
      <color indexed="8"/>
      <name val="腾祥铭宋简-W4"/>
      <charset val="134"/>
    </font>
    <font>
      <sz val="12"/>
      <name val="腾祥铭宋简-W4"/>
      <charset val="134"/>
    </font>
    <font>
      <b/>
      <sz val="14"/>
      <color theme="1"/>
      <name val="腾祥铭宋简-W4"/>
      <charset val="134"/>
    </font>
    <font>
      <sz val="10"/>
      <name val="腾祥铭宋简-W4"/>
      <charset val="134"/>
    </font>
    <font>
      <b/>
      <sz val="10"/>
      <name val="腾祥铭宋简-W4"/>
      <charset val="134"/>
    </font>
    <font>
      <sz val="10"/>
      <color theme="1"/>
      <name val="腾祥铭宋简-W4"/>
      <charset val="134"/>
    </font>
    <font>
      <sz val="10"/>
      <color rgb="FF000000"/>
      <name val="腾祥铭宋简-W4"/>
      <charset val="134"/>
    </font>
    <font>
      <b/>
      <sz val="14"/>
      <color indexed="8"/>
      <name val="腾祥铭宋简-W4"/>
      <charset val="134"/>
    </font>
    <font>
      <b/>
      <sz val="10"/>
      <color theme="1"/>
      <name val="腾祥铭宋简-W4"/>
      <charset val="134"/>
    </font>
    <font>
      <sz val="9"/>
      <color rgb="FF000000"/>
      <name val="腾祥铭宋简-W4"/>
      <charset val="134"/>
    </font>
    <font>
      <sz val="10"/>
      <color indexed="8"/>
      <name val="腾祥铭宋简-W4"/>
      <charset val="134"/>
    </font>
    <font>
      <sz val="9"/>
      <color indexed="8"/>
      <name val="宋体"/>
      <family val="3"/>
      <charset val="134"/>
    </font>
    <font>
      <sz val="9"/>
      <color indexed="8"/>
      <name val="Times New Roman"/>
      <family val="1"/>
    </font>
    <font>
      <sz val="10"/>
      <name val="Arial"/>
      <family val="2"/>
    </font>
    <font>
      <sz val="10"/>
      <color theme="1"/>
      <name val="Arial"/>
      <family val="2"/>
    </font>
    <font>
      <sz val="9"/>
      <color indexed="62"/>
      <name val="宋体"/>
      <family val="3"/>
      <charset val="134"/>
    </font>
    <font>
      <sz val="10"/>
      <name val="微软雅黑"/>
      <family val="2"/>
      <charset val="134"/>
    </font>
    <font>
      <sz val="8"/>
      <name val="微软雅黑"/>
      <family val="2"/>
      <charset val="134"/>
    </font>
    <font>
      <sz val="9"/>
      <name val="微软雅黑"/>
      <family val="2"/>
      <charset val="134"/>
    </font>
    <font>
      <sz val="11"/>
      <name val="宋体"/>
      <family val="3"/>
      <charset val="134"/>
    </font>
    <font>
      <b/>
      <sz val="12"/>
      <name val="腾祥铭宋简-W4"/>
      <charset val="134"/>
    </font>
    <font>
      <sz val="11"/>
      <color rgb="FF000000"/>
      <name val="腾祥铭宋简-W4"/>
      <charset val="134"/>
    </font>
    <font>
      <sz val="11"/>
      <color indexed="8"/>
      <name val="等线"/>
      <family val="3"/>
      <charset val="134"/>
    </font>
    <font>
      <sz val="10"/>
      <color indexed="8"/>
      <name val="等线"/>
      <family val="3"/>
      <charset val="134"/>
    </font>
    <font>
      <sz val="11"/>
      <color theme="1"/>
      <name val="等线"/>
      <family val="3"/>
      <charset val="134"/>
    </font>
    <font>
      <b/>
      <sz val="14"/>
      <color indexed="8"/>
      <name val="等线"/>
      <family val="3"/>
      <charset val="134"/>
    </font>
    <font>
      <b/>
      <sz val="14"/>
      <name val="等线"/>
      <family val="3"/>
      <charset val="134"/>
    </font>
    <font>
      <sz val="14"/>
      <color indexed="8"/>
      <name val="宋体"/>
      <family val="3"/>
      <charset val="134"/>
    </font>
    <font>
      <sz val="14"/>
      <color indexed="8"/>
      <name val="等线"/>
      <family val="3"/>
      <charset val="134"/>
    </font>
    <font>
      <b/>
      <sz val="14"/>
      <color indexed="8"/>
      <name val="微软雅黑"/>
      <family val="2"/>
      <charset val="134"/>
    </font>
    <font>
      <b/>
      <sz val="11"/>
      <color indexed="8"/>
      <name val="等线"/>
      <family val="3"/>
      <charset val="134"/>
    </font>
    <font>
      <sz val="12"/>
      <color theme="1"/>
      <name val="腾祥铭宋简-W4"/>
      <charset val="134"/>
    </font>
    <font>
      <sz val="10"/>
      <color rgb="FF000000"/>
      <name val="宋体"/>
      <family val="3"/>
      <charset val="134"/>
    </font>
    <font>
      <b/>
      <sz val="20"/>
      <color rgb="FF000000"/>
      <name val="宋体"/>
      <family val="3"/>
      <charset val="134"/>
    </font>
    <font>
      <sz val="14"/>
      <color theme="1"/>
      <name val="宋体"/>
      <family val="3"/>
      <charset val="134"/>
      <scheme val="minor"/>
    </font>
    <font>
      <b/>
      <sz val="9"/>
      <color indexed="8"/>
      <name val="宋体"/>
      <family val="3"/>
      <charset val="134"/>
    </font>
    <font>
      <b/>
      <sz val="11"/>
      <color indexed="8"/>
      <name val="腾祥铭宋简-W4"/>
      <charset val="134"/>
    </font>
    <font>
      <sz val="16"/>
      <name val="宋体"/>
      <family val="3"/>
      <charset val="134"/>
      <scheme val="major"/>
    </font>
    <font>
      <b/>
      <sz val="16"/>
      <name val="腾祥铭宋简-W4"/>
      <charset val="134"/>
    </font>
    <font>
      <b/>
      <sz val="16"/>
      <name val="宋体"/>
      <family val="3"/>
      <charset val="134"/>
    </font>
    <font>
      <sz val="11"/>
      <color rgb="FF000000"/>
      <name val="微软雅黑"/>
      <family val="2"/>
      <charset val="134"/>
    </font>
    <font>
      <b/>
      <sz val="10"/>
      <name val="宋体"/>
      <family val="3"/>
      <charset val="134"/>
    </font>
    <font>
      <sz val="11"/>
      <color rgb="FF000000"/>
      <name val="宋体"/>
      <family val="3"/>
      <charset val="134"/>
    </font>
    <font>
      <sz val="9"/>
      <color indexed="12"/>
      <name val="宋体"/>
      <family val="3"/>
      <charset val="134"/>
    </font>
    <font>
      <sz val="11"/>
      <name val="腾祥铭宋简-W4"/>
      <charset val="134"/>
    </font>
    <font>
      <sz val="12"/>
      <color theme="1"/>
      <name val="宋体"/>
      <family val="3"/>
      <charset val="134"/>
      <scheme val="minor"/>
    </font>
    <font>
      <sz val="12"/>
      <color theme="1"/>
      <name val="宋体"/>
      <family val="3"/>
      <charset val="134"/>
    </font>
    <font>
      <sz val="10"/>
      <name val="微软雅黑 Light"/>
      <family val="2"/>
      <charset val="134"/>
    </font>
    <font>
      <sz val="11"/>
      <color theme="1"/>
      <name val="腾祥铭宋简-W4"/>
      <charset val="134"/>
    </font>
    <font>
      <sz val="11"/>
      <color theme="1"/>
      <name val="微软雅黑"/>
      <family val="2"/>
      <charset val="134"/>
    </font>
    <font>
      <sz val="10"/>
      <color theme="1"/>
      <name val="微软雅黑 Light"/>
      <family val="2"/>
      <charset val="134"/>
    </font>
    <font>
      <b/>
      <sz val="14"/>
      <color rgb="FF000000"/>
      <name val="宋体"/>
      <family val="3"/>
      <charset val="134"/>
    </font>
    <font>
      <sz val="9"/>
      <name val="腾祥铭宋简-W4"/>
      <charset val="134"/>
    </font>
    <font>
      <sz val="9"/>
      <name val="Microsoft YaHei UI"/>
      <family val="2"/>
      <charset val="134"/>
    </font>
    <font>
      <b/>
      <sz val="16"/>
      <color rgb="FF000000"/>
      <name val="腾祥铭宋简-W4"/>
      <charset val="134"/>
    </font>
    <font>
      <b/>
      <sz val="16"/>
      <color indexed="8"/>
      <name val="腾祥铭宋简-W4"/>
      <charset val="134"/>
    </font>
    <font>
      <sz val="10"/>
      <color rgb="FF000000"/>
      <name val="微软雅黑"/>
      <family val="2"/>
      <charset val="134"/>
    </font>
    <font>
      <sz val="16"/>
      <color theme="1"/>
      <name val="微软雅黑"/>
      <family val="2"/>
      <charset val="134"/>
    </font>
    <font>
      <sz val="10"/>
      <color theme="1"/>
      <name val="微软雅黑"/>
      <family val="2"/>
      <charset val="134"/>
    </font>
    <font>
      <sz val="10"/>
      <color rgb="FF000000"/>
      <name val="Microsoft YaHei UI"/>
      <family val="2"/>
      <charset val="134"/>
    </font>
    <font>
      <u/>
      <sz val="11"/>
      <color theme="1"/>
      <name val="微软雅黑"/>
      <family val="2"/>
      <charset val="134"/>
    </font>
    <font>
      <sz val="12"/>
      <color rgb="FF333333"/>
      <name val="Arial"/>
      <family val="2"/>
    </font>
    <font>
      <sz val="16"/>
      <color theme="1"/>
      <name val="宋体"/>
      <family val="3"/>
      <charset val="134"/>
      <scheme val="minor"/>
    </font>
    <font>
      <b/>
      <sz val="14"/>
      <name val="微软雅黑"/>
      <family val="2"/>
      <charset val="134"/>
    </font>
    <font>
      <sz val="8"/>
      <name val="宋体"/>
      <family val="3"/>
      <charset val="134"/>
    </font>
    <font>
      <sz val="8"/>
      <name val="Arial"/>
      <family val="2"/>
    </font>
    <font>
      <sz val="12"/>
      <color theme="1"/>
      <name val="微软雅黑"/>
      <family val="2"/>
      <charset val="134"/>
    </font>
    <font>
      <sz val="12"/>
      <name val="微软雅黑"/>
      <family val="2"/>
      <charset val="134"/>
    </font>
    <font>
      <b/>
      <sz val="11"/>
      <color theme="1"/>
      <name val="宋体"/>
      <family val="3"/>
      <charset val="134"/>
      <scheme val="minor"/>
    </font>
    <font>
      <sz val="11"/>
      <color indexed="8"/>
      <name val="宋体"/>
      <family val="3"/>
      <charset val="134"/>
      <scheme val="minor"/>
    </font>
    <font>
      <b/>
      <sz val="12"/>
      <name val="宋体"/>
      <family val="3"/>
      <charset val="134"/>
    </font>
    <font>
      <b/>
      <sz val="9"/>
      <color theme="1"/>
      <name val="宋体"/>
      <family val="3"/>
      <charset val="134"/>
      <scheme val="minor"/>
    </font>
    <font>
      <sz val="10"/>
      <color theme="1"/>
      <name val="腾祥铭宋简-W3"/>
      <charset val="134"/>
    </font>
    <font>
      <sz val="11"/>
      <color rgb="FFFF0000"/>
      <name val="宋体"/>
      <family val="3"/>
      <charset val="134"/>
      <scheme val="minor"/>
    </font>
    <font>
      <sz val="11"/>
      <name val="宋体"/>
      <family val="3"/>
      <charset val="134"/>
      <scheme val="minor"/>
    </font>
    <font>
      <b/>
      <sz val="9"/>
      <name val="宋体"/>
      <family val="3"/>
      <charset val="134"/>
    </font>
    <font>
      <sz val="9"/>
      <color theme="1"/>
      <name val="宋体"/>
      <family val="3"/>
      <charset val="134"/>
    </font>
    <font>
      <sz val="11"/>
      <name val="微软雅黑"/>
      <family val="2"/>
      <charset val="134"/>
    </font>
    <font>
      <sz val="14"/>
      <name val="微软雅黑"/>
      <family val="2"/>
      <charset val="134"/>
    </font>
    <font>
      <b/>
      <sz val="10"/>
      <name val="微软雅黑"/>
      <family val="2"/>
      <charset val="134"/>
    </font>
    <font>
      <sz val="10"/>
      <color indexed="8"/>
      <name val="微软雅黑"/>
      <family val="2"/>
      <charset val="134"/>
    </font>
    <font>
      <sz val="9"/>
      <color theme="1"/>
      <name val="微软雅黑"/>
      <family val="2"/>
      <charset val="134"/>
    </font>
    <font>
      <sz val="8"/>
      <color indexed="8"/>
      <name val="宋体"/>
      <family val="3"/>
      <charset val="134"/>
    </font>
    <font>
      <b/>
      <sz val="18"/>
      <color indexed="8"/>
      <name val="宋体"/>
      <family val="3"/>
      <charset val="134"/>
    </font>
    <font>
      <b/>
      <sz val="11"/>
      <color indexed="8"/>
      <name val="宋体"/>
      <family val="3"/>
      <charset val="134"/>
    </font>
    <font>
      <sz val="11"/>
      <color indexed="8"/>
      <name val="Times New Roman"/>
      <family val="1"/>
    </font>
    <font>
      <b/>
      <sz val="11"/>
      <color indexed="8"/>
      <name val="Times New Roman"/>
      <family val="1"/>
    </font>
    <font>
      <sz val="8"/>
      <color indexed="8"/>
      <name val="Arial"/>
      <family val="2"/>
    </font>
    <font>
      <sz val="8"/>
      <color indexed="8"/>
      <name val="Times New Roman"/>
      <family val="1"/>
    </font>
    <font>
      <b/>
      <sz val="8"/>
      <color indexed="8"/>
      <name val="Times New Roman"/>
      <family val="1"/>
    </font>
    <font>
      <sz val="9"/>
      <name val="楷体_GB2312"/>
      <charset val="134"/>
    </font>
    <font>
      <sz val="9"/>
      <name val="Arial"/>
      <family val="2"/>
    </font>
    <font>
      <sz val="16"/>
      <name val="楷体_GB2312"/>
      <charset val="134"/>
    </font>
    <font>
      <sz val="16"/>
      <name val="宋体"/>
      <family val="3"/>
      <charset val="134"/>
    </font>
    <font>
      <sz val="9"/>
      <color theme="1"/>
      <name val="Arial"/>
      <family val="2"/>
    </font>
    <font>
      <sz val="8"/>
      <name val="楷体_GB2312"/>
      <charset val="134"/>
    </font>
    <font>
      <sz val="11"/>
      <color rgb="FF0070C0"/>
      <name val="宋体"/>
      <family val="3"/>
      <charset val="134"/>
    </font>
    <font>
      <sz val="9"/>
      <color rgb="FF000000"/>
      <name val="宋体"/>
      <family val="3"/>
      <charset val="134"/>
    </font>
    <font>
      <sz val="9"/>
      <color rgb="FF0070C0"/>
      <name val="宋体"/>
      <family val="3"/>
      <charset val="134"/>
      <scheme val="minor"/>
    </font>
    <font>
      <sz val="9"/>
      <color rgb="FF0070C0"/>
      <name val="宋体"/>
      <family val="3"/>
      <charset val="134"/>
    </font>
    <font>
      <sz val="9"/>
      <color rgb="FFFF0000"/>
      <name val="宋体"/>
      <family val="3"/>
      <charset val="134"/>
    </font>
    <font>
      <b/>
      <sz val="9"/>
      <name val="宋体"/>
      <family val="3"/>
      <charset val="134"/>
      <scheme val="minor"/>
    </font>
    <font>
      <sz val="9"/>
      <name val="宋体"/>
      <family val="3"/>
      <charset val="134"/>
      <scheme val="minor"/>
    </font>
    <font>
      <sz val="9"/>
      <color rgb="FF00B050"/>
      <name val="宋体"/>
      <family val="3"/>
      <charset val="134"/>
    </font>
    <font>
      <sz val="10"/>
      <color rgb="FFFF0000"/>
      <name val="腾祥铭宋简-W4"/>
      <charset val="134"/>
    </font>
    <font>
      <b/>
      <sz val="10"/>
      <color indexed="8"/>
      <name val="腾祥铭宋简-W4"/>
      <charset val="134"/>
    </font>
    <font>
      <sz val="10"/>
      <color indexed="8"/>
      <name val="宋体"/>
      <family val="3"/>
      <charset val="134"/>
    </font>
    <font>
      <b/>
      <sz val="18"/>
      <color rgb="FF000000"/>
      <name val="Times New Roman"/>
      <family val="1"/>
    </font>
    <font>
      <b/>
      <sz val="18"/>
      <color indexed="8"/>
      <name val="Times New Roman"/>
      <family val="1"/>
    </font>
    <font>
      <b/>
      <sz val="11"/>
      <color rgb="FF000000"/>
      <name val="宋体"/>
      <family val="3"/>
      <charset val="134"/>
    </font>
    <font>
      <sz val="10"/>
      <color indexed="8"/>
      <name val="Times New Roman"/>
      <family val="1"/>
    </font>
    <font>
      <sz val="10"/>
      <color rgb="FFFF0000"/>
      <name val="Times New Roman"/>
      <family val="1"/>
    </font>
    <font>
      <sz val="10"/>
      <color rgb="FF000000"/>
      <name val="Times New Roman"/>
      <family val="1"/>
    </font>
    <font>
      <sz val="10"/>
      <name val="Arial Unicode MS"/>
      <family val="2"/>
      <charset val="134"/>
    </font>
    <font>
      <sz val="10"/>
      <color indexed="8"/>
      <name val="Arial Unicode MS"/>
      <family val="2"/>
      <charset val="134"/>
    </font>
    <font>
      <sz val="10"/>
      <color rgb="FFFF0000"/>
      <name val="Arial Unicode MS"/>
      <family val="2"/>
      <charset val="134"/>
    </font>
    <font>
      <sz val="11"/>
      <color rgb="FFFF0000"/>
      <name val="Times New Roman"/>
      <family val="1"/>
    </font>
    <font>
      <sz val="9"/>
      <color indexed="8"/>
      <name val="腾祥铭宋简-W4"/>
      <charset val="134"/>
    </font>
    <font>
      <sz val="9"/>
      <color theme="1"/>
      <name val="腾祥铭宋简-W4"/>
      <charset val="134"/>
    </font>
    <font>
      <b/>
      <sz val="18"/>
      <name val="黑体"/>
      <family val="3"/>
      <charset val="134"/>
    </font>
    <font>
      <b/>
      <sz val="18"/>
      <name val="腾祥铭宋简-W4"/>
      <charset val="134"/>
    </font>
    <font>
      <b/>
      <sz val="9"/>
      <color indexed="8"/>
      <name val="腾祥铭宋简-W4"/>
      <charset val="134"/>
    </font>
    <font>
      <b/>
      <sz val="9"/>
      <name val="腾祥铭宋简-W4"/>
      <charset val="134"/>
    </font>
    <font>
      <b/>
      <sz val="9"/>
      <color theme="1"/>
      <name val="腾祥铭宋简-W4"/>
      <charset val="134"/>
    </font>
    <font>
      <sz val="11"/>
      <color rgb="FFFF0000"/>
      <name val="腾祥铭宋简-W4"/>
      <charset val="134"/>
    </font>
    <font>
      <b/>
      <sz val="18"/>
      <color rgb="FFFF0000"/>
      <name val="腾祥铭宋简-W4"/>
      <charset val="134"/>
    </font>
    <font>
      <b/>
      <sz val="9"/>
      <color rgb="FFFF0000"/>
      <name val="腾祥铭宋简-W4"/>
      <charset val="134"/>
    </font>
    <font>
      <b/>
      <sz val="9"/>
      <color rgb="FF000000"/>
      <name val="Microsoft YaHei UI"/>
      <family val="2"/>
      <charset val="134"/>
    </font>
    <font>
      <sz val="9"/>
      <color rgb="FFFF0000"/>
      <name val="腾祥铭宋简-W4"/>
      <charset val="134"/>
    </font>
    <font>
      <sz val="8"/>
      <color theme="1"/>
      <name val="宋体"/>
      <family val="3"/>
      <charset val="134"/>
    </font>
    <font>
      <sz val="11"/>
      <color theme="1"/>
      <name val="Arial"/>
      <family val="2"/>
    </font>
    <font>
      <sz val="9"/>
      <color theme="1"/>
      <name val="Times New Roman"/>
      <family val="1"/>
    </font>
    <font>
      <sz val="11"/>
      <color theme="1"/>
      <name val="宋体"/>
      <family val="3"/>
      <charset val="134"/>
    </font>
    <font>
      <b/>
      <sz val="18"/>
      <color theme="1"/>
      <name val="宋体"/>
      <family val="3"/>
      <charset val="134"/>
    </font>
    <font>
      <b/>
      <sz val="11"/>
      <color theme="1"/>
      <name val="宋体"/>
      <family val="3"/>
      <charset val="134"/>
    </font>
    <font>
      <sz val="11"/>
      <color theme="1"/>
      <name val="Times New Roman"/>
      <family val="1"/>
    </font>
    <font>
      <b/>
      <sz val="11"/>
      <color theme="1"/>
      <name val="Times New Roman"/>
      <family val="1"/>
    </font>
    <font>
      <b/>
      <sz val="9"/>
      <color theme="1"/>
      <name val="宋体"/>
      <family val="3"/>
      <charset val="134"/>
    </font>
    <font>
      <sz val="8"/>
      <color theme="1"/>
      <name val="Times New Roman"/>
      <family val="1"/>
    </font>
    <font>
      <sz val="8"/>
      <color theme="1"/>
      <name val="Arial"/>
      <family val="2"/>
    </font>
    <font>
      <b/>
      <sz val="8"/>
      <color theme="1"/>
      <name val="Times New Roman"/>
      <family val="1"/>
    </font>
    <font>
      <b/>
      <sz val="11"/>
      <color theme="1"/>
      <name val="Arial"/>
      <family val="2"/>
    </font>
    <font>
      <b/>
      <sz val="8"/>
      <color theme="1"/>
      <name val="Arial"/>
      <family val="2"/>
    </font>
    <font>
      <sz val="9"/>
      <color rgb="FFFFC000"/>
      <name val="Times New Roman"/>
      <family val="1"/>
    </font>
    <font>
      <b/>
      <sz val="9"/>
      <color theme="1"/>
      <name val="Times New Roman"/>
      <family val="1"/>
    </font>
    <font>
      <sz val="6"/>
      <color theme="1"/>
      <name val="Arial"/>
      <family val="2"/>
    </font>
    <font>
      <sz val="8"/>
      <name val="Times New Roman"/>
      <family val="1"/>
    </font>
    <font>
      <sz val="11"/>
      <color indexed="9"/>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b/>
      <sz val="18"/>
      <color indexed="56"/>
      <name val="宋体"/>
      <family val="3"/>
      <charset val="134"/>
    </font>
    <font>
      <sz val="11"/>
      <name val="ＭＳ Ｐゴシック"/>
      <charset val="134"/>
    </font>
    <font>
      <sz val="11"/>
      <color indexed="60"/>
      <name val="宋体"/>
      <family val="3"/>
      <charset val="134"/>
    </font>
    <font>
      <sz val="11"/>
      <color indexed="20"/>
      <name val="宋体"/>
      <family val="3"/>
      <charset val="134"/>
    </font>
    <font>
      <sz val="11"/>
      <color indexed="17"/>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b/>
      <sz val="11"/>
      <color indexed="63"/>
      <name val="宋体"/>
      <family val="3"/>
      <charset val="134"/>
    </font>
    <font>
      <sz val="11"/>
      <color indexed="62"/>
      <name val="宋体"/>
      <family val="3"/>
      <charset val="134"/>
    </font>
    <font>
      <b/>
      <sz val="11"/>
      <color indexed="8"/>
      <name val="Arial"/>
      <family val="2"/>
    </font>
    <font>
      <b/>
      <sz val="9"/>
      <color rgb="FFFF0000"/>
      <name val="宋体"/>
      <family val="3"/>
      <charset val="134"/>
    </font>
    <font>
      <b/>
      <sz val="14"/>
      <color rgb="FF000000"/>
      <name val="腾祥铭宋简-W4"/>
      <charset val="134"/>
    </font>
    <font>
      <b/>
      <sz val="8"/>
      <color indexed="8"/>
      <name val="宋体"/>
      <family val="3"/>
      <charset val="134"/>
    </font>
    <font>
      <b/>
      <sz val="18"/>
      <color rgb="FF000000"/>
      <name val="宋体"/>
      <family val="3"/>
      <charset val="134"/>
    </font>
    <font>
      <b/>
      <sz val="9"/>
      <color rgb="FFFF0000"/>
      <name val="Microsoft YaHei UI"/>
      <family val="2"/>
      <charset val="134"/>
    </font>
    <font>
      <b/>
      <sz val="8"/>
      <color indexed="8"/>
      <name val="Arial"/>
      <family val="2"/>
    </font>
    <font>
      <sz val="9"/>
      <color rgb="FF000000"/>
      <name val="Times New Roman"/>
      <family val="1"/>
    </font>
    <font>
      <b/>
      <sz val="9"/>
      <name val="Microsoft YaHei UI"/>
      <family val="2"/>
      <charset val="134"/>
    </font>
    <font>
      <b/>
      <sz val="9"/>
      <name val="Tahoma"/>
      <family val="2"/>
    </font>
    <font>
      <sz val="9"/>
      <name val="Tahoma"/>
      <family val="2"/>
    </font>
    <font>
      <sz val="11"/>
      <color indexed="8"/>
      <name val="宋体"/>
      <family val="3"/>
      <charset val="134"/>
    </font>
  </fonts>
  <fills count="9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39829706717123936"/>
        <bgColor indexed="64"/>
      </patternFill>
    </fill>
    <fill>
      <patternFill patternType="solid">
        <fgColor rgb="FF92D050"/>
        <bgColor indexed="64"/>
      </patternFill>
    </fill>
    <fill>
      <patternFill patternType="solid">
        <fgColor theme="4" tint="0.3966490676595355"/>
        <bgColor indexed="64"/>
      </patternFill>
    </fill>
    <fill>
      <patternFill patternType="solid">
        <fgColor theme="0" tint="-0.249977111117893"/>
        <bgColor indexed="64"/>
      </patternFill>
    </fill>
    <fill>
      <patternFill patternType="solid">
        <fgColor theme="0" tint="-0.1466719565416425"/>
        <bgColor indexed="64"/>
      </patternFill>
    </fill>
    <fill>
      <patternFill patternType="solid">
        <fgColor theme="0" tint="-4.9989318521683403E-2"/>
        <bgColor indexed="64"/>
      </patternFill>
    </fill>
    <fill>
      <patternFill patternType="solid">
        <fgColor indexed="31"/>
        <bgColor indexed="64"/>
      </patternFill>
    </fill>
    <fill>
      <patternFill patternType="solid">
        <fgColor theme="4" tint="0.79992065187536243"/>
        <bgColor indexed="64"/>
      </patternFill>
    </fill>
    <fill>
      <patternFill patternType="solid">
        <fgColor indexed="13"/>
        <bgColor indexed="64"/>
      </patternFill>
    </fill>
    <fill>
      <patternFill patternType="solid">
        <fgColor theme="5"/>
        <bgColor indexed="64"/>
      </patternFill>
    </fill>
    <fill>
      <patternFill patternType="solid">
        <fgColor theme="9" tint="0.7993408001953185"/>
        <bgColor indexed="64"/>
      </patternFill>
    </fill>
    <fill>
      <patternFill patternType="solid">
        <fgColor theme="5" tint="0.3966490676595355"/>
        <bgColor indexed="64"/>
      </patternFill>
    </fill>
    <fill>
      <patternFill patternType="solid">
        <fgColor rgb="FF00B0F0"/>
        <bgColor indexed="64"/>
      </patternFill>
    </fill>
    <fill>
      <patternFill patternType="solid">
        <fgColor rgb="FFFFC000"/>
        <bgColor indexed="64"/>
      </patternFill>
    </fill>
    <fill>
      <patternFill patternType="solid">
        <fgColor indexed="9"/>
        <bgColor indexed="64"/>
      </patternFill>
    </fill>
    <fill>
      <patternFill patternType="solid">
        <fgColor theme="5" tint="0.59999389629810485"/>
        <bgColor indexed="64"/>
      </patternFill>
    </fill>
    <fill>
      <patternFill patternType="solid">
        <fgColor theme="3" tint="0.3966490676595355"/>
        <bgColor indexed="64"/>
      </patternFill>
    </fill>
    <fill>
      <patternFill patternType="solid">
        <fgColor theme="4" tint="0.39860225226599932"/>
        <bgColor indexed="64"/>
      </patternFill>
    </fill>
    <fill>
      <patternFill patternType="solid">
        <fgColor rgb="FFFF0000"/>
        <bgColor indexed="64"/>
      </patternFill>
    </fill>
    <fill>
      <patternFill patternType="solid">
        <fgColor theme="4" tint="0.7993408001953185"/>
        <bgColor theme="4" tint="0.7993408001953185"/>
      </patternFill>
    </fill>
    <fill>
      <patternFill patternType="solid">
        <fgColor theme="9" tint="0.59999389629810485"/>
        <bgColor indexed="64"/>
      </patternFill>
    </fill>
    <fill>
      <patternFill patternType="solid">
        <fgColor theme="4" tint="0.39994506668294322"/>
        <bgColor indexed="64"/>
      </patternFill>
    </fill>
    <fill>
      <patternFill patternType="solid">
        <fgColor theme="8" tint="0.59999389629810485"/>
        <bgColor indexed="64"/>
      </patternFill>
    </fill>
    <fill>
      <patternFill patternType="solid">
        <fgColor theme="4"/>
        <bgColor indexed="64"/>
      </patternFill>
    </fill>
    <fill>
      <patternFill patternType="solid">
        <fgColor theme="3" tint="0.7993408001953185"/>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indexed="47"/>
        <bgColor indexed="64"/>
      </patternFill>
    </fill>
    <fill>
      <patternFill patternType="solid">
        <fgColor indexed="42"/>
        <bgColor indexed="64"/>
      </patternFill>
    </fill>
    <fill>
      <patternFill patternType="solid">
        <fgColor indexed="34"/>
        <bgColor indexed="64"/>
      </patternFill>
    </fill>
    <fill>
      <patternFill patternType="solid">
        <fgColor indexed="43"/>
        <bgColor indexed="64"/>
      </patternFill>
    </fill>
    <fill>
      <patternFill patternType="solid">
        <fgColor indexed="41"/>
        <bgColor indexed="64"/>
      </patternFill>
    </fill>
    <fill>
      <patternFill patternType="solid">
        <fgColor theme="3" tint="0.39915158543656726"/>
        <bgColor indexed="64"/>
      </patternFill>
    </fill>
    <fill>
      <patternFill patternType="solid">
        <fgColor theme="3" tint="0.39832758568071536"/>
        <bgColor indexed="64"/>
      </patternFill>
    </fill>
    <fill>
      <patternFill patternType="solid">
        <fgColor theme="5" tint="0.39915158543656726"/>
        <bgColor indexed="64"/>
      </patternFill>
    </fill>
    <fill>
      <patternFill patternType="solid">
        <fgColor rgb="FFD8D8D8"/>
        <bgColor rgb="FF000000"/>
      </patternFill>
    </fill>
    <fill>
      <patternFill patternType="solid">
        <fgColor rgb="FFFAC090"/>
        <bgColor rgb="FF000000"/>
      </patternFill>
    </fill>
    <fill>
      <patternFill patternType="solid">
        <fgColor rgb="FFB8CCE4"/>
        <bgColor rgb="FF000000"/>
      </patternFill>
    </fill>
    <fill>
      <patternFill patternType="solid">
        <fgColor theme="7" tint="0.7993408001953185"/>
        <bgColor rgb="FF000000"/>
      </patternFill>
    </fill>
    <fill>
      <patternFill patternType="solid">
        <fgColor theme="3" tint="0.3966490676595355"/>
        <bgColor rgb="FF000000"/>
      </patternFill>
    </fill>
    <fill>
      <patternFill patternType="solid">
        <fgColor rgb="FFC2D69A"/>
        <bgColor rgb="FF000000"/>
      </patternFill>
    </fill>
    <fill>
      <patternFill patternType="solid">
        <fgColor rgb="FFB6DDE8"/>
        <bgColor rgb="FF000000"/>
      </patternFill>
    </fill>
    <fill>
      <patternFill patternType="solid">
        <fgColor theme="7" tint="0.7993408001953185"/>
        <bgColor indexed="64"/>
      </patternFill>
    </fill>
    <fill>
      <patternFill patternType="solid">
        <fgColor theme="9" tint="0.3966490676595355"/>
        <bgColor rgb="FF000000"/>
      </patternFill>
    </fill>
    <fill>
      <patternFill patternType="solid">
        <fgColor theme="6" tint="0.3966490676595355"/>
        <bgColor indexed="64"/>
      </patternFill>
    </fill>
    <fill>
      <patternFill patternType="solid">
        <fgColor theme="7" tint="0.59999389629810485"/>
        <bgColor indexed="64"/>
      </patternFill>
    </fill>
    <fill>
      <patternFill patternType="solid">
        <fgColor theme="7" tint="0.3966490676595355"/>
        <bgColor indexed="64"/>
      </patternFill>
    </fill>
    <fill>
      <patternFill patternType="solid">
        <fgColor theme="6" tint="0.59999389629810485"/>
        <bgColor indexed="64"/>
      </patternFill>
    </fill>
    <fill>
      <patternFill patternType="solid">
        <fgColor theme="8" tint="0.7993408001953185"/>
        <bgColor indexed="64"/>
      </patternFill>
    </fill>
    <fill>
      <patternFill patternType="solid">
        <fgColor theme="4" tint="0.7993408001953185"/>
        <bgColor rgb="FF000000"/>
      </patternFill>
    </fill>
    <fill>
      <patternFill patternType="solid">
        <fgColor theme="4" tint="0.59999389629810485"/>
        <bgColor rgb="FF000000"/>
      </patternFill>
    </fill>
    <fill>
      <patternFill patternType="solid">
        <fgColor theme="3" tint="0.59999389629810485"/>
        <bgColor rgb="FF000000"/>
      </patternFill>
    </fill>
    <fill>
      <patternFill patternType="solid">
        <fgColor theme="9" tint="0.3966490676595355"/>
        <bgColor indexed="64"/>
      </patternFill>
    </fill>
    <fill>
      <patternFill patternType="solid">
        <fgColor theme="3" tint="0.7993408001953185"/>
        <bgColor rgb="FF000000"/>
      </patternFill>
    </fill>
    <fill>
      <patternFill patternType="solid">
        <fgColor theme="6" tint="0.7993408001953185"/>
        <bgColor indexed="64"/>
      </patternFill>
    </fill>
    <fill>
      <patternFill patternType="solid">
        <fgColor theme="6" tint="0.7993408001953185"/>
        <bgColor rgb="FF000000"/>
      </patternFill>
    </fill>
    <fill>
      <patternFill patternType="solid">
        <fgColor theme="7" tint="0.59999389629810485"/>
        <bgColor rgb="FF000000"/>
      </patternFill>
    </fill>
    <fill>
      <patternFill patternType="solid">
        <fgColor theme="7" tint="0.3966490676595355"/>
        <bgColor rgb="FF000000"/>
      </patternFill>
    </fill>
    <fill>
      <patternFill patternType="solid">
        <fgColor theme="6" tint="0.59999389629810485"/>
        <bgColor rgb="FF000000"/>
      </patternFill>
    </fill>
    <fill>
      <patternFill patternType="solid">
        <fgColor theme="8" tint="0.7993408001953185"/>
        <bgColor rgb="FF000000"/>
      </patternFill>
    </fill>
    <fill>
      <patternFill patternType="solid">
        <fgColor rgb="FFFFFFFF"/>
        <bgColor rgb="FF000000"/>
      </patternFill>
    </fill>
    <fill>
      <patternFill patternType="solid">
        <fgColor rgb="FFFFFF00"/>
        <bgColor rgb="FF000000"/>
      </patternFill>
    </fill>
    <fill>
      <patternFill patternType="solid">
        <fgColor rgb="FFFFFF99"/>
        <bgColor rgb="FF000000"/>
      </patternFill>
    </fill>
    <fill>
      <patternFill patternType="solid">
        <fgColor rgb="FFFFFF99"/>
        <bgColor indexed="64"/>
      </patternFill>
    </fill>
    <fill>
      <patternFill patternType="solid">
        <fgColor rgb="FFFFFF66"/>
        <bgColor rgb="FF000000"/>
      </patternFill>
    </fill>
    <fill>
      <patternFill patternType="solid">
        <fgColor rgb="FFFFFF66"/>
        <bgColor indexed="64"/>
      </patternFill>
    </fill>
    <fill>
      <patternFill patternType="solid">
        <fgColor theme="5" tint="0.7993408001953185"/>
        <bgColor indexed="64"/>
      </patternFill>
    </fill>
    <fill>
      <patternFill patternType="solid">
        <fgColor rgb="FF00B050"/>
        <bgColor indexed="64"/>
      </patternFill>
    </fill>
    <fill>
      <patternFill patternType="solid">
        <fgColor theme="5" tint="0.39909054841761527"/>
        <bgColor indexed="64"/>
      </patternFill>
    </fill>
    <fill>
      <patternFill patternType="solid">
        <fgColor theme="5" tint="0.39683217871639148"/>
        <bgColor indexed="64"/>
      </patternFill>
    </fill>
    <fill>
      <patternFill patternType="solid">
        <fgColor indexed="51"/>
        <bgColor indexed="64"/>
      </patternFill>
    </fill>
    <fill>
      <patternFill patternType="solid">
        <fgColor theme="2"/>
        <bgColor indexed="64"/>
      </patternFill>
    </fill>
    <fill>
      <patternFill patternType="solid">
        <fgColor indexed="27"/>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indexed="45"/>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3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double">
        <color auto="1"/>
      </right>
      <top style="double">
        <color auto="1"/>
      </top>
      <bottom style="hair">
        <color auto="1"/>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thin">
        <color indexed="63"/>
      </left>
      <right style="thin">
        <color indexed="63"/>
      </right>
      <top style="thin">
        <color indexed="63"/>
      </top>
      <bottom style="thin">
        <color indexed="63"/>
      </bottom>
      <diagonal/>
    </border>
    <border>
      <left/>
      <right style="thin">
        <color indexed="63"/>
      </right>
      <top/>
      <bottom style="thin">
        <color indexed="63"/>
      </bottom>
      <diagonal/>
    </border>
    <border>
      <left/>
      <right style="thin">
        <color indexed="63"/>
      </right>
      <top style="thin">
        <color indexed="63"/>
      </top>
      <bottom style="thin">
        <color indexed="63"/>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top/>
      <bottom/>
      <diagonal/>
    </border>
    <border>
      <left/>
      <right style="thin">
        <color auto="1"/>
      </right>
      <top style="medium">
        <color auto="1"/>
      </top>
      <bottom/>
      <diagonal/>
    </border>
    <border>
      <left/>
      <right style="thin">
        <color auto="1"/>
      </right>
      <top/>
      <bottom/>
      <diagonal/>
    </border>
    <border>
      <left/>
      <right style="thin">
        <color auto="1"/>
      </right>
      <top/>
      <bottom style="thin">
        <color auto="1"/>
      </bottom>
      <diagonal/>
    </border>
    <border>
      <left style="thin">
        <color indexed="8"/>
      </left>
      <right/>
      <top style="thin">
        <color indexed="8"/>
      </top>
      <bottom/>
      <diagonal/>
    </border>
    <border>
      <left style="thin">
        <color indexed="8"/>
      </left>
      <right/>
      <top/>
      <bottom/>
      <diagonal/>
    </border>
    <border>
      <left style="thin">
        <color indexed="20"/>
      </left>
      <right style="thin">
        <color indexed="20"/>
      </right>
      <top style="thin">
        <color indexed="20"/>
      </top>
      <bottom style="thin">
        <color indexed="20"/>
      </bottom>
      <diagonal/>
    </border>
    <border>
      <left style="hair">
        <color auto="1"/>
      </left>
      <right/>
      <top style="double">
        <color auto="1"/>
      </top>
      <bottom style="hair">
        <color auto="1"/>
      </bottom>
      <diagonal/>
    </border>
    <border>
      <left style="hair">
        <color auto="1"/>
      </left>
      <right/>
      <top style="hair">
        <color auto="1"/>
      </top>
      <bottom style="hair">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medium">
        <color auto="1"/>
      </left>
      <right/>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top/>
      <bottom style="double">
        <color auto="1"/>
      </bottom>
      <diagonal/>
    </border>
    <border>
      <left style="double">
        <color auto="1"/>
      </left>
      <right style="hair">
        <color auto="1"/>
      </right>
      <top style="double">
        <color auto="1"/>
      </top>
      <bottom/>
      <diagonal/>
    </border>
    <border>
      <left style="hair">
        <color auto="1"/>
      </left>
      <right style="hair">
        <color auto="1"/>
      </right>
      <top style="double">
        <color auto="1"/>
      </top>
      <bottom/>
      <diagonal/>
    </border>
    <border>
      <left/>
      <right/>
      <top style="double">
        <color auto="1"/>
      </top>
      <bottom style="hair">
        <color auto="1"/>
      </bottom>
      <diagonal/>
    </border>
    <border>
      <left/>
      <right style="hair">
        <color auto="1"/>
      </right>
      <top style="double">
        <color auto="1"/>
      </top>
      <bottom style="hair">
        <color auto="1"/>
      </bottom>
      <diagonal/>
    </border>
    <border>
      <left style="hair">
        <color auto="1"/>
      </left>
      <right style="double">
        <color auto="1"/>
      </right>
      <top style="double">
        <color auto="1"/>
      </top>
      <bottom/>
      <diagonal/>
    </border>
    <border>
      <left style="double">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double">
        <color auto="1"/>
      </right>
      <top/>
      <bottom style="hair">
        <color auto="1"/>
      </bottom>
      <diagonal/>
    </border>
    <border>
      <left style="hair">
        <color auto="1"/>
      </left>
      <right style="hair">
        <color auto="1"/>
      </right>
      <top/>
      <bottom/>
      <diagonal/>
    </border>
    <border>
      <left/>
      <right/>
      <top style="hair">
        <color auto="1"/>
      </top>
      <bottom style="hair">
        <color auto="1"/>
      </bottom>
      <diagonal/>
    </border>
    <border>
      <left/>
      <right style="hair">
        <color auto="1"/>
      </right>
      <top style="hair">
        <color auto="1"/>
      </top>
      <bottom style="hair">
        <color auto="1"/>
      </bottom>
      <diagonal/>
    </border>
    <border>
      <left/>
      <right style="thin">
        <color rgb="FF000000"/>
      </right>
      <top/>
      <bottom style="thin">
        <color auto="1"/>
      </bottom>
      <diagonal/>
    </border>
    <border>
      <left style="thin">
        <color rgb="FF000000"/>
      </left>
      <right/>
      <top style="thin">
        <color auto="1"/>
      </top>
      <bottom style="thin">
        <color auto="1"/>
      </bottom>
      <diagonal/>
    </border>
    <border>
      <left style="thin">
        <color auto="1"/>
      </left>
      <right/>
      <top style="thin">
        <color auto="1"/>
      </top>
      <bottom/>
      <diagonal/>
    </border>
    <border>
      <left style="hair">
        <color auto="1"/>
      </left>
      <right style="medium">
        <color auto="1"/>
      </right>
      <top style="double">
        <color auto="1"/>
      </top>
      <bottom style="hair">
        <color auto="1"/>
      </bottom>
      <diagonal/>
    </border>
    <border>
      <left/>
      <right style="medium">
        <color auto="1"/>
      </right>
      <top/>
      <bottom/>
      <diagonal/>
    </border>
    <border>
      <left style="double">
        <color auto="1"/>
      </left>
      <right style="hair">
        <color auto="1"/>
      </right>
      <top/>
      <bottom/>
      <diagonal/>
    </border>
    <border>
      <left style="double">
        <color auto="1"/>
      </left>
      <right style="hair">
        <color auto="1"/>
      </right>
      <top style="hair">
        <color auto="1"/>
      </top>
      <bottom/>
      <diagonal/>
    </border>
    <border>
      <left/>
      <right/>
      <top/>
      <bottom style="hair">
        <color auto="1"/>
      </bottom>
      <diagonal/>
    </border>
    <border>
      <left/>
      <right/>
      <top/>
      <bottom style="medium">
        <color auto="1"/>
      </bottom>
      <diagonal/>
    </border>
    <border>
      <left/>
      <right style="hair">
        <color auto="1"/>
      </right>
      <top style="medium">
        <color auto="1"/>
      </top>
      <bottom style="hair">
        <color auto="1"/>
      </bottom>
      <diagonal/>
    </border>
    <border>
      <left style="hair">
        <color auto="1"/>
      </left>
      <right/>
      <top style="medium">
        <color auto="1"/>
      </top>
      <bottom style="hair">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style="medium">
        <color auto="1"/>
      </top>
      <bottom/>
      <diagonal/>
    </border>
    <border>
      <left style="medium">
        <color auto="1"/>
      </left>
      <right style="hair">
        <color auto="1"/>
      </right>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medium">
        <color auto="1"/>
      </left>
      <right style="medium">
        <color auto="1"/>
      </right>
      <top/>
      <bottom/>
      <diagonal/>
    </border>
    <border>
      <left style="hair">
        <color auto="1"/>
      </left>
      <right style="medium">
        <color auto="1"/>
      </right>
      <top/>
      <bottom style="hair">
        <color auto="1"/>
      </bottom>
      <diagonal/>
    </border>
    <border>
      <left style="medium">
        <color auto="1"/>
      </left>
      <right style="medium">
        <color auto="1"/>
      </right>
      <top/>
      <bottom style="hair">
        <color auto="1"/>
      </bottom>
      <diagonal/>
    </border>
    <border>
      <left style="hair">
        <color auto="1"/>
      </left>
      <right style="hair">
        <color auto="1"/>
      </right>
      <top/>
      <bottom style="medium">
        <color auto="1"/>
      </bottom>
      <diagonal/>
    </border>
    <border>
      <left/>
      <right style="hair">
        <color auto="1"/>
      </right>
      <top style="hair">
        <color auto="1"/>
      </top>
      <bottom style="medium">
        <color auto="1"/>
      </bottom>
      <diagonal/>
    </border>
    <border>
      <left style="medium">
        <color auto="1"/>
      </left>
      <right style="medium">
        <color auto="1"/>
      </right>
      <top style="hair">
        <color auto="1"/>
      </top>
      <bottom style="medium">
        <color auto="1"/>
      </bottom>
      <diagonal/>
    </border>
    <border>
      <left/>
      <right style="hair">
        <color auto="1"/>
      </right>
      <top/>
      <bottom style="hair">
        <color auto="1"/>
      </bottom>
      <diagonal/>
    </border>
    <border>
      <left style="hair">
        <color auto="1"/>
      </left>
      <right/>
      <top/>
      <bottom style="hair">
        <color auto="1"/>
      </bottom>
      <diagonal/>
    </border>
    <border>
      <left/>
      <right style="medium">
        <color auto="1"/>
      </right>
      <top/>
      <bottom style="hair">
        <color auto="1"/>
      </bottom>
      <diagonal/>
    </border>
    <border>
      <left/>
      <right/>
      <top style="hair">
        <color auto="1"/>
      </top>
      <bottom style="medium">
        <color auto="1"/>
      </bottom>
      <diagonal/>
    </border>
    <border>
      <left/>
      <right style="hair">
        <color auto="1"/>
      </right>
      <top style="double">
        <color auto="1"/>
      </top>
      <bottom/>
      <diagonal/>
    </border>
    <border>
      <left style="double">
        <color auto="1"/>
      </left>
      <right/>
      <top style="hair">
        <color auto="1"/>
      </top>
      <bottom style="hair">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74">
    <xf numFmtId="0" fontId="0" fillId="0" borderId="0">
      <alignment vertical="center"/>
    </xf>
    <xf numFmtId="178" fontId="184" fillId="0" borderId="0" applyFont="0" applyFill="0" applyBorder="0" applyAlignment="0" applyProtection="0">
      <alignment vertical="center"/>
    </xf>
    <xf numFmtId="9" fontId="184" fillId="0" borderId="0" applyFont="0" applyFill="0" applyBorder="0" applyAlignment="0" applyProtection="0">
      <alignment vertical="center"/>
    </xf>
    <xf numFmtId="179" fontId="184" fillId="0" borderId="0" applyFont="0" applyFill="0" applyBorder="0" applyAlignment="0" applyProtection="0">
      <alignment vertical="center"/>
    </xf>
    <xf numFmtId="0" fontId="23" fillId="0" borderId="0" applyProtection="0">
      <alignment vertical="center"/>
    </xf>
    <xf numFmtId="0" fontId="184" fillId="10" borderId="0" applyNumberFormat="0" applyBorder="0" applyAlignment="0" applyProtection="0">
      <alignment vertical="center"/>
    </xf>
    <xf numFmtId="0" fontId="184" fillId="79" borderId="0" applyNumberFormat="0" applyBorder="0" applyAlignment="0" applyProtection="0">
      <alignment vertical="center"/>
    </xf>
    <xf numFmtId="0" fontId="184" fillId="32" borderId="0" applyNumberFormat="0" applyBorder="0" applyAlignment="0" applyProtection="0">
      <alignment vertical="center"/>
    </xf>
    <xf numFmtId="0" fontId="184" fillId="80" borderId="0" applyNumberFormat="0" applyBorder="0" applyAlignment="0" applyProtection="0">
      <alignment vertical="center"/>
    </xf>
    <xf numFmtId="0" fontId="184" fillId="76" borderId="0" applyNumberFormat="0" applyBorder="0" applyAlignment="0" applyProtection="0">
      <alignment vertical="center"/>
    </xf>
    <xf numFmtId="0" fontId="184" fillId="31" borderId="0" applyNumberFormat="0" applyBorder="0" applyAlignment="0" applyProtection="0">
      <alignment vertical="center"/>
    </xf>
    <xf numFmtId="0" fontId="184" fillId="81" borderId="0" applyNumberFormat="0" applyBorder="0" applyAlignment="0" applyProtection="0">
      <alignment vertical="center"/>
    </xf>
    <xf numFmtId="0" fontId="184" fillId="82" borderId="0" applyNumberFormat="0" applyBorder="0" applyAlignment="0" applyProtection="0">
      <alignment vertical="center"/>
    </xf>
    <xf numFmtId="0" fontId="184" fillId="83" borderId="0" applyNumberFormat="0" applyBorder="0" applyAlignment="0" applyProtection="0">
      <alignment vertical="center"/>
    </xf>
    <xf numFmtId="0" fontId="184" fillId="74" borderId="0" applyNumberFormat="0" applyBorder="0" applyAlignment="0" applyProtection="0">
      <alignment vertical="center"/>
    </xf>
    <xf numFmtId="0" fontId="157" fillId="84" borderId="0" applyNumberFormat="0" applyBorder="0" applyAlignment="0" applyProtection="0">
      <alignment vertical="center"/>
    </xf>
    <xf numFmtId="0" fontId="157" fillId="82" borderId="0" applyNumberFormat="0" applyBorder="0" applyAlignment="0" applyProtection="0">
      <alignment vertical="center"/>
    </xf>
    <xf numFmtId="0" fontId="157" fillId="83" borderId="0" applyNumberFormat="0" applyBorder="0" applyAlignment="0" applyProtection="0">
      <alignment vertical="center"/>
    </xf>
    <xf numFmtId="0" fontId="157" fillId="85" borderId="0" applyNumberFormat="0" applyBorder="0" applyAlignment="0" applyProtection="0">
      <alignment vertical="center"/>
    </xf>
    <xf numFmtId="0" fontId="157" fillId="86" borderId="0" applyNumberFormat="0" applyBorder="0" applyAlignment="0" applyProtection="0">
      <alignment vertical="center"/>
    </xf>
    <xf numFmtId="0" fontId="157" fillId="87" borderId="0" applyNumberFormat="0" applyBorder="0" applyAlignment="0" applyProtection="0">
      <alignment vertical="center"/>
    </xf>
    <xf numFmtId="9" fontId="1" fillId="0" borderId="0" applyFont="0" applyFill="0" applyBorder="0" applyAlignment="0" applyProtection="0">
      <alignment vertical="center"/>
    </xf>
    <xf numFmtId="9" fontId="79" fillId="0" borderId="0" applyFont="0" applyFill="0" applyBorder="0" applyAlignment="0" applyProtection="0">
      <alignment vertical="center"/>
    </xf>
    <xf numFmtId="9" fontId="4" fillId="0" borderId="0" applyFont="0" applyFill="0" applyBorder="0" applyAlignment="0" applyProtection="0">
      <alignment vertical="center"/>
    </xf>
    <xf numFmtId="0" fontId="158" fillId="0" borderId="124" applyNumberFormat="0" applyFill="0" applyAlignment="0" applyProtection="0">
      <alignment vertical="center"/>
    </xf>
    <xf numFmtId="0" fontId="159" fillId="0" borderId="125" applyNumberFormat="0" applyFill="0" applyAlignment="0" applyProtection="0">
      <alignment vertical="center"/>
    </xf>
    <xf numFmtId="0" fontId="160" fillId="0" borderId="126" applyNumberFormat="0" applyFill="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xf numFmtId="0" fontId="163" fillId="82" borderId="0" applyProtection="0"/>
    <xf numFmtId="0" fontId="163" fillId="82" borderId="0" applyProtection="0">
      <alignment vertical="center"/>
    </xf>
    <xf numFmtId="0" fontId="164" fillId="79" borderId="0" applyNumberFormat="0" applyBorder="0" applyAlignment="0" applyProtection="0">
      <alignment vertical="center"/>
    </xf>
    <xf numFmtId="0" fontId="4" fillId="0" borderId="0">
      <alignment vertical="center"/>
    </xf>
    <xf numFmtId="0" fontId="23" fillId="0" borderId="0"/>
    <xf numFmtId="0" fontId="1" fillId="0" borderId="0">
      <alignment vertical="center"/>
    </xf>
    <xf numFmtId="0" fontId="184" fillId="0" borderId="0">
      <alignment vertical="center"/>
    </xf>
    <xf numFmtId="0" fontId="4" fillId="0" borderId="0"/>
    <xf numFmtId="0" fontId="1" fillId="0" borderId="0">
      <alignment vertical="center"/>
    </xf>
    <xf numFmtId="0" fontId="1" fillId="0" borderId="0"/>
    <xf numFmtId="180" fontId="4" fillId="0" borderId="0">
      <alignment vertical="center"/>
    </xf>
    <xf numFmtId="0" fontId="1" fillId="0" borderId="0">
      <alignment vertical="center"/>
    </xf>
    <xf numFmtId="0" fontId="184" fillId="0" borderId="0"/>
    <xf numFmtId="0" fontId="1" fillId="0" borderId="0"/>
    <xf numFmtId="0" fontId="1" fillId="0" borderId="0">
      <alignment vertical="center"/>
    </xf>
    <xf numFmtId="0" fontId="23" fillId="0" borderId="0"/>
    <xf numFmtId="0" fontId="23" fillId="0" borderId="0">
      <alignment vertical="center"/>
    </xf>
    <xf numFmtId="0" fontId="165" fillId="32" borderId="0" applyNumberFormat="0" applyBorder="0" applyAlignment="0" applyProtection="0">
      <alignment vertical="center"/>
    </xf>
    <xf numFmtId="0" fontId="94" fillId="0" borderId="127" applyNumberFormat="0" applyFill="0" applyAlignment="0" applyProtection="0">
      <alignment vertical="center"/>
    </xf>
    <xf numFmtId="0" fontId="166" fillId="88" borderId="128" applyNumberFormat="0" applyAlignment="0" applyProtection="0">
      <alignment vertical="center"/>
    </xf>
    <xf numFmtId="0" fontId="167" fillId="89" borderId="129" applyNumberFormat="0" applyAlignment="0" applyProtection="0">
      <alignment vertical="center"/>
    </xf>
    <xf numFmtId="0" fontId="168"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130" applyNumberFormat="0" applyFill="0" applyAlignment="0" applyProtection="0">
      <alignment vertical="center"/>
    </xf>
    <xf numFmtId="178" fontId="1" fillId="0" borderId="0" applyFont="0" applyFill="0" applyBorder="0" applyAlignment="0" applyProtection="0"/>
    <xf numFmtId="178" fontId="184" fillId="0" borderId="0" applyFont="0" applyFill="0" applyBorder="0" applyAlignment="0" applyProtection="0">
      <alignment vertical="center"/>
    </xf>
    <xf numFmtId="178" fontId="1" fillId="0" borderId="0" applyProtection="0"/>
    <xf numFmtId="178" fontId="1" fillId="0" borderId="0" applyFont="0" applyFill="0" applyBorder="0" applyAlignment="0" applyProtection="0">
      <alignment vertical="center"/>
    </xf>
    <xf numFmtId="178" fontId="1" fillId="0" borderId="0" applyProtection="0">
      <alignment vertical="center"/>
    </xf>
    <xf numFmtId="178" fontId="1" fillId="0" borderId="0" applyProtection="0">
      <alignment vertical="center"/>
    </xf>
    <xf numFmtId="178" fontId="4" fillId="0" borderId="0" applyFont="0" applyFill="0" applyBorder="0" applyAlignment="0" applyProtection="0">
      <alignment vertical="center"/>
    </xf>
    <xf numFmtId="178" fontId="79" fillId="0" borderId="0" applyFont="0" applyFill="0" applyBorder="0" applyAlignment="0" applyProtection="0">
      <alignment vertical="center"/>
    </xf>
    <xf numFmtId="179" fontId="1" fillId="0" borderId="0" applyFont="0" applyFill="0" applyBorder="0" applyAlignment="0" applyProtection="0">
      <alignment vertical="center"/>
    </xf>
    <xf numFmtId="179" fontId="4" fillId="0" borderId="0" applyFont="0" applyFill="0" applyBorder="0" applyAlignment="0" applyProtection="0">
      <alignment vertical="center"/>
    </xf>
    <xf numFmtId="0" fontId="1" fillId="0" borderId="0" applyFont="0" applyFill="0" applyBorder="0" applyAlignment="0" applyProtection="0">
      <alignment vertical="center"/>
    </xf>
    <xf numFmtId="0" fontId="157" fillId="90" borderId="0" applyNumberFormat="0" applyBorder="0" applyAlignment="0" applyProtection="0">
      <alignment vertical="center"/>
    </xf>
    <xf numFmtId="0" fontId="157" fillId="91" borderId="0" applyNumberFormat="0" applyBorder="0" applyAlignment="0" applyProtection="0">
      <alignment vertical="center"/>
    </xf>
    <xf numFmtId="0" fontId="157" fillId="92" borderId="0" applyNumberFormat="0" applyBorder="0" applyAlignment="0" applyProtection="0">
      <alignment vertical="center"/>
    </xf>
    <xf numFmtId="0" fontId="157" fillId="93" borderId="0" applyNumberFormat="0" applyBorder="0" applyAlignment="0" applyProtection="0">
      <alignment vertical="center"/>
    </xf>
    <xf numFmtId="0" fontId="163" fillId="34" borderId="0" applyNumberFormat="0" applyBorder="0" applyAlignment="0" applyProtection="0">
      <alignment vertical="center"/>
    </xf>
    <xf numFmtId="0" fontId="171" fillId="88" borderId="18" applyNumberFormat="0" applyAlignment="0" applyProtection="0">
      <alignment vertical="center"/>
    </xf>
    <xf numFmtId="0" fontId="172" fillId="31" borderId="128" applyNumberFormat="0" applyAlignment="0" applyProtection="0">
      <alignment vertical="center"/>
    </xf>
    <xf numFmtId="0" fontId="184" fillId="94" borderId="131" applyNumberFormat="0" applyFont="0" applyAlignment="0" applyProtection="0">
      <alignment vertical="center"/>
    </xf>
    <xf numFmtId="0" fontId="1" fillId="94" borderId="131" applyNumberFormat="0" applyFont="0" applyAlignment="0" applyProtection="0">
      <alignment vertical="center"/>
    </xf>
  </cellStyleXfs>
  <cellXfs count="2147">
    <xf numFmtId="0" fontId="0" fillId="0" borderId="0" xfId="0">
      <alignment vertical="center"/>
    </xf>
    <xf numFmtId="181" fontId="1" fillId="2" borderId="0" xfId="0" applyNumberFormat="1" applyFont="1" applyFill="1" applyAlignment="1"/>
    <xf numFmtId="182" fontId="1" fillId="0" borderId="0" xfId="0" applyNumberFormat="1" applyFont="1" applyAlignment="1">
      <alignment horizontal="center"/>
    </xf>
    <xf numFmtId="183" fontId="1" fillId="0" borderId="0" xfId="1" applyNumberFormat="1" applyFont="1" applyAlignment="1">
      <alignment horizontal="center"/>
    </xf>
    <xf numFmtId="178" fontId="1" fillId="0" borderId="0" xfId="1" applyFont="1" applyAlignment="1">
      <alignment horizontal="center"/>
    </xf>
    <xf numFmtId="178" fontId="1" fillId="3" borderId="0" xfId="1" applyFont="1" applyFill="1" applyAlignment="1">
      <alignment horizontal="center"/>
    </xf>
    <xf numFmtId="178" fontId="1" fillId="0" borderId="0" xfId="0" applyNumberFormat="1" applyFont="1" applyAlignment="1"/>
    <xf numFmtId="181" fontId="1" fillId="0" borderId="0" xfId="0" applyNumberFormat="1" applyFont="1" applyAlignment="1"/>
    <xf numFmtId="178" fontId="2" fillId="0" borderId="0" xfId="0" applyNumberFormat="1" applyFont="1" applyAlignment="1">
      <alignment horizontal="center" vertical="center"/>
    </xf>
    <xf numFmtId="182" fontId="3" fillId="4" borderId="1" xfId="0" applyNumberFormat="1" applyFont="1" applyFill="1" applyBorder="1" applyAlignment="1">
      <alignment horizontal="center" vertical="center" wrapText="1"/>
    </xf>
    <xf numFmtId="183" fontId="3" fillId="4" borderId="1" xfId="0" applyNumberFormat="1" applyFont="1" applyFill="1" applyBorder="1" applyAlignment="1">
      <alignment horizontal="center" vertical="center" wrapText="1"/>
    </xf>
    <xf numFmtId="178" fontId="3" fillId="4" borderId="1" xfId="0" applyNumberFormat="1" applyFont="1" applyFill="1" applyBorder="1" applyAlignment="1">
      <alignment horizontal="center" vertical="center" wrapText="1"/>
    </xf>
    <xf numFmtId="178" fontId="1" fillId="4" borderId="1" xfId="0" applyNumberFormat="1" applyFont="1" applyFill="1" applyBorder="1" applyAlignment="1"/>
    <xf numFmtId="182" fontId="4" fillId="3" borderId="1" xfId="0" applyNumberFormat="1" applyFont="1" applyFill="1" applyBorder="1" applyAlignment="1">
      <alignment horizontal="center" vertical="center"/>
    </xf>
    <xf numFmtId="182" fontId="5" fillId="3" borderId="1" xfId="43" applyNumberFormat="1" applyFont="1" applyFill="1" applyBorder="1" applyAlignment="1">
      <alignment horizontal="center" vertical="center"/>
    </xf>
    <xf numFmtId="183" fontId="6" fillId="3" borderId="1" xfId="0" applyNumberFormat="1" applyFont="1" applyFill="1" applyBorder="1" applyAlignment="1">
      <alignment horizontal="center" vertical="center"/>
    </xf>
    <xf numFmtId="178" fontId="6" fillId="3" borderId="1" xfId="0" applyNumberFormat="1" applyFont="1" applyFill="1" applyBorder="1" applyAlignment="1">
      <alignment horizontal="center" vertical="center"/>
    </xf>
    <xf numFmtId="178" fontId="1" fillId="3" borderId="1" xfId="1" applyFont="1" applyFill="1" applyBorder="1" applyAlignment="1">
      <alignment horizontal="center"/>
    </xf>
    <xf numFmtId="178" fontId="1" fillId="0" borderId="1" xfId="0" applyNumberFormat="1" applyFont="1" applyBorder="1" applyAlignment="1"/>
    <xf numFmtId="182" fontId="7" fillId="3" borderId="1" xfId="43" applyNumberFormat="1" applyFont="1" applyFill="1" applyBorder="1" applyAlignment="1">
      <alignment horizontal="center" vertical="center" wrapText="1"/>
    </xf>
    <xf numFmtId="182" fontId="5" fillId="3" borderId="1" xfId="0" applyNumberFormat="1" applyFont="1" applyFill="1" applyBorder="1" applyAlignment="1">
      <alignment horizontal="center" vertical="center"/>
    </xf>
    <xf numFmtId="182" fontId="8" fillId="3" borderId="1" xfId="0" applyNumberFormat="1" applyFont="1" applyFill="1" applyBorder="1" applyAlignment="1">
      <alignment horizontal="center" vertical="center" wrapText="1"/>
    </xf>
    <xf numFmtId="182" fontId="5" fillId="2" borderId="1" xfId="43" applyNumberFormat="1" applyFont="1" applyFill="1" applyBorder="1" applyAlignment="1">
      <alignment horizontal="center" vertical="center"/>
    </xf>
    <xf numFmtId="178" fontId="1" fillId="2" borderId="1" xfId="1" applyFont="1" applyFill="1" applyBorder="1" applyAlignment="1">
      <alignment horizontal="center"/>
    </xf>
    <xf numFmtId="178" fontId="1" fillId="2" borderId="1" xfId="0" applyNumberFormat="1" applyFont="1" applyFill="1" applyBorder="1" applyAlignment="1"/>
    <xf numFmtId="182" fontId="1" fillId="0" borderId="1" xfId="0" applyNumberFormat="1" applyFont="1" applyBorder="1" applyAlignment="1">
      <alignment horizontal="center"/>
    </xf>
    <xf numFmtId="183" fontId="1" fillId="0" borderId="1" xfId="1" applyNumberFormat="1" applyFont="1" applyBorder="1" applyAlignment="1">
      <alignment horizontal="center"/>
    </xf>
    <xf numFmtId="178" fontId="1" fillId="0" borderId="1" xfId="1" applyFont="1" applyBorder="1" applyAlignment="1">
      <alignment horizontal="center"/>
    </xf>
    <xf numFmtId="182" fontId="8" fillId="3" borderId="0" xfId="0" applyNumberFormat="1" applyFont="1" applyFill="1" applyAlignment="1">
      <alignment horizontal="center" vertical="center" wrapText="1"/>
    </xf>
    <xf numFmtId="182" fontId="9" fillId="3" borderId="0" xfId="0" applyNumberFormat="1" applyFont="1" applyFill="1" applyAlignment="1">
      <alignment horizontal="center" vertical="center" wrapText="1"/>
    </xf>
    <xf numFmtId="0" fontId="10" fillId="0" borderId="0" xfId="0" applyFont="1">
      <alignment vertical="center"/>
    </xf>
    <xf numFmtId="178" fontId="0" fillId="0" borderId="0" xfId="1" applyFont="1">
      <alignment vertical="center"/>
    </xf>
    <xf numFmtId="0" fontId="0" fillId="2" borderId="1" xfId="0" applyFill="1" applyBorder="1" applyAlignment="1">
      <alignment horizontal="center" vertical="center"/>
    </xf>
    <xf numFmtId="178" fontId="0" fillId="2" borderId="1" xfId="1" applyFont="1" applyFill="1" applyBorder="1" applyAlignment="1">
      <alignment horizontal="center" vertical="center"/>
    </xf>
    <xf numFmtId="0" fontId="10" fillId="0" borderId="1" xfId="0" applyFont="1" applyBorder="1" applyAlignment="1">
      <alignment horizontal="center" vertical="center"/>
    </xf>
    <xf numFmtId="178" fontId="10" fillId="0" borderId="1" xfId="1" applyFont="1" applyBorder="1" applyAlignment="1">
      <alignment horizontal="center" vertical="center"/>
    </xf>
    <xf numFmtId="10" fontId="10" fillId="0" borderId="1" xfId="1" applyNumberFormat="1" applyFont="1" applyBorder="1" applyAlignment="1">
      <alignment horizontal="center" vertical="center"/>
    </xf>
    <xf numFmtId="178" fontId="10" fillId="5" borderId="1" xfId="1" applyFont="1" applyFill="1" applyBorder="1" applyAlignment="1">
      <alignment horizontal="center" vertical="center"/>
    </xf>
    <xf numFmtId="178" fontId="10" fillId="0" borderId="0" xfId="0" applyNumberFormat="1" applyFont="1">
      <alignment vertical="center"/>
    </xf>
    <xf numFmtId="0" fontId="4" fillId="0" borderId="1" xfId="0" applyFont="1" applyBorder="1" applyAlignment="1">
      <alignment horizontal="center" vertical="center"/>
    </xf>
    <xf numFmtId="184" fontId="4" fillId="0" borderId="1" xfId="0" applyNumberFormat="1" applyFont="1" applyBorder="1" applyAlignment="1">
      <alignment horizontal="center" vertical="center"/>
    </xf>
    <xf numFmtId="0" fontId="11" fillId="0" borderId="0" xfId="0" applyFont="1">
      <alignment vertical="center"/>
    </xf>
    <xf numFmtId="0" fontId="10" fillId="0" borderId="0" xfId="0" applyFont="1" applyAlignment="1">
      <alignment horizontal="center" vertical="center"/>
    </xf>
    <xf numFmtId="0" fontId="10" fillId="3" borderId="0" xfId="0" applyFont="1" applyFill="1" applyAlignment="1">
      <alignment horizontal="center" vertical="center"/>
    </xf>
    <xf numFmtId="0" fontId="10" fillId="3" borderId="0" xfId="0" applyFont="1" applyFill="1">
      <alignment vertical="center"/>
    </xf>
    <xf numFmtId="0" fontId="14" fillId="6" borderId="1" xfId="0" applyFont="1" applyFill="1" applyBorder="1" applyAlignment="1">
      <alignment horizontal="center" vertical="center" wrapText="1"/>
    </xf>
    <xf numFmtId="185" fontId="15" fillId="7" borderId="1" xfId="0" applyNumberFormat="1" applyFont="1" applyFill="1" applyBorder="1" applyAlignment="1">
      <alignment horizontal="center" vertical="center"/>
    </xf>
    <xf numFmtId="185" fontId="16" fillId="8" borderId="1" xfId="0" applyNumberFormat="1" applyFont="1" applyFill="1" applyBorder="1" applyAlignment="1">
      <alignment horizontal="center" vertical="center" wrapText="1"/>
    </xf>
    <xf numFmtId="178" fontId="13" fillId="8" borderId="1" xfId="1" applyFont="1" applyFill="1" applyBorder="1" applyAlignment="1">
      <alignment horizontal="center" vertical="center"/>
    </xf>
    <xf numFmtId="185" fontId="15" fillId="8" borderId="1" xfId="0" applyNumberFormat="1" applyFont="1" applyFill="1" applyBorder="1" applyAlignment="1">
      <alignment horizontal="center" vertical="center"/>
    </xf>
    <xf numFmtId="186" fontId="13" fillId="8" borderId="1" xfId="43" applyNumberFormat="1" applyFont="1" applyFill="1" applyBorder="1" applyAlignment="1">
      <alignment horizontal="center" vertical="center"/>
    </xf>
    <xf numFmtId="0" fontId="15" fillId="0" borderId="1" xfId="0" applyFont="1" applyBorder="1" applyAlignment="1">
      <alignment horizontal="center" vertical="center"/>
    </xf>
    <xf numFmtId="185" fontId="16" fillId="3" borderId="1" xfId="0" applyNumberFormat="1" applyFont="1" applyFill="1" applyBorder="1" applyAlignment="1">
      <alignment horizontal="center" vertical="center" wrapText="1"/>
    </xf>
    <xf numFmtId="4" fontId="15" fillId="3" borderId="1" xfId="0" applyNumberFormat="1" applyFont="1" applyFill="1" applyBorder="1" applyAlignment="1">
      <alignment horizontal="center" vertical="center"/>
    </xf>
    <xf numFmtId="180" fontId="15" fillId="3"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0" fontId="15" fillId="0" borderId="1" xfId="0" applyFont="1" applyBorder="1" applyAlignment="1">
      <alignment horizontal="center" vertical="center" wrapText="1"/>
    </xf>
    <xf numFmtId="9" fontId="16" fillId="3" borderId="1" xfId="2" applyFont="1" applyFill="1" applyBorder="1" applyAlignment="1">
      <alignment horizontal="center" vertical="center" wrapText="1"/>
    </xf>
    <xf numFmtId="9" fontId="16" fillId="0" borderId="1" xfId="2" applyFont="1" applyFill="1" applyBorder="1" applyAlignment="1">
      <alignment horizontal="center" vertical="center" wrapText="1"/>
    </xf>
    <xf numFmtId="187" fontId="15" fillId="0" borderId="1" xfId="0" applyNumberFormat="1" applyFont="1" applyBorder="1" applyAlignment="1">
      <alignment horizontal="center" vertical="center"/>
    </xf>
    <xf numFmtId="187" fontId="13" fillId="0" borderId="1" xfId="0" applyNumberFormat="1" applyFont="1" applyBorder="1" applyAlignment="1">
      <alignment horizontal="center" vertical="center"/>
    </xf>
    <xf numFmtId="0" fontId="13" fillId="0" borderId="0" xfId="0" applyFont="1">
      <alignment vertical="center"/>
    </xf>
    <xf numFmtId="0" fontId="13" fillId="0" borderId="0" xfId="0" applyFont="1" applyAlignment="1">
      <alignment horizontal="center" vertical="center"/>
    </xf>
    <xf numFmtId="0" fontId="13" fillId="3" borderId="0" xfId="0" applyFont="1" applyFill="1" applyAlignment="1">
      <alignment horizontal="center" vertical="center"/>
    </xf>
    <xf numFmtId="0" fontId="13" fillId="3" borderId="0" xfId="0" applyFont="1" applyFill="1">
      <alignment vertical="center"/>
    </xf>
    <xf numFmtId="9" fontId="10" fillId="0" borderId="0" xfId="21" applyFont="1" applyAlignment="1">
      <alignment horizontal="center" vertical="center"/>
    </xf>
    <xf numFmtId="0" fontId="18" fillId="0" borderId="1" xfId="0" applyFont="1" applyBorder="1" applyAlignment="1">
      <alignment horizontal="center" vertical="center"/>
    </xf>
    <xf numFmtId="0" fontId="14" fillId="9" borderId="1" xfId="0" applyFont="1" applyFill="1" applyBorder="1" applyAlignment="1">
      <alignment horizontal="center" vertical="center" wrapText="1"/>
    </xf>
    <xf numFmtId="0" fontId="16" fillId="0" borderId="1" xfId="0" applyFont="1" applyBorder="1" applyAlignment="1">
      <alignment horizontal="center" vertical="center"/>
    </xf>
    <xf numFmtId="188" fontId="15"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5" fillId="0" borderId="6" xfId="0" applyFont="1" applyBorder="1" applyAlignment="1">
      <alignment horizontal="center" vertical="center"/>
    </xf>
    <xf numFmtId="0" fontId="20" fillId="0" borderId="0" xfId="0" applyFont="1" applyAlignment="1">
      <alignment horizontal="center" vertical="center"/>
    </xf>
    <xf numFmtId="0" fontId="21" fillId="0" borderId="11"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9" fontId="21" fillId="0" borderId="13" xfId="0" applyNumberFormat="1" applyFont="1" applyBorder="1" applyAlignment="1">
      <alignment horizontal="center" vertical="center" wrapText="1"/>
    </xf>
    <xf numFmtId="10" fontId="22" fillId="0" borderId="13" xfId="0" applyNumberFormat="1" applyFont="1" applyBorder="1" applyAlignment="1">
      <alignment horizontal="center" vertical="center" wrapText="1"/>
    </xf>
    <xf numFmtId="9" fontId="22" fillId="0" borderId="13" xfId="0" applyNumberFormat="1" applyFont="1" applyBorder="1" applyAlignment="1">
      <alignment horizontal="center" vertical="center" wrapText="1"/>
    </xf>
    <xf numFmtId="0" fontId="22" fillId="0" borderId="13" xfId="0" applyFont="1" applyBorder="1" applyAlignment="1">
      <alignment horizontal="center" vertical="center" wrapText="1"/>
    </xf>
    <xf numFmtId="0" fontId="21" fillId="0" borderId="13" xfId="0" applyFont="1" applyBorder="1">
      <alignment vertical="center"/>
    </xf>
    <xf numFmtId="0" fontId="21" fillId="0" borderId="14" xfId="0" applyFont="1" applyBorder="1">
      <alignment vertical="center"/>
    </xf>
    <xf numFmtId="0" fontId="21" fillId="0" borderId="16" xfId="0" applyFont="1" applyBorder="1">
      <alignment vertical="center"/>
    </xf>
    <xf numFmtId="0" fontId="21" fillId="0" borderId="17" xfId="0" applyFont="1" applyBorder="1">
      <alignment vertical="center"/>
    </xf>
    <xf numFmtId="0" fontId="23" fillId="0" borderId="0" xfId="0" applyFont="1" applyAlignment="1"/>
    <xf numFmtId="0" fontId="24" fillId="0" borderId="0" xfId="0" applyFont="1" applyAlignment="1"/>
    <xf numFmtId="0" fontId="23" fillId="3" borderId="0" xfId="0" applyFont="1" applyFill="1" applyAlignment="1"/>
    <xf numFmtId="0" fontId="5" fillId="0" borderId="18" xfId="0" applyFont="1" applyBorder="1" applyAlignment="1">
      <alignment horizontal="center" vertical="top" wrapText="1"/>
    </xf>
    <xf numFmtId="0" fontId="25" fillId="0" borderId="19" xfId="0" applyFont="1" applyBorder="1" applyAlignment="1">
      <alignment horizontal="left" vertical="top" wrapText="1"/>
    </xf>
    <xf numFmtId="0" fontId="5" fillId="0" borderId="18" xfId="0" applyFont="1" applyBorder="1" applyAlignment="1">
      <alignment horizontal="left" vertical="top" wrapText="1"/>
    </xf>
    <xf numFmtId="22" fontId="5" fillId="0" borderId="18" xfId="0" applyNumberFormat="1" applyFont="1" applyBorder="1" applyAlignment="1">
      <alignment horizontal="left" vertical="top" wrapText="1"/>
    </xf>
    <xf numFmtId="0" fontId="5" fillId="0" borderId="20" xfId="0" applyFont="1" applyBorder="1" applyAlignment="1">
      <alignment horizontal="left" vertical="top" wrapText="1"/>
    </xf>
    <xf numFmtId="0" fontId="5" fillId="0" borderId="18" xfId="0" applyFont="1" applyBorder="1" applyAlignment="1">
      <alignment horizontal="right" vertical="top" wrapText="1"/>
    </xf>
    <xf numFmtId="0" fontId="26" fillId="0" borderId="0" xfId="0" applyFont="1">
      <alignment vertical="center"/>
    </xf>
    <xf numFmtId="0" fontId="26" fillId="0" borderId="0" xfId="0" applyFont="1" applyAlignment="1"/>
    <xf numFmtId="0" fontId="1" fillId="0" borderId="0" xfId="0" applyFont="1">
      <alignment vertical="center"/>
    </xf>
    <xf numFmtId="178" fontId="1" fillId="0" borderId="0" xfId="1" applyFont="1" applyFill="1" applyBorder="1" applyAlignment="1">
      <alignment vertical="center"/>
    </xf>
    <xf numFmtId="0" fontId="26" fillId="0" borderId="1" xfId="0" applyFont="1" applyBorder="1" applyAlignment="1">
      <alignment horizontal="left"/>
    </xf>
    <xf numFmtId="0" fontId="26" fillId="0" borderId="1" xfId="0" applyFont="1" applyBorder="1" applyAlignment="1"/>
    <xf numFmtId="49" fontId="26" fillId="0" borderId="1" xfId="0" applyNumberFormat="1" applyFont="1" applyBorder="1" applyAlignment="1">
      <alignment horizontal="left"/>
    </xf>
    <xf numFmtId="189" fontId="26" fillId="0" borderId="1" xfId="0" applyNumberFormat="1" applyFont="1" applyBorder="1" applyAlignment="1"/>
    <xf numFmtId="178" fontId="0" fillId="0" borderId="0" xfId="1" applyFont="1" applyAlignment="1">
      <alignment vertical="center"/>
    </xf>
    <xf numFmtId="14" fontId="27" fillId="0" borderId="1" xfId="0" applyNumberFormat="1" applyFont="1" applyBorder="1" applyAlignment="1">
      <alignment horizontal="left"/>
    </xf>
    <xf numFmtId="49" fontId="27" fillId="0" borderId="1" xfId="0" applyNumberFormat="1" applyFont="1" applyBorder="1" applyAlignment="1"/>
    <xf numFmtId="49" fontId="27" fillId="0" borderId="1" xfId="0" applyNumberFormat="1" applyFont="1" applyBorder="1" applyAlignment="1">
      <alignment horizontal="left"/>
    </xf>
    <xf numFmtId="0" fontId="27" fillId="0" borderId="1" xfId="0" applyFont="1" applyBorder="1" applyAlignment="1"/>
    <xf numFmtId="178" fontId="8" fillId="2" borderId="1" xfId="1" applyFont="1" applyFill="1" applyBorder="1" applyAlignment="1"/>
    <xf numFmtId="178" fontId="13" fillId="7" borderId="1" xfId="1" applyFont="1" applyFill="1" applyBorder="1" applyAlignment="1">
      <alignment horizontal="center" vertical="center" wrapText="1"/>
    </xf>
    <xf numFmtId="0" fontId="13" fillId="7" borderId="1" xfId="0" applyFont="1" applyFill="1" applyBorder="1" applyAlignment="1">
      <alignment horizontal="center" vertical="center" wrapText="1"/>
    </xf>
    <xf numFmtId="178" fontId="26" fillId="0" borderId="1" xfId="1" applyFont="1" applyBorder="1" applyAlignment="1"/>
    <xf numFmtId="178" fontId="28" fillId="0" borderId="1" xfId="1" applyFont="1" applyFill="1" applyBorder="1" applyAlignment="1">
      <alignment horizontal="center" vertical="center"/>
    </xf>
    <xf numFmtId="178" fontId="26" fillId="0" borderId="1" xfId="1" applyFont="1" applyFill="1" applyBorder="1" applyAlignment="1">
      <alignment vertical="center"/>
    </xf>
    <xf numFmtId="0" fontId="26" fillId="0" borderId="1" xfId="0" applyFont="1" applyBorder="1">
      <alignment vertical="center"/>
    </xf>
    <xf numFmtId="178" fontId="1" fillId="0" borderId="0" xfId="1" applyFont="1" applyAlignment="1">
      <alignment vertical="center"/>
    </xf>
    <xf numFmtId="58" fontId="27" fillId="0" borderId="1" xfId="0" applyNumberFormat="1" applyFont="1" applyBorder="1" applyAlignment="1">
      <alignment horizontal="left"/>
    </xf>
    <xf numFmtId="178" fontId="26" fillId="2" borderId="1" xfId="1" applyFont="1" applyFill="1" applyBorder="1" applyAlignment="1"/>
    <xf numFmtId="178" fontId="28" fillId="0" borderId="1" xfId="1" applyFont="1" applyFill="1" applyBorder="1" applyAlignment="1">
      <alignment horizontal="center"/>
    </xf>
    <xf numFmtId="0" fontId="1" fillId="0" borderId="1" xfId="0" applyFont="1" applyBorder="1">
      <alignment vertical="center"/>
    </xf>
    <xf numFmtId="178" fontId="26" fillId="0" borderId="1" xfId="1" applyFont="1" applyFill="1" applyBorder="1" applyAlignment="1"/>
    <xf numFmtId="0" fontId="1" fillId="0" borderId="0" xfId="38">
      <alignment vertical="center"/>
    </xf>
    <xf numFmtId="0" fontId="4" fillId="0" borderId="1" xfId="38" applyFont="1" applyBorder="1" applyAlignment="1">
      <alignment horizontal="center" vertical="center"/>
    </xf>
    <xf numFmtId="190" fontId="4" fillId="0" borderId="1" xfId="38" applyNumberFormat="1" applyFont="1" applyBorder="1" applyAlignment="1">
      <alignment horizontal="center" vertical="center"/>
    </xf>
    <xf numFmtId="185" fontId="4" fillId="0" borderId="1" xfId="38" applyNumberFormat="1" applyFont="1" applyBorder="1" applyAlignment="1">
      <alignment horizontal="center" vertical="center"/>
    </xf>
    <xf numFmtId="0" fontId="4" fillId="0" borderId="1" xfId="38" applyFont="1" applyBorder="1" applyAlignment="1">
      <alignment horizontal="center" vertical="center" wrapText="1"/>
    </xf>
    <xf numFmtId="0" fontId="1" fillId="0" borderId="1" xfId="38" applyBorder="1" applyAlignment="1">
      <alignment horizontal="center" vertical="center"/>
    </xf>
    <xf numFmtId="0" fontId="29" fillId="0" borderId="1" xfId="38" applyFont="1" applyBorder="1" applyAlignment="1">
      <alignment horizontal="center" vertical="center"/>
    </xf>
    <xf numFmtId="190" fontId="29" fillId="0" borderId="1" xfId="38" applyNumberFormat="1" applyFont="1" applyBorder="1" applyAlignment="1">
      <alignment horizontal="center" vertical="center"/>
    </xf>
    <xf numFmtId="0" fontId="30" fillId="0" borderId="0" xfId="0" applyFo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178" fontId="10" fillId="0" borderId="1" xfId="0" applyNumberFormat="1" applyFont="1" applyBorder="1" applyAlignment="1">
      <alignment horizontal="center" vertical="center"/>
    </xf>
    <xf numFmtId="191" fontId="1" fillId="0" borderId="1" xfId="0" applyNumberFormat="1" applyFont="1" applyBorder="1">
      <alignment vertical="center"/>
    </xf>
    <xf numFmtId="192" fontId="1" fillId="0" borderId="1" xfId="0" applyNumberFormat="1" applyFont="1" applyBorder="1">
      <alignment vertical="center"/>
    </xf>
    <xf numFmtId="20" fontId="1" fillId="0" borderId="1" xfId="0" applyNumberFormat="1" applyFont="1" applyBorder="1">
      <alignment vertical="center"/>
    </xf>
    <xf numFmtId="191" fontId="1" fillId="0" borderId="0" xfId="0" applyNumberFormat="1" applyFont="1">
      <alignment vertical="center"/>
    </xf>
    <xf numFmtId="192" fontId="1" fillId="0" borderId="0" xfId="0" applyNumberFormat="1" applyFont="1">
      <alignment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30" fillId="0" borderId="0" xfId="0" applyFont="1" applyAlignment="1">
      <alignment horizontal="center" vertical="center"/>
    </xf>
    <xf numFmtId="178" fontId="32" fillId="0" borderId="0" xfId="1" applyFont="1" applyFill="1" applyAlignment="1">
      <alignment vertical="center"/>
    </xf>
    <xf numFmtId="178" fontId="33" fillId="0" borderId="0" xfId="1" applyFont="1" applyFill="1" applyAlignment="1">
      <alignment horizontal="center" vertical="center"/>
    </xf>
    <xf numFmtId="178" fontId="33" fillId="0" borderId="0" xfId="1" applyFont="1" applyFill="1" applyAlignment="1">
      <alignment horizontal="center" vertical="center" wrapText="1"/>
    </xf>
    <xf numFmtId="178" fontId="32" fillId="0" borderId="0" xfId="1" applyFont="1" applyFill="1" applyAlignment="1">
      <alignment horizontal="center" vertical="center"/>
    </xf>
    <xf numFmtId="178" fontId="34" fillId="0" borderId="0" xfId="1" applyFont="1" applyFill="1" applyAlignment="1">
      <alignment horizontal="center" vertical="center"/>
    </xf>
    <xf numFmtId="178" fontId="34" fillId="0" borderId="0" xfId="1" applyFont="1" applyFill="1" applyAlignment="1">
      <alignment vertical="center"/>
    </xf>
    <xf numFmtId="9" fontId="34" fillId="0" borderId="0" xfId="2" applyFont="1" applyFill="1" applyAlignment="1">
      <alignment vertical="center"/>
    </xf>
    <xf numFmtId="0" fontId="35" fillId="0" borderId="2" xfId="0" applyFont="1" applyBorder="1">
      <alignment vertical="center"/>
    </xf>
    <xf numFmtId="0" fontId="35" fillId="10" borderId="1" xfId="0" applyFont="1" applyFill="1" applyBorder="1" applyAlignment="1">
      <alignment horizontal="center" vertical="center"/>
    </xf>
    <xf numFmtId="0" fontId="35" fillId="10" borderId="24" xfId="0" applyFont="1" applyFill="1" applyBorder="1" applyAlignment="1" applyProtection="1">
      <alignment horizontal="center" vertical="center" wrapText="1"/>
      <protection locked="0"/>
    </xf>
    <xf numFmtId="0" fontId="35" fillId="10" borderId="25" xfId="0" applyFont="1" applyFill="1" applyBorder="1" applyAlignment="1" applyProtection="1">
      <alignment horizontal="center" vertical="center" wrapText="1"/>
      <protection locked="0"/>
    </xf>
    <xf numFmtId="0" fontId="36" fillId="10" borderId="25" xfId="0" applyFont="1" applyFill="1" applyBorder="1" applyAlignment="1" applyProtection="1">
      <alignment horizontal="center" vertical="center" wrapText="1"/>
      <protection locked="0"/>
    </xf>
    <xf numFmtId="0" fontId="35" fillId="10" borderId="25" xfId="0" applyFont="1" applyFill="1" applyBorder="1" applyAlignment="1">
      <alignment horizontal="center" vertical="center" wrapText="1"/>
    </xf>
    <xf numFmtId="0" fontId="36" fillId="10" borderId="25" xfId="0" applyFont="1" applyFill="1" applyBorder="1" applyAlignment="1">
      <alignment horizontal="center" vertical="center" wrapText="1"/>
    </xf>
    <xf numFmtId="0" fontId="35" fillId="10" borderId="26" xfId="0" applyFont="1" applyFill="1" applyBorder="1" applyAlignment="1">
      <alignment horizontal="center" vertical="center" wrapText="1"/>
    </xf>
    <xf numFmtId="0" fontId="35" fillId="10" borderId="5"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0" borderId="1" xfId="0" applyFont="1" applyBorder="1" applyAlignment="1">
      <alignment horizontal="center" vertical="center"/>
    </xf>
    <xf numFmtId="0" fontId="35" fillId="11" borderId="27" xfId="0" applyFont="1" applyFill="1" applyBorder="1" applyAlignment="1">
      <alignment horizontal="center" vertical="center"/>
    </xf>
    <xf numFmtId="0" fontId="37" fillId="0" borderId="28" xfId="0" applyFont="1" applyBorder="1" applyAlignment="1" applyProtection="1">
      <alignment horizontal="center" vertical="center"/>
      <protection locked="0"/>
    </xf>
    <xf numFmtId="0" fontId="37" fillId="0" borderId="1" xfId="0" applyFont="1" applyBorder="1" applyAlignment="1" applyProtection="1">
      <alignment horizontal="center" vertical="center"/>
      <protection locked="0"/>
    </xf>
    <xf numFmtId="9" fontId="38" fillId="0" borderId="1" xfId="2" applyFont="1" applyBorder="1" applyAlignment="1" applyProtection="1">
      <alignment horizontal="center" vertical="center"/>
      <protection locked="0"/>
    </xf>
    <xf numFmtId="0" fontId="38" fillId="0" borderId="1" xfId="0" applyFont="1" applyBorder="1" applyAlignment="1" applyProtection="1">
      <alignment horizontal="center" vertical="center"/>
      <protection locked="0"/>
    </xf>
    <xf numFmtId="0" fontId="38" fillId="0" borderId="1" xfId="0" applyFont="1" applyBorder="1" applyAlignment="1">
      <alignment horizontal="center" vertical="center"/>
    </xf>
    <xf numFmtId="0" fontId="37" fillId="0" borderId="1" xfId="0" applyFont="1" applyBorder="1" applyAlignment="1">
      <alignment horizontal="center" vertical="center"/>
    </xf>
    <xf numFmtId="9" fontId="38" fillId="0" borderId="1" xfId="2" applyFont="1" applyBorder="1" applyAlignment="1">
      <alignment horizontal="center" vertical="center"/>
    </xf>
    <xf numFmtId="0" fontId="38" fillId="0" borderId="29" xfId="0" applyFont="1" applyBorder="1" applyAlignment="1">
      <alignment horizontal="center" vertical="center"/>
    </xf>
    <xf numFmtId="0" fontId="38" fillId="0" borderId="5" xfId="0" applyFont="1" applyBorder="1" applyAlignment="1">
      <alignment horizontal="center" vertical="center"/>
    </xf>
    <xf numFmtId="0" fontId="35" fillId="0" borderId="27" xfId="0" applyFont="1" applyBorder="1" applyAlignment="1">
      <alignment horizontal="center" vertical="center"/>
    </xf>
    <xf numFmtId="0" fontId="35" fillId="0" borderId="30" xfId="0" applyFont="1" applyBorder="1" applyAlignment="1">
      <alignment horizontal="center" vertical="center"/>
    </xf>
    <xf numFmtId="0" fontId="35" fillId="11" borderId="30" xfId="0" applyFont="1" applyFill="1" applyBorder="1" applyAlignment="1">
      <alignment horizontal="center" vertical="center"/>
    </xf>
    <xf numFmtId="0" fontId="35" fillId="11" borderId="21" xfId="0" applyFont="1" applyFill="1" applyBorder="1" applyAlignment="1">
      <alignment horizontal="center" vertical="center"/>
    </xf>
    <xf numFmtId="0" fontId="38" fillId="0" borderId="31" xfId="0" applyFont="1" applyBorder="1" applyAlignment="1">
      <alignment horizontal="center" vertical="center"/>
    </xf>
    <xf numFmtId="0" fontId="38" fillId="0" borderId="8" xfId="0" applyFont="1" applyBorder="1" applyAlignment="1">
      <alignment horizontal="center" vertical="center"/>
    </xf>
    <xf numFmtId="0" fontId="39" fillId="0" borderId="32" xfId="0" applyFont="1" applyBorder="1" applyAlignment="1">
      <alignment horizontal="center" vertical="center"/>
    </xf>
    <xf numFmtId="0" fontId="35" fillId="12" borderId="1" xfId="0" applyFont="1" applyFill="1" applyBorder="1" applyAlignment="1">
      <alignment horizontal="center" vertical="center"/>
    </xf>
    <xf numFmtId="0" fontId="35" fillId="12" borderId="3" xfId="0" applyFont="1" applyFill="1" applyBorder="1" applyAlignment="1">
      <alignment horizontal="center" vertical="center"/>
    </xf>
    <xf numFmtId="0" fontId="38" fillId="12" borderId="33" xfId="0" applyFont="1" applyFill="1" applyBorder="1" applyAlignment="1">
      <alignment horizontal="center" vertical="center"/>
    </xf>
    <xf numFmtId="9" fontId="38" fillId="12" borderId="33" xfId="2" applyFont="1" applyFill="1" applyBorder="1" applyAlignment="1">
      <alignment horizontal="center" vertical="center"/>
    </xf>
    <xf numFmtId="9" fontId="38" fillId="2" borderId="33" xfId="2" applyFont="1" applyFill="1" applyBorder="1" applyAlignment="1">
      <alignment horizontal="center" vertical="center"/>
    </xf>
    <xf numFmtId="9" fontId="38" fillId="13" borderId="33" xfId="2" applyFont="1" applyFill="1" applyBorder="1" applyAlignment="1">
      <alignment horizontal="center" vertical="center"/>
    </xf>
    <xf numFmtId="0" fontId="38" fillId="2" borderId="33" xfId="0" applyFont="1" applyFill="1" applyBorder="1" applyAlignment="1">
      <alignment horizontal="center" vertical="center"/>
    </xf>
    <xf numFmtId="0" fontId="38" fillId="2" borderId="34" xfId="0" applyFont="1" applyFill="1" applyBorder="1" applyAlignment="1">
      <alignment horizontal="center" vertical="center"/>
    </xf>
    <xf numFmtId="0" fontId="38" fillId="2" borderId="5" xfId="0" applyFont="1" applyFill="1" applyBorder="1" applyAlignment="1">
      <alignment horizontal="center" vertical="center"/>
    </xf>
    <xf numFmtId="0" fontId="38" fillId="2" borderId="1" xfId="0" applyFont="1" applyFill="1" applyBorder="1" applyAlignment="1">
      <alignment horizontal="center" vertical="center"/>
    </xf>
    <xf numFmtId="0" fontId="38" fillId="0" borderId="0" xfId="0" applyFont="1">
      <alignment vertical="center"/>
    </xf>
    <xf numFmtId="9" fontId="38" fillId="0" borderId="0" xfId="2" applyFont="1" applyFill="1" applyBorder="1" applyAlignment="1">
      <alignment vertical="center"/>
    </xf>
    <xf numFmtId="0" fontId="35" fillId="0" borderId="0" xfId="0" applyFont="1" applyAlignment="1">
      <alignment horizontal="left" vertical="center"/>
    </xf>
    <xf numFmtId="0" fontId="32" fillId="0" borderId="0" xfId="0" applyFont="1" applyAlignment="1">
      <alignment horizontal="center" vertical="center"/>
    </xf>
    <xf numFmtId="0" fontId="40" fillId="0" borderId="0" xfId="0" applyFont="1" applyAlignment="1">
      <alignment horizontal="left" vertical="center"/>
    </xf>
    <xf numFmtId="0" fontId="32" fillId="0" borderId="0" xfId="0" applyFont="1">
      <alignment vertical="center"/>
    </xf>
    <xf numFmtId="9" fontId="32" fillId="0" borderId="0" xfId="2" applyFont="1">
      <alignment vertical="center"/>
    </xf>
    <xf numFmtId="0" fontId="29" fillId="0" borderId="1" xfId="0" applyFont="1" applyBorder="1" applyAlignment="1">
      <alignment horizontal="center" vertical="center"/>
    </xf>
    <xf numFmtId="9" fontId="29" fillId="0" borderId="1" xfId="2" applyFont="1" applyFill="1" applyBorder="1" applyAlignment="1">
      <alignment horizontal="center" vertical="center"/>
    </xf>
    <xf numFmtId="178" fontId="34" fillId="0" borderId="1" xfId="1" applyFont="1" applyFill="1" applyBorder="1" applyAlignment="1">
      <alignment vertical="center"/>
    </xf>
    <xf numFmtId="185" fontId="29" fillId="0" borderId="1" xfId="2" applyNumberFormat="1" applyFont="1" applyFill="1" applyBorder="1" applyAlignment="1">
      <alignment horizontal="center" vertical="center"/>
    </xf>
    <xf numFmtId="178" fontId="34" fillId="0" borderId="1" xfId="1" applyFont="1" applyFill="1" applyBorder="1" applyAlignment="1">
      <alignment horizontal="center" vertical="center"/>
    </xf>
    <xf numFmtId="178" fontId="34" fillId="0" borderId="1" xfId="1" applyFont="1" applyFill="1" applyBorder="1" applyAlignment="1">
      <alignment horizontal="left" vertical="center"/>
    </xf>
    <xf numFmtId="185" fontId="34" fillId="0" borderId="1" xfId="2" applyNumberFormat="1" applyFont="1" applyFill="1" applyBorder="1" applyAlignment="1">
      <alignment horizontal="center" vertical="center"/>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42" fillId="0" borderId="1" xfId="0" applyFont="1" applyBorder="1" applyAlignment="1">
      <alignment horizontal="center" vertical="center"/>
    </xf>
    <xf numFmtId="9" fontId="8" fillId="0" borderId="1" xfId="0" applyNumberFormat="1" applyFont="1" applyBorder="1" applyAlignment="1">
      <alignment horizontal="center" vertical="center"/>
    </xf>
    <xf numFmtId="0" fontId="8" fillId="0" borderId="37" xfId="0" applyFont="1" applyBorder="1" applyAlignment="1">
      <alignment horizontal="center" vertical="center"/>
    </xf>
    <xf numFmtId="0" fontId="1" fillId="2" borderId="38" xfId="0" applyFont="1" applyFill="1" applyBorder="1" applyAlignment="1">
      <alignment horizontal="center" vertical="center"/>
    </xf>
    <xf numFmtId="43" fontId="34" fillId="0" borderId="0" xfId="2" applyNumberFormat="1" applyFont="1" applyFill="1" applyAlignment="1">
      <alignment vertical="center"/>
    </xf>
    <xf numFmtId="9" fontId="8" fillId="0" borderId="37" xfId="0" applyNumberFormat="1" applyFont="1" applyBorder="1" applyAlignment="1">
      <alignment horizontal="center" vertical="center"/>
    </xf>
    <xf numFmtId="0" fontId="8" fillId="0" borderId="39" xfId="0" applyFont="1" applyBorder="1" applyAlignment="1">
      <alignment horizontal="center" vertical="center"/>
    </xf>
    <xf numFmtId="9" fontId="0" fillId="0" borderId="39" xfId="0" applyNumberFormat="1" applyBorder="1" applyAlignment="1">
      <alignment horizontal="center" vertical="center"/>
    </xf>
    <xf numFmtId="185" fontId="0" fillId="2" borderId="40" xfId="0" applyNumberFormat="1" applyFill="1" applyBorder="1" applyAlignment="1">
      <alignment horizontal="center" vertical="center"/>
    </xf>
    <xf numFmtId="0" fontId="21" fillId="0" borderId="0" xfId="0" applyFont="1" applyAlignment="1">
      <alignment horizontal="center" vertical="center"/>
    </xf>
    <xf numFmtId="0" fontId="0" fillId="0" borderId="0" xfId="0" applyAlignment="1">
      <alignment horizontal="center" vertical="center"/>
    </xf>
    <xf numFmtId="180" fontId="0" fillId="0" borderId="0" xfId="0" applyNumberFormat="1" applyAlignment="1">
      <alignment horizontal="center" vertical="center"/>
    </xf>
    <xf numFmtId="180" fontId="0" fillId="0" borderId="0" xfId="1" applyNumberFormat="1" applyFont="1" applyAlignment="1">
      <alignment horizontal="center" vertical="center"/>
    </xf>
    <xf numFmtId="0" fontId="45" fillId="7" borderId="44" xfId="0" applyFont="1" applyFill="1" applyBorder="1" applyAlignment="1">
      <alignment horizontal="center" vertical="center"/>
    </xf>
    <xf numFmtId="0" fontId="45" fillId="7" borderId="45" xfId="0" applyFont="1" applyFill="1" applyBorder="1" applyAlignment="1">
      <alignment horizontal="center" vertical="center"/>
    </xf>
    <xf numFmtId="0" fontId="45" fillId="7" borderId="46" xfId="0" applyFont="1" applyFill="1" applyBorder="1" applyAlignment="1">
      <alignment horizontal="center" vertical="center"/>
    </xf>
    <xf numFmtId="0" fontId="0" fillId="0" borderId="1" xfId="0" applyBorder="1" applyAlignment="1">
      <alignment horizontal="center" vertical="center"/>
    </xf>
    <xf numFmtId="180" fontId="21" fillId="0" borderId="47" xfId="0" applyNumberFormat="1" applyFont="1" applyBorder="1" applyAlignment="1">
      <alignment horizontal="center" vertical="center"/>
    </xf>
    <xf numFmtId="180" fontId="21" fillId="0" borderId="13" xfId="0" applyNumberFormat="1" applyFont="1" applyBorder="1" applyAlignment="1">
      <alignment horizontal="center" vertical="center"/>
    </xf>
    <xf numFmtId="0" fontId="0" fillId="0" borderId="13" xfId="0" applyBorder="1" applyAlignment="1">
      <alignment horizontal="center" vertical="center"/>
    </xf>
    <xf numFmtId="180" fontId="0" fillId="0" borderId="48" xfId="0" applyNumberFormat="1" applyBorder="1" applyAlignment="1">
      <alignment horizontal="center" vertical="center"/>
    </xf>
    <xf numFmtId="58" fontId="4" fillId="0" borderId="1" xfId="0" applyNumberFormat="1" applyFont="1" applyBorder="1" applyAlignment="1">
      <alignment horizontal="center"/>
    </xf>
    <xf numFmtId="0" fontId="4" fillId="0" borderId="1" xfId="0" applyFont="1" applyBorder="1" applyAlignment="1">
      <alignment horizontal="center"/>
    </xf>
    <xf numFmtId="180" fontId="0" fillId="0" borderId="13" xfId="45" applyNumberFormat="1" applyFont="1" applyBorder="1" applyAlignment="1">
      <alignment horizontal="center" vertical="center"/>
    </xf>
    <xf numFmtId="180" fontId="21" fillId="0" borderId="49" xfId="0" applyNumberFormat="1" applyFont="1" applyBorder="1" applyAlignment="1">
      <alignment horizontal="center" vertical="center"/>
    </xf>
    <xf numFmtId="180" fontId="21" fillId="0" borderId="50" xfId="0" applyNumberFormat="1" applyFont="1" applyBorder="1" applyAlignment="1">
      <alignment horizontal="center" vertical="center"/>
    </xf>
    <xf numFmtId="0" fontId="0" fillId="0" borderId="50" xfId="0" applyBorder="1" applyAlignment="1">
      <alignment horizontal="center" vertical="center"/>
    </xf>
    <xf numFmtId="180" fontId="0" fillId="0" borderId="50" xfId="45" applyNumberFormat="1" applyFont="1" applyBorder="1" applyAlignment="1">
      <alignment horizontal="center" vertical="center"/>
    </xf>
    <xf numFmtId="180" fontId="0" fillId="0" borderId="51" xfId="0" applyNumberFormat="1" applyBorder="1" applyAlignment="1">
      <alignment horizontal="center" vertical="center"/>
    </xf>
    <xf numFmtId="180" fontId="0" fillId="0" borderId="54" xfId="0" applyNumberFormat="1" applyBorder="1" applyAlignment="1">
      <alignment horizontal="center" vertical="center"/>
    </xf>
    <xf numFmtId="0" fontId="46" fillId="0" borderId="0" xfId="0" applyFont="1" applyAlignment="1">
      <alignment horizontal="center" vertical="center"/>
    </xf>
    <xf numFmtId="178" fontId="10" fillId="0" borderId="0" xfId="1" applyFont="1" applyAlignment="1">
      <alignment horizontal="center" vertical="center"/>
    </xf>
    <xf numFmtId="178" fontId="10" fillId="0" borderId="0" xfId="1" applyFont="1" applyFill="1" applyAlignment="1">
      <alignment horizontal="center" vertical="center"/>
    </xf>
    <xf numFmtId="14" fontId="10" fillId="0" borderId="0" xfId="1" applyNumberFormat="1" applyFont="1" applyAlignment="1">
      <alignment horizontal="center" vertical="center"/>
    </xf>
    <xf numFmtId="180" fontId="10" fillId="0" borderId="0" xfId="1" applyNumberFormat="1" applyFont="1" applyAlignment="1">
      <alignment horizontal="center" vertical="center"/>
    </xf>
    <xf numFmtId="0" fontId="48" fillId="0" borderId="0" xfId="0" applyFont="1" applyAlignment="1">
      <alignment horizontal="center" vertical="center"/>
    </xf>
    <xf numFmtId="0" fontId="10" fillId="0" borderId="25" xfId="0" applyFont="1" applyBorder="1" applyAlignment="1">
      <alignment horizontal="center" vertical="center"/>
    </xf>
    <xf numFmtId="0" fontId="50" fillId="0" borderId="25" xfId="0" applyFont="1" applyBorder="1" applyAlignment="1">
      <alignment horizontal="center" vertical="center"/>
    </xf>
    <xf numFmtId="0" fontId="10" fillId="0" borderId="26" xfId="0" applyFont="1" applyBorder="1" applyAlignment="1">
      <alignment horizontal="center" vertical="center"/>
    </xf>
    <xf numFmtId="178" fontId="11" fillId="0" borderId="0" xfId="1" applyFont="1" applyFill="1" applyBorder="1" applyAlignment="1">
      <alignment horizontal="center" vertical="center" wrapText="1"/>
    </xf>
    <xf numFmtId="0" fontId="51" fillId="0" borderId="1" xfId="0" applyFont="1" applyBorder="1" applyAlignment="1">
      <alignment horizontal="center" vertical="center"/>
    </xf>
    <xf numFmtId="190" fontId="51" fillId="0" borderId="1" xfId="0" applyNumberFormat="1" applyFont="1" applyBorder="1" applyAlignment="1">
      <alignment horizontal="center" vertical="center" wrapText="1"/>
    </xf>
    <xf numFmtId="0" fontId="51" fillId="0" borderId="1" xfId="0" applyFont="1" applyBorder="1" applyAlignment="1">
      <alignment horizontal="center" vertical="center" wrapText="1"/>
    </xf>
    <xf numFmtId="178" fontId="51" fillId="14" borderId="1" xfId="1" applyFont="1" applyFill="1" applyBorder="1" applyAlignment="1">
      <alignment horizontal="center" vertical="center" wrapText="1"/>
    </xf>
    <xf numFmtId="185" fontId="51" fillId="0" borderId="1" xfId="0" applyNumberFormat="1" applyFont="1" applyBorder="1" applyAlignment="1">
      <alignment horizontal="center" vertical="center" wrapText="1"/>
    </xf>
    <xf numFmtId="190" fontId="51" fillId="0" borderId="1" xfId="0" applyNumberFormat="1" applyFont="1" applyBorder="1" applyAlignment="1">
      <alignment horizontal="center" vertical="center"/>
    </xf>
    <xf numFmtId="9" fontId="51" fillId="0" borderId="1" xfId="2" applyFont="1" applyFill="1" applyBorder="1" applyAlignment="1">
      <alignment horizontal="center" vertical="center"/>
    </xf>
    <xf numFmtId="178" fontId="46" fillId="0" borderId="0" xfId="1" applyFont="1" applyAlignment="1">
      <alignment horizontal="center" vertical="center"/>
    </xf>
    <xf numFmtId="178" fontId="50" fillId="0" borderId="1" xfId="1" applyFont="1" applyBorder="1" applyAlignment="1">
      <alignment horizontal="center" vertical="center"/>
    </xf>
    <xf numFmtId="10" fontId="10" fillId="0" borderId="29" xfId="0" applyNumberFormat="1" applyFont="1" applyBorder="1" applyAlignment="1">
      <alignment horizontal="center" vertical="center"/>
    </xf>
    <xf numFmtId="10" fontId="10" fillId="0" borderId="0" xfId="0" applyNumberFormat="1" applyFont="1" applyAlignment="1">
      <alignment horizontal="center" vertical="center"/>
    </xf>
    <xf numFmtId="0" fontId="0" fillId="0" borderId="1" xfId="0" applyBorder="1" applyAlignment="1">
      <alignment horizontal="center"/>
    </xf>
    <xf numFmtId="190" fontId="0" fillId="0" borderId="1" xfId="0" applyNumberFormat="1" applyBorder="1" applyAlignment="1">
      <alignment horizontal="center"/>
    </xf>
    <xf numFmtId="178" fontId="0" fillId="0" borderId="1" xfId="1" applyFont="1" applyBorder="1" applyAlignment="1">
      <alignment horizontal="center"/>
    </xf>
    <xf numFmtId="185" fontId="0" fillId="0" borderId="1" xfId="0" applyNumberFormat="1" applyBorder="1" applyAlignment="1">
      <alignment horizontal="center"/>
    </xf>
    <xf numFmtId="14" fontId="0" fillId="0" borderId="1" xfId="0" applyNumberFormat="1" applyBorder="1" applyAlignment="1">
      <alignment horizontal="center"/>
    </xf>
    <xf numFmtId="0" fontId="29" fillId="0" borderId="1" xfId="0" applyFont="1" applyBorder="1" applyAlignment="1">
      <alignment horizontal="center"/>
    </xf>
    <xf numFmtId="178" fontId="0" fillId="0" borderId="0" xfId="1" applyFont="1" applyAlignment="1"/>
    <xf numFmtId="178" fontId="13" fillId="0" borderId="0" xfId="1" applyFont="1" applyAlignment="1">
      <alignment horizontal="center" vertical="center"/>
    </xf>
    <xf numFmtId="0" fontId="10" fillId="0" borderId="33" xfId="0" applyFont="1" applyBorder="1" applyAlignment="1">
      <alignment horizontal="center" vertical="center"/>
    </xf>
    <xf numFmtId="178" fontId="10" fillId="0" borderId="34" xfId="1" applyFont="1" applyBorder="1" applyAlignment="1">
      <alignment horizontal="center" vertical="center"/>
    </xf>
    <xf numFmtId="10" fontId="10" fillId="0" borderId="34" xfId="0" applyNumberFormat="1" applyFont="1" applyBorder="1" applyAlignment="1">
      <alignment horizontal="center" vertical="center"/>
    </xf>
    <xf numFmtId="0" fontId="0" fillId="0" borderId="22" xfId="0" applyBorder="1" applyAlignment="1">
      <alignment vertical="center" wrapText="1"/>
    </xf>
    <xf numFmtId="178" fontId="11" fillId="14" borderId="0" xfId="1" applyFont="1" applyFill="1" applyAlignment="1">
      <alignment horizontal="center" vertical="center"/>
    </xf>
    <xf numFmtId="178" fontId="11" fillId="0" borderId="0" xfId="1" applyFont="1" applyAlignment="1">
      <alignment horizontal="center" vertical="center"/>
    </xf>
    <xf numFmtId="0" fontId="26" fillId="0" borderId="1" xfId="0" applyFont="1" applyBorder="1" applyAlignment="1">
      <alignment horizontal="center" vertical="center"/>
    </xf>
    <xf numFmtId="185" fontId="0" fillId="0" borderId="0" xfId="0" applyNumberFormat="1" applyAlignment="1">
      <alignment horizontal="center"/>
    </xf>
    <xf numFmtId="178" fontId="0" fillId="0" borderId="0" xfId="1" applyFont="1" applyBorder="1" applyAlignment="1">
      <alignment horizontal="center"/>
    </xf>
    <xf numFmtId="178" fontId="10" fillId="0" borderId="0" xfId="1" applyFont="1" applyBorder="1" applyAlignment="1">
      <alignment horizontal="center" vertical="center"/>
    </xf>
    <xf numFmtId="9" fontId="20" fillId="0" borderId="0" xfId="0" applyNumberFormat="1" applyFont="1" applyAlignment="1">
      <alignment horizontal="center" vertical="center"/>
    </xf>
    <xf numFmtId="0" fontId="52" fillId="0" borderId="0" xfId="0" applyFont="1" applyAlignment="1">
      <alignment horizontal="center" vertical="center"/>
    </xf>
    <xf numFmtId="178" fontId="13" fillId="14" borderId="0" xfId="1" applyFont="1" applyFill="1" applyAlignment="1">
      <alignment horizontal="center" vertical="center"/>
    </xf>
    <xf numFmtId="178" fontId="10" fillId="14" borderId="0" xfId="1" applyFont="1" applyFill="1" applyAlignment="1">
      <alignment horizontal="center" vertical="center"/>
    </xf>
    <xf numFmtId="0" fontId="46" fillId="15" borderId="1" xfId="0" applyFont="1" applyFill="1" applyBorder="1" applyAlignment="1">
      <alignment horizontal="center" vertical="center"/>
    </xf>
    <xf numFmtId="0" fontId="46" fillId="2" borderId="1" xfId="0" applyFont="1" applyFill="1" applyBorder="1" applyAlignment="1">
      <alignment horizontal="center" vertical="center"/>
    </xf>
    <xf numFmtId="0" fontId="46" fillId="16" borderId="1" xfId="0" applyFont="1" applyFill="1" applyBorder="1" applyAlignment="1">
      <alignment horizontal="center" vertical="center"/>
    </xf>
    <xf numFmtId="178" fontId="10" fillId="2" borderId="1" xfId="1" applyFont="1" applyFill="1" applyBorder="1" applyAlignment="1">
      <alignment horizontal="center" vertical="center"/>
    </xf>
    <xf numFmtId="178" fontId="10" fillId="16" borderId="1" xfId="1" applyFont="1" applyFill="1" applyBorder="1" applyAlignment="1">
      <alignment horizontal="center" vertical="center"/>
    </xf>
    <xf numFmtId="0" fontId="0" fillId="17" borderId="1" xfId="0" applyFill="1" applyBorder="1" applyAlignment="1"/>
    <xf numFmtId="0" fontId="0" fillId="17" borderId="1" xfId="0" applyFill="1" applyBorder="1" applyAlignment="1">
      <alignment horizontal="center" vertical="center"/>
    </xf>
    <xf numFmtId="178" fontId="0" fillId="0" borderId="1" xfId="1" applyFont="1" applyBorder="1" applyAlignment="1">
      <alignment horizontal="center" vertical="center"/>
    </xf>
    <xf numFmtId="10" fontId="0" fillId="0" borderId="1" xfId="0" applyNumberFormat="1" applyBorder="1" applyAlignment="1">
      <alignment horizontal="center"/>
    </xf>
    <xf numFmtId="0" fontId="1" fillId="0" borderId="0" xfId="0" applyFont="1" applyAlignment="1"/>
    <xf numFmtId="0" fontId="1" fillId="0" borderId="0" xfId="0" applyFont="1" applyAlignment="1">
      <alignment horizontal="center"/>
    </xf>
    <xf numFmtId="0" fontId="52" fillId="0" borderId="4" xfId="0" applyFont="1" applyBorder="1" applyAlignment="1">
      <alignment horizontal="center" vertical="center"/>
    </xf>
    <xf numFmtId="0" fontId="52" fillId="0" borderId="3" xfId="0" applyFont="1" applyBorder="1" applyAlignment="1">
      <alignment horizontal="center" vertical="center"/>
    </xf>
    <xf numFmtId="0" fontId="52" fillId="0" borderId="36" xfId="0" applyFont="1" applyBorder="1" applyAlignment="1">
      <alignment horizontal="center" vertical="center"/>
    </xf>
    <xf numFmtId="0" fontId="0" fillId="0" borderId="0" xfId="0" applyAlignment="1">
      <alignment horizontal="center" vertical="center" wrapText="1"/>
    </xf>
    <xf numFmtId="9" fontId="52" fillId="0" borderId="3" xfId="0" applyNumberFormat="1" applyFont="1" applyBorder="1" applyAlignment="1">
      <alignment horizontal="center" vertical="center"/>
    </xf>
    <xf numFmtId="185" fontId="52" fillId="0" borderId="37" xfId="0" applyNumberFormat="1" applyFont="1" applyBorder="1" applyAlignment="1">
      <alignment horizontal="center" vertical="center"/>
    </xf>
    <xf numFmtId="0" fontId="0" fillId="0" borderId="0" xfId="0" applyAlignment="1"/>
    <xf numFmtId="0" fontId="0" fillId="0" borderId="0" xfId="0" applyAlignment="1">
      <alignment horizontal="center"/>
    </xf>
    <xf numFmtId="0" fontId="53" fillId="0" borderId="61" xfId="0" applyFont="1" applyBorder="1" applyAlignment="1">
      <alignment horizontal="left"/>
    </xf>
    <xf numFmtId="14" fontId="53" fillId="0" borderId="61" xfId="0" applyNumberFormat="1" applyFont="1" applyBorder="1" applyAlignment="1">
      <alignment horizontal="left"/>
    </xf>
    <xf numFmtId="178" fontId="53" fillId="0" borderId="61" xfId="1" applyFont="1" applyBorder="1" applyAlignment="1">
      <alignment horizontal="left"/>
    </xf>
    <xf numFmtId="185" fontId="0" fillId="0" borderId="1" xfId="0" applyNumberFormat="1" applyBorder="1" applyAlignment="1">
      <alignment horizontal="center" vertical="center"/>
    </xf>
    <xf numFmtId="0" fontId="0" fillId="0" borderId="37" xfId="0" applyBorder="1" applyAlignment="1">
      <alignment horizontal="center" vertical="center"/>
    </xf>
    <xf numFmtId="0" fontId="0" fillId="3" borderId="37" xfId="0" applyFill="1" applyBorder="1" applyAlignment="1">
      <alignment horizontal="center" vertical="center"/>
    </xf>
    <xf numFmtId="185" fontId="0" fillId="3" borderId="1" xfId="0" applyNumberFormat="1" applyFill="1" applyBorder="1" applyAlignment="1">
      <alignment horizontal="center" vertical="center"/>
    </xf>
    <xf numFmtId="0" fontId="1" fillId="0" borderId="0" xfId="39" applyAlignment="1">
      <alignment vertical="center"/>
    </xf>
    <xf numFmtId="0" fontId="54" fillId="0" borderId="0" xfId="39" applyFont="1" applyAlignment="1">
      <alignment horizontal="center"/>
    </xf>
    <xf numFmtId="0" fontId="1" fillId="0" borderId="0" xfId="39"/>
    <xf numFmtId="14" fontId="1" fillId="0" borderId="0" xfId="39" applyNumberFormat="1"/>
    <xf numFmtId="180" fontId="1" fillId="0" borderId="0" xfId="39" applyNumberFormat="1"/>
    <xf numFmtId="0" fontId="54" fillId="0" borderId="1" xfId="39" applyFont="1" applyBorder="1" applyAlignment="1">
      <alignment horizontal="center" vertical="center"/>
    </xf>
    <xf numFmtId="0" fontId="0" fillId="0" borderId="1" xfId="0" applyBorder="1">
      <alignment vertical="center"/>
    </xf>
    <xf numFmtId="58"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lignment vertical="center"/>
    </xf>
    <xf numFmtId="0" fontId="54" fillId="0" borderId="0" xfId="39" applyFont="1" applyAlignment="1">
      <alignment horizontal="center" vertical="center"/>
    </xf>
    <xf numFmtId="180" fontId="54" fillId="0" borderId="0" xfId="39" applyNumberFormat="1" applyFont="1" applyAlignment="1">
      <alignment horizontal="center" vertical="center"/>
    </xf>
    <xf numFmtId="193" fontId="55" fillId="3" borderId="1" xfId="0" applyNumberFormat="1" applyFont="1" applyFill="1" applyBorder="1" applyAlignment="1">
      <alignment horizontal="center" vertical="center"/>
    </xf>
    <xf numFmtId="193" fontId="56" fillId="3" borderId="1" xfId="0" applyNumberFormat="1" applyFont="1" applyFill="1" applyBorder="1" applyAlignment="1">
      <alignment horizontal="center" vertical="center"/>
    </xf>
    <xf numFmtId="0" fontId="1" fillId="3" borderId="1" xfId="41" applyFill="1" applyBorder="1">
      <alignment vertical="center"/>
    </xf>
    <xf numFmtId="0" fontId="0" fillId="3" borderId="1" xfId="0" applyFill="1" applyBorder="1" applyAlignment="1">
      <alignment horizontal="distributed" vertical="center"/>
    </xf>
    <xf numFmtId="0" fontId="0" fillId="3" borderId="1" xfId="0" applyFill="1" applyBorder="1" applyAlignment="1">
      <alignment horizontal="center" vertical="center" wrapText="1"/>
    </xf>
    <xf numFmtId="0" fontId="56" fillId="3" borderId="1" xfId="0" applyFont="1" applyFill="1" applyBorder="1" applyAlignment="1">
      <alignment horizontal="center" vertical="center"/>
    </xf>
    <xf numFmtId="0" fontId="0" fillId="0" borderId="1" xfId="0" applyBorder="1" applyAlignment="1">
      <alignment horizontal="left" vertical="center"/>
    </xf>
    <xf numFmtId="0" fontId="57" fillId="0" borderId="1" xfId="0" applyFont="1" applyBorder="1" applyAlignment="1">
      <alignment horizontal="center" vertical="center" wrapText="1"/>
    </xf>
    <xf numFmtId="0" fontId="15" fillId="0" borderId="0" xfId="0" applyFont="1" applyAlignment="1">
      <alignment vertical="center" wrapText="1"/>
    </xf>
    <xf numFmtId="185" fontId="57" fillId="0" borderId="1" xfId="0" applyNumberFormat="1" applyFont="1" applyBorder="1" applyAlignment="1">
      <alignment horizontal="center" vertical="center" wrapText="1"/>
    </xf>
    <xf numFmtId="185" fontId="15" fillId="0" borderId="0" xfId="0" applyNumberFormat="1" applyFont="1" applyAlignment="1">
      <alignment vertical="center" wrapText="1"/>
    </xf>
    <xf numFmtId="0" fontId="13" fillId="0" borderId="0" xfId="0" applyFont="1" applyAlignment="1">
      <alignment vertical="center" wrapText="1"/>
    </xf>
    <xf numFmtId="179" fontId="15" fillId="0" borderId="0" xfId="0" applyNumberFormat="1" applyFont="1" applyAlignment="1">
      <alignment vertical="center" wrapText="1"/>
    </xf>
    <xf numFmtId="178" fontId="10" fillId="18" borderId="0" xfId="1" applyFont="1" applyFill="1" applyAlignment="1" applyProtection="1">
      <alignment horizontal="center" vertical="center"/>
      <protection locked="0"/>
    </xf>
    <xf numFmtId="0" fontId="58" fillId="0" borderId="1" xfId="0" applyFont="1" applyBorder="1" applyAlignment="1">
      <alignment horizontal="center" vertical="center" wrapText="1"/>
    </xf>
    <xf numFmtId="178" fontId="54" fillId="0" borderId="1" xfId="1" applyFont="1" applyFill="1" applyBorder="1" applyAlignment="1">
      <alignment horizontal="center" vertical="center" wrapText="1"/>
    </xf>
    <xf numFmtId="9" fontId="58" fillId="0" borderId="1" xfId="2" applyFont="1" applyBorder="1" applyAlignment="1">
      <alignment horizontal="center" vertical="center" wrapText="1"/>
    </xf>
    <xf numFmtId="9" fontId="58" fillId="0" borderId="1" xfId="22" applyFont="1" applyBorder="1" applyAlignment="1">
      <alignment horizontal="center" vertical="center" wrapText="1"/>
    </xf>
    <xf numFmtId="178" fontId="54" fillId="2" borderId="1" xfId="1" applyFont="1" applyFill="1" applyBorder="1" applyAlignment="1">
      <alignment horizontal="center" vertical="center" wrapText="1"/>
    </xf>
    <xf numFmtId="0" fontId="54" fillId="0" borderId="1" xfId="0" applyFont="1" applyBorder="1" applyAlignment="1">
      <alignment horizontal="center" vertical="center" wrapText="1"/>
    </xf>
    <xf numFmtId="194" fontId="10" fillId="0" borderId="0" xfId="2" applyNumberFormat="1" applyFont="1">
      <alignment vertical="center"/>
    </xf>
    <xf numFmtId="0" fontId="58" fillId="0" borderId="1" xfId="0" applyFont="1" applyBorder="1" applyAlignment="1">
      <alignment vertical="center" wrapText="1"/>
    </xf>
    <xf numFmtId="178" fontId="58" fillId="0" borderId="1" xfId="1" applyFont="1" applyFill="1" applyBorder="1" applyAlignment="1">
      <alignment horizontal="center"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58" fillId="0" borderId="0" xfId="0" applyFont="1" applyAlignment="1">
      <alignment horizontal="left" vertical="center" wrapText="1"/>
    </xf>
    <xf numFmtId="0" fontId="59" fillId="0" borderId="1" xfId="0" applyFont="1" applyBorder="1" applyAlignment="1">
      <alignment horizontal="center" vertical="center" wrapText="1"/>
    </xf>
    <xf numFmtId="178" fontId="10" fillId="18" borderId="1" xfId="1" applyFont="1" applyFill="1" applyBorder="1" applyAlignment="1" applyProtection="1">
      <alignment horizontal="center" vertical="center"/>
      <protection locked="0"/>
    </xf>
    <xf numFmtId="185" fontId="60" fillId="0" borderId="1" xfId="0" applyNumberFormat="1" applyFont="1" applyBorder="1" applyAlignment="1">
      <alignment horizontal="center" vertical="center"/>
    </xf>
    <xf numFmtId="0" fontId="60" fillId="0" borderId="1" xfId="0" applyFont="1" applyBorder="1" applyAlignment="1">
      <alignment horizontal="center" vertical="center"/>
    </xf>
    <xf numFmtId="9" fontId="58" fillId="0" borderId="1" xfId="2" applyFont="1" applyFill="1" applyBorder="1" applyAlignment="1">
      <alignment horizontal="center" vertical="center" wrapText="1"/>
    </xf>
    <xf numFmtId="195" fontId="10" fillId="18" borderId="1" xfId="1" applyNumberFormat="1" applyFont="1" applyFill="1" applyBorder="1" applyAlignment="1" applyProtection="1">
      <alignment horizontal="center" vertical="center"/>
      <protection locked="0"/>
    </xf>
    <xf numFmtId="9" fontId="54" fillId="0" borderId="1" xfId="2" applyFont="1" applyFill="1" applyBorder="1" applyAlignment="1">
      <alignment horizontal="center" vertical="center" wrapText="1"/>
    </xf>
    <xf numFmtId="178" fontId="58" fillId="0" borderId="1" xfId="1" applyFont="1" applyBorder="1" applyAlignment="1">
      <alignment horizontal="center" vertical="center" wrapText="1"/>
    </xf>
    <xf numFmtId="189" fontId="10" fillId="18" borderId="1" xfId="1" applyNumberFormat="1" applyFont="1" applyFill="1" applyBorder="1" applyAlignment="1" applyProtection="1">
      <alignment horizontal="center" vertical="center"/>
      <protection locked="0"/>
    </xf>
    <xf numFmtId="195" fontId="10" fillId="19" borderId="1" xfId="1" applyNumberFormat="1" applyFont="1" applyFill="1" applyBorder="1" applyAlignment="1" applyProtection="1">
      <alignment horizontal="center" vertical="center"/>
      <protection locked="0"/>
    </xf>
    <xf numFmtId="0" fontId="10" fillId="2" borderId="0" xfId="0" applyFont="1" applyFill="1">
      <alignment vertical="center"/>
    </xf>
    <xf numFmtId="0" fontId="54" fillId="0" borderId="0" xfId="0" applyFont="1" applyAlignment="1">
      <alignment horizontal="center" vertical="center"/>
    </xf>
    <xf numFmtId="0" fontId="10" fillId="2" borderId="0" xfId="0" applyFont="1" applyFill="1" applyAlignment="1">
      <alignment horizontal="center" vertical="center"/>
    </xf>
    <xf numFmtId="178" fontId="10" fillId="3" borderId="0" xfId="1" applyFont="1" applyFill="1" applyAlignment="1">
      <alignment horizontal="center" vertical="center"/>
    </xf>
    <xf numFmtId="178" fontId="10" fillId="0" borderId="0" xfId="1" applyFont="1" applyFill="1" applyAlignment="1">
      <alignment horizontal="center" vertical="center" wrapText="1"/>
    </xf>
    <xf numFmtId="178" fontId="10" fillId="0" borderId="0" xfId="1" applyFont="1" applyAlignment="1">
      <alignment horizontal="center" vertical="center" wrapText="1"/>
    </xf>
    <xf numFmtId="178" fontId="10" fillId="3" borderId="0" xfId="1" applyFont="1" applyFill="1" applyAlignment="1">
      <alignment horizontal="center" vertical="center" wrapText="1"/>
    </xf>
    <xf numFmtId="178" fontId="10" fillId="3" borderId="62" xfId="1" applyFont="1" applyFill="1" applyBorder="1" applyAlignment="1">
      <alignment horizontal="center" vertical="center"/>
    </xf>
    <xf numFmtId="178" fontId="10" fillId="0" borderId="62" xfId="1" applyFont="1" applyBorder="1" applyAlignment="1">
      <alignment horizontal="center" vertical="center"/>
    </xf>
    <xf numFmtId="178" fontId="62" fillId="0" borderId="12" xfId="1" applyFont="1" applyFill="1" applyBorder="1" applyAlignment="1">
      <alignment horizontal="center" vertical="center"/>
    </xf>
    <xf numFmtId="178" fontId="62" fillId="3" borderId="13" xfId="1" applyFont="1" applyFill="1" applyBorder="1" applyAlignment="1">
      <alignment horizontal="center" vertical="center"/>
    </xf>
    <xf numFmtId="178" fontId="62" fillId="2" borderId="13" xfId="1" applyFont="1" applyFill="1" applyBorder="1" applyAlignment="1">
      <alignment horizontal="center" vertical="center" wrapText="1"/>
    </xf>
    <xf numFmtId="178" fontId="62" fillId="0" borderId="13" xfId="1" applyFont="1" applyFill="1" applyBorder="1" applyAlignment="1">
      <alignment horizontal="center" vertical="center" wrapText="1"/>
    </xf>
    <xf numFmtId="178" fontId="62" fillId="3" borderId="13" xfId="1" applyFont="1" applyFill="1" applyBorder="1" applyAlignment="1">
      <alignment horizontal="center" vertical="center" wrapText="1"/>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20" fillId="2" borderId="45" xfId="0" applyFont="1" applyFill="1" applyBorder="1" applyAlignment="1">
      <alignment horizontal="center" vertical="center"/>
    </xf>
    <xf numFmtId="178" fontId="66" fillId="2" borderId="45" xfId="1" applyFont="1" applyFill="1" applyBorder="1" applyAlignment="1">
      <alignment horizontal="center" vertical="center"/>
    </xf>
    <xf numFmtId="0" fontId="66" fillId="2" borderId="45" xfId="0" applyFont="1" applyFill="1" applyBorder="1" applyAlignment="1">
      <alignment horizontal="center" vertical="center"/>
    </xf>
    <xf numFmtId="0" fontId="20" fillId="20" borderId="45" xfId="0" applyFont="1" applyFill="1" applyBorder="1" applyAlignment="1">
      <alignment horizontal="center" vertical="center"/>
    </xf>
    <xf numFmtId="0" fontId="20" fillId="0" borderId="46" xfId="0" applyFont="1" applyBorder="1" applyAlignment="1">
      <alignment horizontal="center" vertical="center"/>
    </xf>
    <xf numFmtId="178" fontId="62" fillId="0" borderId="13" xfId="1" applyFont="1" applyFill="1" applyBorder="1" applyAlignment="1">
      <alignment horizontal="center" vertical="center"/>
    </xf>
    <xf numFmtId="178" fontId="62" fillId="17" borderId="13" xfId="1" applyFont="1" applyFill="1" applyBorder="1" applyAlignment="1">
      <alignment horizontal="center" vertical="center"/>
    </xf>
    <xf numFmtId="178" fontId="62" fillId="0" borderId="63" xfId="1" applyFont="1" applyFill="1" applyBorder="1" applyAlignment="1">
      <alignment horizontal="center" vertical="center"/>
    </xf>
    <xf numFmtId="178" fontId="62" fillId="0" borderId="14" xfId="1" applyFont="1" applyFill="1" applyBorder="1" applyAlignment="1">
      <alignment horizontal="center" vertical="center"/>
    </xf>
    <xf numFmtId="178" fontId="10" fillId="0" borderId="0" xfId="0" applyNumberFormat="1" applyFont="1" applyAlignment="1">
      <alignment horizontal="center" vertical="center"/>
    </xf>
    <xf numFmtId="0" fontId="20" fillId="0" borderId="47" xfId="0" applyFont="1" applyBorder="1" applyAlignment="1">
      <alignment horizontal="center" vertical="center"/>
    </xf>
    <xf numFmtId="9" fontId="20" fillId="0" borderId="13" xfId="2" applyFont="1" applyBorder="1" applyAlignment="1">
      <alignment horizontal="center" vertical="center"/>
    </xf>
    <xf numFmtId="178" fontId="20" fillId="0" borderId="13" xfId="1" applyFont="1" applyBorder="1" applyAlignment="1">
      <alignment horizontal="center" vertical="center"/>
    </xf>
    <xf numFmtId="189" fontId="20" fillId="0" borderId="13" xfId="1" applyNumberFormat="1" applyFont="1" applyBorder="1" applyAlignment="1">
      <alignment horizontal="center" vertical="center"/>
    </xf>
    <xf numFmtId="0" fontId="20" fillId="0" borderId="48" xfId="0" applyFont="1" applyBorder="1" applyAlignment="1">
      <alignment horizontal="center" vertical="center"/>
    </xf>
    <xf numFmtId="193" fontId="67" fillId="0" borderId="0" xfId="34" applyNumberFormat="1" applyFont="1" applyAlignment="1">
      <alignment horizontal="center" vertical="center"/>
    </xf>
    <xf numFmtId="0" fontId="0" fillId="3" borderId="1" xfId="0" applyFill="1" applyBorder="1" applyAlignment="1">
      <alignment horizontal="left" vertical="center"/>
    </xf>
    <xf numFmtId="178" fontId="0" fillId="3" borderId="1" xfId="1" applyFont="1" applyFill="1" applyBorder="1">
      <alignment vertical="center"/>
    </xf>
    <xf numFmtId="178" fontId="0" fillId="0" borderId="1" xfId="1" applyFont="1" applyBorder="1">
      <alignment vertical="center"/>
    </xf>
    <xf numFmtId="193" fontId="68" fillId="0" borderId="0" xfId="34" applyNumberFormat="1" applyFont="1" applyAlignment="1">
      <alignment horizontal="left" vertical="top" wrapText="1"/>
    </xf>
    <xf numFmtId="0" fontId="68" fillId="0" borderId="0" xfId="0" applyFont="1">
      <alignment vertical="center"/>
    </xf>
    <xf numFmtId="0" fontId="26" fillId="21" borderId="1" xfId="0" applyFont="1" applyFill="1" applyBorder="1" applyAlignment="1">
      <alignment horizontal="center" vertical="center" wrapText="1"/>
    </xf>
    <xf numFmtId="0" fontId="26" fillId="21" borderId="0" xfId="0" applyFont="1" applyFill="1" applyAlignment="1">
      <alignment horizontal="center" vertical="center" wrapText="1"/>
    </xf>
    <xf numFmtId="0" fontId="68" fillId="0" borderId="1" xfId="0" applyFont="1" applyBorder="1" applyAlignment="1">
      <alignment horizontal="center" vertical="center"/>
    </xf>
    <xf numFmtId="189" fontId="68" fillId="0" borderId="1" xfId="0" applyNumberFormat="1" applyFont="1" applyBorder="1" applyAlignment="1">
      <alignment horizontal="center" vertical="center"/>
    </xf>
    <xf numFmtId="0" fontId="68" fillId="0" borderId="0" xfId="0" applyFont="1" applyAlignment="1">
      <alignment horizontal="center" vertical="center"/>
    </xf>
    <xf numFmtId="178" fontId="62" fillId="2" borderId="13" xfId="1" applyFont="1" applyFill="1" applyBorder="1" applyAlignment="1">
      <alignment horizontal="center" vertical="center"/>
    </xf>
    <xf numFmtId="0" fontId="20" fillId="3" borderId="13" xfId="0" applyFont="1" applyFill="1" applyBorder="1" applyAlignment="1">
      <alignment horizontal="center" vertical="center"/>
    </xf>
    <xf numFmtId="178" fontId="20" fillId="3" borderId="13" xfId="1" applyFont="1" applyFill="1" applyBorder="1" applyAlignment="1">
      <alignment horizontal="center" vertical="center"/>
    </xf>
    <xf numFmtId="0" fontId="20" fillId="0" borderId="13" xfId="0" applyFont="1" applyBorder="1" applyAlignment="1">
      <alignment horizontal="center" vertical="center"/>
    </xf>
    <xf numFmtId="0" fontId="69" fillId="0" borderId="13" xfId="0" applyFont="1" applyBorder="1" applyAlignment="1">
      <alignment horizontal="center" vertical="center"/>
    </xf>
    <xf numFmtId="0" fontId="20" fillId="0" borderId="52" xfId="0" applyFont="1" applyBorder="1" applyAlignment="1">
      <alignment horizontal="center" vertical="center"/>
    </xf>
    <xf numFmtId="0" fontId="20" fillId="0" borderId="53" xfId="0" applyFont="1" applyBorder="1" applyAlignment="1">
      <alignment horizontal="center" vertical="center"/>
    </xf>
    <xf numFmtId="178" fontId="20" fillId="0" borderId="53" xfId="1" applyFont="1" applyBorder="1" applyAlignment="1">
      <alignment horizontal="center" vertical="center"/>
    </xf>
    <xf numFmtId="189" fontId="20" fillId="0" borderId="53" xfId="0" applyNumberFormat="1" applyFont="1" applyBorder="1" applyAlignment="1">
      <alignment horizontal="center" vertical="center"/>
    </xf>
    <xf numFmtId="0" fontId="20" fillId="0" borderId="54" xfId="0" applyFont="1" applyBorder="1" applyAlignment="1">
      <alignment horizontal="center" vertical="center"/>
    </xf>
    <xf numFmtId="0" fontId="68" fillId="0" borderId="1" xfId="0" applyFont="1" applyBorder="1">
      <alignment vertical="center"/>
    </xf>
    <xf numFmtId="0" fontId="1" fillId="0" borderId="1" xfId="0" applyFont="1" applyBorder="1" applyAlignment="1">
      <alignment horizontal="left" vertical="center"/>
    </xf>
    <xf numFmtId="178" fontId="0" fillId="0" borderId="1" xfId="1" applyFont="1" applyFill="1" applyBorder="1" applyAlignment="1">
      <alignment horizontal="center" vertical="center"/>
    </xf>
    <xf numFmtId="0" fontId="4" fillId="0" borderId="1" xfId="0" applyFont="1" applyBorder="1" applyAlignment="1">
      <alignment horizontal="left" vertical="center"/>
    </xf>
    <xf numFmtId="178" fontId="0" fillId="0" borderId="1" xfId="1" applyFont="1" applyFill="1" applyBorder="1">
      <alignment vertical="center"/>
    </xf>
    <xf numFmtId="187" fontId="68" fillId="0" borderId="1" xfId="23" applyNumberFormat="1" applyFont="1" applyBorder="1" applyAlignment="1">
      <alignment horizontal="center" vertical="center"/>
    </xf>
    <xf numFmtId="0" fontId="1" fillId="3" borderId="1" xfId="0" applyFont="1" applyFill="1" applyBorder="1" applyAlignment="1">
      <alignment horizontal="left" vertical="center"/>
    </xf>
    <xf numFmtId="178" fontId="0" fillId="3" borderId="1" xfId="1" applyFont="1" applyFill="1" applyBorder="1" applyAlignment="1">
      <alignment vertical="center"/>
    </xf>
    <xf numFmtId="178" fontId="0" fillId="3" borderId="1" xfId="1" applyFont="1" applyFill="1" applyBorder="1" applyAlignment="1">
      <alignment horizontal="center" vertical="center"/>
    </xf>
    <xf numFmtId="9" fontId="68" fillId="0" borderId="1" xfId="23" applyFont="1" applyBorder="1" applyAlignment="1">
      <alignment horizontal="center" vertical="center"/>
    </xf>
    <xf numFmtId="180" fontId="42" fillId="0" borderId="1" xfId="0" applyNumberFormat="1" applyFont="1" applyBorder="1" applyAlignment="1">
      <alignment horizontal="center" vertical="center"/>
    </xf>
    <xf numFmtId="180" fontId="8" fillId="0" borderId="1" xfId="0" applyNumberFormat="1" applyFont="1" applyBorder="1" applyAlignment="1">
      <alignment horizontal="center" vertical="center"/>
    </xf>
    <xf numFmtId="180" fontId="8" fillId="3" borderId="1" xfId="0" applyNumberFormat="1" applyFont="1" applyFill="1" applyBorder="1" applyAlignment="1">
      <alignment horizontal="center" vertical="center"/>
    </xf>
    <xf numFmtId="178" fontId="54" fillId="0" borderId="0" xfId="1" applyFont="1" applyAlignment="1">
      <alignment horizontal="center" vertical="center"/>
    </xf>
    <xf numFmtId="193" fontId="59" fillId="0" borderId="0" xfId="34" applyNumberFormat="1" applyFont="1" applyAlignment="1">
      <alignment vertical="center"/>
    </xf>
    <xf numFmtId="0" fontId="1" fillId="3" borderId="1" xfId="0" applyFont="1" applyFill="1" applyBorder="1">
      <alignment vertical="center"/>
    </xf>
    <xf numFmtId="0" fontId="0" fillId="2" borderId="1" xfId="0" applyFill="1" applyBorder="1" applyAlignment="1">
      <alignment horizontal="left" vertical="center"/>
    </xf>
    <xf numFmtId="193" fontId="70" fillId="0" borderId="0" xfId="34" applyNumberFormat="1" applyFont="1" applyAlignment="1">
      <alignment vertical="center"/>
    </xf>
    <xf numFmtId="178" fontId="0" fillId="2" borderId="1" xfId="1" applyFont="1" applyFill="1" applyBorder="1" applyAlignment="1">
      <alignment vertical="center"/>
    </xf>
    <xf numFmtId="178" fontId="10" fillId="3" borderId="1" xfId="1" applyFont="1" applyFill="1" applyBorder="1" applyAlignment="1">
      <alignment horizontal="center" vertical="center"/>
    </xf>
    <xf numFmtId="0" fontId="59" fillId="0" borderId="0" xfId="34" applyFont="1" applyAlignment="1">
      <alignment vertical="center"/>
    </xf>
    <xf numFmtId="14" fontId="59" fillId="0" borderId="0" xfId="34" applyNumberFormat="1" applyFont="1" applyAlignment="1">
      <alignment vertical="center"/>
    </xf>
    <xf numFmtId="0" fontId="0" fillId="0" borderId="1" xfId="1" applyNumberFormat="1" applyFont="1" applyBorder="1" applyAlignment="1">
      <alignment horizontal="center" vertical="center"/>
    </xf>
    <xf numFmtId="178" fontId="0" fillId="3" borderId="1" xfId="1" applyFont="1" applyFill="1" applyBorder="1" applyAlignment="1">
      <alignment horizontal="left" vertical="center"/>
    </xf>
    <xf numFmtId="178" fontId="10" fillId="3" borderId="1" xfId="1" applyFont="1" applyFill="1" applyBorder="1" applyAlignment="1">
      <alignment horizontal="left" vertical="center"/>
    </xf>
    <xf numFmtId="178" fontId="62" fillId="2" borderId="63" xfId="1" applyFont="1" applyFill="1" applyBorder="1" applyAlignment="1">
      <alignment horizontal="center" vertical="center"/>
    </xf>
    <xf numFmtId="178" fontId="62" fillId="2" borderId="14" xfId="1" applyFont="1" applyFill="1" applyBorder="1" applyAlignment="1">
      <alignment horizontal="center" vertical="center"/>
    </xf>
    <xf numFmtId="178" fontId="10" fillId="2" borderId="0" xfId="0" applyNumberFormat="1" applyFont="1" applyFill="1" applyAlignment="1">
      <alignment horizontal="center" vertical="center"/>
    </xf>
    <xf numFmtId="178" fontId="10" fillId="2" borderId="0" xfId="1" applyFont="1" applyFill="1" applyAlignment="1">
      <alignment horizontal="center" vertical="center"/>
    </xf>
    <xf numFmtId="0" fontId="68" fillId="2" borderId="0" xfId="0" applyFont="1" applyFill="1">
      <alignment vertical="center"/>
    </xf>
    <xf numFmtId="0" fontId="0" fillId="2" borderId="1" xfId="1" applyNumberFormat="1" applyFont="1" applyFill="1" applyBorder="1" applyAlignment="1">
      <alignment horizontal="center" vertical="center"/>
    </xf>
    <xf numFmtId="178" fontId="10" fillId="2" borderId="1" xfId="1" applyFont="1" applyFill="1" applyBorder="1" applyAlignment="1">
      <alignment horizontal="left" vertical="center"/>
    </xf>
    <xf numFmtId="178" fontId="62" fillId="3" borderId="14" xfId="1" applyFont="1" applyFill="1" applyBorder="1" applyAlignment="1">
      <alignment horizontal="center" vertical="center"/>
    </xf>
    <xf numFmtId="178" fontId="62" fillId="3" borderId="16" xfId="1" applyFont="1" applyFill="1" applyBorder="1" applyAlignment="1">
      <alignment horizontal="center" vertical="center"/>
    </xf>
    <xf numFmtId="178" fontId="62" fillId="2" borderId="16" xfId="1" applyFont="1" applyFill="1" applyBorder="1" applyAlignment="1">
      <alignment horizontal="center" vertical="center"/>
    </xf>
    <xf numFmtId="178" fontId="20" fillId="3" borderId="0" xfId="1" applyFont="1" applyFill="1" applyAlignment="1">
      <alignment horizontal="center" vertical="center"/>
    </xf>
    <xf numFmtId="0" fontId="71" fillId="0" borderId="0" xfId="0" applyFont="1">
      <alignment vertical="center"/>
    </xf>
    <xf numFmtId="185" fontId="72" fillId="22" borderId="2" xfId="0" applyNumberFormat="1" applyFont="1" applyFill="1" applyBorder="1" applyAlignment="1"/>
    <xf numFmtId="0" fontId="73" fillId="0" borderId="1" xfId="0" applyFont="1" applyBorder="1" applyAlignment="1">
      <alignment vertical="top"/>
    </xf>
    <xf numFmtId="0" fontId="73" fillId="0" borderId="0" xfId="0" applyFont="1" applyAlignment="1">
      <alignment vertical="top"/>
    </xf>
    <xf numFmtId="178" fontId="74" fillId="0" borderId="1" xfId="56" applyFont="1" applyBorder="1" applyAlignment="1">
      <alignment horizontal="center" vertical="center" wrapText="1"/>
    </xf>
    <xf numFmtId="178" fontId="75" fillId="3" borderId="1" xfId="56" applyFont="1" applyFill="1" applyBorder="1" applyAlignment="1">
      <alignment horizontal="center" vertical="center" wrapText="1"/>
    </xf>
    <xf numFmtId="0" fontId="76" fillId="0" borderId="1" xfId="0" applyFont="1" applyBorder="1" applyAlignment="1">
      <alignment horizontal="center" vertical="center"/>
    </xf>
    <xf numFmtId="181" fontId="77" fillId="0" borderId="1" xfId="0" applyNumberFormat="1" applyFont="1" applyBorder="1" applyAlignment="1">
      <alignment horizontal="center" vertical="center"/>
    </xf>
    <xf numFmtId="181" fontId="76" fillId="0" borderId="1" xfId="0" applyNumberFormat="1" applyFont="1" applyBorder="1" applyAlignment="1">
      <alignment horizontal="center" vertical="center"/>
    </xf>
    <xf numFmtId="181" fontId="78" fillId="23" borderId="1" xfId="0" applyNumberFormat="1" applyFont="1" applyFill="1" applyBorder="1" applyAlignment="1"/>
    <xf numFmtId="181" fontId="6" fillId="23" borderId="1" xfId="0" applyNumberFormat="1" applyFont="1" applyFill="1" applyBorder="1" applyAlignment="1"/>
    <xf numFmtId="0" fontId="78" fillId="23" borderId="1" xfId="0" applyFont="1" applyFill="1" applyBorder="1" applyAlignment="1">
      <alignment horizontal="center"/>
    </xf>
    <xf numFmtId="0" fontId="52" fillId="0" borderId="1" xfId="0" applyFont="1" applyBorder="1" applyAlignment="1">
      <alignment horizontal="center" vertical="center"/>
    </xf>
    <xf numFmtId="0" fontId="79" fillId="0" borderId="0" xfId="0" applyFont="1">
      <alignment vertical="center"/>
    </xf>
    <xf numFmtId="0" fontId="80" fillId="0" borderId="0" xfId="0" applyFont="1" applyAlignment="1">
      <alignment horizontal="center" vertical="center" wrapText="1"/>
    </xf>
    <xf numFmtId="0" fontId="79" fillId="0" borderId="0" xfId="0" applyFont="1" applyAlignment="1">
      <alignment horizontal="left"/>
    </xf>
    <xf numFmtId="0" fontId="79" fillId="0" borderId="0" xfId="0" applyFont="1" applyAlignment="1">
      <alignment horizontal="right"/>
    </xf>
    <xf numFmtId="0" fontId="4" fillId="24" borderId="0" xfId="0" applyFont="1" applyFill="1">
      <alignment vertical="center"/>
    </xf>
    <xf numFmtId="0" fontId="4" fillId="0" borderId="0" xfId="0" applyFont="1">
      <alignment vertical="center"/>
    </xf>
    <xf numFmtId="0" fontId="60" fillId="25" borderId="69" xfId="0" applyFont="1" applyFill="1" applyBorder="1" applyAlignment="1">
      <alignment horizontal="center" vertical="center" wrapText="1"/>
    </xf>
    <xf numFmtId="0" fontId="60" fillId="25" borderId="33" xfId="0" applyFont="1" applyFill="1" applyBorder="1" applyAlignment="1">
      <alignment horizontal="center" vertical="center" wrapText="1"/>
    </xf>
    <xf numFmtId="180" fontId="60" fillId="25" borderId="33" xfId="0" applyNumberFormat="1" applyFont="1" applyFill="1" applyBorder="1" applyAlignment="1">
      <alignment horizontal="center" vertical="center"/>
    </xf>
    <xf numFmtId="0" fontId="60" fillId="25" borderId="34" xfId="0" applyFont="1" applyFill="1" applyBorder="1">
      <alignment vertical="center"/>
    </xf>
    <xf numFmtId="0" fontId="60" fillId="25" borderId="70" xfId="0" applyFont="1" applyFill="1" applyBorder="1" applyAlignment="1">
      <alignment horizontal="center" vertical="center" wrapText="1"/>
    </xf>
    <xf numFmtId="185" fontId="60" fillId="25" borderId="33" xfId="0" applyNumberFormat="1" applyFont="1" applyFill="1" applyBorder="1" applyAlignment="1">
      <alignment horizontal="center" vertical="center" wrapText="1"/>
    </xf>
    <xf numFmtId="0" fontId="60" fillId="25" borderId="34" xfId="0" applyFont="1" applyFill="1" applyBorder="1" applyAlignment="1">
      <alignment horizontal="center" vertical="center" wrapText="1"/>
    </xf>
    <xf numFmtId="0" fontId="57" fillId="24" borderId="7" xfId="0" applyFont="1" applyFill="1" applyBorder="1" applyAlignment="1">
      <alignment horizontal="center" vertical="center" wrapText="1"/>
    </xf>
    <xf numFmtId="9" fontId="57" fillId="24" borderId="7" xfId="2" applyFont="1" applyFill="1" applyBorder="1" applyAlignment="1" applyProtection="1">
      <alignment horizontal="center" vertical="center" wrapText="1"/>
    </xf>
    <xf numFmtId="185" fontId="57" fillId="24" borderId="7" xfId="0" applyNumberFormat="1" applyFont="1" applyFill="1" applyBorder="1" applyAlignment="1">
      <alignment horizontal="center" vertical="center" wrapText="1"/>
    </xf>
    <xf numFmtId="9" fontId="57" fillId="24" borderId="7" xfId="0" applyNumberFormat="1" applyFont="1" applyFill="1" applyBorder="1" applyAlignment="1">
      <alignment horizontal="center" vertical="center" wrapText="1"/>
    </xf>
    <xf numFmtId="0" fontId="60" fillId="24" borderId="76" xfId="0" applyFont="1" applyFill="1" applyBorder="1" applyAlignment="1">
      <alignment horizontal="center" vertical="center"/>
    </xf>
    <xf numFmtId="0" fontId="57" fillId="24" borderId="1" xfId="0" applyFont="1" applyFill="1" applyBorder="1" applyAlignment="1">
      <alignment horizontal="center" vertical="center" wrapText="1"/>
    </xf>
    <xf numFmtId="9" fontId="57" fillId="24" borderId="1" xfId="2" applyFont="1" applyFill="1" applyBorder="1" applyAlignment="1" applyProtection="1">
      <alignment horizontal="center" vertical="center" wrapText="1"/>
    </xf>
    <xf numFmtId="185" fontId="57" fillId="24" borderId="1" xfId="0" applyNumberFormat="1" applyFont="1" applyFill="1" applyBorder="1" applyAlignment="1">
      <alignment horizontal="center" vertical="center" wrapText="1"/>
    </xf>
    <xf numFmtId="9" fontId="57" fillId="24" borderId="1" xfId="0" applyNumberFormat="1" applyFont="1" applyFill="1" applyBorder="1" applyAlignment="1">
      <alignment horizontal="center" vertical="center" wrapText="1"/>
    </xf>
    <xf numFmtId="0" fontId="60" fillId="24" borderId="29" xfId="0" applyFont="1" applyFill="1" applyBorder="1" applyAlignment="1">
      <alignment horizontal="center" vertical="center"/>
    </xf>
    <xf numFmtId="0" fontId="81" fillId="24" borderId="0" xfId="0" applyFont="1" applyFill="1">
      <alignment vertical="center"/>
    </xf>
    <xf numFmtId="0" fontId="68" fillId="24" borderId="69" xfId="0" applyFont="1" applyFill="1" applyBorder="1" applyAlignment="1">
      <alignment horizontal="center" vertical="center"/>
    </xf>
    <xf numFmtId="0" fontId="57" fillId="24" borderId="33" xfId="0" applyFont="1" applyFill="1" applyBorder="1" applyAlignment="1">
      <alignment horizontal="center" vertical="center" wrapText="1"/>
    </xf>
    <xf numFmtId="185" fontId="57" fillId="24" borderId="33" xfId="0" applyNumberFormat="1" applyFont="1" applyFill="1" applyBorder="1" applyAlignment="1">
      <alignment horizontal="center" vertical="center" wrapText="1"/>
    </xf>
    <xf numFmtId="9" fontId="57" fillId="24" borderId="33" xfId="2" applyFont="1" applyFill="1" applyBorder="1" applyAlignment="1" applyProtection="1">
      <alignment horizontal="center" vertical="center" wrapText="1"/>
    </xf>
    <xf numFmtId="0" fontId="60" fillId="24" borderId="34" xfId="0" applyFont="1" applyFill="1" applyBorder="1" applyAlignment="1">
      <alignment horizontal="center" vertical="center"/>
    </xf>
    <xf numFmtId="0" fontId="60" fillId="0" borderId="0" xfId="0" applyFont="1" applyAlignment="1">
      <alignment wrapText="1"/>
    </xf>
    <xf numFmtId="0" fontId="60" fillId="26" borderId="0" xfId="0" applyFont="1" applyFill="1" applyAlignment="1">
      <alignment wrapText="1"/>
    </xf>
    <xf numFmtId="0" fontId="60" fillId="0" borderId="0" xfId="0" applyFont="1">
      <alignment vertical="center"/>
    </xf>
    <xf numFmtId="0" fontId="60" fillId="0" borderId="0" xfId="0" applyFont="1" applyAlignment="1">
      <alignment vertical="center" wrapText="1"/>
    </xf>
    <xf numFmtId="0" fontId="60" fillId="27" borderId="28" xfId="0" applyFont="1" applyFill="1" applyBorder="1" applyAlignment="1">
      <alignment horizontal="center" vertical="center" wrapText="1"/>
    </xf>
    <xf numFmtId="0" fontId="60" fillId="27" borderId="1" xfId="0" applyFont="1" applyFill="1" applyBorder="1" applyAlignment="1">
      <alignment horizontal="center" vertical="center" wrapText="1"/>
    </xf>
    <xf numFmtId="185" fontId="60" fillId="27" borderId="1" xfId="0" applyNumberFormat="1" applyFont="1" applyFill="1" applyBorder="1" applyAlignment="1">
      <alignment horizontal="center" vertical="center" wrapText="1"/>
    </xf>
    <xf numFmtId="0" fontId="60" fillId="27" borderId="29" xfId="0" applyFont="1" applyFill="1" applyBorder="1" applyAlignment="1">
      <alignment horizontal="center" vertical="center" wrapText="1"/>
    </xf>
    <xf numFmtId="0" fontId="60" fillId="27" borderId="5" xfId="0" applyFont="1" applyFill="1" applyBorder="1" applyAlignment="1">
      <alignment horizontal="center" vertical="center" wrapText="1"/>
    </xf>
    <xf numFmtId="0" fontId="60" fillId="27" borderId="3" xfId="0" applyFont="1" applyFill="1" applyBorder="1" applyAlignment="1">
      <alignment horizontal="center" vertical="center" wrapText="1"/>
    </xf>
    <xf numFmtId="0" fontId="57" fillId="0" borderId="27" xfId="0" applyFont="1" applyBorder="1" applyAlignment="1">
      <alignment horizontal="center" vertical="center" wrapText="1"/>
    </xf>
    <xf numFmtId="0" fontId="57" fillId="0" borderId="28" xfId="0" applyFont="1" applyBorder="1" applyAlignment="1">
      <alignment horizontal="center" vertical="center" wrapText="1"/>
    </xf>
    <xf numFmtId="9" fontId="57" fillId="0" borderId="1" xfId="2" applyFont="1" applyFill="1" applyBorder="1" applyAlignment="1">
      <alignment horizontal="center" vertical="center" wrapText="1"/>
    </xf>
    <xf numFmtId="0" fontId="57" fillId="0" borderId="29" xfId="0" applyFont="1" applyBorder="1" applyAlignment="1">
      <alignment horizontal="center" vertical="center" wrapText="1"/>
    </xf>
    <xf numFmtId="0" fontId="57" fillId="0" borderId="5" xfId="0" applyFont="1" applyBorder="1" applyAlignment="1">
      <alignment horizontal="center" vertical="center" wrapText="1"/>
    </xf>
    <xf numFmtId="0" fontId="57" fillId="0" borderId="3" xfId="0" applyFont="1" applyBorder="1" applyAlignment="1">
      <alignment horizontal="center" vertical="center" wrapText="1"/>
    </xf>
    <xf numFmtId="0" fontId="57" fillId="0" borderId="79" xfId="0" applyFont="1" applyBorder="1" applyAlignment="1">
      <alignment horizontal="center" vertical="center" wrapText="1"/>
    </xf>
    <xf numFmtId="9" fontId="57" fillId="0" borderId="80" xfId="2" applyFont="1" applyFill="1" applyBorder="1" applyAlignment="1">
      <alignment horizontal="center" vertical="center" wrapText="1"/>
    </xf>
    <xf numFmtId="0" fontId="57" fillId="0" borderId="80" xfId="0" applyFont="1" applyBorder="1" applyAlignment="1">
      <alignment horizontal="center" vertical="center" wrapText="1"/>
    </xf>
    <xf numFmtId="9" fontId="57" fillId="0" borderId="1" xfId="2" applyFont="1" applyFill="1" applyBorder="1" applyAlignment="1">
      <alignment horizontal="center" vertical="center"/>
    </xf>
    <xf numFmtId="0" fontId="57" fillId="0" borderId="8" xfId="0" applyFont="1" applyBorder="1" applyAlignment="1">
      <alignment horizontal="center" vertical="center" wrapText="1"/>
    </xf>
    <xf numFmtId="0" fontId="57" fillId="2" borderId="27" xfId="0" applyFont="1" applyFill="1" applyBorder="1" applyAlignment="1">
      <alignment horizontal="center" vertical="center" wrapText="1"/>
    </xf>
    <xf numFmtId="0" fontId="57" fillId="0" borderId="75" xfId="0" applyFont="1" applyBorder="1" applyAlignment="1">
      <alignment horizontal="center" vertical="center" wrapText="1"/>
    </xf>
    <xf numFmtId="185" fontId="57" fillId="0" borderId="7" xfId="0" applyNumberFormat="1" applyFont="1" applyBorder="1" applyAlignment="1">
      <alignment horizontal="center" vertical="center" wrapText="1"/>
    </xf>
    <xf numFmtId="0" fontId="57" fillId="0" borderId="7" xfId="0" applyFont="1" applyBorder="1" applyAlignment="1">
      <alignment horizontal="center" vertical="center" wrapText="1"/>
    </xf>
    <xf numFmtId="0" fontId="57" fillId="0" borderId="58" xfId="0" applyFont="1" applyBorder="1" applyAlignment="1">
      <alignment horizontal="center" vertical="center" wrapText="1"/>
    </xf>
    <xf numFmtId="0" fontId="57" fillId="0" borderId="6" xfId="0" applyFont="1" applyBorder="1" applyAlignment="1">
      <alignment horizontal="center" vertical="center" wrapText="1"/>
    </xf>
    <xf numFmtId="0" fontId="57" fillId="26" borderId="27" xfId="0" applyFont="1" applyFill="1" applyBorder="1" applyAlignment="1">
      <alignment horizontal="center" vertical="center" wrapText="1"/>
    </xf>
    <xf numFmtId="0" fontId="57" fillId="26" borderId="28" xfId="0" applyFont="1" applyFill="1" applyBorder="1" applyAlignment="1">
      <alignment horizontal="center" vertical="center" wrapText="1"/>
    </xf>
    <xf numFmtId="9" fontId="57" fillId="26" borderId="1" xfId="2" applyFont="1" applyFill="1" applyBorder="1" applyAlignment="1">
      <alignment horizontal="center" vertical="center" wrapText="1"/>
    </xf>
    <xf numFmtId="185" fontId="57" fillId="26" borderId="1" xfId="0" applyNumberFormat="1" applyFont="1" applyFill="1" applyBorder="1" applyAlignment="1">
      <alignment horizontal="center" vertical="center" wrapText="1"/>
    </xf>
    <xf numFmtId="0" fontId="57" fillId="26" borderId="1" xfId="0" applyFont="1" applyFill="1" applyBorder="1" applyAlignment="1">
      <alignment horizontal="center" vertical="center" wrapText="1"/>
    </xf>
    <xf numFmtId="0" fontId="57" fillId="26" borderId="29" xfId="0" applyFont="1" applyFill="1" applyBorder="1" applyAlignment="1">
      <alignment horizontal="center" vertical="center" wrapText="1"/>
    </xf>
    <xf numFmtId="0" fontId="57" fillId="26" borderId="5" xfId="0" applyFont="1" applyFill="1" applyBorder="1" applyAlignment="1">
      <alignment horizontal="center" vertical="center" wrapText="1"/>
    </xf>
    <xf numFmtId="0" fontId="57" fillId="26" borderId="3" xfId="0" applyFont="1" applyFill="1" applyBorder="1" applyAlignment="1">
      <alignment horizontal="center" vertical="center" wrapText="1"/>
    </xf>
    <xf numFmtId="0" fontId="57" fillId="26" borderId="79" xfId="0" applyFont="1" applyFill="1" applyBorder="1" applyAlignment="1">
      <alignment horizontal="center" vertical="center" wrapText="1"/>
    </xf>
    <xf numFmtId="9" fontId="57" fillId="26" borderId="80" xfId="2" applyFont="1" applyFill="1" applyBorder="1" applyAlignment="1">
      <alignment horizontal="center" vertical="center" wrapText="1"/>
    </xf>
    <xf numFmtId="0" fontId="57" fillId="26" borderId="80" xfId="0" applyFont="1" applyFill="1" applyBorder="1" applyAlignment="1">
      <alignment horizontal="center" vertical="center" wrapText="1"/>
    </xf>
    <xf numFmtId="0" fontId="60" fillId="0" borderId="73" xfId="0" applyFont="1" applyBorder="1" applyAlignment="1">
      <alignment horizontal="center" vertical="center" wrapText="1"/>
    </xf>
    <xf numFmtId="0" fontId="60" fillId="0" borderId="69" xfId="0" applyFont="1" applyBorder="1" applyAlignment="1">
      <alignment horizontal="center" vertical="center" wrapText="1"/>
    </xf>
    <xf numFmtId="9" fontId="60" fillId="0" borderId="33" xfId="2" applyFont="1" applyBorder="1" applyAlignment="1">
      <alignment horizontal="center" vertical="center" wrapText="1"/>
    </xf>
    <xf numFmtId="185" fontId="60" fillId="0" borderId="33" xfId="0" applyNumberFormat="1" applyFont="1" applyBorder="1" applyAlignment="1">
      <alignment horizontal="center" vertical="center" wrapText="1"/>
    </xf>
    <xf numFmtId="0" fontId="60" fillId="0" borderId="33" xfId="0" applyFont="1" applyBorder="1" applyAlignment="1">
      <alignment horizontal="center" vertical="center" wrapText="1"/>
    </xf>
    <xf numFmtId="0" fontId="60" fillId="0" borderId="34" xfId="0" applyFont="1" applyBorder="1" applyAlignment="1">
      <alignment horizontal="center" vertical="center" wrapText="1"/>
    </xf>
    <xf numFmtId="0" fontId="60" fillId="0" borderId="70" xfId="0" applyFont="1" applyBorder="1" applyAlignment="1">
      <alignment horizontal="center" vertical="center" wrapText="1"/>
    </xf>
    <xf numFmtId="0" fontId="60" fillId="0" borderId="74" xfId="0" applyFont="1" applyBorder="1" applyAlignment="1">
      <alignment horizontal="center" vertical="center" wrapText="1"/>
    </xf>
    <xf numFmtId="0" fontId="60" fillId="0" borderId="71" xfId="0" applyFont="1" applyBorder="1" applyAlignment="1">
      <alignment horizontal="center" vertical="center" wrapText="1"/>
    </xf>
    <xf numFmtId="9" fontId="60" fillId="0" borderId="72" xfId="2" applyFont="1" applyFill="1" applyBorder="1" applyAlignment="1">
      <alignment horizontal="center" vertical="center" wrapText="1"/>
    </xf>
    <xf numFmtId="0" fontId="60" fillId="0" borderId="72" xfId="0" applyFont="1" applyBorder="1" applyAlignment="1">
      <alignment horizontal="center" vertical="center" wrapText="1"/>
    </xf>
    <xf numFmtId="0" fontId="57" fillId="0" borderId="72" xfId="0" applyFont="1" applyBorder="1" applyAlignment="1">
      <alignment horizontal="center" vertical="center" wrapText="1"/>
    </xf>
    <xf numFmtId="0" fontId="60" fillId="0" borderId="0" xfId="0" applyFont="1" applyAlignment="1">
      <alignment horizontal="center" vertical="center" wrapText="1"/>
    </xf>
    <xf numFmtId="9" fontId="60" fillId="0" borderId="0" xfId="2" applyFont="1" applyAlignment="1">
      <alignment horizontal="center" vertical="center" wrapText="1"/>
    </xf>
    <xf numFmtId="185" fontId="60" fillId="0" borderId="0" xfId="0" applyNumberFormat="1" applyFont="1" applyAlignment="1">
      <alignment horizontal="center" vertical="center" wrapText="1"/>
    </xf>
    <xf numFmtId="43" fontId="57" fillId="0" borderId="1" xfId="54" applyNumberFormat="1" applyFont="1" applyFill="1" applyBorder="1" applyAlignment="1" applyProtection="1">
      <alignment horizontal="center" vertical="center" wrapText="1"/>
    </xf>
    <xf numFmtId="196" fontId="57" fillId="0" borderId="1" xfId="0" applyNumberFormat="1" applyFont="1" applyBorder="1" applyAlignment="1" applyProtection="1">
      <alignment horizontal="center" vertical="center" wrapText="1"/>
      <protection locked="0"/>
    </xf>
    <xf numFmtId="0" fontId="57" fillId="0" borderId="1" xfId="0" applyFont="1" applyBorder="1" applyAlignment="1" applyProtection="1">
      <alignment horizontal="center" vertical="center" wrapText="1"/>
      <protection locked="0"/>
    </xf>
    <xf numFmtId="43" fontId="57" fillId="0" borderId="1" xfId="64" applyNumberFormat="1" applyFont="1" applyFill="1" applyBorder="1" applyAlignment="1" applyProtection="1">
      <alignment horizontal="center" vertical="center" wrapText="1"/>
      <protection locked="0"/>
    </xf>
    <xf numFmtId="0" fontId="60" fillId="0" borderId="1" xfId="0" applyFont="1" applyBorder="1" applyAlignment="1">
      <alignment horizontal="center" vertical="center" wrapText="1"/>
    </xf>
    <xf numFmtId="190" fontId="57" fillId="0" borderId="1" xfId="0" applyNumberFormat="1" applyFont="1" applyBorder="1" applyAlignment="1">
      <alignment horizontal="center" vertical="center" wrapText="1"/>
    </xf>
    <xf numFmtId="185" fontId="60" fillId="0" borderId="1" xfId="0" applyNumberFormat="1" applyFont="1" applyBorder="1" applyAlignment="1">
      <alignment horizontal="center" vertical="center" wrapText="1"/>
    </xf>
    <xf numFmtId="185" fontId="57" fillId="0" borderId="1" xfId="0" applyNumberFormat="1" applyFont="1" applyBorder="1" applyAlignment="1">
      <alignment vertical="center" wrapText="1"/>
    </xf>
    <xf numFmtId="0" fontId="57" fillId="0" borderId="1" xfId="0" applyFont="1" applyBorder="1" applyAlignment="1">
      <alignment vertical="center" wrapText="1"/>
    </xf>
    <xf numFmtId="9" fontId="57" fillId="0" borderId="1" xfId="0" applyNumberFormat="1" applyFont="1" applyBorder="1" applyAlignment="1">
      <alignment vertical="center" wrapText="1"/>
    </xf>
    <xf numFmtId="41" fontId="57" fillId="0" borderId="1" xfId="0" applyNumberFormat="1" applyFont="1" applyBorder="1" applyAlignment="1">
      <alignment vertical="center" wrapText="1"/>
    </xf>
    <xf numFmtId="0" fontId="60" fillId="0" borderId="1" xfId="0" applyFont="1" applyBorder="1" applyAlignment="1">
      <alignment vertical="center" wrapText="1"/>
    </xf>
    <xf numFmtId="0" fontId="6" fillId="0" borderId="0" xfId="0" applyFont="1" applyAlignment="1">
      <alignment horizontal="center" vertical="center"/>
    </xf>
    <xf numFmtId="0" fontId="82" fillId="0" borderId="0" xfId="0" applyFont="1" applyAlignment="1">
      <alignment horizontal="center" vertical="center"/>
    </xf>
    <xf numFmtId="0" fontId="4" fillId="0" borderId="0" xfId="0" applyFont="1" applyAlignment="1">
      <alignment horizontal="center" vertical="center"/>
    </xf>
    <xf numFmtId="178" fontId="4" fillId="0" borderId="0" xfId="1" applyFont="1" applyFill="1" applyBorder="1" applyAlignment="1">
      <alignment horizontal="center" vertical="center"/>
    </xf>
    <xf numFmtId="0" fontId="4" fillId="3" borderId="0" xfId="0" applyFont="1" applyFill="1" applyAlignment="1">
      <alignment horizontal="center" vertical="center"/>
    </xf>
    <xf numFmtId="180" fontId="8" fillId="8" borderId="1" xfId="55" applyNumberFormat="1" applyFont="1" applyFill="1" applyBorder="1" applyAlignment="1">
      <alignment horizontal="center" vertical="center"/>
    </xf>
    <xf numFmtId="180" fontId="8" fillId="8" borderId="1" xfId="55" applyNumberFormat="1" applyFont="1" applyFill="1" applyBorder="1" applyAlignment="1">
      <alignment vertical="center" wrapText="1"/>
    </xf>
    <xf numFmtId="180" fontId="8" fillId="8" borderId="1" xfId="55" applyNumberFormat="1" applyFont="1" applyFill="1" applyBorder="1" applyAlignment="1">
      <alignment vertical="center"/>
    </xf>
    <xf numFmtId="180" fontId="8" fillId="8" borderId="1" xfId="55" applyNumberFormat="1" applyFont="1" applyFill="1" applyBorder="1" applyAlignment="1">
      <alignment horizontal="center" vertical="center" wrapText="1"/>
    </xf>
    <xf numFmtId="180" fontId="8" fillId="8" borderId="1" xfId="55" applyNumberFormat="1" applyFont="1" applyFill="1" applyBorder="1" applyAlignment="1"/>
    <xf numFmtId="178" fontId="6" fillId="0" borderId="0" xfId="1" applyFont="1" applyFill="1" applyBorder="1" applyAlignment="1">
      <alignment horizontal="center" vertical="center"/>
    </xf>
    <xf numFmtId="180" fontId="8" fillId="3" borderId="1" xfId="55" applyNumberFormat="1" applyFont="1" applyFill="1" applyBorder="1" applyAlignment="1">
      <alignment horizontal="center"/>
    </xf>
    <xf numFmtId="180" fontId="8" fillId="3" borderId="1" xfId="55" applyNumberFormat="1" applyFont="1" applyFill="1" applyBorder="1" applyAlignment="1"/>
    <xf numFmtId="180" fontId="8" fillId="0" borderId="1" xfId="55" applyNumberFormat="1" applyFont="1" applyFill="1" applyBorder="1" applyAlignment="1"/>
    <xf numFmtId="178" fontId="82" fillId="0" borderId="0" xfId="1" applyFont="1" applyFill="1" applyBorder="1" applyAlignment="1">
      <alignment horizontal="center" vertical="center"/>
    </xf>
    <xf numFmtId="194" fontId="82" fillId="0" borderId="0" xfId="1" applyNumberFormat="1" applyFont="1" applyFill="1" applyBorder="1" applyAlignment="1">
      <alignment horizontal="center" vertical="center"/>
    </xf>
    <xf numFmtId="194" fontId="82" fillId="0" borderId="0" xfId="0" applyNumberFormat="1" applyFont="1" applyAlignment="1">
      <alignment horizontal="center" vertical="center"/>
    </xf>
    <xf numFmtId="180" fontId="8" fillId="0" borderId="1" xfId="55" applyNumberFormat="1" applyFont="1" applyBorder="1" applyAlignment="1"/>
    <xf numFmtId="194" fontId="4" fillId="0" borderId="0" xfId="1" applyNumberFormat="1" applyFont="1" applyFill="1" applyBorder="1" applyAlignment="1">
      <alignment horizontal="center" vertical="center"/>
    </xf>
    <xf numFmtId="180" fontId="8" fillId="0" borderId="1" xfId="55" applyNumberFormat="1" applyFont="1" applyFill="1" applyBorder="1" applyAlignment="1">
      <alignment horizontal="center"/>
    </xf>
    <xf numFmtId="180" fontId="8" fillId="0" borderId="1" xfId="55" applyNumberFormat="1" applyFont="1" applyBorder="1" applyAlignment="1">
      <alignment horizontal="center"/>
    </xf>
    <xf numFmtId="0" fontId="83" fillId="0" borderId="0" xfId="0" applyFont="1">
      <alignment vertical="center"/>
    </xf>
    <xf numFmtId="0" fontId="4" fillId="28" borderId="1" xfId="0" applyFont="1" applyFill="1" applyBorder="1" applyAlignment="1">
      <alignment horizontal="center" vertical="center"/>
    </xf>
    <xf numFmtId="0" fontId="4" fillId="29"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0" borderId="1" xfId="0" applyFont="1" applyFill="1" applyBorder="1" applyAlignment="1">
      <alignment horizontal="center" vertical="center"/>
    </xf>
    <xf numFmtId="0" fontId="84" fillId="0" borderId="1" xfId="0" applyFont="1" applyBorder="1" applyAlignment="1">
      <alignment horizontal="center" vertical="center"/>
    </xf>
    <xf numFmtId="0" fontId="83" fillId="0" borderId="1" xfId="0" applyFont="1" applyBorder="1" applyAlignment="1">
      <alignment horizontal="center" vertical="center"/>
    </xf>
    <xf numFmtId="0" fontId="83" fillId="0" borderId="7" xfId="0" applyFont="1" applyBorder="1" applyAlignment="1">
      <alignment horizontal="center" vertical="center"/>
    </xf>
    <xf numFmtId="0" fontId="4" fillId="0" borderId="7" xfId="0" applyFont="1" applyBorder="1" applyAlignment="1">
      <alignment horizontal="center" vertical="center"/>
    </xf>
    <xf numFmtId="0" fontId="83" fillId="0" borderId="0" xfId="0" applyFont="1" applyAlignment="1">
      <alignment horizontal="center" vertical="center"/>
    </xf>
    <xf numFmtId="0" fontId="4" fillId="29" borderId="0" xfId="0" applyFont="1" applyFill="1" applyAlignment="1">
      <alignment horizontal="center" vertical="center"/>
    </xf>
    <xf numFmtId="189" fontId="83" fillId="2" borderId="1" xfId="0" applyNumberFormat="1" applyFont="1" applyFill="1" applyBorder="1" applyAlignment="1">
      <alignment horizontal="center" vertical="center"/>
    </xf>
    <xf numFmtId="189" fontId="83" fillId="2" borderId="0" xfId="0" applyNumberFormat="1" applyFont="1" applyFill="1" applyAlignment="1">
      <alignment horizontal="center" vertical="center"/>
    </xf>
    <xf numFmtId="189" fontId="83" fillId="0" borderId="1" xfId="0" applyNumberFormat="1" applyFont="1" applyBorder="1" applyAlignment="1">
      <alignment horizontal="center" vertical="center"/>
    </xf>
    <xf numFmtId="189" fontId="83" fillId="0" borderId="0" xfId="0" applyNumberFormat="1" applyFont="1" applyAlignment="1">
      <alignment horizontal="center" vertical="center"/>
    </xf>
    <xf numFmtId="0" fontId="83" fillId="2" borderId="1" xfId="0" applyFont="1" applyFill="1" applyBorder="1" applyAlignment="1">
      <alignment horizontal="center" vertical="center"/>
    </xf>
    <xf numFmtId="0" fontId="4" fillId="0" borderId="1" xfId="0" applyFont="1" applyBorder="1">
      <alignment vertical="center"/>
    </xf>
    <xf numFmtId="0" fontId="7" fillId="0" borderId="0" xfId="0" applyFont="1">
      <alignment vertical="center"/>
    </xf>
    <xf numFmtId="0" fontId="7" fillId="3" borderId="0" xfId="0" applyFont="1" applyFill="1">
      <alignment vertical="center"/>
    </xf>
    <xf numFmtId="0" fontId="7" fillId="3" borderId="0" xfId="0" applyFont="1" applyFill="1" applyAlignment="1">
      <alignment horizontal="center" vertical="center"/>
    </xf>
    <xf numFmtId="0" fontId="85" fillId="0" borderId="1" xfId="43" applyFont="1" applyBorder="1" applyAlignment="1">
      <alignment horizontal="left" vertical="center" wrapText="1"/>
    </xf>
    <xf numFmtId="0" fontId="85" fillId="3" borderId="1" xfId="43" applyFont="1" applyFill="1" applyBorder="1" applyAlignment="1">
      <alignment horizontal="center" vertical="center"/>
    </xf>
    <xf numFmtId="0" fontId="1" fillId="0" borderId="37" xfId="0" applyFont="1" applyBorder="1">
      <alignment vertical="center"/>
    </xf>
    <xf numFmtId="0" fontId="5" fillId="0" borderId="1" xfId="43" applyFont="1" applyBorder="1" applyAlignment="1">
      <alignment horizontal="left" vertical="center"/>
    </xf>
    <xf numFmtId="0" fontId="7" fillId="3" borderId="1" xfId="43" applyFont="1" applyFill="1" applyBorder="1" applyAlignment="1">
      <alignment horizontal="left" vertical="center" wrapText="1"/>
    </xf>
    <xf numFmtId="197" fontId="7" fillId="0" borderId="1" xfId="43" applyNumberFormat="1" applyFont="1" applyBorder="1" applyAlignment="1">
      <alignment horizontal="center" vertical="center" wrapText="1"/>
    </xf>
    <xf numFmtId="0" fontId="5" fillId="3" borderId="1" xfId="43" applyFont="1" applyFill="1" applyBorder="1" applyAlignment="1">
      <alignment horizontal="left" vertical="center"/>
    </xf>
    <xf numFmtId="197" fontId="5" fillId="0" borderId="1" xfId="43" applyNumberFormat="1" applyFont="1" applyBorder="1" applyAlignment="1">
      <alignment horizontal="center" vertical="center" wrapText="1"/>
    </xf>
    <xf numFmtId="0" fontId="86" fillId="3" borderId="1" xfId="43" applyFont="1" applyFill="1" applyBorder="1" applyAlignment="1">
      <alignment horizontal="left" vertical="center"/>
    </xf>
    <xf numFmtId="197" fontId="5" fillId="2" borderId="1" xfId="43" applyNumberFormat="1" applyFont="1" applyFill="1" applyBorder="1" applyAlignment="1">
      <alignment horizontal="center" vertical="center" wrapText="1"/>
    </xf>
    <xf numFmtId="0" fontId="86" fillId="3" borderId="1" xfId="0" applyFont="1" applyFill="1" applyBorder="1" applyAlignment="1">
      <alignment horizontal="left" vertical="center"/>
    </xf>
    <xf numFmtId="197" fontId="5" fillId="3" borderId="1" xfId="43" applyNumberFormat="1" applyFont="1" applyFill="1" applyBorder="1" applyAlignment="1">
      <alignment horizontal="center" vertical="center" wrapText="1"/>
    </xf>
    <xf numFmtId="197" fontId="5" fillId="3" borderId="1" xfId="0" applyNumberFormat="1" applyFont="1" applyFill="1" applyBorder="1" applyAlignment="1">
      <alignment horizontal="center" vertical="center"/>
    </xf>
    <xf numFmtId="197" fontId="5" fillId="3" borderId="1" xfId="44" applyNumberFormat="1" applyFont="1" applyFill="1" applyBorder="1" applyAlignment="1">
      <alignment horizontal="center" vertical="center"/>
    </xf>
    <xf numFmtId="0" fontId="5" fillId="3" borderId="1" xfId="0" applyFont="1" applyFill="1" applyBorder="1" applyAlignment="1">
      <alignment horizontal="left" vertical="center"/>
    </xf>
    <xf numFmtId="0" fontId="5" fillId="3" borderId="1" xfId="43" applyFont="1" applyFill="1" applyBorder="1" applyAlignment="1">
      <alignment vertical="center" wrapText="1"/>
    </xf>
    <xf numFmtId="197" fontId="5" fillId="0" borderId="1" xfId="0" applyNumberFormat="1" applyFont="1" applyBorder="1" applyAlignment="1">
      <alignment horizontal="center" vertical="center" wrapText="1"/>
    </xf>
    <xf numFmtId="0" fontId="5" fillId="22" borderId="1" xfId="0" applyFont="1" applyFill="1" applyBorder="1" applyAlignment="1">
      <alignment horizontal="left" vertical="center"/>
    </xf>
    <xf numFmtId="197" fontId="5" fillId="22" borderId="1" xfId="43" applyNumberFormat="1" applyFont="1" applyFill="1" applyBorder="1" applyAlignment="1">
      <alignment horizontal="center" vertical="center" wrapText="1"/>
    </xf>
    <xf numFmtId="0" fontId="7" fillId="0" borderId="1" xfId="0" applyFont="1" applyBorder="1">
      <alignment vertical="center"/>
    </xf>
    <xf numFmtId="0" fontId="7" fillId="3" borderId="1" xfId="0" applyFont="1" applyFill="1" applyBorder="1">
      <alignment vertical="center"/>
    </xf>
    <xf numFmtId="181" fontId="26" fillId="0" borderId="0" xfId="0" applyNumberFormat="1" applyFont="1">
      <alignment vertical="center"/>
    </xf>
    <xf numFmtId="181" fontId="26" fillId="2" borderId="0" xfId="0" applyNumberFormat="1" applyFont="1" applyFill="1">
      <alignment vertical="center"/>
    </xf>
    <xf numFmtId="181" fontId="87" fillId="0" borderId="0" xfId="0" applyNumberFormat="1" applyFont="1">
      <alignment vertical="center"/>
    </xf>
    <xf numFmtId="181" fontId="77" fillId="0" borderId="0" xfId="0" applyNumberFormat="1" applyFont="1">
      <alignment vertical="center"/>
    </xf>
    <xf numFmtId="10" fontId="77" fillId="0" borderId="0" xfId="0" applyNumberFormat="1" applyFont="1">
      <alignment vertical="center"/>
    </xf>
    <xf numFmtId="186" fontId="77" fillId="0" borderId="0" xfId="0" applyNumberFormat="1" applyFont="1">
      <alignment vertical="center"/>
    </xf>
    <xf numFmtId="185" fontId="77" fillId="0" borderId="0" xfId="0" applyNumberFormat="1" applyFont="1">
      <alignment vertical="center"/>
    </xf>
    <xf numFmtId="10" fontId="26" fillId="0" borderId="1" xfId="0" applyNumberFormat="1" applyFont="1" applyBorder="1" applyAlignment="1">
      <alignment horizontal="center" vertical="center"/>
    </xf>
    <xf numFmtId="186" fontId="26" fillId="0" borderId="1" xfId="0" applyNumberFormat="1" applyFont="1" applyBorder="1" applyAlignment="1">
      <alignment horizontal="center" vertical="center"/>
    </xf>
    <xf numFmtId="0" fontId="62" fillId="18" borderId="13" xfId="0" applyFont="1" applyFill="1" applyBorder="1" applyAlignment="1">
      <alignment vertical="center" wrapText="1"/>
    </xf>
    <xf numFmtId="185" fontId="26" fillId="0" borderId="0" xfId="0" applyNumberFormat="1" applyFont="1">
      <alignment vertical="center"/>
    </xf>
    <xf numFmtId="181" fontId="26" fillId="0" borderId="1" xfId="0" applyNumberFormat="1" applyFont="1" applyBorder="1" applyAlignment="1">
      <alignment horizontal="center" vertical="center" wrapText="1"/>
    </xf>
    <xf numFmtId="1" fontId="26" fillId="0" borderId="1" xfId="0" applyNumberFormat="1" applyFont="1" applyBorder="1" applyAlignment="1">
      <alignment horizontal="center" vertical="center"/>
    </xf>
    <xf numFmtId="186" fontId="26" fillId="0" borderId="1" xfId="2" applyNumberFormat="1" applyFont="1" applyFill="1" applyBorder="1" applyAlignment="1">
      <alignment horizontal="center" vertical="center"/>
    </xf>
    <xf numFmtId="1" fontId="26" fillId="0" borderId="1" xfId="0" applyNumberFormat="1" applyFont="1" applyBorder="1" applyAlignment="1">
      <alignment horizontal="left" vertical="center" wrapText="1"/>
    </xf>
    <xf numFmtId="181" fontId="26" fillId="2" borderId="1" xfId="0" applyNumberFormat="1" applyFont="1" applyFill="1" applyBorder="1" applyAlignment="1">
      <alignment horizontal="center" vertical="center" wrapText="1"/>
    </xf>
    <xf numFmtId="1" fontId="26" fillId="2" borderId="1" xfId="0" applyNumberFormat="1" applyFont="1" applyFill="1" applyBorder="1" applyAlignment="1">
      <alignment horizontal="center" vertical="center"/>
    </xf>
    <xf numFmtId="187" fontId="26" fillId="2" borderId="1" xfId="2" applyNumberFormat="1" applyFont="1" applyFill="1" applyBorder="1" applyAlignment="1" applyProtection="1">
      <alignment horizontal="center" vertical="center"/>
    </xf>
    <xf numFmtId="186" fontId="26" fillId="2" borderId="1" xfId="2" applyNumberFormat="1" applyFont="1" applyFill="1" applyBorder="1" applyAlignment="1">
      <alignment horizontal="center" vertical="center"/>
    </xf>
    <xf numFmtId="186" fontId="26" fillId="2" borderId="1" xfId="0" applyNumberFormat="1" applyFont="1" applyFill="1" applyBorder="1" applyAlignment="1">
      <alignment horizontal="center" vertical="center"/>
    </xf>
    <xf numFmtId="1" fontId="26" fillId="2" borderId="1" xfId="0" applyNumberFormat="1" applyFont="1" applyFill="1" applyBorder="1" applyAlignment="1">
      <alignment horizontal="left" vertical="center" wrapText="1"/>
    </xf>
    <xf numFmtId="185" fontId="26" fillId="2" borderId="0" xfId="0" applyNumberFormat="1" applyFont="1" applyFill="1">
      <alignment vertical="center"/>
    </xf>
    <xf numFmtId="0" fontId="90" fillId="2" borderId="0" xfId="0" applyFont="1" applyFill="1" applyAlignment="1">
      <alignment horizontal="center" vertical="center"/>
    </xf>
    <xf numFmtId="1" fontId="26" fillId="0" borderId="1" xfId="0" applyNumberFormat="1" applyFont="1" applyBorder="1" applyAlignment="1">
      <alignment horizontal="center" vertical="center" wrapText="1"/>
    </xf>
    <xf numFmtId="10" fontId="26" fillId="0" borderId="1" xfId="0" applyNumberFormat="1" applyFont="1" applyBorder="1" applyAlignment="1">
      <alignment horizontal="center" vertical="center" wrapText="1"/>
    </xf>
    <xf numFmtId="1" fontId="26" fillId="2" borderId="1" xfId="0" applyNumberFormat="1" applyFont="1" applyFill="1" applyBorder="1" applyAlignment="1">
      <alignment horizontal="center" vertical="center" wrapText="1"/>
    </xf>
    <xf numFmtId="10" fontId="26" fillId="2" borderId="1" xfId="0" applyNumberFormat="1" applyFont="1" applyFill="1" applyBorder="1" applyAlignment="1">
      <alignment horizontal="center" vertical="center" wrapText="1"/>
    </xf>
    <xf numFmtId="187" fontId="26" fillId="2" borderId="1" xfId="0" applyNumberFormat="1" applyFont="1" applyFill="1" applyBorder="1" applyAlignment="1">
      <alignment horizontal="center" vertical="center" wrapText="1"/>
    </xf>
    <xf numFmtId="1" fontId="26" fillId="0" borderId="0" xfId="0" applyNumberFormat="1" applyFont="1">
      <alignment vertical="center"/>
    </xf>
    <xf numFmtId="181" fontId="26" fillId="0" borderId="1" xfId="0" applyNumberFormat="1" applyFont="1" applyBorder="1">
      <alignment vertical="center"/>
    </xf>
    <xf numFmtId="181" fontId="26" fillId="2" borderId="0" xfId="0" applyNumberFormat="1" applyFont="1" applyFill="1" applyAlignment="1">
      <alignment horizontal="center" vertical="center" wrapText="1"/>
    </xf>
    <xf numFmtId="1" fontId="26" fillId="2" borderId="0" xfId="0" applyNumberFormat="1" applyFont="1" applyFill="1" applyAlignment="1">
      <alignment horizontal="center" vertical="center" wrapText="1"/>
    </xf>
    <xf numFmtId="186" fontId="26" fillId="2" borderId="0" xfId="0" applyNumberFormat="1" applyFont="1" applyFill="1" applyAlignment="1">
      <alignment horizontal="center" vertical="center"/>
    </xf>
    <xf numFmtId="181" fontId="87" fillId="0" borderId="0" xfId="0" applyNumberFormat="1" applyFont="1" applyAlignment="1">
      <alignment horizontal="center" vertical="center" wrapText="1"/>
    </xf>
    <xf numFmtId="1" fontId="87" fillId="0" borderId="0" xfId="0" applyNumberFormat="1" applyFont="1" applyAlignment="1">
      <alignment horizontal="center" vertical="center" wrapText="1"/>
    </xf>
    <xf numFmtId="185" fontId="87" fillId="0" borderId="0" xfId="0" applyNumberFormat="1" applyFont="1">
      <alignment vertical="center"/>
    </xf>
    <xf numFmtId="181" fontId="26" fillId="0" borderId="0" xfId="0" applyNumberFormat="1" applyFont="1" applyAlignment="1">
      <alignment horizontal="center" vertical="center" wrapText="1"/>
    </xf>
    <xf numFmtId="181" fontId="26" fillId="0" borderId="0" xfId="0" applyNumberFormat="1" applyFont="1" applyAlignment="1">
      <alignment horizontal="left" vertical="center" wrapText="1"/>
    </xf>
    <xf numFmtId="186" fontId="26" fillId="0" borderId="0" xfId="0" applyNumberFormat="1" applyFont="1" applyAlignment="1">
      <alignment horizontal="center" vertical="center" wrapText="1"/>
    </xf>
    <xf numFmtId="0" fontId="91" fillId="0" borderId="1" xfId="0" applyFont="1" applyBorder="1" applyAlignment="1">
      <alignment horizontal="center" vertical="center"/>
    </xf>
    <xf numFmtId="181" fontId="91" fillId="0" borderId="0" xfId="0" applyNumberFormat="1" applyFont="1" applyAlignment="1">
      <alignment horizontal="center" vertical="center"/>
    </xf>
    <xf numFmtId="0" fontId="91" fillId="0" borderId="0" xfId="0" applyFont="1" applyAlignment="1">
      <alignment horizontal="center" vertical="center"/>
    </xf>
    <xf numFmtId="0" fontId="91" fillId="0" borderId="0" xfId="0" applyFont="1" applyAlignment="1">
      <alignment horizontal="left" vertical="center"/>
    </xf>
    <xf numFmtId="0" fontId="92" fillId="0" borderId="0" xfId="0" applyFont="1">
      <alignment vertical="center"/>
    </xf>
    <xf numFmtId="0" fontId="0" fillId="0" borderId="0" xfId="0" applyAlignment="1">
      <alignment horizontal="left" vertical="center"/>
    </xf>
    <xf numFmtId="43" fontId="0" fillId="0" borderId="0" xfId="60" applyNumberFormat="1" applyFont="1" applyBorder="1" applyAlignment="1">
      <alignment vertical="center"/>
    </xf>
    <xf numFmtId="43" fontId="0" fillId="0" borderId="0" xfId="60" applyNumberFormat="1" applyFont="1" applyAlignment="1">
      <alignment vertical="center"/>
    </xf>
    <xf numFmtId="43" fontId="95" fillId="0" borderId="0" xfId="60" applyNumberFormat="1" applyFont="1" applyFill="1" applyAlignment="1">
      <alignment vertical="center" wrapText="1"/>
    </xf>
    <xf numFmtId="0" fontId="95" fillId="0" borderId="0" xfId="0" applyFont="1" applyAlignment="1">
      <alignment vertical="center" wrapText="1"/>
    </xf>
    <xf numFmtId="198" fontId="95" fillId="0" borderId="0" xfId="60" applyNumberFormat="1" applyFont="1" applyFill="1" applyBorder="1" applyAlignment="1">
      <alignment horizontal="center" vertical="center" wrapText="1"/>
    </xf>
    <xf numFmtId="43" fontId="95" fillId="0" borderId="0" xfId="60" applyNumberFormat="1" applyFont="1" applyFill="1" applyBorder="1" applyAlignment="1">
      <alignment horizontal="center" vertical="center" wrapText="1"/>
    </xf>
    <xf numFmtId="43" fontId="94" fillId="0" borderId="10" xfId="60" applyNumberFormat="1" applyFont="1" applyFill="1" applyBorder="1" applyAlignment="1">
      <alignment horizontal="center" vertical="center" wrapText="1"/>
    </xf>
    <xf numFmtId="2" fontId="0" fillId="0" borderId="0" xfId="0" applyNumberFormat="1">
      <alignment vertical="center"/>
    </xf>
    <xf numFmtId="43" fontId="96" fillId="0" borderId="13" xfId="60" applyNumberFormat="1" applyFont="1" applyFill="1" applyBorder="1" applyAlignment="1">
      <alignment horizontal="center" vertical="center" wrapText="1"/>
    </xf>
    <xf numFmtId="43" fontId="94" fillId="0" borderId="13" xfId="60" applyNumberFormat="1" applyFont="1" applyFill="1" applyBorder="1" applyAlignment="1">
      <alignment horizontal="center" vertical="center" wrapText="1"/>
    </xf>
    <xf numFmtId="186" fontId="22" fillId="0" borderId="12" xfId="60" applyNumberFormat="1" applyFont="1" applyFill="1" applyBorder="1" applyAlignment="1">
      <alignment horizontal="center" vertical="center" wrapText="1"/>
    </xf>
    <xf numFmtId="43" fontId="92" fillId="0" borderId="13" xfId="60" applyNumberFormat="1" applyFont="1" applyFill="1" applyBorder="1" applyAlignment="1">
      <alignment horizontal="center" vertical="center" wrapText="1"/>
    </xf>
    <xf numFmtId="194" fontId="97" fillId="0" borderId="13" xfId="0" applyNumberFormat="1" applyFont="1" applyBorder="1" applyAlignment="1">
      <alignment horizontal="right" vertical="center"/>
    </xf>
    <xf numFmtId="43" fontId="98" fillId="0" borderId="13" xfId="60" applyNumberFormat="1" applyFont="1" applyFill="1" applyBorder="1" applyAlignment="1">
      <alignment vertical="center" wrapText="1"/>
    </xf>
    <xf numFmtId="43" fontId="98" fillId="0" borderId="13" xfId="60" applyNumberFormat="1" applyFont="1" applyFill="1" applyBorder="1" applyAlignment="1">
      <alignment horizontal="center" vertical="center" wrapText="1"/>
    </xf>
    <xf numFmtId="43" fontId="98" fillId="0" borderId="13" xfId="60" applyNumberFormat="1" applyFont="1" applyFill="1" applyBorder="1" applyAlignment="1">
      <alignment horizontal="right" vertical="center" wrapText="1"/>
    </xf>
    <xf numFmtId="43" fontId="22" fillId="0" borderId="13" xfId="60" applyNumberFormat="1" applyFont="1" applyFill="1" applyBorder="1" applyAlignment="1">
      <alignment vertical="center" wrapText="1"/>
    </xf>
    <xf numFmtId="43" fontId="22" fillId="0" borderId="13" xfId="60" applyNumberFormat="1" applyFont="1" applyFill="1" applyBorder="1" applyAlignment="1">
      <alignment horizontal="center" vertical="center" wrapText="1"/>
    </xf>
    <xf numFmtId="43" fontId="22" fillId="0" borderId="14" xfId="60" applyNumberFormat="1" applyFont="1" applyFill="1" applyBorder="1" applyAlignment="1">
      <alignment vertical="center" wrapText="1"/>
    </xf>
    <xf numFmtId="43" fontId="0" fillId="0" borderId="0" xfId="0" applyNumberFormat="1" applyAlignment="1">
      <alignment horizontal="left" vertical="center"/>
    </xf>
    <xf numFmtId="2" fontId="0" fillId="0" borderId="0" xfId="0" applyNumberFormat="1" applyAlignment="1">
      <alignment horizontal="left" vertical="top" wrapText="1"/>
    </xf>
    <xf numFmtId="43" fontId="0" fillId="0" borderId="0" xfId="60" applyNumberFormat="1" applyFont="1" applyFill="1" applyBorder="1" applyAlignment="1">
      <alignment vertical="center"/>
    </xf>
    <xf numFmtId="43" fontId="0" fillId="0" borderId="0" xfId="0" applyNumberFormat="1">
      <alignment vertical="center"/>
    </xf>
    <xf numFmtId="194" fontId="0" fillId="0" borderId="0" xfId="0" applyNumberFormat="1">
      <alignment vertical="center"/>
    </xf>
    <xf numFmtId="43" fontId="0" fillId="0" borderId="0" xfId="60" applyNumberFormat="1" applyFont="1" applyFill="1" applyAlignment="1">
      <alignment vertical="center"/>
    </xf>
    <xf numFmtId="194" fontId="97" fillId="0" borderId="13" xfId="0" applyNumberFormat="1" applyFont="1" applyBorder="1" applyAlignment="1">
      <alignment horizontal="center" vertical="center"/>
    </xf>
    <xf numFmtId="0" fontId="22" fillId="34" borderId="92" xfId="0" applyFont="1" applyFill="1" applyBorder="1" applyAlignment="1">
      <alignment horizontal="center" vertical="center" wrapText="1"/>
    </xf>
    <xf numFmtId="0" fontId="22" fillId="34" borderId="93" xfId="0" applyFont="1" applyFill="1" applyBorder="1" applyAlignment="1">
      <alignment horizontal="center" vertical="center" wrapText="1"/>
    </xf>
    <xf numFmtId="43" fontId="98" fillId="34" borderId="13" xfId="60" applyNumberFormat="1" applyFont="1" applyFill="1" applyBorder="1" applyAlignment="1">
      <alignment horizontal="center" vertical="center" wrapText="1"/>
    </xf>
    <xf numFmtId="43" fontId="98" fillId="34" borderId="14" xfId="60" applyNumberFormat="1" applyFont="1" applyFill="1" applyBorder="1" applyAlignment="1">
      <alignment horizontal="center" vertical="center" wrapText="1"/>
    </xf>
    <xf numFmtId="186" fontId="98" fillId="35" borderId="15" xfId="60" applyNumberFormat="1" applyFont="1" applyFill="1" applyBorder="1" applyAlignment="1">
      <alignment horizontal="center" vertical="center" wrapText="1"/>
    </xf>
    <xf numFmtId="0" fontId="45" fillId="12" borderId="16" xfId="0" applyFont="1" applyFill="1" applyBorder="1" applyAlignment="1">
      <alignment vertical="center" wrapText="1"/>
    </xf>
    <xf numFmtId="0" fontId="99" fillId="35" borderId="16" xfId="0" applyFont="1" applyFill="1" applyBorder="1" applyAlignment="1">
      <alignment horizontal="center" vertical="center" wrapText="1"/>
    </xf>
    <xf numFmtId="43" fontId="98" fillId="35" borderId="16" xfId="60" applyNumberFormat="1" applyFont="1" applyFill="1" applyBorder="1" applyAlignment="1">
      <alignment vertical="center" wrapText="1"/>
    </xf>
    <xf numFmtId="43" fontId="98" fillId="35" borderId="17" xfId="60" applyNumberFormat="1" applyFont="1" applyFill="1" applyBorder="1" applyAlignment="1">
      <alignment vertical="center" wrapText="1"/>
    </xf>
    <xf numFmtId="43" fontId="100" fillId="0" borderId="0" xfId="1" applyNumberFormat="1" applyFont="1" applyFill="1" applyBorder="1" applyAlignment="1">
      <alignment horizontal="center" vertical="center"/>
    </xf>
    <xf numFmtId="43" fontId="101" fillId="0" borderId="0" xfId="1" applyNumberFormat="1" applyFont="1" applyFill="1" applyBorder="1" applyAlignment="1">
      <alignment vertical="center"/>
    </xf>
    <xf numFmtId="43" fontId="75" fillId="0" borderId="0" xfId="1" applyNumberFormat="1" applyFont="1" applyFill="1" applyBorder="1" applyAlignment="1">
      <alignment vertical="center"/>
    </xf>
    <xf numFmtId="180" fontId="23" fillId="3" borderId="0" xfId="0" applyNumberFormat="1" applyFont="1" applyFill="1">
      <alignment vertical="center"/>
    </xf>
    <xf numFmtId="189" fontId="23" fillId="3" borderId="0" xfId="0" applyNumberFormat="1" applyFont="1" applyFill="1">
      <alignment vertical="center"/>
    </xf>
    <xf numFmtId="43" fontId="100" fillId="3" borderId="0" xfId="1" applyNumberFormat="1" applyFont="1" applyFill="1" applyBorder="1" applyAlignment="1">
      <alignment vertical="center"/>
    </xf>
    <xf numFmtId="43" fontId="101" fillId="3" borderId="0" xfId="1" applyNumberFormat="1" applyFont="1" applyFill="1" applyBorder="1" applyAlignment="1">
      <alignment vertical="center"/>
    </xf>
    <xf numFmtId="180" fontId="101" fillId="0" borderId="0" xfId="0" applyNumberFormat="1" applyFont="1">
      <alignment vertical="center"/>
    </xf>
    <xf numFmtId="180" fontId="75" fillId="0" borderId="0" xfId="0" applyNumberFormat="1" applyFont="1" applyAlignment="1">
      <alignment horizontal="left" vertical="center"/>
    </xf>
    <xf numFmtId="180" fontId="75" fillId="0" borderId="0" xfId="0" applyNumberFormat="1" applyFont="1">
      <alignment vertical="center"/>
    </xf>
    <xf numFmtId="43" fontId="100" fillId="0" borderId="0" xfId="1" applyNumberFormat="1" applyFont="1" applyFill="1" applyBorder="1" applyAlignment="1">
      <alignment vertical="center"/>
    </xf>
    <xf numFmtId="186" fontId="100" fillId="0" borderId="0" xfId="1" applyNumberFormat="1" applyFont="1" applyFill="1" applyBorder="1" applyAlignment="1">
      <alignment vertical="center"/>
    </xf>
    <xf numFmtId="43" fontId="5" fillId="0" borderId="0" xfId="1" applyNumberFormat="1" applyFont="1" applyFill="1" applyBorder="1" applyAlignment="1">
      <alignment horizontal="center" vertical="center"/>
    </xf>
    <xf numFmtId="43" fontId="100" fillId="3" borderId="0" xfId="1" applyNumberFormat="1" applyFont="1" applyFill="1" applyBorder="1" applyAlignment="1">
      <alignment horizontal="center" vertical="center"/>
    </xf>
    <xf numFmtId="43" fontId="100" fillId="3" borderId="0" xfId="1" applyNumberFormat="1" applyFont="1" applyFill="1" applyBorder="1" applyAlignment="1">
      <alignment horizontal="left" vertical="center"/>
    </xf>
    <xf numFmtId="199" fontId="100" fillId="0" borderId="0" xfId="1" applyNumberFormat="1" applyFont="1" applyFill="1" applyBorder="1" applyAlignment="1">
      <alignment vertical="center"/>
    </xf>
    <xf numFmtId="199" fontId="102" fillId="0" borderId="0" xfId="1" applyNumberFormat="1" applyFont="1" applyFill="1" applyBorder="1" applyAlignment="1">
      <alignment horizontal="center" vertical="center"/>
    </xf>
    <xf numFmtId="199" fontId="100" fillId="0" borderId="0" xfId="1" applyNumberFormat="1" applyFont="1" applyFill="1" applyBorder="1" applyAlignment="1">
      <alignment horizontal="center" vertical="center"/>
    </xf>
    <xf numFmtId="186" fontId="101" fillId="0" borderId="0" xfId="1" applyNumberFormat="1" applyFont="1" applyFill="1" applyBorder="1" applyAlignment="1">
      <alignment horizontal="left" vertical="center"/>
    </xf>
    <xf numFmtId="43" fontId="101" fillId="3" borderId="0" xfId="1" applyNumberFormat="1" applyFont="1" applyFill="1" applyBorder="1" applyAlignment="1">
      <alignment horizontal="center" vertical="center"/>
    </xf>
    <xf numFmtId="43" fontId="101" fillId="3" borderId="0" xfId="1" applyNumberFormat="1" applyFont="1" applyFill="1" applyBorder="1" applyAlignment="1">
      <alignment horizontal="left" vertical="center"/>
    </xf>
    <xf numFmtId="43" fontId="101" fillId="3" borderId="0" xfId="1" applyNumberFormat="1" applyFont="1" applyFill="1" applyBorder="1" applyAlignment="1">
      <alignment horizontal="right" vertical="center"/>
    </xf>
    <xf numFmtId="199" fontId="101" fillId="0" borderId="0" xfId="1" applyNumberFormat="1" applyFont="1" applyFill="1" applyBorder="1" applyAlignment="1">
      <alignment vertical="center"/>
    </xf>
    <xf numFmtId="186" fontId="5" fillId="0" borderId="0" xfId="1" applyNumberFormat="1" applyFont="1" applyFill="1" applyBorder="1" applyAlignment="1">
      <alignment vertical="center"/>
    </xf>
    <xf numFmtId="186" fontId="101" fillId="0" borderId="0" xfId="1" applyNumberFormat="1" applyFont="1" applyFill="1" applyBorder="1" applyAlignment="1">
      <alignment vertical="center"/>
    </xf>
    <xf numFmtId="200" fontId="5" fillId="3" borderId="1" xfId="1" applyNumberFormat="1" applyFont="1" applyFill="1" applyBorder="1" applyAlignment="1">
      <alignment horizontal="center" vertical="center" wrapText="1"/>
    </xf>
    <xf numFmtId="194" fontId="101" fillId="3" borderId="1" xfId="1" applyNumberFormat="1" applyFont="1" applyFill="1" applyBorder="1" applyAlignment="1">
      <alignment vertical="center"/>
    </xf>
    <xf numFmtId="199" fontId="75" fillId="0" borderId="0" xfId="1" applyNumberFormat="1" applyFont="1" applyFill="1" applyBorder="1" applyAlignment="1">
      <alignment vertical="center"/>
    </xf>
    <xf numFmtId="194" fontId="5" fillId="3" borderId="1" xfId="1" applyNumberFormat="1" applyFont="1" applyFill="1" applyBorder="1" applyAlignment="1">
      <alignment vertical="center" wrapText="1"/>
    </xf>
    <xf numFmtId="194" fontId="5" fillId="2" borderId="1" xfId="1" applyNumberFormat="1" applyFont="1" applyFill="1" applyBorder="1" applyAlignment="1">
      <alignment vertical="center" wrapText="1"/>
    </xf>
    <xf numFmtId="194" fontId="5" fillId="3" borderId="1" xfId="1" applyNumberFormat="1" applyFont="1" applyFill="1" applyBorder="1" applyAlignment="1">
      <alignment horizontal="center" vertical="center" wrapText="1"/>
    </xf>
    <xf numFmtId="194" fontId="5" fillId="3" borderId="29" xfId="1" applyNumberFormat="1" applyFont="1" applyFill="1" applyBorder="1" applyAlignment="1">
      <alignment vertical="center" wrapText="1"/>
    </xf>
    <xf numFmtId="194" fontId="5" fillId="3" borderId="5" xfId="1" applyNumberFormat="1" applyFont="1" applyFill="1" applyBorder="1" applyAlignment="1">
      <alignment vertical="center" wrapText="1"/>
    </xf>
    <xf numFmtId="194" fontId="101" fillId="3" borderId="1" xfId="1" applyNumberFormat="1" applyFont="1" applyFill="1" applyBorder="1" applyAlignment="1">
      <alignment vertical="center" wrapText="1"/>
    </xf>
    <xf numFmtId="194" fontId="100" fillId="3" borderId="1" xfId="1" applyNumberFormat="1" applyFont="1" applyFill="1" applyBorder="1" applyAlignment="1">
      <alignment vertical="center" wrapText="1"/>
    </xf>
    <xf numFmtId="186" fontId="23" fillId="3" borderId="1" xfId="0" applyNumberFormat="1" applyFont="1" applyFill="1" applyBorder="1" applyAlignment="1">
      <alignment horizontal="center" vertical="center" wrapText="1"/>
    </xf>
    <xf numFmtId="181" fontId="8" fillId="3" borderId="8" xfId="0" applyNumberFormat="1" applyFont="1" applyFill="1" applyBorder="1" applyAlignment="1">
      <alignment horizontal="center" vertical="center" wrapText="1"/>
    </xf>
    <xf numFmtId="43" fontId="23" fillId="3" borderId="1" xfId="1" applyNumberFormat="1" applyFont="1" applyFill="1" applyBorder="1" applyAlignment="1">
      <alignment horizontal="center" vertical="center"/>
    </xf>
    <xf numFmtId="43" fontId="8" fillId="3" borderId="1" xfId="1" applyNumberFormat="1" applyFont="1" applyFill="1" applyBorder="1" applyAlignment="1">
      <alignment horizontal="left" vertical="center"/>
    </xf>
    <xf numFmtId="43" fontId="8" fillId="3" borderId="1" xfId="1" applyNumberFormat="1" applyFont="1" applyFill="1" applyBorder="1" applyAlignment="1">
      <alignment horizontal="center" vertical="center"/>
    </xf>
    <xf numFmtId="43" fontId="23" fillId="3" borderId="29" xfId="1" applyNumberFormat="1" applyFont="1" applyFill="1" applyBorder="1" applyAlignment="1">
      <alignment horizontal="center" vertical="center"/>
    </xf>
    <xf numFmtId="43" fontId="23" fillId="3" borderId="5" xfId="1" applyNumberFormat="1" applyFont="1" applyFill="1" applyBorder="1" applyAlignment="1">
      <alignment horizontal="right" vertical="center"/>
    </xf>
    <xf numFmtId="43" fontId="23" fillId="3" borderId="1" xfId="1" applyNumberFormat="1" applyFont="1" applyFill="1" applyBorder="1" applyAlignment="1">
      <alignment horizontal="right" vertical="center"/>
    </xf>
    <xf numFmtId="43" fontId="23" fillId="3" borderId="1" xfId="1" applyNumberFormat="1" applyFont="1" applyFill="1" applyBorder="1" applyAlignment="1">
      <alignment vertical="center"/>
    </xf>
    <xf numFmtId="43" fontId="23" fillId="3" borderId="29" xfId="1" applyNumberFormat="1" applyFont="1" applyFill="1" applyBorder="1" applyAlignment="1">
      <alignment horizontal="right" vertical="center"/>
    </xf>
    <xf numFmtId="43" fontId="23" fillId="3" borderId="5" xfId="1" applyNumberFormat="1" applyFont="1" applyFill="1" applyBorder="1" applyAlignment="1">
      <alignment horizontal="left" vertical="center"/>
    </xf>
    <xf numFmtId="181" fontId="23" fillId="3" borderId="0" xfId="0" applyNumberFormat="1" applyFont="1" applyFill="1">
      <alignment vertical="center"/>
    </xf>
    <xf numFmtId="181" fontId="23" fillId="3" borderId="1" xfId="0" applyNumberFormat="1" applyFont="1" applyFill="1" applyBorder="1" applyAlignment="1">
      <alignment horizontal="center" vertical="center"/>
    </xf>
    <xf numFmtId="181" fontId="8" fillId="3" borderId="1" xfId="0" applyNumberFormat="1" applyFont="1" applyFill="1" applyBorder="1" applyAlignment="1">
      <alignment horizontal="left" vertical="center"/>
    </xf>
    <xf numFmtId="181" fontId="23" fillId="3" borderId="5" xfId="0" applyNumberFormat="1" applyFont="1" applyFill="1" applyBorder="1" applyAlignment="1">
      <alignment horizontal="left" vertical="center"/>
    </xf>
    <xf numFmtId="43" fontId="5" fillId="3" borderId="1" xfId="1" applyNumberFormat="1" applyFont="1" applyFill="1" applyBorder="1" applyAlignment="1">
      <alignment horizontal="center" vertical="center" wrapText="1"/>
    </xf>
    <xf numFmtId="43" fontId="101" fillId="3" borderId="1" xfId="1" applyNumberFormat="1" applyFont="1" applyFill="1" applyBorder="1" applyAlignment="1">
      <alignment horizontal="center" vertical="center"/>
    </xf>
    <xf numFmtId="43" fontId="5" fillId="3" borderId="1" xfId="1" applyNumberFormat="1" applyFont="1" applyFill="1" applyBorder="1" applyAlignment="1">
      <alignment horizontal="left" vertical="center"/>
    </xf>
    <xf numFmtId="181" fontId="8" fillId="3" borderId="1" xfId="0" applyNumberFormat="1" applyFont="1" applyFill="1" applyBorder="1" applyAlignment="1">
      <alignment horizontal="center" vertical="center"/>
    </xf>
    <xf numFmtId="43" fontId="101" fillId="3" borderId="1" xfId="1" applyNumberFormat="1" applyFont="1" applyFill="1" applyBorder="1" applyAlignment="1">
      <alignment horizontal="right" vertical="center"/>
    </xf>
    <xf numFmtId="43" fontId="101" fillId="3" borderId="5" xfId="1" applyNumberFormat="1" applyFont="1" applyFill="1" applyBorder="1" applyAlignment="1">
      <alignment horizontal="left" vertical="center"/>
    </xf>
    <xf numFmtId="199" fontId="101" fillId="3" borderId="0" xfId="1" applyNumberFormat="1" applyFont="1" applyFill="1" applyBorder="1" applyAlignment="1">
      <alignment vertical="center"/>
    </xf>
    <xf numFmtId="181" fontId="23" fillId="3" borderId="1" xfId="0" applyNumberFormat="1" applyFont="1" applyFill="1" applyBorder="1" applyAlignment="1">
      <alignment horizontal="left" vertical="center"/>
    </xf>
    <xf numFmtId="43" fontId="23" fillId="3" borderId="1" xfId="0" applyNumberFormat="1" applyFont="1" applyFill="1" applyBorder="1" applyAlignment="1">
      <alignment horizontal="center" vertical="center"/>
    </xf>
    <xf numFmtId="180" fontId="23" fillId="3" borderId="1" xfId="0" applyNumberFormat="1" applyFont="1" applyFill="1" applyBorder="1" applyAlignment="1">
      <alignment horizontal="left" vertical="center"/>
    </xf>
    <xf numFmtId="43" fontId="1" fillId="0" borderId="0" xfId="0" applyNumberFormat="1" applyFont="1" applyAlignment="1"/>
    <xf numFmtId="43" fontId="5" fillId="3" borderId="1" xfId="1" applyNumberFormat="1" applyFont="1" applyFill="1" applyBorder="1" applyAlignment="1">
      <alignment horizontal="center" vertical="center"/>
    </xf>
    <xf numFmtId="43" fontId="5" fillId="3" borderId="5" xfId="1" applyNumberFormat="1" applyFont="1" applyFill="1" applyBorder="1" applyAlignment="1">
      <alignment horizontal="left" vertical="center"/>
    </xf>
    <xf numFmtId="180" fontId="9" fillId="3" borderId="8" xfId="0" applyNumberFormat="1" applyFont="1" applyFill="1" applyBorder="1" applyAlignment="1">
      <alignment vertical="center" wrapText="1"/>
    </xf>
    <xf numFmtId="180" fontId="8" fillId="3" borderId="8" xfId="0" applyNumberFormat="1" applyFont="1" applyFill="1" applyBorder="1" applyAlignment="1">
      <alignment horizontal="center" vertical="center" wrapText="1"/>
    </xf>
    <xf numFmtId="43" fontId="8" fillId="3" borderId="0" xfId="1" applyNumberFormat="1" applyFont="1" applyFill="1" applyBorder="1" applyAlignment="1">
      <alignment horizontal="left" vertical="center"/>
    </xf>
    <xf numFmtId="180" fontId="9" fillId="3" borderId="8" xfId="0" applyNumberFormat="1" applyFont="1" applyFill="1" applyBorder="1" applyAlignment="1">
      <alignment horizontal="center" vertical="center" wrapText="1"/>
    </xf>
    <xf numFmtId="180" fontId="24" fillId="3" borderId="5" xfId="0" applyNumberFormat="1" applyFont="1" applyFill="1" applyBorder="1" applyAlignment="1">
      <alignment horizontal="left" vertical="center"/>
    </xf>
    <xf numFmtId="180" fontId="24" fillId="3" borderId="0" xfId="0" applyNumberFormat="1" applyFont="1" applyFill="1">
      <alignment vertical="center"/>
    </xf>
    <xf numFmtId="180" fontId="9" fillId="3" borderId="8" xfId="0" applyNumberFormat="1" applyFont="1" applyFill="1" applyBorder="1" applyAlignment="1">
      <alignment horizontal="left" vertical="center" wrapText="1"/>
    </xf>
    <xf numFmtId="180" fontId="9" fillId="3" borderId="1" xfId="0" applyNumberFormat="1" applyFont="1" applyFill="1" applyBorder="1" applyAlignment="1">
      <alignment horizontal="left" vertical="center" wrapText="1"/>
    </xf>
    <xf numFmtId="180" fontId="9" fillId="3" borderId="8" xfId="0" applyNumberFormat="1" applyFont="1" applyFill="1" applyBorder="1" applyAlignment="1">
      <alignment horizontal="right" vertical="center" wrapText="1"/>
    </xf>
    <xf numFmtId="199" fontId="100" fillId="3" borderId="0" xfId="1" applyNumberFormat="1" applyFont="1" applyFill="1" applyBorder="1" applyAlignment="1">
      <alignment vertical="center"/>
    </xf>
    <xf numFmtId="43" fontId="5" fillId="3" borderId="8" xfId="1" applyNumberFormat="1" applyFont="1" applyFill="1" applyBorder="1" applyAlignment="1">
      <alignment horizontal="center" vertical="center" wrapText="1"/>
    </xf>
    <xf numFmtId="0" fontId="86" fillId="3" borderId="1" xfId="0" applyFont="1" applyFill="1" applyBorder="1" applyAlignment="1">
      <alignment horizontal="center" vertical="center"/>
    </xf>
    <xf numFmtId="181" fontId="5" fillId="3" borderId="8" xfId="0" applyNumberFormat="1" applyFont="1" applyFill="1" applyBorder="1" applyAlignment="1">
      <alignment horizontal="center" vertical="center" wrapText="1"/>
    </xf>
    <xf numFmtId="181" fontId="5" fillId="3" borderId="1" xfId="0" applyNumberFormat="1" applyFont="1" applyFill="1" applyBorder="1" applyAlignment="1">
      <alignment horizontal="center" vertical="center"/>
    </xf>
    <xf numFmtId="181" fontId="5" fillId="3" borderId="1" xfId="0" applyNumberFormat="1" applyFont="1" applyFill="1" applyBorder="1" applyAlignment="1">
      <alignment horizontal="left" vertical="center"/>
    </xf>
    <xf numFmtId="181" fontId="101" fillId="3" borderId="5" xfId="0" applyNumberFormat="1" applyFont="1" applyFill="1" applyBorder="1" applyAlignment="1">
      <alignment horizontal="left" vertical="center"/>
    </xf>
    <xf numFmtId="43" fontId="104" fillId="3" borderId="1" xfId="1" applyNumberFormat="1" applyFont="1" applyFill="1" applyBorder="1" applyAlignment="1">
      <alignment horizontal="right" vertical="center"/>
    </xf>
    <xf numFmtId="180" fontId="9" fillId="3" borderId="5" xfId="0" applyNumberFormat="1" applyFont="1" applyFill="1" applyBorder="1" applyAlignment="1">
      <alignment horizontal="left" vertical="center"/>
    </xf>
    <xf numFmtId="199" fontId="23" fillId="3" borderId="0" xfId="1" applyNumberFormat="1" applyFont="1" applyFill="1" applyBorder="1" applyAlignment="1">
      <alignment vertical="center"/>
    </xf>
    <xf numFmtId="43" fontId="23" fillId="3" borderId="0" xfId="0" applyNumberFormat="1" applyFont="1" applyFill="1">
      <alignment vertical="center"/>
    </xf>
    <xf numFmtId="200" fontId="5" fillId="3" borderId="5" xfId="1" applyNumberFormat="1" applyFont="1" applyFill="1" applyBorder="1" applyAlignment="1">
      <alignment horizontal="center" vertical="center"/>
    </xf>
    <xf numFmtId="43" fontId="23" fillId="3" borderId="1" xfId="1" applyNumberFormat="1" applyFont="1" applyFill="1" applyBorder="1" applyAlignment="1">
      <alignment horizontal="left" vertical="center"/>
    </xf>
    <xf numFmtId="180" fontId="8" fillId="3" borderId="8" xfId="0" applyNumberFormat="1" applyFont="1" applyFill="1" applyBorder="1" applyAlignment="1">
      <alignment horizontal="left" vertical="center" wrapText="1"/>
    </xf>
    <xf numFmtId="43" fontId="101" fillId="3" borderId="1" xfId="1" applyNumberFormat="1" applyFont="1" applyFill="1" applyBorder="1" applyAlignment="1">
      <alignment horizontal="left" vertical="center"/>
    </xf>
    <xf numFmtId="181" fontId="8" fillId="3" borderId="1" xfId="0" applyNumberFormat="1" applyFont="1" applyFill="1" applyBorder="1" applyAlignment="1">
      <alignment horizontal="center" vertical="center" wrapText="1"/>
    </xf>
    <xf numFmtId="181" fontId="8" fillId="3" borderId="5" xfId="0" applyNumberFormat="1" applyFont="1" applyFill="1" applyBorder="1" applyAlignment="1">
      <alignment horizontal="center" vertical="center"/>
    </xf>
    <xf numFmtId="181" fontId="8" fillId="3" borderId="1" xfId="0" applyNumberFormat="1" applyFont="1" applyFill="1" applyBorder="1" applyAlignment="1">
      <alignment horizontal="left" vertical="center" wrapText="1"/>
    </xf>
    <xf numFmtId="0" fontId="86" fillId="2" borderId="1" xfId="0" applyFont="1" applyFill="1" applyBorder="1" applyAlignment="1">
      <alignment horizontal="center" vertical="center"/>
    </xf>
    <xf numFmtId="49" fontId="8" fillId="3" borderId="1" xfId="0" applyNumberFormat="1" applyFont="1" applyFill="1" applyBorder="1" applyAlignment="1">
      <alignment horizontal="left" vertical="center" wrapText="1"/>
    </xf>
    <xf numFmtId="43" fontId="23" fillId="2" borderId="1" xfId="1" applyNumberFormat="1" applyFont="1" applyFill="1" applyBorder="1" applyAlignment="1">
      <alignment horizontal="center" vertical="center"/>
    </xf>
    <xf numFmtId="186" fontId="5" fillId="29" borderId="4" xfId="1" applyNumberFormat="1" applyFont="1" applyFill="1" applyBorder="1" applyAlignment="1">
      <alignment horizontal="center" vertical="center" wrapText="1"/>
    </xf>
    <xf numFmtId="186" fontId="101" fillId="29" borderId="4" xfId="1" applyNumberFormat="1" applyFont="1" applyFill="1" applyBorder="1" applyAlignment="1">
      <alignment horizontal="center" vertical="center" wrapText="1"/>
    </xf>
    <xf numFmtId="43" fontId="101" fillId="29" borderId="5" xfId="1" applyNumberFormat="1" applyFont="1" applyFill="1" applyBorder="1" applyAlignment="1">
      <alignment horizontal="left" vertical="center"/>
    </xf>
    <xf numFmtId="43" fontId="5" fillId="29" borderId="5" xfId="1" applyNumberFormat="1" applyFont="1" applyFill="1" applyBorder="1" applyAlignment="1">
      <alignment horizontal="center" vertical="center"/>
    </xf>
    <xf numFmtId="43" fontId="101" fillId="29" borderId="1" xfId="1" applyNumberFormat="1" applyFont="1" applyFill="1" applyBorder="1" applyAlignment="1">
      <alignment horizontal="center" vertical="center"/>
    </xf>
    <xf numFmtId="43" fontId="5" fillId="3" borderId="5" xfId="1" applyNumberFormat="1" applyFont="1" applyFill="1" applyBorder="1" applyAlignment="1">
      <alignment horizontal="center" vertical="center"/>
    </xf>
    <xf numFmtId="43" fontId="5" fillId="3" borderId="1" xfId="1" applyNumberFormat="1" applyFont="1" applyFill="1" applyBorder="1" applyAlignment="1">
      <alignment horizontal="left" vertical="center" wrapText="1"/>
    </xf>
    <xf numFmtId="43" fontId="24" fillId="3" borderId="1" xfId="1" applyNumberFormat="1" applyFont="1" applyFill="1" applyBorder="1" applyAlignment="1">
      <alignment horizontal="right" vertical="center"/>
    </xf>
    <xf numFmtId="43" fontId="101" fillId="3" borderId="1" xfId="1" applyNumberFormat="1" applyFont="1" applyFill="1" applyBorder="1" applyAlignment="1">
      <alignment vertical="center"/>
    </xf>
    <xf numFmtId="181" fontId="23" fillId="3" borderId="5" xfId="0" applyNumberFormat="1" applyFont="1" applyFill="1" applyBorder="1" applyAlignment="1">
      <alignment horizontal="center" vertical="center"/>
    </xf>
    <xf numFmtId="189" fontId="8" fillId="3" borderId="0" xfId="0" applyNumberFormat="1" applyFont="1" applyFill="1" applyAlignment="1">
      <alignment horizontal="left" vertical="center"/>
    </xf>
    <xf numFmtId="186" fontId="23" fillId="36" borderId="1" xfId="0" applyNumberFormat="1" applyFont="1" applyFill="1" applyBorder="1" applyAlignment="1">
      <alignment horizontal="center" vertical="center" wrapText="1"/>
    </xf>
    <xf numFmtId="43" fontId="5" fillId="36" borderId="4" xfId="1" applyNumberFormat="1" applyFont="1" applyFill="1" applyBorder="1" applyAlignment="1">
      <alignment horizontal="center" vertical="center" wrapText="1"/>
    </xf>
    <xf numFmtId="43" fontId="5" fillId="36" borderId="4" xfId="1" applyNumberFormat="1" applyFont="1" applyFill="1" applyBorder="1" applyAlignment="1">
      <alignment horizontal="left" vertical="center" wrapText="1"/>
    </xf>
    <xf numFmtId="43" fontId="5" fillId="36" borderId="5" xfId="1" applyNumberFormat="1" applyFont="1" applyFill="1" applyBorder="1" applyAlignment="1">
      <alignment horizontal="center" vertical="center" wrapText="1"/>
    </xf>
    <xf numFmtId="43" fontId="101" fillId="37" borderId="1" xfId="1" applyNumberFormat="1" applyFont="1" applyFill="1" applyBorder="1" applyAlignment="1">
      <alignment horizontal="center" vertical="center"/>
    </xf>
    <xf numFmtId="181" fontId="101" fillId="0" borderId="0" xfId="0" applyNumberFormat="1" applyFont="1">
      <alignment vertical="center"/>
    </xf>
    <xf numFmtId="186" fontId="75" fillId="0" borderId="0" xfId="1" applyNumberFormat="1" applyFont="1" applyFill="1" applyBorder="1" applyAlignment="1">
      <alignment horizontal="left" vertical="center"/>
    </xf>
    <xf numFmtId="43" fontId="74" fillId="0" borderId="0" xfId="1" applyNumberFormat="1" applyFont="1" applyFill="1" applyBorder="1" applyAlignment="1">
      <alignment horizontal="center" vertical="center"/>
    </xf>
    <xf numFmtId="43" fontId="75" fillId="3" borderId="0" xfId="1" applyNumberFormat="1" applyFont="1" applyFill="1" applyBorder="1" applyAlignment="1">
      <alignment horizontal="center" vertical="center"/>
    </xf>
    <xf numFmtId="43" fontId="75" fillId="3" borderId="0" xfId="1" applyNumberFormat="1" applyFont="1" applyFill="1" applyBorder="1" applyAlignment="1">
      <alignment horizontal="left" vertical="center"/>
    </xf>
    <xf numFmtId="43" fontId="74" fillId="3" borderId="0" xfId="1" applyNumberFormat="1" applyFont="1" applyFill="1" applyBorder="1" applyAlignment="1">
      <alignment horizontal="left" vertical="center"/>
    </xf>
    <xf numFmtId="43" fontId="75" fillId="3" borderId="21" xfId="1" applyNumberFormat="1" applyFont="1" applyFill="1" applyBorder="1" applyAlignment="1">
      <alignment horizontal="left" vertical="center"/>
    </xf>
    <xf numFmtId="181" fontId="75" fillId="0" borderId="0" xfId="0" applyNumberFormat="1" applyFont="1" applyAlignment="1">
      <alignment horizontal="left" vertical="center"/>
    </xf>
    <xf numFmtId="43" fontId="75" fillId="3" borderId="0" xfId="1" applyNumberFormat="1" applyFont="1" applyFill="1" applyBorder="1" applyAlignment="1">
      <alignment vertical="center"/>
    </xf>
    <xf numFmtId="181" fontId="75" fillId="0" borderId="0" xfId="0" applyNumberFormat="1" applyFont="1">
      <alignment vertical="center"/>
    </xf>
    <xf numFmtId="43" fontId="75" fillId="3" borderId="0" xfId="1" applyNumberFormat="1" applyFont="1" applyFill="1" applyBorder="1" applyAlignment="1">
      <alignment horizontal="right" vertical="center"/>
    </xf>
    <xf numFmtId="186" fontId="74" fillId="0" borderId="0" xfId="1" applyNumberFormat="1" applyFont="1" applyFill="1" applyBorder="1" applyAlignment="1">
      <alignment vertical="center"/>
    </xf>
    <xf numFmtId="186" fontId="5" fillId="0" borderId="0" xfId="1" applyNumberFormat="1" applyFont="1" applyFill="1" applyBorder="1" applyAlignment="1">
      <alignment horizontal="left" vertical="center"/>
    </xf>
    <xf numFmtId="43" fontId="101" fillId="0" borderId="0" xfId="1" applyNumberFormat="1" applyFont="1" applyFill="1" applyBorder="1" applyAlignment="1">
      <alignment horizontal="center" vertical="center"/>
    </xf>
    <xf numFmtId="43" fontId="75" fillId="3" borderId="8" xfId="1" applyNumberFormat="1" applyFont="1" applyFill="1" applyBorder="1" applyAlignment="1">
      <alignment horizontal="center" vertical="center" wrapText="1"/>
    </xf>
    <xf numFmtId="43" fontId="75" fillId="3" borderId="1" xfId="1" applyNumberFormat="1" applyFont="1" applyFill="1" applyBorder="1" applyAlignment="1">
      <alignment horizontal="center" vertical="center"/>
    </xf>
    <xf numFmtId="43" fontId="75" fillId="3" borderId="7" xfId="1" applyNumberFormat="1" applyFont="1" applyFill="1" applyBorder="1" applyAlignment="1">
      <alignment horizontal="center" vertical="center" wrapText="1"/>
    </xf>
    <xf numFmtId="43" fontId="75" fillId="3" borderId="1" xfId="1" applyNumberFormat="1" applyFont="1" applyFill="1" applyBorder="1" applyAlignment="1">
      <alignment horizontal="left" vertical="center" wrapText="1"/>
    </xf>
    <xf numFmtId="43" fontId="75" fillId="3" borderId="1" xfId="1" applyNumberFormat="1" applyFont="1" applyFill="1" applyBorder="1" applyAlignment="1">
      <alignment horizontal="center" vertical="center" wrapText="1"/>
    </xf>
    <xf numFmtId="43" fontId="74" fillId="2" borderId="1" xfId="1" applyNumberFormat="1" applyFont="1" applyFill="1" applyBorder="1" applyAlignment="1">
      <alignment horizontal="center" vertical="center" wrapText="1"/>
    </xf>
    <xf numFmtId="43" fontId="75" fillId="3" borderId="1" xfId="1" applyNumberFormat="1" applyFont="1" applyFill="1" applyBorder="1" applyAlignment="1">
      <alignment horizontal="right" vertical="center" wrapText="1"/>
    </xf>
    <xf numFmtId="43" fontId="74" fillId="3" borderId="1" xfId="1" applyNumberFormat="1" applyFont="1" applyFill="1" applyBorder="1" applyAlignment="1">
      <alignment horizontal="center" vertical="center" wrapText="1"/>
    </xf>
    <xf numFmtId="43" fontId="105" fillId="3" borderId="1" xfId="1" applyNumberFormat="1" applyFont="1" applyFill="1" applyBorder="1" applyAlignment="1">
      <alignment horizontal="center" vertical="center" wrapText="1"/>
    </xf>
    <xf numFmtId="43" fontId="74" fillId="38" borderId="1" xfId="1" applyNumberFormat="1" applyFont="1" applyFill="1" applyBorder="1" applyAlignment="1">
      <alignment horizontal="center" vertical="center" wrapText="1"/>
    </xf>
    <xf numFmtId="43" fontId="105" fillId="36" borderId="1" xfId="1" applyNumberFormat="1" applyFont="1" applyFill="1" applyBorder="1" applyAlignment="1">
      <alignment horizontal="center" vertical="center" wrapText="1"/>
    </xf>
    <xf numFmtId="200" fontId="5" fillId="3" borderId="1" xfId="1" applyNumberFormat="1" applyFont="1" applyFill="1" applyBorder="1" applyAlignment="1">
      <alignment horizontal="center" vertical="center"/>
    </xf>
    <xf numFmtId="200" fontId="5" fillId="3" borderId="8" xfId="1" applyNumberFormat="1" applyFont="1" applyFill="1" applyBorder="1" applyAlignment="1">
      <alignment horizontal="center" vertical="center" wrapText="1"/>
    </xf>
    <xf numFmtId="43" fontId="100" fillId="3" borderId="1" xfId="1" applyNumberFormat="1" applyFont="1" applyFill="1" applyBorder="1" applyAlignment="1">
      <alignment vertical="center"/>
    </xf>
    <xf numFmtId="180" fontId="8" fillId="3" borderId="8" xfId="0" applyNumberFormat="1" applyFont="1" applyFill="1" applyBorder="1" applyAlignment="1">
      <alignment vertical="center" wrapText="1"/>
    </xf>
    <xf numFmtId="180" fontId="23" fillId="3" borderId="5" xfId="0" applyNumberFormat="1" applyFont="1" applyFill="1" applyBorder="1" applyAlignment="1">
      <alignment horizontal="left" vertical="center"/>
    </xf>
    <xf numFmtId="0" fontId="5" fillId="3" borderId="13" xfId="43" applyFont="1" applyFill="1" applyBorder="1" applyAlignment="1">
      <alignment horizontal="center" vertical="center"/>
    </xf>
    <xf numFmtId="0" fontId="86" fillId="2" borderId="13" xfId="43" applyFont="1" applyFill="1" applyBorder="1" applyAlignment="1">
      <alignment horizontal="center" vertical="center"/>
    </xf>
    <xf numFmtId="181" fontId="8" fillId="3" borderId="3" xfId="0" applyNumberFormat="1" applyFont="1" applyFill="1" applyBorder="1" applyAlignment="1">
      <alignment horizontal="left" vertical="center" wrapText="1"/>
    </xf>
    <xf numFmtId="0" fontId="5" fillId="3" borderId="1" xfId="43" applyFont="1" applyFill="1" applyBorder="1" applyAlignment="1">
      <alignment horizontal="center" vertical="center"/>
    </xf>
    <xf numFmtId="43" fontId="101" fillId="29" borderId="1" xfId="1" applyNumberFormat="1" applyFont="1" applyFill="1" applyBorder="1" applyAlignment="1">
      <alignment horizontal="left" vertical="center"/>
    </xf>
    <xf numFmtId="189" fontId="8" fillId="3" borderId="1" xfId="0" applyNumberFormat="1" applyFont="1" applyFill="1" applyBorder="1">
      <alignment vertical="center"/>
    </xf>
    <xf numFmtId="189" fontId="23" fillId="3" borderId="1" xfId="0" applyNumberFormat="1" applyFont="1" applyFill="1" applyBorder="1">
      <alignment vertical="center"/>
    </xf>
    <xf numFmtId="43" fontId="75" fillId="0" borderId="0" xfId="1" applyNumberFormat="1" applyFont="1" applyFill="1" applyBorder="1" applyAlignment="1">
      <alignment horizontal="center" vertical="center"/>
    </xf>
    <xf numFmtId="43" fontId="74" fillId="3" borderId="0" xfId="1" applyNumberFormat="1" applyFont="1" applyFill="1" applyBorder="1" applyAlignment="1">
      <alignment horizontal="center" vertical="center"/>
    </xf>
    <xf numFmtId="43" fontId="74" fillId="3" borderId="21" xfId="1" applyNumberFormat="1" applyFont="1" applyFill="1" applyBorder="1" applyAlignment="1">
      <alignment horizontal="left" vertical="center"/>
    </xf>
    <xf numFmtId="0" fontId="85" fillId="0" borderId="0" xfId="0" applyFont="1" applyAlignment="1">
      <alignment horizontal="center" vertical="center"/>
    </xf>
    <xf numFmtId="0" fontId="5" fillId="0" borderId="0" xfId="0" applyFont="1">
      <alignment vertical="center"/>
    </xf>
    <xf numFmtId="178" fontId="21" fillId="0" borderId="0" xfId="1" applyFont="1">
      <alignment vertical="center"/>
    </xf>
    <xf numFmtId="201" fontId="21" fillId="0" borderId="0" xfId="1" applyNumberFormat="1" applyFont="1">
      <alignment vertical="center"/>
    </xf>
    <xf numFmtId="179" fontId="0" fillId="0" borderId="0" xfId="3" applyFont="1" applyFill="1">
      <alignment vertical="center"/>
    </xf>
    <xf numFmtId="179" fontId="0" fillId="0" borderId="0" xfId="3" applyFont="1" applyFill="1" applyAlignment="1">
      <alignment horizontal="center" vertical="center"/>
    </xf>
    <xf numFmtId="178" fontId="0" fillId="0" borderId="0" xfId="1" applyFont="1" applyFill="1">
      <alignment vertical="center"/>
    </xf>
    <xf numFmtId="0" fontId="106" fillId="0" borderId="0" xfId="0" applyFont="1">
      <alignment vertical="center"/>
    </xf>
    <xf numFmtId="180" fontId="106" fillId="0" borderId="0" xfId="0" applyNumberFormat="1" applyFont="1">
      <alignment vertical="center"/>
    </xf>
    <xf numFmtId="180" fontId="0" fillId="0" borderId="0" xfId="0" applyNumberFormat="1">
      <alignment vertical="center"/>
    </xf>
    <xf numFmtId="10" fontId="106" fillId="0" borderId="0" xfId="2" applyNumberFormat="1" applyFont="1" applyFill="1">
      <alignment vertical="center"/>
    </xf>
    <xf numFmtId="0" fontId="61" fillId="0" borderId="3" xfId="0" applyFont="1" applyBorder="1">
      <alignment vertical="center"/>
    </xf>
    <xf numFmtId="0" fontId="61" fillId="0" borderId="4" xfId="0" applyFont="1" applyBorder="1" applyAlignment="1">
      <alignment vertical="center" wrapText="1"/>
    </xf>
    <xf numFmtId="178" fontId="61" fillId="0" borderId="4" xfId="0" applyNumberFormat="1" applyFont="1" applyBorder="1" applyAlignment="1">
      <alignment vertical="center" wrapText="1"/>
    </xf>
    <xf numFmtId="179" fontId="61" fillId="0" borderId="4" xfId="3" applyFont="1" applyFill="1" applyBorder="1" applyAlignment="1">
      <alignment vertical="center" wrapText="1"/>
    </xf>
    <xf numFmtId="178" fontId="61" fillId="0" borderId="4" xfId="1" applyFont="1" applyFill="1" applyBorder="1" applyAlignment="1">
      <alignment vertical="center" wrapText="1"/>
    </xf>
    <xf numFmtId="0" fontId="61" fillId="0" borderId="0" xfId="0" applyFont="1" applyAlignment="1">
      <alignment vertical="center" wrapText="1"/>
    </xf>
    <xf numFmtId="0" fontId="5" fillId="43" borderId="58" xfId="36" applyFont="1" applyFill="1" applyBorder="1" applyAlignment="1">
      <alignment horizontal="center" vertical="center" wrapText="1"/>
    </xf>
    <xf numFmtId="0" fontId="107" fillId="45" borderId="23" xfId="0" applyFont="1" applyFill="1" applyBorder="1" applyAlignment="1">
      <alignment horizontal="center" vertical="center" wrapText="1"/>
    </xf>
    <xf numFmtId="0" fontId="5" fillId="14" borderId="1" xfId="0" applyFont="1" applyFill="1" applyBorder="1" applyAlignment="1">
      <alignment horizontal="center" vertical="center" wrapText="1"/>
    </xf>
    <xf numFmtId="180" fontId="7" fillId="46" borderId="1" xfId="35" applyNumberFormat="1" applyFont="1" applyFill="1" applyBorder="1" applyAlignment="1">
      <alignment horizontal="center" vertical="center" wrapText="1"/>
    </xf>
    <xf numFmtId="0" fontId="109" fillId="14" borderId="3" xfId="0" applyFont="1" applyFill="1" applyBorder="1">
      <alignment vertical="center"/>
    </xf>
    <xf numFmtId="0" fontId="109" fillId="14" borderId="1" xfId="0" applyFont="1" applyFill="1" applyBorder="1" applyAlignment="1">
      <alignment vertical="center" wrapText="1"/>
    </xf>
    <xf numFmtId="0" fontId="107" fillId="42" borderId="8" xfId="0" applyFont="1" applyFill="1" applyBorder="1" applyAlignment="1">
      <alignment horizontal="center" vertical="center" wrapText="1"/>
    </xf>
    <xf numFmtId="0" fontId="107" fillId="42" borderId="1" xfId="0" applyFont="1" applyFill="1" applyBorder="1" applyAlignment="1">
      <alignment horizontal="center" vertical="center" wrapText="1"/>
    </xf>
    <xf numFmtId="0" fontId="5" fillId="55" borderId="8" xfId="36" applyFont="1" applyFill="1" applyBorder="1" applyAlignment="1">
      <alignment horizontal="center" vertical="center" wrapText="1"/>
    </xf>
    <xf numFmtId="178" fontId="107" fillId="44" borderId="1" xfId="1" applyFont="1" applyFill="1" applyBorder="1" applyAlignment="1">
      <alignment horizontal="center" vertical="center" wrapText="1"/>
    </xf>
    <xf numFmtId="0" fontId="107" fillId="44" borderId="1" xfId="0" applyFont="1" applyFill="1" applyBorder="1" applyAlignment="1">
      <alignment horizontal="center" vertical="center" wrapText="1"/>
    </xf>
    <xf numFmtId="179" fontId="110" fillId="42" borderId="1" xfId="3" applyFont="1" applyFill="1" applyBorder="1" applyAlignment="1">
      <alignment horizontal="center" vertical="center" wrapText="1"/>
    </xf>
    <xf numFmtId="0" fontId="107" fillId="55" borderId="1" xfId="0" applyFont="1" applyFill="1" applyBorder="1" applyAlignment="1">
      <alignment horizontal="center" vertical="center" wrapText="1"/>
    </xf>
    <xf numFmtId="0" fontId="5" fillId="55" borderId="7" xfId="36" applyFont="1" applyFill="1" applyBorder="1" applyAlignment="1">
      <alignment horizontal="center" vertical="center" wrapText="1"/>
    </xf>
    <xf numFmtId="0" fontId="85" fillId="0" borderId="6" xfId="0" applyFont="1" applyBorder="1" applyAlignment="1">
      <alignment horizontal="center" vertical="center" wrapText="1"/>
    </xf>
    <xf numFmtId="0" fontId="85" fillId="40" borderId="7" xfId="0" applyFont="1" applyFill="1" applyBorder="1" applyAlignment="1">
      <alignment horizontal="center" vertical="center" wrapText="1"/>
    </xf>
    <xf numFmtId="0" fontId="85" fillId="40" borderId="58" xfId="0" applyFont="1" applyFill="1" applyBorder="1" applyAlignment="1">
      <alignment horizontal="center" vertical="center" wrapText="1"/>
    </xf>
    <xf numFmtId="0" fontId="85" fillId="0" borderId="58" xfId="0" applyFont="1" applyBorder="1" applyAlignment="1">
      <alignment horizontal="center" vertical="center" wrapText="1"/>
    </xf>
    <xf numFmtId="0" fontId="85" fillId="41" borderId="58" xfId="0" applyFont="1" applyFill="1" applyBorder="1" applyAlignment="1">
      <alignment horizontal="center" vertical="center" wrapText="1"/>
    </xf>
    <xf numFmtId="0" fontId="107" fillId="41" borderId="7" xfId="0" applyFont="1" applyFill="1" applyBorder="1" applyAlignment="1">
      <alignment vertical="center" wrapText="1"/>
    </xf>
    <xf numFmtId="0" fontId="85" fillId="42" borderId="58" xfId="0" applyFont="1" applyFill="1" applyBorder="1" applyAlignment="1">
      <alignment horizontal="center" vertical="center" wrapText="1"/>
    </xf>
    <xf numFmtId="179" fontId="85" fillId="42" borderId="58" xfId="3" applyFont="1" applyFill="1" applyBorder="1" applyAlignment="1">
      <alignment horizontal="center" vertical="center" wrapText="1"/>
    </xf>
    <xf numFmtId="0" fontId="85" fillId="55" borderId="58" xfId="0" applyFont="1" applyFill="1" applyBorder="1" applyAlignment="1">
      <alignment horizontal="center" vertical="center" wrapText="1"/>
    </xf>
    <xf numFmtId="0" fontId="85" fillId="42" borderId="1" xfId="0" applyFont="1" applyFill="1" applyBorder="1" applyAlignment="1">
      <alignment horizontal="center" vertical="center" wrapText="1"/>
    </xf>
    <xf numFmtId="0" fontId="85" fillId="53" borderId="58" xfId="0" applyFont="1" applyFill="1" applyBorder="1" applyAlignment="1">
      <alignment horizontal="center" vertical="center" wrapText="1"/>
    </xf>
    <xf numFmtId="0" fontId="85" fillId="0" borderId="58" xfId="0" applyFont="1" applyBorder="1" applyAlignment="1">
      <alignment horizontal="center" vertical="center"/>
    </xf>
    <xf numFmtId="0" fontId="85" fillId="54" borderId="58" xfId="0" applyFont="1" applyFill="1" applyBorder="1" applyAlignment="1">
      <alignment horizontal="center" vertical="center" wrapText="1"/>
    </xf>
    <xf numFmtId="201" fontId="5" fillId="55" borderId="58" xfId="36" applyNumberFormat="1" applyFont="1" applyFill="1" applyBorder="1" applyAlignment="1">
      <alignment horizontal="center" vertical="center" wrapText="1"/>
    </xf>
    <xf numFmtId="179" fontId="85" fillId="55" borderId="58" xfId="3" applyFont="1" applyFill="1" applyBorder="1" applyAlignment="1">
      <alignment horizontal="center" vertical="center" wrapText="1"/>
    </xf>
    <xf numFmtId="9" fontId="5" fillId="0" borderId="58" xfId="23" applyFont="1" applyFill="1" applyBorder="1" applyAlignment="1" applyProtection="1">
      <alignment horizontal="center" vertical="center" wrapText="1"/>
    </xf>
    <xf numFmtId="9" fontId="5" fillId="55" borderId="58" xfId="23" applyFont="1" applyFill="1" applyBorder="1" applyAlignment="1" applyProtection="1">
      <alignment horizontal="center" vertical="center" wrapText="1"/>
    </xf>
    <xf numFmtId="0" fontId="85" fillId="44" borderId="58" xfId="0" applyFont="1" applyFill="1" applyBorder="1" applyAlignment="1">
      <alignment horizontal="center" vertical="center" wrapText="1"/>
    </xf>
    <xf numFmtId="178" fontId="85" fillId="44" borderId="58" xfId="1" applyFont="1" applyFill="1" applyBorder="1" applyAlignment="1">
      <alignment horizontal="center" vertical="center" wrapText="1"/>
    </xf>
    <xf numFmtId="178" fontId="85" fillId="45" borderId="58" xfId="1" applyFont="1" applyFill="1" applyBorder="1" applyAlignment="1">
      <alignment horizontal="center" vertical="center" wrapText="1"/>
    </xf>
    <xf numFmtId="178" fontId="85" fillId="0" borderId="58" xfId="1" applyFont="1" applyFill="1" applyBorder="1" applyAlignment="1">
      <alignment horizontal="center" vertical="center" wrapText="1"/>
    </xf>
    <xf numFmtId="178" fontId="85" fillId="45" borderId="1" xfId="1" applyFont="1" applyFill="1" applyBorder="1" applyAlignment="1">
      <alignment horizontal="center" vertical="center" wrapText="1"/>
    </xf>
    <xf numFmtId="0" fontId="85" fillId="0" borderId="1" xfId="0" applyFont="1" applyBorder="1" applyAlignment="1">
      <alignment horizontal="center" vertical="center" wrapText="1"/>
    </xf>
    <xf numFmtId="0" fontId="85" fillId="45" borderId="1" xfId="0" applyFont="1" applyFill="1" applyBorder="1" applyAlignment="1">
      <alignment horizontal="center" vertical="center" wrapText="1"/>
    </xf>
    <xf numFmtId="0" fontId="85" fillId="14" borderId="7" xfId="0" applyFont="1" applyFill="1" applyBorder="1" applyAlignment="1">
      <alignment horizontal="center" vertical="center" wrapText="1"/>
    </xf>
    <xf numFmtId="180" fontId="85" fillId="14" borderId="7" xfId="35" applyNumberFormat="1" applyFont="1" applyFill="1" applyBorder="1" applyAlignment="1">
      <alignment horizontal="center" vertical="center" wrapText="1"/>
    </xf>
    <xf numFmtId="180" fontId="111" fillId="46" borderId="7" xfId="1" applyNumberFormat="1" applyFont="1" applyFill="1" applyBorder="1" applyAlignment="1">
      <alignment horizontal="center" vertical="center" wrapText="1"/>
    </xf>
    <xf numFmtId="0" fontId="85" fillId="47" borderId="1" xfId="0" applyFont="1" applyFill="1" applyBorder="1" applyAlignment="1">
      <alignment horizontal="center" vertical="center" wrapText="1"/>
    </xf>
    <xf numFmtId="180" fontId="111" fillId="48" borderId="7" xfId="0" applyNumberFormat="1" applyFont="1" applyFill="1" applyBorder="1" applyAlignment="1">
      <alignment horizontal="center" vertical="center" wrapText="1"/>
    </xf>
    <xf numFmtId="0" fontId="111" fillId="48" borderId="7" xfId="0" applyFont="1" applyFill="1" applyBorder="1" applyAlignment="1">
      <alignment horizontal="center" vertical="center" wrapText="1"/>
    </xf>
    <xf numFmtId="0" fontId="111" fillId="46" borderId="7" xfId="0" applyFont="1" applyFill="1" applyBorder="1" applyAlignment="1">
      <alignment horizontal="center" vertical="center" wrapText="1"/>
    </xf>
    <xf numFmtId="0" fontId="111" fillId="49" borderId="7" xfId="0" applyFont="1" applyFill="1" applyBorder="1" applyAlignment="1">
      <alignment horizontal="center" vertical="center" wrapText="1"/>
    </xf>
    <xf numFmtId="0" fontId="111" fillId="50" borderId="7" xfId="0" applyFont="1" applyFill="1" applyBorder="1" applyAlignment="1">
      <alignment horizontal="center" vertical="center" wrapText="1"/>
    </xf>
    <xf numFmtId="0" fontId="111" fillId="51" borderId="7" xfId="35" applyFont="1" applyFill="1" applyBorder="1" applyAlignment="1">
      <alignment horizontal="center" vertical="center" wrapText="1"/>
    </xf>
    <xf numFmtId="0" fontId="111" fillId="52" borderId="7" xfId="35" applyFont="1" applyFill="1" applyBorder="1" applyAlignment="1">
      <alignment horizontal="center" vertical="center" wrapText="1"/>
    </xf>
    <xf numFmtId="180" fontId="111" fillId="46" borderId="7" xfId="35" applyNumberFormat="1" applyFont="1" applyFill="1" applyBorder="1" applyAlignment="1">
      <alignment horizontal="center" vertical="center" wrapText="1"/>
    </xf>
    <xf numFmtId="0" fontId="5" fillId="0" borderId="1" xfId="0" applyFont="1" applyBorder="1" applyAlignment="1">
      <alignment horizontal="center" vertical="center" wrapText="1"/>
    </xf>
    <xf numFmtId="180" fontId="112" fillId="56" borderId="1" xfId="0" applyNumberFormat="1" applyFont="1" applyFill="1" applyBorder="1" applyAlignment="1">
      <alignment horizontal="center" vertical="center" wrapText="1"/>
    </xf>
    <xf numFmtId="180" fontId="5" fillId="40" borderId="58" xfId="0" applyNumberFormat="1" applyFont="1" applyFill="1" applyBorder="1" applyAlignment="1">
      <alignment horizontal="center" vertical="center" wrapText="1"/>
    </xf>
    <xf numFmtId="10" fontId="5" fillId="0" borderId="58" xfId="2" applyNumberFormat="1" applyFont="1" applyFill="1" applyBorder="1" applyAlignment="1">
      <alignment horizontal="center" vertical="center" wrapText="1"/>
    </xf>
    <xf numFmtId="10" fontId="107" fillId="0" borderId="58" xfId="2" applyNumberFormat="1" applyFont="1" applyFill="1" applyBorder="1" applyAlignment="1">
      <alignment horizontal="center" vertical="center" wrapText="1"/>
    </xf>
    <xf numFmtId="185" fontId="5" fillId="41" borderId="1" xfId="35" applyNumberFormat="1" applyFont="1" applyFill="1" applyBorder="1" applyAlignment="1">
      <alignment horizontal="center" vertical="center" wrapText="1"/>
    </xf>
    <xf numFmtId="0" fontId="5" fillId="41" borderId="1" xfId="35" applyFont="1" applyFill="1" applyBorder="1" applyAlignment="1">
      <alignment horizontal="center" vertical="center" wrapText="1"/>
    </xf>
    <xf numFmtId="185" fontId="5" fillId="57" borderId="1" xfId="35" applyNumberFormat="1" applyFont="1" applyFill="1" applyBorder="1" applyAlignment="1">
      <alignment horizontal="center" vertical="center" wrapText="1"/>
    </xf>
    <xf numFmtId="10" fontId="5" fillId="0" borderId="1" xfId="36" applyNumberFormat="1" applyFont="1" applyBorder="1" applyAlignment="1">
      <alignment horizontal="center" vertical="center" wrapText="1"/>
    </xf>
    <xf numFmtId="185" fontId="112" fillId="58" borderId="1" xfId="0" applyNumberFormat="1" applyFont="1" applyFill="1" applyBorder="1" applyAlignment="1">
      <alignment horizontal="center" vertical="center" wrapText="1"/>
    </xf>
    <xf numFmtId="201" fontId="5" fillId="59" borderId="58" xfId="1" applyNumberFormat="1" applyFont="1" applyFill="1" applyBorder="1" applyAlignment="1">
      <alignment horizontal="center" vertical="center" wrapText="1"/>
    </xf>
    <xf numFmtId="178" fontId="5" fillId="59" borderId="58" xfId="1" applyFont="1" applyFill="1" applyBorder="1" applyAlignment="1">
      <alignment horizontal="center" vertical="center" wrapText="1"/>
    </xf>
    <xf numFmtId="0" fontId="5" fillId="59" borderId="58" xfId="35" applyFont="1" applyFill="1" applyBorder="1" applyAlignment="1">
      <alignment horizontal="center" vertical="center" wrapText="1"/>
    </xf>
    <xf numFmtId="185" fontId="5" fillId="59" borderId="1" xfId="35" applyNumberFormat="1" applyFont="1" applyFill="1" applyBorder="1" applyAlignment="1">
      <alignment horizontal="center" vertical="center" wrapText="1"/>
    </xf>
    <xf numFmtId="185" fontId="5" fillId="59" borderId="58" xfId="35" applyNumberFormat="1" applyFont="1" applyFill="1" applyBorder="1" applyAlignment="1">
      <alignment horizontal="center" vertical="center" wrapText="1"/>
    </xf>
    <xf numFmtId="202" fontId="5" fillId="42" borderId="58" xfId="3" applyNumberFormat="1" applyFont="1" applyFill="1" applyBorder="1" applyAlignment="1">
      <alignment horizontal="center" vertical="center" wrapText="1"/>
    </xf>
    <xf numFmtId="10" fontId="5" fillId="0" borderId="58" xfId="3" applyNumberFormat="1" applyFont="1" applyFill="1" applyBorder="1" applyAlignment="1">
      <alignment horizontal="center" vertical="center" wrapText="1"/>
    </xf>
    <xf numFmtId="179" fontId="5" fillId="42" borderId="58" xfId="3" applyFont="1" applyFill="1" applyBorder="1" applyAlignment="1">
      <alignment horizontal="center" vertical="center" wrapText="1"/>
    </xf>
    <xf numFmtId="178" fontId="107" fillId="53" borderId="58" xfId="1" applyFont="1" applyFill="1" applyBorder="1" applyAlignment="1">
      <alignment horizontal="center" vertical="center" wrapText="1"/>
    </xf>
    <xf numFmtId="178" fontId="5" fillId="53" borderId="58" xfId="1" applyFont="1" applyFill="1" applyBorder="1" applyAlignment="1">
      <alignment horizontal="center" vertical="center" wrapText="1"/>
    </xf>
    <xf numFmtId="180" fontId="5" fillId="53" borderId="58" xfId="0" applyNumberFormat="1" applyFont="1" applyFill="1" applyBorder="1" applyAlignment="1">
      <alignment horizontal="center" vertical="center" wrapText="1"/>
    </xf>
    <xf numFmtId="10" fontId="5" fillId="0" borderId="58" xfId="0" applyNumberFormat="1" applyFont="1" applyBorder="1" applyAlignment="1">
      <alignment horizontal="center" vertical="center" wrapText="1"/>
    </xf>
    <xf numFmtId="178" fontId="5" fillId="54" borderId="58" xfId="1" applyFont="1" applyFill="1" applyBorder="1" applyAlignment="1">
      <alignment horizontal="center" vertical="center" wrapText="1"/>
    </xf>
    <xf numFmtId="201" fontId="5" fillId="55" borderId="58" xfId="35" applyNumberFormat="1" applyFont="1" applyFill="1" applyBorder="1" applyAlignment="1">
      <alignment horizontal="center" vertical="center" wrapText="1"/>
    </xf>
    <xf numFmtId="10" fontId="5" fillId="0" borderId="58" xfId="23" applyNumberFormat="1" applyFont="1" applyFill="1" applyBorder="1" applyAlignment="1" applyProtection="1">
      <alignment horizontal="center" vertical="center" wrapText="1"/>
    </xf>
    <xf numFmtId="178" fontId="5" fillId="55" borderId="58" xfId="1" applyFont="1" applyFill="1" applyBorder="1" applyAlignment="1" applyProtection="1">
      <alignment horizontal="center" vertical="center" wrapText="1"/>
    </xf>
    <xf numFmtId="178" fontId="5" fillId="44" borderId="58" xfId="1" applyFont="1" applyFill="1" applyBorder="1" applyAlignment="1">
      <alignment horizontal="center" vertical="center" wrapText="1"/>
    </xf>
    <xf numFmtId="178" fontId="5" fillId="45" borderId="58" xfId="1" applyFont="1" applyFill="1" applyBorder="1" applyAlignment="1">
      <alignment horizontal="center" vertical="center" wrapText="1"/>
    </xf>
    <xf numFmtId="9" fontId="5" fillId="0" borderId="58" xfId="36" applyNumberFormat="1" applyFont="1" applyBorder="1" applyAlignment="1">
      <alignment horizontal="center" vertical="center" wrapText="1"/>
    </xf>
    <xf numFmtId="185" fontId="5" fillId="45" borderId="58" xfId="36" applyNumberFormat="1" applyFont="1" applyFill="1" applyBorder="1" applyAlignment="1">
      <alignment horizontal="center" vertical="center" wrapText="1"/>
    </xf>
    <xf numFmtId="0" fontId="5" fillId="45" borderId="58" xfId="36" applyFont="1" applyFill="1" applyBorder="1" applyAlignment="1">
      <alignment horizontal="center" vertical="center" wrapText="1"/>
    </xf>
    <xf numFmtId="0" fontId="5" fillId="45" borderId="1" xfId="36" applyFont="1" applyFill="1" applyBorder="1" applyAlignment="1">
      <alignment horizontal="center" vertical="center" wrapText="1"/>
    </xf>
    <xf numFmtId="9" fontId="5" fillId="0" borderId="1" xfId="2" applyFont="1" applyFill="1" applyBorder="1" applyAlignment="1">
      <alignment horizontal="center" vertical="center" wrapText="1"/>
    </xf>
    <xf numFmtId="10" fontId="5" fillId="45" borderId="1" xfId="36" applyNumberFormat="1" applyFont="1" applyFill="1" applyBorder="1" applyAlignment="1">
      <alignment horizontal="center" vertical="center" wrapText="1"/>
    </xf>
    <xf numFmtId="178" fontId="5" fillId="14" borderId="1" xfId="1" applyFont="1" applyFill="1" applyBorder="1" applyAlignment="1">
      <alignment horizontal="center" vertical="center"/>
    </xf>
    <xf numFmtId="180" fontId="5" fillId="14" borderId="1" xfId="35" applyNumberFormat="1" applyFont="1" applyFill="1" applyBorder="1" applyAlignment="1">
      <alignment horizontal="center" vertical="center"/>
    </xf>
    <xf numFmtId="185" fontId="5" fillId="47" borderId="1" xfId="0" applyNumberFormat="1" applyFont="1" applyFill="1" applyBorder="1" applyAlignment="1">
      <alignment horizontal="center" vertical="center" wrapText="1"/>
    </xf>
    <xf numFmtId="9" fontId="5" fillId="47" borderId="1" xfId="2" applyFont="1" applyFill="1" applyBorder="1" applyAlignment="1">
      <alignment horizontal="center" vertical="center" wrapText="1"/>
    </xf>
    <xf numFmtId="10" fontId="5" fillId="47" borderId="1" xfId="0" applyNumberFormat="1" applyFont="1" applyFill="1" applyBorder="1" applyAlignment="1">
      <alignment horizontal="center" vertical="center" wrapText="1"/>
    </xf>
    <xf numFmtId="180" fontId="21" fillId="48" borderId="1" xfId="35" applyNumberFormat="1" applyFont="1" applyFill="1" applyBorder="1" applyAlignment="1">
      <alignment horizontal="center" vertical="center"/>
    </xf>
    <xf numFmtId="180" fontId="5" fillId="48" borderId="1" xfId="35" applyNumberFormat="1" applyFont="1" applyFill="1" applyBorder="1" applyAlignment="1">
      <alignment horizontal="center" vertical="center"/>
    </xf>
    <xf numFmtId="9" fontId="5" fillId="48" borderId="1" xfId="2" applyFont="1" applyFill="1" applyBorder="1">
      <alignment vertical="center"/>
    </xf>
    <xf numFmtId="0" fontId="5" fillId="42" borderId="1" xfId="0" applyFont="1" applyFill="1" applyBorder="1" applyAlignment="1">
      <alignment horizontal="center" vertical="center" wrapText="1"/>
    </xf>
    <xf numFmtId="10" fontId="5" fillId="42" borderId="1" xfId="0" applyNumberFormat="1" applyFont="1" applyFill="1" applyBorder="1" applyAlignment="1">
      <alignment horizontal="center" vertical="center" wrapText="1"/>
    </xf>
    <xf numFmtId="0" fontId="5" fillId="60" borderId="1" xfId="0" applyFont="1" applyFill="1" applyBorder="1" applyAlignment="1">
      <alignment horizontal="center" vertical="center" wrapText="1"/>
    </xf>
    <xf numFmtId="10" fontId="5" fillId="60" borderId="1" xfId="0" applyNumberFormat="1" applyFont="1" applyFill="1" applyBorder="1" applyAlignment="1">
      <alignment horizontal="center" vertical="center" wrapText="1"/>
    </xf>
    <xf numFmtId="10" fontId="5" fillId="61" borderId="1" xfId="0" applyNumberFormat="1" applyFont="1" applyFill="1" applyBorder="1" applyAlignment="1">
      <alignment horizontal="center" vertical="center" wrapText="1"/>
    </xf>
    <xf numFmtId="178" fontId="5" fillId="61" borderId="1" xfId="1" applyFont="1" applyFill="1" applyBorder="1" applyAlignment="1">
      <alignment horizontal="center" vertical="center" wrapText="1"/>
    </xf>
    <xf numFmtId="0" fontId="5" fillId="14" borderId="1" xfId="0" applyFont="1" applyFill="1" applyBorder="1">
      <alignment vertical="center"/>
    </xf>
    <xf numFmtId="189" fontId="107" fillId="62" borderId="1" xfId="56" applyNumberFormat="1" applyFont="1" applyFill="1" applyBorder="1" applyAlignment="1">
      <alignment horizontal="center" vertical="center" wrapText="1"/>
    </xf>
    <xf numFmtId="189" fontId="5" fillId="62" borderId="1" xfId="56" applyNumberFormat="1" applyFont="1" applyFill="1" applyBorder="1" applyAlignment="1">
      <alignment horizontal="center" vertical="center" wrapText="1"/>
    </xf>
    <xf numFmtId="178" fontId="5" fillId="62" borderId="1" xfId="1" applyFont="1" applyFill="1" applyBorder="1" applyAlignment="1">
      <alignment horizontal="center" vertical="center" wrapText="1"/>
    </xf>
    <xf numFmtId="178" fontId="107" fillId="63" borderId="1" xfId="56" applyFont="1" applyFill="1" applyBorder="1" applyAlignment="1">
      <alignment horizontal="center" vertical="center" wrapText="1"/>
    </xf>
    <xf numFmtId="180" fontId="5" fillId="42" borderId="1" xfId="56" applyNumberFormat="1" applyFont="1" applyFill="1" applyBorder="1" applyAlignment="1">
      <alignment horizontal="center" vertical="center" wrapText="1"/>
    </xf>
    <xf numFmtId="43" fontId="5" fillId="0" borderId="0" xfId="0" applyNumberFormat="1" applyFont="1">
      <alignment vertical="center"/>
    </xf>
    <xf numFmtId="203" fontId="5" fillId="0" borderId="0" xfId="0" applyNumberFormat="1" applyFont="1">
      <alignment vertical="center"/>
    </xf>
    <xf numFmtId="180" fontId="5" fillId="40" borderId="1" xfId="0" applyNumberFormat="1" applyFont="1" applyFill="1" applyBorder="1" applyAlignment="1">
      <alignment horizontal="center" vertical="center" wrapText="1"/>
    </xf>
    <xf numFmtId="10" fontId="5" fillId="45" borderId="1" xfId="0" applyNumberFormat="1" applyFont="1" applyFill="1" applyBorder="1" applyAlignment="1">
      <alignment horizontal="center" vertical="center" wrapText="1"/>
    </xf>
    <xf numFmtId="185" fontId="112" fillId="58" borderId="58" xfId="0" applyNumberFormat="1" applyFont="1" applyFill="1" applyBorder="1" applyAlignment="1">
      <alignment horizontal="center" vertical="center" wrapText="1"/>
    </xf>
    <xf numFmtId="178" fontId="5" fillId="45" borderId="1" xfId="1" applyFont="1" applyFill="1" applyBorder="1" applyAlignment="1">
      <alignment horizontal="center" vertical="center" wrapText="1"/>
    </xf>
    <xf numFmtId="180" fontId="112" fillId="46" borderId="7" xfId="1" applyNumberFormat="1" applyFont="1" applyFill="1" applyBorder="1" applyAlignment="1">
      <alignment horizontal="center" vertical="center" wrapText="1"/>
    </xf>
    <xf numFmtId="0" fontId="5" fillId="0" borderId="7" xfId="0" applyFont="1" applyBorder="1" applyAlignment="1">
      <alignment horizontal="center" vertical="center" wrapText="1"/>
    </xf>
    <xf numFmtId="180" fontId="112" fillId="56" borderId="58" xfId="0" applyNumberFormat="1" applyFont="1" applyFill="1" applyBorder="1" applyAlignment="1">
      <alignment horizontal="center" vertical="center" wrapText="1"/>
    </xf>
    <xf numFmtId="0" fontId="5" fillId="17" borderId="7" xfId="0" applyFont="1" applyFill="1" applyBorder="1" applyAlignment="1">
      <alignment horizontal="center" vertical="center" wrapText="1"/>
    </xf>
    <xf numFmtId="178" fontId="5" fillId="41" borderId="58" xfId="1" applyFont="1" applyFill="1" applyBorder="1" applyAlignment="1">
      <alignment horizontal="center" vertical="center" wrapText="1"/>
    </xf>
    <xf numFmtId="202" fontId="5" fillId="55" borderId="58" xfId="3" applyNumberFormat="1" applyFont="1" applyFill="1" applyBorder="1" applyAlignment="1">
      <alignment horizontal="center" vertical="center" wrapText="1"/>
    </xf>
    <xf numFmtId="202" fontId="5" fillId="42" borderId="1" xfId="3" applyNumberFormat="1" applyFont="1" applyFill="1" applyBorder="1" applyAlignment="1">
      <alignment horizontal="center" vertical="center" wrapText="1"/>
    </xf>
    <xf numFmtId="201" fontId="5" fillId="0" borderId="58" xfId="35" applyNumberFormat="1" applyFont="1" applyBorder="1" applyAlignment="1">
      <alignment horizontal="center" vertical="center" wrapText="1"/>
    </xf>
    <xf numFmtId="178" fontId="5" fillId="55" borderId="58" xfId="1" applyFont="1" applyFill="1" applyBorder="1" applyAlignment="1">
      <alignment horizontal="center" vertical="center" wrapText="1"/>
    </xf>
    <xf numFmtId="178" fontId="5" fillId="0" borderId="58" xfId="1" applyFont="1" applyFill="1" applyBorder="1" applyAlignment="1">
      <alignment horizontal="center" vertical="center" wrapText="1"/>
    </xf>
    <xf numFmtId="10" fontId="5" fillId="0" borderId="1" xfId="0" applyNumberFormat="1" applyFont="1" applyBorder="1" applyAlignment="1">
      <alignment horizontal="center" vertical="center" wrapText="1"/>
    </xf>
    <xf numFmtId="178" fontId="107" fillId="64" borderId="7" xfId="1" applyFont="1" applyFill="1" applyBorder="1" applyAlignment="1">
      <alignment horizontal="center" vertical="center" wrapText="1"/>
    </xf>
    <xf numFmtId="178" fontId="107" fillId="40" borderId="58" xfId="1" applyFont="1" applyFill="1" applyBorder="1" applyAlignment="1">
      <alignment horizontal="center" vertical="center" wrapText="1"/>
    </xf>
    <xf numFmtId="178" fontId="107" fillId="41" borderId="58" xfId="1" applyFont="1" applyFill="1" applyBorder="1" applyAlignment="1">
      <alignment horizontal="center" vertical="center" wrapText="1"/>
    </xf>
    <xf numFmtId="178" fontId="107" fillId="41" borderId="1" xfId="35" applyNumberFormat="1" applyFont="1" applyFill="1" applyBorder="1" applyAlignment="1">
      <alignment horizontal="center" vertical="center" wrapText="1"/>
    </xf>
    <xf numFmtId="178" fontId="110" fillId="65" borderId="58" xfId="1" applyFont="1" applyFill="1" applyBorder="1" applyAlignment="1">
      <alignment horizontal="center" vertical="center" wrapText="1"/>
    </xf>
    <xf numFmtId="178" fontId="107" fillId="65" borderId="58" xfId="1" applyFont="1" applyFill="1" applyBorder="1" applyAlignment="1">
      <alignment horizontal="center" vertical="center" wrapText="1"/>
    </xf>
    <xf numFmtId="10" fontId="107" fillId="0" borderId="58" xfId="1" applyNumberFormat="1" applyFont="1" applyFill="1" applyBorder="1" applyAlignment="1">
      <alignment horizontal="center" vertical="center" wrapText="1"/>
    </xf>
    <xf numFmtId="178" fontId="107" fillId="55" borderId="58" xfId="1" applyFont="1" applyFill="1" applyBorder="1" applyAlignment="1">
      <alignment horizontal="center" vertical="center" wrapText="1"/>
    </xf>
    <xf numFmtId="178" fontId="107" fillId="44" borderId="58" xfId="1" applyFont="1" applyFill="1" applyBorder="1" applyAlignment="1">
      <alignment horizontal="center" vertical="center" wrapText="1"/>
    </xf>
    <xf numFmtId="178" fontId="107" fillId="45" borderId="58" xfId="1" applyFont="1" applyFill="1" applyBorder="1" applyAlignment="1">
      <alignment horizontal="center" vertical="center" wrapText="1"/>
    </xf>
    <xf numFmtId="10" fontId="107" fillId="0" borderId="1" xfId="2" applyNumberFormat="1" applyFont="1" applyFill="1" applyBorder="1" applyAlignment="1">
      <alignment horizontal="center" vertical="center" wrapText="1"/>
    </xf>
    <xf numFmtId="10" fontId="107" fillId="45" borderId="1" xfId="2" applyNumberFormat="1" applyFont="1" applyFill="1" applyBorder="1" applyAlignment="1">
      <alignment horizontal="center" vertical="center" wrapText="1"/>
    </xf>
    <xf numFmtId="178" fontId="5" fillId="14" borderId="1" xfId="0" applyNumberFormat="1" applyFont="1" applyFill="1" applyBorder="1" applyAlignment="1">
      <alignment horizontal="center" vertical="center"/>
    </xf>
    <xf numFmtId="180" fontId="5" fillId="14" borderId="1" xfId="1" applyNumberFormat="1" applyFont="1" applyFill="1" applyBorder="1" applyAlignment="1">
      <alignment horizontal="center" vertical="center"/>
    </xf>
    <xf numFmtId="180" fontId="5" fillId="42" borderId="1" xfId="1" applyNumberFormat="1" applyFont="1" applyFill="1" applyBorder="1" applyAlignment="1">
      <alignment horizontal="center" vertical="center" wrapText="1"/>
    </xf>
    <xf numFmtId="178" fontId="107" fillId="47" borderId="1" xfId="1" applyFont="1" applyFill="1" applyBorder="1" applyAlignment="1">
      <alignment horizontal="center" vertical="center" wrapText="1"/>
    </xf>
    <xf numFmtId="180" fontId="21" fillId="48" borderId="1" xfId="1" applyNumberFormat="1" applyFont="1" applyFill="1" applyBorder="1" applyAlignment="1">
      <alignment horizontal="center" vertical="center"/>
    </xf>
    <xf numFmtId="178" fontId="21" fillId="48" borderId="1" xfId="1" applyFont="1" applyFill="1" applyBorder="1">
      <alignment vertical="center"/>
    </xf>
    <xf numFmtId="178" fontId="107" fillId="42" borderId="1" xfId="1" applyFont="1" applyFill="1" applyBorder="1" applyAlignment="1">
      <alignment horizontal="center" vertical="center" wrapText="1"/>
    </xf>
    <xf numFmtId="178" fontId="109" fillId="60" borderId="1" xfId="1" applyFont="1" applyFill="1" applyBorder="1" applyAlignment="1">
      <alignment horizontal="center" vertical="center" wrapText="1"/>
    </xf>
    <xf numFmtId="178" fontId="109" fillId="61" borderId="1" xfId="1" applyFont="1" applyFill="1" applyBorder="1" applyAlignment="1">
      <alignment horizontal="center" vertical="center" wrapText="1"/>
    </xf>
    <xf numFmtId="178" fontId="109" fillId="14" borderId="1" xfId="1" applyFont="1" applyFill="1" applyBorder="1">
      <alignment vertical="center"/>
    </xf>
    <xf numFmtId="178" fontId="5" fillId="63" borderId="1" xfId="1" applyFont="1" applyFill="1" applyBorder="1" applyAlignment="1">
      <alignment horizontal="center" vertical="center" wrapText="1"/>
    </xf>
    <xf numFmtId="179" fontId="0" fillId="0" borderId="0" xfId="0" applyNumberFormat="1">
      <alignment vertical="center"/>
    </xf>
    <xf numFmtId="179" fontId="0" fillId="0" borderId="0" xfId="3" applyFont="1">
      <alignment vertical="center"/>
    </xf>
    <xf numFmtId="178" fontId="0" fillId="0" borderId="0" xfId="0" applyNumberFormat="1">
      <alignment vertical="center"/>
    </xf>
    <xf numFmtId="179" fontId="0" fillId="0" borderId="0" xfId="3" applyFont="1" applyAlignment="1">
      <alignment horizontal="center" vertical="center"/>
    </xf>
    <xf numFmtId="10" fontId="106" fillId="0" borderId="0" xfId="2" applyNumberFormat="1" applyFont="1">
      <alignment vertical="center"/>
    </xf>
    <xf numFmtId="201" fontId="107" fillId="66" borderId="13" xfId="1" applyNumberFormat="1" applyFont="1" applyFill="1" applyBorder="1" applyAlignment="1">
      <alignment horizontal="center" vertical="center" wrapText="1"/>
    </xf>
    <xf numFmtId="178" fontId="21" fillId="67" borderId="13" xfId="1" applyFont="1" applyFill="1" applyBorder="1" applyAlignment="1">
      <alignment horizontal="center" vertical="center"/>
    </xf>
    <xf numFmtId="178" fontId="21" fillId="0" borderId="13" xfId="1" applyFont="1" applyFill="1" applyBorder="1" applyAlignment="1">
      <alignment horizontal="center" vertical="center"/>
    </xf>
    <xf numFmtId="178" fontId="21" fillId="0" borderId="13" xfId="1" applyFont="1" applyFill="1" applyBorder="1">
      <alignment vertical="center"/>
    </xf>
    <xf numFmtId="201" fontId="21" fillId="67" borderId="13" xfId="1" applyNumberFormat="1" applyFont="1" applyFill="1" applyBorder="1">
      <alignment vertical="center"/>
    </xf>
    <xf numFmtId="201" fontId="21" fillId="0" borderId="13" xfId="1" applyNumberFormat="1" applyFont="1" applyFill="1" applyBorder="1">
      <alignment vertical="center"/>
    </xf>
    <xf numFmtId="178" fontId="21" fillId="67" borderId="13" xfId="1" applyFont="1" applyFill="1" applyBorder="1">
      <alignment vertical="center"/>
    </xf>
    <xf numFmtId="201" fontId="113" fillId="67" borderId="13" xfId="1" applyNumberFormat="1" applyFont="1" applyFill="1" applyBorder="1">
      <alignment vertical="center"/>
    </xf>
    <xf numFmtId="179" fontId="21" fillId="67" borderId="13" xfId="3" applyFont="1" applyFill="1" applyBorder="1">
      <alignment vertical="center"/>
    </xf>
    <xf numFmtId="201" fontId="21" fillId="67" borderId="13" xfId="1" applyNumberFormat="1" applyFont="1" applyFill="1" applyBorder="1" applyAlignment="1">
      <alignment horizontal="center" vertical="center"/>
    </xf>
    <xf numFmtId="179" fontId="21" fillId="67" borderId="13" xfId="3" applyFont="1" applyFill="1" applyBorder="1" applyAlignment="1">
      <alignment horizontal="center" vertical="center"/>
    </xf>
    <xf numFmtId="178" fontId="113" fillId="67" borderId="13" xfId="1" applyFont="1" applyFill="1" applyBorder="1" applyAlignment="1">
      <alignment horizontal="center" vertical="center"/>
    </xf>
    <xf numFmtId="179" fontId="113" fillId="67" borderId="13" xfId="3" applyFont="1" applyFill="1" applyBorder="1">
      <alignment vertical="center"/>
    </xf>
    <xf numFmtId="179" fontId="21" fillId="0" borderId="13" xfId="3" applyFont="1" applyFill="1" applyBorder="1">
      <alignment vertical="center"/>
    </xf>
    <xf numFmtId="178" fontId="113" fillId="67" borderId="13" xfId="1" applyFont="1" applyFill="1" applyBorder="1">
      <alignment vertical="center"/>
    </xf>
    <xf numFmtId="180" fontId="109" fillId="0" borderId="0" xfId="1" applyNumberFormat="1" applyFont="1">
      <alignment vertical="center"/>
    </xf>
    <xf numFmtId="180" fontId="21" fillId="67" borderId="13" xfId="1" applyNumberFormat="1" applyFont="1" applyFill="1" applyBorder="1">
      <alignment vertical="center"/>
    </xf>
    <xf numFmtId="201" fontId="109" fillId="67" borderId="13" xfId="1" applyNumberFormat="1" applyFont="1" applyFill="1" applyBorder="1">
      <alignment vertical="center"/>
    </xf>
    <xf numFmtId="201" fontId="109" fillId="0" borderId="0" xfId="1" applyNumberFormat="1" applyFont="1">
      <alignment vertical="center"/>
    </xf>
    <xf numFmtId="201" fontId="107" fillId="68" borderId="13" xfId="1" applyNumberFormat="1" applyFont="1" applyFill="1" applyBorder="1" applyAlignment="1">
      <alignment horizontal="center" vertical="center" wrapText="1"/>
    </xf>
    <xf numFmtId="178" fontId="21" fillId="69" borderId="13" xfId="1" applyFont="1" applyFill="1" applyBorder="1" applyAlignment="1">
      <alignment horizontal="center" vertical="center"/>
    </xf>
    <xf numFmtId="178" fontId="21" fillId="69" borderId="13" xfId="1" applyFont="1" applyFill="1" applyBorder="1">
      <alignment vertical="center"/>
    </xf>
    <xf numFmtId="201" fontId="21" fillId="69" borderId="13" xfId="1" applyNumberFormat="1" applyFont="1" applyFill="1" applyBorder="1">
      <alignment vertical="center"/>
    </xf>
    <xf numFmtId="194" fontId="21" fillId="19" borderId="13" xfId="3" applyNumberFormat="1" applyFont="1" applyFill="1" applyBorder="1">
      <alignment vertical="center"/>
    </xf>
    <xf numFmtId="179" fontId="21" fillId="69" borderId="13" xfId="3" applyFont="1" applyFill="1" applyBorder="1">
      <alignment vertical="center"/>
    </xf>
    <xf numFmtId="178" fontId="21" fillId="19" borderId="13" xfId="3" applyNumberFormat="1" applyFont="1" applyFill="1" applyBorder="1">
      <alignment vertical="center"/>
    </xf>
    <xf numFmtId="180" fontId="21" fillId="69" borderId="13" xfId="1" applyNumberFormat="1" applyFont="1" applyFill="1" applyBorder="1">
      <alignment vertical="center"/>
    </xf>
    <xf numFmtId="201" fontId="109" fillId="69" borderId="13" xfId="1" applyNumberFormat="1" applyFont="1" applyFill="1" applyBorder="1">
      <alignment vertical="center"/>
    </xf>
    <xf numFmtId="179" fontId="21" fillId="0" borderId="0" xfId="3" applyFont="1" applyAlignment="1">
      <alignment horizontal="center" vertical="center"/>
    </xf>
    <xf numFmtId="179" fontId="21" fillId="0" borderId="0" xfId="3" applyFont="1" applyFill="1" applyAlignment="1">
      <alignment horizontal="center" vertical="center"/>
    </xf>
    <xf numFmtId="178" fontId="21" fillId="0" borderId="0" xfId="1" applyFont="1" applyFill="1" applyAlignment="1">
      <alignment horizontal="center" vertical="center"/>
    </xf>
    <xf numFmtId="178" fontId="21" fillId="0" borderId="0" xfId="1" applyFont="1" applyAlignment="1">
      <alignment horizontal="center" vertical="center"/>
    </xf>
    <xf numFmtId="0" fontId="109" fillId="0" borderId="0" xfId="0" applyFont="1" applyAlignment="1">
      <alignment horizontal="center" vertical="center"/>
    </xf>
    <xf numFmtId="180" fontId="109" fillId="0" borderId="0" xfId="0" applyNumberFormat="1" applyFont="1" applyAlignment="1">
      <alignment horizontal="center" vertical="center"/>
    </xf>
    <xf numFmtId="180" fontId="21" fillId="0" borderId="0" xfId="0" applyNumberFormat="1" applyFont="1" applyAlignment="1">
      <alignment horizontal="center" vertical="center"/>
    </xf>
    <xf numFmtId="10" fontId="109" fillId="0" borderId="0" xfId="2" applyNumberFormat="1" applyFont="1" applyAlignment="1">
      <alignment horizontal="center" vertical="center"/>
    </xf>
    <xf numFmtId="178" fontId="0" fillId="0" borderId="0" xfId="0" applyNumberFormat="1" applyAlignment="1">
      <alignment horizontal="center" vertical="center"/>
    </xf>
    <xf numFmtId="195" fontId="21" fillId="67" borderId="13" xfId="3" applyNumberFormat="1" applyFont="1" applyFill="1" applyBorder="1">
      <alignment vertical="center"/>
    </xf>
    <xf numFmtId="195" fontId="21" fillId="67" borderId="13" xfId="1" applyNumberFormat="1" applyFont="1" applyFill="1" applyBorder="1">
      <alignment vertical="center"/>
    </xf>
    <xf numFmtId="195" fontId="21" fillId="67" borderId="13" xfId="1" applyNumberFormat="1" applyFont="1" applyFill="1" applyBorder="1" applyAlignment="1">
      <alignment horizontal="center" vertical="center"/>
    </xf>
    <xf numFmtId="195" fontId="21" fillId="67" borderId="13" xfId="3" applyNumberFormat="1" applyFont="1" applyFill="1" applyBorder="1" applyAlignment="1">
      <alignment horizontal="center" vertical="center"/>
    </xf>
    <xf numFmtId="195" fontId="21" fillId="0" borderId="13" xfId="1" applyNumberFormat="1" applyFont="1" applyFill="1" applyBorder="1">
      <alignment vertical="center"/>
    </xf>
    <xf numFmtId="195" fontId="21" fillId="0" borderId="13" xfId="3" applyNumberFormat="1" applyFont="1" applyFill="1" applyBorder="1">
      <alignment vertical="center"/>
    </xf>
    <xf numFmtId="195" fontId="109" fillId="67" borderId="13" xfId="1" applyNumberFormat="1" applyFont="1" applyFill="1" applyBorder="1">
      <alignment vertical="center"/>
    </xf>
    <xf numFmtId="178" fontId="109" fillId="0" borderId="0" xfId="1" applyFont="1">
      <alignment vertical="center"/>
    </xf>
    <xf numFmtId="195" fontId="21" fillId="17" borderId="13" xfId="3" applyNumberFormat="1" applyFont="1" applyFill="1" applyBorder="1">
      <alignment vertical="center"/>
    </xf>
    <xf numFmtId="195" fontId="21" fillId="17" borderId="13" xfId="1" applyNumberFormat="1" applyFont="1" applyFill="1" applyBorder="1">
      <alignment vertical="center"/>
    </xf>
    <xf numFmtId="194" fontId="109" fillId="0" borderId="0" xfId="1" applyNumberFormat="1" applyFont="1">
      <alignment vertical="center"/>
    </xf>
    <xf numFmtId="178" fontId="0" fillId="0" borderId="0" xfId="1" applyFont="1" applyAlignment="1">
      <alignment horizontal="center" vertical="center"/>
    </xf>
    <xf numFmtId="178" fontId="0" fillId="0" borderId="0" xfId="1" applyFont="1" applyFill="1" applyAlignment="1">
      <alignment horizontal="center" vertical="center"/>
    </xf>
    <xf numFmtId="178" fontId="106" fillId="0" borderId="0" xfId="1" applyFont="1">
      <alignment vertical="center"/>
    </xf>
    <xf numFmtId="178" fontId="106" fillId="0" borderId="0" xfId="1" applyFont="1" applyFill="1">
      <alignment vertical="center"/>
    </xf>
    <xf numFmtId="195" fontId="0" fillId="0" borderId="0" xfId="0" applyNumberFormat="1">
      <alignment vertical="center"/>
    </xf>
    <xf numFmtId="195" fontId="0" fillId="0" borderId="0" xfId="0" applyNumberFormat="1" applyAlignment="1">
      <alignment horizontal="center" vertical="center"/>
    </xf>
    <xf numFmtId="203" fontId="0" fillId="0" borderId="0" xfId="0" applyNumberFormat="1">
      <alignment vertical="center"/>
    </xf>
    <xf numFmtId="204" fontId="0" fillId="0" borderId="0" xfId="3" applyNumberFormat="1" applyFont="1" applyFill="1">
      <alignment vertical="center"/>
    </xf>
    <xf numFmtId="0" fontId="20" fillId="3" borderId="0" xfId="0" applyFont="1" applyFill="1">
      <alignment vertical="center"/>
    </xf>
    <xf numFmtId="0" fontId="114" fillId="0" borderId="0" xfId="0" applyFont="1">
      <alignment vertical="center"/>
    </xf>
    <xf numFmtId="0" fontId="20" fillId="58" borderId="0" xfId="0" applyFont="1" applyFill="1">
      <alignment vertical="center"/>
    </xf>
    <xf numFmtId="0" fontId="114" fillId="58" borderId="0" xfId="0" applyFont="1" applyFill="1">
      <alignment vertical="center"/>
    </xf>
    <xf numFmtId="178" fontId="20" fillId="0" borderId="0" xfId="1" applyFont="1" applyAlignment="1">
      <alignment vertical="center"/>
    </xf>
    <xf numFmtId="178" fontId="13" fillId="0" borderId="0" xfId="1" applyFont="1" applyAlignment="1">
      <alignment vertical="center"/>
    </xf>
    <xf numFmtId="10" fontId="20" fillId="0" borderId="0" xfId="2" applyNumberFormat="1" applyFont="1" applyAlignment="1">
      <alignment vertical="center"/>
    </xf>
    <xf numFmtId="178" fontId="20" fillId="0" borderId="0" xfId="1" applyFont="1" applyAlignment="1">
      <alignment horizontal="center" vertical="center"/>
    </xf>
    <xf numFmtId="0" fontId="20" fillId="0" borderId="0" xfId="0" applyFont="1">
      <alignment vertical="center"/>
    </xf>
    <xf numFmtId="178" fontId="14" fillId="0" borderId="0" xfId="1" applyFont="1" applyFill="1" applyAlignment="1">
      <alignment horizontal="center" vertical="center" wrapText="1"/>
    </xf>
    <xf numFmtId="178" fontId="13" fillId="0" borderId="0" xfId="1" applyFont="1" applyFill="1" applyBorder="1" applyAlignment="1">
      <alignment horizontal="left" vertical="center" wrapText="1"/>
    </xf>
    <xf numFmtId="178" fontId="13" fillId="0" borderId="0" xfId="1" applyFont="1" applyFill="1" applyBorder="1" applyAlignment="1">
      <alignment horizontal="center" vertical="center" wrapText="1"/>
    </xf>
    <xf numFmtId="178" fontId="13" fillId="0" borderId="0" xfId="1" applyFont="1" applyFill="1" applyAlignment="1">
      <alignment vertical="center" wrapText="1"/>
    </xf>
    <xf numFmtId="10" fontId="13" fillId="0" borderId="0" xfId="2" applyNumberFormat="1" applyFont="1" applyFill="1" applyAlignment="1">
      <alignment vertical="center" wrapText="1"/>
    </xf>
    <xf numFmtId="178" fontId="13" fillId="0" borderId="0" xfId="1" applyFont="1" applyFill="1" applyAlignment="1">
      <alignment horizontal="center" vertical="center" wrapText="1"/>
    </xf>
    <xf numFmtId="178" fontId="115" fillId="0" borderId="0" xfId="1" applyFont="1" applyBorder="1" applyAlignment="1">
      <alignment horizontal="center" vertical="center"/>
    </xf>
    <xf numFmtId="178" fontId="13" fillId="0" borderId="12" xfId="1" applyFont="1" applyFill="1" applyBorder="1" applyAlignment="1">
      <alignment horizontal="center" vertical="center" wrapText="1"/>
    </xf>
    <xf numFmtId="178" fontId="14" fillId="3" borderId="13" xfId="1" applyFont="1" applyFill="1" applyBorder="1" applyAlignment="1">
      <alignment horizontal="center" vertical="center" wrapText="1"/>
    </xf>
    <xf numFmtId="178" fontId="13" fillId="0" borderId="13" xfId="1" applyFont="1" applyFill="1" applyBorder="1" applyAlignment="1">
      <alignment horizontal="center" vertical="center" wrapText="1"/>
    </xf>
    <xf numFmtId="178" fontId="13" fillId="0" borderId="13" xfId="1" applyFont="1" applyFill="1" applyBorder="1" applyAlignment="1">
      <alignment vertical="center" wrapText="1"/>
    </xf>
    <xf numFmtId="10" fontId="13" fillId="0" borderId="13" xfId="2" applyNumberFormat="1" applyFont="1" applyFill="1" applyBorder="1" applyAlignment="1">
      <alignment vertical="center" wrapText="1"/>
    </xf>
    <xf numFmtId="178" fontId="20" fillId="18" borderId="13" xfId="1" applyFont="1" applyFill="1" applyBorder="1" applyAlignment="1">
      <alignment horizontal="center" vertical="center" wrapText="1"/>
    </xf>
    <xf numFmtId="178" fontId="20" fillId="0" borderId="48" xfId="1" applyFont="1" applyBorder="1" applyAlignment="1">
      <alignment horizontal="center" vertical="center"/>
    </xf>
    <xf numFmtId="178" fontId="13" fillId="34" borderId="13" xfId="1" applyFont="1" applyFill="1" applyBorder="1" applyAlignment="1">
      <alignment horizontal="center" vertical="center" wrapText="1"/>
    </xf>
    <xf numFmtId="178" fontId="13" fillId="34" borderId="13" xfId="1" applyFont="1" applyFill="1" applyBorder="1" applyAlignment="1">
      <alignment vertical="center" wrapText="1"/>
    </xf>
    <xf numFmtId="10" fontId="13" fillId="34" borderId="13" xfId="2" applyNumberFormat="1" applyFont="1" applyFill="1" applyBorder="1" applyAlignment="1">
      <alignment vertical="center" wrapText="1"/>
    </xf>
    <xf numFmtId="178" fontId="13" fillId="3" borderId="13" xfId="1" applyFont="1" applyFill="1" applyBorder="1" applyAlignment="1">
      <alignment horizontal="center" vertical="center" wrapText="1"/>
    </xf>
    <xf numFmtId="178" fontId="13" fillId="3" borderId="13" xfId="1" applyFont="1" applyFill="1" applyBorder="1" applyAlignment="1">
      <alignment vertical="center" wrapText="1"/>
    </xf>
    <xf numFmtId="178" fontId="20" fillId="0" borderId="13" xfId="1" applyFont="1" applyBorder="1" applyAlignment="1">
      <alignment vertical="center"/>
    </xf>
    <xf numFmtId="178" fontId="20" fillId="3" borderId="13" xfId="1" applyFont="1" applyFill="1" applyBorder="1" applyAlignment="1">
      <alignment horizontal="center" vertical="center" wrapText="1"/>
    </xf>
    <xf numFmtId="178" fontId="20" fillId="18" borderId="13" xfId="1" applyFont="1" applyFill="1" applyBorder="1" applyAlignment="1">
      <alignment vertical="center" wrapText="1"/>
    </xf>
    <xf numFmtId="178" fontId="20" fillId="0" borderId="13" xfId="1" applyFont="1" applyFill="1" applyBorder="1" applyAlignment="1">
      <alignment horizontal="center" vertical="center" wrapText="1"/>
    </xf>
    <xf numFmtId="178" fontId="13" fillId="0" borderId="48" xfId="1" applyFont="1" applyFill="1" applyBorder="1" applyAlignment="1">
      <alignment vertical="center" wrapText="1"/>
    </xf>
    <xf numFmtId="178" fontId="20" fillId="0" borderId="0" xfId="1" applyFont="1" applyFill="1" applyAlignment="1">
      <alignment vertical="center"/>
    </xf>
    <xf numFmtId="10" fontId="13" fillId="3" borderId="13" xfId="2" applyNumberFormat="1" applyFont="1" applyFill="1" applyBorder="1" applyAlignment="1">
      <alignment vertical="center" wrapText="1"/>
    </xf>
    <xf numFmtId="178" fontId="20" fillId="2" borderId="13" xfId="1" applyFont="1" applyFill="1" applyBorder="1" applyAlignment="1">
      <alignment horizontal="center" vertical="center" wrapText="1"/>
    </xf>
    <xf numFmtId="178" fontId="20" fillId="3" borderId="13" xfId="1" applyFont="1" applyFill="1" applyBorder="1" applyAlignment="1">
      <alignment vertical="center" wrapText="1"/>
    </xf>
    <xf numFmtId="178" fontId="20" fillId="3" borderId="98" xfId="1" applyFont="1" applyFill="1" applyBorder="1" applyAlignment="1">
      <alignment vertical="center"/>
    </xf>
    <xf numFmtId="178" fontId="20" fillId="3" borderId="0" xfId="1" applyFont="1" applyFill="1" applyAlignment="1">
      <alignment vertical="center"/>
    </xf>
    <xf numFmtId="178" fontId="13" fillId="34" borderId="48" xfId="1" applyFont="1" applyFill="1" applyBorder="1" applyAlignment="1">
      <alignment vertical="center" wrapText="1"/>
    </xf>
    <xf numFmtId="178" fontId="14" fillId="3" borderId="13" xfId="1" applyFont="1" applyFill="1" applyBorder="1" applyAlignment="1">
      <alignment vertical="center" wrapText="1"/>
    </xf>
    <xf numFmtId="10" fontId="13" fillId="72" borderId="13" xfId="2" applyNumberFormat="1" applyFont="1" applyFill="1" applyBorder="1" applyAlignment="1">
      <alignment vertical="center" wrapText="1"/>
    </xf>
    <xf numFmtId="178" fontId="14" fillId="0" borderId="50" xfId="1" applyFont="1" applyFill="1" applyBorder="1" applyAlignment="1">
      <alignment horizontal="center" vertical="center" wrapText="1"/>
    </xf>
    <xf numFmtId="178" fontId="20" fillId="0" borderId="14" xfId="1" applyFont="1" applyBorder="1" applyAlignment="1">
      <alignment horizontal="center" vertical="center"/>
    </xf>
    <xf numFmtId="178" fontId="114" fillId="0" borderId="13" xfId="1" applyFont="1" applyFill="1" applyBorder="1" applyAlignment="1">
      <alignment vertical="center" wrapText="1"/>
    </xf>
    <xf numFmtId="10" fontId="114" fillId="0" borderId="13" xfId="2" applyNumberFormat="1" applyFont="1" applyFill="1" applyBorder="1" applyAlignment="1">
      <alignment vertical="center" wrapText="1"/>
    </xf>
    <xf numFmtId="178" fontId="114" fillId="0" borderId="0" xfId="1" applyFont="1" applyAlignment="1">
      <alignment vertical="center"/>
    </xf>
    <xf numFmtId="178" fontId="13" fillId="0" borderId="14" xfId="1" applyFont="1" applyBorder="1" applyAlignment="1">
      <alignment horizontal="center" vertical="center"/>
    </xf>
    <xf numFmtId="10" fontId="13" fillId="15" borderId="13" xfId="2" applyNumberFormat="1" applyFont="1" applyFill="1" applyBorder="1" applyAlignment="1">
      <alignment vertical="center" wrapText="1"/>
    </xf>
    <xf numFmtId="178" fontId="13" fillId="2" borderId="13" xfId="1" applyFont="1" applyFill="1" applyBorder="1" applyAlignment="1">
      <alignment vertical="center" wrapText="1"/>
    </xf>
    <xf numFmtId="178" fontId="20" fillId="18" borderId="13" xfId="1" applyFont="1" applyFill="1" applyBorder="1" applyAlignment="1" applyProtection="1">
      <alignment horizontal="center" vertical="center" wrapText="1"/>
    </xf>
    <xf numFmtId="178" fontId="20" fillId="58" borderId="14" xfId="1" applyFont="1" applyFill="1" applyBorder="1" applyAlignment="1">
      <alignment horizontal="center" vertical="center"/>
    </xf>
    <xf numFmtId="178" fontId="13" fillId="58" borderId="13" xfId="1" applyFont="1" applyFill="1" applyBorder="1" applyAlignment="1">
      <alignment vertical="center" wrapText="1"/>
    </xf>
    <xf numFmtId="10" fontId="13" fillId="58" borderId="13" xfId="2" applyNumberFormat="1" applyFont="1" applyFill="1" applyBorder="1" applyAlignment="1">
      <alignment vertical="center" wrapText="1"/>
    </xf>
    <xf numFmtId="178" fontId="20" fillId="58" borderId="13" xfId="1" applyFont="1" applyFill="1" applyBorder="1" applyAlignment="1">
      <alignment horizontal="center" vertical="center" wrapText="1"/>
    </xf>
    <xf numFmtId="178" fontId="20" fillId="58" borderId="13" xfId="1" applyFont="1" applyFill="1" applyBorder="1" applyAlignment="1" applyProtection="1">
      <alignment horizontal="center" vertical="center" wrapText="1"/>
    </xf>
    <xf numFmtId="178" fontId="20" fillId="58" borderId="13" xfId="1" applyFont="1" applyFill="1" applyBorder="1" applyAlignment="1">
      <alignment vertical="center" wrapText="1"/>
    </xf>
    <xf numFmtId="178" fontId="20" fillId="58" borderId="0" xfId="1" applyFont="1" applyFill="1" applyAlignment="1">
      <alignment vertical="center"/>
    </xf>
    <xf numFmtId="178" fontId="13" fillId="58" borderId="13" xfId="1" applyFont="1" applyFill="1" applyBorder="1" applyAlignment="1">
      <alignment horizontal="center" vertical="center" wrapText="1"/>
    </xf>
    <xf numFmtId="178" fontId="114" fillId="58" borderId="13" xfId="1" applyFont="1" applyFill="1" applyBorder="1" applyAlignment="1">
      <alignment vertical="center" wrapText="1"/>
    </xf>
    <xf numFmtId="10" fontId="114" fillId="58" borderId="13" xfId="2" applyNumberFormat="1" applyFont="1" applyFill="1" applyBorder="1" applyAlignment="1">
      <alignment vertical="center" wrapText="1"/>
    </xf>
    <xf numFmtId="178" fontId="13" fillId="58" borderId="13" xfId="1" applyFont="1" applyFill="1" applyBorder="1" applyAlignment="1" applyProtection="1">
      <alignment horizontal="center" vertical="center" wrapText="1"/>
    </xf>
    <xf numFmtId="178" fontId="13" fillId="58" borderId="14" xfId="1" applyFont="1" applyFill="1" applyBorder="1" applyAlignment="1">
      <alignment horizontal="center" vertical="center"/>
    </xf>
    <xf numFmtId="178" fontId="13" fillId="58" borderId="0" xfId="1" applyFont="1" applyFill="1" applyAlignment="1">
      <alignment vertical="center"/>
    </xf>
    <xf numFmtId="178" fontId="114" fillId="58" borderId="0" xfId="1" applyFont="1" applyFill="1" applyAlignment="1">
      <alignment vertical="center"/>
    </xf>
    <xf numFmtId="10" fontId="114" fillId="15" borderId="13" xfId="2" applyNumberFormat="1" applyFont="1" applyFill="1" applyBorder="1" applyAlignment="1">
      <alignment vertical="center" wrapText="1"/>
    </xf>
    <xf numFmtId="178" fontId="13" fillId="67" borderId="13" xfId="1" applyFont="1" applyFill="1" applyBorder="1" applyAlignment="1">
      <alignment vertical="center" wrapText="1"/>
    </xf>
    <xf numFmtId="178" fontId="20" fillId="3" borderId="13" xfId="1" applyFont="1" applyFill="1" applyBorder="1" applyAlignment="1" applyProtection="1">
      <alignment horizontal="center" vertical="center" wrapText="1"/>
    </xf>
    <xf numFmtId="178" fontId="13" fillId="2" borderId="13" xfId="1" applyFont="1" applyFill="1" applyBorder="1" applyAlignment="1">
      <alignment horizontal="center" vertical="center" wrapText="1"/>
    </xf>
    <xf numFmtId="178" fontId="114" fillId="3" borderId="13" xfId="1" applyFont="1" applyFill="1" applyBorder="1" applyAlignment="1" applyProtection="1">
      <alignment horizontal="center" vertical="center" wrapText="1"/>
    </xf>
    <xf numFmtId="178" fontId="114" fillId="3" borderId="13" xfId="1" applyFont="1" applyFill="1" applyBorder="1" applyAlignment="1">
      <alignment vertical="center" wrapText="1"/>
    </xf>
    <xf numFmtId="178" fontId="13" fillId="20" borderId="13" xfId="1" applyFont="1" applyFill="1" applyBorder="1" applyAlignment="1">
      <alignment vertical="center" wrapText="1"/>
    </xf>
    <xf numFmtId="178" fontId="114" fillId="34" borderId="13" xfId="1" applyFont="1" applyFill="1" applyBorder="1" applyAlignment="1">
      <alignment vertical="center" wrapText="1"/>
    </xf>
    <xf numFmtId="10" fontId="114" fillId="34" borderId="13" xfId="2" applyNumberFormat="1" applyFont="1" applyFill="1" applyBorder="1" applyAlignment="1">
      <alignment vertical="center" wrapText="1"/>
    </xf>
    <xf numFmtId="178" fontId="20" fillId="0" borderId="1" xfId="1" applyFont="1" applyBorder="1" applyAlignment="1">
      <alignment vertical="center"/>
    </xf>
    <xf numFmtId="10" fontId="114" fillId="3" borderId="13" xfId="2" applyNumberFormat="1" applyFont="1" applyFill="1" applyBorder="1" applyAlignment="1">
      <alignment vertical="center" wrapText="1"/>
    </xf>
    <xf numFmtId="178" fontId="20" fillId="0" borderId="13" xfId="1" applyFont="1" applyFill="1" applyBorder="1" applyAlignment="1">
      <alignment vertical="center" wrapText="1"/>
    </xf>
    <xf numFmtId="10" fontId="13" fillId="2" borderId="13" xfId="2" applyNumberFormat="1" applyFont="1" applyFill="1" applyBorder="1" applyAlignment="1">
      <alignment vertical="center" wrapText="1"/>
    </xf>
    <xf numFmtId="178" fontId="20" fillId="2" borderId="14" xfId="1" applyFont="1" applyFill="1" applyBorder="1" applyAlignment="1">
      <alignment horizontal="center" vertical="center"/>
    </xf>
    <xf numFmtId="178" fontId="8" fillId="0" borderId="13" xfId="1" applyFont="1" applyFill="1" applyBorder="1" applyAlignment="1">
      <alignment horizontal="center" vertical="center" wrapText="1"/>
    </xf>
    <xf numFmtId="9" fontId="114" fillId="73" borderId="13" xfId="1" applyNumberFormat="1" applyFont="1" applyFill="1" applyBorder="1" applyAlignment="1">
      <alignment vertical="center" wrapText="1"/>
    </xf>
    <xf numFmtId="10" fontId="114" fillId="73" borderId="13" xfId="2" applyNumberFormat="1" applyFont="1" applyFill="1" applyBorder="1" applyAlignment="1">
      <alignment vertical="center" wrapText="1"/>
    </xf>
    <xf numFmtId="178" fontId="20" fillId="67" borderId="12" xfId="1" applyFont="1" applyFill="1" applyBorder="1" applyAlignment="1">
      <alignment vertical="center"/>
    </xf>
    <xf numFmtId="178" fontId="13" fillId="67" borderId="13" xfId="1" applyFont="1" applyFill="1" applyBorder="1" applyAlignment="1">
      <alignment vertical="center"/>
    </xf>
    <xf numFmtId="178" fontId="13" fillId="74" borderId="15" xfId="1" applyFont="1" applyFill="1" applyBorder="1" applyAlignment="1">
      <alignment vertical="center"/>
    </xf>
    <xf numFmtId="178" fontId="13" fillId="74" borderId="16" xfId="1" applyFont="1" applyFill="1" applyBorder="1" applyAlignment="1">
      <alignment vertical="center"/>
    </xf>
    <xf numFmtId="178" fontId="13" fillId="74" borderId="16" xfId="1" applyFont="1" applyFill="1" applyBorder="1" applyAlignment="1">
      <alignment horizontal="center" vertical="center"/>
    </xf>
    <xf numFmtId="178" fontId="20" fillId="74" borderId="16" xfId="1" applyFont="1" applyFill="1" applyBorder="1" applyAlignment="1">
      <alignment vertical="center"/>
    </xf>
    <xf numFmtId="10" fontId="20" fillId="74" borderId="16" xfId="2" applyNumberFormat="1" applyFont="1" applyFill="1" applyBorder="1" applyAlignment="1">
      <alignment vertical="center"/>
    </xf>
    <xf numFmtId="178" fontId="20" fillId="74" borderId="16" xfId="1" applyFont="1" applyFill="1" applyBorder="1" applyAlignment="1">
      <alignment horizontal="center" vertical="center"/>
    </xf>
    <xf numFmtId="178" fontId="20" fillId="74" borderId="17" xfId="1" applyFont="1" applyFill="1" applyBorder="1" applyAlignment="1">
      <alignment vertical="center"/>
    </xf>
    <xf numFmtId="178" fontId="20" fillId="2" borderId="0" xfId="1" applyFont="1" applyFill="1" applyAlignment="1">
      <alignment vertical="center"/>
    </xf>
    <xf numFmtId="180" fontId="116" fillId="0" borderId="0" xfId="0" applyNumberFormat="1" applyFont="1" applyAlignment="1"/>
    <xf numFmtId="180" fontId="116" fillId="3" borderId="0" xfId="0" applyNumberFormat="1" applyFont="1" applyFill="1" applyAlignment="1"/>
    <xf numFmtId="180" fontId="8" fillId="3" borderId="0" xfId="0" applyNumberFormat="1" applyFont="1" applyFill="1" applyAlignment="1"/>
    <xf numFmtId="180" fontId="1" fillId="0" borderId="0" xfId="0" applyNumberFormat="1" applyFont="1" applyAlignment="1"/>
    <xf numFmtId="180" fontId="1" fillId="0" borderId="0" xfId="0" applyNumberFormat="1" applyFont="1" applyAlignment="1">
      <alignment horizontal="center"/>
    </xf>
    <xf numFmtId="180" fontId="1" fillId="0" borderId="0" xfId="1" applyNumberFormat="1" applyFont="1" applyFill="1" applyBorder="1" applyAlignment="1"/>
    <xf numFmtId="178" fontId="1" fillId="0" borderId="0" xfId="1" applyFont="1" applyFill="1" applyBorder="1" applyAlignment="1">
      <alignment horizontal="center"/>
    </xf>
    <xf numFmtId="178" fontId="1" fillId="0" borderId="0" xfId="1" applyFont="1" applyFill="1" applyBorder="1" applyAlignment="1"/>
    <xf numFmtId="180" fontId="94" fillId="0" borderId="0" xfId="0" applyNumberFormat="1" applyFont="1">
      <alignment vertical="center"/>
    </xf>
    <xf numFmtId="180" fontId="96" fillId="0" borderId="0" xfId="0" applyNumberFormat="1" applyFont="1">
      <alignment vertical="center"/>
    </xf>
    <xf numFmtId="180" fontId="96" fillId="0" borderId="0" xfId="0" applyNumberFormat="1" applyFont="1" applyAlignment="1">
      <alignment horizontal="center" vertical="center"/>
    </xf>
    <xf numFmtId="0" fontId="96" fillId="0" borderId="0" xfId="0" applyFont="1" applyAlignment="1">
      <alignment horizontal="center" vertical="center"/>
    </xf>
    <xf numFmtId="180" fontId="96" fillId="0" borderId="0" xfId="1" applyNumberFormat="1" applyFont="1" applyFill="1" applyBorder="1" applyAlignment="1">
      <alignment horizontal="center" vertical="center"/>
    </xf>
    <xf numFmtId="180" fontId="96" fillId="0" borderId="0" xfId="1" applyNumberFormat="1" applyFont="1" applyFill="1" applyBorder="1" applyAlignment="1">
      <alignment vertical="center"/>
    </xf>
    <xf numFmtId="180" fontId="95" fillId="0" borderId="0" xfId="1" applyNumberFormat="1" applyFont="1" applyFill="1" applyBorder="1" applyAlignment="1">
      <alignment horizontal="center" vertical="center" wrapText="1"/>
    </xf>
    <xf numFmtId="180" fontId="96" fillId="0" borderId="0" xfId="0" applyNumberFormat="1" applyFont="1" applyAlignment="1">
      <alignment horizontal="center"/>
    </xf>
    <xf numFmtId="180" fontId="96" fillId="0" borderId="0" xfId="0" applyNumberFormat="1" applyFont="1" applyAlignment="1"/>
    <xf numFmtId="180" fontId="96" fillId="8" borderId="1" xfId="0" applyNumberFormat="1" applyFont="1" applyFill="1" applyBorder="1" applyAlignment="1">
      <alignment horizontal="center" vertical="center" wrapText="1"/>
    </xf>
    <xf numFmtId="180" fontId="94" fillId="8" borderId="1" xfId="0" applyNumberFormat="1" applyFont="1" applyFill="1" applyBorder="1" applyAlignment="1">
      <alignment horizontal="center" vertical="center" wrapText="1"/>
    </xf>
    <xf numFmtId="0" fontId="96" fillId="8" borderId="1" xfId="0" applyFont="1" applyFill="1" applyBorder="1" applyAlignment="1">
      <alignment horizontal="center" vertical="center" wrapText="1"/>
    </xf>
    <xf numFmtId="180" fontId="119" fillId="8" borderId="1" xfId="1" applyNumberFormat="1" applyFont="1" applyFill="1" applyBorder="1" applyAlignment="1">
      <alignment horizontal="center" vertical="center" wrapText="1"/>
    </xf>
    <xf numFmtId="180" fontId="96" fillId="8" borderId="1" xfId="1" applyNumberFormat="1" applyFont="1" applyFill="1" applyBorder="1" applyAlignment="1">
      <alignment horizontal="center" vertical="center" wrapText="1"/>
    </xf>
    <xf numFmtId="180" fontId="96" fillId="2" borderId="1" xfId="0" applyNumberFormat="1" applyFont="1" applyFill="1" applyBorder="1" applyAlignment="1">
      <alignment horizontal="center" vertical="center" wrapText="1"/>
    </xf>
    <xf numFmtId="202" fontId="94" fillId="8" borderId="1" xfId="3" applyNumberFormat="1" applyFont="1" applyFill="1" applyBorder="1" applyAlignment="1">
      <alignment horizontal="center" vertical="center" wrapText="1"/>
    </xf>
    <xf numFmtId="202" fontId="94" fillId="15" borderId="1" xfId="3" applyNumberFormat="1" applyFont="1" applyFill="1" applyBorder="1" applyAlignment="1">
      <alignment horizontal="center" vertical="center" wrapText="1"/>
    </xf>
    <xf numFmtId="180" fontId="119" fillId="8" borderId="1" xfId="0" applyNumberFormat="1" applyFont="1" applyFill="1" applyBorder="1" applyAlignment="1">
      <alignment horizontal="center" vertical="center" wrapText="1"/>
    </xf>
    <xf numFmtId="178" fontId="1" fillId="75" borderId="1" xfId="1" applyFont="1" applyFill="1" applyBorder="1" applyAlignment="1">
      <alignment horizontal="center" vertical="center" wrapText="1"/>
    </xf>
    <xf numFmtId="180" fontId="1" fillId="0" borderId="1" xfId="0" applyNumberFormat="1" applyFont="1" applyBorder="1" applyAlignment="1">
      <alignment vertical="center" wrapText="1"/>
    </xf>
    <xf numFmtId="180" fontId="116" fillId="0" borderId="1" xfId="0" applyNumberFormat="1" applyFont="1" applyBorder="1" applyAlignment="1">
      <alignment horizontal="center" vertical="center"/>
    </xf>
    <xf numFmtId="178" fontId="120" fillId="0" borderId="1" xfId="1" applyFont="1" applyFill="1" applyBorder="1" applyAlignment="1">
      <alignment horizontal="center" vertical="center"/>
    </xf>
    <xf numFmtId="178" fontId="121" fillId="0" borderId="1" xfId="1" applyFont="1" applyFill="1" applyBorder="1" applyAlignment="1">
      <alignment horizontal="center" vertical="center"/>
    </xf>
    <xf numFmtId="4" fontId="121" fillId="0" borderId="1" xfId="1" applyNumberFormat="1" applyFont="1" applyFill="1" applyBorder="1" applyAlignment="1">
      <alignment horizontal="center" vertical="center"/>
    </xf>
    <xf numFmtId="189" fontId="120" fillId="3" borderId="1" xfId="1" applyNumberFormat="1" applyFont="1" applyFill="1" applyBorder="1" applyAlignment="1">
      <alignment horizontal="center" vertical="center"/>
    </xf>
    <xf numFmtId="189" fontId="120" fillId="0" borderId="1" xfId="1" applyNumberFormat="1" applyFont="1" applyFill="1" applyBorder="1" applyAlignment="1">
      <alignment horizontal="center" vertical="center"/>
    </xf>
    <xf numFmtId="178" fontId="120" fillId="0" borderId="1" xfId="1" applyFont="1" applyFill="1" applyBorder="1" applyAlignment="1">
      <alignment horizontal="center" vertical="center" wrapText="1"/>
    </xf>
    <xf numFmtId="0" fontId="23" fillId="0" borderId="1" xfId="0" applyFont="1" applyBorder="1" applyAlignment="1"/>
    <xf numFmtId="178" fontId="8" fillId="75" borderId="1" xfId="1" applyFont="1" applyFill="1" applyBorder="1" applyAlignment="1">
      <alignment horizontal="center"/>
    </xf>
    <xf numFmtId="178" fontId="8" fillId="75" borderId="1" xfId="1" applyFont="1" applyFill="1" applyBorder="1" applyAlignment="1"/>
    <xf numFmtId="180" fontId="8" fillId="0" borderId="1" xfId="0" applyNumberFormat="1" applyFont="1" applyBorder="1" applyAlignment="1"/>
    <xf numFmtId="180" fontId="8" fillId="0" borderId="1" xfId="0" applyNumberFormat="1" applyFont="1" applyBorder="1" applyAlignment="1">
      <alignment horizontal="center"/>
    </xf>
    <xf numFmtId="178" fontId="120" fillId="0" borderId="1" xfId="1" applyFont="1" applyFill="1" applyBorder="1" applyAlignment="1">
      <alignment vertical="center"/>
    </xf>
    <xf numFmtId="178" fontId="120" fillId="3" borderId="1" xfId="1" applyFont="1" applyFill="1" applyBorder="1" applyAlignment="1">
      <alignment horizontal="center" vertical="center"/>
    </xf>
    <xf numFmtId="178" fontId="120" fillId="3" borderId="1" xfId="1" applyFont="1" applyFill="1" applyBorder="1" applyAlignment="1">
      <alignment horizontal="center" vertical="center" wrapText="1"/>
    </xf>
    <xf numFmtId="178" fontId="121" fillId="3" borderId="1" xfId="1" applyFont="1" applyFill="1" applyBorder="1" applyAlignment="1">
      <alignment horizontal="center" vertical="center"/>
    </xf>
    <xf numFmtId="180" fontId="8" fillId="3" borderId="1" xfId="0" applyNumberFormat="1" applyFont="1" applyFill="1" applyBorder="1" applyAlignment="1"/>
    <xf numFmtId="180" fontId="1" fillId="3" borderId="0" xfId="0" applyNumberFormat="1" applyFont="1" applyFill="1" applyAlignment="1"/>
    <xf numFmtId="4" fontId="121" fillId="3" borderId="1" xfId="1" applyNumberFormat="1" applyFont="1" applyFill="1" applyBorder="1" applyAlignment="1">
      <alignment horizontal="center" vertical="center"/>
    </xf>
    <xf numFmtId="180" fontId="29" fillId="0" borderId="1" xfId="0" applyNumberFormat="1" applyFont="1" applyBorder="1" applyAlignment="1">
      <alignment horizontal="center" vertical="center"/>
    </xf>
    <xf numFmtId="178" fontId="122" fillId="0" borderId="1" xfId="1" applyFont="1" applyFill="1" applyBorder="1" applyAlignment="1">
      <alignment horizontal="center" vertical="center"/>
    </xf>
    <xf numFmtId="180" fontId="120" fillId="0" borderId="1" xfId="0" applyNumberFormat="1" applyFont="1" applyBorder="1" applyAlignment="1">
      <alignment horizontal="center" vertical="center" wrapText="1"/>
    </xf>
    <xf numFmtId="180" fontId="116" fillId="0" borderId="1" xfId="0" applyNumberFormat="1" applyFont="1" applyBorder="1" applyAlignment="1">
      <alignment horizontal="center" vertical="center" wrapText="1"/>
    </xf>
    <xf numFmtId="180" fontId="120" fillId="0" borderId="1" xfId="0" applyNumberFormat="1" applyFont="1" applyBorder="1" applyAlignment="1">
      <alignment vertical="center" wrapText="1"/>
    </xf>
    <xf numFmtId="178" fontId="123" fillId="17" borderId="1" xfId="1" applyFont="1" applyFill="1" applyBorder="1" applyAlignment="1">
      <alignment horizontal="center" vertical="center"/>
    </xf>
    <xf numFmtId="178" fontId="124" fillId="17" borderId="1" xfId="1" applyFont="1" applyFill="1" applyBorder="1" applyAlignment="1"/>
    <xf numFmtId="178" fontId="123" fillId="0" borderId="1" xfId="1" applyFont="1" applyFill="1" applyBorder="1" applyAlignment="1">
      <alignment horizontal="center" vertical="center"/>
    </xf>
    <xf numFmtId="178" fontId="125" fillId="0" borderId="1" xfId="59" applyFont="1" applyBorder="1" applyAlignment="1">
      <alignment horizontal="center" vertical="center"/>
    </xf>
    <xf numFmtId="178" fontId="126" fillId="0" borderId="1" xfId="58" applyFont="1" applyBorder="1" applyAlignment="1">
      <alignment horizontal="center" vertical="center" wrapText="1"/>
    </xf>
    <xf numFmtId="178" fontId="123" fillId="0" borderId="1" xfId="59" applyFont="1" applyBorder="1" applyAlignment="1">
      <alignment horizontal="center" vertical="center"/>
    </xf>
    <xf numFmtId="178" fontId="125" fillId="0" borderId="1" xfId="59" applyFont="1" applyBorder="1" applyAlignment="1">
      <alignment horizontal="center" vertical="center" wrapText="1"/>
    </xf>
    <xf numFmtId="178" fontId="23" fillId="0" borderId="1" xfId="1" applyFont="1" applyFill="1" applyBorder="1" applyAlignment="1">
      <alignment horizontal="center"/>
    </xf>
    <xf numFmtId="178" fontId="125" fillId="0" borderId="1" xfId="1" applyFont="1" applyFill="1" applyBorder="1" applyAlignment="1">
      <alignment horizontal="center" vertical="center" wrapText="1"/>
    </xf>
    <xf numFmtId="180" fontId="116" fillId="0" borderId="1" xfId="0" applyNumberFormat="1" applyFont="1" applyBorder="1" applyAlignment="1"/>
    <xf numFmtId="178" fontId="124" fillId="0" borderId="1" xfId="1" applyFont="1" applyFill="1" applyBorder="1" applyAlignment="1"/>
    <xf numFmtId="178" fontId="95" fillId="0" borderId="1" xfId="1" applyFont="1" applyFill="1" applyBorder="1" applyAlignment="1">
      <alignment horizontal="center" vertical="center" wrapText="1"/>
    </xf>
    <xf numFmtId="178" fontId="123" fillId="5" borderId="1" xfId="59" applyFont="1" applyFill="1" applyBorder="1" applyAlignment="1">
      <alignment horizontal="center" vertical="center"/>
    </xf>
    <xf numFmtId="178" fontId="125" fillId="17" borderId="1" xfId="59" applyFont="1" applyFill="1" applyBorder="1" applyAlignment="1">
      <alignment horizontal="center" vertical="center" wrapText="1"/>
    </xf>
    <xf numFmtId="180" fontId="95" fillId="76" borderId="1" xfId="0" applyNumberFormat="1" applyFont="1" applyFill="1" applyBorder="1" applyAlignment="1">
      <alignment horizontal="center" vertical="center"/>
    </xf>
    <xf numFmtId="178" fontId="124" fillId="76" borderId="1" xfId="0" applyNumberFormat="1" applyFont="1" applyFill="1" applyBorder="1" applyAlignment="1">
      <alignment horizontal="center" vertical="center"/>
    </xf>
    <xf numFmtId="178" fontId="124" fillId="76" borderId="1" xfId="1" applyFont="1" applyFill="1" applyBorder="1" applyAlignment="1">
      <alignment horizontal="center" vertical="center"/>
    </xf>
    <xf numFmtId="180" fontId="1" fillId="0" borderId="1" xfId="0" applyNumberFormat="1" applyFont="1" applyBorder="1" applyAlignment="1"/>
    <xf numFmtId="178" fontId="124" fillId="0" borderId="1" xfId="59" applyFont="1" applyBorder="1" applyAlignment="1">
      <alignment horizontal="center" vertical="center"/>
    </xf>
    <xf numFmtId="178" fontId="124" fillId="0" borderId="1" xfId="59" applyFont="1" applyBorder="1" applyAlignment="1"/>
    <xf numFmtId="178" fontId="125" fillId="2" borderId="1" xfId="59" applyFont="1" applyFill="1" applyBorder="1" applyAlignment="1">
      <alignment horizontal="center" vertical="center"/>
    </xf>
    <xf numFmtId="178" fontId="1" fillId="0" borderId="1" xfId="1" applyFont="1" applyFill="1" applyBorder="1" applyAlignment="1">
      <alignment horizontal="center"/>
    </xf>
    <xf numFmtId="180" fontId="116" fillId="0" borderId="0" xfId="0" applyNumberFormat="1" applyFont="1" applyAlignment="1">
      <alignment horizontal="center" vertical="center" wrapText="1"/>
    </xf>
    <xf numFmtId="180" fontId="120" fillId="0" borderId="0" xfId="0" applyNumberFormat="1" applyFont="1" applyAlignment="1">
      <alignment horizontal="center" vertical="center" wrapText="1"/>
    </xf>
    <xf numFmtId="180" fontId="120" fillId="0" borderId="0" xfId="0" applyNumberFormat="1" applyFont="1" applyAlignment="1">
      <alignment vertical="center" wrapText="1"/>
    </xf>
    <xf numFmtId="178" fontId="124" fillId="0" borderId="0" xfId="59" applyFont="1" applyAlignment="1">
      <alignment horizontal="center" vertical="center"/>
    </xf>
    <xf numFmtId="178" fontId="124" fillId="0" borderId="0" xfId="59" applyFont="1" applyAlignment="1"/>
    <xf numFmtId="180" fontId="96" fillId="0" borderId="0" xfId="0" applyNumberFormat="1" applyFont="1" applyAlignment="1">
      <alignment horizontal="left" vertical="center" wrapText="1"/>
    </xf>
    <xf numFmtId="0" fontId="96" fillId="0" borderId="0" xfId="0" applyFont="1">
      <alignment vertical="center"/>
    </xf>
    <xf numFmtId="180" fontId="96" fillId="0" borderId="0" xfId="0" applyNumberFormat="1" applyFont="1" applyAlignment="1">
      <alignment horizontal="center" vertical="center" wrapText="1"/>
    </xf>
    <xf numFmtId="180" fontId="96" fillId="0" borderId="0" xfId="0" applyNumberFormat="1" applyFont="1" applyAlignment="1">
      <alignment horizontal="left" vertical="center"/>
    </xf>
    <xf numFmtId="178" fontId="23" fillId="0" borderId="0" xfId="0" applyNumberFormat="1" applyFont="1" applyAlignment="1"/>
    <xf numFmtId="195" fontId="116" fillId="0" borderId="0" xfId="0" applyNumberFormat="1" applyFont="1" applyAlignment="1"/>
    <xf numFmtId="178" fontId="116" fillId="0" borderId="0" xfId="1" applyFont="1" applyFill="1" applyBorder="1" applyAlignment="1"/>
    <xf numFmtId="180" fontId="94" fillId="0" borderId="0" xfId="0" applyNumberFormat="1" applyFont="1" applyAlignment="1">
      <alignment horizontal="center" vertical="center"/>
    </xf>
    <xf numFmtId="180" fontId="94" fillId="0" borderId="0" xfId="1" applyNumberFormat="1" applyFont="1" applyFill="1" applyBorder="1" applyAlignment="1">
      <alignment vertical="center"/>
    </xf>
    <xf numFmtId="180" fontId="52" fillId="0" borderId="0" xfId="1" applyNumberFormat="1" applyFont="1" applyFill="1" applyBorder="1" applyAlignment="1">
      <alignment horizontal="left" vertical="center"/>
    </xf>
    <xf numFmtId="180" fontId="95" fillId="0" borderId="0" xfId="1" applyNumberFormat="1" applyFont="1" applyFill="1" applyBorder="1" applyAlignment="1">
      <alignment horizontal="center" vertical="center"/>
    </xf>
    <xf numFmtId="180" fontId="1" fillId="0" borderId="0" xfId="1" applyNumberFormat="1" applyFont="1" applyFill="1" applyBorder="1" applyAlignment="1">
      <alignment horizontal="center"/>
    </xf>
    <xf numFmtId="0" fontId="8" fillId="0" borderId="1" xfId="43" applyFont="1" applyBorder="1" applyAlignment="1">
      <alignment vertical="center" wrapText="1"/>
    </xf>
    <xf numFmtId="178" fontId="8" fillId="0" borderId="1" xfId="57" applyFont="1" applyFill="1" applyBorder="1" applyAlignment="1">
      <alignment horizontal="center" vertical="center" wrapText="1"/>
    </xf>
    <xf numFmtId="178" fontId="123" fillId="0" borderId="1" xfId="57" applyFont="1" applyFill="1" applyBorder="1" applyAlignment="1">
      <alignment vertical="center" wrapText="1"/>
    </xf>
    <xf numFmtId="203" fontId="1" fillId="0" borderId="0" xfId="0" applyNumberFormat="1" applyFont="1" applyAlignment="1"/>
    <xf numFmtId="0" fontId="54" fillId="0" borderId="0" xfId="0" applyFont="1">
      <alignment vertical="center"/>
    </xf>
    <xf numFmtId="0" fontId="62" fillId="0" borderId="0" xfId="0" applyFont="1">
      <alignment vertical="center"/>
    </xf>
    <xf numFmtId="0" fontId="127" fillId="0" borderId="0" xfId="0" applyFont="1" applyAlignment="1">
      <alignment horizontal="center" vertical="center" wrapText="1"/>
    </xf>
    <xf numFmtId="0" fontId="127" fillId="0" borderId="0" xfId="0" applyFont="1">
      <alignment vertical="center"/>
    </xf>
    <xf numFmtId="0" fontId="127" fillId="3" borderId="0" xfId="0" applyFont="1" applyFill="1">
      <alignment vertical="center"/>
    </xf>
    <xf numFmtId="0" fontId="128" fillId="0" borderId="0" xfId="0" applyFont="1">
      <alignment vertical="center"/>
    </xf>
    <xf numFmtId="0" fontId="128" fillId="3" borderId="0" xfId="0" applyFont="1" applyFill="1">
      <alignment vertical="center"/>
    </xf>
    <xf numFmtId="205" fontId="58" fillId="0" borderId="0" xfId="1" applyNumberFormat="1" applyFont="1" applyAlignment="1">
      <alignment horizontal="center" vertical="center"/>
    </xf>
    <xf numFmtId="178" fontId="46" fillId="0" borderId="0" xfId="1" applyFont="1" applyFill="1">
      <alignment vertical="center"/>
    </xf>
    <xf numFmtId="178" fontId="46" fillId="0" borderId="0" xfId="1" applyFont="1">
      <alignment vertical="center"/>
    </xf>
    <xf numFmtId="201" fontId="46" fillId="0" borderId="0" xfId="1" applyNumberFormat="1" applyFont="1">
      <alignment vertical="center"/>
    </xf>
    <xf numFmtId="9" fontId="46" fillId="0" borderId="0" xfId="2" applyFont="1">
      <alignment vertical="center"/>
    </xf>
    <xf numFmtId="189" fontId="46" fillId="0" borderId="0" xfId="1" applyNumberFormat="1" applyFont="1">
      <alignment vertical="center"/>
    </xf>
    <xf numFmtId="178" fontId="130" fillId="0" borderId="0" xfId="1" applyFont="1" applyFill="1" applyAlignment="1">
      <alignment horizontal="center" vertical="center" wrapText="1"/>
    </xf>
    <xf numFmtId="178" fontId="54" fillId="0" borderId="0" xfId="1" applyFont="1" applyAlignment="1">
      <alignment vertical="center"/>
    </xf>
    <xf numFmtId="178" fontId="62" fillId="0" borderId="0" xfId="1" applyFont="1" applyFill="1" applyAlignment="1">
      <alignment vertical="center" wrapText="1"/>
    </xf>
    <xf numFmtId="0" fontId="62" fillId="0" borderId="0" xfId="0" applyFont="1" applyAlignment="1">
      <alignment vertical="center" wrapText="1"/>
    </xf>
    <xf numFmtId="179" fontId="62" fillId="0" borderId="0" xfId="3" applyFont="1" applyFill="1" applyBorder="1" applyAlignment="1">
      <alignment horizontal="center" vertical="center" wrapText="1"/>
    </xf>
    <xf numFmtId="9" fontId="62" fillId="0" borderId="0" xfId="2" applyFont="1" applyFill="1" applyBorder="1" applyAlignment="1">
      <alignment horizontal="center" vertical="center" wrapText="1"/>
    </xf>
    <xf numFmtId="198" fontId="62" fillId="0" borderId="0" xfId="1" applyNumberFormat="1" applyFont="1" applyFill="1" applyBorder="1" applyAlignment="1">
      <alignment horizontal="center" vertical="center" wrapText="1"/>
    </xf>
    <xf numFmtId="189" fontId="62" fillId="0" borderId="0" xfId="1" applyNumberFormat="1" applyFont="1" applyFill="1" applyAlignment="1">
      <alignment vertical="center" wrapText="1"/>
    </xf>
    <xf numFmtId="178" fontId="62" fillId="0" borderId="82" xfId="1" applyFont="1" applyFill="1" applyBorder="1" applyAlignment="1">
      <alignment horizontal="center" vertical="center" wrapText="1"/>
    </xf>
    <xf numFmtId="0" fontId="62" fillId="0" borderId="0" xfId="0" applyFont="1" applyAlignment="1">
      <alignment horizontal="center" vertical="center" wrapText="1"/>
    </xf>
    <xf numFmtId="178" fontId="131" fillId="0" borderId="0" xfId="1" applyFont="1">
      <alignment vertical="center"/>
    </xf>
    <xf numFmtId="205" fontId="128" fillId="0" borderId="9" xfId="1" applyNumberFormat="1" applyFont="1" applyBorder="1" applyAlignment="1">
      <alignment horizontal="center" vertical="center" wrapText="1"/>
    </xf>
    <xf numFmtId="0" fontId="132" fillId="0" borderId="10" xfId="0" applyFont="1" applyBorder="1" applyAlignment="1">
      <alignment horizontal="center" vertical="center" wrapText="1"/>
    </xf>
    <xf numFmtId="178" fontId="132" fillId="0" borderId="10" xfId="1" applyFont="1" applyFill="1" applyBorder="1" applyAlignment="1">
      <alignment horizontal="center" vertical="center" wrapText="1"/>
    </xf>
    <xf numFmtId="178" fontId="131" fillId="0" borderId="10" xfId="1" applyFont="1" applyBorder="1" applyAlignment="1">
      <alignment horizontal="center" vertical="center" wrapText="1"/>
    </xf>
    <xf numFmtId="201" fontId="131" fillId="0" borderId="10" xfId="1" applyNumberFormat="1" applyFont="1" applyBorder="1" applyAlignment="1">
      <alignment horizontal="center" vertical="center" wrapText="1"/>
    </xf>
    <xf numFmtId="178" fontId="131" fillId="2" borderId="10" xfId="1" applyFont="1" applyFill="1" applyBorder="1" applyAlignment="1">
      <alignment horizontal="center" vertical="center" wrapText="1"/>
    </xf>
    <xf numFmtId="9" fontId="131" fillId="2" borderId="10" xfId="2" applyFont="1" applyFill="1" applyBorder="1" applyAlignment="1">
      <alignment horizontal="center" vertical="center" wrapText="1"/>
    </xf>
    <xf numFmtId="178" fontId="131" fillId="71" borderId="10" xfId="1" applyFont="1" applyFill="1" applyBorder="1" applyAlignment="1">
      <alignment horizontal="center" vertical="center" wrapText="1"/>
    </xf>
    <xf numFmtId="189" fontId="131" fillId="0" borderId="10" xfId="1" applyNumberFormat="1" applyFont="1" applyBorder="1" applyAlignment="1">
      <alignment horizontal="center" vertical="center" wrapText="1"/>
    </xf>
    <xf numFmtId="178" fontId="131" fillId="0" borderId="11" xfId="1" applyFont="1" applyFill="1" applyBorder="1" applyAlignment="1">
      <alignment horizontal="center" vertical="center" wrapText="1"/>
    </xf>
    <xf numFmtId="178" fontId="131" fillId="0" borderId="0" xfId="1" applyFont="1" applyAlignment="1">
      <alignment horizontal="center" vertical="center" wrapText="1"/>
    </xf>
    <xf numFmtId="205" fontId="128" fillId="0" borderId="99" xfId="1" applyNumberFormat="1" applyFont="1" applyBorder="1" applyAlignment="1">
      <alignment horizontal="center" vertical="center"/>
    </xf>
    <xf numFmtId="0" fontId="132" fillId="0" borderId="91" xfId="0" applyFont="1" applyBorder="1" applyAlignment="1">
      <alignment vertical="center" wrapText="1"/>
    </xf>
    <xf numFmtId="0" fontId="5" fillId="0" borderId="13" xfId="0" applyFont="1" applyBorder="1" applyAlignment="1">
      <alignment vertical="center" wrapText="1"/>
    </xf>
    <xf numFmtId="178" fontId="62" fillId="0" borderId="13" xfId="1" applyFont="1" applyFill="1" applyBorder="1" applyAlignment="1">
      <alignment vertical="center" wrapText="1"/>
    </xf>
    <xf numFmtId="178" fontId="127" fillId="0" borderId="13" xfId="1" applyFont="1" applyBorder="1">
      <alignment vertical="center"/>
    </xf>
    <xf numFmtId="178" fontId="127" fillId="16" borderId="13" xfId="1" applyFont="1" applyFill="1" applyBorder="1">
      <alignment vertical="center"/>
    </xf>
    <xf numFmtId="201" fontId="127" fillId="0" borderId="13" xfId="1" applyNumberFormat="1" applyFont="1" applyBorder="1">
      <alignment vertical="center"/>
    </xf>
    <xf numFmtId="178" fontId="127" fillId="29" borderId="13" xfId="1" applyFont="1" applyFill="1" applyBorder="1">
      <alignment vertical="center"/>
    </xf>
    <xf numFmtId="178" fontId="127" fillId="2" borderId="13" xfId="1" applyFont="1" applyFill="1" applyBorder="1">
      <alignment vertical="center"/>
    </xf>
    <xf numFmtId="178" fontId="127" fillId="0" borderId="13" xfId="1" applyFont="1" applyFill="1" applyBorder="1">
      <alignment vertical="center"/>
    </xf>
    <xf numFmtId="189" fontId="127" fillId="0" borderId="13" xfId="1" applyNumberFormat="1" applyFont="1" applyBorder="1">
      <alignment vertical="center"/>
    </xf>
    <xf numFmtId="178" fontId="127" fillId="0" borderId="14" xfId="1" applyFont="1" applyFill="1" applyBorder="1">
      <alignment vertical="center"/>
    </xf>
    <xf numFmtId="178" fontId="127" fillId="0" borderId="0" xfId="1" applyFont="1" applyAlignment="1">
      <alignment vertical="center" wrapText="1"/>
    </xf>
    <xf numFmtId="178" fontId="127" fillId="0" borderId="0" xfId="1" applyFont="1">
      <alignment vertical="center"/>
    </xf>
    <xf numFmtId="194" fontId="127" fillId="0" borderId="13" xfId="1" applyNumberFormat="1" applyFont="1" applyBorder="1">
      <alignment vertical="center"/>
    </xf>
    <xf numFmtId="205" fontId="128" fillId="0" borderId="100" xfId="1" applyNumberFormat="1" applyFont="1" applyBorder="1" applyAlignment="1">
      <alignment horizontal="center" vertical="center"/>
    </xf>
    <xf numFmtId="0" fontId="132" fillId="0" borderId="50" xfId="0" applyFont="1" applyBorder="1" applyAlignment="1">
      <alignment horizontal="center" vertical="center" wrapText="1"/>
    </xf>
    <xf numFmtId="0" fontId="62" fillId="0" borderId="13" xfId="0" applyFont="1" applyBorder="1" applyAlignment="1">
      <alignment vertical="center" wrapText="1"/>
    </xf>
    <xf numFmtId="205" fontId="128" fillId="0" borderId="12" xfId="1" applyNumberFormat="1" applyFont="1" applyBorder="1" applyAlignment="1">
      <alignment horizontal="center" vertical="center"/>
    </xf>
    <xf numFmtId="201" fontId="127" fillId="0" borderId="13" xfId="1" applyNumberFormat="1" applyFont="1" applyFill="1" applyBorder="1">
      <alignment vertical="center"/>
    </xf>
    <xf numFmtId="0" fontId="62" fillId="3" borderId="13" xfId="0" applyFont="1" applyFill="1" applyBorder="1" applyAlignment="1">
      <alignment vertical="center" wrapText="1"/>
    </xf>
    <xf numFmtId="178" fontId="62" fillId="3" borderId="13" xfId="1" applyFont="1" applyFill="1" applyBorder="1" applyAlignment="1">
      <alignment vertical="center" wrapText="1"/>
    </xf>
    <xf numFmtId="178" fontId="127" fillId="3" borderId="13" xfId="1" applyFont="1" applyFill="1" applyBorder="1">
      <alignment vertical="center"/>
    </xf>
    <xf numFmtId="201" fontId="127" fillId="3" borderId="13" xfId="1" applyNumberFormat="1" applyFont="1" applyFill="1" applyBorder="1">
      <alignment vertical="center"/>
    </xf>
    <xf numFmtId="10" fontId="127" fillId="3" borderId="13" xfId="1" applyNumberFormat="1" applyFont="1" applyFill="1" applyBorder="1">
      <alignment vertical="center"/>
    </xf>
    <xf numFmtId="9" fontId="127" fillId="3" borderId="13" xfId="2" applyFont="1" applyFill="1" applyBorder="1">
      <alignment vertical="center"/>
    </xf>
    <xf numFmtId="189" fontId="127" fillId="3" borderId="13" xfId="1" applyNumberFormat="1" applyFont="1" applyFill="1" applyBorder="1">
      <alignment vertical="center"/>
    </xf>
    <xf numFmtId="178" fontId="127" fillId="3" borderId="14" xfId="1" applyFont="1" applyFill="1" applyBorder="1">
      <alignment vertical="center"/>
    </xf>
    <xf numFmtId="178" fontId="127" fillId="3" borderId="0" xfId="1" applyFont="1" applyFill="1">
      <alignment vertical="center"/>
    </xf>
    <xf numFmtId="178" fontId="131" fillId="3" borderId="0" xfId="1" applyFont="1" applyFill="1">
      <alignment vertical="center"/>
    </xf>
    <xf numFmtId="0" fontId="132" fillId="0" borderId="89" xfId="0" applyFont="1" applyBorder="1" applyAlignment="1">
      <alignment vertical="center" wrapText="1"/>
    </xf>
    <xf numFmtId="0" fontId="62" fillId="67" borderId="13" xfId="0" applyFont="1" applyFill="1" applyBorder="1" applyAlignment="1">
      <alignment vertical="center" wrapText="1"/>
    </xf>
    <xf numFmtId="178" fontId="62" fillId="67" borderId="13" xfId="1" applyFont="1" applyFill="1" applyBorder="1" applyAlignment="1">
      <alignment vertical="center" wrapText="1"/>
    </xf>
    <xf numFmtId="178" fontId="127" fillId="67" borderId="13" xfId="1" applyFont="1" applyFill="1" applyBorder="1">
      <alignment vertical="center"/>
    </xf>
    <xf numFmtId="201" fontId="127" fillId="67" borderId="13" xfId="1" applyNumberFormat="1" applyFont="1" applyFill="1" applyBorder="1">
      <alignment vertical="center"/>
    </xf>
    <xf numFmtId="189" fontId="127" fillId="67" borderId="13" xfId="1" applyNumberFormat="1" applyFont="1" applyFill="1" applyBorder="1">
      <alignment vertical="center"/>
    </xf>
    <xf numFmtId="0" fontId="132" fillId="0" borderId="13" xfId="0" applyFont="1" applyBorder="1" applyAlignment="1">
      <alignment horizontal="center" vertical="center" wrapText="1"/>
    </xf>
    <xf numFmtId="206" fontId="127" fillId="3" borderId="13" xfId="2" applyNumberFormat="1" applyFont="1" applyFill="1" applyBorder="1">
      <alignment vertical="center"/>
    </xf>
    <xf numFmtId="0" fontId="28" fillId="0" borderId="13" xfId="0" applyFont="1" applyBorder="1" applyAlignment="1">
      <alignment vertical="center" wrapText="1"/>
    </xf>
    <xf numFmtId="10" fontId="127" fillId="67" borderId="13" xfId="2" applyNumberFormat="1" applyFont="1" applyFill="1" applyBorder="1">
      <alignment vertical="center"/>
    </xf>
    <xf numFmtId="178" fontId="62" fillId="0" borderId="13" xfId="1" applyFont="1" applyBorder="1">
      <alignment vertical="center"/>
    </xf>
    <xf numFmtId="9" fontId="127" fillId="0" borderId="13" xfId="2" applyFont="1" applyBorder="1">
      <alignment vertical="center"/>
    </xf>
    <xf numFmtId="178" fontId="127" fillId="0" borderId="0" xfId="1" applyFont="1" applyAlignment="1">
      <alignment vertical="center"/>
    </xf>
    <xf numFmtId="189" fontId="127" fillId="0" borderId="13" xfId="2" applyNumberFormat="1" applyFont="1" applyBorder="1" applyAlignment="1">
      <alignment horizontal="center" vertical="center"/>
    </xf>
    <xf numFmtId="0" fontId="5" fillId="18" borderId="13" xfId="0" applyFont="1" applyFill="1" applyBorder="1" applyAlignment="1">
      <alignment vertical="center" wrapText="1"/>
    </xf>
    <xf numFmtId="185" fontId="127" fillId="0" borderId="13" xfId="2" applyNumberFormat="1" applyFont="1" applyBorder="1">
      <alignment vertical="center"/>
    </xf>
    <xf numFmtId="178" fontId="127" fillId="22" borderId="14" xfId="1" applyFont="1" applyFill="1" applyBorder="1">
      <alignment vertical="center"/>
    </xf>
    <xf numFmtId="205" fontId="128" fillId="3" borderId="12" xfId="1" applyNumberFormat="1" applyFont="1" applyFill="1" applyBorder="1" applyAlignment="1">
      <alignment horizontal="center" vertical="center"/>
    </xf>
    <xf numFmtId="178" fontId="62" fillId="3" borderId="13" xfId="0" applyNumberFormat="1" applyFont="1" applyFill="1" applyBorder="1" applyAlignment="1">
      <alignment vertical="center" wrapText="1"/>
    </xf>
    <xf numFmtId="180" fontId="62" fillId="3" borderId="13" xfId="0" applyNumberFormat="1" applyFont="1" applyFill="1" applyBorder="1" applyAlignment="1">
      <alignment vertical="center" wrapText="1"/>
    </xf>
    <xf numFmtId="207" fontId="127" fillId="3" borderId="13" xfId="1" applyNumberFormat="1" applyFont="1" applyFill="1" applyBorder="1">
      <alignment vertical="center"/>
    </xf>
    <xf numFmtId="207" fontId="127" fillId="0" borderId="13" xfId="1" applyNumberFormat="1" applyFont="1" applyBorder="1">
      <alignment vertical="center"/>
    </xf>
    <xf numFmtId="178" fontId="62" fillId="0" borderId="13" xfId="1" applyFont="1" applyFill="1" applyBorder="1">
      <alignment vertical="center"/>
    </xf>
    <xf numFmtId="208" fontId="127" fillId="67" borderId="13" xfId="1" applyNumberFormat="1" applyFont="1" applyFill="1" applyBorder="1">
      <alignment vertical="center"/>
    </xf>
    <xf numFmtId="0" fontId="128" fillId="0" borderId="13" xfId="0" applyFont="1" applyBorder="1" applyAlignment="1">
      <alignment vertical="center" wrapText="1"/>
    </xf>
    <xf numFmtId="178" fontId="128" fillId="0" borderId="13" xfId="1" applyFont="1" applyFill="1" applyBorder="1" applyAlignment="1">
      <alignment vertical="center" wrapText="1"/>
    </xf>
    <xf numFmtId="178" fontId="128" fillId="0" borderId="13" xfId="1" applyFont="1" applyBorder="1">
      <alignment vertical="center"/>
    </xf>
    <xf numFmtId="201" fontId="128" fillId="0" borderId="13" xfId="1" applyNumberFormat="1" applyFont="1" applyBorder="1">
      <alignment vertical="center"/>
    </xf>
    <xf numFmtId="178" fontId="128" fillId="3" borderId="13" xfId="0" applyNumberFormat="1" applyFont="1" applyFill="1" applyBorder="1" applyAlignment="1">
      <alignment vertical="center" wrapText="1"/>
    </xf>
    <xf numFmtId="209" fontId="128" fillId="0" borderId="13" xfId="1" applyNumberFormat="1" applyFont="1" applyBorder="1">
      <alignment vertical="center"/>
    </xf>
    <xf numFmtId="210" fontId="128" fillId="0" borderId="13" xfId="1" applyNumberFormat="1" applyFont="1" applyBorder="1">
      <alignment vertical="center"/>
    </xf>
    <xf numFmtId="178" fontId="128" fillId="3" borderId="13" xfId="1" applyFont="1" applyFill="1" applyBorder="1">
      <alignment vertical="center"/>
    </xf>
    <xf numFmtId="9" fontId="62" fillId="3" borderId="13" xfId="2" applyFont="1" applyFill="1" applyBorder="1">
      <alignment vertical="center"/>
    </xf>
    <xf numFmtId="189" fontId="128" fillId="0" borderId="13" xfId="1" applyNumberFormat="1" applyFont="1" applyBorder="1">
      <alignment vertical="center"/>
    </xf>
    <xf numFmtId="178" fontId="128" fillId="0" borderId="0" xfId="1" applyFont="1">
      <alignment vertical="center"/>
    </xf>
    <xf numFmtId="178" fontId="133" fillId="0" borderId="0" xfId="1" applyFont="1">
      <alignment vertical="center"/>
    </xf>
    <xf numFmtId="0" fontId="128" fillId="3" borderId="13" xfId="0" applyFont="1" applyFill="1" applyBorder="1" applyAlignment="1">
      <alignment vertical="center" wrapText="1"/>
    </xf>
    <xf numFmtId="178" fontId="128" fillId="3" borderId="13" xfId="1" applyFont="1" applyFill="1" applyBorder="1" applyAlignment="1">
      <alignment vertical="center" wrapText="1"/>
    </xf>
    <xf numFmtId="201" fontId="128" fillId="3" borderId="13" xfId="1" applyNumberFormat="1" applyFont="1" applyFill="1" applyBorder="1">
      <alignment vertical="center"/>
    </xf>
    <xf numFmtId="209" fontId="128" fillId="3" borderId="13" xfId="1" applyNumberFormat="1" applyFont="1" applyFill="1" applyBorder="1">
      <alignment vertical="center"/>
    </xf>
    <xf numFmtId="210" fontId="128" fillId="3" borderId="13" xfId="1" applyNumberFormat="1" applyFont="1" applyFill="1" applyBorder="1">
      <alignment vertical="center"/>
    </xf>
    <xf numFmtId="189" fontId="128" fillId="3" borderId="13" xfId="1" applyNumberFormat="1" applyFont="1" applyFill="1" applyBorder="1">
      <alignment vertical="center"/>
    </xf>
    <xf numFmtId="178" fontId="128" fillId="3" borderId="0" xfId="1" applyFont="1" applyFill="1">
      <alignment vertical="center"/>
    </xf>
    <xf numFmtId="178" fontId="133" fillId="3" borderId="0" xfId="1" applyFont="1" applyFill="1">
      <alignment vertical="center"/>
    </xf>
    <xf numFmtId="209" fontId="127" fillId="0" borderId="13" xfId="1" applyNumberFormat="1" applyFont="1" applyBorder="1">
      <alignment vertical="center"/>
    </xf>
    <xf numFmtId="209" fontId="127" fillId="3" borderId="13" xfId="1" applyNumberFormat="1" applyFont="1" applyFill="1" applyBorder="1">
      <alignment vertical="center"/>
    </xf>
    <xf numFmtId="178" fontId="127" fillId="0" borderId="0" xfId="1" applyFont="1" applyFill="1">
      <alignment vertical="center"/>
    </xf>
    <xf numFmtId="178" fontId="131" fillId="0" borderId="0" xfId="1" applyFont="1" applyFill="1">
      <alignment vertical="center"/>
    </xf>
    <xf numFmtId="209" fontId="127" fillId="67" borderId="13" xfId="1" applyNumberFormat="1" applyFont="1" applyFill="1" applyBorder="1">
      <alignment vertical="center"/>
    </xf>
    <xf numFmtId="189" fontId="128" fillId="0" borderId="101" xfId="0" applyNumberFormat="1" applyFont="1" applyBorder="1">
      <alignment vertical="center"/>
    </xf>
    <xf numFmtId="189" fontId="128" fillId="0" borderId="92" xfId="0" applyNumberFormat="1" applyFont="1" applyBorder="1">
      <alignment vertical="center"/>
    </xf>
    <xf numFmtId="0" fontId="128" fillId="2" borderId="13" xfId="0" applyFont="1" applyFill="1" applyBorder="1" applyAlignment="1">
      <alignment vertical="center" wrapText="1"/>
    </xf>
    <xf numFmtId="178" fontId="128" fillId="2" borderId="13" xfId="1" applyFont="1" applyFill="1" applyBorder="1">
      <alignment vertical="center"/>
    </xf>
    <xf numFmtId="205" fontId="128" fillId="0" borderId="100" xfId="1" applyNumberFormat="1" applyFont="1" applyFill="1" applyBorder="1" applyAlignment="1">
      <alignment horizontal="center" vertical="center"/>
    </xf>
    <xf numFmtId="0" fontId="62" fillId="0" borderId="50" xfId="0" applyFont="1" applyBorder="1" applyAlignment="1">
      <alignment vertical="center" wrapText="1"/>
    </xf>
    <xf numFmtId="178" fontId="62" fillId="0" borderId="50" xfId="1" applyFont="1" applyFill="1" applyBorder="1" applyAlignment="1">
      <alignment vertical="center" wrapText="1"/>
    </xf>
    <xf numFmtId="178" fontId="127" fillId="0" borderId="50" xfId="1" applyFont="1" applyFill="1" applyBorder="1">
      <alignment vertical="center"/>
    </xf>
    <xf numFmtId="201" fontId="127" fillId="0" borderId="50" xfId="1" applyNumberFormat="1" applyFont="1" applyFill="1" applyBorder="1">
      <alignment vertical="center"/>
    </xf>
    <xf numFmtId="178" fontId="127" fillId="77" borderId="50" xfId="1" applyFont="1" applyFill="1" applyBorder="1">
      <alignment vertical="center"/>
    </xf>
    <xf numFmtId="209" fontId="127" fillId="3" borderId="50" xfId="1" applyNumberFormat="1" applyFont="1" applyFill="1" applyBorder="1">
      <alignment vertical="center"/>
    </xf>
    <xf numFmtId="178" fontId="127" fillId="2" borderId="50" xfId="1" applyFont="1" applyFill="1" applyBorder="1">
      <alignment vertical="center"/>
    </xf>
    <xf numFmtId="9" fontId="127" fillId="0" borderId="50" xfId="1" applyNumberFormat="1" applyFont="1" applyFill="1" applyBorder="1">
      <alignment vertical="center"/>
    </xf>
    <xf numFmtId="194" fontId="127" fillId="0" borderId="50" xfId="1" applyNumberFormat="1" applyFont="1" applyFill="1" applyBorder="1">
      <alignment vertical="center"/>
    </xf>
    <xf numFmtId="189" fontId="127" fillId="0" borderId="50" xfId="1" applyNumberFormat="1" applyFont="1" applyFill="1" applyBorder="1">
      <alignment vertical="center"/>
    </xf>
    <xf numFmtId="205" fontId="128" fillId="0" borderId="15" xfId="1" applyNumberFormat="1" applyFont="1" applyBorder="1" applyAlignment="1">
      <alignment horizontal="center" vertical="center"/>
    </xf>
    <xf numFmtId="0" fontId="127" fillId="0" borderId="16" xfId="0" applyFont="1" applyBorder="1">
      <alignment vertical="center"/>
    </xf>
    <xf numFmtId="178" fontId="127" fillId="0" borderId="16" xfId="1" applyFont="1" applyBorder="1">
      <alignment vertical="center"/>
    </xf>
    <xf numFmtId="205" fontId="128" fillId="0" borderId="0" xfId="1" applyNumberFormat="1" applyFont="1" applyAlignment="1">
      <alignment horizontal="center" vertical="center"/>
    </xf>
    <xf numFmtId="201" fontId="131" fillId="0" borderId="0" xfId="1" applyNumberFormat="1" applyFont="1">
      <alignment vertical="center"/>
    </xf>
    <xf numFmtId="9" fontId="131" fillId="0" borderId="0" xfId="2" applyFont="1">
      <alignment vertical="center"/>
    </xf>
    <xf numFmtId="211" fontId="131" fillId="0" borderId="0" xfId="1" applyNumberFormat="1" applyFont="1">
      <alignment vertical="center"/>
    </xf>
    <xf numFmtId="189" fontId="131" fillId="0" borderId="0" xfId="1" applyNumberFormat="1" applyFont="1">
      <alignment vertical="center"/>
    </xf>
    <xf numFmtId="205" fontId="128" fillId="0" borderId="0" xfId="1" applyNumberFormat="1" applyFont="1" applyFill="1" applyAlignment="1">
      <alignment horizontal="center" vertical="center"/>
    </xf>
    <xf numFmtId="0" fontId="131" fillId="0" borderId="0" xfId="0" applyFont="1" applyAlignment="1">
      <alignment horizontal="center" vertical="center"/>
    </xf>
    <xf numFmtId="0" fontId="131" fillId="0" borderId="0" xfId="0" applyFont="1" applyAlignment="1">
      <alignment horizontal="center" vertical="center" wrapText="1"/>
    </xf>
    <xf numFmtId="0" fontId="134" fillId="3" borderId="0" xfId="0" applyFont="1" applyFill="1">
      <alignment vertical="center"/>
    </xf>
    <xf numFmtId="0" fontId="54" fillId="3" borderId="0" xfId="0" applyFont="1" applyFill="1">
      <alignment vertical="center"/>
    </xf>
    <xf numFmtId="0" fontId="134" fillId="0" borderId="0" xfId="0" applyFont="1">
      <alignment vertical="center"/>
    </xf>
    <xf numFmtId="178" fontId="10" fillId="0" borderId="0" xfId="1" applyFont="1">
      <alignment vertical="center"/>
    </xf>
    <xf numFmtId="178" fontId="134" fillId="0" borderId="0" xfId="1" applyFont="1">
      <alignment vertical="center"/>
    </xf>
    <xf numFmtId="0" fontId="135" fillId="18" borderId="0" xfId="46" applyFont="1" applyFill="1" applyAlignment="1">
      <alignment horizontal="center" vertical="center"/>
    </xf>
    <xf numFmtId="178" fontId="10" fillId="3" borderId="0" xfId="1" applyFont="1" applyFill="1">
      <alignment vertical="center"/>
    </xf>
    <xf numFmtId="0" fontId="131" fillId="0" borderId="103" xfId="0" applyFont="1" applyBorder="1" applyAlignment="1">
      <alignment horizontal="center" vertical="center"/>
    </xf>
    <xf numFmtId="0" fontId="131" fillId="0" borderId="45" xfId="0" applyFont="1" applyBorder="1" applyAlignment="1">
      <alignment horizontal="center" vertical="center"/>
    </xf>
    <xf numFmtId="0" fontId="136" fillId="0" borderId="45" xfId="0" applyFont="1" applyBorder="1" applyAlignment="1">
      <alignment horizontal="center" vertical="center"/>
    </xf>
    <xf numFmtId="178" fontId="136" fillId="0" borderId="45" xfId="1" applyFont="1" applyFill="1" applyBorder="1" applyAlignment="1">
      <alignment horizontal="center" vertical="center"/>
    </xf>
    <xf numFmtId="0" fontId="136" fillId="0" borderId="46" xfId="0" applyFont="1" applyBorder="1" applyAlignment="1">
      <alignment horizontal="center" vertical="center"/>
    </xf>
    <xf numFmtId="0" fontId="131" fillId="0" borderId="104" xfId="0" applyFont="1" applyBorder="1" applyAlignment="1">
      <alignment horizontal="center" vertical="center"/>
    </xf>
    <xf numFmtId="178" fontId="131" fillId="0" borderId="0" xfId="1" applyFont="1" applyAlignment="1">
      <alignment horizontal="center" vertical="center"/>
    </xf>
    <xf numFmtId="0" fontId="132" fillId="58" borderId="89" xfId="0" applyFont="1" applyFill="1" applyBorder="1" applyAlignment="1">
      <alignment horizontal="center" vertical="center"/>
    </xf>
    <xf numFmtId="0" fontId="132" fillId="58" borderId="13" xfId="0" applyFont="1" applyFill="1" applyBorder="1" applyAlignment="1">
      <alignment horizontal="center" vertical="center" wrapText="1"/>
    </xf>
    <xf numFmtId="0" fontId="132" fillId="58" borderId="63" xfId="0" applyFont="1" applyFill="1" applyBorder="1" applyAlignment="1">
      <alignment horizontal="center" vertical="center" wrapText="1"/>
    </xf>
    <xf numFmtId="0" fontId="131" fillId="2" borderId="47" xfId="0" applyFont="1" applyFill="1" applyBorder="1" applyAlignment="1">
      <alignment horizontal="center" vertical="center" wrapText="1"/>
    </xf>
    <xf numFmtId="0" fontId="131" fillId="2" borderId="93" xfId="0" applyFont="1" applyFill="1" applyBorder="1" applyAlignment="1">
      <alignment horizontal="center" vertical="center" wrapText="1"/>
    </xf>
    <xf numFmtId="0" fontId="136" fillId="2" borderId="93" xfId="0" applyFont="1" applyFill="1" applyBorder="1" applyAlignment="1">
      <alignment horizontal="center" vertical="center" wrapText="1"/>
    </xf>
    <xf numFmtId="0" fontId="131" fillId="28" borderId="13" xfId="0" applyFont="1" applyFill="1" applyBorder="1" applyAlignment="1">
      <alignment horizontal="center" vertical="center" wrapText="1"/>
    </xf>
    <xf numFmtId="0" fontId="136" fillId="28" borderId="13" xfId="0" applyFont="1" applyFill="1" applyBorder="1" applyAlignment="1">
      <alignment horizontal="center" vertical="center" wrapText="1"/>
    </xf>
    <xf numFmtId="0" fontId="133" fillId="14" borderId="13" xfId="0" applyFont="1" applyFill="1" applyBorder="1" applyAlignment="1">
      <alignment horizontal="center" vertical="center" wrapText="1"/>
    </xf>
    <xf numFmtId="0" fontId="131" fillId="5" borderId="13" xfId="0" applyFont="1" applyFill="1" applyBorder="1" applyAlignment="1">
      <alignment horizontal="center" vertical="center" wrapText="1"/>
    </xf>
    <xf numFmtId="0" fontId="136" fillId="5" borderId="13" xfId="0" applyFont="1" applyFill="1" applyBorder="1" applyAlignment="1">
      <alignment horizontal="center" vertical="center" wrapText="1"/>
    </xf>
    <xf numFmtId="0" fontId="131" fillId="17" borderId="13" xfId="0" applyFont="1" applyFill="1" applyBorder="1" applyAlignment="1">
      <alignment horizontal="center" vertical="center" wrapText="1"/>
    </xf>
    <xf numFmtId="178" fontId="131" fillId="17" borderId="13" xfId="1" applyFont="1" applyFill="1" applyBorder="1" applyAlignment="1">
      <alignment horizontal="center" vertical="center" wrapText="1"/>
    </xf>
    <xf numFmtId="0" fontId="136" fillId="17" borderId="13" xfId="0" applyFont="1" applyFill="1" applyBorder="1" applyAlignment="1">
      <alignment horizontal="center" vertical="center" wrapText="1"/>
    </xf>
    <xf numFmtId="0" fontId="131" fillId="24" borderId="13" xfId="0" applyFont="1" applyFill="1" applyBorder="1" applyAlignment="1">
      <alignment horizontal="center" vertical="center" wrapText="1"/>
    </xf>
    <xf numFmtId="0" fontId="136" fillId="24" borderId="13" xfId="0" applyFont="1" applyFill="1" applyBorder="1" applyAlignment="1">
      <alignment horizontal="center" vertical="center" wrapText="1"/>
    </xf>
    <xf numFmtId="0" fontId="131" fillId="78" borderId="13" xfId="0" applyFont="1" applyFill="1" applyBorder="1" applyAlignment="1">
      <alignment horizontal="center" vertical="center" wrapText="1"/>
    </xf>
    <xf numFmtId="0" fontId="137" fillId="78" borderId="13" xfId="0" applyFont="1" applyFill="1" applyBorder="1" applyAlignment="1">
      <alignment horizontal="center" vertical="center" wrapText="1"/>
    </xf>
    <xf numFmtId="0" fontId="136" fillId="78" borderId="13" xfId="0" applyFont="1" applyFill="1" applyBorder="1" applyAlignment="1">
      <alignment horizontal="center" vertical="center" wrapText="1"/>
    </xf>
    <xf numFmtId="0" fontId="131" fillId="26" borderId="13" xfId="0" applyFont="1" applyFill="1" applyBorder="1" applyAlignment="1">
      <alignment horizontal="center" vertical="center" wrapText="1"/>
    </xf>
    <xf numFmtId="0" fontId="136" fillId="26" borderId="13" xfId="0" applyFont="1" applyFill="1" applyBorder="1" applyAlignment="1">
      <alignment horizontal="center" vertical="center" wrapText="1"/>
    </xf>
    <xf numFmtId="0" fontId="131" fillId="51" borderId="13" xfId="0" applyFont="1" applyFill="1" applyBorder="1" applyAlignment="1">
      <alignment horizontal="center" vertical="center" wrapText="1"/>
    </xf>
    <xf numFmtId="0" fontId="136" fillId="51" borderId="13" xfId="0" applyFont="1" applyFill="1" applyBorder="1" applyAlignment="1">
      <alignment horizontal="center" vertical="center" wrapText="1"/>
    </xf>
    <xf numFmtId="0" fontId="136" fillId="58" borderId="13" xfId="0" applyFont="1" applyFill="1" applyBorder="1" applyAlignment="1">
      <alignment horizontal="center" vertical="center" wrapText="1"/>
    </xf>
    <xf numFmtId="0" fontId="132" fillId="17" borderId="13" xfId="0" applyFont="1" applyFill="1" applyBorder="1" applyAlignment="1">
      <alignment horizontal="center" vertical="center" wrapText="1"/>
    </xf>
    <xf numFmtId="178" fontId="132" fillId="17" borderId="13" xfId="1" applyFont="1" applyFill="1" applyBorder="1" applyAlignment="1">
      <alignment horizontal="center" vertical="center" wrapText="1"/>
    </xf>
    <xf numFmtId="0" fontId="131" fillId="15" borderId="92" xfId="0" applyFont="1" applyFill="1" applyBorder="1" applyAlignment="1">
      <alignment horizontal="center" vertical="center" wrapText="1"/>
    </xf>
    <xf numFmtId="0" fontId="131" fillId="15" borderId="63" xfId="0" applyFont="1" applyFill="1" applyBorder="1" applyAlignment="1">
      <alignment horizontal="center" vertical="center" wrapText="1"/>
    </xf>
    <xf numFmtId="178" fontId="132" fillId="0" borderId="47" xfId="1" applyFont="1" applyFill="1" applyBorder="1" applyAlignment="1">
      <alignment horizontal="center" vertical="center" wrapText="1"/>
    </xf>
    <xf numFmtId="178" fontId="132" fillId="0" borderId="13" xfId="1" applyFont="1" applyFill="1" applyBorder="1" applyAlignment="1">
      <alignment horizontal="center" vertical="center" wrapText="1"/>
    </xf>
    <xf numFmtId="178" fontId="132" fillId="0" borderId="48" xfId="1" applyFont="1" applyFill="1" applyBorder="1" applyAlignment="1">
      <alignment horizontal="center" vertical="center" wrapText="1"/>
    </xf>
    <xf numFmtId="0" fontId="132" fillId="18" borderId="49" xfId="46" applyFont="1" applyFill="1" applyBorder="1" applyAlignment="1">
      <alignment horizontal="center" vertical="center" wrapText="1"/>
    </xf>
    <xf numFmtId="0" fontId="132" fillId="18" borderId="53" xfId="46" applyFont="1" applyFill="1" applyBorder="1" applyAlignment="1">
      <alignment horizontal="center" vertical="center" wrapText="1"/>
    </xf>
    <xf numFmtId="178" fontId="127" fillId="32" borderId="53" xfId="0" applyNumberFormat="1" applyFont="1" applyFill="1" applyBorder="1">
      <alignment vertical="center"/>
    </xf>
    <xf numFmtId="178" fontId="138" fillId="32" borderId="53" xfId="0" applyNumberFormat="1" applyFont="1" applyFill="1" applyBorder="1">
      <alignment vertical="center"/>
    </xf>
    <xf numFmtId="10" fontId="127" fillId="32" borderId="53" xfId="0" applyNumberFormat="1" applyFont="1" applyFill="1" applyBorder="1">
      <alignment vertical="center"/>
    </xf>
    <xf numFmtId="178" fontId="127" fillId="32" borderId="53" xfId="1" applyFont="1" applyFill="1" applyBorder="1">
      <alignment vertical="center"/>
    </xf>
    <xf numFmtId="178" fontId="127" fillId="32" borderId="115" xfId="0" applyNumberFormat="1" applyFont="1" applyFill="1" applyBorder="1">
      <alignment vertical="center"/>
    </xf>
    <xf numFmtId="201" fontId="127" fillId="32" borderId="53" xfId="0" applyNumberFormat="1" applyFont="1" applyFill="1" applyBorder="1">
      <alignment vertical="center"/>
    </xf>
    <xf numFmtId="178" fontId="127" fillId="32" borderId="54" xfId="0" applyNumberFormat="1" applyFont="1" applyFill="1" applyBorder="1">
      <alignment vertical="center"/>
    </xf>
    <xf numFmtId="178" fontId="127" fillId="0" borderId="116" xfId="0" applyNumberFormat="1" applyFont="1" applyBorder="1">
      <alignment vertical="center"/>
    </xf>
    <xf numFmtId="178" fontId="127" fillId="32" borderId="52" xfId="0" applyNumberFormat="1" applyFont="1" applyFill="1" applyBorder="1">
      <alignment vertical="center"/>
    </xf>
    <xf numFmtId="178" fontId="127" fillId="32" borderId="117" xfId="0" applyNumberFormat="1" applyFont="1" applyFill="1" applyBorder="1">
      <alignment vertical="center"/>
    </xf>
    <xf numFmtId="0" fontId="62" fillId="3" borderId="118" xfId="46" applyFont="1" applyFill="1" applyBorder="1" applyAlignment="1">
      <alignment horizontal="center" vertical="center"/>
    </xf>
    <xf numFmtId="201" fontId="127" fillId="3" borderId="89" xfId="1" applyNumberFormat="1" applyFont="1" applyFill="1" applyBorder="1">
      <alignment vertical="center"/>
    </xf>
    <xf numFmtId="201" fontId="62" fillId="3" borderId="89" xfId="1" applyNumberFormat="1" applyFont="1" applyFill="1" applyBorder="1">
      <alignment vertical="center"/>
    </xf>
    <xf numFmtId="178" fontId="127" fillId="3" borderId="89" xfId="1" applyFont="1" applyFill="1" applyBorder="1">
      <alignment vertical="center"/>
    </xf>
    <xf numFmtId="10" fontId="127" fillId="3" borderId="89" xfId="2" applyNumberFormat="1" applyFont="1" applyFill="1" applyBorder="1">
      <alignment vertical="center"/>
    </xf>
    <xf numFmtId="187" fontId="127" fillId="3" borderId="89" xfId="2" applyNumberFormat="1" applyFont="1" applyFill="1" applyBorder="1">
      <alignment vertical="center"/>
    </xf>
    <xf numFmtId="178" fontId="62" fillId="3" borderId="89" xfId="1" applyFont="1" applyFill="1" applyBorder="1">
      <alignment vertical="center"/>
    </xf>
    <xf numFmtId="178" fontId="138" fillId="3" borderId="89" xfId="1" applyFont="1" applyFill="1" applyBorder="1">
      <alignment vertical="center"/>
    </xf>
    <xf numFmtId="10" fontId="127" fillId="3" borderId="89" xfId="1" applyNumberFormat="1" applyFont="1" applyFill="1" applyBorder="1">
      <alignment vertical="center"/>
    </xf>
    <xf numFmtId="1" fontId="54" fillId="3" borderId="89" xfId="0" applyNumberFormat="1" applyFont="1" applyFill="1" applyBorder="1">
      <alignment vertical="center"/>
    </xf>
    <xf numFmtId="9" fontId="127" fillId="3" borderId="89" xfId="2" applyFont="1" applyFill="1" applyBorder="1">
      <alignment vertical="center"/>
    </xf>
    <xf numFmtId="178" fontId="13" fillId="3" borderId="89" xfId="1" applyFont="1" applyFill="1" applyBorder="1">
      <alignment vertical="center"/>
    </xf>
    <xf numFmtId="10" fontId="62" fillId="3" borderId="13" xfId="2" applyNumberFormat="1" applyFont="1" applyFill="1" applyBorder="1">
      <alignment vertical="center"/>
    </xf>
    <xf numFmtId="9" fontId="62" fillId="3" borderId="89" xfId="2" applyFont="1" applyFill="1" applyBorder="1">
      <alignment vertical="center"/>
    </xf>
    <xf numFmtId="178" fontId="138" fillId="3" borderId="119" xfId="1" applyFont="1" applyFill="1" applyBorder="1">
      <alignment vertical="center"/>
    </xf>
    <xf numFmtId="178" fontId="138" fillId="3" borderId="120" xfId="0" applyNumberFormat="1" applyFont="1" applyFill="1" applyBorder="1">
      <alignment vertical="center"/>
    </xf>
    <xf numFmtId="178" fontId="62" fillId="3" borderId="118" xfId="1" applyFont="1" applyFill="1" applyBorder="1">
      <alignment vertical="center"/>
    </xf>
    <xf numFmtId="178" fontId="62" fillId="3" borderId="119" xfId="1" applyFont="1" applyFill="1" applyBorder="1">
      <alignment vertical="center"/>
    </xf>
    <xf numFmtId="178" fontId="138" fillId="3" borderId="113" xfId="0" applyNumberFormat="1" applyFont="1" applyFill="1" applyBorder="1">
      <alignment vertical="center"/>
    </xf>
    <xf numFmtId="178" fontId="127" fillId="3" borderId="109" xfId="1" applyFont="1" applyFill="1" applyBorder="1">
      <alignment vertical="center"/>
    </xf>
    <xf numFmtId="178" fontId="127" fillId="3" borderId="113" xfId="1" applyFont="1" applyFill="1" applyBorder="1">
      <alignment vertical="center"/>
    </xf>
    <xf numFmtId="178" fontId="10" fillId="3" borderId="0" xfId="0" applyNumberFormat="1" applyFont="1" applyFill="1">
      <alignment vertical="center"/>
    </xf>
    <xf numFmtId="189" fontId="10" fillId="3" borderId="0" xfId="0" applyNumberFormat="1" applyFont="1" applyFill="1">
      <alignment vertical="center"/>
    </xf>
    <xf numFmtId="189" fontId="10" fillId="3" borderId="0" xfId="1" applyNumberFormat="1" applyFont="1" applyFill="1">
      <alignment vertical="center"/>
    </xf>
    <xf numFmtId="0" fontId="62" fillId="0" borderId="93" xfId="46" applyFont="1" applyBorder="1" applyAlignment="1">
      <alignment horizontal="center" vertical="center"/>
    </xf>
    <xf numFmtId="201" fontId="62" fillId="3" borderId="13" xfId="1" applyNumberFormat="1" applyFont="1" applyFill="1" applyBorder="1">
      <alignment vertical="center"/>
    </xf>
    <xf numFmtId="187" fontId="127" fillId="3" borderId="13" xfId="2" applyNumberFormat="1" applyFont="1" applyFill="1" applyBorder="1">
      <alignment vertical="center"/>
    </xf>
    <xf numFmtId="178" fontId="138" fillId="3" borderId="13" xfId="1" applyFont="1" applyFill="1" applyBorder="1">
      <alignment vertical="center"/>
    </xf>
    <xf numFmtId="178" fontId="127" fillId="0" borderId="89" xfId="1" applyFont="1" applyFill="1" applyBorder="1">
      <alignment vertical="center"/>
    </xf>
    <xf numFmtId="178" fontId="13" fillId="0" borderId="89" xfId="1" applyFont="1" applyFill="1" applyBorder="1">
      <alignment vertical="center"/>
    </xf>
    <xf numFmtId="9" fontId="138" fillId="3" borderId="13" xfId="2" applyFont="1" applyFill="1" applyBorder="1">
      <alignment vertical="center"/>
    </xf>
    <xf numFmtId="178" fontId="138" fillId="2" borderId="113" xfId="1" applyFont="1" applyFill="1" applyBorder="1">
      <alignment vertical="center"/>
    </xf>
    <xf numFmtId="178" fontId="134" fillId="3" borderId="0" xfId="1" applyFont="1" applyFill="1">
      <alignment vertical="center"/>
    </xf>
    <xf numFmtId="187" fontId="62" fillId="3" borderId="13" xfId="2" applyNumberFormat="1" applyFont="1" applyFill="1" applyBorder="1">
      <alignment vertical="center"/>
    </xf>
    <xf numFmtId="178" fontId="62" fillId="3" borderId="13" xfId="1" applyFont="1" applyFill="1" applyBorder="1">
      <alignment vertical="center"/>
    </xf>
    <xf numFmtId="10" fontId="62" fillId="3" borderId="13" xfId="1" applyNumberFormat="1" applyFont="1" applyFill="1" applyBorder="1">
      <alignment vertical="center"/>
    </xf>
    <xf numFmtId="10" fontId="62" fillId="3" borderId="119" xfId="1" applyNumberFormat="1" applyFont="1" applyFill="1" applyBorder="1">
      <alignment vertical="center"/>
    </xf>
    <xf numFmtId="189" fontId="54" fillId="3" borderId="0" xfId="0" applyNumberFormat="1" applyFont="1" applyFill="1">
      <alignment vertical="center"/>
    </xf>
    <xf numFmtId="0" fontId="62" fillId="3" borderId="93" xfId="46" applyFont="1" applyFill="1" applyBorder="1" applyAlignment="1">
      <alignment horizontal="center" vertical="center"/>
    </xf>
    <xf numFmtId="0" fontId="62" fillId="2" borderId="93" xfId="46" applyFont="1" applyFill="1" applyBorder="1" applyAlignment="1">
      <alignment horizontal="center" vertical="center"/>
    </xf>
    <xf numFmtId="0" fontId="138" fillId="3" borderId="93" xfId="46" applyFont="1" applyFill="1" applyBorder="1" applyAlignment="1">
      <alignment horizontal="center" vertical="center"/>
    </xf>
    <xf numFmtId="201" fontId="138" fillId="3" borderId="13" xfId="1" applyNumberFormat="1" applyFont="1" applyFill="1" applyBorder="1">
      <alignment vertical="center"/>
    </xf>
    <xf numFmtId="187" fontId="138" fillId="3" borderId="13" xfId="2" applyNumberFormat="1" applyFont="1" applyFill="1" applyBorder="1">
      <alignment vertical="center"/>
    </xf>
    <xf numFmtId="10" fontId="138" fillId="3" borderId="13" xfId="1" applyNumberFormat="1" applyFont="1" applyFill="1" applyBorder="1">
      <alignment vertical="center"/>
    </xf>
    <xf numFmtId="178" fontId="134" fillId="3" borderId="0" xfId="0" applyNumberFormat="1" applyFont="1" applyFill="1">
      <alignment vertical="center"/>
    </xf>
    <xf numFmtId="189" fontId="134" fillId="3" borderId="0" xfId="0" applyNumberFormat="1" applyFont="1" applyFill="1">
      <alignment vertical="center"/>
    </xf>
    <xf numFmtId="189" fontId="134" fillId="3" borderId="0" xfId="1" applyNumberFormat="1" applyFont="1" applyFill="1">
      <alignment vertical="center"/>
    </xf>
    <xf numFmtId="10" fontId="138" fillId="3" borderId="119" xfId="1" applyNumberFormat="1" applyFont="1" applyFill="1" applyBorder="1">
      <alignment vertical="center"/>
    </xf>
    <xf numFmtId="10" fontId="127" fillId="3" borderId="13" xfId="2" applyNumberFormat="1" applyFont="1" applyFill="1" applyBorder="1">
      <alignment vertical="center"/>
    </xf>
    <xf numFmtId="178" fontId="138" fillId="3" borderId="118" xfId="1" applyFont="1" applyFill="1" applyBorder="1">
      <alignment vertical="center"/>
    </xf>
    <xf numFmtId="10" fontId="138" fillId="3" borderId="13" xfId="2" applyNumberFormat="1" applyFont="1" applyFill="1" applyBorder="1">
      <alignment vertical="center"/>
    </xf>
    <xf numFmtId="178" fontId="134" fillId="2" borderId="0" xfId="1" applyFont="1" applyFill="1">
      <alignment vertical="center"/>
    </xf>
    <xf numFmtId="178" fontId="10" fillId="2" borderId="0" xfId="1" applyFont="1" applyFill="1">
      <alignment vertical="center"/>
    </xf>
    <xf numFmtId="178" fontId="10" fillId="2" borderId="0" xfId="0" applyNumberFormat="1" applyFont="1" applyFill="1">
      <alignment vertical="center"/>
    </xf>
    <xf numFmtId="189" fontId="10" fillId="2" borderId="0" xfId="0" applyNumberFormat="1" applyFont="1" applyFill="1">
      <alignment vertical="center"/>
    </xf>
    <xf numFmtId="189" fontId="10" fillId="2" borderId="0" xfId="1" applyNumberFormat="1" applyFont="1" applyFill="1">
      <alignment vertical="center"/>
    </xf>
    <xf numFmtId="178" fontId="127" fillId="0" borderId="116" xfId="1" applyFont="1" applyBorder="1">
      <alignment vertical="center"/>
    </xf>
    <xf numFmtId="178" fontId="127" fillId="0" borderId="53" xfId="1" applyFont="1" applyBorder="1">
      <alignment vertical="center"/>
    </xf>
    <xf numFmtId="10" fontId="127" fillId="0" borderId="53" xfId="1" applyNumberFormat="1" applyFont="1" applyBorder="1">
      <alignment vertical="center"/>
    </xf>
    <xf numFmtId="178" fontId="127" fillId="0" borderId="115" xfId="1" applyFont="1" applyBorder="1">
      <alignment vertical="center"/>
    </xf>
    <xf numFmtId="178" fontId="127" fillId="0" borderId="54" xfId="1" applyFont="1" applyBorder="1">
      <alignment vertical="center"/>
    </xf>
    <xf numFmtId="178" fontId="127" fillId="0" borderId="52" xfId="1" applyFont="1" applyFill="1" applyBorder="1">
      <alignment vertical="center"/>
    </xf>
    <xf numFmtId="178" fontId="127" fillId="0" borderId="53" xfId="1" applyFont="1" applyFill="1" applyBorder="1">
      <alignment vertical="center"/>
    </xf>
    <xf numFmtId="178" fontId="127" fillId="0" borderId="54" xfId="1" applyFont="1" applyFill="1" applyBorder="1">
      <alignment vertical="center"/>
    </xf>
    <xf numFmtId="189" fontId="10" fillId="0" borderId="0" xfId="0" applyNumberFormat="1" applyFont="1">
      <alignment vertical="center"/>
    </xf>
    <xf numFmtId="0" fontId="86" fillId="0" borderId="13" xfId="0" applyFont="1" applyBorder="1" applyAlignment="1">
      <alignment horizontal="center" vertical="center" wrapText="1"/>
    </xf>
    <xf numFmtId="178" fontId="50" fillId="0" borderId="0" xfId="0" applyNumberFormat="1" applyFont="1">
      <alignment vertical="center"/>
    </xf>
    <xf numFmtId="178" fontId="134" fillId="0" borderId="0" xfId="0" applyNumberFormat="1" applyFont="1">
      <alignment vertical="center"/>
    </xf>
    <xf numFmtId="178" fontId="10" fillId="17" borderId="0" xfId="1" applyFont="1" applyFill="1">
      <alignment vertical="center"/>
    </xf>
    <xf numFmtId="201" fontId="10" fillId="0" borderId="0" xfId="0" applyNumberFormat="1" applyFont="1">
      <alignment vertical="center"/>
    </xf>
    <xf numFmtId="0" fontId="139" fillId="0" borderId="0" xfId="0" applyFont="1">
      <alignment vertical="center"/>
    </xf>
    <xf numFmtId="0" fontId="140" fillId="0" borderId="0" xfId="0" applyFont="1">
      <alignment vertical="center"/>
    </xf>
    <xf numFmtId="0" fontId="141" fillId="0" borderId="0" xfId="0" applyFont="1">
      <alignment vertical="center"/>
    </xf>
    <xf numFmtId="180" fontId="142" fillId="0" borderId="0" xfId="1" applyNumberFormat="1" applyFont="1" applyAlignment="1">
      <alignment vertical="center"/>
    </xf>
    <xf numFmtId="0" fontId="142" fillId="3" borderId="0" xfId="0" applyFont="1" applyFill="1" applyAlignment="1">
      <alignment horizontal="left" vertical="center"/>
    </xf>
    <xf numFmtId="0" fontId="142" fillId="0" borderId="0" xfId="0" applyFont="1" applyAlignment="1">
      <alignment horizontal="center" vertical="center"/>
    </xf>
    <xf numFmtId="0" fontId="142" fillId="0" borderId="0" xfId="0" applyFont="1">
      <alignment vertical="center"/>
    </xf>
    <xf numFmtId="0" fontId="142" fillId="0" borderId="0" xfId="0" applyFont="1" applyAlignment="1">
      <alignment horizontal="left" vertical="center"/>
    </xf>
    <xf numFmtId="178" fontId="142" fillId="0" borderId="0" xfId="1" applyFont="1" applyAlignment="1">
      <alignment vertical="center"/>
    </xf>
    <xf numFmtId="178" fontId="145" fillId="0" borderId="0" xfId="1" applyFont="1" applyFill="1" applyAlignment="1">
      <alignment vertical="center" wrapText="1"/>
    </xf>
    <xf numFmtId="0" fontId="145" fillId="0" borderId="0" xfId="0" applyFont="1" applyAlignment="1">
      <alignment vertical="center" wrapText="1"/>
    </xf>
    <xf numFmtId="198" fontId="145" fillId="0" borderId="0" xfId="1" applyNumberFormat="1" applyFont="1" applyFill="1" applyBorder="1" applyAlignment="1">
      <alignment horizontal="center" vertical="center" wrapText="1"/>
    </xf>
    <xf numFmtId="178" fontId="145" fillId="0" borderId="0" xfId="1" applyFont="1" applyFill="1" applyBorder="1" applyAlignment="1">
      <alignment horizontal="center" vertical="center" wrapText="1"/>
    </xf>
    <xf numFmtId="0" fontId="142" fillId="0" borderId="82" xfId="0" applyFont="1" applyBorder="1" applyAlignment="1">
      <alignment horizontal="center" vertical="center" wrapText="1"/>
    </xf>
    <xf numFmtId="0" fontId="142" fillId="0" borderId="0" xfId="0" applyFont="1" applyAlignment="1">
      <alignment horizontal="center" vertical="center" wrapText="1"/>
    </xf>
    <xf numFmtId="178" fontId="146" fillId="0" borderId="13" xfId="1" applyFont="1" applyFill="1" applyBorder="1" applyAlignment="1">
      <alignment horizontal="center" vertical="center" wrapText="1"/>
    </xf>
    <xf numFmtId="178" fontId="144" fillId="0" borderId="13" xfId="1" applyFont="1" applyFill="1" applyBorder="1" applyAlignment="1">
      <alignment horizontal="center" vertical="center" wrapText="1"/>
    </xf>
    <xf numFmtId="178" fontId="142" fillId="0" borderId="0" xfId="0" applyNumberFormat="1" applyFont="1">
      <alignment vertical="center"/>
    </xf>
    <xf numFmtId="178" fontId="142" fillId="0" borderId="0" xfId="1" applyFont="1" applyFill="1" applyAlignment="1">
      <alignment vertical="center"/>
    </xf>
    <xf numFmtId="180" fontId="141" fillId="0" borderId="12" xfId="1" applyNumberFormat="1" applyFont="1" applyFill="1" applyBorder="1" applyAlignment="1">
      <alignment horizontal="center" vertical="center" wrapText="1"/>
    </xf>
    <xf numFmtId="0" fontId="147" fillId="3" borderId="50" xfId="0" applyFont="1" applyFill="1" applyBorder="1" applyAlignment="1">
      <alignment horizontal="left" vertical="center" wrapText="1"/>
    </xf>
    <xf numFmtId="178" fontId="148" fillId="0" borderId="13" xfId="1" applyFont="1" applyFill="1" applyBorder="1" applyAlignment="1">
      <alignment horizontal="center" vertical="center" wrapText="1"/>
    </xf>
    <xf numFmtId="194" fontId="149" fillId="0" borderId="13" xfId="0" applyNumberFormat="1" applyFont="1" applyBorder="1" applyAlignment="1">
      <alignment horizontal="right" vertical="center"/>
    </xf>
    <xf numFmtId="178" fontId="148" fillId="0" borderId="13" xfId="1" applyFont="1" applyFill="1" applyBorder="1" applyAlignment="1">
      <alignment vertical="center" wrapText="1"/>
    </xf>
    <xf numFmtId="178" fontId="148" fillId="0" borderId="48" xfId="1" applyFont="1" applyFill="1" applyBorder="1" applyAlignment="1">
      <alignment vertical="center" wrapText="1"/>
    </xf>
    <xf numFmtId="178" fontId="148" fillId="0" borderId="93" xfId="1" applyFont="1" applyFill="1" applyBorder="1" applyAlignment="1">
      <alignment vertical="center" wrapText="1"/>
    </xf>
    <xf numFmtId="178" fontId="148" fillId="0" borderId="13" xfId="1" applyFont="1" applyFill="1" applyBorder="1" applyAlignment="1">
      <alignment horizontal="right" vertical="center" wrapText="1"/>
    </xf>
    <xf numFmtId="178" fontId="86" fillId="0" borderId="14" xfId="1" applyFont="1" applyFill="1" applyBorder="1" applyAlignment="1">
      <alignment vertical="center" wrapText="1"/>
    </xf>
    <xf numFmtId="178" fontId="141" fillId="0" borderId="93" xfId="1" applyFont="1" applyFill="1" applyBorder="1" applyAlignment="1">
      <alignment horizontal="center" vertical="center" wrapText="1"/>
    </xf>
    <xf numFmtId="178" fontId="141" fillId="0" borderId="13" xfId="1" applyFont="1" applyFill="1" applyBorder="1" applyAlignment="1">
      <alignment vertical="center" wrapText="1"/>
    </xf>
    <xf numFmtId="178" fontId="141" fillId="0" borderId="14" xfId="1" applyFont="1" applyFill="1" applyBorder="1" applyAlignment="1">
      <alignment vertical="center" wrapText="1"/>
    </xf>
    <xf numFmtId="180" fontId="142" fillId="0" borderId="0" xfId="0" applyNumberFormat="1" applyFont="1">
      <alignment vertical="center"/>
    </xf>
    <xf numFmtId="194" fontId="142" fillId="0" borderId="0" xfId="0" applyNumberFormat="1" applyFont="1">
      <alignment vertical="center"/>
    </xf>
    <xf numFmtId="0" fontId="147" fillId="3" borderId="13" xfId="0" applyFont="1" applyFill="1" applyBorder="1" applyAlignment="1">
      <alignment horizontal="left" vertical="center" wrapText="1"/>
    </xf>
    <xf numFmtId="178" fontId="86" fillId="0" borderId="93" xfId="1" applyFont="1" applyFill="1" applyBorder="1" applyAlignment="1">
      <alignment horizontal="left" vertical="center" wrapText="1"/>
    </xf>
    <xf numFmtId="178" fontId="142" fillId="28" borderId="0" xfId="0" applyNumberFormat="1" applyFont="1" applyFill="1">
      <alignment vertical="center"/>
    </xf>
    <xf numFmtId="194" fontId="142" fillId="28" borderId="0" xfId="0" applyNumberFormat="1" applyFont="1" applyFill="1">
      <alignment vertical="center"/>
    </xf>
    <xf numFmtId="178" fontId="142" fillId="28" borderId="0" xfId="1" applyFont="1" applyFill="1" applyAlignment="1">
      <alignment vertical="center"/>
    </xf>
    <xf numFmtId="0" fontId="147" fillId="3" borderId="50" xfId="0" applyFont="1" applyFill="1" applyBorder="1" applyAlignment="1">
      <alignment horizontal="center" vertical="center" wrapText="1"/>
    </xf>
    <xf numFmtId="0" fontId="86" fillId="0" borderId="93" xfId="0" applyFont="1" applyBorder="1" applyAlignment="1">
      <alignment horizontal="center" vertical="center" wrapText="1"/>
    </xf>
    <xf numFmtId="0" fontId="147" fillId="3" borderId="89" xfId="0" applyFont="1" applyFill="1" applyBorder="1" applyAlignment="1">
      <alignment horizontal="left" vertical="center" wrapText="1"/>
    </xf>
    <xf numFmtId="0" fontId="141" fillId="69" borderId="13" xfId="0" applyFont="1" applyFill="1" applyBorder="1" applyAlignment="1">
      <alignment horizontal="center" vertical="center" wrapText="1"/>
    </xf>
    <xf numFmtId="178" fontId="148" fillId="69" borderId="13" xfId="1" applyFont="1" applyFill="1" applyBorder="1" applyAlignment="1">
      <alignment horizontal="center" vertical="center" wrapText="1"/>
    </xf>
    <xf numFmtId="178" fontId="148" fillId="69" borderId="48" xfId="1" applyFont="1" applyFill="1" applyBorder="1" applyAlignment="1">
      <alignment horizontal="center" vertical="center" wrapText="1"/>
    </xf>
    <xf numFmtId="178" fontId="148" fillId="69" borderId="93" xfId="1" applyFont="1" applyFill="1" applyBorder="1" applyAlignment="1">
      <alignment horizontal="center" vertical="center" wrapText="1"/>
    </xf>
    <xf numFmtId="0" fontId="86" fillId="0" borderId="93" xfId="0" applyFont="1" applyBorder="1" applyAlignment="1">
      <alignment horizontal="left" vertical="center" wrapText="1"/>
    </xf>
    <xf numFmtId="178" fontId="142" fillId="70" borderId="0" xfId="0" applyNumberFormat="1" applyFont="1" applyFill="1">
      <alignment vertical="center"/>
    </xf>
    <xf numFmtId="194" fontId="142" fillId="70" borderId="0" xfId="0" applyNumberFormat="1" applyFont="1" applyFill="1">
      <alignment vertical="center"/>
    </xf>
    <xf numFmtId="178" fontId="142" fillId="70" borderId="0" xfId="1" applyFont="1" applyFill="1" applyAlignment="1">
      <alignment vertical="center"/>
    </xf>
    <xf numFmtId="180" fontId="141" fillId="0" borderId="123" xfId="1" applyNumberFormat="1" applyFont="1" applyFill="1" applyBorder="1" applyAlignment="1">
      <alignment horizontal="center" vertical="center" wrapText="1"/>
    </xf>
    <xf numFmtId="0" fontId="147" fillId="3" borderId="91" xfId="0" applyFont="1" applyFill="1" applyBorder="1" applyAlignment="1">
      <alignment horizontal="left" vertical="center" wrapText="1"/>
    </xf>
    <xf numFmtId="178" fontId="148" fillId="0" borderId="13" xfId="1" applyFont="1" applyFill="1" applyBorder="1" applyAlignment="1">
      <alignment horizontal="left" vertical="center" wrapText="1"/>
    </xf>
    <xf numFmtId="0" fontId="150" fillId="3" borderId="13" xfId="0" applyFont="1" applyFill="1" applyBorder="1" applyAlignment="1">
      <alignment vertical="center" wrapText="1"/>
    </xf>
    <xf numFmtId="0" fontId="150" fillId="20" borderId="13" xfId="0" applyFont="1" applyFill="1" applyBorder="1" applyAlignment="1">
      <alignment horizontal="center" vertical="center" wrapText="1"/>
    </xf>
    <xf numFmtId="178" fontId="148" fillId="20" borderId="13" xfId="1" applyFont="1" applyFill="1" applyBorder="1" applyAlignment="1">
      <alignment vertical="center" wrapText="1"/>
    </xf>
    <xf numFmtId="0" fontId="21" fillId="69" borderId="13" xfId="0" applyFont="1" applyFill="1" applyBorder="1" applyAlignment="1">
      <alignment horizontal="center" vertical="center" wrapText="1"/>
    </xf>
    <xf numFmtId="178" fontId="148" fillId="69" borderId="14" xfId="1" applyFont="1" applyFill="1" applyBorder="1" applyAlignment="1">
      <alignment horizontal="center" vertical="center" wrapText="1"/>
    </xf>
    <xf numFmtId="0" fontId="141" fillId="0" borderId="93" xfId="0" applyFont="1" applyBorder="1" applyAlignment="1">
      <alignment horizontal="left" vertical="center" wrapText="1"/>
    </xf>
    <xf numFmtId="178" fontId="86" fillId="69" borderId="13" xfId="1" applyFont="1" applyFill="1" applyBorder="1" applyAlignment="1">
      <alignment horizontal="center" vertical="center" wrapText="1"/>
    </xf>
    <xf numFmtId="0" fontId="107" fillId="69" borderId="13" xfId="0" applyFont="1" applyFill="1" applyBorder="1" applyAlignment="1">
      <alignment horizontal="center" vertical="center" wrapText="1"/>
    </xf>
    <xf numFmtId="180" fontId="141" fillId="29" borderId="12" xfId="1" applyNumberFormat="1" applyFont="1" applyFill="1" applyBorder="1" applyAlignment="1">
      <alignment horizontal="center" vertical="center" wrapText="1"/>
    </xf>
    <xf numFmtId="0" fontId="21" fillId="29" borderId="13" xfId="0" applyFont="1" applyFill="1" applyBorder="1" applyAlignment="1">
      <alignment horizontal="center" vertical="center" wrapText="1"/>
    </xf>
    <xf numFmtId="178" fontId="148" fillId="29" borderId="13" xfId="1" applyFont="1" applyFill="1" applyBorder="1" applyAlignment="1">
      <alignment horizontal="center" vertical="center" wrapText="1"/>
    </xf>
    <xf numFmtId="178" fontId="148" fillId="29" borderId="48" xfId="1" applyFont="1" applyFill="1" applyBorder="1" applyAlignment="1">
      <alignment horizontal="center" vertical="center" wrapText="1"/>
    </xf>
    <xf numFmtId="178" fontId="148" fillId="29" borderId="93" xfId="1" applyFont="1" applyFill="1" applyBorder="1" applyAlignment="1">
      <alignment horizontal="center" vertical="center" wrapText="1"/>
    </xf>
    <xf numFmtId="180" fontId="148" fillId="35" borderId="15" xfId="1" applyNumberFormat="1" applyFont="1" applyFill="1" applyBorder="1" applyAlignment="1">
      <alignment horizontal="center" vertical="center" wrapText="1"/>
    </xf>
    <xf numFmtId="0" fontId="150" fillId="3" borderId="16" xfId="0" applyFont="1" applyFill="1" applyBorder="1" applyAlignment="1">
      <alignment horizontal="left" vertical="center" wrapText="1"/>
    </xf>
    <xf numFmtId="0" fontId="150" fillId="35" borderId="16" xfId="0" applyFont="1" applyFill="1" applyBorder="1" applyAlignment="1">
      <alignment horizontal="center" vertical="center" wrapText="1"/>
    </xf>
    <xf numFmtId="178" fontId="148" fillId="35" borderId="16" xfId="1" applyFont="1" applyFill="1" applyBorder="1" applyAlignment="1">
      <alignment vertical="center" wrapText="1"/>
    </xf>
    <xf numFmtId="180" fontId="151" fillId="0" borderId="0" xfId="1" applyNumberFormat="1" applyFont="1" applyFill="1" applyBorder="1" applyAlignment="1">
      <alignment horizontal="center" vertical="center"/>
    </xf>
    <xf numFmtId="0" fontId="151" fillId="3" borderId="0" xfId="0" applyFont="1" applyFill="1" applyAlignment="1">
      <alignment horizontal="left" vertical="center"/>
    </xf>
    <xf numFmtId="0" fontId="151" fillId="0" borderId="0" xfId="0" applyFont="1" applyAlignment="1">
      <alignment horizontal="center" vertical="center"/>
    </xf>
    <xf numFmtId="178" fontId="151" fillId="0" borderId="0" xfId="1" applyFont="1" applyFill="1" applyBorder="1" applyAlignment="1">
      <alignment vertical="center"/>
    </xf>
    <xf numFmtId="178" fontId="151" fillId="0" borderId="0" xfId="0" applyNumberFormat="1" applyFont="1">
      <alignment vertical="center"/>
    </xf>
    <xf numFmtId="0" fontId="151" fillId="0" borderId="0" xfId="0" applyFont="1">
      <alignment vertical="center"/>
    </xf>
    <xf numFmtId="178" fontId="140" fillId="0" borderId="0" xfId="1" applyFont="1" applyFill="1" applyBorder="1" applyAlignment="1">
      <alignment vertical="center"/>
    </xf>
    <xf numFmtId="0" fontId="140" fillId="0" borderId="0" xfId="0" applyFont="1" applyAlignment="1">
      <alignment horizontal="center" vertical="center"/>
    </xf>
    <xf numFmtId="0" fontId="140" fillId="0" borderId="0" xfId="0" applyFont="1" applyAlignment="1">
      <alignment horizontal="left" vertical="center"/>
    </xf>
    <xf numFmtId="0" fontId="152" fillId="0" borderId="0" xfId="0" applyFont="1" applyAlignment="1">
      <alignment horizontal="center" vertical="center"/>
    </xf>
    <xf numFmtId="178" fontId="140" fillId="0" borderId="0" xfId="1" applyFont="1" applyFill="1" applyAlignment="1">
      <alignment vertical="center"/>
    </xf>
    <xf numFmtId="178" fontId="86" fillId="0" borderId="0" xfId="1" applyFont="1" applyFill="1" applyAlignment="1">
      <alignment vertical="center"/>
    </xf>
    <xf numFmtId="178" fontId="104" fillId="0" borderId="0" xfId="1" applyFont="1" applyFill="1" applyAlignment="1">
      <alignment vertical="center"/>
    </xf>
    <xf numFmtId="178" fontId="140" fillId="0" borderId="0" xfId="0" applyNumberFormat="1" applyFont="1">
      <alignment vertical="center"/>
    </xf>
    <xf numFmtId="180" fontId="151" fillId="0" borderId="0" xfId="1" applyNumberFormat="1" applyFont="1" applyFill="1" applyBorder="1" applyAlignment="1">
      <alignment horizontal="left" vertical="center"/>
    </xf>
    <xf numFmtId="178" fontId="144" fillId="0" borderId="0" xfId="1" applyFont="1" applyFill="1" applyBorder="1" applyAlignment="1">
      <alignment vertical="center"/>
    </xf>
    <xf numFmtId="178" fontId="151" fillId="0" borderId="0" xfId="1" applyFont="1" applyFill="1" applyAlignment="1">
      <alignment vertical="center"/>
    </xf>
    <xf numFmtId="178" fontId="140" fillId="0" borderId="0" xfId="1" applyFont="1" applyFill="1" applyBorder="1" applyAlignment="1">
      <alignment horizontal="center" vertical="center"/>
    </xf>
    <xf numFmtId="0" fontId="141" fillId="0" borderId="0" xfId="0" applyFont="1" applyAlignment="1">
      <alignment horizontal="left" vertical="center"/>
    </xf>
    <xf numFmtId="180" fontId="153" fillId="74" borderId="0" xfId="1" applyNumberFormat="1" applyFont="1" applyFill="1" applyAlignment="1">
      <alignment horizontal="center" vertical="center" wrapText="1"/>
    </xf>
    <xf numFmtId="180" fontId="153" fillId="74" borderId="0" xfId="1" applyNumberFormat="1" applyFont="1" applyFill="1" applyAlignment="1">
      <alignment horizontal="left" vertical="center" wrapText="1"/>
    </xf>
    <xf numFmtId="178" fontId="153" fillId="74" borderId="0" xfId="1" applyFont="1" applyFill="1" applyAlignment="1">
      <alignment vertical="center" wrapText="1"/>
    </xf>
    <xf numFmtId="178" fontId="153" fillId="22" borderId="0" xfId="1" applyFont="1" applyFill="1" applyAlignment="1">
      <alignment vertical="center" wrapText="1"/>
    </xf>
    <xf numFmtId="178" fontId="153" fillId="74" borderId="0" xfId="1" applyFont="1" applyFill="1" applyBorder="1" applyAlignment="1">
      <alignment vertical="center"/>
    </xf>
    <xf numFmtId="178" fontId="153" fillId="74" borderId="0" xfId="1" applyFont="1" applyFill="1" applyBorder="1" applyAlignment="1">
      <alignment horizontal="center" vertical="center"/>
    </xf>
    <xf numFmtId="0" fontId="86" fillId="0" borderId="0" xfId="0" applyFont="1" applyAlignment="1">
      <alignment horizontal="left" vertical="center"/>
    </xf>
    <xf numFmtId="0" fontId="142" fillId="3" borderId="0" xfId="0" applyFont="1" applyFill="1">
      <alignment vertical="center"/>
    </xf>
    <xf numFmtId="0" fontId="154" fillId="3" borderId="13" xfId="0" applyFont="1" applyFill="1" applyBorder="1" applyAlignment="1">
      <alignment horizontal="center" vertical="center" wrapText="1"/>
    </xf>
    <xf numFmtId="0" fontId="141" fillId="2" borderId="13" xfId="0" applyFont="1" applyFill="1" applyBorder="1" applyAlignment="1">
      <alignment horizontal="center" vertical="center" wrapText="1"/>
    </xf>
    <xf numFmtId="194" fontId="155" fillId="0" borderId="13" xfId="0" applyNumberFormat="1" applyFont="1" applyBorder="1" applyAlignment="1">
      <alignment horizontal="right" vertical="center"/>
    </xf>
    <xf numFmtId="178" fontId="148" fillId="3" borderId="13" xfId="1" applyFont="1" applyFill="1" applyBorder="1" applyAlignment="1">
      <alignment vertical="center" wrapText="1"/>
    </xf>
    <xf numFmtId="178" fontId="141" fillId="18" borderId="14" xfId="1" applyFont="1" applyFill="1" applyBorder="1" applyAlignment="1">
      <alignment vertical="center" wrapText="1"/>
    </xf>
    <xf numFmtId="178" fontId="142" fillId="2" borderId="0" xfId="1" applyFont="1" applyFill="1" applyAlignment="1">
      <alignment vertical="center"/>
    </xf>
    <xf numFmtId="0" fontId="154" fillId="3" borderId="91" xfId="0" applyFont="1" applyFill="1" applyBorder="1" applyAlignment="1">
      <alignment horizontal="center" vertical="center" wrapText="1"/>
    </xf>
    <xf numFmtId="178" fontId="86" fillId="0" borderId="13" xfId="1" applyFont="1" applyFill="1" applyBorder="1" applyAlignment="1">
      <alignment horizontal="center" vertical="center" wrapText="1"/>
    </xf>
    <xf numFmtId="194" fontId="75" fillId="0" borderId="13" xfId="0" applyNumberFormat="1" applyFont="1" applyBorder="1" applyAlignment="1">
      <alignment horizontal="right" vertical="center"/>
    </xf>
    <xf numFmtId="178" fontId="156" fillId="0" borderId="13" xfId="1" applyFont="1" applyFill="1" applyBorder="1" applyAlignment="1">
      <alignment horizontal="center" vertical="center" wrapText="1"/>
    </xf>
    <xf numFmtId="0" fontId="5" fillId="0" borderId="13" xfId="0" applyFont="1" applyBorder="1" applyAlignment="1">
      <alignment horizontal="center" vertical="center" wrapText="1"/>
    </xf>
    <xf numFmtId="0" fontId="141" fillId="0" borderId="13" xfId="0" applyFont="1" applyBorder="1" applyAlignment="1">
      <alignment horizontal="center" vertical="center" wrapText="1"/>
    </xf>
    <xf numFmtId="0" fontId="154" fillId="3" borderId="50" xfId="0" applyFont="1" applyFill="1" applyBorder="1" applyAlignment="1">
      <alignment horizontal="center" vertical="center" wrapText="1"/>
    </xf>
    <xf numFmtId="178" fontId="86" fillId="0" borderId="93" xfId="1" applyFont="1" applyFill="1" applyBorder="1" applyAlignment="1">
      <alignment horizontal="center" vertical="center" wrapText="1"/>
    </xf>
    <xf numFmtId="178" fontId="148" fillId="69" borderId="13" xfId="1" applyFont="1" applyFill="1" applyBorder="1" applyAlignment="1">
      <alignment vertical="center" wrapText="1"/>
    </xf>
    <xf numFmtId="0" fontId="147" fillId="0" borderId="89" xfId="0" applyFont="1" applyBorder="1" applyAlignment="1">
      <alignment vertical="center" wrapText="1"/>
    </xf>
    <xf numFmtId="178" fontId="148" fillId="69" borderId="48" xfId="1" applyFont="1" applyFill="1" applyBorder="1" applyAlignment="1">
      <alignment vertical="center" wrapText="1"/>
    </xf>
    <xf numFmtId="178" fontId="148" fillId="69" borderId="93" xfId="1" applyFont="1" applyFill="1" applyBorder="1" applyAlignment="1">
      <alignment vertical="center" wrapText="1"/>
    </xf>
    <xf numFmtId="178" fontId="148" fillId="69" borderId="14" xfId="1" applyFont="1" applyFill="1" applyBorder="1" applyAlignment="1">
      <alignment vertical="center" wrapText="1"/>
    </xf>
    <xf numFmtId="178" fontId="86" fillId="3" borderId="93" xfId="1" applyFont="1" applyFill="1" applyBorder="1" applyAlignment="1">
      <alignment horizontal="center" vertical="center" wrapText="1"/>
    </xf>
    <xf numFmtId="178" fontId="141" fillId="3" borderId="13" xfId="1" applyFont="1" applyFill="1" applyBorder="1" applyAlignment="1">
      <alignment vertical="center" wrapText="1"/>
    </xf>
    <xf numFmtId="178" fontId="141" fillId="3" borderId="14" xfId="1" applyFont="1" applyFill="1" applyBorder="1" applyAlignment="1">
      <alignment vertical="center" wrapText="1"/>
    </xf>
    <xf numFmtId="0" fontId="147" fillId="3" borderId="50" xfId="0" applyFont="1" applyFill="1" applyBorder="1" applyAlignment="1">
      <alignment vertical="center" wrapText="1"/>
    </xf>
    <xf numFmtId="0" fontId="147" fillId="3" borderId="89" xfId="0" applyFont="1" applyFill="1" applyBorder="1" applyAlignment="1">
      <alignment vertical="center" wrapText="1"/>
    </xf>
    <xf numFmtId="0" fontId="86" fillId="69" borderId="13" xfId="0" applyFont="1" applyFill="1" applyBorder="1" applyAlignment="1">
      <alignment horizontal="center" vertical="center" wrapText="1"/>
    </xf>
    <xf numFmtId="178" fontId="148" fillId="0" borderId="14" xfId="1" applyFont="1" applyFill="1" applyBorder="1" applyAlignment="1">
      <alignment horizontal="center" vertical="center" wrapText="1"/>
    </xf>
    <xf numFmtId="180" fontId="148" fillId="29" borderId="12" xfId="1" applyNumberFormat="1" applyFont="1" applyFill="1" applyBorder="1" applyAlignment="1">
      <alignment horizontal="center" vertical="center" wrapText="1"/>
    </xf>
    <xf numFmtId="0" fontId="150" fillId="29" borderId="13" xfId="0" applyFont="1" applyFill="1" applyBorder="1" applyAlignment="1">
      <alignment vertical="center" wrapText="1"/>
    </xf>
    <xf numFmtId="0" fontId="150" fillId="29" borderId="13" xfId="0" applyFont="1" applyFill="1" applyBorder="1" applyAlignment="1">
      <alignment horizontal="center" vertical="center" wrapText="1"/>
    </xf>
    <xf numFmtId="178" fontId="148" fillId="29" borderId="13" xfId="1" applyFont="1" applyFill="1" applyBorder="1" applyAlignment="1">
      <alignment vertical="center" wrapText="1"/>
    </xf>
    <xf numFmtId="178" fontId="151" fillId="0" borderId="0" xfId="1" applyFont="1" applyFill="1" applyBorder="1" applyAlignment="1">
      <alignment horizontal="center" vertical="center"/>
    </xf>
    <xf numFmtId="178" fontId="151" fillId="3" borderId="0" xfId="1" applyFont="1" applyFill="1">
      <alignment vertical="center"/>
    </xf>
    <xf numFmtId="178" fontId="151" fillId="0" borderId="0" xfId="1" applyFont="1" applyAlignment="1">
      <alignment horizontal="center" vertical="center"/>
    </xf>
    <xf numFmtId="178" fontId="151" fillId="0" borderId="0" xfId="1" applyFont="1">
      <alignment vertical="center"/>
    </xf>
    <xf numFmtId="178" fontId="140" fillId="0" borderId="0" xfId="1" applyFont="1">
      <alignment vertical="center"/>
    </xf>
    <xf numFmtId="178" fontId="140" fillId="0" borderId="0" xfId="1" applyFont="1" applyAlignment="1">
      <alignment horizontal="center" vertical="center"/>
    </xf>
    <xf numFmtId="178" fontId="152" fillId="0" borderId="0" xfId="1" applyFont="1" applyAlignment="1">
      <alignment horizontal="center" vertical="center"/>
    </xf>
    <xf numFmtId="178" fontId="151" fillId="0" borderId="0" xfId="1" applyFont="1" applyFill="1" applyBorder="1" applyAlignment="1">
      <alignment horizontal="left" vertical="center"/>
    </xf>
    <xf numFmtId="178" fontId="153" fillId="74" borderId="0" xfId="1" applyFont="1" applyFill="1" applyAlignment="1">
      <alignment horizontal="center" vertical="center" wrapText="1"/>
    </xf>
    <xf numFmtId="203" fontId="142" fillId="0" borderId="0" xfId="0" applyNumberFormat="1" applyFont="1">
      <alignment vertical="center"/>
    </xf>
    <xf numFmtId="181" fontId="8" fillId="3" borderId="0" xfId="0" quotePrefix="1" applyNumberFormat="1" applyFont="1" applyFill="1">
      <alignment vertical="center"/>
    </xf>
    <xf numFmtId="0" fontId="143" fillId="0" borderId="0" xfId="0" applyFont="1" applyAlignment="1">
      <alignment horizontal="center" vertical="center" wrapText="1"/>
    </xf>
    <xf numFmtId="0" fontId="144" fillId="0" borderId="82" xfId="0" applyFont="1" applyBorder="1" applyAlignment="1">
      <alignment horizontal="left" vertical="center" wrapText="1"/>
    </xf>
    <xf numFmtId="0" fontId="144" fillId="0" borderId="82" xfId="0" applyFont="1" applyBorder="1" applyAlignment="1">
      <alignment horizontal="center" vertical="center" wrapText="1"/>
    </xf>
    <xf numFmtId="178" fontId="146" fillId="0" borderId="10" xfId="1" applyFont="1" applyFill="1" applyBorder="1" applyAlignment="1">
      <alignment horizontal="center" vertical="center" wrapText="1"/>
    </xf>
    <xf numFmtId="180" fontId="146" fillId="0" borderId="83" xfId="1" applyNumberFormat="1" applyFont="1" applyFill="1" applyBorder="1" applyAlignment="1">
      <alignment horizontal="center" vertical="center" wrapText="1"/>
    </xf>
    <xf numFmtId="180" fontId="146" fillId="0" borderId="88" xfId="1" applyNumberFormat="1" applyFont="1" applyFill="1" applyBorder="1" applyAlignment="1">
      <alignment horizontal="center" vertical="center" wrapText="1"/>
    </xf>
    <xf numFmtId="0" fontId="146" fillId="3" borderId="10" xfId="0" applyFont="1" applyFill="1" applyBorder="1" applyAlignment="1">
      <alignment horizontal="center" vertical="center" wrapText="1"/>
    </xf>
    <xf numFmtId="0" fontId="146" fillId="3" borderId="13" xfId="0" applyFont="1" applyFill="1" applyBorder="1" applyAlignment="1">
      <alignment horizontal="center" vertical="center" wrapText="1"/>
    </xf>
    <xf numFmtId="0" fontId="147" fillId="3" borderId="13" xfId="0" applyFont="1" applyFill="1" applyBorder="1" applyAlignment="1">
      <alignment horizontal="center" vertical="center" wrapText="1"/>
    </xf>
    <xf numFmtId="0" fontId="154" fillId="3" borderId="13" xfId="0" applyFont="1" applyFill="1" applyBorder="1" applyAlignment="1">
      <alignment horizontal="center" vertical="center" wrapText="1"/>
    </xf>
    <xf numFmtId="0" fontId="147" fillId="3" borderId="50" xfId="0" applyFont="1" applyFill="1" applyBorder="1" applyAlignment="1">
      <alignment horizontal="center" vertical="center" wrapText="1"/>
    </xf>
    <xf numFmtId="0" fontId="147" fillId="3" borderId="89" xfId="0" applyFont="1" applyFill="1" applyBorder="1" applyAlignment="1">
      <alignment horizontal="center" vertical="center" wrapText="1"/>
    </xf>
    <xf numFmtId="0" fontId="147" fillId="3" borderId="91" xfId="0" applyFont="1" applyFill="1" applyBorder="1" applyAlignment="1">
      <alignment horizontal="center" vertical="center" wrapText="1"/>
    </xf>
    <xf numFmtId="0" fontId="154" fillId="3" borderId="89" xfId="0" applyFont="1" applyFill="1" applyBorder="1" applyAlignment="1">
      <alignment horizontal="center" vertical="center" wrapText="1"/>
    </xf>
    <xf numFmtId="0" fontId="154" fillId="3" borderId="50" xfId="0" applyFont="1" applyFill="1" applyBorder="1" applyAlignment="1">
      <alignment horizontal="center" vertical="center" wrapText="1"/>
    </xf>
    <xf numFmtId="0" fontId="154" fillId="3" borderId="91" xfId="0" applyFont="1" applyFill="1" applyBorder="1" applyAlignment="1">
      <alignment horizontal="center" vertical="center" wrapText="1"/>
    </xf>
    <xf numFmtId="0" fontId="147" fillId="0" borderId="50" xfId="0" applyFont="1" applyBorder="1" applyAlignment="1">
      <alignment horizontal="center" vertical="center" wrapText="1"/>
    </xf>
    <xf numFmtId="0" fontId="147" fillId="0" borderId="91" xfId="0" applyFont="1" applyBorder="1" applyAlignment="1">
      <alignment horizontal="center" vertical="center" wrapText="1"/>
    </xf>
    <xf numFmtId="178" fontId="152" fillId="3" borderId="0" xfId="1" applyFont="1" applyFill="1">
      <alignment vertical="center"/>
    </xf>
    <xf numFmtId="0" fontId="146" fillId="0" borderId="10" xfId="0" applyFont="1" applyBorder="1" applyAlignment="1">
      <alignment horizontal="center" vertical="center" wrapText="1"/>
    </xf>
    <xf numFmtId="0" fontId="146" fillId="0" borderId="13" xfId="0" applyFont="1" applyBorder="1" applyAlignment="1">
      <alignment horizontal="center" vertical="center" wrapText="1"/>
    </xf>
    <xf numFmtId="178" fontId="144" fillId="0" borderId="10" xfId="1" applyFont="1" applyFill="1" applyBorder="1" applyAlignment="1">
      <alignment horizontal="center" vertical="center" wrapText="1"/>
    </xf>
    <xf numFmtId="178" fontId="146" fillId="0" borderId="13" xfId="1" applyFont="1" applyFill="1" applyBorder="1" applyAlignment="1">
      <alignment horizontal="center" vertical="center" wrapText="1"/>
    </xf>
    <xf numFmtId="178" fontId="119" fillId="0" borderId="10" xfId="1" applyFont="1" applyFill="1" applyBorder="1" applyAlignment="1">
      <alignment horizontal="center" vertical="center" wrapText="1"/>
    </xf>
    <xf numFmtId="178" fontId="144" fillId="31" borderId="84" xfId="1" applyFont="1" applyFill="1" applyBorder="1" applyAlignment="1">
      <alignment horizontal="center" vertical="center" wrapText="1"/>
    </xf>
    <xf numFmtId="178" fontId="144" fillId="31" borderId="89" xfId="1" applyFont="1" applyFill="1" applyBorder="1" applyAlignment="1">
      <alignment horizontal="center" vertical="center" wrapText="1"/>
    </xf>
    <xf numFmtId="178" fontId="144" fillId="32" borderId="84" xfId="1" applyFont="1" applyFill="1" applyBorder="1" applyAlignment="1">
      <alignment horizontal="center" vertical="center" wrapText="1"/>
    </xf>
    <xf numFmtId="178" fontId="144" fillId="32" borderId="89" xfId="1" applyFont="1" applyFill="1" applyBorder="1" applyAlignment="1">
      <alignment horizontal="center" vertical="center" wrapText="1"/>
    </xf>
    <xf numFmtId="178" fontId="144" fillId="0" borderId="84" xfId="1" applyFont="1" applyFill="1" applyBorder="1" applyAlignment="1">
      <alignment horizontal="center" vertical="center" wrapText="1"/>
    </xf>
    <xf numFmtId="178" fontId="144" fillId="0" borderId="89" xfId="1" applyFont="1" applyFill="1" applyBorder="1" applyAlignment="1">
      <alignment horizontal="center" vertical="center" wrapText="1"/>
    </xf>
    <xf numFmtId="178" fontId="144" fillId="0" borderId="97" xfId="1" applyFont="1" applyFill="1" applyBorder="1" applyAlignment="1">
      <alignment horizontal="center" vertical="center" wrapText="1"/>
    </xf>
    <xf numFmtId="178" fontId="146" fillId="0" borderId="48" xfId="1" applyFont="1" applyFill="1" applyBorder="1" applyAlignment="1">
      <alignment horizontal="center" vertical="center" wrapText="1"/>
    </xf>
    <xf numFmtId="178" fontId="144" fillId="2" borderId="122" xfId="1" applyFont="1" applyFill="1" applyBorder="1" applyAlignment="1">
      <alignment horizontal="center" vertical="center" wrapText="1"/>
    </xf>
    <xf numFmtId="178" fontId="144" fillId="2" borderId="118" xfId="1" applyFont="1" applyFill="1" applyBorder="1" applyAlignment="1">
      <alignment horizontal="center" vertical="center" wrapText="1"/>
    </xf>
    <xf numFmtId="0" fontId="146" fillId="0" borderId="11" xfId="0" applyFont="1" applyBorder="1" applyAlignment="1">
      <alignment horizontal="center" vertical="center" wrapText="1"/>
    </xf>
    <xf numFmtId="0" fontId="146" fillId="0" borderId="14" xfId="0" applyFont="1" applyBorder="1" applyAlignment="1">
      <alignment horizontal="center" vertical="center" wrapText="1"/>
    </xf>
    <xf numFmtId="178" fontId="144" fillId="0" borderId="86" xfId="1" applyFont="1" applyFill="1" applyBorder="1" applyAlignment="1">
      <alignment horizontal="center" vertical="center" wrapText="1"/>
    </xf>
    <xf numFmtId="178" fontId="146" fillId="0" borderId="93" xfId="1" applyFont="1" applyFill="1" applyBorder="1" applyAlignment="1">
      <alignment horizontal="center" vertical="center" wrapText="1"/>
    </xf>
    <xf numFmtId="178" fontId="144" fillId="0" borderId="11" xfId="1" applyFont="1" applyFill="1" applyBorder="1" applyAlignment="1">
      <alignment horizontal="center" vertical="center" wrapText="1"/>
    </xf>
    <xf numFmtId="178" fontId="146" fillId="0" borderId="14" xfId="1" applyFont="1" applyFill="1" applyBorder="1" applyAlignment="1">
      <alignment horizontal="center" vertical="center" wrapText="1"/>
    </xf>
    <xf numFmtId="0" fontId="143" fillId="0" borderId="0" xfId="0" applyFont="1" applyAlignment="1">
      <alignment horizontal="left" vertical="center" wrapText="1"/>
    </xf>
    <xf numFmtId="180" fontId="146" fillId="0" borderId="9" xfId="1" applyNumberFormat="1" applyFont="1" applyFill="1" applyBorder="1" applyAlignment="1">
      <alignment horizontal="center" vertical="center" wrapText="1"/>
    </xf>
    <xf numFmtId="180" fontId="146" fillId="0" borderId="12" xfId="1" applyNumberFormat="1" applyFont="1" applyFill="1" applyBorder="1" applyAlignment="1">
      <alignment horizontal="center" vertical="center" wrapText="1"/>
    </xf>
    <xf numFmtId="0" fontId="146" fillId="3" borderId="10" xfId="0" applyFont="1" applyFill="1" applyBorder="1" applyAlignment="1">
      <alignment horizontal="left" vertical="center" wrapText="1"/>
    </xf>
    <xf numFmtId="0" fontId="146" fillId="3" borderId="13" xfId="0" applyFont="1" applyFill="1" applyBorder="1" applyAlignment="1">
      <alignment horizontal="left" vertical="center" wrapText="1"/>
    </xf>
    <xf numFmtId="0" fontId="147" fillId="3" borderId="91" xfId="0" applyFont="1" applyFill="1" applyBorder="1" applyAlignment="1">
      <alignment horizontal="left" vertical="center" wrapText="1"/>
    </xf>
    <xf numFmtId="0" fontId="147" fillId="3" borderId="89" xfId="0" applyFont="1" applyFill="1" applyBorder="1" applyAlignment="1">
      <alignment horizontal="left" vertical="center" wrapText="1"/>
    </xf>
    <xf numFmtId="0" fontId="147" fillId="3" borderId="50" xfId="0" applyFont="1" applyFill="1" applyBorder="1" applyAlignment="1">
      <alignment horizontal="left" vertical="center" wrapText="1"/>
    </xf>
    <xf numFmtId="0" fontId="152" fillId="3" borderId="0" xfId="0" applyFont="1" applyFill="1" applyAlignment="1">
      <alignment horizontal="left" vertical="center"/>
    </xf>
    <xf numFmtId="0" fontId="119" fillId="0" borderId="102" xfId="0" applyFont="1" applyBorder="1" applyAlignment="1">
      <alignment horizontal="center" vertical="center"/>
    </xf>
    <xf numFmtId="0" fontId="46" fillId="0" borderId="102" xfId="0" applyFont="1" applyBorder="1" applyAlignment="1">
      <alignment horizontal="center" vertical="center"/>
    </xf>
    <xf numFmtId="0" fontId="131" fillId="0" borderId="44" xfId="0" applyFont="1" applyBorder="1" applyAlignment="1">
      <alignment horizontal="center" vertical="center"/>
    </xf>
    <xf numFmtId="0" fontId="131" fillId="0" borderId="103" xfId="0" applyFont="1" applyBorder="1" applyAlignment="1">
      <alignment horizontal="center" vertical="center"/>
    </xf>
    <xf numFmtId="0" fontId="131" fillId="0" borderId="45" xfId="0" applyFont="1" applyBorder="1" applyAlignment="1">
      <alignment horizontal="center" vertical="center"/>
    </xf>
    <xf numFmtId="178" fontId="131" fillId="71" borderId="105" xfId="1" applyFont="1" applyFill="1" applyBorder="1" applyAlignment="1">
      <alignment horizontal="center" vertical="center"/>
    </xf>
    <xf numFmtId="178" fontId="131" fillId="71" borderId="106" xfId="1" applyFont="1" applyFill="1" applyBorder="1" applyAlignment="1">
      <alignment horizontal="center" vertical="center"/>
    </xf>
    <xf numFmtId="178" fontId="131" fillId="71" borderId="107" xfId="1" applyFont="1" applyFill="1" applyBorder="1" applyAlignment="1">
      <alignment horizontal="center" vertical="center"/>
    </xf>
    <xf numFmtId="0" fontId="131" fillId="2" borderId="110" xfId="0" applyFont="1" applyFill="1" applyBorder="1" applyAlignment="1">
      <alignment horizontal="center" vertical="center"/>
    </xf>
    <xf numFmtId="0" fontId="131" fillId="2" borderId="92" xfId="0" applyFont="1" applyFill="1" applyBorder="1" applyAlignment="1">
      <alignment horizontal="center" vertical="center"/>
    </xf>
    <xf numFmtId="0" fontId="131" fillId="2" borderId="93" xfId="0" applyFont="1" applyFill="1" applyBorder="1" applyAlignment="1">
      <alignment horizontal="center" vertical="center"/>
    </xf>
    <xf numFmtId="0" fontId="131" fillId="28" borderId="63" xfId="0" applyFont="1" applyFill="1" applyBorder="1" applyAlignment="1">
      <alignment horizontal="center" vertical="center"/>
    </xf>
    <xf numFmtId="0" fontId="131" fillId="28" borderId="92" xfId="0" applyFont="1" applyFill="1" applyBorder="1" applyAlignment="1">
      <alignment horizontal="center" vertical="center"/>
    </xf>
    <xf numFmtId="0" fontId="131" fillId="28" borderId="93" xfId="0" applyFont="1" applyFill="1" applyBorder="1" applyAlignment="1">
      <alignment horizontal="center" vertical="center"/>
    </xf>
    <xf numFmtId="0" fontId="133" fillId="14" borderId="63" xfId="0" applyFont="1" applyFill="1" applyBorder="1" applyAlignment="1">
      <alignment horizontal="center" vertical="center"/>
    </xf>
    <xf numFmtId="0" fontId="133" fillId="14" borderId="92" xfId="0" applyFont="1" applyFill="1" applyBorder="1" applyAlignment="1">
      <alignment horizontal="center" vertical="center"/>
    </xf>
    <xf numFmtId="0" fontId="133" fillId="14" borderId="93" xfId="0" applyFont="1" applyFill="1" applyBorder="1" applyAlignment="1">
      <alignment horizontal="center" vertical="center"/>
    </xf>
    <xf numFmtId="0" fontId="131" fillId="5" borderId="63" xfId="0" applyFont="1" applyFill="1" applyBorder="1" applyAlignment="1">
      <alignment horizontal="center" vertical="center"/>
    </xf>
    <xf numFmtId="0" fontId="131" fillId="5" borderId="92" xfId="0" applyFont="1" applyFill="1" applyBorder="1" applyAlignment="1">
      <alignment horizontal="center" vertical="center"/>
    </xf>
    <xf numFmtId="0" fontId="131" fillId="5" borderId="93" xfId="0" applyFont="1" applyFill="1" applyBorder="1" applyAlignment="1">
      <alignment horizontal="center" vertical="center"/>
    </xf>
    <xf numFmtId="0" fontId="131" fillId="17" borderId="63" xfId="0" applyFont="1" applyFill="1" applyBorder="1" applyAlignment="1">
      <alignment horizontal="center" vertical="center"/>
    </xf>
    <xf numFmtId="0" fontId="131" fillId="17" borderId="92" xfId="0" applyFont="1" applyFill="1" applyBorder="1" applyAlignment="1">
      <alignment horizontal="center" vertical="center"/>
    </xf>
    <xf numFmtId="0" fontId="131" fillId="24" borderId="63" xfId="0" applyFont="1" applyFill="1" applyBorder="1" applyAlignment="1">
      <alignment horizontal="center" vertical="center"/>
    </xf>
    <xf numFmtId="0" fontId="131" fillId="24" borderId="92" xfId="0" applyFont="1" applyFill="1" applyBorder="1" applyAlignment="1">
      <alignment horizontal="center" vertical="center"/>
    </xf>
    <xf numFmtId="0" fontId="137" fillId="5" borderId="63" xfId="0" applyFont="1" applyFill="1" applyBorder="1" applyAlignment="1">
      <alignment horizontal="center" vertical="center"/>
    </xf>
    <xf numFmtId="0" fontId="131" fillId="78" borderId="92" xfId="0" applyFont="1" applyFill="1" applyBorder="1" applyAlignment="1">
      <alignment horizontal="center" vertical="center"/>
    </xf>
    <xf numFmtId="0" fontId="131" fillId="78" borderId="93" xfId="0" applyFont="1" applyFill="1" applyBorder="1" applyAlignment="1">
      <alignment horizontal="center" vertical="center"/>
    </xf>
    <xf numFmtId="0" fontId="131" fillId="26" borderId="63" xfId="0" applyFont="1" applyFill="1" applyBorder="1" applyAlignment="1">
      <alignment horizontal="center" vertical="center"/>
    </xf>
    <xf numFmtId="0" fontId="131" fillId="26" borderId="92" xfId="0" applyFont="1" applyFill="1" applyBorder="1" applyAlignment="1">
      <alignment horizontal="center" vertical="center"/>
    </xf>
    <xf numFmtId="0" fontId="131" fillId="26" borderId="93" xfId="0" applyFont="1" applyFill="1" applyBorder="1" applyAlignment="1">
      <alignment horizontal="center" vertical="center"/>
    </xf>
    <xf numFmtId="0" fontId="131" fillId="51" borderId="63" xfId="0" applyFont="1" applyFill="1" applyBorder="1" applyAlignment="1">
      <alignment horizontal="center" vertical="center"/>
    </xf>
    <xf numFmtId="0" fontId="131" fillId="51" borderId="92" xfId="0" applyFont="1" applyFill="1" applyBorder="1" applyAlignment="1">
      <alignment horizontal="center" vertical="center"/>
    </xf>
    <xf numFmtId="0" fontId="131" fillId="51" borderId="93" xfId="0" applyFont="1" applyFill="1" applyBorder="1" applyAlignment="1">
      <alignment horizontal="center" vertical="center"/>
    </xf>
    <xf numFmtId="0" fontId="132" fillId="17" borderId="63" xfId="0" applyFont="1" applyFill="1" applyBorder="1" applyAlignment="1">
      <alignment horizontal="center" vertical="center"/>
    </xf>
    <xf numFmtId="0" fontId="132" fillId="17" borderId="92" xfId="0" applyFont="1" applyFill="1" applyBorder="1" applyAlignment="1">
      <alignment horizontal="center" vertical="center"/>
    </xf>
    <xf numFmtId="0" fontId="132" fillId="17" borderId="93" xfId="0" applyFont="1" applyFill="1" applyBorder="1" applyAlignment="1">
      <alignment horizontal="center" vertical="center"/>
    </xf>
    <xf numFmtId="0" fontId="131" fillId="15" borderId="92" xfId="0" applyFont="1" applyFill="1" applyBorder="1" applyAlignment="1">
      <alignment horizontal="center" vertical="center"/>
    </xf>
    <xf numFmtId="0" fontId="131" fillId="15" borderId="93" xfId="0" applyFont="1" applyFill="1" applyBorder="1" applyAlignment="1">
      <alignment horizontal="center" vertical="center"/>
    </xf>
    <xf numFmtId="178" fontId="131" fillId="71" borderId="110" xfId="1" applyFont="1" applyFill="1" applyBorder="1" applyAlignment="1">
      <alignment horizontal="center" vertical="center"/>
    </xf>
    <xf numFmtId="178" fontId="131" fillId="71" borderId="92" xfId="1" applyFont="1" applyFill="1" applyBorder="1" applyAlignment="1">
      <alignment horizontal="center" vertical="center"/>
    </xf>
    <xf numFmtId="178" fontId="131" fillId="71" borderId="111" xfId="1" applyFont="1" applyFill="1" applyBorder="1" applyAlignment="1">
      <alignment horizontal="center" vertical="center"/>
    </xf>
    <xf numFmtId="178" fontId="127" fillId="0" borderId="121" xfId="1" applyFont="1" applyBorder="1" applyAlignment="1">
      <alignment horizontal="center" vertical="center"/>
    </xf>
    <xf numFmtId="178" fontId="127" fillId="0" borderId="116" xfId="1" applyFont="1" applyBorder="1" applyAlignment="1">
      <alignment horizontal="center" vertical="center"/>
    </xf>
    <xf numFmtId="0" fontId="132" fillId="18" borderId="44" xfId="46" applyFont="1" applyFill="1" applyBorder="1" applyAlignment="1">
      <alignment horizontal="center" vertical="center" wrapText="1"/>
    </xf>
    <xf numFmtId="0" fontId="132" fillId="18" borderId="109" xfId="46" applyFont="1" applyFill="1" applyBorder="1" applyAlignment="1">
      <alignment horizontal="center" vertical="center" wrapText="1"/>
    </xf>
    <xf numFmtId="0" fontId="132" fillId="18" borderId="47" xfId="46" applyFont="1" applyFill="1" applyBorder="1" applyAlignment="1">
      <alignment horizontal="center" vertical="center" wrapText="1"/>
    </xf>
    <xf numFmtId="0" fontId="132" fillId="18" borderId="8" xfId="46" applyFont="1" applyFill="1" applyBorder="1" applyAlignment="1">
      <alignment horizontal="center" vertical="center" wrapText="1"/>
    </xf>
    <xf numFmtId="0" fontId="132" fillId="18" borderId="6" xfId="46" applyFont="1" applyFill="1" applyBorder="1" applyAlignment="1">
      <alignment horizontal="center" vertical="center" wrapText="1"/>
    </xf>
    <xf numFmtId="0" fontId="132" fillId="18" borderId="7" xfId="46" applyFont="1" applyFill="1" applyBorder="1" applyAlignment="1">
      <alignment horizontal="center" vertical="center" wrapText="1"/>
    </xf>
    <xf numFmtId="0" fontId="132" fillId="18" borderId="45" xfId="46" applyFont="1" applyFill="1" applyBorder="1" applyAlignment="1">
      <alignment horizontal="center" vertical="center" wrapText="1"/>
    </xf>
    <xf numFmtId="0" fontId="132" fillId="18" borderId="89" xfId="46" applyFont="1" applyFill="1" applyBorder="1" applyAlignment="1">
      <alignment horizontal="center" vertical="center" wrapText="1"/>
    </xf>
    <xf numFmtId="0" fontId="132" fillId="18" borderId="13" xfId="46" applyFont="1" applyFill="1" applyBorder="1" applyAlignment="1">
      <alignment horizontal="center" vertical="center" wrapText="1"/>
    </xf>
    <xf numFmtId="0" fontId="136" fillId="0" borderId="51" xfId="0" applyFont="1" applyBorder="1" applyAlignment="1">
      <alignment horizontal="center" vertical="center" wrapText="1"/>
    </xf>
    <xf numFmtId="0" fontId="136" fillId="0" borderId="113" xfId="0" applyFont="1" applyBorder="1" applyAlignment="1">
      <alignment horizontal="center" vertical="center" wrapText="1"/>
    </xf>
    <xf numFmtId="178" fontId="132" fillId="71" borderId="108" xfId="1" applyFont="1" applyFill="1" applyBorder="1" applyAlignment="1">
      <alignment horizontal="center" vertical="center" wrapText="1"/>
    </xf>
    <xf numFmtId="178" fontId="132" fillId="71" borderId="112" xfId="1" applyFont="1" applyFill="1" applyBorder="1" applyAlignment="1">
      <alignment horizontal="center" vertical="center" wrapText="1"/>
    </xf>
    <xf numFmtId="178" fontId="132" fillId="71" borderId="114" xfId="1" applyFont="1" applyFill="1" applyBorder="1" applyAlignment="1">
      <alignment horizontal="center" vertical="center" wrapText="1"/>
    </xf>
    <xf numFmtId="0" fontId="129" fillId="0" borderId="0" xfId="0" applyFont="1" applyAlignment="1">
      <alignment horizontal="center" vertical="center" wrapText="1"/>
    </xf>
    <xf numFmtId="189" fontId="129" fillId="0" borderId="0" xfId="0" applyNumberFormat="1" applyFont="1" applyAlignment="1">
      <alignment horizontal="center" vertical="center" wrapText="1"/>
    </xf>
    <xf numFmtId="0" fontId="62" fillId="0" borderId="82" xfId="0" applyFont="1" applyBorder="1" applyAlignment="1">
      <alignment horizontal="center" vertical="center" wrapText="1"/>
    </xf>
    <xf numFmtId="0" fontId="62" fillId="0" borderId="82" xfId="0" applyFont="1" applyBorder="1" applyAlignment="1">
      <alignment horizontal="left" vertical="center" wrapText="1"/>
    </xf>
    <xf numFmtId="0" fontId="132" fillId="0" borderId="50" xfId="0" applyFont="1" applyBorder="1" applyAlignment="1">
      <alignment horizontal="center" vertical="center" wrapText="1"/>
    </xf>
    <xf numFmtId="0" fontId="132" fillId="0" borderId="91" xfId="0" applyFont="1" applyBorder="1" applyAlignment="1">
      <alignment horizontal="center" vertical="center" wrapText="1"/>
    </xf>
    <xf numFmtId="0" fontId="132" fillId="0" borderId="13" xfId="0" applyFont="1" applyBorder="1" applyAlignment="1">
      <alignment horizontal="center" vertical="center" wrapText="1"/>
    </xf>
    <xf numFmtId="0" fontId="132" fillId="0" borderId="89" xfId="0" applyFont="1" applyBorder="1" applyAlignment="1">
      <alignment horizontal="center" vertical="center" wrapText="1"/>
    </xf>
    <xf numFmtId="180" fontId="117" fillId="0" borderId="0" xfId="0" applyNumberFormat="1" applyFont="1" applyAlignment="1">
      <alignment horizontal="center" vertical="center"/>
    </xf>
    <xf numFmtId="180" fontId="118" fillId="0" borderId="0" xfId="0" applyNumberFormat="1" applyFont="1" applyAlignment="1">
      <alignment horizontal="center" vertical="center"/>
    </xf>
    <xf numFmtId="180" fontId="96" fillId="8" borderId="1" xfId="0" applyNumberFormat="1" applyFont="1" applyFill="1" applyBorder="1" applyAlignment="1">
      <alignment horizontal="center" vertical="center" wrapText="1"/>
    </xf>
    <xf numFmtId="180" fontId="42" fillId="0" borderId="1" xfId="0" applyNumberFormat="1" applyFont="1" applyBorder="1" applyAlignment="1">
      <alignment horizontal="center" vertical="center" wrapText="1"/>
    </xf>
    <xf numFmtId="180" fontId="95" fillId="76" borderId="1" xfId="0" applyNumberFormat="1" applyFont="1" applyFill="1" applyBorder="1" applyAlignment="1">
      <alignment horizontal="center" vertical="center"/>
    </xf>
    <xf numFmtId="180" fontId="116" fillId="0" borderId="1" xfId="0" applyNumberFormat="1" applyFont="1" applyBorder="1" applyAlignment="1">
      <alignment horizontal="center" vertical="center" wrapText="1"/>
    </xf>
    <xf numFmtId="180" fontId="120" fillId="0" borderId="1" xfId="0" applyNumberFormat="1" applyFont="1" applyBorder="1" applyAlignment="1">
      <alignment horizontal="center" vertical="center" wrapText="1"/>
    </xf>
    <xf numFmtId="180" fontId="96" fillId="0" borderId="0" xfId="0" applyNumberFormat="1" applyFont="1" applyAlignment="1">
      <alignment horizontal="left" vertical="center"/>
    </xf>
    <xf numFmtId="180" fontId="96" fillId="0" borderId="0" xfId="0" applyNumberFormat="1" applyFont="1" applyAlignment="1">
      <alignment horizontal="center" vertical="center"/>
    </xf>
    <xf numFmtId="180" fontId="95" fillId="0" borderId="1" xfId="0" applyNumberFormat="1" applyFont="1" applyBorder="1" applyAlignment="1">
      <alignment horizontal="center" vertical="center" wrapText="1"/>
    </xf>
    <xf numFmtId="180" fontId="1" fillId="0" borderId="0" xfId="0" applyNumberFormat="1" applyFont="1" applyAlignment="1">
      <alignment horizontal="center" vertical="top"/>
    </xf>
    <xf numFmtId="178" fontId="48" fillId="0" borderId="0" xfId="1" applyFont="1" applyFill="1" applyAlignment="1">
      <alignment horizontal="center" vertical="center" wrapText="1"/>
    </xf>
    <xf numFmtId="178" fontId="14" fillId="0" borderId="9" xfId="1" applyFont="1" applyFill="1" applyBorder="1" applyAlignment="1">
      <alignment horizontal="center" vertical="center" wrapText="1"/>
    </xf>
    <xf numFmtId="178" fontId="14" fillId="0" borderId="12" xfId="1" applyFont="1" applyFill="1" applyBorder="1" applyAlignment="1">
      <alignment horizontal="center" vertical="center" wrapText="1"/>
    </xf>
    <xf numFmtId="178" fontId="14" fillId="0" borderId="10" xfId="1" applyFont="1" applyFill="1" applyBorder="1" applyAlignment="1">
      <alignment horizontal="center" vertical="center" wrapText="1"/>
    </xf>
    <xf numFmtId="178" fontId="14" fillId="0" borderId="13" xfId="1" applyFont="1" applyFill="1" applyBorder="1" applyAlignment="1">
      <alignment horizontal="center" vertical="center" wrapText="1"/>
    </xf>
    <xf numFmtId="178" fontId="14" fillId="3" borderId="13" xfId="1" applyFont="1" applyFill="1" applyBorder="1" applyAlignment="1">
      <alignment horizontal="center" vertical="center" wrapText="1"/>
    </xf>
    <xf numFmtId="178" fontId="14" fillId="3" borderId="50" xfId="1" applyFont="1" applyFill="1" applyBorder="1" applyAlignment="1">
      <alignment horizontal="center" vertical="center" wrapText="1"/>
    </xf>
    <xf numFmtId="178" fontId="14" fillId="3" borderId="89" xfId="1" applyFont="1" applyFill="1" applyBorder="1" applyAlignment="1">
      <alignment horizontal="center" vertical="center" wrapText="1"/>
    </xf>
    <xf numFmtId="178" fontId="14" fillId="3" borderId="91" xfId="1" applyFont="1" applyFill="1" applyBorder="1" applyAlignment="1">
      <alignment horizontal="center" vertical="center" wrapText="1"/>
    </xf>
    <xf numFmtId="178" fontId="14" fillId="70" borderId="10" xfId="1" applyFont="1" applyFill="1" applyBorder="1" applyAlignment="1">
      <alignment horizontal="center" vertical="center" wrapText="1"/>
    </xf>
    <xf numFmtId="178" fontId="14" fillId="70" borderId="13" xfId="1" applyFont="1" applyFill="1" applyBorder="1" applyAlignment="1">
      <alignment horizontal="center" vertical="center" wrapText="1"/>
    </xf>
    <xf numFmtId="10" fontId="14" fillId="70" borderId="10" xfId="2" applyNumberFormat="1" applyFont="1" applyFill="1" applyBorder="1" applyAlignment="1">
      <alignment horizontal="center" vertical="center" wrapText="1"/>
    </xf>
    <xf numFmtId="10" fontId="14" fillId="70" borderId="13" xfId="2" applyNumberFormat="1" applyFont="1" applyFill="1" applyBorder="1" applyAlignment="1">
      <alignment horizontal="center" vertical="center" wrapText="1"/>
    </xf>
    <xf numFmtId="178" fontId="14" fillId="51" borderId="10" xfId="1" applyFont="1" applyFill="1" applyBorder="1" applyAlignment="1">
      <alignment horizontal="center" vertical="center" wrapText="1"/>
    </xf>
    <xf numFmtId="178" fontId="14" fillId="51" borderId="13" xfId="1" applyFont="1" applyFill="1" applyBorder="1" applyAlignment="1">
      <alignment horizontal="center" vertical="center" wrapText="1"/>
    </xf>
    <xf numFmtId="178" fontId="14" fillId="49" borderId="10" xfId="1" applyFont="1" applyFill="1" applyBorder="1" applyAlignment="1">
      <alignment horizontal="center" vertical="center" wrapText="1"/>
    </xf>
    <xf numFmtId="178" fontId="14" fillId="49" borderId="13" xfId="1" applyFont="1" applyFill="1" applyBorder="1" applyAlignment="1">
      <alignment horizontal="center" vertical="center" wrapText="1"/>
    </xf>
    <xf numFmtId="178" fontId="14" fillId="24" borderId="10" xfId="1" applyFont="1" applyFill="1" applyBorder="1" applyAlignment="1">
      <alignment horizontal="center" vertical="center" wrapText="1"/>
    </xf>
    <xf numFmtId="178" fontId="14" fillId="24" borderId="13" xfId="1" applyFont="1" applyFill="1" applyBorder="1" applyAlignment="1">
      <alignment horizontal="center" vertical="center" wrapText="1"/>
    </xf>
    <xf numFmtId="178" fontId="14" fillId="12" borderId="10" xfId="1" applyFont="1" applyFill="1" applyBorder="1" applyAlignment="1">
      <alignment horizontal="center" vertical="center" wrapText="1"/>
    </xf>
    <xf numFmtId="178" fontId="14" fillId="2" borderId="13" xfId="1" applyFont="1" applyFill="1" applyBorder="1" applyAlignment="1">
      <alignment horizontal="center" vertical="center" wrapText="1"/>
    </xf>
    <xf numFmtId="178" fontId="14" fillId="29" borderId="10" xfId="1" applyFont="1" applyFill="1" applyBorder="1" applyAlignment="1">
      <alignment horizontal="center" vertical="center" wrapText="1"/>
    </xf>
    <xf numFmtId="178" fontId="14" fillId="29" borderId="13" xfId="1" applyFont="1" applyFill="1" applyBorder="1" applyAlignment="1">
      <alignment horizontal="center" vertical="center" wrapText="1"/>
    </xf>
    <xf numFmtId="178" fontId="14" fillId="71" borderId="10" xfId="1" applyFont="1" applyFill="1" applyBorder="1" applyAlignment="1">
      <alignment horizontal="center" vertical="center" wrapText="1"/>
    </xf>
    <xf numFmtId="178" fontId="14" fillId="71" borderId="13" xfId="1" applyFont="1" applyFill="1" applyBorder="1" applyAlignment="1">
      <alignment horizontal="center" vertical="center" wrapText="1"/>
    </xf>
    <xf numFmtId="178" fontId="115" fillId="0" borderId="97" xfId="1" applyFont="1" applyBorder="1" applyAlignment="1">
      <alignment horizontal="center" vertical="center"/>
    </xf>
    <xf numFmtId="178" fontId="115" fillId="0" borderId="48" xfId="1" applyFont="1" applyBorder="1" applyAlignment="1">
      <alignment horizontal="center" vertical="center"/>
    </xf>
    <xf numFmtId="178" fontId="115" fillId="0" borderId="0" xfId="1" applyFont="1" applyBorder="1" applyAlignment="1">
      <alignment horizontal="center" vertical="center"/>
    </xf>
    <xf numFmtId="0" fontId="107" fillId="40" borderId="58" xfId="0" applyFont="1" applyFill="1" applyBorder="1" applyAlignment="1">
      <alignment horizontal="center" vertical="center" wrapText="1"/>
    </xf>
    <xf numFmtId="0" fontId="107" fillId="41" borderId="94" xfId="0" applyFont="1" applyFill="1" applyBorder="1" applyAlignment="1">
      <alignment horizontal="center" vertical="center" wrapText="1"/>
    </xf>
    <xf numFmtId="0" fontId="107" fillId="42" borderId="95" xfId="0" applyFont="1" applyFill="1" applyBorder="1" applyAlignment="1">
      <alignment horizontal="center" vertical="center" wrapText="1"/>
    </xf>
    <xf numFmtId="0" fontId="107" fillId="42" borderId="4" xfId="0" applyFont="1" applyFill="1" applyBorder="1" applyAlignment="1">
      <alignment horizontal="center" vertical="center" wrapText="1"/>
    </xf>
    <xf numFmtId="0" fontId="107" fillId="42" borderId="5" xfId="0" applyFont="1" applyFill="1" applyBorder="1" applyAlignment="1">
      <alignment horizontal="center" vertical="center" wrapText="1"/>
    </xf>
    <xf numFmtId="0" fontId="107" fillId="43" borderId="3" xfId="0" applyFont="1" applyFill="1" applyBorder="1" applyAlignment="1">
      <alignment horizontal="center" vertical="center" wrapText="1"/>
    </xf>
    <xf numFmtId="0" fontId="107" fillId="43" borderId="4" xfId="0" applyFont="1" applyFill="1" applyBorder="1" applyAlignment="1">
      <alignment horizontal="center" vertical="center" wrapText="1"/>
    </xf>
    <xf numFmtId="0" fontId="107" fillId="43" borderId="5" xfId="0" applyFont="1" applyFill="1" applyBorder="1" applyAlignment="1">
      <alignment horizontal="center" vertical="center" wrapText="1"/>
    </xf>
    <xf numFmtId="0" fontId="5" fillId="43" borderId="2" xfId="36" applyFont="1" applyFill="1" applyBorder="1" applyAlignment="1">
      <alignment horizontal="center" vertical="center" wrapText="1"/>
    </xf>
    <xf numFmtId="0" fontId="5" fillId="43" borderId="58" xfId="36" applyFont="1" applyFill="1" applyBorder="1" applyAlignment="1">
      <alignment horizontal="center" vertical="center" wrapText="1"/>
    </xf>
    <xf numFmtId="0" fontId="107" fillId="44" borderId="58" xfId="0" applyFont="1" applyFill="1" applyBorder="1" applyAlignment="1">
      <alignment horizontal="center" vertical="center" wrapText="1"/>
    </xf>
    <xf numFmtId="0" fontId="107" fillId="45" borderId="1" xfId="0" applyFont="1" applyFill="1" applyBorder="1" applyAlignment="1">
      <alignment horizontal="center" vertical="center" wrapText="1"/>
    </xf>
    <xf numFmtId="180" fontId="7" fillId="46" borderId="1" xfId="35" applyNumberFormat="1" applyFont="1" applyFill="1" applyBorder="1" applyAlignment="1">
      <alignment horizontal="center" vertical="center" wrapText="1"/>
    </xf>
    <xf numFmtId="0" fontId="107" fillId="47" borderId="1" xfId="0" applyFont="1" applyFill="1" applyBorder="1" applyAlignment="1">
      <alignment horizontal="center" vertical="center" wrapText="1"/>
    </xf>
    <xf numFmtId="0" fontId="21" fillId="48" borderId="55" xfId="0" applyFont="1" applyFill="1" applyBorder="1" applyAlignment="1">
      <alignment horizontal="center" vertical="center" wrapText="1"/>
    </xf>
    <xf numFmtId="0" fontId="21" fillId="48" borderId="0" xfId="0" applyFont="1" applyFill="1" applyAlignment="1">
      <alignment horizontal="center" vertical="center" wrapText="1"/>
    </xf>
    <xf numFmtId="0" fontId="7" fillId="46" borderId="1" xfId="0" applyFont="1" applyFill="1" applyBorder="1" applyAlignment="1">
      <alignment horizontal="center" vertical="center" wrapText="1"/>
    </xf>
    <xf numFmtId="0" fontId="108" fillId="49" borderId="1" xfId="0" applyFont="1" applyFill="1" applyBorder="1" applyAlignment="1">
      <alignment horizontal="center" vertical="center" wrapText="1"/>
    </xf>
    <xf numFmtId="0" fontId="108" fillId="50" borderId="3" xfId="0" applyFont="1" applyFill="1" applyBorder="1" applyAlignment="1">
      <alignment horizontal="center" vertical="center" wrapText="1"/>
    </xf>
    <xf numFmtId="0" fontId="108" fillId="50" borderId="4" xfId="0" applyFont="1" applyFill="1" applyBorder="1" applyAlignment="1">
      <alignment horizontal="center" vertical="center" wrapText="1"/>
    </xf>
    <xf numFmtId="0" fontId="108" fillId="50" borderId="5" xfId="0" applyFont="1" applyFill="1" applyBorder="1" applyAlignment="1">
      <alignment horizontal="center" vertical="center" wrapText="1"/>
    </xf>
    <xf numFmtId="0" fontId="7" fillId="51" borderId="1" xfId="35" applyFont="1" applyFill="1" applyBorder="1" applyAlignment="1">
      <alignment horizontal="center" vertical="center" wrapText="1"/>
    </xf>
    <xf numFmtId="0" fontId="7" fillId="52" borderId="3" xfId="35" applyFont="1" applyFill="1" applyBorder="1" applyAlignment="1">
      <alignment horizontal="center" vertical="center" wrapText="1"/>
    </xf>
    <xf numFmtId="0" fontId="7" fillId="52" borderId="4" xfId="35" applyFont="1" applyFill="1" applyBorder="1" applyAlignment="1">
      <alignment horizontal="center" vertical="center" wrapText="1"/>
    </xf>
    <xf numFmtId="0" fontId="7" fillId="52" borderId="5" xfId="35" applyFont="1" applyFill="1" applyBorder="1" applyAlignment="1">
      <alignment horizontal="center" vertical="center" wrapText="1"/>
    </xf>
    <xf numFmtId="0" fontId="107" fillId="42" borderId="3" xfId="0" applyFont="1" applyFill="1" applyBorder="1" applyAlignment="1">
      <alignment horizontal="center" vertical="center" wrapText="1"/>
    </xf>
    <xf numFmtId="0" fontId="107" fillId="42" borderId="1" xfId="0" applyFont="1" applyFill="1" applyBorder="1" applyAlignment="1">
      <alignment horizontal="center" vertical="center" wrapText="1"/>
    </xf>
    <xf numFmtId="0" fontId="107" fillId="39" borderId="7" xfId="0" applyFont="1" applyFill="1" applyBorder="1" applyAlignment="1">
      <alignment horizontal="center" vertical="center" wrapText="1"/>
    </xf>
    <xf numFmtId="0" fontId="107" fillId="40" borderId="8" xfId="0" applyFont="1" applyFill="1" applyBorder="1" applyAlignment="1">
      <alignment horizontal="center" vertical="center" wrapText="1"/>
    </xf>
    <xf numFmtId="0" fontId="107" fillId="40" borderId="7" xfId="0" applyFont="1" applyFill="1" applyBorder="1" applyAlignment="1">
      <alignment horizontal="center" vertical="center" wrapText="1"/>
    </xf>
    <xf numFmtId="0" fontId="107" fillId="0" borderId="8" xfId="0" applyFont="1" applyBorder="1" applyAlignment="1">
      <alignment horizontal="center" vertical="center" wrapText="1"/>
    </xf>
    <xf numFmtId="0" fontId="107" fillId="0" borderId="7" xfId="0" applyFont="1" applyBorder="1" applyAlignment="1">
      <alignment horizontal="center" vertical="center" wrapText="1"/>
    </xf>
    <xf numFmtId="0" fontId="107" fillId="40" borderId="8" xfId="35" applyFont="1" applyFill="1" applyBorder="1" applyAlignment="1">
      <alignment horizontal="center" vertical="center" wrapText="1"/>
    </xf>
    <xf numFmtId="0" fontId="107" fillId="40" borderId="7" xfId="35" applyFont="1" applyFill="1" applyBorder="1" applyAlignment="1">
      <alignment horizontal="center" vertical="center" wrapText="1"/>
    </xf>
    <xf numFmtId="0" fontId="107" fillId="41" borderId="8" xfId="0" applyFont="1" applyFill="1" applyBorder="1" applyAlignment="1">
      <alignment horizontal="center" vertical="center" wrapText="1"/>
    </xf>
    <xf numFmtId="0" fontId="107" fillId="41" borderId="7" xfId="0" applyFont="1" applyFill="1" applyBorder="1" applyAlignment="1">
      <alignment horizontal="center" vertical="center" wrapText="1"/>
    </xf>
    <xf numFmtId="0" fontId="107" fillId="41" borderId="6" xfId="0" applyFont="1" applyFill="1" applyBorder="1" applyAlignment="1">
      <alignment horizontal="center" vertical="center" wrapText="1"/>
    </xf>
    <xf numFmtId="0" fontId="107" fillId="42" borderId="8" xfId="0" applyFont="1" applyFill="1" applyBorder="1" applyAlignment="1">
      <alignment horizontal="center" vertical="center" wrapText="1"/>
    </xf>
    <xf numFmtId="0" fontId="107" fillId="42" borderId="7" xfId="0" applyFont="1" applyFill="1" applyBorder="1" applyAlignment="1">
      <alignment horizontal="center" vertical="center" wrapText="1"/>
    </xf>
    <xf numFmtId="179" fontId="107" fillId="42" borderId="8" xfId="3" applyFont="1" applyFill="1" applyBorder="1" applyAlignment="1">
      <alignment horizontal="center" vertical="center" wrapText="1"/>
    </xf>
    <xf numFmtId="179" fontId="107" fillId="42" borderId="7" xfId="3" applyFont="1" applyFill="1" applyBorder="1" applyAlignment="1">
      <alignment horizontal="center" vertical="center" wrapText="1"/>
    </xf>
    <xf numFmtId="0" fontId="107" fillId="0" borderId="6" xfId="0" applyFont="1" applyBorder="1" applyAlignment="1">
      <alignment horizontal="center" vertical="center" wrapText="1"/>
    </xf>
    <xf numFmtId="0" fontId="107" fillId="53" borderId="8" xfId="0" applyFont="1" applyFill="1" applyBorder="1" applyAlignment="1">
      <alignment horizontal="center" vertical="center" wrapText="1"/>
    </xf>
    <xf numFmtId="0" fontId="107" fillId="53" borderId="7" xfId="0" applyFont="1" applyFill="1" applyBorder="1" applyAlignment="1">
      <alignment horizontal="center" vertical="center" wrapText="1"/>
    </xf>
    <xf numFmtId="0" fontId="107" fillId="0" borderId="8" xfId="0" applyFont="1" applyBorder="1" applyAlignment="1">
      <alignment horizontal="center" vertical="center"/>
    </xf>
    <xf numFmtId="0" fontId="107" fillId="0" borderId="7" xfId="0" applyFont="1" applyBorder="1" applyAlignment="1">
      <alignment horizontal="center" vertical="center"/>
    </xf>
    <xf numFmtId="0" fontId="107" fillId="54" borderId="8" xfId="0" applyFont="1" applyFill="1" applyBorder="1" applyAlignment="1">
      <alignment horizontal="center" vertical="center" wrapText="1"/>
    </xf>
    <xf numFmtId="0" fontId="107" fillId="54" borderId="7" xfId="0" applyFont="1" applyFill="1" applyBorder="1" applyAlignment="1">
      <alignment horizontal="center" vertical="center" wrapText="1"/>
    </xf>
    <xf numFmtId="0" fontId="5" fillId="55" borderId="8" xfId="36" applyFont="1" applyFill="1" applyBorder="1" applyAlignment="1">
      <alignment horizontal="center" vertical="center" wrapText="1"/>
    </xf>
    <xf numFmtId="0" fontId="5" fillId="55" borderId="7" xfId="36" applyFont="1" applyFill="1" applyBorder="1" applyAlignment="1">
      <alignment horizontal="center" vertical="center" wrapText="1"/>
    </xf>
    <xf numFmtId="179" fontId="110" fillId="55" borderId="8" xfId="3" applyFont="1" applyFill="1" applyBorder="1" applyAlignment="1">
      <alignment horizontal="center" vertical="center" wrapText="1"/>
    </xf>
    <xf numFmtId="179" fontId="110" fillId="55" borderId="7" xfId="3" applyFont="1" applyFill="1" applyBorder="1" applyAlignment="1">
      <alignment horizontal="center" vertical="center" wrapText="1"/>
    </xf>
    <xf numFmtId="0" fontId="110" fillId="55" borderId="8" xfId="36" applyFont="1" applyFill="1" applyBorder="1" applyAlignment="1">
      <alignment horizontal="center" vertical="center" wrapText="1"/>
    </xf>
    <xf numFmtId="0" fontId="110" fillId="55" borderId="7" xfId="36" applyFont="1" applyFill="1" applyBorder="1" applyAlignment="1">
      <alignment horizontal="center" vertical="center" wrapText="1"/>
    </xf>
    <xf numFmtId="0" fontId="5" fillId="0" borderId="8" xfId="36" applyFont="1" applyBorder="1" applyAlignment="1">
      <alignment horizontal="center" vertical="center" wrapText="1"/>
    </xf>
    <xf numFmtId="0" fontId="5" fillId="0" borderId="7" xfId="36" applyFont="1" applyBorder="1" applyAlignment="1">
      <alignment horizontal="center" vertical="center" wrapText="1"/>
    </xf>
    <xf numFmtId="0" fontId="107" fillId="44" borderId="8" xfId="0" applyFont="1" applyFill="1" applyBorder="1" applyAlignment="1">
      <alignment horizontal="center" vertical="center" wrapText="1"/>
    </xf>
    <xf numFmtId="0" fontId="107" fillId="44" borderId="7" xfId="0" applyFont="1" applyFill="1" applyBorder="1" applyAlignment="1">
      <alignment horizontal="center" vertical="center" wrapText="1"/>
    </xf>
    <xf numFmtId="178" fontId="107" fillId="45" borderId="6" xfId="1" applyFont="1" applyFill="1" applyBorder="1" applyAlignment="1">
      <alignment horizontal="center" vertical="center" wrapText="1"/>
    </xf>
    <xf numFmtId="178" fontId="107" fillId="45" borderId="7" xfId="1" applyFont="1" applyFill="1" applyBorder="1" applyAlignment="1">
      <alignment horizontal="center" vertical="center" wrapText="1"/>
    </xf>
    <xf numFmtId="178" fontId="107" fillId="45" borderId="8" xfId="1" applyFont="1" applyFill="1" applyBorder="1" applyAlignment="1">
      <alignment horizontal="center" vertical="center" wrapText="1"/>
    </xf>
    <xf numFmtId="0" fontId="107" fillId="0" borderId="1" xfId="0" applyFont="1" applyBorder="1" applyAlignment="1">
      <alignment horizontal="center" vertical="center" wrapText="1"/>
    </xf>
    <xf numFmtId="0" fontId="5" fillId="45" borderId="8" xfId="36" applyFont="1" applyFill="1" applyBorder="1" applyAlignment="1">
      <alignment horizontal="center" vertical="center" wrapText="1"/>
    </xf>
    <xf numFmtId="0" fontId="5" fillId="45" borderId="7" xfId="36" applyFont="1" applyFill="1" applyBorder="1" applyAlignment="1">
      <alignment horizontal="center" vertical="center" wrapText="1"/>
    </xf>
    <xf numFmtId="178" fontId="107" fillId="45" borderId="96" xfId="1" applyFont="1" applyFill="1" applyBorder="1" applyAlignment="1">
      <alignment horizontal="center" vertical="center" wrapText="1"/>
    </xf>
    <xf numFmtId="178" fontId="107" fillId="45" borderId="23" xfId="1" applyFont="1" applyFill="1" applyBorder="1" applyAlignment="1">
      <alignment horizontal="center" vertical="center" wrapText="1"/>
    </xf>
    <xf numFmtId="0" fontId="5" fillId="45" borderId="96" xfId="36" applyFont="1" applyFill="1" applyBorder="1" applyAlignment="1">
      <alignment horizontal="center" vertical="center" wrapText="1"/>
    </xf>
    <xf numFmtId="0" fontId="5" fillId="45" borderId="23" xfId="36" applyFont="1" applyFill="1" applyBorder="1" applyAlignment="1">
      <alignment horizontal="center" vertical="center" wrapText="1"/>
    </xf>
    <xf numFmtId="0" fontId="5" fillId="14" borderId="8" xfId="0" applyFont="1" applyFill="1" applyBorder="1" applyAlignment="1">
      <alignment horizontal="center" vertical="center" wrapText="1"/>
    </xf>
    <xf numFmtId="0" fontId="5" fillId="14" borderId="7" xfId="0" applyFont="1" applyFill="1" applyBorder="1" applyAlignment="1">
      <alignment horizontal="center" vertical="center" wrapText="1"/>
    </xf>
    <xf numFmtId="180" fontId="5" fillId="14" borderId="1" xfId="35" applyNumberFormat="1" applyFont="1" applyFill="1" applyBorder="1" applyAlignment="1">
      <alignment horizontal="center" vertical="center" wrapText="1"/>
    </xf>
    <xf numFmtId="0" fontId="107" fillId="47" borderId="8" xfId="0" applyFont="1" applyFill="1" applyBorder="1" applyAlignment="1">
      <alignment horizontal="center" vertical="center" wrapText="1"/>
    </xf>
    <xf numFmtId="0" fontId="107" fillId="47" borderId="7" xfId="0" applyFont="1" applyFill="1" applyBorder="1" applyAlignment="1">
      <alignment horizontal="center" vertical="center" wrapText="1"/>
    </xf>
    <xf numFmtId="0" fontId="107" fillId="47" borderId="22" xfId="0" applyFont="1" applyFill="1" applyBorder="1" applyAlignment="1">
      <alignment horizontal="center" vertical="center" wrapText="1"/>
    </xf>
    <xf numFmtId="0" fontId="107" fillId="47" borderId="58" xfId="0" applyFont="1" applyFill="1" applyBorder="1" applyAlignment="1">
      <alignment horizontal="center" vertical="center" wrapText="1"/>
    </xf>
    <xf numFmtId="180" fontId="7" fillId="48" borderId="8" xfId="0" applyNumberFormat="1" applyFont="1" applyFill="1" applyBorder="1" applyAlignment="1">
      <alignment horizontal="center" vertical="center" wrapText="1"/>
    </xf>
    <xf numFmtId="180" fontId="7" fillId="48" borderId="7" xfId="0" applyNumberFormat="1" applyFont="1" applyFill="1" applyBorder="1" applyAlignment="1">
      <alignment horizontal="center" vertical="center" wrapText="1"/>
    </xf>
    <xf numFmtId="0" fontId="7" fillId="48" borderId="8" xfId="0" applyFont="1" applyFill="1" applyBorder="1" applyAlignment="1">
      <alignment horizontal="center" vertical="center" wrapText="1"/>
    </xf>
    <xf numFmtId="0" fontId="7" fillId="48" borderId="7" xfId="0" applyFont="1" applyFill="1" applyBorder="1" applyAlignment="1">
      <alignment horizontal="center" vertical="center" wrapText="1"/>
    </xf>
    <xf numFmtId="0" fontId="7" fillId="46" borderId="8" xfId="0" applyFont="1" applyFill="1" applyBorder="1" applyAlignment="1">
      <alignment horizontal="center" vertical="center" wrapText="1"/>
    </xf>
    <xf numFmtId="0" fontId="7" fillId="46" borderId="7" xfId="0" applyFont="1" applyFill="1" applyBorder="1" applyAlignment="1">
      <alignment horizontal="center" vertical="center" wrapText="1"/>
    </xf>
    <xf numFmtId="0" fontId="108" fillId="49" borderId="8" xfId="0" applyFont="1" applyFill="1" applyBorder="1" applyAlignment="1">
      <alignment horizontal="center" vertical="center" wrapText="1"/>
    </xf>
    <xf numFmtId="0" fontId="108" fillId="49" borderId="7" xfId="0" applyFont="1" applyFill="1" applyBorder="1" applyAlignment="1">
      <alignment horizontal="center" vertical="center" wrapText="1"/>
    </xf>
    <xf numFmtId="0" fontId="108" fillId="50" borderId="8" xfId="0" applyFont="1" applyFill="1" applyBorder="1" applyAlignment="1">
      <alignment horizontal="center" vertical="center" wrapText="1"/>
    </xf>
    <xf numFmtId="0" fontId="108" fillId="50" borderId="7" xfId="0" applyFont="1" applyFill="1" applyBorder="1" applyAlignment="1">
      <alignment horizontal="center" vertical="center" wrapText="1"/>
    </xf>
    <xf numFmtId="0" fontId="109" fillId="14" borderId="8" xfId="0" applyFont="1" applyFill="1" applyBorder="1" applyAlignment="1">
      <alignment horizontal="center" vertical="center" wrapText="1"/>
    </xf>
    <xf numFmtId="0" fontId="109" fillId="14" borderId="7" xfId="0" applyFont="1" applyFill="1" applyBorder="1" applyAlignment="1">
      <alignment horizontal="center" vertical="center" wrapText="1"/>
    </xf>
    <xf numFmtId="0" fontId="7" fillId="51" borderId="22" xfId="35" applyFont="1" applyFill="1" applyBorder="1" applyAlignment="1">
      <alignment horizontal="center" vertical="center" wrapText="1"/>
    </xf>
    <xf numFmtId="0" fontId="7" fillId="51" borderId="58" xfId="35" applyFont="1" applyFill="1" applyBorder="1" applyAlignment="1">
      <alignment horizontal="center" vertical="center" wrapText="1"/>
    </xf>
    <xf numFmtId="0" fontId="7" fillId="51" borderId="8" xfId="35" applyFont="1" applyFill="1" applyBorder="1" applyAlignment="1">
      <alignment horizontal="center" vertical="center" wrapText="1"/>
    </xf>
    <xf numFmtId="0" fontId="7" fillId="51" borderId="7" xfId="35" applyFont="1" applyFill="1" applyBorder="1" applyAlignment="1">
      <alignment horizontal="center" vertical="center" wrapText="1"/>
    </xf>
    <xf numFmtId="0" fontId="7" fillId="52" borderId="1" xfId="0" applyFont="1" applyFill="1" applyBorder="1" applyAlignment="1">
      <alignment horizontal="center" vertical="center" wrapText="1"/>
    </xf>
    <xf numFmtId="0" fontId="7" fillId="52" borderId="8" xfId="0" applyFont="1" applyFill="1" applyBorder="1" applyAlignment="1">
      <alignment horizontal="center" vertical="center" wrapText="1"/>
    </xf>
    <xf numFmtId="0" fontId="7" fillId="52" borderId="7" xfId="0" applyFont="1" applyFill="1" applyBorder="1" applyAlignment="1">
      <alignment horizontal="center" vertical="center" wrapText="1"/>
    </xf>
    <xf numFmtId="180" fontId="7" fillId="46" borderId="8" xfId="35" applyNumberFormat="1" applyFont="1" applyFill="1" applyBorder="1" applyAlignment="1">
      <alignment horizontal="center" vertical="center" wrapText="1"/>
    </xf>
    <xf numFmtId="180" fontId="7" fillId="46" borderId="7" xfId="35" applyNumberFormat="1" applyFont="1" applyFill="1" applyBorder="1" applyAlignment="1">
      <alignment horizontal="center" vertical="center" wrapText="1"/>
    </xf>
    <xf numFmtId="199" fontId="102" fillId="0" borderId="0" xfId="1" applyNumberFormat="1" applyFont="1" applyFill="1" applyBorder="1" applyAlignment="1">
      <alignment horizontal="center"/>
    </xf>
    <xf numFmtId="199" fontId="103" fillId="0" borderId="0" xfId="1" applyNumberFormat="1" applyFont="1" applyFill="1" applyBorder="1" applyAlignment="1">
      <alignment horizontal="center"/>
    </xf>
    <xf numFmtId="199" fontId="102" fillId="3" borderId="0" xfId="1" applyNumberFormat="1" applyFont="1" applyFill="1" applyBorder="1" applyAlignment="1">
      <alignment horizontal="center"/>
    </xf>
    <xf numFmtId="199" fontId="102" fillId="0" borderId="0" xfId="1" applyNumberFormat="1" applyFont="1" applyFill="1" applyBorder="1" applyAlignment="1">
      <alignment horizontal="left"/>
    </xf>
    <xf numFmtId="194" fontId="5" fillId="3" borderId="3" xfId="1" applyNumberFormat="1" applyFont="1" applyFill="1" applyBorder="1" applyAlignment="1">
      <alignment horizontal="center" vertical="center"/>
    </xf>
    <xf numFmtId="194" fontId="101" fillId="3" borderId="4" xfId="1" applyNumberFormat="1" applyFont="1" applyFill="1" applyBorder="1" applyAlignment="1">
      <alignment horizontal="center" vertical="center"/>
    </xf>
    <xf numFmtId="194" fontId="101" fillId="3" borderId="79" xfId="1" applyNumberFormat="1" applyFont="1" applyFill="1" applyBorder="1" applyAlignment="1">
      <alignment horizontal="center" vertical="center"/>
    </xf>
    <xf numFmtId="194" fontId="5" fillId="3" borderId="5" xfId="1" applyNumberFormat="1" applyFont="1" applyFill="1" applyBorder="1" applyAlignment="1">
      <alignment vertical="center"/>
    </xf>
    <xf numFmtId="194" fontId="101" fillId="3" borderId="1" xfId="1" applyNumberFormat="1" applyFont="1" applyFill="1" applyBorder="1" applyAlignment="1">
      <alignment vertical="center"/>
    </xf>
    <xf numFmtId="194" fontId="101" fillId="3" borderId="5" xfId="1" applyNumberFormat="1" applyFont="1" applyFill="1" applyBorder="1" applyAlignment="1">
      <alignment horizontal="center" vertical="center"/>
    </xf>
    <xf numFmtId="194" fontId="5" fillId="3" borderId="4" xfId="1" applyNumberFormat="1" applyFont="1" applyFill="1" applyBorder="1" applyAlignment="1">
      <alignment horizontal="center" vertical="center"/>
    </xf>
    <xf numFmtId="199" fontId="102" fillId="0" borderId="0" xfId="1" applyNumberFormat="1" applyFont="1" applyFill="1" applyBorder="1" applyAlignment="1"/>
    <xf numFmtId="199" fontId="102" fillId="0" borderId="0" xfId="1" applyNumberFormat="1" applyFont="1" applyFill="1" applyBorder="1" applyAlignment="1">
      <alignment horizontal="right"/>
    </xf>
    <xf numFmtId="43" fontId="75" fillId="3" borderId="3" xfId="1" applyNumberFormat="1" applyFont="1" applyFill="1" applyBorder="1" applyAlignment="1">
      <alignment horizontal="left" vertical="center"/>
    </xf>
    <xf numFmtId="43" fontId="75" fillId="3" borderId="4" xfId="1" applyNumberFormat="1" applyFont="1" applyFill="1" applyBorder="1" applyAlignment="1">
      <alignment horizontal="center" vertical="center"/>
    </xf>
    <xf numFmtId="43" fontId="75" fillId="3" borderId="4" xfId="1" applyNumberFormat="1" applyFont="1" applyFill="1" applyBorder="1" applyAlignment="1">
      <alignment horizontal="right" vertical="center"/>
    </xf>
    <xf numFmtId="43" fontId="75" fillId="3" borderId="5" xfId="1" applyNumberFormat="1" applyFont="1" applyFill="1" applyBorder="1" applyAlignment="1">
      <alignment horizontal="center" vertical="center"/>
    </xf>
    <xf numFmtId="43" fontId="75" fillId="3" borderId="3" xfId="1" applyNumberFormat="1" applyFont="1" applyFill="1" applyBorder="1" applyAlignment="1">
      <alignment horizontal="center" vertical="center"/>
    </xf>
    <xf numFmtId="200" fontId="5" fillId="3" borderId="1" xfId="1" applyNumberFormat="1" applyFont="1" applyFill="1" applyBorder="1" applyAlignment="1">
      <alignment horizontal="center" vertical="center" wrapText="1"/>
    </xf>
    <xf numFmtId="200" fontId="75" fillId="3" borderId="1" xfId="1" applyNumberFormat="1" applyFont="1" applyFill="1" applyBorder="1" applyAlignment="1">
      <alignment horizontal="center" vertical="center" wrapText="1"/>
    </xf>
    <xf numFmtId="186" fontId="75" fillId="0" borderId="8" xfId="1" applyNumberFormat="1" applyFont="1" applyFill="1" applyBorder="1" applyAlignment="1">
      <alignment horizontal="center" vertical="center" wrapText="1"/>
    </xf>
    <xf numFmtId="186" fontId="75" fillId="0" borderId="7" xfId="1" applyNumberFormat="1" applyFont="1" applyFill="1" applyBorder="1" applyAlignment="1">
      <alignment horizontal="center" vertical="center" wrapText="1"/>
    </xf>
    <xf numFmtId="200" fontId="74" fillId="3" borderId="1" xfId="1" applyNumberFormat="1" applyFont="1" applyFill="1" applyBorder="1" applyAlignment="1">
      <alignment horizontal="center" vertical="center" wrapText="1"/>
    </xf>
    <xf numFmtId="43" fontId="74" fillId="0" borderId="8" xfId="1" applyNumberFormat="1" applyFont="1" applyFill="1" applyBorder="1" applyAlignment="1">
      <alignment horizontal="center" vertical="center" wrapText="1"/>
    </xf>
    <xf numFmtId="43" fontId="74" fillId="0" borderId="7" xfId="1" applyNumberFormat="1" applyFont="1" applyFill="1" applyBorder="1" applyAlignment="1">
      <alignment horizontal="center" vertical="center" wrapText="1"/>
    </xf>
    <xf numFmtId="200" fontId="5" fillId="3" borderId="8" xfId="1" applyNumberFormat="1" applyFont="1" applyFill="1" applyBorder="1" applyAlignment="1">
      <alignment horizontal="left" vertical="center" wrapText="1"/>
    </xf>
    <xf numFmtId="200" fontId="75" fillId="3" borderId="7" xfId="1" applyNumberFormat="1" applyFont="1" applyFill="1" applyBorder="1" applyAlignment="1">
      <alignment horizontal="left" vertical="center" wrapText="1"/>
    </xf>
    <xf numFmtId="43" fontId="75" fillId="3" borderId="8" xfId="1" applyNumberFormat="1" applyFont="1" applyFill="1" applyBorder="1" applyAlignment="1">
      <alignment horizontal="center" vertical="center" wrapText="1"/>
    </xf>
    <xf numFmtId="43" fontId="75" fillId="3" borderId="7" xfId="1" applyNumberFormat="1" applyFont="1" applyFill="1" applyBorder="1" applyAlignment="1">
      <alignment horizontal="center" vertical="center" wrapText="1"/>
    </xf>
    <xf numFmtId="200" fontId="101" fillId="3" borderId="1" xfId="1" applyNumberFormat="1" applyFont="1" applyFill="1" applyBorder="1" applyAlignment="1">
      <alignment vertical="center" wrapText="1"/>
    </xf>
    <xf numFmtId="200" fontId="75" fillId="3" borderId="1" xfId="1" applyNumberFormat="1" applyFont="1" applyFill="1" applyBorder="1" applyAlignment="1">
      <alignment vertical="center" wrapText="1"/>
    </xf>
    <xf numFmtId="43" fontId="105" fillId="3" borderId="8" xfId="1" applyNumberFormat="1" applyFont="1" applyFill="1" applyBorder="1" applyAlignment="1">
      <alignment horizontal="center" vertical="center" wrapText="1"/>
    </xf>
    <xf numFmtId="43" fontId="105" fillId="3" borderId="7" xfId="1" applyNumberFormat="1" applyFont="1" applyFill="1" applyBorder="1" applyAlignment="1">
      <alignment horizontal="center" vertical="center" wrapText="1"/>
    </xf>
    <xf numFmtId="194" fontId="5" fillId="3" borderId="29" xfId="1" applyNumberFormat="1" applyFont="1" applyFill="1" applyBorder="1" applyAlignment="1">
      <alignment vertical="center"/>
    </xf>
    <xf numFmtId="194" fontId="101" fillId="3" borderId="29" xfId="1" applyNumberFormat="1" applyFont="1" applyFill="1" applyBorder="1" applyAlignment="1">
      <alignment vertical="center"/>
    </xf>
    <xf numFmtId="43" fontId="75" fillId="3" borderId="8" xfId="1" applyNumberFormat="1" applyFont="1" applyFill="1" applyBorder="1" applyAlignment="1">
      <alignment horizontal="center" vertical="center"/>
    </xf>
    <xf numFmtId="43" fontId="75" fillId="3" borderId="7" xfId="1" applyNumberFormat="1" applyFont="1" applyFill="1" applyBorder="1" applyAlignment="1">
      <alignment horizontal="center" vertical="center"/>
    </xf>
    <xf numFmtId="194" fontId="101" fillId="3" borderId="5" xfId="1" applyNumberFormat="1" applyFont="1" applyFill="1" applyBorder="1" applyAlignment="1">
      <alignment vertical="center"/>
    </xf>
    <xf numFmtId="194" fontId="75" fillId="3" borderId="5" xfId="1" applyNumberFormat="1" applyFont="1" applyFill="1" applyBorder="1" applyAlignment="1">
      <alignment vertical="center"/>
    </xf>
    <xf numFmtId="0" fontId="93" fillId="0" borderId="0" xfId="0" applyFont="1" applyAlignment="1">
      <alignment horizontal="center" vertical="center" wrapText="1"/>
    </xf>
    <xf numFmtId="0" fontId="94" fillId="0" borderId="82" xfId="0" applyFont="1" applyBorder="1" applyAlignment="1">
      <alignment horizontal="left" vertical="center" wrapText="1"/>
    </xf>
    <xf numFmtId="43" fontId="96" fillId="0" borderId="62" xfId="60" applyNumberFormat="1" applyFont="1" applyFill="1" applyBorder="1" applyAlignment="1">
      <alignment horizontal="center" vertical="center" wrapText="1"/>
    </xf>
    <xf numFmtId="43" fontId="96" fillId="0" borderId="85" xfId="60" applyNumberFormat="1" applyFont="1" applyFill="1" applyBorder="1" applyAlignment="1">
      <alignment horizontal="center" vertical="center" wrapText="1"/>
    </xf>
    <xf numFmtId="43" fontId="96" fillId="0" borderId="86" xfId="60" applyNumberFormat="1" applyFont="1" applyFill="1" applyBorder="1" applyAlignment="1">
      <alignment horizontal="center" vertical="center" wrapText="1"/>
    </xf>
    <xf numFmtId="186" fontId="96" fillId="0" borderId="83" xfId="60" applyNumberFormat="1" applyFont="1" applyFill="1" applyBorder="1" applyAlignment="1">
      <alignment horizontal="center" vertical="center" wrapText="1"/>
    </xf>
    <xf numFmtId="186" fontId="96" fillId="0" borderId="88" xfId="60" applyNumberFormat="1" applyFont="1" applyFill="1" applyBorder="1" applyAlignment="1">
      <alignment horizontal="center" vertical="center" wrapText="1"/>
    </xf>
    <xf numFmtId="0" fontId="96" fillId="12" borderId="84" xfId="0" applyFont="1" applyFill="1" applyBorder="1" applyAlignment="1">
      <alignment horizontal="center" vertical="center" wrapText="1"/>
    </xf>
    <xf numFmtId="0" fontId="96" fillId="12" borderId="89" xfId="0" applyFont="1" applyFill="1" applyBorder="1" applyAlignment="1">
      <alignment horizontal="center" vertical="center" wrapText="1"/>
    </xf>
    <xf numFmtId="0" fontId="45" fillId="12" borderId="50" xfId="0" applyFont="1" applyFill="1" applyBorder="1" applyAlignment="1">
      <alignment horizontal="center" vertical="center" wrapText="1"/>
    </xf>
    <xf numFmtId="0" fontId="45" fillId="12" borderId="91" xfId="0" applyFont="1" applyFill="1" applyBorder="1" applyAlignment="1">
      <alignment horizontal="center" vertical="center" wrapText="1"/>
    </xf>
    <xf numFmtId="0" fontId="96" fillId="0" borderId="84" xfId="0" applyFont="1" applyBorder="1" applyAlignment="1">
      <alignment horizontal="center" vertical="center" wrapText="1"/>
    </xf>
    <xf numFmtId="0" fontId="96" fillId="0" borderId="89" xfId="0" applyFont="1" applyBorder="1" applyAlignment="1">
      <alignment horizontal="center" vertical="center" wrapText="1"/>
    </xf>
    <xf numFmtId="43" fontId="94" fillId="0" borderId="84" xfId="60" applyNumberFormat="1" applyFont="1" applyFill="1" applyBorder="1" applyAlignment="1">
      <alignment horizontal="center" vertical="center" wrapText="1"/>
    </xf>
    <xf numFmtId="43" fontId="94" fillId="0" borderId="89" xfId="60" applyNumberFormat="1" applyFont="1" applyFill="1" applyBorder="1" applyAlignment="1">
      <alignment horizontal="center" vertical="center" wrapText="1"/>
    </xf>
    <xf numFmtId="43" fontId="96" fillId="0" borderId="84" xfId="60" applyNumberFormat="1" applyFont="1" applyFill="1" applyBorder="1" applyAlignment="1">
      <alignment horizontal="center" vertical="center" wrapText="1"/>
    </xf>
    <xf numFmtId="43" fontId="96" fillId="0" borderId="89" xfId="60" applyNumberFormat="1" applyFont="1" applyFill="1" applyBorder="1" applyAlignment="1">
      <alignment horizontal="center" vertical="center" wrapText="1"/>
    </xf>
    <xf numFmtId="43" fontId="94" fillId="31" borderId="84" xfId="60" applyNumberFormat="1" applyFont="1" applyFill="1" applyBorder="1" applyAlignment="1">
      <alignment horizontal="center" vertical="center" wrapText="1"/>
    </xf>
    <xf numFmtId="43" fontId="94" fillId="31" borderId="89" xfId="60" applyNumberFormat="1" applyFont="1" applyFill="1" applyBorder="1" applyAlignment="1">
      <alignment horizontal="center" vertical="center" wrapText="1"/>
    </xf>
    <xf numFmtId="43" fontId="94" fillId="32" borderId="84" xfId="60" applyNumberFormat="1" applyFont="1" applyFill="1" applyBorder="1" applyAlignment="1">
      <alignment horizontal="center" vertical="center" wrapText="1"/>
    </xf>
    <xf numFmtId="43" fontId="94" fillId="32" borderId="89" xfId="60" applyNumberFormat="1" applyFont="1" applyFill="1" applyBorder="1" applyAlignment="1">
      <alignment horizontal="center" vertical="center" wrapText="1"/>
    </xf>
    <xf numFmtId="43" fontId="94" fillId="33" borderId="84" xfId="60" applyNumberFormat="1" applyFont="1" applyFill="1" applyBorder="1" applyAlignment="1">
      <alignment horizontal="center" vertical="center" wrapText="1"/>
    </xf>
    <xf numFmtId="43" fontId="94" fillId="33" borderId="89" xfId="60" applyNumberFormat="1" applyFont="1" applyFill="1" applyBorder="1" applyAlignment="1">
      <alignment horizontal="center" vertical="center" wrapText="1"/>
    </xf>
    <xf numFmtId="43" fontId="94" fillId="0" borderId="87" xfId="60" applyNumberFormat="1" applyFont="1" applyFill="1" applyBorder="1" applyAlignment="1">
      <alignment horizontal="center" vertical="center" wrapText="1"/>
    </xf>
    <xf numFmtId="43" fontId="94" fillId="0" borderId="90" xfId="60" applyNumberFormat="1" applyFont="1" applyFill="1" applyBorder="1" applyAlignment="1">
      <alignment horizontal="center" vertical="center" wrapText="1"/>
    </xf>
    <xf numFmtId="181" fontId="88" fillId="0" borderId="1" xfId="0" applyNumberFormat="1" applyFont="1" applyBorder="1" applyAlignment="1">
      <alignment horizontal="center" vertical="center"/>
    </xf>
    <xf numFmtId="186" fontId="26" fillId="0" borderId="1" xfId="0" applyNumberFormat="1" applyFont="1" applyBorder="1" applyAlignment="1">
      <alignment horizontal="center" vertical="center"/>
    </xf>
    <xf numFmtId="186" fontId="26" fillId="0" borderId="3" xfId="0" applyNumberFormat="1" applyFont="1" applyBorder="1" applyAlignment="1">
      <alignment horizontal="center" vertical="center"/>
    </xf>
    <xf numFmtId="186" fontId="26" fillId="0" borderId="5" xfId="0" applyNumberFormat="1" applyFont="1" applyBorder="1" applyAlignment="1">
      <alignment horizontal="center" vertical="center"/>
    </xf>
    <xf numFmtId="186" fontId="26" fillId="0" borderId="4" xfId="0" applyNumberFormat="1" applyFont="1" applyBorder="1" applyAlignment="1">
      <alignment horizontal="center" vertical="center"/>
    </xf>
    <xf numFmtId="181" fontId="88" fillId="0" borderId="3" xfId="0" applyNumberFormat="1" applyFont="1" applyBorder="1" applyAlignment="1">
      <alignment horizontal="center" vertical="center"/>
    </xf>
    <xf numFmtId="181" fontId="88" fillId="0" borderId="4" xfId="0" applyNumberFormat="1" applyFont="1" applyBorder="1" applyAlignment="1">
      <alignment horizontal="center" vertical="center"/>
    </xf>
    <xf numFmtId="181" fontId="88" fillId="0" borderId="5" xfId="0" applyNumberFormat="1" applyFont="1" applyBorder="1" applyAlignment="1">
      <alignment horizontal="center" vertical="center"/>
    </xf>
    <xf numFmtId="1" fontId="26" fillId="2" borderId="1" xfId="0" applyNumberFormat="1" applyFont="1" applyFill="1" applyBorder="1" applyAlignment="1">
      <alignment horizontal="center" vertical="center" wrapText="1"/>
    </xf>
    <xf numFmtId="181" fontId="87" fillId="0" borderId="0" xfId="0" applyNumberFormat="1" applyFont="1" applyAlignment="1">
      <alignment horizontal="left" vertical="center" wrapText="1"/>
    </xf>
    <xf numFmtId="181" fontId="26" fillId="0" borderId="0" xfId="0" applyNumberFormat="1" applyFont="1" applyAlignment="1">
      <alignment horizontal="left" vertical="center" wrapText="1"/>
    </xf>
    <xf numFmtId="0" fontId="91" fillId="0" borderId="1" xfId="0" applyFont="1" applyBorder="1" applyAlignment="1">
      <alignment horizontal="center" vertical="center"/>
    </xf>
    <xf numFmtId="181" fontId="26" fillId="0" borderId="1" xfId="0" applyNumberFormat="1" applyFont="1" applyBorder="1" applyAlignment="1">
      <alignment horizontal="center" vertical="center"/>
    </xf>
    <xf numFmtId="181" fontId="91" fillId="0" borderId="1" xfId="0" applyNumberFormat="1" applyFont="1" applyBorder="1" applyAlignment="1">
      <alignment horizontal="center" vertical="center"/>
    </xf>
    <xf numFmtId="10" fontId="26" fillId="0" borderId="1" xfId="0" applyNumberFormat="1" applyFont="1" applyBorder="1" applyAlignment="1">
      <alignment horizontal="center" vertical="center"/>
    </xf>
    <xf numFmtId="181" fontId="89" fillId="0" borderId="1" xfId="0" applyNumberFormat="1" applyFont="1" applyBorder="1" applyAlignment="1">
      <alignment horizontal="center" vertical="center" wrapText="1"/>
    </xf>
    <xf numFmtId="0" fontId="4" fillId="28" borderId="1" xfId="0" applyFont="1" applyFill="1" applyBorder="1" applyAlignment="1">
      <alignment horizontal="center" vertical="center"/>
    </xf>
    <xf numFmtId="0" fontId="4" fillId="29" borderId="1" xfId="0" applyFont="1" applyFill="1" applyBorder="1" applyAlignment="1">
      <alignment horizontal="center" vertical="center"/>
    </xf>
    <xf numFmtId="0" fontId="83" fillId="0" borderId="7"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lignment vertical="center"/>
    </xf>
    <xf numFmtId="0" fontId="4" fillId="0" borderId="5" xfId="0" applyFont="1" applyBorder="1">
      <alignment vertical="center"/>
    </xf>
    <xf numFmtId="0" fontId="4" fillId="19" borderId="1" xfId="0" applyFont="1" applyFill="1" applyBorder="1" applyAlignment="1">
      <alignment horizontal="center" vertical="center"/>
    </xf>
    <xf numFmtId="0" fontId="2" fillId="0" borderId="2" xfId="0" applyFont="1" applyBorder="1" applyAlignment="1">
      <alignment horizontal="center" vertical="center" wrapText="1"/>
    </xf>
    <xf numFmtId="180" fontId="8" fillId="0" borderId="8" xfId="55" applyNumberFormat="1" applyFont="1" applyBorder="1" applyAlignment="1">
      <alignment vertical="center"/>
    </xf>
    <xf numFmtId="180" fontId="8" fillId="0" borderId="6" xfId="55" applyNumberFormat="1" applyFont="1" applyBorder="1" applyAlignment="1">
      <alignment vertical="center"/>
    </xf>
    <xf numFmtId="180" fontId="8" fillId="2" borderId="8" xfId="55" applyNumberFormat="1" applyFont="1" applyFill="1" applyBorder="1" applyAlignment="1">
      <alignment vertical="center"/>
    </xf>
    <xf numFmtId="180" fontId="8" fillId="2" borderId="6" xfId="55" applyNumberFormat="1" applyFont="1" applyFill="1" applyBorder="1" applyAlignment="1">
      <alignment vertical="center"/>
    </xf>
    <xf numFmtId="180" fontId="8" fillId="0" borderId="8" xfId="55" applyNumberFormat="1" applyFont="1" applyFill="1" applyBorder="1" applyAlignment="1">
      <alignment horizontal="center" vertical="center"/>
    </xf>
    <xf numFmtId="180" fontId="8" fillId="0" borderId="6" xfId="55" applyNumberFormat="1" applyFont="1" applyFill="1" applyBorder="1" applyAlignment="1">
      <alignment horizontal="center" vertical="center"/>
    </xf>
    <xf numFmtId="180" fontId="8" fillId="0" borderId="8" xfId="55" applyNumberFormat="1" applyFont="1" applyFill="1" applyBorder="1" applyAlignment="1">
      <alignment vertical="center"/>
    </xf>
    <xf numFmtId="180" fontId="8" fillId="0" borderId="6" xfId="55" applyNumberFormat="1" applyFont="1" applyFill="1" applyBorder="1" applyAlignment="1">
      <alignment vertical="center"/>
    </xf>
    <xf numFmtId="0" fontId="60" fillId="27" borderId="24" xfId="0" applyFont="1" applyFill="1" applyBorder="1" applyAlignment="1">
      <alignment horizontal="center" vertical="center" wrapText="1"/>
    </xf>
    <xf numFmtId="0" fontId="60" fillId="27" borderId="25" xfId="0" applyFont="1" applyFill="1" applyBorder="1" applyAlignment="1">
      <alignment horizontal="center" vertical="center" wrapText="1"/>
    </xf>
    <xf numFmtId="185" fontId="60" fillId="27" borderId="25" xfId="0" applyNumberFormat="1" applyFont="1" applyFill="1" applyBorder="1" applyAlignment="1">
      <alignment horizontal="center" vertical="center" wrapText="1"/>
    </xf>
    <xf numFmtId="0" fontId="60" fillId="27" borderId="26" xfId="0" applyFont="1" applyFill="1" applyBorder="1" applyAlignment="1">
      <alignment horizontal="center" vertical="center" wrapText="1"/>
    </xf>
    <xf numFmtId="0" fontId="60" fillId="27" borderId="64" xfId="0" applyFont="1" applyFill="1" applyBorder="1" applyAlignment="1">
      <alignment horizontal="center" vertical="center" wrapText="1"/>
    </xf>
    <xf numFmtId="0" fontId="60" fillId="27" borderId="65" xfId="0" applyFont="1" applyFill="1" applyBorder="1" applyAlignment="1">
      <alignment horizontal="center" vertical="center" wrapText="1"/>
    </xf>
    <xf numFmtId="0" fontId="57" fillId="0" borderId="3" xfId="0" applyFont="1" applyBorder="1" applyAlignment="1">
      <alignment horizontal="center" vertical="center" wrapText="1"/>
    </xf>
    <xf numFmtId="0" fontId="57" fillId="0" borderId="4" xfId="0" applyFont="1" applyBorder="1" applyAlignment="1">
      <alignment horizontal="center" vertical="center" wrapText="1"/>
    </xf>
    <xf numFmtId="0" fontId="57" fillId="0" borderId="5" xfId="0" applyFont="1" applyBorder="1" applyAlignment="1">
      <alignment horizontal="center" vertical="center" wrapText="1"/>
    </xf>
    <xf numFmtId="0" fontId="60" fillId="0" borderId="3" xfId="0" applyFont="1" applyBorder="1" applyAlignment="1">
      <alignment horizontal="center" vertical="center" wrapText="1"/>
    </xf>
    <xf numFmtId="0" fontId="60" fillId="0" borderId="4" xfId="0" applyFont="1" applyBorder="1" applyAlignment="1">
      <alignment horizontal="center" vertical="center" wrapText="1"/>
    </xf>
    <xf numFmtId="0" fontId="60" fillId="0" borderId="5" xfId="0" applyFont="1" applyBorder="1" applyAlignment="1">
      <alignment horizontal="center" vertical="center" wrapText="1"/>
    </xf>
    <xf numFmtId="0" fontId="60" fillId="27" borderId="77" xfId="0" applyFont="1" applyFill="1" applyBorder="1" applyAlignment="1">
      <alignment horizontal="center" vertical="center" wrapText="1"/>
    </xf>
    <xf numFmtId="0" fontId="60" fillId="27" borderId="78" xfId="0" applyFont="1" applyFill="1" applyBorder="1" applyAlignment="1">
      <alignment horizontal="center" vertical="center" wrapText="1"/>
    </xf>
    <xf numFmtId="0" fontId="57" fillId="0" borderId="81" xfId="0" applyFont="1" applyBorder="1" applyAlignment="1">
      <alignment horizontal="center" vertical="center" wrapText="1"/>
    </xf>
    <xf numFmtId="0" fontId="57" fillId="0" borderId="75" xfId="0" applyFont="1" applyBorder="1" applyAlignment="1">
      <alignment horizontal="center" vertical="center" wrapText="1"/>
    </xf>
    <xf numFmtId="9" fontId="57" fillId="0" borderId="1" xfId="2" applyFont="1" applyFill="1" applyBorder="1" applyAlignment="1">
      <alignment horizontal="center" vertical="center" wrapText="1"/>
    </xf>
    <xf numFmtId="185" fontId="57" fillId="0" borderId="8" xfId="0" applyNumberFormat="1" applyFont="1" applyBorder="1" applyAlignment="1">
      <alignment horizontal="center" vertical="center" wrapText="1"/>
    </xf>
    <xf numFmtId="185" fontId="57" fillId="0" borderId="7" xfId="0" applyNumberFormat="1" applyFont="1" applyBorder="1" applyAlignment="1">
      <alignment horizontal="center" vertical="center" wrapText="1"/>
    </xf>
    <xf numFmtId="9" fontId="57" fillId="0" borderId="1" xfId="2" applyFont="1" applyFill="1" applyBorder="1" applyAlignment="1">
      <alignment horizontal="center" vertical="center"/>
    </xf>
    <xf numFmtId="0" fontId="57" fillId="0" borderId="8" xfId="0" applyFont="1" applyBorder="1" applyAlignment="1">
      <alignment horizontal="center" vertical="center" wrapText="1"/>
    </xf>
    <xf numFmtId="0" fontId="57" fillId="0" borderId="7" xfId="0" applyFont="1" applyBorder="1" applyAlignment="1">
      <alignment horizontal="center" vertical="center" wrapText="1"/>
    </xf>
    <xf numFmtId="0" fontId="57" fillId="0" borderId="22" xfId="0" applyFont="1" applyBorder="1" applyAlignment="1">
      <alignment horizontal="center" vertical="center" wrapText="1"/>
    </xf>
    <xf numFmtId="0" fontId="57" fillId="0" borderId="58" xfId="0" applyFont="1" applyBorder="1" applyAlignment="1">
      <alignment horizontal="center" vertical="center" wrapText="1"/>
    </xf>
    <xf numFmtId="0" fontId="60" fillId="27" borderId="29" xfId="0" applyFont="1" applyFill="1" applyBorder="1" applyAlignment="1">
      <alignment horizontal="center" vertical="center" wrapText="1"/>
    </xf>
    <xf numFmtId="0" fontId="60" fillId="27" borderId="66" xfId="0" applyFont="1" applyFill="1" applyBorder="1" applyAlignment="1">
      <alignment horizontal="center" vertical="center" wrapText="1"/>
    </xf>
    <xf numFmtId="0" fontId="60" fillId="27" borderId="79" xfId="0" applyFont="1" applyFill="1" applyBorder="1" applyAlignment="1">
      <alignment horizontal="center" vertical="center" wrapText="1"/>
    </xf>
    <xf numFmtId="0" fontId="60" fillId="27" borderId="67" xfId="0" applyFont="1" applyFill="1" applyBorder="1" applyAlignment="1">
      <alignment horizontal="center" vertical="center" wrapText="1"/>
    </xf>
    <xf numFmtId="0" fontId="60" fillId="27" borderId="80" xfId="0" applyFont="1" applyFill="1" applyBorder="1" applyAlignment="1">
      <alignment horizontal="center" vertical="center" wrapText="1"/>
    </xf>
    <xf numFmtId="0" fontId="60" fillId="25" borderId="25" xfId="0" applyFont="1" applyFill="1" applyBorder="1" applyAlignment="1">
      <alignment horizontal="center" vertical="center"/>
    </xf>
    <xf numFmtId="0" fontId="60" fillId="25" borderId="26" xfId="0" applyFont="1" applyFill="1" applyBorder="1" applyAlignment="1">
      <alignment horizontal="center" vertical="center"/>
    </xf>
    <xf numFmtId="0" fontId="60" fillId="25" borderId="64" xfId="0" applyFont="1" applyFill="1" applyBorder="1" applyAlignment="1">
      <alignment horizontal="center" vertical="center" wrapText="1"/>
    </xf>
    <xf numFmtId="0" fontId="60" fillId="25" borderId="25" xfId="0" applyFont="1" applyFill="1" applyBorder="1" applyAlignment="1">
      <alignment horizontal="center" vertical="center" wrapText="1"/>
    </xf>
    <xf numFmtId="185" fontId="60" fillId="25" borderId="25" xfId="0" applyNumberFormat="1" applyFont="1" applyFill="1" applyBorder="1" applyAlignment="1">
      <alignment horizontal="center" vertical="center" wrapText="1"/>
    </xf>
    <xf numFmtId="0" fontId="60" fillId="25" borderId="26" xfId="0" applyFont="1" applyFill="1" applyBorder="1" applyAlignment="1">
      <alignment horizontal="center" vertical="center" wrapText="1"/>
    </xf>
    <xf numFmtId="0" fontId="60" fillId="25" borderId="24" xfId="0" applyFont="1" applyFill="1" applyBorder="1" applyAlignment="1">
      <alignment horizontal="center" vertical="center" wrapText="1"/>
    </xf>
    <xf numFmtId="0" fontId="60" fillId="25" borderId="65" xfId="0" applyFont="1" applyFill="1" applyBorder="1" applyAlignment="1">
      <alignment horizontal="center" vertical="center" wrapText="1"/>
    </xf>
    <xf numFmtId="0" fontId="60" fillId="25" borderId="69" xfId="0" applyFont="1" applyFill="1" applyBorder="1" applyAlignment="1">
      <alignment horizontal="center" vertical="center" wrapText="1"/>
    </xf>
    <xf numFmtId="0" fontId="68" fillId="24" borderId="75" xfId="0" applyFont="1" applyFill="1" applyBorder="1" applyAlignment="1">
      <alignment horizontal="center" vertical="center"/>
    </xf>
    <xf numFmtId="0" fontId="68" fillId="24" borderId="28" xfId="0" applyFont="1" applyFill="1" applyBorder="1" applyAlignment="1">
      <alignment horizontal="center" vertical="center"/>
    </xf>
    <xf numFmtId="0" fontId="60" fillId="25" borderId="1" xfId="0" applyFont="1" applyFill="1" applyBorder="1" applyAlignment="1">
      <alignment horizontal="center" vertical="center" wrapText="1"/>
    </xf>
    <xf numFmtId="0" fontId="60" fillId="25" borderId="33" xfId="0" applyFont="1" applyFill="1" applyBorder="1" applyAlignment="1">
      <alignment horizontal="center" vertical="center" wrapText="1"/>
    </xf>
    <xf numFmtId="0" fontId="60" fillId="25" borderId="34" xfId="0" applyFont="1" applyFill="1" applyBorder="1" applyAlignment="1">
      <alignment horizontal="center" vertical="center" wrapText="1"/>
    </xf>
    <xf numFmtId="0" fontId="60" fillId="25" borderId="66" xfId="0" applyFont="1" applyFill="1" applyBorder="1" applyAlignment="1">
      <alignment horizontal="center" vertical="center" wrapText="1"/>
    </xf>
    <xf numFmtId="0" fontId="60" fillId="25" borderId="71" xfId="0" applyFont="1" applyFill="1" applyBorder="1" applyAlignment="1">
      <alignment horizontal="center" vertical="center" wrapText="1"/>
    </xf>
    <xf numFmtId="0" fontId="60" fillId="25" borderId="67" xfId="0" applyFont="1" applyFill="1" applyBorder="1" applyAlignment="1">
      <alignment horizontal="center" vertical="center" wrapText="1"/>
    </xf>
    <xf numFmtId="0" fontId="60" fillId="25" borderId="72" xfId="0" applyFont="1" applyFill="1" applyBorder="1" applyAlignment="1">
      <alignment horizontal="center" vertical="center" wrapText="1"/>
    </xf>
    <xf numFmtId="0" fontId="60" fillId="25" borderId="68" xfId="0" applyFont="1" applyFill="1" applyBorder="1" applyAlignment="1">
      <alignment horizontal="center" vertical="center" wrapText="1"/>
    </xf>
    <xf numFmtId="0" fontId="60" fillId="25" borderId="73" xfId="0" applyFont="1" applyFill="1" applyBorder="1" applyAlignment="1">
      <alignment horizontal="center" vertical="center" wrapText="1"/>
    </xf>
    <xf numFmtId="0" fontId="60" fillId="25" borderId="74" xfId="0" applyFont="1" applyFill="1" applyBorder="1" applyAlignment="1">
      <alignment horizontal="center" vertical="center" wrapText="1"/>
    </xf>
    <xf numFmtId="0" fontId="73" fillId="0" borderId="3" xfId="0" applyFont="1" applyBorder="1" applyAlignment="1">
      <alignment horizontal="center" vertical="top"/>
    </xf>
    <xf numFmtId="0" fontId="73" fillId="0" borderId="4" xfId="0" applyFont="1" applyBorder="1" applyAlignment="1">
      <alignment horizontal="center" vertical="top"/>
    </xf>
    <xf numFmtId="0" fontId="73" fillId="0" borderId="5" xfId="0" applyFont="1" applyBorder="1" applyAlignment="1">
      <alignment horizontal="center" vertical="top"/>
    </xf>
    <xf numFmtId="0" fontId="61" fillId="0" borderId="0" xfId="0" applyFont="1" applyAlignment="1">
      <alignment horizontal="center" vertical="center"/>
    </xf>
    <xf numFmtId="0" fontId="17" fillId="0" borderId="0" xfId="0" applyFont="1" applyAlignment="1">
      <alignment horizontal="center" vertical="center"/>
    </xf>
    <xf numFmtId="178" fontId="10" fillId="3" borderId="10" xfId="1" applyFont="1" applyFill="1" applyBorder="1" applyAlignment="1">
      <alignment horizontal="center" vertical="center"/>
    </xf>
    <xf numFmtId="178" fontId="10" fillId="0" borderId="10" xfId="1" applyFont="1" applyFill="1" applyBorder="1" applyAlignment="1">
      <alignment horizontal="center" vertical="center" wrapText="1"/>
    </xf>
    <xf numFmtId="178" fontId="10" fillId="0" borderId="10" xfId="1" applyFont="1" applyBorder="1" applyAlignment="1">
      <alignment horizontal="center" vertical="center" wrapText="1"/>
    </xf>
    <xf numFmtId="0" fontId="64" fillId="0" borderId="0" xfId="0" applyFont="1" applyAlignment="1">
      <alignment horizontal="center" vertical="center"/>
    </xf>
    <xf numFmtId="0" fontId="65" fillId="0" borderId="0" xfId="0" applyFont="1" applyAlignment="1">
      <alignment horizontal="center" vertical="center"/>
    </xf>
    <xf numFmtId="193" fontId="67" fillId="0" borderId="0" xfId="34" applyNumberFormat="1" applyFont="1" applyAlignment="1">
      <alignment horizontal="center" vertical="center"/>
    </xf>
    <xf numFmtId="193" fontId="68" fillId="0" borderId="0" xfId="34" applyNumberFormat="1" applyFont="1" applyAlignment="1">
      <alignment horizontal="left" vertical="top" wrapText="1"/>
    </xf>
    <xf numFmtId="0" fontId="68" fillId="0" borderId="1" xfId="0" applyFont="1" applyBorder="1" applyAlignment="1">
      <alignment horizontal="center" vertical="center"/>
    </xf>
    <xf numFmtId="193" fontId="59" fillId="0" borderId="0" xfId="34" applyNumberFormat="1" applyFont="1" applyAlignment="1">
      <alignment horizontal="left" vertical="top"/>
    </xf>
    <xf numFmtId="193" fontId="59" fillId="0" borderId="0" xfId="34" applyNumberFormat="1" applyFont="1" applyAlignment="1">
      <alignment horizontal="center" vertical="center"/>
    </xf>
    <xf numFmtId="178" fontId="62" fillId="0" borderId="9" xfId="1" applyFont="1" applyFill="1" applyBorder="1" applyAlignment="1">
      <alignment horizontal="center" vertical="center"/>
    </xf>
    <xf numFmtId="178" fontId="62" fillId="0" borderId="12" xfId="1" applyFont="1" applyFill="1" applyBorder="1" applyAlignment="1">
      <alignment horizontal="center" vertical="center"/>
    </xf>
    <xf numFmtId="178" fontId="62" fillId="0" borderId="10" xfId="1" applyFont="1" applyFill="1" applyBorder="1" applyAlignment="1">
      <alignment horizontal="center" vertical="center" wrapText="1"/>
    </xf>
    <xf numFmtId="178" fontId="62" fillId="0" borderId="13" xfId="1" applyFont="1" applyFill="1" applyBorder="1" applyAlignment="1">
      <alignment horizontal="center" vertical="center" wrapText="1"/>
    </xf>
    <xf numFmtId="178" fontId="10" fillId="0" borderId="13" xfId="1" applyFont="1" applyFill="1" applyBorder="1" applyAlignment="1">
      <alignment horizontal="center" vertical="center" wrapText="1"/>
    </xf>
    <xf numFmtId="178" fontId="63" fillId="0" borderId="10" xfId="1" applyFont="1" applyFill="1" applyBorder="1" applyAlignment="1">
      <alignment horizontal="center" vertical="center" wrapText="1"/>
    </xf>
    <xf numFmtId="0" fontId="62" fillId="0" borderId="10" xfId="0" applyFont="1" applyBorder="1" applyAlignment="1">
      <alignment horizontal="center" vertical="center"/>
    </xf>
    <xf numFmtId="0" fontId="62" fillId="0" borderId="13" xfId="0" applyFont="1" applyBorder="1" applyAlignment="1">
      <alignment horizontal="center" vertical="center"/>
    </xf>
    <xf numFmtId="0" fontId="26" fillId="21" borderId="1" xfId="0" applyFont="1" applyFill="1" applyBorder="1" applyAlignment="1">
      <alignment horizontal="center" vertical="center"/>
    </xf>
    <xf numFmtId="0" fontId="26" fillId="21" borderId="1" xfId="0" applyFont="1" applyFill="1" applyBorder="1" applyAlignment="1">
      <alignment horizontal="center" vertical="center" wrapText="1"/>
    </xf>
    <xf numFmtId="178" fontId="0" fillId="0" borderId="1" xfId="1" applyFont="1" applyBorder="1" applyAlignment="1">
      <alignment horizontal="center" vertical="center"/>
    </xf>
    <xf numFmtId="178" fontId="49" fillId="0" borderId="1" xfId="1" applyFont="1" applyBorder="1" applyAlignment="1">
      <alignment horizontal="center" vertical="center"/>
    </xf>
    <xf numFmtId="0" fontId="57" fillId="0" borderId="1" xfId="0" applyFont="1" applyBorder="1" applyAlignment="1">
      <alignment horizontal="center" vertical="center" wrapText="1"/>
    </xf>
    <xf numFmtId="179" fontId="57" fillId="0" borderId="1" xfId="0" applyNumberFormat="1" applyFont="1" applyBorder="1" applyAlignment="1">
      <alignment horizontal="center" vertical="center" wrapText="1"/>
    </xf>
    <xf numFmtId="0" fontId="58" fillId="0" borderId="1" xfId="0" applyFont="1" applyBorder="1" applyAlignment="1">
      <alignment horizontal="left" vertical="center" wrapText="1"/>
    </xf>
    <xf numFmtId="0" fontId="58" fillId="0" borderId="1" xfId="0" applyFont="1" applyBorder="1" applyAlignment="1">
      <alignment horizontal="center" vertical="center" wrapText="1"/>
    </xf>
    <xf numFmtId="0" fontId="58" fillId="0" borderId="0" xfId="0" applyFont="1" applyAlignment="1">
      <alignment horizontal="center" vertical="center" wrapText="1"/>
    </xf>
    <xf numFmtId="0" fontId="58" fillId="0" borderId="3" xfId="0" applyFont="1" applyBorder="1" applyAlignment="1">
      <alignment horizontal="center" vertical="center" wrapText="1"/>
    </xf>
    <xf numFmtId="0" fontId="58" fillId="0" borderId="5" xfId="0" applyFont="1" applyBorder="1" applyAlignment="1">
      <alignment horizontal="center" vertical="center" wrapText="1"/>
    </xf>
    <xf numFmtId="0" fontId="58" fillId="0" borderId="8" xfId="0" applyFont="1" applyBorder="1" applyAlignment="1">
      <alignment horizontal="center" vertical="center" wrapText="1"/>
    </xf>
    <xf numFmtId="0" fontId="58" fillId="0" borderId="7" xfId="0" applyFont="1" applyBorder="1" applyAlignment="1">
      <alignment horizontal="center" vertical="center" wrapText="1"/>
    </xf>
    <xf numFmtId="0" fontId="29" fillId="0" borderId="0" xfId="39" applyFont="1" applyAlignment="1">
      <alignment horizontal="center"/>
    </xf>
    <xf numFmtId="0" fontId="54" fillId="0" borderId="0" xfId="39" applyFont="1" applyAlignment="1">
      <alignment horizontal="center"/>
    </xf>
    <xf numFmtId="0" fontId="54" fillId="0" borderId="1" xfId="39" applyFont="1" applyBorder="1" applyAlignment="1">
      <alignment horizontal="center" vertical="center"/>
    </xf>
    <xf numFmtId="0" fontId="47" fillId="0" borderId="0" xfId="0" applyFont="1" applyAlignment="1">
      <alignment horizontal="center" vertical="center"/>
    </xf>
    <xf numFmtId="0" fontId="49" fillId="0" borderId="55" xfId="0" applyFont="1" applyBorder="1" applyAlignment="1">
      <alignment horizontal="center" vertical="center"/>
    </xf>
    <xf numFmtId="0" fontId="49" fillId="0" borderId="0" xfId="0" applyFont="1" applyAlignment="1">
      <alignment horizontal="center" vertical="center"/>
    </xf>
    <xf numFmtId="185" fontId="49" fillId="0" borderId="0" xfId="0" applyNumberFormat="1" applyFont="1" applyAlignment="1">
      <alignment horizontal="center" vertical="center"/>
    </xf>
    <xf numFmtId="0" fontId="10" fillId="0" borderId="56" xfId="0" applyFont="1" applyBorder="1" applyAlignment="1">
      <alignment horizontal="center" vertical="center"/>
    </xf>
    <xf numFmtId="0" fontId="10" fillId="0" borderId="57" xfId="0" applyFont="1" applyBorder="1" applyAlignment="1">
      <alignment horizontal="center" vertical="center"/>
    </xf>
    <xf numFmtId="0" fontId="10" fillId="0" borderId="58" xfId="0" applyFont="1" applyBorder="1" applyAlignment="1">
      <alignment horizontal="center" vertical="center"/>
    </xf>
    <xf numFmtId="0" fontId="0" fillId="0" borderId="22" xfId="0" applyBorder="1" applyAlignment="1">
      <alignment horizontal="center" vertical="center" wrapText="1"/>
    </xf>
    <xf numFmtId="0" fontId="0" fillId="0" borderId="57"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59" xfId="0" applyBorder="1" applyAlignment="1">
      <alignment horizontal="center" vertical="center"/>
    </xf>
    <xf numFmtId="0" fontId="0" fillId="0" borderId="60" xfId="0" applyBorder="1" applyAlignment="1">
      <alignment horizontal="center" vertical="center"/>
    </xf>
    <xf numFmtId="0" fontId="43" fillId="0" borderId="41" xfId="0" applyFont="1" applyBorder="1" applyAlignment="1">
      <alignment horizontal="center" vertical="center"/>
    </xf>
    <xf numFmtId="0" fontId="43" fillId="0" borderId="42" xfId="0" applyFont="1" applyBorder="1" applyAlignment="1">
      <alignment horizontal="center" vertical="center"/>
    </xf>
    <xf numFmtId="0" fontId="43" fillId="0" borderId="43" xfId="0" applyFont="1" applyBorder="1" applyAlignment="1">
      <alignment horizontal="center" vertical="center"/>
    </xf>
    <xf numFmtId="0" fontId="44" fillId="0" borderId="1" xfId="0" applyFont="1" applyBorder="1" applyAlignment="1">
      <alignment horizontal="center" vertical="center"/>
    </xf>
    <xf numFmtId="180" fontId="21" fillId="0" borderId="52" xfId="0" applyNumberFormat="1" applyFont="1" applyBorder="1" applyAlignment="1">
      <alignment horizontal="center" vertical="center"/>
    </xf>
    <xf numFmtId="180" fontId="21" fillId="0" borderId="53" xfId="0" applyNumberFormat="1" applyFont="1" applyBorder="1" applyAlignment="1">
      <alignment horizontal="center" vertical="center"/>
    </xf>
    <xf numFmtId="0" fontId="35" fillId="10" borderId="8" xfId="0" applyFont="1" applyFill="1" applyBorder="1" applyAlignment="1">
      <alignment horizontal="center" vertical="center"/>
    </xf>
    <xf numFmtId="0" fontId="35" fillId="10" borderId="1" xfId="0" applyFont="1" applyFill="1" applyBorder="1" applyAlignment="1">
      <alignment horizontal="center" vertical="center"/>
    </xf>
    <xf numFmtId="0" fontId="35" fillId="0" borderId="0" xfId="0" applyFont="1" applyAlignment="1">
      <alignment horizontal="left" vertical="center"/>
    </xf>
    <xf numFmtId="178" fontId="41" fillId="0" borderId="2" xfId="1" applyFont="1" applyFill="1" applyBorder="1" applyAlignment="1">
      <alignment horizontal="center" vertical="center"/>
    </xf>
    <xf numFmtId="0" fontId="35" fillId="10" borderId="7" xfId="0" applyFont="1" applyFill="1" applyBorder="1" applyAlignment="1">
      <alignment horizontal="center" vertical="center"/>
    </xf>
    <xf numFmtId="0" fontId="35" fillId="10" borderId="23" xfId="0" applyFont="1" applyFill="1" applyBorder="1" applyAlignment="1">
      <alignment horizontal="center" vertical="center"/>
    </xf>
    <xf numFmtId="0" fontId="8" fillId="0" borderId="35" xfId="0" applyFont="1" applyBorder="1" applyAlignment="1">
      <alignment horizontal="center" vertical="center"/>
    </xf>
    <xf numFmtId="0" fontId="8" fillId="0" borderId="1" xfId="0" applyFont="1" applyBorder="1" applyAlignment="1">
      <alignment horizontal="center" vertical="center"/>
    </xf>
    <xf numFmtId="0" fontId="31" fillId="0" borderId="1" xfId="0" applyFont="1" applyBorder="1" applyAlignment="1">
      <alignment horizontal="center" vertical="center"/>
    </xf>
    <xf numFmtId="0" fontId="10" fillId="0" borderId="1" xfId="0" applyFont="1" applyBorder="1" applyAlignment="1">
      <alignment horizontal="center" vertical="center"/>
    </xf>
    <xf numFmtId="191" fontId="1" fillId="0" borderId="1" xfId="0" applyNumberFormat="1" applyFont="1" applyBorder="1" applyAlignment="1">
      <alignment horizontal="center" vertical="center"/>
    </xf>
    <xf numFmtId="192"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21" fillId="0" borderId="10" xfId="0" applyFont="1" applyBorder="1" applyAlignment="1">
      <alignment horizontal="center" vertical="center" wrapText="1"/>
    </xf>
    <xf numFmtId="0" fontId="22" fillId="0" borderId="13" xfId="0" applyFont="1" applyBorder="1" applyAlignment="1">
      <alignment horizontal="left" vertical="center" wrapText="1"/>
    </xf>
    <xf numFmtId="0" fontId="22" fillId="0" borderId="16" xfId="0" applyFont="1" applyBorder="1" applyAlignment="1">
      <alignment horizontal="left" vertical="center" wrapText="1"/>
    </xf>
    <xf numFmtId="0" fontId="21" fillId="0" borderId="9"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10" fontId="22" fillId="0" borderId="14" xfId="0" applyNumberFormat="1" applyFont="1" applyBorder="1" applyAlignment="1">
      <alignment horizontal="center" vertical="center" wrapText="1"/>
    </xf>
    <xf numFmtId="0" fontId="12" fillId="0" borderId="2" xfId="0" applyFont="1" applyBorder="1" applyAlignment="1">
      <alignment horizontal="center" vertical="center"/>
    </xf>
    <xf numFmtId="0" fontId="14" fillId="6"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14" fillId="6" borderId="3" xfId="0" applyFont="1" applyFill="1" applyBorder="1" applyAlignment="1">
      <alignment horizontal="center" vertical="center"/>
    </xf>
    <xf numFmtId="0" fontId="14" fillId="6" borderId="4" xfId="0" applyFont="1" applyFill="1" applyBorder="1" applyAlignment="1">
      <alignment horizontal="center" vertical="center"/>
    </xf>
    <xf numFmtId="0" fontId="14" fillId="6" borderId="5" xfId="0" applyFont="1" applyFill="1" applyBorder="1" applyAlignment="1">
      <alignment horizontal="center" vertical="center"/>
    </xf>
    <xf numFmtId="0" fontId="13" fillId="6" borderId="1" xfId="0" applyFont="1" applyFill="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5" fillId="0" borderId="8" xfId="0" applyFont="1" applyBorder="1" applyAlignment="1">
      <alignment horizontal="center" vertical="center"/>
    </xf>
    <xf numFmtId="0" fontId="15" fillId="0" borderId="6" xfId="0" applyFont="1" applyBorder="1" applyAlignment="1">
      <alignment horizontal="center" vertical="center"/>
    </xf>
    <xf numFmtId="188" fontId="15" fillId="0" borderId="8" xfId="0" applyNumberFormat="1" applyFont="1" applyBorder="1" applyAlignment="1">
      <alignment horizontal="center" vertical="center" wrapText="1"/>
    </xf>
    <xf numFmtId="188" fontId="15" fillId="0" borderId="7" xfId="0" applyNumberFormat="1" applyFont="1" applyBorder="1" applyAlignment="1">
      <alignment horizontal="center" vertical="center" wrapText="1"/>
    </xf>
    <xf numFmtId="188" fontId="15" fillId="0" borderId="6" xfId="0" applyNumberFormat="1" applyFont="1" applyBorder="1" applyAlignment="1">
      <alignment horizontal="center" vertical="center" wrapText="1"/>
    </xf>
    <xf numFmtId="0" fontId="19" fillId="0" borderId="8"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6" xfId="0" applyFont="1" applyBorder="1" applyAlignment="1">
      <alignment horizontal="center" vertical="center" wrapText="1"/>
    </xf>
    <xf numFmtId="182" fontId="2" fillId="0" borderId="0" xfId="0" applyNumberFormat="1" applyFont="1" applyAlignment="1">
      <alignment horizontal="center" vertical="center"/>
    </xf>
    <xf numFmtId="183" fontId="2" fillId="0" borderId="0" xfId="0" applyNumberFormat="1" applyFont="1" applyAlignment="1">
      <alignment horizontal="center" vertical="center"/>
    </xf>
    <xf numFmtId="178" fontId="2" fillId="0" borderId="0" xfId="0" applyNumberFormat="1" applyFont="1" applyAlignment="1">
      <alignment horizontal="center" vertical="center"/>
    </xf>
    <xf numFmtId="178" fontId="2" fillId="3" borderId="0" xfId="0" applyNumberFormat="1" applyFont="1" applyFill="1" applyAlignment="1">
      <alignment horizontal="center" vertical="center"/>
    </xf>
  </cellXfs>
  <cellStyles count="74">
    <cellStyle name="_ET_STYLE_NoName_00_ 2" xfId="4" xr:uid="{00000000-0005-0000-0000-000031000000}"/>
    <cellStyle name="20% - 强调文字颜色 1 2" xfId="5" xr:uid="{00000000-0005-0000-0000-000032000000}"/>
    <cellStyle name="20% - 强调文字颜色 2 2" xfId="6" xr:uid="{00000000-0005-0000-0000-000033000000}"/>
    <cellStyle name="20% - 强调文字颜色 3 2" xfId="7" xr:uid="{00000000-0005-0000-0000-000034000000}"/>
    <cellStyle name="20% - 强调文字颜色 4 2" xfId="8" xr:uid="{00000000-0005-0000-0000-000035000000}"/>
    <cellStyle name="20% - 强调文字颜色 5 2" xfId="9" xr:uid="{00000000-0005-0000-0000-000036000000}"/>
    <cellStyle name="20% - 强调文字颜色 6 2" xfId="10" xr:uid="{00000000-0005-0000-0000-000037000000}"/>
    <cellStyle name="40% - 强调文字颜色 1 2" xfId="11" xr:uid="{00000000-0005-0000-0000-000038000000}"/>
    <cellStyle name="40% - 强调文字颜色 2 2" xfId="12" xr:uid="{00000000-0005-0000-0000-000039000000}"/>
    <cellStyle name="40% - 强调文字颜色 3 2" xfId="13" xr:uid="{00000000-0005-0000-0000-00003A000000}"/>
    <cellStyle name="40% - 强调文字颜色 6 2" xfId="14" xr:uid="{00000000-0005-0000-0000-00003B000000}"/>
    <cellStyle name="60% - 强调文字颜色 1 2" xfId="15" xr:uid="{00000000-0005-0000-0000-00003C000000}"/>
    <cellStyle name="60% - 强调文字颜色 2 2" xfId="16" xr:uid="{00000000-0005-0000-0000-00003D000000}"/>
    <cellStyle name="60% - 强调文字颜色 3 2" xfId="17" xr:uid="{00000000-0005-0000-0000-00003E000000}"/>
    <cellStyle name="60% - 强调文字颜色 4 2" xfId="18" xr:uid="{00000000-0005-0000-0000-00003F000000}"/>
    <cellStyle name="60% - 强调文字颜色 5 2" xfId="19" xr:uid="{00000000-0005-0000-0000-000040000000}"/>
    <cellStyle name="60% - 强调文字颜色 6 2" xfId="20" xr:uid="{00000000-0005-0000-0000-000041000000}"/>
    <cellStyle name="百分比" xfId="2" builtinId="5"/>
    <cellStyle name="百分比 2" xfId="21" xr:uid="{00000000-0005-0000-0000-000042000000}"/>
    <cellStyle name="百分比 5" xfId="22" xr:uid="{00000000-0005-0000-0000-000043000000}"/>
    <cellStyle name="百分比 6" xfId="23" xr:uid="{00000000-0005-0000-0000-000044000000}"/>
    <cellStyle name="标题 1 2" xfId="24" xr:uid="{00000000-0005-0000-0000-000045000000}"/>
    <cellStyle name="标题 2 2" xfId="25" xr:uid="{00000000-0005-0000-0000-000046000000}"/>
    <cellStyle name="标题 3 2" xfId="26" xr:uid="{00000000-0005-0000-0000-000047000000}"/>
    <cellStyle name="标题 4 2" xfId="27" xr:uid="{00000000-0005-0000-0000-000048000000}"/>
    <cellStyle name="标题 5" xfId="28" xr:uid="{00000000-0005-0000-0000-000049000000}"/>
    <cellStyle name="標準_7月月次連結（中国語版）(1)_08年度预算模板—1表(草案071110)" xfId="29" xr:uid="{00000000-0005-0000-0000-00004A000000}"/>
    <cellStyle name="差 2" xfId="30" xr:uid="{00000000-0005-0000-0000-00004B000000}"/>
    <cellStyle name="差 2 2" xfId="31" xr:uid="{00000000-0005-0000-0000-00004C000000}"/>
    <cellStyle name="差 3" xfId="32" xr:uid="{00000000-0005-0000-0000-00004D000000}"/>
    <cellStyle name="常规" xfId="0" builtinId="0"/>
    <cellStyle name="常规 16 7" xfId="33" xr:uid="{00000000-0005-0000-0000-00004E000000}"/>
    <cellStyle name="常规 17" xfId="34" xr:uid="{00000000-0005-0000-0000-00004F000000}"/>
    <cellStyle name="常规 2" xfId="35" xr:uid="{00000000-0005-0000-0000-000050000000}"/>
    <cellStyle name="常规 2 8" xfId="36" xr:uid="{00000000-0005-0000-0000-000051000000}"/>
    <cellStyle name="常规 62" xfId="37" xr:uid="{00000000-0005-0000-0000-000052000000}"/>
    <cellStyle name="常规 64" xfId="38" xr:uid="{00000000-0005-0000-0000-000053000000}"/>
    <cellStyle name="常规 65" xfId="39" xr:uid="{00000000-0005-0000-0000-000054000000}"/>
    <cellStyle name="常规 67" xfId="40" xr:uid="{00000000-0005-0000-0000-000055000000}"/>
    <cellStyle name="常规 7" xfId="41" xr:uid="{00000000-0005-0000-0000-000056000000}"/>
    <cellStyle name="常规 71" xfId="42" xr:uid="{00000000-0005-0000-0000-000057000000}"/>
    <cellStyle name="常规_Sheet1" xfId="43" xr:uid="{00000000-0005-0000-0000-000058000000}"/>
    <cellStyle name="常规_Sheet4" xfId="44" xr:uid="{00000000-0005-0000-0000-000059000000}"/>
    <cellStyle name="常规_华泰" xfId="45" xr:uid="{00000000-0005-0000-0000-00005A000000}"/>
    <cellStyle name="常规_考核标准" xfId="46" xr:uid="{00000000-0005-0000-0000-00005B000000}"/>
    <cellStyle name="好 2" xfId="47" xr:uid="{00000000-0005-0000-0000-00005C000000}"/>
    <cellStyle name="汇总 2" xfId="48" xr:uid="{00000000-0005-0000-0000-00005D000000}"/>
    <cellStyle name="计算 2" xfId="49" xr:uid="{00000000-0005-0000-0000-00005E000000}"/>
    <cellStyle name="检查单元格 2" xfId="50" xr:uid="{00000000-0005-0000-0000-00005F000000}"/>
    <cellStyle name="解释性文本 2" xfId="51" xr:uid="{00000000-0005-0000-0000-000060000000}"/>
    <cellStyle name="警告文本 2" xfId="52" xr:uid="{00000000-0005-0000-0000-000061000000}"/>
    <cellStyle name="链接单元格 2" xfId="53" xr:uid="{00000000-0005-0000-0000-000062000000}"/>
    <cellStyle name="千位分隔" xfId="1" builtinId="3"/>
    <cellStyle name="千位分隔 10" xfId="54" xr:uid="{00000000-0005-0000-0000-000063000000}"/>
    <cellStyle name="千位分隔 10 2" xfId="55" xr:uid="{00000000-0005-0000-0000-000064000000}"/>
    <cellStyle name="千位分隔 2" xfId="56" xr:uid="{00000000-0005-0000-0000-000065000000}"/>
    <cellStyle name="千位分隔 2 2" xfId="57" xr:uid="{00000000-0005-0000-0000-000066000000}"/>
    <cellStyle name="千位分隔 3" xfId="58" xr:uid="{00000000-0005-0000-0000-000067000000}"/>
    <cellStyle name="千位分隔 3 2" xfId="59" xr:uid="{00000000-0005-0000-0000-000068000000}"/>
    <cellStyle name="千位分隔 8" xfId="60" xr:uid="{00000000-0005-0000-0000-000069000000}"/>
    <cellStyle name="千位分隔 9" xfId="61" xr:uid="{00000000-0005-0000-0000-00006A000000}"/>
    <cellStyle name="千位分隔[0]" xfId="3" builtinId="6"/>
    <cellStyle name="千位分隔[0] 2" xfId="62" xr:uid="{00000000-0005-0000-0000-00006B000000}"/>
    <cellStyle name="千位分隔[0] 4" xfId="63" xr:uid="{00000000-0005-0000-0000-00006C000000}"/>
    <cellStyle name="千位分隔_8月" xfId="64" xr:uid="{00000000-0005-0000-0000-00006D000000}"/>
    <cellStyle name="强调文字颜色 1 2" xfId="65" xr:uid="{00000000-0005-0000-0000-00006E000000}"/>
    <cellStyle name="强调文字颜色 2 2" xfId="66" xr:uid="{00000000-0005-0000-0000-00006F000000}"/>
    <cellStyle name="强调文字颜色 3 2" xfId="67" xr:uid="{00000000-0005-0000-0000-000070000000}"/>
    <cellStyle name="强调文字颜色 6 2" xfId="68" xr:uid="{00000000-0005-0000-0000-000071000000}"/>
    <cellStyle name="适中 2" xfId="69" xr:uid="{00000000-0005-0000-0000-000072000000}"/>
    <cellStyle name="输出 2" xfId="70" xr:uid="{00000000-0005-0000-0000-000073000000}"/>
    <cellStyle name="输入 2" xfId="71" xr:uid="{00000000-0005-0000-0000-000074000000}"/>
    <cellStyle name="注释 2" xfId="72" xr:uid="{00000000-0005-0000-0000-000075000000}"/>
    <cellStyle name="注释 2 2" xfId="73" xr:uid="{00000000-0005-0000-0000-000076000000}"/>
  </cellStyles>
  <dxfs count="1989">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b val="0"/>
        <i val="0"/>
        <strike val="0"/>
        <u val="none"/>
        <sz val="12"/>
        <color rgb="FF9C0006"/>
      </font>
      <fill>
        <patternFill patternType="solid">
          <bgColor rgb="FFFFC7CE"/>
        </patternFill>
      </fill>
    </dxf>
    <dxf>
      <font>
        <b val="0"/>
        <i val="0"/>
        <strike val="0"/>
        <u val="none"/>
        <sz val="11"/>
        <color rgb="FF9C0006"/>
      </font>
      <fill>
        <patternFill patternType="solid">
          <bgColor rgb="FFFFC7CE"/>
        </patternFill>
      </fill>
    </dxf>
    <dxf>
      <fill>
        <patternFill patternType="solid">
          <bgColor rgb="FFFF9900"/>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2"/>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9C0006"/>
        <name val="宋体"/>
        <charset val="134"/>
        <scheme val="none"/>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indexed="36"/>
      </font>
    </dxf>
    <dxf>
      <font>
        <color indexed="11"/>
      </font>
    </dxf>
    <dxf>
      <font>
        <color indexed="1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ill>
        <patternFill patternType="solid">
          <bgColor rgb="FFFF9900"/>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color rgb="FF9C0006"/>
      </font>
      <fill>
        <patternFill patternType="solid">
          <bgColor rgb="FFFFC7CE"/>
        </patternFill>
      </fill>
    </dxf>
    <dxf>
      <font>
        <b val="0"/>
        <i val="0"/>
        <strike val="0"/>
        <u val="none"/>
        <sz val="11"/>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u val="none"/>
        <sz val="11"/>
        <color indexed="20"/>
      </font>
      <fill>
        <patternFill patternType="solid">
          <bgColor indexed="45"/>
        </patternFill>
      </fill>
    </dxf>
    <dxf>
      <font>
        <b val="0"/>
        <i val="0"/>
        <strike val="0"/>
        <u val="none"/>
        <sz val="11"/>
        <color indexed="20"/>
      </font>
      <fill>
        <patternFill patternType="solid">
          <bgColor indexed="4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3408001953185"/>
          <bgColor theme="4" tint="0.7993408001953185"/>
        </patternFill>
      </fill>
      <border>
        <bottom style="thin">
          <color theme="4" tint="0.39680166020691549"/>
        </bottom>
      </border>
    </dxf>
    <dxf>
      <font>
        <b/>
      </font>
      <fill>
        <patternFill patternType="solid">
          <fgColor theme="4" tint="0.7993408001953185"/>
          <bgColor theme="4" tint="0.7993408001953185"/>
        </patternFill>
      </fill>
      <border>
        <bottom style="thin">
          <color theme="4" tint="0.39680166020691549"/>
        </bottom>
      </border>
    </dxf>
    <dxf>
      <font>
        <color theme="1"/>
      </font>
    </dxf>
    <dxf>
      <font>
        <color theme="1"/>
      </font>
      <border>
        <bottom style="thin">
          <color theme="4" tint="0.39680166020691549"/>
        </bottom>
      </border>
    </dxf>
    <dxf>
      <font>
        <b/>
        <color theme="1"/>
      </font>
    </dxf>
    <dxf>
      <font>
        <b/>
        <color theme="1"/>
      </font>
      <border>
        <top style="thin">
          <color theme="4"/>
        </top>
        <bottom style="thin">
          <color theme="4"/>
        </bottom>
      </border>
    </dxf>
    <dxf>
      <fill>
        <patternFill patternType="solid">
          <fgColor theme="4" tint="0.7993408001953185"/>
          <bgColor theme="4" tint="0.7993408001953185"/>
        </patternFill>
      </fill>
    </dxf>
    <dxf>
      <fill>
        <patternFill patternType="solid">
          <fgColor theme="4" tint="0.7993408001953185"/>
          <bgColor theme="4" tint="0.7993408001953185"/>
        </patternFill>
      </fill>
    </dxf>
    <dxf>
      <font>
        <b/>
        <color theme="1"/>
      </font>
      <fill>
        <patternFill patternType="solid">
          <fgColor theme="4" tint="0.7993408001953185"/>
          <bgColor theme="4" tint="0.7993408001953185"/>
        </patternFill>
      </fill>
      <border>
        <top style="thin">
          <color theme="4" tint="0.39680166020691549"/>
        </top>
        <bottom style="thin">
          <color theme="4" tint="0.39680166020691549"/>
        </bottom>
      </border>
    </dxf>
    <dxf>
      <font>
        <b/>
        <color theme="1"/>
      </font>
      <fill>
        <patternFill patternType="solid">
          <fgColor theme="4" tint="0.7993408001953185"/>
          <bgColor theme="4" tint="0.7993408001953185"/>
        </patternFill>
      </fill>
      <border>
        <bottom style="thin">
          <color theme="4" tint="0.39680166020691549"/>
        </bottom>
      </border>
    </dxf>
  </dxfs>
  <tableStyles count="2" defaultTableStyle="TableStyleMedium9">
    <tableStyle name="PivotStylePreset2_Accent1 2" table="0" count="10" xr9:uid="{FF96730D-68C6-4187-969E-7CCC250A9DC8}">
      <tableStyleElement type="headerRow" dxfId="1988"/>
      <tableStyleElement type="totalRow" dxfId="1987"/>
      <tableStyleElement type="firstRowStripe" dxfId="1986"/>
      <tableStyleElement type="firstColumnStripe" dxfId="1985"/>
      <tableStyleElement type="firstSubtotalRow" dxfId="1984"/>
      <tableStyleElement type="secondSubtotalRow" dxfId="1983"/>
      <tableStyleElement type="firstRowSubheading" dxfId="1982"/>
      <tableStyleElement type="secondRowSubheading" dxfId="1981"/>
      <tableStyleElement type="pageFieldLabels" dxfId="1980"/>
      <tableStyleElement type="pageFieldValues" dxfId="1979"/>
    </tableStyle>
    <tableStyle name="PivotStylePreset2_Accent1" table="0" count="10" xr9:uid="{267968C8-6FFD-4C36-ACC1-9EA1FD1885CA}">
      <tableStyleElement type="headerRow" dxfId="1978"/>
      <tableStyleElement type="totalRow" dxfId="1977"/>
      <tableStyleElement type="firstRowStripe" dxfId="1976"/>
      <tableStyleElement type="firstColumnStripe" dxfId="1975"/>
      <tableStyleElement type="firstSubtotalRow" dxfId="1974"/>
      <tableStyleElement type="secondSubtotalRow" dxfId="1973"/>
      <tableStyleElement type="firstRowSubheading" dxfId="1972"/>
      <tableStyleElement type="secondRowSubheading" dxfId="1971"/>
      <tableStyleElement type="pageFieldLabels" dxfId="1970"/>
      <tableStyleElement type="pageFieldValues" dxfId="1969"/>
    </tableStyle>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pivotCacheDefinition" Target="pivotCache/pivotCacheDefinition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39</xdr:col>
      <xdr:colOff>720737</xdr:colOff>
      <xdr:row>25</xdr:row>
      <xdr:rowOff>100210</xdr:rowOff>
    </xdr:from>
    <xdr:to>
      <xdr:col>41</xdr:col>
      <xdr:colOff>75876</xdr:colOff>
      <xdr:row>28</xdr:row>
      <xdr:rowOff>73216</xdr:rowOff>
    </xdr:to>
    <xdr:sp macro="" textlink="">
      <xdr:nvSpPr>
        <xdr:cNvPr id="392193" name="Text Box 1025" hidden="1">
          <a:extLst>
            <a:ext uri="{FF2B5EF4-FFF2-40B4-BE49-F238E27FC236}">
              <a16:creationId xmlns:a16="http://schemas.microsoft.com/office/drawing/2014/main" id="{00000000-0008-0000-0600-000001FC0500}"/>
            </a:ext>
          </a:extLst>
        </xdr:cNvPr>
        <xdr:cNvSpPr txBox="1">
          <a:spLocks noChangeArrowheads="1"/>
        </xdr:cNvSpPr>
      </xdr:nvSpPr>
      <xdr:spPr>
        <a:xfrm>
          <a:off x="37172900" y="6572250"/>
          <a:ext cx="1231265" cy="7594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ln>
        <a:effectLst/>
        <a:extLst>
          <a:ext uri="{AF507438-7753-43E0-B8FC-AC1667EBCBE1}">
            <a14:hiddenEffects xmlns:a14="http://schemas.microsoft.com/office/drawing/2010/main">
              <a:effectLst>
                <a:outerShdw dist="35921" dir="2700000" algn="ctr" rotWithShape="0">
                  <a:srgbClr val="51000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368935</xdr:colOff>
      <xdr:row>9</xdr:row>
      <xdr:rowOff>9525</xdr:rowOff>
    </xdr:from>
    <xdr:to>
      <xdr:col>8</xdr:col>
      <xdr:colOff>350944</xdr:colOff>
      <xdr:row>11</xdr:row>
      <xdr:rowOff>239183</xdr:rowOff>
    </xdr:to>
    <xdr:sp macro="" textlink="">
      <xdr:nvSpPr>
        <xdr:cNvPr id="390146" name="Text Box 1026" hidden="1">
          <a:extLst>
            <a:ext uri="{FF2B5EF4-FFF2-40B4-BE49-F238E27FC236}">
              <a16:creationId xmlns:a16="http://schemas.microsoft.com/office/drawing/2014/main" id="{00000000-0008-0000-0700-000002F40500}"/>
            </a:ext>
          </a:extLst>
        </xdr:cNvPr>
        <xdr:cNvSpPr txBox="1">
          <a:spLocks noChangeArrowheads="1"/>
        </xdr:cNvSpPr>
      </xdr:nvSpPr>
      <xdr:spPr>
        <a:xfrm>
          <a:off x="6141085" y="2308225"/>
          <a:ext cx="1324610" cy="74866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xdr:twoCellAnchor editAs="absolute">
    <xdr:from>
      <xdr:col>3</xdr:col>
      <xdr:colOff>329988</xdr:colOff>
      <xdr:row>15</xdr:row>
      <xdr:rowOff>139700</xdr:rowOff>
    </xdr:from>
    <xdr:to>
      <xdr:col>3</xdr:col>
      <xdr:colOff>1571625</xdr:colOff>
      <xdr:row>20</xdr:row>
      <xdr:rowOff>56726</xdr:rowOff>
    </xdr:to>
    <xdr:sp macro="" textlink="">
      <xdr:nvSpPr>
        <xdr:cNvPr id="390148" name="Text Box 1028" hidden="1">
          <a:extLst>
            <a:ext uri="{FF2B5EF4-FFF2-40B4-BE49-F238E27FC236}">
              <a16:creationId xmlns:a16="http://schemas.microsoft.com/office/drawing/2014/main" id="{00000000-0008-0000-0700-000004F40500}"/>
            </a:ext>
          </a:extLst>
        </xdr:cNvPr>
        <xdr:cNvSpPr txBox="1">
          <a:spLocks noChangeArrowheads="1"/>
        </xdr:cNvSpPr>
      </xdr:nvSpPr>
      <xdr:spPr>
        <a:xfrm>
          <a:off x="2205990" y="3920490"/>
          <a:ext cx="1242060" cy="114617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228600</xdr:colOff>
      <xdr:row>1</xdr:row>
      <xdr:rowOff>190500</xdr:rowOff>
    </xdr:from>
    <xdr:to>
      <xdr:col>28</xdr:col>
      <xdr:colOff>76200</xdr:colOff>
      <xdr:row>9</xdr:row>
      <xdr:rowOff>238125</xdr:rowOff>
    </xdr:to>
    <xdr:pic>
      <xdr:nvPicPr>
        <xdr:cNvPr id="399302" name="图片 1">
          <a:extLst>
            <a:ext uri="{FF2B5EF4-FFF2-40B4-BE49-F238E27FC236}">
              <a16:creationId xmlns:a16="http://schemas.microsoft.com/office/drawing/2014/main" id="{00000000-0008-0000-1400-0000C6170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706850" y="419100"/>
          <a:ext cx="5181600" cy="2526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361950</xdr:colOff>
      <xdr:row>34</xdr:row>
      <xdr:rowOff>161925</xdr:rowOff>
    </xdr:from>
    <xdr:to>
      <xdr:col>19</xdr:col>
      <xdr:colOff>1331384</xdr:colOff>
      <xdr:row>57</xdr:row>
      <xdr:rowOff>104775</xdr:rowOff>
    </xdr:to>
    <xdr:pic>
      <xdr:nvPicPr>
        <xdr:cNvPr id="400066" name="图片 1" descr="a1e85d0020a6c9b9f675c7c458b1005">
          <a:extLst>
            <a:ext uri="{FF2B5EF4-FFF2-40B4-BE49-F238E27FC236}">
              <a16:creationId xmlns:a16="http://schemas.microsoft.com/office/drawing/2014/main" id="{00000000-0008-0000-1700-0000C21A0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801475" y="8844280"/>
          <a:ext cx="5664835" cy="4574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f1\&#36992;&#32422;&#20849;&#20139;\2024&#24180;3dc&#26032;&#38382;&#21367;&#21450;&#28385;&#24847;&#24230;&#20998;&#265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3.4\&#23458;&#25143;&#20851;&#31995;&#37096;&#20849;&#20139;&#30424;\&#23458;&#25143;&#20851;&#31995;&#37096;\&#23458;&#25143;&#20851;&#31995;&#37096;&#35746;&#21333;&#25253;&#34920;\3&#26376;&#21338;&#36234;&#26085;&#25253;&#34920;&#65288;&#23458;&#25143;&#20851;&#31995;&#37096;&#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3.4\WMMM\PPMM\B-&#20154;&#20107;\14-&#34218;&#37228;\2026&#24180;\2026-05&#26376;\5&#26376;&#22522;&#26412;\&#29123;&#27833;&#36710;-&#35199;&#29289;&#36229;&#24066;2026&#24180;5&#26376;&#22522;&#26412;&#24037;&#36164;&#3492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3.4\&#24494;&#20449;\xwechat_files\wxid_gq8y5fepba3l21_101b\msg\file\2026-06\&#65288;&#20844;&#24335;&#65289;&#26032;&#33021;&#28304;-&#35199;&#29289;&#26497;&#23458;&#37995;&#30427;2026&#24180;5&#26376;&#21806;&#21518;&#25552;&#25104;(2)(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3.4\&#24494;&#20449;\xwechat_files\wxid_gq8y5fepba3l21_101b\msg\file\2026-06\2026&#24180;5&#26376;&#20107;&#25925;&#32447;&#32034;&#24635;&#21488;&#36134;-&#27494;&#20399;&#24215;(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础参数勿删"/>
      <sheetName val="满意度问卷分析-服务站"/>
      <sheetName val="车间分析表"/>
      <sheetName val="满意度问卷分析-服务顾问"/>
      <sheetName val="月度满意度分析报表"/>
      <sheetName val="回访记录表"/>
      <sheetName val="服务站满意度&amp;投诉管理报表"/>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表"/>
      <sheetName val="订单客户（总表） "/>
      <sheetName val="潜客（总表）"/>
      <sheetName val="菜单"/>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资表-汇总"/>
      <sheetName val="工资表（西物）"/>
      <sheetName val="工资表-西物翼真"/>
      <sheetName val="工资表(超市）"/>
      <sheetName val="工资表(超市）-武侯售后"/>
      <sheetName val="工资表(西物）-机场售后"/>
      <sheetName val="工资直营店（超市）"/>
      <sheetName val="工资直营店（超市）离职暂不发"/>
      <sheetName val="聚广工资"/>
      <sheetName val="工资表英伦1"/>
      <sheetName val="核对社保"/>
      <sheetName val="社保+公积金03"/>
      <sheetName val="西物拷贝社保"/>
      <sheetName val="公积金拷贝（西物）"/>
      <sheetName val="工资表-部门"/>
      <sheetName val="社保补差"/>
      <sheetName val="超市拷贝社保"/>
      <sheetName val="公积金拷贝(超市）"/>
      <sheetName val="聚广拷贝社保"/>
      <sheetName val="其他综合扣款"/>
      <sheetName val="售后加班情况"/>
      <sheetName val="1-9月社保补差"/>
      <sheetName val="车展补贴"/>
      <sheetName val="=月满意度奖惩"/>
      <sheetName val="8.9月高温补贴"/>
      <sheetName val="8月高温补贴"/>
      <sheetName val="服装"/>
      <sheetName val="Sheet1"/>
      <sheetName val="冲锋衣扣款明细"/>
      <sheetName val="预发"/>
      <sheetName val="Sheet2"/>
    </sheetNames>
    <sheetDataSet>
      <sheetData sheetId="0"/>
      <sheetData sheetId="1"/>
      <sheetData sheetId="2"/>
      <sheetData sheetId="3"/>
      <sheetData sheetId="4">
        <row r="7">
          <cell r="C7" t="str">
            <v>曾吉斌</v>
          </cell>
        </row>
        <row r="8">
          <cell r="C8" t="str">
            <v>曹磊</v>
          </cell>
        </row>
        <row r="11">
          <cell r="C11" t="str">
            <v>邱小艳</v>
          </cell>
        </row>
        <row r="12">
          <cell r="C12" t="str">
            <v>潘倩</v>
          </cell>
        </row>
        <row r="13">
          <cell r="C13" t="str">
            <v>唐梅</v>
          </cell>
        </row>
        <row r="14">
          <cell r="C14" t="str">
            <v>邱昭丽</v>
          </cell>
        </row>
        <row r="15">
          <cell r="C15" t="str">
            <v>陈琳琳</v>
          </cell>
        </row>
        <row r="16">
          <cell r="C16" t="str">
            <v>黄雪梅</v>
          </cell>
        </row>
        <row r="17">
          <cell r="C17" t="str">
            <v>李彩琼</v>
          </cell>
        </row>
        <row r="18">
          <cell r="C18" t="str">
            <v>向阳</v>
          </cell>
        </row>
        <row r="19">
          <cell r="C19" t="str">
            <v>白影</v>
          </cell>
        </row>
        <row r="20">
          <cell r="C20" t="str">
            <v>朱开莲</v>
          </cell>
        </row>
        <row r="21">
          <cell r="C21" t="str">
            <v>曹青</v>
          </cell>
        </row>
        <row r="22">
          <cell r="C22" t="str">
            <v>陶纯玲</v>
          </cell>
        </row>
        <row r="23">
          <cell r="C23" t="str">
            <v>陈川蓉</v>
          </cell>
        </row>
        <row r="24">
          <cell r="C24" t="str">
            <v>舒童强</v>
          </cell>
        </row>
        <row r="25">
          <cell r="C25" t="str">
            <v>罗义瑕</v>
          </cell>
        </row>
        <row r="26">
          <cell r="C26" t="str">
            <v>刘强</v>
          </cell>
        </row>
        <row r="27">
          <cell r="C27" t="str">
            <v>王毅</v>
          </cell>
        </row>
        <row r="28">
          <cell r="C28" t="str">
            <v>张建</v>
          </cell>
        </row>
        <row r="29">
          <cell r="C29" t="str">
            <v>贾文哲</v>
          </cell>
        </row>
        <row r="30">
          <cell r="C30" t="str">
            <v>黄小炼</v>
          </cell>
        </row>
        <row r="31">
          <cell r="C31" t="str">
            <v>张林</v>
          </cell>
        </row>
        <row r="33">
          <cell r="C33" t="str">
            <v>唐玉屏</v>
          </cell>
        </row>
        <row r="34">
          <cell r="C34" t="str">
            <v>陈昱良</v>
          </cell>
        </row>
        <row r="35">
          <cell r="C35" t="str">
            <v>段宝安</v>
          </cell>
        </row>
        <row r="36">
          <cell r="C36" t="str">
            <v>金亮亮</v>
          </cell>
        </row>
        <row r="37">
          <cell r="C37" t="str">
            <v>曾浩</v>
          </cell>
        </row>
        <row r="38">
          <cell r="C38" t="str">
            <v>李超</v>
          </cell>
        </row>
        <row r="39">
          <cell r="C39" t="str">
            <v>辜晓菲</v>
          </cell>
        </row>
        <row r="40">
          <cell r="C40" t="str">
            <v>李国民</v>
          </cell>
        </row>
        <row r="41">
          <cell r="C41" t="str">
            <v>应文龙</v>
          </cell>
        </row>
        <row r="42">
          <cell r="C42" t="str">
            <v>梁宁</v>
          </cell>
        </row>
        <row r="43">
          <cell r="C43" t="str">
            <v>雷维可</v>
          </cell>
        </row>
        <row r="44">
          <cell r="C44" t="str">
            <v>陈晓波</v>
          </cell>
        </row>
        <row r="45">
          <cell r="C45" t="str">
            <v>黄意轩</v>
          </cell>
        </row>
        <row r="46">
          <cell r="C46" t="str">
            <v>唐芳兰</v>
          </cell>
        </row>
        <row r="47">
          <cell r="C47" t="str">
            <v>张琴</v>
          </cell>
        </row>
        <row r="48">
          <cell r="C48" t="str">
            <v>赵水仙</v>
          </cell>
        </row>
        <row r="49">
          <cell r="C49" t="str">
            <v>罗文琦</v>
          </cell>
        </row>
        <row r="50">
          <cell r="C50" t="str">
            <v>高梓绮</v>
          </cell>
        </row>
        <row r="51">
          <cell r="C51" t="str">
            <v>孙茂梅</v>
          </cell>
        </row>
        <row r="52">
          <cell r="C52" t="str">
            <v>刘尧梅</v>
          </cell>
        </row>
        <row r="53">
          <cell r="C53" t="str">
            <v>冯桢</v>
          </cell>
        </row>
        <row r="54">
          <cell r="C54" t="str">
            <v>颜书琼</v>
          </cell>
        </row>
        <row r="55">
          <cell r="C55" t="str">
            <v>肖伦容</v>
          </cell>
        </row>
        <row r="56">
          <cell r="C56" t="str">
            <v>李波</v>
          </cell>
        </row>
        <row r="57">
          <cell r="C57" t="str">
            <v>李桃</v>
          </cell>
        </row>
        <row r="58">
          <cell r="C58" t="str">
            <v>宋航</v>
          </cell>
        </row>
        <row r="59">
          <cell r="C59" t="str">
            <v>伍成勇</v>
          </cell>
        </row>
        <row r="60">
          <cell r="C60" t="str">
            <v>孙小平</v>
          </cell>
        </row>
        <row r="61">
          <cell r="C61" t="str">
            <v>成万强</v>
          </cell>
        </row>
        <row r="62">
          <cell r="C62" t="str">
            <v>贾卫红</v>
          </cell>
        </row>
        <row r="65">
          <cell r="C65" t="str">
            <v>王竹飞</v>
          </cell>
        </row>
        <row r="66">
          <cell r="C66" t="str">
            <v>周劲松</v>
          </cell>
        </row>
        <row r="67">
          <cell r="C67" t="str">
            <v>田建勇</v>
          </cell>
        </row>
        <row r="68">
          <cell r="C68" t="str">
            <v>宋虹冰</v>
          </cell>
        </row>
        <row r="69">
          <cell r="C69" t="str">
            <v>冉维朗</v>
          </cell>
        </row>
        <row r="70">
          <cell r="C70" t="str">
            <v>柳超</v>
          </cell>
        </row>
        <row r="71">
          <cell r="C71" t="str">
            <v>杨洋</v>
          </cell>
        </row>
        <row r="72">
          <cell r="C72" t="str">
            <v>王华通</v>
          </cell>
        </row>
        <row r="73">
          <cell r="C73" t="str">
            <v>谢波桃</v>
          </cell>
        </row>
        <row r="74">
          <cell r="C74" t="str">
            <v>吴德亮</v>
          </cell>
        </row>
        <row r="75">
          <cell r="C75" t="str">
            <v>蔡青山</v>
          </cell>
        </row>
        <row r="76">
          <cell r="C76" t="str">
            <v>廖君</v>
          </cell>
        </row>
        <row r="77">
          <cell r="C77" t="str">
            <v>李欢</v>
          </cell>
        </row>
        <row r="78">
          <cell r="C78" t="str">
            <v>左三明</v>
          </cell>
        </row>
        <row r="79">
          <cell r="C79" t="str">
            <v>李建国</v>
          </cell>
        </row>
        <row r="80">
          <cell r="C80" t="str">
            <v>李伦伟</v>
          </cell>
        </row>
        <row r="81">
          <cell r="C81" t="str">
            <v>刘新宇</v>
          </cell>
        </row>
        <row r="82">
          <cell r="C82" t="str">
            <v>章东</v>
          </cell>
        </row>
        <row r="83">
          <cell r="C83" t="str">
            <v>冯波</v>
          </cell>
        </row>
        <row r="84">
          <cell r="C84" t="str">
            <v>周俊宏</v>
          </cell>
        </row>
        <row r="85">
          <cell r="C85" t="str">
            <v>易林江</v>
          </cell>
        </row>
        <row r="86">
          <cell r="C86" t="str">
            <v>王浩宇</v>
          </cell>
        </row>
        <row r="87">
          <cell r="C87" t="str">
            <v>罗烽</v>
          </cell>
        </row>
        <row r="88">
          <cell r="C88" t="str">
            <v>王鹏</v>
          </cell>
        </row>
        <row r="89">
          <cell r="C89" t="str">
            <v>刘玳琳</v>
          </cell>
        </row>
        <row r="90">
          <cell r="C90" t="str">
            <v>邓尚明</v>
          </cell>
        </row>
        <row r="91">
          <cell r="C91" t="str">
            <v>赵廷宇</v>
          </cell>
        </row>
        <row r="92">
          <cell r="C92" t="str">
            <v>陈晓华</v>
          </cell>
        </row>
        <row r="93">
          <cell r="C93" t="str">
            <v>王立勃</v>
          </cell>
        </row>
        <row r="94">
          <cell r="C94" t="str">
            <v>陈志扬</v>
          </cell>
        </row>
        <row r="95">
          <cell r="C95" t="str">
            <v>刘石磊</v>
          </cell>
        </row>
        <row r="96">
          <cell r="C96" t="str">
            <v>朱小军</v>
          </cell>
        </row>
        <row r="97">
          <cell r="C97" t="str">
            <v>王强</v>
          </cell>
        </row>
        <row r="98">
          <cell r="C98" t="str">
            <v>胡磊</v>
          </cell>
        </row>
        <row r="99">
          <cell r="C99" t="str">
            <v>王柳毅</v>
          </cell>
        </row>
        <row r="100">
          <cell r="C100" t="str">
            <v>李璐</v>
          </cell>
        </row>
        <row r="101">
          <cell r="C101" t="str">
            <v>李双权</v>
          </cell>
        </row>
        <row r="102">
          <cell r="C102" t="str">
            <v>李垚</v>
          </cell>
        </row>
        <row r="103">
          <cell r="C103" t="str">
            <v>王成</v>
          </cell>
        </row>
        <row r="104">
          <cell r="C104" t="str">
            <v>李长春</v>
          </cell>
        </row>
        <row r="105">
          <cell r="C105" t="str">
            <v>吕自红</v>
          </cell>
        </row>
        <row r="106">
          <cell r="C106" t="str">
            <v>谭磊</v>
          </cell>
        </row>
        <row r="107">
          <cell r="C107" t="str">
            <v>赵前波</v>
          </cell>
        </row>
        <row r="108">
          <cell r="C108" t="str">
            <v>任彬</v>
          </cell>
        </row>
        <row r="109">
          <cell r="C109" t="str">
            <v>罗洪</v>
          </cell>
        </row>
        <row r="110">
          <cell r="C110" t="str">
            <v>雷毫</v>
          </cell>
        </row>
        <row r="111">
          <cell r="C111" t="str">
            <v>冯建勇</v>
          </cell>
        </row>
      </sheetData>
      <sheetData sheetId="5"/>
      <sheetData sheetId="6"/>
      <sheetData sheetId="7"/>
      <sheetData sheetId="8"/>
      <sheetData sheetId="9"/>
      <sheetData sheetId="10"/>
      <sheetData sheetId="11">
        <row r="3">
          <cell r="C3" t="str">
            <v>姓名</v>
          </cell>
          <cell r="E3" t="str">
            <v>养老</v>
          </cell>
          <cell r="G3" t="str">
            <v>失业</v>
          </cell>
          <cell r="I3" t="str">
            <v>医疗</v>
          </cell>
          <cell r="K3" t="str">
            <v>大病信息</v>
          </cell>
          <cell r="L3" t="str">
            <v>工伤</v>
          </cell>
          <cell r="N3" t="str">
            <v>社保补差</v>
          </cell>
          <cell r="P3" t="str">
            <v>公积金</v>
          </cell>
        </row>
        <row r="4">
          <cell r="E4" t="str">
            <v>单位16％</v>
          </cell>
          <cell r="G4" t="str">
            <v>单位0.6％</v>
          </cell>
          <cell r="I4" t="str">
            <v>单位7.55％</v>
          </cell>
          <cell r="K4" t="str">
            <v>单位0.75%</v>
          </cell>
          <cell r="L4" t="str">
            <v>单位0.1％</v>
          </cell>
          <cell r="N4" t="str">
            <v>单位</v>
          </cell>
          <cell r="P4" t="str">
            <v>单位</v>
          </cell>
          <cell r="Q4" t="str">
            <v>个人</v>
          </cell>
          <cell r="S4" t="str">
            <v>个人</v>
          </cell>
        </row>
        <row r="5">
          <cell r="C5" t="str">
            <v>马瑞</v>
          </cell>
          <cell r="E5">
            <v>1040</v>
          </cell>
          <cell r="G5">
            <v>39</v>
          </cell>
          <cell r="I5">
            <v>490.75</v>
          </cell>
          <cell r="K5">
            <v>48.75</v>
          </cell>
          <cell r="L5">
            <v>13</v>
          </cell>
          <cell r="N5">
            <v>0</v>
          </cell>
          <cell r="P5">
            <v>117</v>
          </cell>
          <cell r="Q5">
            <v>117</v>
          </cell>
          <cell r="S5">
            <v>676</v>
          </cell>
        </row>
        <row r="6">
          <cell r="C6" t="str">
            <v>张嘉唯</v>
          </cell>
          <cell r="E6">
            <v>1040</v>
          </cell>
          <cell r="G6">
            <v>39</v>
          </cell>
          <cell r="I6">
            <v>490.75</v>
          </cell>
          <cell r="K6">
            <v>48.75</v>
          </cell>
          <cell r="L6">
            <v>13</v>
          </cell>
          <cell r="N6">
            <v>0</v>
          </cell>
          <cell r="P6">
            <v>117</v>
          </cell>
          <cell r="Q6">
            <v>117</v>
          </cell>
          <cell r="S6">
            <v>676</v>
          </cell>
        </row>
        <row r="7">
          <cell r="C7" t="str">
            <v>何玉</v>
          </cell>
          <cell r="E7">
            <v>734.08</v>
          </cell>
          <cell r="G7">
            <v>27.53</v>
          </cell>
          <cell r="I7">
            <v>346.39</v>
          </cell>
          <cell r="K7">
            <v>34.409999999999997</v>
          </cell>
          <cell r="L7">
            <v>9.18</v>
          </cell>
          <cell r="N7">
            <v>0</v>
          </cell>
          <cell r="P7">
            <v>117</v>
          </cell>
          <cell r="Q7">
            <v>117</v>
          </cell>
          <cell r="S7">
            <v>477.15</v>
          </cell>
        </row>
        <row r="8">
          <cell r="C8" t="str">
            <v>李燕</v>
          </cell>
          <cell r="E8">
            <v>734.08</v>
          </cell>
          <cell r="G8">
            <v>27.53</v>
          </cell>
          <cell r="I8">
            <v>346.39</v>
          </cell>
          <cell r="K8">
            <v>34.409999999999997</v>
          </cell>
          <cell r="L8">
            <v>9.18</v>
          </cell>
          <cell r="N8">
            <v>0</v>
          </cell>
          <cell r="P8">
            <v>117</v>
          </cell>
          <cell r="Q8">
            <v>117</v>
          </cell>
          <cell r="S8">
            <v>477.15</v>
          </cell>
        </row>
        <row r="9">
          <cell r="C9" t="str">
            <v>蓝仁楷</v>
          </cell>
          <cell r="E9">
            <v>734.08</v>
          </cell>
          <cell r="G9">
            <v>27.53</v>
          </cell>
          <cell r="I9">
            <v>346.39</v>
          </cell>
          <cell r="K9">
            <v>34.409999999999997</v>
          </cell>
          <cell r="L9">
            <v>9.18</v>
          </cell>
          <cell r="N9">
            <v>0</v>
          </cell>
          <cell r="P9">
            <v>117</v>
          </cell>
          <cell r="Q9">
            <v>117</v>
          </cell>
          <cell r="S9">
            <v>477.15</v>
          </cell>
        </row>
        <row r="10">
          <cell r="C10" t="str">
            <v>罗良清</v>
          </cell>
          <cell r="E10">
            <v>734.08</v>
          </cell>
          <cell r="G10">
            <v>27.53</v>
          </cell>
          <cell r="I10">
            <v>346.39</v>
          </cell>
          <cell r="K10">
            <v>34.409999999999997</v>
          </cell>
          <cell r="L10">
            <v>9.18</v>
          </cell>
          <cell r="N10">
            <v>0</v>
          </cell>
          <cell r="P10">
            <v>117</v>
          </cell>
          <cell r="Q10">
            <v>117</v>
          </cell>
          <cell r="S10">
            <v>477.15</v>
          </cell>
        </row>
        <row r="11">
          <cell r="C11" t="str">
            <v>康忠伦</v>
          </cell>
          <cell r="E11">
            <v>734.08</v>
          </cell>
          <cell r="G11">
            <v>27.53</v>
          </cell>
          <cell r="I11">
            <v>346.39</v>
          </cell>
          <cell r="K11">
            <v>34.409999999999997</v>
          </cell>
          <cell r="L11">
            <v>9.18</v>
          </cell>
          <cell r="N11">
            <v>0</v>
          </cell>
          <cell r="P11">
            <v>117</v>
          </cell>
          <cell r="Q11">
            <v>117</v>
          </cell>
          <cell r="S11">
            <v>477.15</v>
          </cell>
        </row>
        <row r="12">
          <cell r="C12" t="str">
            <v>周舟</v>
          </cell>
          <cell r="E12">
            <v>734.08</v>
          </cell>
          <cell r="G12">
            <v>27.53</v>
          </cell>
          <cell r="I12">
            <v>346.39</v>
          </cell>
          <cell r="K12">
            <v>34.409999999999997</v>
          </cell>
          <cell r="L12">
            <v>9.18</v>
          </cell>
          <cell r="N12">
            <v>0</v>
          </cell>
          <cell r="P12">
            <v>117</v>
          </cell>
          <cell r="Q12">
            <v>117</v>
          </cell>
          <cell r="S12">
            <v>477.15</v>
          </cell>
        </row>
        <row r="13">
          <cell r="C13" t="str">
            <v>刘晓琴</v>
          </cell>
          <cell r="E13">
            <v>734.08</v>
          </cell>
          <cell r="G13">
            <v>27.53</v>
          </cell>
          <cell r="I13">
            <v>346.39</v>
          </cell>
          <cell r="K13">
            <v>34.409999999999997</v>
          </cell>
          <cell r="L13">
            <v>9.18</v>
          </cell>
          <cell r="N13">
            <v>0</v>
          </cell>
          <cell r="P13">
            <v>117</v>
          </cell>
          <cell r="Q13">
            <v>117</v>
          </cell>
          <cell r="S13">
            <v>477.15</v>
          </cell>
        </row>
        <row r="14">
          <cell r="C14" t="str">
            <v>李姣</v>
          </cell>
          <cell r="E14">
            <v>734.08</v>
          </cell>
          <cell r="G14">
            <v>27.53</v>
          </cell>
          <cell r="I14">
            <v>346.39</v>
          </cell>
          <cell r="K14">
            <v>34.409999999999997</v>
          </cell>
          <cell r="L14">
            <v>9.18</v>
          </cell>
          <cell r="N14">
            <v>0</v>
          </cell>
          <cell r="P14">
            <v>117</v>
          </cell>
          <cell r="Q14">
            <v>117</v>
          </cell>
          <cell r="S14">
            <v>477.15</v>
          </cell>
        </row>
        <row r="15">
          <cell r="C15" t="str">
            <v>沈燕</v>
          </cell>
          <cell r="E15">
            <v>734.08</v>
          </cell>
          <cell r="G15">
            <v>27.53</v>
          </cell>
          <cell r="I15">
            <v>346.39</v>
          </cell>
          <cell r="K15">
            <v>34.409999999999997</v>
          </cell>
          <cell r="L15">
            <v>9.18</v>
          </cell>
          <cell r="N15">
            <v>0</v>
          </cell>
          <cell r="P15">
            <v>117</v>
          </cell>
          <cell r="Q15">
            <v>117</v>
          </cell>
          <cell r="S15">
            <v>477.15</v>
          </cell>
        </row>
        <row r="16">
          <cell r="C16" t="str">
            <v>高敏</v>
          </cell>
          <cell r="E16">
            <v>734.08</v>
          </cell>
          <cell r="G16">
            <v>27.53</v>
          </cell>
          <cell r="I16">
            <v>346.39</v>
          </cell>
          <cell r="K16">
            <v>34.409999999999997</v>
          </cell>
          <cell r="L16">
            <v>9.18</v>
          </cell>
          <cell r="N16">
            <v>0</v>
          </cell>
          <cell r="P16">
            <v>117</v>
          </cell>
          <cell r="Q16">
            <v>117</v>
          </cell>
          <cell r="S16">
            <v>477.15</v>
          </cell>
        </row>
        <row r="17">
          <cell r="C17" t="str">
            <v>李芳</v>
          </cell>
          <cell r="E17">
            <v>734.08</v>
          </cell>
          <cell r="G17">
            <v>27.53</v>
          </cell>
          <cell r="I17">
            <v>346.39</v>
          </cell>
          <cell r="K17">
            <v>34.409999999999997</v>
          </cell>
          <cell r="L17">
            <v>9.18</v>
          </cell>
          <cell r="N17">
            <v>0</v>
          </cell>
          <cell r="P17">
            <v>117</v>
          </cell>
          <cell r="Q17">
            <v>117</v>
          </cell>
          <cell r="S17">
            <v>477.15</v>
          </cell>
        </row>
        <row r="18">
          <cell r="C18" t="str">
            <v>唐梁英</v>
          </cell>
          <cell r="E18">
            <v>734.08</v>
          </cell>
          <cell r="G18">
            <v>27.53</v>
          </cell>
          <cell r="I18">
            <v>346.39</v>
          </cell>
          <cell r="K18">
            <v>34.409999999999997</v>
          </cell>
          <cell r="L18">
            <v>9.18</v>
          </cell>
          <cell r="N18">
            <v>0</v>
          </cell>
          <cell r="P18">
            <v>117</v>
          </cell>
          <cell r="Q18">
            <v>117</v>
          </cell>
          <cell r="S18">
            <v>477.15</v>
          </cell>
        </row>
        <row r="19">
          <cell r="C19" t="str">
            <v>李彦林</v>
          </cell>
          <cell r="E19">
            <v>734.08</v>
          </cell>
          <cell r="G19">
            <v>27.53</v>
          </cell>
          <cell r="I19">
            <v>346.39</v>
          </cell>
          <cell r="K19">
            <v>34.409999999999997</v>
          </cell>
          <cell r="L19">
            <v>9.18</v>
          </cell>
          <cell r="N19">
            <v>0</v>
          </cell>
          <cell r="P19">
            <v>117</v>
          </cell>
          <cell r="Q19">
            <v>117</v>
          </cell>
          <cell r="S19">
            <v>477.15</v>
          </cell>
        </row>
        <row r="20">
          <cell r="C20" t="str">
            <v>李春梅</v>
          </cell>
          <cell r="E20">
            <v>734.08</v>
          </cell>
          <cell r="G20">
            <v>27.53</v>
          </cell>
          <cell r="I20">
            <v>346.39</v>
          </cell>
          <cell r="K20">
            <v>34.409999999999997</v>
          </cell>
          <cell r="L20">
            <v>9.18</v>
          </cell>
          <cell r="N20">
            <v>0</v>
          </cell>
          <cell r="P20">
            <v>117</v>
          </cell>
          <cell r="Q20">
            <v>117</v>
          </cell>
          <cell r="S20">
            <v>477.15</v>
          </cell>
        </row>
        <row r="21">
          <cell r="C21" t="str">
            <v>赵强</v>
          </cell>
          <cell r="E21">
            <v>734.08</v>
          </cell>
          <cell r="G21">
            <v>27.53</v>
          </cell>
          <cell r="I21">
            <v>346.39</v>
          </cell>
          <cell r="K21">
            <v>34.409999999999997</v>
          </cell>
          <cell r="L21">
            <v>9.18</v>
          </cell>
          <cell r="N21">
            <v>0</v>
          </cell>
          <cell r="P21">
            <v>117</v>
          </cell>
          <cell r="Q21">
            <v>117</v>
          </cell>
          <cell r="S21">
            <v>477.15</v>
          </cell>
        </row>
        <row r="22">
          <cell r="C22" t="str">
            <v>邓戈</v>
          </cell>
          <cell r="E22">
            <v>734.08</v>
          </cell>
          <cell r="G22">
            <v>27.53</v>
          </cell>
          <cell r="I22">
            <v>346.39</v>
          </cell>
          <cell r="K22">
            <v>34.409999999999997</v>
          </cell>
          <cell r="L22">
            <v>9.18</v>
          </cell>
          <cell r="N22">
            <v>0</v>
          </cell>
          <cell r="P22">
            <v>117</v>
          </cell>
          <cell r="Q22">
            <v>117</v>
          </cell>
          <cell r="S22">
            <v>477.15</v>
          </cell>
        </row>
        <row r="23">
          <cell r="C23" t="str">
            <v>王欢</v>
          </cell>
          <cell r="E23">
            <v>880</v>
          </cell>
          <cell r="G23">
            <v>33</v>
          </cell>
          <cell r="I23">
            <v>415.25</v>
          </cell>
          <cell r="K23">
            <v>41.25</v>
          </cell>
          <cell r="L23">
            <v>11</v>
          </cell>
          <cell r="N23">
            <v>0</v>
          </cell>
          <cell r="P23">
            <v>117</v>
          </cell>
          <cell r="Q23">
            <v>117</v>
          </cell>
          <cell r="S23">
            <v>572</v>
          </cell>
        </row>
        <row r="24">
          <cell r="C24" t="str">
            <v>黄军</v>
          </cell>
          <cell r="E24">
            <v>734.08</v>
          </cell>
          <cell r="G24">
            <v>27.53</v>
          </cell>
          <cell r="I24">
            <v>346.39</v>
          </cell>
          <cell r="K24">
            <v>34.409999999999997</v>
          </cell>
          <cell r="L24">
            <v>9.18</v>
          </cell>
          <cell r="N24">
            <v>0</v>
          </cell>
          <cell r="P24">
            <v>117</v>
          </cell>
          <cell r="Q24">
            <v>117</v>
          </cell>
          <cell r="S24">
            <v>477.15</v>
          </cell>
        </row>
        <row r="25">
          <cell r="C25" t="str">
            <v>王秋望</v>
          </cell>
          <cell r="E25">
            <v>734.08</v>
          </cell>
          <cell r="G25">
            <v>27.53</v>
          </cell>
          <cell r="I25">
            <v>346.39</v>
          </cell>
          <cell r="K25">
            <v>34.409999999999997</v>
          </cell>
          <cell r="L25">
            <v>9.18</v>
          </cell>
          <cell r="N25">
            <v>0</v>
          </cell>
          <cell r="P25">
            <v>117</v>
          </cell>
          <cell r="Q25">
            <v>117</v>
          </cell>
          <cell r="S25">
            <v>477.15</v>
          </cell>
        </row>
        <row r="26">
          <cell r="C26" t="str">
            <v>向兰</v>
          </cell>
          <cell r="E26">
            <v>734.08</v>
          </cell>
          <cell r="G26">
            <v>27.53</v>
          </cell>
          <cell r="I26">
            <v>346.39</v>
          </cell>
          <cell r="K26">
            <v>34.409999999999997</v>
          </cell>
          <cell r="L26">
            <v>9.18</v>
          </cell>
          <cell r="N26">
            <v>0</v>
          </cell>
          <cell r="P26">
            <v>117</v>
          </cell>
          <cell r="Q26">
            <v>117</v>
          </cell>
          <cell r="S26">
            <v>477.15</v>
          </cell>
        </row>
        <row r="27">
          <cell r="C27" t="str">
            <v>范娜</v>
          </cell>
          <cell r="E27">
            <v>800</v>
          </cell>
          <cell r="G27">
            <v>30</v>
          </cell>
          <cell r="I27">
            <v>377.5</v>
          </cell>
          <cell r="K27">
            <v>37.5</v>
          </cell>
          <cell r="L27">
            <v>10</v>
          </cell>
          <cell r="N27">
            <v>0</v>
          </cell>
          <cell r="P27">
            <v>117</v>
          </cell>
          <cell r="Q27">
            <v>117</v>
          </cell>
          <cell r="S27">
            <v>520</v>
          </cell>
        </row>
        <row r="28">
          <cell r="C28" t="str">
            <v>苟松柏</v>
          </cell>
          <cell r="E28">
            <v>734.08</v>
          </cell>
          <cell r="G28">
            <v>27.53</v>
          </cell>
          <cell r="I28">
            <v>346.39</v>
          </cell>
          <cell r="K28">
            <v>34.409999999999997</v>
          </cell>
          <cell r="L28">
            <v>9.18</v>
          </cell>
          <cell r="N28">
            <v>0</v>
          </cell>
          <cell r="P28">
            <v>117</v>
          </cell>
          <cell r="Q28">
            <v>117</v>
          </cell>
          <cell r="S28">
            <v>477.15</v>
          </cell>
        </row>
        <row r="29">
          <cell r="C29" t="str">
            <v>陈子逸</v>
          </cell>
          <cell r="E29">
            <v>734.08</v>
          </cell>
          <cell r="G29">
            <v>27.53</v>
          </cell>
          <cell r="I29">
            <v>346.39</v>
          </cell>
          <cell r="K29">
            <v>34.409999999999997</v>
          </cell>
          <cell r="L29">
            <v>9.18</v>
          </cell>
          <cell r="N29">
            <v>0</v>
          </cell>
          <cell r="P29">
            <v>117</v>
          </cell>
          <cell r="Q29">
            <v>117</v>
          </cell>
          <cell r="S29">
            <v>477.15</v>
          </cell>
        </row>
        <row r="30">
          <cell r="C30" t="str">
            <v>黄婷婷</v>
          </cell>
          <cell r="E30">
            <v>734.08</v>
          </cell>
          <cell r="G30">
            <v>27.53</v>
          </cell>
          <cell r="I30">
            <v>346.39</v>
          </cell>
          <cell r="K30">
            <v>34.409999999999997</v>
          </cell>
          <cell r="L30">
            <v>9.18</v>
          </cell>
          <cell r="N30">
            <v>0</v>
          </cell>
          <cell r="P30">
            <v>117</v>
          </cell>
          <cell r="Q30">
            <v>117</v>
          </cell>
          <cell r="S30">
            <v>477.15</v>
          </cell>
        </row>
        <row r="31">
          <cell r="C31" t="str">
            <v>冯超</v>
          </cell>
          <cell r="E31">
            <v>734.08</v>
          </cell>
          <cell r="G31">
            <v>27.53</v>
          </cell>
          <cell r="I31">
            <v>346.39</v>
          </cell>
          <cell r="K31">
            <v>34.409999999999997</v>
          </cell>
          <cell r="L31">
            <v>9.18</v>
          </cell>
          <cell r="N31">
            <v>0</v>
          </cell>
          <cell r="P31">
            <v>117</v>
          </cell>
          <cell r="Q31">
            <v>117</v>
          </cell>
          <cell r="S31">
            <v>477.15</v>
          </cell>
        </row>
        <row r="32">
          <cell r="C32" t="str">
            <v>姚元利</v>
          </cell>
          <cell r="E32">
            <v>734.08</v>
          </cell>
          <cell r="G32">
            <v>27.53</v>
          </cell>
          <cell r="I32">
            <v>346.39</v>
          </cell>
          <cell r="K32">
            <v>34.409999999999997</v>
          </cell>
          <cell r="L32">
            <v>9.18</v>
          </cell>
          <cell r="N32">
            <v>0</v>
          </cell>
          <cell r="P32">
            <v>117</v>
          </cell>
          <cell r="Q32">
            <v>117</v>
          </cell>
          <cell r="S32">
            <v>477.15</v>
          </cell>
        </row>
        <row r="33">
          <cell r="C33" t="str">
            <v>魏艳</v>
          </cell>
          <cell r="E33">
            <v>734.08</v>
          </cell>
          <cell r="G33">
            <v>27.53</v>
          </cell>
          <cell r="I33">
            <v>346.39</v>
          </cell>
          <cell r="K33">
            <v>34.409999999999997</v>
          </cell>
          <cell r="L33">
            <v>9.18</v>
          </cell>
          <cell r="N33">
            <v>0</v>
          </cell>
          <cell r="P33">
            <v>117</v>
          </cell>
          <cell r="Q33">
            <v>117</v>
          </cell>
          <cell r="S33">
            <v>477.15</v>
          </cell>
        </row>
        <row r="34">
          <cell r="C34" t="str">
            <v>陈林</v>
          </cell>
          <cell r="E34">
            <v>734.08</v>
          </cell>
          <cell r="G34">
            <v>27.53</v>
          </cell>
          <cell r="I34">
            <v>346.39</v>
          </cell>
          <cell r="K34">
            <v>34.409999999999997</v>
          </cell>
          <cell r="L34">
            <v>9.18</v>
          </cell>
          <cell r="N34">
            <v>0</v>
          </cell>
          <cell r="P34">
            <v>117</v>
          </cell>
          <cell r="Q34">
            <v>117</v>
          </cell>
          <cell r="S34">
            <v>477.15</v>
          </cell>
        </row>
        <row r="35">
          <cell r="C35" t="str">
            <v>王芝婕</v>
          </cell>
          <cell r="E35">
            <v>734.08</v>
          </cell>
          <cell r="G35">
            <v>27.53</v>
          </cell>
          <cell r="I35">
            <v>346.39</v>
          </cell>
          <cell r="K35">
            <v>34.409999999999997</v>
          </cell>
          <cell r="L35">
            <v>9.18</v>
          </cell>
          <cell r="N35">
            <v>0</v>
          </cell>
          <cell r="P35">
            <v>117</v>
          </cell>
          <cell r="Q35">
            <v>117</v>
          </cell>
          <cell r="S35">
            <v>477.15</v>
          </cell>
        </row>
        <row r="36">
          <cell r="C36" t="str">
            <v>付国晓</v>
          </cell>
          <cell r="E36">
            <v>734.08</v>
          </cell>
          <cell r="G36">
            <v>27.53</v>
          </cell>
          <cell r="I36">
            <v>346.39</v>
          </cell>
          <cell r="K36">
            <v>34.409999999999997</v>
          </cell>
          <cell r="L36">
            <v>9.18</v>
          </cell>
          <cell r="N36">
            <v>0</v>
          </cell>
          <cell r="P36">
            <v>117</v>
          </cell>
          <cell r="Q36">
            <v>117</v>
          </cell>
          <cell r="S36">
            <v>477.15</v>
          </cell>
        </row>
        <row r="37">
          <cell r="C37" t="str">
            <v>刘波</v>
          </cell>
          <cell r="E37">
            <v>734.08</v>
          </cell>
          <cell r="G37">
            <v>27.53</v>
          </cell>
          <cell r="I37">
            <v>346.39</v>
          </cell>
          <cell r="K37">
            <v>34.409999999999997</v>
          </cell>
          <cell r="L37">
            <v>9.18</v>
          </cell>
          <cell r="N37">
            <v>0</v>
          </cell>
          <cell r="P37">
            <v>117</v>
          </cell>
          <cell r="Q37">
            <v>117</v>
          </cell>
          <cell r="S37">
            <v>477.15</v>
          </cell>
        </row>
        <row r="38">
          <cell r="C38" t="str">
            <v>刘发</v>
          </cell>
          <cell r="E38">
            <v>734.08</v>
          </cell>
          <cell r="G38">
            <v>27.53</v>
          </cell>
          <cell r="I38">
            <v>346.39</v>
          </cell>
          <cell r="K38">
            <v>34.409999999999997</v>
          </cell>
          <cell r="L38">
            <v>9.18</v>
          </cell>
          <cell r="N38">
            <v>0</v>
          </cell>
          <cell r="P38">
            <v>117</v>
          </cell>
          <cell r="Q38">
            <v>117</v>
          </cell>
          <cell r="S38">
            <v>477.15</v>
          </cell>
        </row>
        <row r="39">
          <cell r="C39" t="str">
            <v>刘凤英</v>
          </cell>
          <cell r="E39">
            <v>734.08</v>
          </cell>
          <cell r="G39">
            <v>27.53</v>
          </cell>
          <cell r="I39">
            <v>346.39</v>
          </cell>
          <cell r="K39">
            <v>34.409999999999997</v>
          </cell>
          <cell r="L39">
            <v>9.18</v>
          </cell>
          <cell r="N39">
            <v>0</v>
          </cell>
          <cell r="P39">
            <v>117</v>
          </cell>
          <cell r="Q39">
            <v>117</v>
          </cell>
          <cell r="S39">
            <v>477.15</v>
          </cell>
        </row>
        <row r="40">
          <cell r="C40" t="str">
            <v>邱明杰</v>
          </cell>
          <cell r="E40">
            <v>734.08</v>
          </cell>
          <cell r="G40">
            <v>27.53</v>
          </cell>
          <cell r="I40">
            <v>346.39</v>
          </cell>
          <cell r="K40">
            <v>34.409999999999997</v>
          </cell>
          <cell r="L40">
            <v>9.18</v>
          </cell>
          <cell r="N40">
            <v>0</v>
          </cell>
          <cell r="P40">
            <v>117</v>
          </cell>
          <cell r="Q40">
            <v>117</v>
          </cell>
          <cell r="S40">
            <v>477.15</v>
          </cell>
        </row>
        <row r="41">
          <cell r="C41" t="str">
            <v>熊俊杰</v>
          </cell>
          <cell r="E41">
            <v>734.08</v>
          </cell>
          <cell r="G41">
            <v>27.53</v>
          </cell>
          <cell r="I41">
            <v>346.39</v>
          </cell>
          <cell r="K41">
            <v>34.409999999999997</v>
          </cell>
          <cell r="L41">
            <v>9.18</v>
          </cell>
          <cell r="N41">
            <v>0</v>
          </cell>
          <cell r="P41">
            <v>117</v>
          </cell>
          <cell r="Q41">
            <v>117</v>
          </cell>
          <cell r="S41">
            <v>477.15</v>
          </cell>
        </row>
        <row r="42">
          <cell r="C42" t="str">
            <v>谷雨</v>
          </cell>
          <cell r="E42">
            <v>734.08</v>
          </cell>
          <cell r="G42">
            <v>27.53</v>
          </cell>
          <cell r="I42">
            <v>346.39</v>
          </cell>
          <cell r="K42">
            <v>34.409999999999997</v>
          </cell>
          <cell r="L42">
            <v>9.18</v>
          </cell>
          <cell r="N42">
            <v>0</v>
          </cell>
          <cell r="P42">
            <v>117</v>
          </cell>
          <cell r="Q42">
            <v>117</v>
          </cell>
          <cell r="S42">
            <v>477.15</v>
          </cell>
        </row>
        <row r="43">
          <cell r="C43" t="str">
            <v>莫晓何</v>
          </cell>
          <cell r="E43">
            <v>734.08</v>
          </cell>
          <cell r="G43">
            <v>27.53</v>
          </cell>
          <cell r="I43">
            <v>346.39</v>
          </cell>
          <cell r="K43">
            <v>34.409999999999997</v>
          </cell>
          <cell r="L43">
            <v>9.18</v>
          </cell>
          <cell r="N43">
            <v>0</v>
          </cell>
          <cell r="P43">
            <v>117</v>
          </cell>
          <cell r="Q43">
            <v>117</v>
          </cell>
          <cell r="S43">
            <v>477.15</v>
          </cell>
        </row>
        <row r="44">
          <cell r="C44" t="str">
            <v>王熙鸿</v>
          </cell>
          <cell r="E44">
            <v>734.08</v>
          </cell>
          <cell r="G44">
            <v>27.53</v>
          </cell>
          <cell r="I44">
            <v>346.39</v>
          </cell>
          <cell r="K44">
            <v>34.409999999999997</v>
          </cell>
          <cell r="L44">
            <v>9.18</v>
          </cell>
          <cell r="N44">
            <v>0</v>
          </cell>
          <cell r="P44">
            <v>117</v>
          </cell>
          <cell r="Q44">
            <v>117</v>
          </cell>
          <cell r="S44">
            <v>477.15</v>
          </cell>
        </row>
        <row r="45">
          <cell r="C45" t="str">
            <v>黄思路</v>
          </cell>
          <cell r="E45">
            <v>734.08</v>
          </cell>
          <cell r="G45">
            <v>27.53</v>
          </cell>
          <cell r="I45">
            <v>346.39</v>
          </cell>
          <cell r="K45">
            <v>34.409999999999997</v>
          </cell>
          <cell r="L45">
            <v>9.18</v>
          </cell>
          <cell r="N45">
            <v>0</v>
          </cell>
          <cell r="P45">
            <v>117</v>
          </cell>
          <cell r="Q45">
            <v>117</v>
          </cell>
          <cell r="S45">
            <v>477.15</v>
          </cell>
        </row>
        <row r="46">
          <cell r="C46" t="str">
            <v>刘玉兰</v>
          </cell>
          <cell r="E46">
            <v>0</v>
          </cell>
          <cell r="G46">
            <v>0</v>
          </cell>
          <cell r="I46">
            <v>0</v>
          </cell>
          <cell r="K46">
            <v>0</v>
          </cell>
          <cell r="L46">
            <v>9.18</v>
          </cell>
          <cell r="N46">
            <v>0</v>
          </cell>
          <cell r="P46">
            <v>0</v>
          </cell>
          <cell r="Q46">
            <v>0</v>
          </cell>
          <cell r="S46">
            <v>0</v>
          </cell>
        </row>
        <row r="47">
          <cell r="C47" t="str">
            <v>施巍</v>
          </cell>
          <cell r="E47">
            <v>734.08</v>
          </cell>
          <cell r="G47">
            <v>27.53</v>
          </cell>
          <cell r="I47">
            <v>346.39</v>
          </cell>
          <cell r="K47">
            <v>34.409999999999997</v>
          </cell>
          <cell r="L47">
            <v>9.18</v>
          </cell>
          <cell r="N47">
            <v>0</v>
          </cell>
          <cell r="P47">
            <v>117</v>
          </cell>
          <cell r="Q47">
            <v>117</v>
          </cell>
          <cell r="S47">
            <v>477.15</v>
          </cell>
        </row>
        <row r="48">
          <cell r="C48" t="str">
            <v>刘彦</v>
          </cell>
          <cell r="E48">
            <v>734.08</v>
          </cell>
          <cell r="G48">
            <v>27.53</v>
          </cell>
          <cell r="I48">
            <v>346.39</v>
          </cell>
          <cell r="K48">
            <v>34.409999999999997</v>
          </cell>
          <cell r="L48">
            <v>9.18</v>
          </cell>
          <cell r="N48">
            <v>0</v>
          </cell>
          <cell r="P48">
            <v>117</v>
          </cell>
          <cell r="Q48">
            <v>117</v>
          </cell>
          <cell r="S48">
            <v>477.15</v>
          </cell>
        </row>
        <row r="49">
          <cell r="C49" t="str">
            <v>孙杰</v>
          </cell>
          <cell r="E49">
            <v>0</v>
          </cell>
          <cell r="G49">
            <v>0</v>
          </cell>
          <cell r="I49">
            <v>0</v>
          </cell>
          <cell r="K49">
            <v>0</v>
          </cell>
          <cell r="L49">
            <v>0</v>
          </cell>
          <cell r="N49">
            <v>0</v>
          </cell>
          <cell r="P49">
            <v>0</v>
          </cell>
          <cell r="Q49">
            <v>0</v>
          </cell>
          <cell r="S49">
            <v>0</v>
          </cell>
        </row>
        <row r="50">
          <cell r="C50" t="str">
            <v>王泽文</v>
          </cell>
          <cell r="E50">
            <v>734.08</v>
          </cell>
          <cell r="G50">
            <v>27.53</v>
          </cell>
          <cell r="I50">
            <v>346.39</v>
          </cell>
          <cell r="K50">
            <v>34.409999999999997</v>
          </cell>
          <cell r="L50">
            <v>9.18</v>
          </cell>
          <cell r="N50">
            <v>0</v>
          </cell>
          <cell r="P50">
            <v>117</v>
          </cell>
          <cell r="Q50">
            <v>117</v>
          </cell>
          <cell r="S50">
            <v>477.15</v>
          </cell>
        </row>
        <row r="51">
          <cell r="C51" t="str">
            <v>王艳</v>
          </cell>
          <cell r="E51">
            <v>734.08</v>
          </cell>
          <cell r="G51">
            <v>27.53</v>
          </cell>
          <cell r="I51">
            <v>346.39</v>
          </cell>
          <cell r="K51">
            <v>34.409999999999997</v>
          </cell>
          <cell r="L51">
            <v>9.18</v>
          </cell>
          <cell r="N51">
            <v>0</v>
          </cell>
          <cell r="P51">
            <v>117</v>
          </cell>
          <cell r="Q51">
            <v>117</v>
          </cell>
          <cell r="S51">
            <v>477.15</v>
          </cell>
        </row>
        <row r="52">
          <cell r="C52" t="str">
            <v>王俊茹</v>
          </cell>
          <cell r="E52">
            <v>734.08</v>
          </cell>
          <cell r="G52">
            <v>27.53</v>
          </cell>
          <cell r="I52">
            <v>346.39</v>
          </cell>
          <cell r="K52">
            <v>34.409999999999997</v>
          </cell>
          <cell r="L52">
            <v>9.18</v>
          </cell>
          <cell r="N52">
            <v>0</v>
          </cell>
          <cell r="P52">
            <v>117</v>
          </cell>
          <cell r="Q52">
            <v>117</v>
          </cell>
          <cell r="S52">
            <v>477.15</v>
          </cell>
        </row>
        <row r="53">
          <cell r="C53" t="str">
            <v>刘珣</v>
          </cell>
          <cell r="E53">
            <v>734.08</v>
          </cell>
          <cell r="G53">
            <v>27.53</v>
          </cell>
          <cell r="I53">
            <v>346.39</v>
          </cell>
          <cell r="K53">
            <v>34.409999999999997</v>
          </cell>
          <cell r="L53">
            <v>9.18</v>
          </cell>
          <cell r="N53">
            <v>0</v>
          </cell>
          <cell r="P53">
            <v>117</v>
          </cell>
          <cell r="Q53">
            <v>117</v>
          </cell>
          <cell r="S53">
            <v>477.15</v>
          </cell>
        </row>
        <row r="54">
          <cell r="C54" t="str">
            <v>白林</v>
          </cell>
          <cell r="E54">
            <v>734.08</v>
          </cell>
          <cell r="G54">
            <v>27.53</v>
          </cell>
          <cell r="I54">
            <v>346.39</v>
          </cell>
          <cell r="K54">
            <v>34.409999999999997</v>
          </cell>
          <cell r="L54">
            <v>9.18</v>
          </cell>
          <cell r="N54">
            <v>0</v>
          </cell>
          <cell r="P54">
            <v>117</v>
          </cell>
          <cell r="Q54">
            <v>117</v>
          </cell>
          <cell r="S54">
            <v>477.15</v>
          </cell>
        </row>
        <row r="55">
          <cell r="C55" t="str">
            <v>贾名伟</v>
          </cell>
          <cell r="E55">
            <v>734.08</v>
          </cell>
          <cell r="G55">
            <v>27.53</v>
          </cell>
          <cell r="I55">
            <v>346.39</v>
          </cell>
          <cell r="K55">
            <v>34.409999999999997</v>
          </cell>
          <cell r="L55">
            <v>9.18</v>
          </cell>
          <cell r="N55">
            <v>0</v>
          </cell>
          <cell r="P55">
            <v>117</v>
          </cell>
          <cell r="Q55">
            <v>117</v>
          </cell>
          <cell r="S55">
            <v>477.15</v>
          </cell>
        </row>
        <row r="56">
          <cell r="C56" t="str">
            <v>毛婷婷</v>
          </cell>
          <cell r="E56">
            <v>734.08</v>
          </cell>
          <cell r="G56">
            <v>27.53</v>
          </cell>
          <cell r="I56">
            <v>346.39</v>
          </cell>
          <cell r="K56">
            <v>34.409999999999997</v>
          </cell>
          <cell r="L56">
            <v>9.18</v>
          </cell>
          <cell r="N56">
            <v>0</v>
          </cell>
          <cell r="P56">
            <v>117</v>
          </cell>
          <cell r="Q56">
            <v>117</v>
          </cell>
          <cell r="S56">
            <v>477.15</v>
          </cell>
        </row>
        <row r="57">
          <cell r="C57" t="str">
            <v>钟涛</v>
          </cell>
          <cell r="E57">
            <v>734.08</v>
          </cell>
          <cell r="G57">
            <v>27.53</v>
          </cell>
          <cell r="I57">
            <v>346.39</v>
          </cell>
          <cell r="K57">
            <v>34.409999999999997</v>
          </cell>
          <cell r="L57">
            <v>9.18</v>
          </cell>
          <cell r="N57">
            <v>0</v>
          </cell>
          <cell r="P57">
            <v>117</v>
          </cell>
          <cell r="Q57">
            <v>117</v>
          </cell>
          <cell r="S57">
            <v>477.15</v>
          </cell>
        </row>
        <row r="58">
          <cell r="C58" t="str">
            <v>蒋云</v>
          </cell>
          <cell r="E58">
            <v>734.08</v>
          </cell>
          <cell r="G58">
            <v>27.53</v>
          </cell>
          <cell r="I58">
            <v>346.39</v>
          </cell>
          <cell r="K58">
            <v>34.409999999999997</v>
          </cell>
          <cell r="L58">
            <v>9.18</v>
          </cell>
          <cell r="N58">
            <v>0</v>
          </cell>
          <cell r="P58">
            <v>117</v>
          </cell>
          <cell r="Q58">
            <v>117</v>
          </cell>
          <cell r="S58">
            <v>477.15</v>
          </cell>
        </row>
        <row r="59">
          <cell r="C59" t="str">
            <v>吴小琴</v>
          </cell>
          <cell r="E59">
            <v>734.08</v>
          </cell>
          <cell r="G59">
            <v>27.53</v>
          </cell>
          <cell r="I59">
            <v>346.39</v>
          </cell>
          <cell r="K59">
            <v>34.409999999999997</v>
          </cell>
          <cell r="L59">
            <v>9.18</v>
          </cell>
          <cell r="N59">
            <v>0</v>
          </cell>
          <cell r="P59">
            <v>117</v>
          </cell>
          <cell r="Q59">
            <v>117</v>
          </cell>
          <cell r="S59">
            <v>477.15</v>
          </cell>
        </row>
        <row r="60">
          <cell r="C60" t="str">
            <v>张坤</v>
          </cell>
          <cell r="E60">
            <v>734.08</v>
          </cell>
          <cell r="G60">
            <v>27.53</v>
          </cell>
          <cell r="I60">
            <v>346.39</v>
          </cell>
          <cell r="K60">
            <v>34.409999999999997</v>
          </cell>
          <cell r="L60">
            <v>9.18</v>
          </cell>
          <cell r="N60">
            <v>0</v>
          </cell>
          <cell r="P60">
            <v>117</v>
          </cell>
          <cell r="Q60">
            <v>117</v>
          </cell>
          <cell r="S60">
            <v>477.15</v>
          </cell>
        </row>
        <row r="61">
          <cell r="C61" t="str">
            <v>丁小玲</v>
          </cell>
          <cell r="E61">
            <v>734.08</v>
          </cell>
          <cell r="G61">
            <v>27.53</v>
          </cell>
          <cell r="I61">
            <v>346.39</v>
          </cell>
          <cell r="K61">
            <v>34.409999999999997</v>
          </cell>
          <cell r="L61">
            <v>9.18</v>
          </cell>
          <cell r="N61">
            <v>0</v>
          </cell>
          <cell r="P61">
            <v>117</v>
          </cell>
          <cell r="Q61">
            <v>117</v>
          </cell>
          <cell r="S61">
            <v>477.15</v>
          </cell>
        </row>
        <row r="62">
          <cell r="C62" t="str">
            <v>刘华</v>
          </cell>
          <cell r="E62">
            <v>734.08</v>
          </cell>
          <cell r="G62">
            <v>27.53</v>
          </cell>
          <cell r="I62">
            <v>346.39</v>
          </cell>
          <cell r="K62">
            <v>34.409999999999997</v>
          </cell>
          <cell r="L62">
            <v>9.18</v>
          </cell>
          <cell r="N62">
            <v>0</v>
          </cell>
          <cell r="P62">
            <v>117</v>
          </cell>
          <cell r="Q62">
            <v>117</v>
          </cell>
          <cell r="S62">
            <v>477.15</v>
          </cell>
        </row>
        <row r="63">
          <cell r="C63" t="str">
            <v>程羊</v>
          </cell>
          <cell r="E63">
            <v>734.08</v>
          </cell>
          <cell r="G63">
            <v>27.53</v>
          </cell>
          <cell r="I63">
            <v>346.39</v>
          </cell>
          <cell r="K63">
            <v>34.409999999999997</v>
          </cell>
          <cell r="L63">
            <v>9.18</v>
          </cell>
          <cell r="N63">
            <v>0</v>
          </cell>
          <cell r="P63">
            <v>117</v>
          </cell>
          <cell r="Q63">
            <v>117</v>
          </cell>
          <cell r="S63">
            <v>477.15</v>
          </cell>
        </row>
        <row r="64">
          <cell r="C64" t="str">
            <v>孙伟</v>
          </cell>
          <cell r="E64">
            <v>734.08</v>
          </cell>
          <cell r="G64">
            <v>27.53</v>
          </cell>
          <cell r="I64">
            <v>346.39</v>
          </cell>
          <cell r="K64">
            <v>34.409999999999997</v>
          </cell>
          <cell r="L64">
            <v>9.18</v>
          </cell>
          <cell r="N64">
            <v>0</v>
          </cell>
          <cell r="P64">
            <v>117</v>
          </cell>
          <cell r="Q64">
            <v>117</v>
          </cell>
          <cell r="S64">
            <v>477.15</v>
          </cell>
        </row>
        <row r="65">
          <cell r="C65" t="str">
            <v>常涛</v>
          </cell>
          <cell r="E65">
            <v>734.08</v>
          </cell>
          <cell r="G65">
            <v>27.53</v>
          </cell>
          <cell r="I65">
            <v>346.39</v>
          </cell>
          <cell r="K65">
            <v>34.409999999999997</v>
          </cell>
          <cell r="L65">
            <v>9.18</v>
          </cell>
          <cell r="N65">
            <v>0</v>
          </cell>
          <cell r="P65">
            <v>117</v>
          </cell>
          <cell r="Q65">
            <v>117</v>
          </cell>
          <cell r="S65">
            <v>477.15</v>
          </cell>
        </row>
        <row r="66">
          <cell r="C66" t="str">
            <v>王海</v>
          </cell>
          <cell r="E66">
            <v>734.08</v>
          </cell>
          <cell r="G66">
            <v>27.53</v>
          </cell>
          <cell r="I66">
            <v>346.39</v>
          </cell>
          <cell r="K66">
            <v>34.409999999999997</v>
          </cell>
          <cell r="L66">
            <v>9.18</v>
          </cell>
          <cell r="N66">
            <v>0</v>
          </cell>
          <cell r="P66">
            <v>117</v>
          </cell>
          <cell r="Q66">
            <v>117</v>
          </cell>
          <cell r="S66">
            <v>477.15</v>
          </cell>
        </row>
        <row r="67">
          <cell r="C67" t="str">
            <v>袁萍</v>
          </cell>
          <cell r="E67">
            <v>734.08</v>
          </cell>
          <cell r="G67">
            <v>27.53</v>
          </cell>
          <cell r="I67">
            <v>346.39</v>
          </cell>
          <cell r="K67">
            <v>34.409999999999997</v>
          </cell>
          <cell r="L67">
            <v>9.18</v>
          </cell>
          <cell r="N67">
            <v>0</v>
          </cell>
          <cell r="P67">
            <v>117</v>
          </cell>
          <cell r="Q67">
            <v>117</v>
          </cell>
          <cell r="S67">
            <v>477.15</v>
          </cell>
        </row>
        <row r="68">
          <cell r="C68" t="str">
            <v>唐鹏</v>
          </cell>
          <cell r="E68">
            <v>734.08</v>
          </cell>
          <cell r="G68">
            <v>27.53</v>
          </cell>
          <cell r="I68">
            <v>346.39</v>
          </cell>
          <cell r="K68">
            <v>34.409999999999997</v>
          </cell>
          <cell r="L68">
            <v>9.18</v>
          </cell>
          <cell r="N68">
            <v>0</v>
          </cell>
          <cell r="P68">
            <v>117</v>
          </cell>
          <cell r="Q68">
            <v>117</v>
          </cell>
          <cell r="S68">
            <v>477.15</v>
          </cell>
        </row>
        <row r="69">
          <cell r="C69" t="str">
            <v>朱剑波</v>
          </cell>
          <cell r="E69">
            <v>734.08</v>
          </cell>
          <cell r="G69">
            <v>27.53</v>
          </cell>
          <cell r="I69">
            <v>346.39</v>
          </cell>
          <cell r="K69">
            <v>34.409999999999997</v>
          </cell>
          <cell r="L69">
            <v>9.18</v>
          </cell>
          <cell r="N69">
            <v>0</v>
          </cell>
          <cell r="P69">
            <v>117</v>
          </cell>
          <cell r="Q69">
            <v>117</v>
          </cell>
          <cell r="S69">
            <v>477.15</v>
          </cell>
        </row>
        <row r="70">
          <cell r="C70" t="str">
            <v>陈勇建</v>
          </cell>
          <cell r="E70">
            <v>734.08</v>
          </cell>
          <cell r="G70">
            <v>27.53</v>
          </cell>
          <cell r="I70">
            <v>346.39</v>
          </cell>
          <cell r="K70">
            <v>34.409999999999997</v>
          </cell>
          <cell r="L70">
            <v>9.18</v>
          </cell>
          <cell r="N70">
            <v>0</v>
          </cell>
          <cell r="P70">
            <v>117</v>
          </cell>
          <cell r="Q70">
            <v>117</v>
          </cell>
          <cell r="S70">
            <v>477.15</v>
          </cell>
        </row>
        <row r="71">
          <cell r="C71" t="str">
            <v>赵思梵</v>
          </cell>
          <cell r="E71">
            <v>734.08</v>
          </cell>
          <cell r="G71">
            <v>27.53</v>
          </cell>
          <cell r="I71">
            <v>346.39</v>
          </cell>
          <cell r="K71">
            <v>34.409999999999997</v>
          </cell>
          <cell r="L71">
            <v>9.18</v>
          </cell>
          <cell r="N71">
            <v>0</v>
          </cell>
          <cell r="P71">
            <v>117</v>
          </cell>
          <cell r="Q71">
            <v>117</v>
          </cell>
          <cell r="S71">
            <v>477.15</v>
          </cell>
        </row>
        <row r="72">
          <cell r="C72" t="str">
            <v>宁袁</v>
          </cell>
          <cell r="E72">
            <v>734.08</v>
          </cell>
          <cell r="G72">
            <v>27.53</v>
          </cell>
          <cell r="I72">
            <v>346.39</v>
          </cell>
          <cell r="K72">
            <v>34.409999999999997</v>
          </cell>
          <cell r="L72">
            <v>9.18</v>
          </cell>
          <cell r="N72">
            <v>0</v>
          </cell>
          <cell r="P72">
            <v>117</v>
          </cell>
          <cell r="Q72">
            <v>117</v>
          </cell>
          <cell r="S72">
            <v>477.15</v>
          </cell>
        </row>
        <row r="73">
          <cell r="C73" t="str">
            <v>杨婷</v>
          </cell>
          <cell r="E73">
            <v>734.08</v>
          </cell>
          <cell r="G73">
            <v>27.53</v>
          </cell>
          <cell r="I73">
            <v>346.39</v>
          </cell>
          <cell r="K73">
            <v>34.409999999999997</v>
          </cell>
          <cell r="L73">
            <v>9.18</v>
          </cell>
          <cell r="N73">
            <v>0</v>
          </cell>
          <cell r="P73">
            <v>117</v>
          </cell>
          <cell r="Q73">
            <v>117</v>
          </cell>
          <cell r="S73">
            <v>477.15</v>
          </cell>
        </row>
        <row r="74">
          <cell r="C74" t="str">
            <v>余才万</v>
          </cell>
          <cell r="E74">
            <v>734.08</v>
          </cell>
          <cell r="G74">
            <v>27.53</v>
          </cell>
          <cell r="I74">
            <v>346.39</v>
          </cell>
          <cell r="K74">
            <v>34.409999999999997</v>
          </cell>
          <cell r="L74">
            <v>9.18</v>
          </cell>
          <cell r="N74">
            <v>0</v>
          </cell>
          <cell r="P74">
            <v>117</v>
          </cell>
          <cell r="Q74">
            <v>117</v>
          </cell>
          <cell r="S74">
            <v>477.15</v>
          </cell>
        </row>
        <row r="75">
          <cell r="C75" t="str">
            <v>吴思超</v>
          </cell>
          <cell r="E75">
            <v>734.08</v>
          </cell>
          <cell r="G75">
            <v>27.53</v>
          </cell>
          <cell r="I75">
            <v>346.39</v>
          </cell>
          <cell r="K75">
            <v>34.409999999999997</v>
          </cell>
          <cell r="L75">
            <v>9.18</v>
          </cell>
          <cell r="N75">
            <v>0</v>
          </cell>
          <cell r="P75">
            <v>117</v>
          </cell>
          <cell r="Q75">
            <v>117</v>
          </cell>
          <cell r="S75">
            <v>477.15</v>
          </cell>
        </row>
        <row r="76">
          <cell r="C76" t="str">
            <v>叶荣鹏</v>
          </cell>
          <cell r="E76">
            <v>734.08</v>
          </cell>
          <cell r="G76">
            <v>27.53</v>
          </cell>
          <cell r="I76">
            <v>346.39</v>
          </cell>
          <cell r="K76">
            <v>34.409999999999997</v>
          </cell>
          <cell r="L76">
            <v>9.18</v>
          </cell>
          <cell r="N76">
            <v>0</v>
          </cell>
          <cell r="P76">
            <v>117</v>
          </cell>
          <cell r="Q76">
            <v>117</v>
          </cell>
          <cell r="S76">
            <v>477.15</v>
          </cell>
        </row>
        <row r="77">
          <cell r="C77" t="str">
            <v>马勇</v>
          </cell>
          <cell r="E77">
            <v>734.08</v>
          </cell>
          <cell r="G77">
            <v>27.53</v>
          </cell>
          <cell r="I77">
            <v>346.39</v>
          </cell>
          <cell r="K77">
            <v>34.409999999999997</v>
          </cell>
          <cell r="L77">
            <v>9.18</v>
          </cell>
          <cell r="N77">
            <v>0</v>
          </cell>
          <cell r="P77">
            <v>117</v>
          </cell>
          <cell r="Q77">
            <v>117</v>
          </cell>
          <cell r="S77">
            <v>477.15</v>
          </cell>
        </row>
        <row r="78">
          <cell r="C78" t="str">
            <v>王巧巧</v>
          </cell>
          <cell r="E78">
            <v>734.08</v>
          </cell>
          <cell r="G78">
            <v>27.53</v>
          </cell>
          <cell r="I78">
            <v>346.39</v>
          </cell>
          <cell r="K78">
            <v>34.409999999999997</v>
          </cell>
          <cell r="L78">
            <v>9.18</v>
          </cell>
          <cell r="N78">
            <v>0</v>
          </cell>
          <cell r="P78">
            <v>117</v>
          </cell>
          <cell r="Q78">
            <v>117</v>
          </cell>
          <cell r="S78">
            <v>477.15</v>
          </cell>
        </row>
        <row r="79">
          <cell r="C79" t="str">
            <v>高东琴</v>
          </cell>
          <cell r="E79">
            <v>734.08</v>
          </cell>
          <cell r="G79">
            <v>27.53</v>
          </cell>
          <cell r="I79">
            <v>346.39</v>
          </cell>
          <cell r="K79">
            <v>34.409999999999997</v>
          </cell>
          <cell r="L79">
            <v>9.18</v>
          </cell>
          <cell r="N79">
            <v>0</v>
          </cell>
          <cell r="P79">
            <v>117</v>
          </cell>
          <cell r="Q79">
            <v>117</v>
          </cell>
          <cell r="S79">
            <v>477.15</v>
          </cell>
        </row>
        <row r="80">
          <cell r="C80" t="str">
            <v>王茂林</v>
          </cell>
          <cell r="E80">
            <v>880</v>
          </cell>
          <cell r="G80">
            <v>33</v>
          </cell>
          <cell r="I80">
            <v>415.25</v>
          </cell>
          <cell r="K80">
            <v>41.25</v>
          </cell>
          <cell r="L80">
            <v>11</v>
          </cell>
          <cell r="N80">
            <v>0</v>
          </cell>
          <cell r="P80">
            <v>117</v>
          </cell>
          <cell r="Q80">
            <v>117</v>
          </cell>
          <cell r="S80">
            <v>572</v>
          </cell>
        </row>
        <row r="81">
          <cell r="C81" t="str">
            <v>钟家林</v>
          </cell>
          <cell r="E81">
            <v>734.08</v>
          </cell>
          <cell r="G81">
            <v>27.53</v>
          </cell>
          <cell r="I81">
            <v>346.39</v>
          </cell>
          <cell r="K81">
            <v>34.409999999999997</v>
          </cell>
          <cell r="L81">
            <v>9.18</v>
          </cell>
          <cell r="N81">
            <v>0</v>
          </cell>
          <cell r="P81">
            <v>117</v>
          </cell>
          <cell r="Q81">
            <v>117</v>
          </cell>
          <cell r="S81">
            <v>477.15</v>
          </cell>
        </row>
        <row r="82">
          <cell r="C82" t="str">
            <v>牟春柳</v>
          </cell>
          <cell r="E82">
            <v>734.08</v>
          </cell>
          <cell r="G82">
            <v>27.53</v>
          </cell>
          <cell r="I82">
            <v>346.39</v>
          </cell>
          <cell r="K82">
            <v>34.409999999999997</v>
          </cell>
          <cell r="L82">
            <v>9.18</v>
          </cell>
          <cell r="N82">
            <v>0</v>
          </cell>
          <cell r="P82">
            <v>117</v>
          </cell>
          <cell r="Q82">
            <v>117</v>
          </cell>
          <cell r="S82">
            <v>477.15</v>
          </cell>
        </row>
        <row r="83">
          <cell r="C83" t="str">
            <v>黎明朗</v>
          </cell>
          <cell r="E83">
            <v>734.08</v>
          </cell>
          <cell r="G83">
            <v>27.53</v>
          </cell>
          <cell r="I83">
            <v>346.39</v>
          </cell>
          <cell r="K83">
            <v>34.409999999999997</v>
          </cell>
          <cell r="L83">
            <v>9.18</v>
          </cell>
          <cell r="N83">
            <v>0</v>
          </cell>
          <cell r="P83">
            <v>117</v>
          </cell>
          <cell r="Q83">
            <v>117</v>
          </cell>
          <cell r="S83">
            <v>477.15</v>
          </cell>
        </row>
        <row r="84">
          <cell r="C84" t="str">
            <v>兰代全</v>
          </cell>
          <cell r="E84">
            <v>734.08</v>
          </cell>
          <cell r="G84">
            <v>27.53</v>
          </cell>
          <cell r="I84">
            <v>346.39</v>
          </cell>
          <cell r="K84">
            <v>34.409999999999997</v>
          </cell>
          <cell r="L84">
            <v>9.18</v>
          </cell>
          <cell r="N84">
            <v>0</v>
          </cell>
          <cell r="P84">
            <v>117</v>
          </cell>
          <cell r="Q84">
            <v>117</v>
          </cell>
          <cell r="S84">
            <v>477.15</v>
          </cell>
        </row>
        <row r="85">
          <cell r="C85" t="str">
            <v>任和奎</v>
          </cell>
          <cell r="E85">
            <v>734.08</v>
          </cell>
          <cell r="G85">
            <v>27.53</v>
          </cell>
          <cell r="I85">
            <v>346.39</v>
          </cell>
          <cell r="K85">
            <v>34.409999999999997</v>
          </cell>
          <cell r="L85">
            <v>9.18</v>
          </cell>
          <cell r="N85">
            <v>0</v>
          </cell>
          <cell r="P85">
            <v>117</v>
          </cell>
          <cell r="Q85">
            <v>117</v>
          </cell>
          <cell r="S85">
            <v>477.15</v>
          </cell>
        </row>
        <row r="86">
          <cell r="C86" t="str">
            <v>刘娅</v>
          </cell>
          <cell r="E86">
            <v>734.08</v>
          </cell>
          <cell r="G86">
            <v>27.53</v>
          </cell>
          <cell r="I86">
            <v>346.39</v>
          </cell>
          <cell r="K86">
            <v>34.409999999999997</v>
          </cell>
          <cell r="L86">
            <v>9.18</v>
          </cell>
          <cell r="N86">
            <v>0</v>
          </cell>
          <cell r="P86">
            <v>117</v>
          </cell>
          <cell r="Q86">
            <v>117</v>
          </cell>
          <cell r="S86">
            <v>477.15</v>
          </cell>
        </row>
        <row r="87">
          <cell r="C87" t="str">
            <v>陈莉</v>
          </cell>
          <cell r="E87">
            <v>734.08</v>
          </cell>
          <cell r="G87">
            <v>27.53</v>
          </cell>
          <cell r="I87">
            <v>346.39</v>
          </cell>
          <cell r="K87">
            <v>34.409999999999997</v>
          </cell>
          <cell r="L87">
            <v>9.18</v>
          </cell>
          <cell r="N87">
            <v>0</v>
          </cell>
          <cell r="P87">
            <v>117</v>
          </cell>
          <cell r="Q87">
            <v>117</v>
          </cell>
          <cell r="S87">
            <v>477.15</v>
          </cell>
        </row>
        <row r="88">
          <cell r="E88">
            <v>60430.080000000002</v>
          </cell>
          <cell r="G88">
            <v>2266.2800000000002</v>
          </cell>
          <cell r="I88">
            <v>28515.14</v>
          </cell>
          <cell r="K88">
            <v>2832.66</v>
          </cell>
          <cell r="L88">
            <v>764.86</v>
          </cell>
          <cell r="N88">
            <v>0</v>
          </cell>
          <cell r="P88">
            <v>9477</v>
          </cell>
          <cell r="Q88">
            <v>9477</v>
          </cell>
          <cell r="S88">
            <v>39279.4</v>
          </cell>
        </row>
        <row r="91">
          <cell r="C91" t="str">
            <v>姓名</v>
          </cell>
          <cell r="E91" t="str">
            <v>养老</v>
          </cell>
          <cell r="G91" t="str">
            <v>失业</v>
          </cell>
          <cell r="I91" t="str">
            <v>医疗</v>
          </cell>
          <cell r="K91" t="str">
            <v>大病信息</v>
          </cell>
          <cell r="L91" t="str">
            <v>工伤</v>
          </cell>
          <cell r="N91" t="str">
            <v>社保补差</v>
          </cell>
          <cell r="P91" t="str">
            <v>公积金</v>
          </cell>
        </row>
        <row r="92">
          <cell r="C92" t="str">
            <v>姓名</v>
          </cell>
          <cell r="E92" t="str">
            <v>单位16％</v>
          </cell>
          <cell r="G92" t="str">
            <v>单位0.6％</v>
          </cell>
          <cell r="I92" t="str">
            <v>单位7.55％</v>
          </cell>
          <cell r="K92" t="str">
            <v>单位0.75%</v>
          </cell>
          <cell r="L92" t="str">
            <v>单位0.1％</v>
          </cell>
          <cell r="N92" t="str">
            <v>单位</v>
          </cell>
          <cell r="P92" t="str">
            <v>单位</v>
          </cell>
          <cell r="Q92" t="str">
            <v>个人</v>
          </cell>
          <cell r="S92" t="str">
            <v>个人</v>
          </cell>
        </row>
        <row r="93">
          <cell r="C93" t="str">
            <v>刘伟生</v>
          </cell>
          <cell r="E93">
            <v>0</v>
          </cell>
          <cell r="G93">
            <v>0</v>
          </cell>
          <cell r="I93">
            <v>0</v>
          </cell>
          <cell r="K93">
            <v>0</v>
          </cell>
          <cell r="L93">
            <v>0</v>
          </cell>
          <cell r="N93">
            <v>0</v>
          </cell>
          <cell r="P93">
            <v>0</v>
          </cell>
          <cell r="Q93">
            <v>0</v>
          </cell>
          <cell r="S93">
            <v>0</v>
          </cell>
        </row>
        <row r="94">
          <cell r="C94" t="str">
            <v>代蓓</v>
          </cell>
          <cell r="E94">
            <v>1280</v>
          </cell>
          <cell r="G94">
            <v>48</v>
          </cell>
          <cell r="I94">
            <v>604</v>
          </cell>
          <cell r="K94">
            <v>60</v>
          </cell>
          <cell r="L94">
            <v>16</v>
          </cell>
          <cell r="N94">
            <v>0</v>
          </cell>
          <cell r="P94">
            <v>117</v>
          </cell>
          <cell r="Q94">
            <v>117</v>
          </cell>
          <cell r="S94">
            <v>832</v>
          </cell>
        </row>
        <row r="95">
          <cell r="C95" t="str">
            <v>刘菁妍</v>
          </cell>
          <cell r="E95">
            <v>734.08</v>
          </cell>
          <cell r="G95">
            <v>27.53</v>
          </cell>
          <cell r="I95">
            <v>346.39</v>
          </cell>
          <cell r="K95">
            <v>34.409999999999997</v>
          </cell>
          <cell r="L95">
            <v>9.18</v>
          </cell>
          <cell r="N95">
            <v>0</v>
          </cell>
          <cell r="P95">
            <v>117</v>
          </cell>
          <cell r="Q95">
            <v>117</v>
          </cell>
          <cell r="S95">
            <v>477.15</v>
          </cell>
        </row>
        <row r="96">
          <cell r="C96" t="str">
            <v>何莉</v>
          </cell>
          <cell r="E96">
            <v>880</v>
          </cell>
          <cell r="G96">
            <v>33</v>
          </cell>
          <cell r="I96">
            <v>415.25</v>
          </cell>
          <cell r="K96">
            <v>41.25</v>
          </cell>
          <cell r="L96">
            <v>11</v>
          </cell>
          <cell r="N96">
            <v>0</v>
          </cell>
          <cell r="P96">
            <v>117</v>
          </cell>
          <cell r="Q96">
            <v>117</v>
          </cell>
          <cell r="S96">
            <v>572</v>
          </cell>
        </row>
        <row r="97">
          <cell r="C97" t="str">
            <v>齐坤忠</v>
          </cell>
          <cell r="E97">
            <v>1280</v>
          </cell>
          <cell r="G97">
            <v>48</v>
          </cell>
          <cell r="I97">
            <v>604</v>
          </cell>
          <cell r="K97">
            <v>60</v>
          </cell>
          <cell r="L97">
            <v>16</v>
          </cell>
          <cell r="N97">
            <v>0</v>
          </cell>
          <cell r="P97">
            <v>117</v>
          </cell>
          <cell r="Q97">
            <v>117</v>
          </cell>
          <cell r="S97">
            <v>832</v>
          </cell>
        </row>
        <row r="98">
          <cell r="C98" t="str">
            <v>汤小明</v>
          </cell>
          <cell r="E98">
            <v>1040</v>
          </cell>
          <cell r="G98">
            <v>39</v>
          </cell>
          <cell r="I98">
            <v>490.75</v>
          </cell>
          <cell r="K98">
            <v>48.75</v>
          </cell>
          <cell r="L98">
            <v>13</v>
          </cell>
          <cell r="N98">
            <v>0</v>
          </cell>
          <cell r="P98">
            <v>117</v>
          </cell>
          <cell r="Q98">
            <v>117</v>
          </cell>
          <cell r="S98">
            <v>676</v>
          </cell>
        </row>
        <row r="99">
          <cell r="C99" t="str">
            <v>冯岚</v>
          </cell>
          <cell r="E99">
            <v>1040</v>
          </cell>
          <cell r="G99">
            <v>39</v>
          </cell>
          <cell r="I99">
            <v>490.75</v>
          </cell>
          <cell r="K99">
            <v>48.75</v>
          </cell>
          <cell r="L99">
            <v>13</v>
          </cell>
          <cell r="N99">
            <v>0</v>
          </cell>
          <cell r="P99">
            <v>117</v>
          </cell>
          <cell r="Q99">
            <v>117</v>
          </cell>
          <cell r="S99">
            <v>676</v>
          </cell>
        </row>
        <row r="100">
          <cell r="C100" t="str">
            <v>陈俊霖</v>
          </cell>
          <cell r="E100">
            <v>1280</v>
          </cell>
          <cell r="G100">
            <v>48</v>
          </cell>
          <cell r="I100">
            <v>604</v>
          </cell>
          <cell r="K100">
            <v>60</v>
          </cell>
          <cell r="L100">
            <v>16</v>
          </cell>
          <cell r="N100">
            <v>0</v>
          </cell>
          <cell r="P100">
            <v>117</v>
          </cell>
          <cell r="Q100">
            <v>117</v>
          </cell>
          <cell r="S100">
            <v>832</v>
          </cell>
        </row>
        <row r="101">
          <cell r="C101" t="str">
            <v>唐玲</v>
          </cell>
          <cell r="E101">
            <v>800</v>
          </cell>
          <cell r="G101">
            <v>30</v>
          </cell>
          <cell r="I101">
            <v>377.5</v>
          </cell>
          <cell r="K101">
            <v>37.5</v>
          </cell>
          <cell r="L101">
            <v>10</v>
          </cell>
          <cell r="N101">
            <v>0</v>
          </cell>
          <cell r="P101">
            <v>117</v>
          </cell>
          <cell r="Q101">
            <v>117</v>
          </cell>
          <cell r="S101">
            <v>520</v>
          </cell>
        </row>
        <row r="102">
          <cell r="C102" t="str">
            <v>顾雪梅</v>
          </cell>
          <cell r="E102">
            <v>880</v>
          </cell>
          <cell r="G102">
            <v>33</v>
          </cell>
          <cell r="I102">
            <v>415.25</v>
          </cell>
          <cell r="K102">
            <v>41.25</v>
          </cell>
          <cell r="L102">
            <v>11</v>
          </cell>
          <cell r="N102">
            <v>0</v>
          </cell>
          <cell r="P102">
            <v>117</v>
          </cell>
          <cell r="Q102">
            <v>117</v>
          </cell>
          <cell r="S102">
            <v>572</v>
          </cell>
        </row>
        <row r="103">
          <cell r="C103" t="str">
            <v>丁红</v>
          </cell>
          <cell r="E103">
            <v>0</v>
          </cell>
          <cell r="G103">
            <v>0</v>
          </cell>
          <cell r="I103">
            <v>0</v>
          </cell>
          <cell r="K103">
            <v>0</v>
          </cell>
          <cell r="L103">
            <v>9.18</v>
          </cell>
          <cell r="N103">
            <v>0</v>
          </cell>
          <cell r="P103">
            <v>0</v>
          </cell>
          <cell r="Q103">
            <v>0</v>
          </cell>
          <cell r="S103">
            <v>0</v>
          </cell>
        </row>
        <row r="104">
          <cell r="C104" t="str">
            <v>黄凤</v>
          </cell>
          <cell r="E104">
            <v>734.08</v>
          </cell>
          <cell r="G104">
            <v>27.53</v>
          </cell>
          <cell r="I104">
            <v>346.39</v>
          </cell>
          <cell r="K104">
            <v>34.409999999999997</v>
          </cell>
          <cell r="L104">
            <v>9.18</v>
          </cell>
          <cell r="N104">
            <v>0</v>
          </cell>
          <cell r="P104">
            <v>117</v>
          </cell>
          <cell r="Q104">
            <v>117</v>
          </cell>
          <cell r="S104">
            <v>477.15</v>
          </cell>
        </row>
        <row r="105">
          <cell r="C105" t="str">
            <v>周德芳</v>
          </cell>
          <cell r="E105">
            <v>734.08</v>
          </cell>
          <cell r="G105">
            <v>27.53</v>
          </cell>
          <cell r="I105">
            <v>346.39</v>
          </cell>
          <cell r="K105">
            <v>34.409999999999997</v>
          </cell>
          <cell r="L105">
            <v>9.18</v>
          </cell>
          <cell r="N105">
            <v>0</v>
          </cell>
          <cell r="P105">
            <v>117</v>
          </cell>
          <cell r="Q105">
            <v>117</v>
          </cell>
          <cell r="S105">
            <v>477.15</v>
          </cell>
        </row>
        <row r="106">
          <cell r="C106" t="str">
            <v>肖廷忠</v>
          </cell>
          <cell r="E106">
            <v>734.08</v>
          </cell>
          <cell r="G106">
            <v>27.53</v>
          </cell>
          <cell r="I106">
            <v>346.39</v>
          </cell>
          <cell r="K106">
            <v>34.409999999999997</v>
          </cell>
          <cell r="L106">
            <v>9.18</v>
          </cell>
          <cell r="N106">
            <v>0</v>
          </cell>
          <cell r="P106">
            <v>117</v>
          </cell>
          <cell r="Q106">
            <v>117</v>
          </cell>
          <cell r="S106">
            <v>477.15</v>
          </cell>
        </row>
        <row r="107">
          <cell r="C107" t="str">
            <v>李佳乐</v>
          </cell>
          <cell r="E107">
            <v>734.08</v>
          </cell>
          <cell r="G107">
            <v>27.53</v>
          </cell>
          <cell r="I107">
            <v>346.39</v>
          </cell>
          <cell r="K107">
            <v>34.409999999999997</v>
          </cell>
          <cell r="L107">
            <v>9.18</v>
          </cell>
          <cell r="N107">
            <v>0</v>
          </cell>
          <cell r="P107">
            <v>117</v>
          </cell>
          <cell r="Q107">
            <v>117</v>
          </cell>
          <cell r="S107">
            <v>477.15</v>
          </cell>
        </row>
        <row r="108">
          <cell r="C108" t="str">
            <v>王泳文</v>
          </cell>
          <cell r="E108">
            <v>734.08</v>
          </cell>
          <cell r="G108">
            <v>27.53</v>
          </cell>
          <cell r="I108">
            <v>346.39</v>
          </cell>
          <cell r="K108">
            <v>34.409999999999997</v>
          </cell>
          <cell r="L108">
            <v>9.18</v>
          </cell>
          <cell r="N108">
            <v>0</v>
          </cell>
          <cell r="P108">
            <v>117</v>
          </cell>
          <cell r="Q108">
            <v>117</v>
          </cell>
          <cell r="S108">
            <v>477.15</v>
          </cell>
        </row>
        <row r="109">
          <cell r="C109" t="str">
            <v>黄利君</v>
          </cell>
          <cell r="E109">
            <v>734.08</v>
          </cell>
          <cell r="G109">
            <v>27.53</v>
          </cell>
          <cell r="I109">
            <v>346.39</v>
          </cell>
          <cell r="K109">
            <v>34.409999999999997</v>
          </cell>
          <cell r="L109">
            <v>9.18</v>
          </cell>
          <cell r="N109">
            <v>0</v>
          </cell>
          <cell r="P109">
            <v>117</v>
          </cell>
          <cell r="Q109">
            <v>117</v>
          </cell>
          <cell r="S109">
            <v>477.15</v>
          </cell>
        </row>
        <row r="110">
          <cell r="C110" t="str">
            <v>蒲喜</v>
          </cell>
          <cell r="E110">
            <v>734.08</v>
          </cell>
          <cell r="G110">
            <v>27.53</v>
          </cell>
          <cell r="I110">
            <v>346.39</v>
          </cell>
          <cell r="K110">
            <v>34.409999999999997</v>
          </cell>
          <cell r="L110">
            <v>9.18</v>
          </cell>
          <cell r="N110">
            <v>0</v>
          </cell>
          <cell r="P110">
            <v>117</v>
          </cell>
          <cell r="Q110">
            <v>117</v>
          </cell>
          <cell r="S110">
            <v>477.15</v>
          </cell>
        </row>
        <row r="111">
          <cell r="C111" t="str">
            <v>毛春秀</v>
          </cell>
          <cell r="E111">
            <v>734.08</v>
          </cell>
          <cell r="G111">
            <v>27.53</v>
          </cell>
          <cell r="I111">
            <v>346.39</v>
          </cell>
          <cell r="K111">
            <v>34.409999999999997</v>
          </cell>
          <cell r="L111">
            <v>9.18</v>
          </cell>
          <cell r="N111">
            <v>0</v>
          </cell>
          <cell r="P111">
            <v>117</v>
          </cell>
          <cell r="Q111">
            <v>117</v>
          </cell>
          <cell r="S111">
            <v>477.15</v>
          </cell>
        </row>
        <row r="112">
          <cell r="C112" t="str">
            <v>周梅</v>
          </cell>
          <cell r="E112">
            <v>734.08</v>
          </cell>
          <cell r="G112">
            <v>27.53</v>
          </cell>
          <cell r="I112">
            <v>346.39</v>
          </cell>
          <cell r="K112">
            <v>34.409999999999997</v>
          </cell>
          <cell r="L112">
            <v>9.18</v>
          </cell>
          <cell r="N112">
            <v>0</v>
          </cell>
          <cell r="P112">
            <v>117</v>
          </cell>
          <cell r="Q112">
            <v>117</v>
          </cell>
          <cell r="S112">
            <v>477.15</v>
          </cell>
        </row>
        <row r="113">
          <cell r="C113" t="str">
            <v>易花贞子</v>
          </cell>
          <cell r="E113">
            <v>734.08</v>
          </cell>
          <cell r="G113">
            <v>27.53</v>
          </cell>
          <cell r="I113">
            <v>346.39</v>
          </cell>
          <cell r="K113">
            <v>34.409999999999997</v>
          </cell>
          <cell r="L113">
            <v>9.18</v>
          </cell>
          <cell r="N113">
            <v>0</v>
          </cell>
          <cell r="P113">
            <v>117</v>
          </cell>
          <cell r="Q113">
            <v>117</v>
          </cell>
          <cell r="S113">
            <v>477.15</v>
          </cell>
        </row>
        <row r="114">
          <cell r="C114" t="str">
            <v>马攀</v>
          </cell>
          <cell r="E114">
            <v>734.08</v>
          </cell>
          <cell r="G114">
            <v>27.53</v>
          </cell>
          <cell r="I114">
            <v>346.39</v>
          </cell>
          <cell r="K114">
            <v>34.409999999999997</v>
          </cell>
          <cell r="L114">
            <v>9.18</v>
          </cell>
          <cell r="N114">
            <v>0</v>
          </cell>
          <cell r="P114">
            <v>117</v>
          </cell>
          <cell r="Q114">
            <v>117</v>
          </cell>
          <cell r="S114">
            <v>477.15</v>
          </cell>
        </row>
        <row r="115">
          <cell r="C115" t="str">
            <v>熊杰文</v>
          </cell>
          <cell r="E115">
            <v>734.08</v>
          </cell>
          <cell r="G115">
            <v>27.53</v>
          </cell>
          <cell r="I115">
            <v>346.39</v>
          </cell>
          <cell r="K115">
            <v>34.409999999999997</v>
          </cell>
          <cell r="L115">
            <v>9.18</v>
          </cell>
          <cell r="N115">
            <v>0</v>
          </cell>
          <cell r="P115">
            <v>117</v>
          </cell>
          <cell r="Q115">
            <v>117</v>
          </cell>
          <cell r="S115">
            <v>477.15</v>
          </cell>
        </row>
        <row r="116">
          <cell r="C116" t="str">
            <v>杜小红</v>
          </cell>
          <cell r="E116">
            <v>734.08</v>
          </cell>
          <cell r="G116">
            <v>27.53</v>
          </cell>
          <cell r="I116">
            <v>346.39</v>
          </cell>
          <cell r="K116">
            <v>34.409999999999997</v>
          </cell>
          <cell r="L116">
            <v>9.18</v>
          </cell>
          <cell r="N116">
            <v>0</v>
          </cell>
          <cell r="P116">
            <v>117</v>
          </cell>
          <cell r="Q116">
            <v>117</v>
          </cell>
          <cell r="S116">
            <v>477.15</v>
          </cell>
        </row>
        <row r="117">
          <cell r="C117" t="str">
            <v>周思雨</v>
          </cell>
          <cell r="E117">
            <v>734.08</v>
          </cell>
          <cell r="G117">
            <v>27.53</v>
          </cell>
          <cell r="I117">
            <v>346.39</v>
          </cell>
          <cell r="K117">
            <v>34.409999999999997</v>
          </cell>
          <cell r="L117">
            <v>9.18</v>
          </cell>
          <cell r="N117">
            <v>0</v>
          </cell>
          <cell r="P117">
            <v>117</v>
          </cell>
          <cell r="Q117">
            <v>117</v>
          </cell>
          <cell r="S117">
            <v>477.15</v>
          </cell>
        </row>
        <row r="118">
          <cell r="C118" t="str">
            <v>陈文霜</v>
          </cell>
          <cell r="E118">
            <v>734.08</v>
          </cell>
          <cell r="G118">
            <v>27.53</v>
          </cell>
          <cell r="I118">
            <v>346.39</v>
          </cell>
          <cell r="K118">
            <v>34.409999999999997</v>
          </cell>
          <cell r="L118">
            <v>9.18</v>
          </cell>
          <cell r="N118">
            <v>0</v>
          </cell>
          <cell r="P118">
            <v>117</v>
          </cell>
          <cell r="Q118">
            <v>117</v>
          </cell>
          <cell r="S118">
            <v>477.15</v>
          </cell>
        </row>
        <row r="119">
          <cell r="C119" t="str">
            <v>何伟</v>
          </cell>
          <cell r="E119">
            <v>734.08</v>
          </cell>
          <cell r="G119">
            <v>27.53</v>
          </cell>
          <cell r="I119">
            <v>346.39</v>
          </cell>
          <cell r="K119">
            <v>34.409999999999997</v>
          </cell>
          <cell r="L119">
            <v>9.18</v>
          </cell>
          <cell r="N119">
            <v>0</v>
          </cell>
          <cell r="P119">
            <v>117</v>
          </cell>
          <cell r="Q119">
            <v>117</v>
          </cell>
          <cell r="S119">
            <v>477.15</v>
          </cell>
        </row>
        <row r="120">
          <cell r="C120" t="str">
            <v>袁顺序</v>
          </cell>
          <cell r="E120">
            <v>800</v>
          </cell>
          <cell r="G120">
            <v>30</v>
          </cell>
          <cell r="I120">
            <v>377.5</v>
          </cell>
          <cell r="K120">
            <v>37.5</v>
          </cell>
          <cell r="L120">
            <v>10</v>
          </cell>
          <cell r="N120">
            <v>0</v>
          </cell>
          <cell r="P120">
            <v>117</v>
          </cell>
          <cell r="Q120">
            <v>117</v>
          </cell>
          <cell r="S120">
            <v>520</v>
          </cell>
        </row>
        <row r="121">
          <cell r="C121" t="str">
            <v>唐操</v>
          </cell>
          <cell r="E121">
            <v>734.08</v>
          </cell>
          <cell r="G121">
            <v>27.53</v>
          </cell>
          <cell r="I121">
            <v>346.39</v>
          </cell>
          <cell r="K121">
            <v>34.409999999999997</v>
          </cell>
          <cell r="L121">
            <v>9.18</v>
          </cell>
          <cell r="N121">
            <v>0</v>
          </cell>
          <cell r="P121">
            <v>117</v>
          </cell>
          <cell r="Q121">
            <v>117</v>
          </cell>
          <cell r="S121">
            <v>477.15</v>
          </cell>
        </row>
        <row r="122">
          <cell r="C122" t="str">
            <v>邓小军</v>
          </cell>
          <cell r="E122">
            <v>734.08</v>
          </cell>
          <cell r="G122">
            <v>27.53</v>
          </cell>
          <cell r="I122">
            <v>346.39</v>
          </cell>
          <cell r="K122">
            <v>34.409999999999997</v>
          </cell>
          <cell r="L122">
            <v>9.18</v>
          </cell>
          <cell r="N122">
            <v>0</v>
          </cell>
          <cell r="P122">
            <v>117</v>
          </cell>
          <cell r="Q122">
            <v>117</v>
          </cell>
          <cell r="S122">
            <v>477.15</v>
          </cell>
        </row>
        <row r="123">
          <cell r="C123" t="str">
            <v>金玉梅</v>
          </cell>
          <cell r="E123">
            <v>734.08</v>
          </cell>
          <cell r="G123">
            <v>27.53</v>
          </cell>
          <cell r="I123">
            <v>346.39</v>
          </cell>
          <cell r="K123">
            <v>34.409999999999997</v>
          </cell>
          <cell r="L123">
            <v>9.18</v>
          </cell>
          <cell r="N123">
            <v>0</v>
          </cell>
          <cell r="P123">
            <v>117</v>
          </cell>
          <cell r="Q123">
            <v>117</v>
          </cell>
          <cell r="S123">
            <v>477.15</v>
          </cell>
        </row>
        <row r="124">
          <cell r="C124" t="str">
            <v>邓娟</v>
          </cell>
          <cell r="E124">
            <v>734.08</v>
          </cell>
          <cell r="G124">
            <v>27.53</v>
          </cell>
          <cell r="I124">
            <v>346.39</v>
          </cell>
          <cell r="K124">
            <v>34.409999999999997</v>
          </cell>
          <cell r="L124">
            <v>9.18</v>
          </cell>
          <cell r="N124">
            <v>0</v>
          </cell>
          <cell r="P124">
            <v>117</v>
          </cell>
          <cell r="Q124">
            <v>117</v>
          </cell>
          <cell r="S124">
            <v>477.15</v>
          </cell>
        </row>
        <row r="125">
          <cell r="C125" t="str">
            <v>谢槟羽</v>
          </cell>
          <cell r="E125">
            <v>734.08</v>
          </cell>
          <cell r="G125">
            <v>27.53</v>
          </cell>
          <cell r="I125">
            <v>346.39</v>
          </cell>
          <cell r="K125">
            <v>34.409999999999997</v>
          </cell>
          <cell r="L125">
            <v>9.18</v>
          </cell>
          <cell r="N125">
            <v>0</v>
          </cell>
          <cell r="P125">
            <v>117</v>
          </cell>
          <cell r="Q125">
            <v>117</v>
          </cell>
          <cell r="S125">
            <v>477.15</v>
          </cell>
        </row>
        <row r="126">
          <cell r="C126" t="str">
            <v>熊宇</v>
          </cell>
          <cell r="E126">
            <v>734.08</v>
          </cell>
          <cell r="G126">
            <v>27.53</v>
          </cell>
          <cell r="I126">
            <v>346.39</v>
          </cell>
          <cell r="K126">
            <v>34.409999999999997</v>
          </cell>
          <cell r="L126">
            <v>9.18</v>
          </cell>
          <cell r="N126">
            <v>0</v>
          </cell>
          <cell r="P126">
            <v>117</v>
          </cell>
          <cell r="Q126">
            <v>117</v>
          </cell>
          <cell r="S126">
            <v>477.15</v>
          </cell>
        </row>
        <row r="127">
          <cell r="C127" t="str">
            <v>晏彬文</v>
          </cell>
          <cell r="E127">
            <v>734.08</v>
          </cell>
          <cell r="G127">
            <v>27.53</v>
          </cell>
          <cell r="I127">
            <v>346.39</v>
          </cell>
          <cell r="K127">
            <v>34.409999999999997</v>
          </cell>
          <cell r="L127">
            <v>9.18</v>
          </cell>
          <cell r="N127">
            <v>0</v>
          </cell>
          <cell r="P127">
            <v>117</v>
          </cell>
          <cell r="Q127">
            <v>117</v>
          </cell>
          <cell r="S127">
            <v>477.15</v>
          </cell>
        </row>
        <row r="128">
          <cell r="C128" t="str">
            <v>张龙</v>
          </cell>
          <cell r="E128">
            <v>734.08</v>
          </cell>
          <cell r="G128">
            <v>27.53</v>
          </cell>
          <cell r="I128">
            <v>346.39</v>
          </cell>
          <cell r="K128">
            <v>34.409999999999997</v>
          </cell>
          <cell r="L128">
            <v>9.18</v>
          </cell>
          <cell r="N128">
            <v>0</v>
          </cell>
          <cell r="P128">
            <v>117</v>
          </cell>
          <cell r="Q128">
            <v>117</v>
          </cell>
          <cell r="S128">
            <v>477.15</v>
          </cell>
        </row>
        <row r="129">
          <cell r="C129" t="str">
            <v>张保珍</v>
          </cell>
          <cell r="E129">
            <v>800</v>
          </cell>
          <cell r="G129">
            <v>30</v>
          </cell>
          <cell r="I129">
            <v>377.5</v>
          </cell>
          <cell r="K129">
            <v>37.5</v>
          </cell>
          <cell r="L129">
            <v>10</v>
          </cell>
          <cell r="N129">
            <v>0</v>
          </cell>
          <cell r="P129">
            <v>117</v>
          </cell>
          <cell r="Q129">
            <v>117</v>
          </cell>
          <cell r="S129">
            <v>520</v>
          </cell>
        </row>
        <row r="130">
          <cell r="C130" t="str">
            <v>何婷婷</v>
          </cell>
          <cell r="E130">
            <v>734.08</v>
          </cell>
          <cell r="G130">
            <v>27.53</v>
          </cell>
          <cell r="I130">
            <v>346.39</v>
          </cell>
          <cell r="K130">
            <v>34.409999999999997</v>
          </cell>
          <cell r="L130">
            <v>9.18</v>
          </cell>
          <cell r="N130">
            <v>0</v>
          </cell>
          <cell r="P130">
            <v>117</v>
          </cell>
          <cell r="Q130">
            <v>117</v>
          </cell>
          <cell r="S130">
            <v>477.15</v>
          </cell>
        </row>
        <row r="131">
          <cell r="C131" t="str">
            <v>邱勇</v>
          </cell>
          <cell r="E131">
            <v>734.08</v>
          </cell>
          <cell r="G131">
            <v>27.53</v>
          </cell>
          <cell r="I131">
            <v>346.39</v>
          </cell>
          <cell r="K131">
            <v>34.409999999999997</v>
          </cell>
          <cell r="L131">
            <v>9.18</v>
          </cell>
          <cell r="N131">
            <v>0</v>
          </cell>
          <cell r="P131">
            <v>117</v>
          </cell>
          <cell r="Q131">
            <v>117</v>
          </cell>
          <cell r="S131">
            <v>477.15</v>
          </cell>
        </row>
        <row r="132">
          <cell r="C132" t="str">
            <v>谭艳</v>
          </cell>
          <cell r="E132">
            <v>880</v>
          </cell>
          <cell r="G132">
            <v>33</v>
          </cell>
          <cell r="I132">
            <v>415.25</v>
          </cell>
          <cell r="K132">
            <v>41.25</v>
          </cell>
          <cell r="L132">
            <v>11</v>
          </cell>
          <cell r="N132">
            <v>0</v>
          </cell>
          <cell r="P132">
            <v>117</v>
          </cell>
          <cell r="Q132">
            <v>117</v>
          </cell>
          <cell r="S132">
            <v>572</v>
          </cell>
        </row>
        <row r="133">
          <cell r="C133" t="str">
            <v>邓芳</v>
          </cell>
          <cell r="E133">
            <v>734.08</v>
          </cell>
          <cell r="G133">
            <v>27.53</v>
          </cell>
          <cell r="I133">
            <v>346.39</v>
          </cell>
          <cell r="K133">
            <v>34.409999999999997</v>
          </cell>
          <cell r="L133">
            <v>9.18</v>
          </cell>
          <cell r="N133">
            <v>0</v>
          </cell>
          <cell r="P133">
            <v>117</v>
          </cell>
          <cell r="Q133">
            <v>117</v>
          </cell>
          <cell r="S133">
            <v>477.15</v>
          </cell>
        </row>
        <row r="134">
          <cell r="C134" t="str">
            <v>张春燕</v>
          </cell>
          <cell r="E134">
            <v>734.08</v>
          </cell>
          <cell r="G134">
            <v>27.53</v>
          </cell>
          <cell r="I134">
            <v>346.39</v>
          </cell>
          <cell r="K134">
            <v>34.409999999999997</v>
          </cell>
          <cell r="L134">
            <v>9.18</v>
          </cell>
          <cell r="N134">
            <v>0</v>
          </cell>
          <cell r="P134">
            <v>117</v>
          </cell>
          <cell r="Q134">
            <v>117</v>
          </cell>
          <cell r="S134">
            <v>477.15</v>
          </cell>
        </row>
        <row r="135">
          <cell r="C135" t="str">
            <v>周小红</v>
          </cell>
          <cell r="E135">
            <v>734.08</v>
          </cell>
          <cell r="G135">
            <v>27.53</v>
          </cell>
          <cell r="I135">
            <v>346.39</v>
          </cell>
          <cell r="K135">
            <v>34.409999999999997</v>
          </cell>
          <cell r="L135">
            <v>9.18</v>
          </cell>
          <cell r="N135">
            <v>0</v>
          </cell>
          <cell r="P135">
            <v>117</v>
          </cell>
          <cell r="Q135">
            <v>117</v>
          </cell>
          <cell r="S135">
            <v>477.15</v>
          </cell>
        </row>
        <row r="136">
          <cell r="C136" t="str">
            <v>杨英</v>
          </cell>
          <cell r="E136">
            <v>734.08</v>
          </cell>
          <cell r="G136">
            <v>27.53</v>
          </cell>
          <cell r="I136">
            <v>346.39</v>
          </cell>
          <cell r="K136">
            <v>34.409999999999997</v>
          </cell>
          <cell r="L136">
            <v>9.18</v>
          </cell>
          <cell r="N136">
            <v>0</v>
          </cell>
          <cell r="P136">
            <v>117</v>
          </cell>
          <cell r="Q136">
            <v>117</v>
          </cell>
          <cell r="S136">
            <v>477.15</v>
          </cell>
        </row>
        <row r="137">
          <cell r="C137" t="str">
            <v>唐中华</v>
          </cell>
          <cell r="E137">
            <v>734.08</v>
          </cell>
          <cell r="G137">
            <v>27.53</v>
          </cell>
          <cell r="I137">
            <v>346.39</v>
          </cell>
          <cell r="K137">
            <v>34.409999999999997</v>
          </cell>
          <cell r="L137">
            <v>9.18</v>
          </cell>
          <cell r="N137">
            <v>0</v>
          </cell>
          <cell r="P137">
            <v>117</v>
          </cell>
          <cell r="Q137">
            <v>117</v>
          </cell>
          <cell r="S137">
            <v>477.15</v>
          </cell>
        </row>
        <row r="138">
          <cell r="C138" t="str">
            <v>钟小丽</v>
          </cell>
          <cell r="E138">
            <v>734.08</v>
          </cell>
          <cell r="G138">
            <v>27.53</v>
          </cell>
          <cell r="I138">
            <v>346.39</v>
          </cell>
          <cell r="K138">
            <v>34.409999999999997</v>
          </cell>
          <cell r="L138">
            <v>9.18</v>
          </cell>
          <cell r="N138">
            <v>0</v>
          </cell>
          <cell r="P138">
            <v>117</v>
          </cell>
          <cell r="Q138">
            <v>117</v>
          </cell>
          <cell r="S138">
            <v>477.15</v>
          </cell>
        </row>
        <row r="139">
          <cell r="C139" t="str">
            <v>刘飞</v>
          </cell>
          <cell r="E139">
            <v>734.08</v>
          </cell>
          <cell r="G139">
            <v>27.53</v>
          </cell>
          <cell r="I139">
            <v>346.39</v>
          </cell>
          <cell r="K139">
            <v>34.409999999999997</v>
          </cell>
          <cell r="L139">
            <v>9.18</v>
          </cell>
          <cell r="N139">
            <v>0</v>
          </cell>
          <cell r="P139">
            <v>117</v>
          </cell>
          <cell r="Q139">
            <v>117</v>
          </cell>
          <cell r="S139">
            <v>477.15</v>
          </cell>
        </row>
        <row r="140">
          <cell r="C140" t="str">
            <v>林琼</v>
          </cell>
          <cell r="E140">
            <v>0</v>
          </cell>
          <cell r="G140">
            <v>0</v>
          </cell>
          <cell r="I140">
            <v>0</v>
          </cell>
          <cell r="K140">
            <v>0</v>
          </cell>
          <cell r="L140">
            <v>16</v>
          </cell>
          <cell r="N140">
            <v>0</v>
          </cell>
          <cell r="P140">
            <v>0</v>
          </cell>
          <cell r="Q140">
            <v>0</v>
          </cell>
          <cell r="S140">
            <v>0</v>
          </cell>
        </row>
        <row r="141">
          <cell r="C141" t="str">
            <v>陈凌</v>
          </cell>
          <cell r="E141">
            <v>0</v>
          </cell>
          <cell r="G141">
            <v>0</v>
          </cell>
          <cell r="I141">
            <v>0</v>
          </cell>
          <cell r="K141">
            <v>0</v>
          </cell>
          <cell r="L141">
            <v>10</v>
          </cell>
          <cell r="N141">
            <v>0</v>
          </cell>
          <cell r="P141">
            <v>0</v>
          </cell>
          <cell r="Q141">
            <v>0</v>
          </cell>
          <cell r="S141">
            <v>0</v>
          </cell>
        </row>
        <row r="142">
          <cell r="C142" t="str">
            <v>雷卓远</v>
          </cell>
          <cell r="E142">
            <v>734.08</v>
          </cell>
          <cell r="G142">
            <v>27.53</v>
          </cell>
          <cell r="I142">
            <v>346.39</v>
          </cell>
          <cell r="K142">
            <v>34.409999999999997</v>
          </cell>
          <cell r="L142">
            <v>9.18</v>
          </cell>
          <cell r="N142">
            <v>0</v>
          </cell>
          <cell r="P142">
            <v>117</v>
          </cell>
          <cell r="Q142">
            <v>117</v>
          </cell>
          <cell r="S142">
            <v>477.15</v>
          </cell>
        </row>
        <row r="143">
          <cell r="C143" t="str">
            <v>母勇</v>
          </cell>
          <cell r="E143">
            <v>734.08</v>
          </cell>
          <cell r="G143">
            <v>27.53</v>
          </cell>
          <cell r="I143">
            <v>346.39</v>
          </cell>
          <cell r="K143">
            <v>34.409999999999997</v>
          </cell>
          <cell r="L143">
            <v>9.18</v>
          </cell>
          <cell r="N143">
            <v>0</v>
          </cell>
          <cell r="P143">
            <v>117</v>
          </cell>
          <cell r="Q143">
            <v>117</v>
          </cell>
          <cell r="S143">
            <v>477.15</v>
          </cell>
        </row>
        <row r="144">
          <cell r="C144" t="str">
            <v>何宇</v>
          </cell>
          <cell r="E144">
            <v>734.08</v>
          </cell>
          <cell r="G144">
            <v>27.53</v>
          </cell>
          <cell r="I144">
            <v>346.39</v>
          </cell>
          <cell r="K144">
            <v>34.409999999999997</v>
          </cell>
          <cell r="L144">
            <v>9.18</v>
          </cell>
          <cell r="N144">
            <v>0</v>
          </cell>
          <cell r="P144">
            <v>117</v>
          </cell>
          <cell r="Q144">
            <v>117</v>
          </cell>
          <cell r="S144">
            <v>477.15</v>
          </cell>
        </row>
        <row r="145">
          <cell r="C145" t="str">
            <v>廖晓军</v>
          </cell>
          <cell r="E145">
            <v>734.08</v>
          </cell>
          <cell r="G145">
            <v>27.53</v>
          </cell>
          <cell r="I145">
            <v>346.39</v>
          </cell>
          <cell r="K145">
            <v>34.409999999999997</v>
          </cell>
          <cell r="L145">
            <v>9.18</v>
          </cell>
          <cell r="N145">
            <v>0</v>
          </cell>
          <cell r="P145">
            <v>117</v>
          </cell>
          <cell r="Q145">
            <v>117</v>
          </cell>
          <cell r="S145">
            <v>477.15</v>
          </cell>
        </row>
        <row r="146">
          <cell r="C146" t="str">
            <v>代力</v>
          </cell>
          <cell r="E146">
            <v>734.08</v>
          </cell>
          <cell r="G146">
            <v>27.53</v>
          </cell>
          <cell r="I146">
            <v>346.39</v>
          </cell>
          <cell r="K146">
            <v>34.409999999999997</v>
          </cell>
          <cell r="L146">
            <v>9.18</v>
          </cell>
          <cell r="N146">
            <v>0</v>
          </cell>
          <cell r="P146">
            <v>117</v>
          </cell>
          <cell r="Q146">
            <v>117</v>
          </cell>
          <cell r="S146">
            <v>477.15</v>
          </cell>
        </row>
        <row r="147">
          <cell r="C147" t="str">
            <v>康鳞波</v>
          </cell>
          <cell r="E147">
            <v>734.08</v>
          </cell>
          <cell r="G147">
            <v>27.53</v>
          </cell>
          <cell r="I147">
            <v>346.39</v>
          </cell>
          <cell r="K147">
            <v>34.409999999999997</v>
          </cell>
          <cell r="L147">
            <v>9.18</v>
          </cell>
          <cell r="N147">
            <v>0</v>
          </cell>
          <cell r="P147">
            <v>117</v>
          </cell>
          <cell r="Q147">
            <v>117</v>
          </cell>
          <cell r="S147">
            <v>477.15</v>
          </cell>
        </row>
        <row r="148">
          <cell r="C148" t="str">
            <v>何剑</v>
          </cell>
          <cell r="E148">
            <v>734.08</v>
          </cell>
          <cell r="G148">
            <v>27.53</v>
          </cell>
          <cell r="I148">
            <v>346.39</v>
          </cell>
          <cell r="K148">
            <v>34.409999999999997</v>
          </cell>
          <cell r="L148">
            <v>9.18</v>
          </cell>
          <cell r="N148">
            <v>0</v>
          </cell>
          <cell r="P148">
            <v>117</v>
          </cell>
          <cell r="Q148">
            <v>117</v>
          </cell>
          <cell r="S148">
            <v>477.15</v>
          </cell>
        </row>
        <row r="149">
          <cell r="C149" t="str">
            <v>干小楠</v>
          </cell>
          <cell r="E149">
            <v>734.08</v>
          </cell>
          <cell r="G149">
            <v>27.53</v>
          </cell>
          <cell r="I149">
            <v>346.39</v>
          </cell>
          <cell r="K149">
            <v>34.409999999999997</v>
          </cell>
          <cell r="L149">
            <v>9.18</v>
          </cell>
          <cell r="N149">
            <v>0</v>
          </cell>
          <cell r="P149">
            <v>117</v>
          </cell>
          <cell r="Q149">
            <v>117</v>
          </cell>
          <cell r="S149">
            <v>477.15</v>
          </cell>
        </row>
        <row r="150">
          <cell r="C150" t="str">
            <v>罗涵</v>
          </cell>
          <cell r="E150">
            <v>734.08</v>
          </cell>
          <cell r="G150">
            <v>27.53</v>
          </cell>
          <cell r="I150">
            <v>346.39</v>
          </cell>
          <cell r="K150">
            <v>34.409999999999997</v>
          </cell>
          <cell r="L150">
            <v>9.18</v>
          </cell>
          <cell r="N150">
            <v>0</v>
          </cell>
          <cell r="P150">
            <v>117</v>
          </cell>
          <cell r="Q150">
            <v>117</v>
          </cell>
          <cell r="S150">
            <v>477.15</v>
          </cell>
        </row>
        <row r="151">
          <cell r="C151" t="str">
            <v>李青洋</v>
          </cell>
          <cell r="E151">
            <v>734.08</v>
          </cell>
          <cell r="G151">
            <v>27.53</v>
          </cell>
          <cell r="I151">
            <v>346.39</v>
          </cell>
          <cell r="K151">
            <v>34.409999999999997</v>
          </cell>
          <cell r="L151">
            <v>9.18</v>
          </cell>
          <cell r="N151">
            <v>0</v>
          </cell>
          <cell r="P151">
            <v>117</v>
          </cell>
          <cell r="Q151">
            <v>117</v>
          </cell>
          <cell r="S151">
            <v>477.15</v>
          </cell>
        </row>
        <row r="152">
          <cell r="C152" t="str">
            <v>曾子乂</v>
          </cell>
          <cell r="E152">
            <v>734.08</v>
          </cell>
          <cell r="G152">
            <v>27.53</v>
          </cell>
          <cell r="I152">
            <v>346.39</v>
          </cell>
          <cell r="K152">
            <v>34.409999999999997</v>
          </cell>
          <cell r="L152">
            <v>9.18</v>
          </cell>
          <cell r="N152">
            <v>0</v>
          </cell>
          <cell r="P152">
            <v>117</v>
          </cell>
          <cell r="Q152">
            <v>117</v>
          </cell>
          <cell r="S152">
            <v>477.15</v>
          </cell>
        </row>
        <row r="153">
          <cell r="C153" t="str">
            <v>薛祥建</v>
          </cell>
          <cell r="E153">
            <v>880</v>
          </cell>
          <cell r="G153">
            <v>33</v>
          </cell>
          <cell r="I153">
            <v>415.25</v>
          </cell>
          <cell r="K153">
            <v>41.25</v>
          </cell>
          <cell r="L153">
            <v>11</v>
          </cell>
          <cell r="N153">
            <v>0</v>
          </cell>
          <cell r="P153">
            <v>117</v>
          </cell>
          <cell r="Q153">
            <v>117</v>
          </cell>
          <cell r="S153">
            <v>572</v>
          </cell>
        </row>
        <row r="154">
          <cell r="C154" t="str">
            <v>蒋利</v>
          </cell>
          <cell r="E154">
            <v>734.08</v>
          </cell>
          <cell r="G154">
            <v>27.53</v>
          </cell>
          <cell r="I154">
            <v>346.39</v>
          </cell>
          <cell r="K154">
            <v>34.409999999999997</v>
          </cell>
          <cell r="L154">
            <v>9.18</v>
          </cell>
          <cell r="N154">
            <v>0</v>
          </cell>
          <cell r="P154">
            <v>117</v>
          </cell>
          <cell r="Q154">
            <v>117</v>
          </cell>
          <cell r="S154">
            <v>477.15</v>
          </cell>
        </row>
        <row r="155">
          <cell r="C155" t="str">
            <v>吴嘉敏</v>
          </cell>
          <cell r="E155">
            <v>734.08</v>
          </cell>
          <cell r="G155">
            <v>27.53</v>
          </cell>
          <cell r="I155">
            <v>346.39</v>
          </cell>
          <cell r="K155">
            <v>34.409999999999997</v>
          </cell>
          <cell r="L155">
            <v>9.18</v>
          </cell>
          <cell r="N155">
            <v>0</v>
          </cell>
          <cell r="P155">
            <v>117</v>
          </cell>
          <cell r="Q155">
            <v>117</v>
          </cell>
          <cell r="S155">
            <v>477.15</v>
          </cell>
        </row>
        <row r="156">
          <cell r="C156" t="str">
            <v>韩柏成</v>
          </cell>
          <cell r="E156">
            <v>734.08</v>
          </cell>
          <cell r="G156">
            <v>27.53</v>
          </cell>
          <cell r="I156">
            <v>346.39</v>
          </cell>
          <cell r="K156">
            <v>34.409999999999997</v>
          </cell>
          <cell r="L156">
            <v>9.18</v>
          </cell>
          <cell r="N156">
            <v>0</v>
          </cell>
          <cell r="P156">
            <v>117</v>
          </cell>
          <cell r="Q156">
            <v>117</v>
          </cell>
          <cell r="S156">
            <v>477.15</v>
          </cell>
        </row>
        <row r="157">
          <cell r="C157" t="str">
            <v>沈燕1</v>
          </cell>
          <cell r="E157">
            <v>734.08</v>
          </cell>
          <cell r="G157">
            <v>27.53</v>
          </cell>
          <cell r="I157">
            <v>346.39</v>
          </cell>
          <cell r="K157">
            <v>34.409999999999997</v>
          </cell>
          <cell r="L157">
            <v>9.18</v>
          </cell>
          <cell r="N157">
            <v>0</v>
          </cell>
          <cell r="P157">
            <v>117</v>
          </cell>
          <cell r="Q157">
            <v>117</v>
          </cell>
          <cell r="S157">
            <v>477.15</v>
          </cell>
        </row>
        <row r="158">
          <cell r="C158" t="str">
            <v>赖跃坤</v>
          </cell>
          <cell r="E158">
            <v>734.08</v>
          </cell>
          <cell r="G158">
            <v>27.53</v>
          </cell>
          <cell r="I158">
            <v>346.39</v>
          </cell>
          <cell r="K158">
            <v>34.409999999999997</v>
          </cell>
          <cell r="L158">
            <v>9.18</v>
          </cell>
          <cell r="N158">
            <v>0</v>
          </cell>
          <cell r="P158">
            <v>117</v>
          </cell>
          <cell r="Q158">
            <v>117</v>
          </cell>
          <cell r="S158">
            <v>477.15</v>
          </cell>
        </row>
        <row r="159">
          <cell r="C159" t="str">
            <v>黄鹏</v>
          </cell>
          <cell r="E159">
            <v>734.08</v>
          </cell>
          <cell r="G159">
            <v>27.53</v>
          </cell>
          <cell r="I159">
            <v>346.39</v>
          </cell>
          <cell r="K159">
            <v>34.409999999999997</v>
          </cell>
          <cell r="L159">
            <v>9.18</v>
          </cell>
          <cell r="N159">
            <v>0</v>
          </cell>
          <cell r="P159">
            <v>117</v>
          </cell>
          <cell r="Q159">
            <v>117</v>
          </cell>
          <cell r="S159">
            <v>477.15</v>
          </cell>
        </row>
        <row r="160">
          <cell r="C160" t="str">
            <v>花芸芸</v>
          </cell>
          <cell r="E160">
            <v>734.08</v>
          </cell>
          <cell r="G160">
            <v>27.53</v>
          </cell>
          <cell r="I160">
            <v>346.39</v>
          </cell>
          <cell r="K160">
            <v>34.409999999999997</v>
          </cell>
          <cell r="L160">
            <v>9.18</v>
          </cell>
          <cell r="N160">
            <v>0</v>
          </cell>
          <cell r="P160">
            <v>117</v>
          </cell>
          <cell r="Q160">
            <v>117</v>
          </cell>
          <cell r="S160">
            <v>477.15</v>
          </cell>
        </row>
        <row r="161">
          <cell r="C161" t="str">
            <v>罗筱凡</v>
          </cell>
          <cell r="E161">
            <v>880</v>
          </cell>
          <cell r="G161">
            <v>33</v>
          </cell>
          <cell r="I161">
            <v>415.25</v>
          </cell>
          <cell r="K161">
            <v>41.25</v>
          </cell>
          <cell r="L161">
            <v>11</v>
          </cell>
          <cell r="N161">
            <v>0</v>
          </cell>
          <cell r="P161">
            <v>117</v>
          </cell>
          <cell r="Q161">
            <v>117</v>
          </cell>
          <cell r="S161">
            <v>572</v>
          </cell>
        </row>
        <row r="162">
          <cell r="C162" t="str">
            <v>刘志洪</v>
          </cell>
          <cell r="E162">
            <v>734.08</v>
          </cell>
          <cell r="G162">
            <v>27.53</v>
          </cell>
          <cell r="I162">
            <v>346.39</v>
          </cell>
          <cell r="K162">
            <v>34.409999999999997</v>
          </cell>
          <cell r="L162">
            <v>9.18</v>
          </cell>
          <cell r="N162">
            <v>0</v>
          </cell>
          <cell r="P162">
            <v>117</v>
          </cell>
          <cell r="Q162">
            <v>117</v>
          </cell>
          <cell r="S162">
            <v>477.15</v>
          </cell>
        </row>
        <row r="163">
          <cell r="C163" t="str">
            <v>苟艳</v>
          </cell>
          <cell r="E163">
            <v>734.08</v>
          </cell>
          <cell r="G163">
            <v>27.53</v>
          </cell>
          <cell r="I163">
            <v>346.39</v>
          </cell>
          <cell r="K163">
            <v>34.409999999999997</v>
          </cell>
          <cell r="L163">
            <v>9.18</v>
          </cell>
          <cell r="N163">
            <v>0</v>
          </cell>
          <cell r="P163">
            <v>117</v>
          </cell>
          <cell r="Q163">
            <v>117</v>
          </cell>
          <cell r="S163">
            <v>477.15</v>
          </cell>
        </row>
        <row r="164">
          <cell r="C164" t="str">
            <v>李东梅</v>
          </cell>
          <cell r="E164">
            <v>734.08</v>
          </cell>
          <cell r="G164">
            <v>27.53</v>
          </cell>
          <cell r="I164">
            <v>346.39</v>
          </cell>
          <cell r="K164">
            <v>34.409999999999997</v>
          </cell>
          <cell r="L164">
            <v>9.18</v>
          </cell>
          <cell r="N164">
            <v>0</v>
          </cell>
          <cell r="P164">
            <v>117</v>
          </cell>
          <cell r="Q164">
            <v>117</v>
          </cell>
          <cell r="S164">
            <v>477.15</v>
          </cell>
        </row>
        <row r="165">
          <cell r="C165" t="str">
            <v>贾兴卜</v>
          </cell>
          <cell r="E165">
            <v>734.08</v>
          </cell>
          <cell r="G165">
            <v>27.53</v>
          </cell>
          <cell r="I165">
            <v>346.39</v>
          </cell>
          <cell r="K165">
            <v>34.409999999999997</v>
          </cell>
          <cell r="L165">
            <v>9.18</v>
          </cell>
          <cell r="N165">
            <v>0</v>
          </cell>
          <cell r="P165">
            <v>117</v>
          </cell>
          <cell r="Q165">
            <v>117</v>
          </cell>
          <cell r="S165">
            <v>477.15</v>
          </cell>
        </row>
        <row r="166">
          <cell r="C166" t="str">
            <v>何滔</v>
          </cell>
          <cell r="E166">
            <v>734.08</v>
          </cell>
          <cell r="G166">
            <v>27.53</v>
          </cell>
          <cell r="I166">
            <v>346.39</v>
          </cell>
          <cell r="K166">
            <v>34.409999999999997</v>
          </cell>
          <cell r="L166">
            <v>9.18</v>
          </cell>
          <cell r="N166">
            <v>0</v>
          </cell>
          <cell r="P166">
            <v>117</v>
          </cell>
          <cell r="Q166">
            <v>117</v>
          </cell>
          <cell r="S166">
            <v>477.15</v>
          </cell>
        </row>
        <row r="167">
          <cell r="C167" t="str">
            <v>周毅</v>
          </cell>
          <cell r="E167">
            <v>734.08</v>
          </cell>
          <cell r="G167">
            <v>27.53</v>
          </cell>
          <cell r="I167">
            <v>346.39</v>
          </cell>
          <cell r="K167">
            <v>34.409999999999997</v>
          </cell>
          <cell r="L167">
            <v>9.18</v>
          </cell>
          <cell r="N167">
            <v>0</v>
          </cell>
          <cell r="P167">
            <v>117</v>
          </cell>
          <cell r="Q167">
            <v>117</v>
          </cell>
          <cell r="S167">
            <v>477.15</v>
          </cell>
        </row>
        <row r="168">
          <cell r="C168" t="str">
            <v>谢婷</v>
          </cell>
          <cell r="E168">
            <v>734.08</v>
          </cell>
          <cell r="G168">
            <v>27.53</v>
          </cell>
          <cell r="I168">
            <v>346.39</v>
          </cell>
          <cell r="K168">
            <v>34.409999999999997</v>
          </cell>
          <cell r="L168">
            <v>9.18</v>
          </cell>
          <cell r="N168">
            <v>0</v>
          </cell>
          <cell r="P168">
            <v>117</v>
          </cell>
          <cell r="Q168">
            <v>117</v>
          </cell>
          <cell r="S168">
            <v>477.15</v>
          </cell>
        </row>
        <row r="169">
          <cell r="C169" t="str">
            <v>严云中</v>
          </cell>
          <cell r="E169">
            <v>734.08</v>
          </cell>
          <cell r="G169">
            <v>27.53</v>
          </cell>
          <cell r="I169">
            <v>346.39</v>
          </cell>
          <cell r="K169">
            <v>34.409999999999997</v>
          </cell>
          <cell r="L169">
            <v>9.18</v>
          </cell>
          <cell r="N169">
            <v>0</v>
          </cell>
          <cell r="P169">
            <v>117</v>
          </cell>
          <cell r="Q169">
            <v>117</v>
          </cell>
          <cell r="S169">
            <v>477.15</v>
          </cell>
        </row>
        <row r="170">
          <cell r="C170" t="str">
            <v>邓琦琪</v>
          </cell>
          <cell r="E170">
            <v>734.08</v>
          </cell>
          <cell r="G170">
            <v>27.53</v>
          </cell>
          <cell r="I170">
            <v>346.39</v>
          </cell>
          <cell r="K170">
            <v>34.409999999999997</v>
          </cell>
          <cell r="L170">
            <v>9.18</v>
          </cell>
          <cell r="N170">
            <v>0</v>
          </cell>
          <cell r="P170">
            <v>117</v>
          </cell>
          <cell r="Q170">
            <v>117</v>
          </cell>
          <cell r="S170">
            <v>477.15</v>
          </cell>
        </row>
        <row r="171">
          <cell r="C171" t="str">
            <v>刘辉玺</v>
          </cell>
          <cell r="E171">
            <v>734.08</v>
          </cell>
          <cell r="G171">
            <v>27.53</v>
          </cell>
          <cell r="I171">
            <v>346.39</v>
          </cell>
          <cell r="K171">
            <v>34.409999999999997</v>
          </cell>
          <cell r="L171">
            <v>9.18</v>
          </cell>
          <cell r="N171">
            <v>0</v>
          </cell>
          <cell r="P171">
            <v>117</v>
          </cell>
          <cell r="Q171">
            <v>117</v>
          </cell>
          <cell r="S171">
            <v>477.15</v>
          </cell>
        </row>
        <row r="172">
          <cell r="C172" t="str">
            <v>古镇吉</v>
          </cell>
          <cell r="E172">
            <v>734.08</v>
          </cell>
          <cell r="G172">
            <v>27.53</v>
          </cell>
          <cell r="I172">
            <v>346.39</v>
          </cell>
          <cell r="K172">
            <v>34.409999999999997</v>
          </cell>
          <cell r="L172">
            <v>9.18</v>
          </cell>
          <cell r="N172">
            <v>0</v>
          </cell>
          <cell r="P172">
            <v>117</v>
          </cell>
          <cell r="Q172">
            <v>117</v>
          </cell>
          <cell r="S172">
            <v>477.15</v>
          </cell>
        </row>
        <row r="173">
          <cell r="C173" t="str">
            <v>刘红</v>
          </cell>
          <cell r="E173">
            <v>734.08</v>
          </cell>
          <cell r="G173">
            <v>27.53</v>
          </cell>
          <cell r="I173">
            <v>346.39</v>
          </cell>
          <cell r="K173">
            <v>34.409999999999997</v>
          </cell>
          <cell r="L173">
            <v>9.18</v>
          </cell>
          <cell r="N173">
            <v>0</v>
          </cell>
          <cell r="P173">
            <v>117</v>
          </cell>
          <cell r="Q173">
            <v>117</v>
          </cell>
          <cell r="S173">
            <v>477.15</v>
          </cell>
        </row>
        <row r="174">
          <cell r="C174" t="str">
            <v>况婷婷</v>
          </cell>
          <cell r="E174">
            <v>734.08</v>
          </cell>
          <cell r="G174">
            <v>27.53</v>
          </cell>
          <cell r="I174">
            <v>346.39</v>
          </cell>
          <cell r="K174">
            <v>34.409999999999997</v>
          </cell>
          <cell r="L174">
            <v>9.18</v>
          </cell>
          <cell r="N174">
            <v>0</v>
          </cell>
          <cell r="P174">
            <v>117</v>
          </cell>
          <cell r="Q174">
            <v>117</v>
          </cell>
          <cell r="S174">
            <v>477.15</v>
          </cell>
        </row>
        <row r="175">
          <cell r="C175" t="str">
            <v>孙俊杰</v>
          </cell>
          <cell r="E175">
            <v>734.08</v>
          </cell>
          <cell r="G175">
            <v>27.53</v>
          </cell>
          <cell r="I175">
            <v>346.39</v>
          </cell>
          <cell r="K175">
            <v>34.409999999999997</v>
          </cell>
          <cell r="L175">
            <v>9.18</v>
          </cell>
          <cell r="N175">
            <v>0</v>
          </cell>
          <cell r="P175">
            <v>117</v>
          </cell>
          <cell r="Q175">
            <v>117</v>
          </cell>
          <cell r="S175">
            <v>477.15</v>
          </cell>
        </row>
        <row r="176">
          <cell r="C176" t="str">
            <v>陈浩</v>
          </cell>
          <cell r="E176">
            <v>734.08</v>
          </cell>
          <cell r="G176">
            <v>27.53</v>
          </cell>
          <cell r="I176">
            <v>346.39</v>
          </cell>
          <cell r="K176">
            <v>34.409999999999997</v>
          </cell>
          <cell r="L176">
            <v>9.18</v>
          </cell>
          <cell r="N176">
            <v>0</v>
          </cell>
          <cell r="P176">
            <v>117</v>
          </cell>
          <cell r="Q176">
            <v>117</v>
          </cell>
          <cell r="S176">
            <v>477.15</v>
          </cell>
        </row>
        <row r="177">
          <cell r="C177" t="str">
            <v>张雨</v>
          </cell>
          <cell r="E177">
            <v>734.08</v>
          </cell>
          <cell r="G177">
            <v>27.53</v>
          </cell>
          <cell r="I177">
            <v>346.39</v>
          </cell>
          <cell r="K177">
            <v>34.409999999999997</v>
          </cell>
          <cell r="L177">
            <v>9.18</v>
          </cell>
          <cell r="N177">
            <v>0</v>
          </cell>
          <cell r="P177">
            <v>117</v>
          </cell>
          <cell r="Q177">
            <v>117</v>
          </cell>
          <cell r="S177">
            <v>477.15</v>
          </cell>
        </row>
        <row r="178">
          <cell r="C178" t="str">
            <v>蒋湘龙</v>
          </cell>
          <cell r="E178">
            <v>734.08</v>
          </cell>
          <cell r="G178">
            <v>27.53</v>
          </cell>
          <cell r="I178">
            <v>346.39</v>
          </cell>
          <cell r="K178">
            <v>34.409999999999997</v>
          </cell>
          <cell r="L178">
            <v>9.18</v>
          </cell>
          <cell r="N178">
            <v>0</v>
          </cell>
          <cell r="P178">
            <v>117</v>
          </cell>
          <cell r="Q178">
            <v>117</v>
          </cell>
          <cell r="S178">
            <v>477.15</v>
          </cell>
        </row>
        <row r="179">
          <cell r="C179" t="str">
            <v>徐源</v>
          </cell>
          <cell r="E179">
            <v>734.08</v>
          </cell>
          <cell r="G179">
            <v>27.53</v>
          </cell>
          <cell r="I179">
            <v>346.39</v>
          </cell>
          <cell r="K179">
            <v>34.409999999999997</v>
          </cell>
          <cell r="L179">
            <v>9.18</v>
          </cell>
          <cell r="N179">
            <v>0</v>
          </cell>
          <cell r="P179">
            <v>117</v>
          </cell>
          <cell r="Q179">
            <v>117</v>
          </cell>
          <cell r="S179">
            <v>477.15</v>
          </cell>
        </row>
        <row r="180">
          <cell r="C180" t="str">
            <v>鞠双双</v>
          </cell>
          <cell r="E180">
            <v>734.08</v>
          </cell>
          <cell r="G180">
            <v>27.53</v>
          </cell>
          <cell r="I180">
            <v>346.39</v>
          </cell>
          <cell r="K180">
            <v>34.409999999999997</v>
          </cell>
          <cell r="L180">
            <v>9.18</v>
          </cell>
          <cell r="N180">
            <v>0</v>
          </cell>
          <cell r="P180">
            <v>117</v>
          </cell>
          <cell r="Q180">
            <v>117</v>
          </cell>
          <cell r="S180">
            <v>477.15</v>
          </cell>
        </row>
        <row r="181">
          <cell r="C181" t="str">
            <v>韩爱民</v>
          </cell>
          <cell r="E181">
            <v>734.08</v>
          </cell>
          <cell r="G181">
            <v>27.53</v>
          </cell>
          <cell r="I181">
            <v>346.39</v>
          </cell>
          <cell r="K181">
            <v>34.409999999999997</v>
          </cell>
          <cell r="L181">
            <v>9.18</v>
          </cell>
          <cell r="N181">
            <v>0</v>
          </cell>
          <cell r="P181">
            <v>117</v>
          </cell>
          <cell r="Q181">
            <v>117</v>
          </cell>
          <cell r="S181">
            <v>477.15</v>
          </cell>
        </row>
        <row r="182">
          <cell r="C182" t="str">
            <v>舒麒羽</v>
          </cell>
          <cell r="E182">
            <v>734.08</v>
          </cell>
          <cell r="G182">
            <v>27.53</v>
          </cell>
          <cell r="I182">
            <v>346.39</v>
          </cell>
          <cell r="K182">
            <v>34.409999999999997</v>
          </cell>
          <cell r="L182">
            <v>9.18</v>
          </cell>
          <cell r="N182">
            <v>0</v>
          </cell>
          <cell r="P182">
            <v>117</v>
          </cell>
          <cell r="Q182">
            <v>117</v>
          </cell>
          <cell r="S182">
            <v>477.15</v>
          </cell>
        </row>
        <row r="183">
          <cell r="C183" t="str">
            <v>姚金东</v>
          </cell>
          <cell r="E183">
            <v>734.08</v>
          </cell>
          <cell r="G183">
            <v>27.53</v>
          </cell>
          <cell r="I183">
            <v>346.39</v>
          </cell>
          <cell r="K183">
            <v>34.409999999999997</v>
          </cell>
          <cell r="L183">
            <v>9.18</v>
          </cell>
          <cell r="N183">
            <v>0</v>
          </cell>
          <cell r="P183">
            <v>117</v>
          </cell>
          <cell r="Q183">
            <v>117</v>
          </cell>
          <cell r="S183">
            <v>477.15</v>
          </cell>
        </row>
        <row r="184">
          <cell r="C184" t="str">
            <v>周兴强</v>
          </cell>
          <cell r="E184">
            <v>734.08</v>
          </cell>
          <cell r="G184">
            <v>27.53</v>
          </cell>
          <cell r="I184">
            <v>346.39</v>
          </cell>
          <cell r="K184">
            <v>34.409999999999997</v>
          </cell>
          <cell r="L184">
            <v>9.18</v>
          </cell>
          <cell r="N184">
            <v>0</v>
          </cell>
          <cell r="P184">
            <v>117</v>
          </cell>
          <cell r="Q184">
            <v>117</v>
          </cell>
          <cell r="S184">
            <v>477.15</v>
          </cell>
        </row>
        <row r="185">
          <cell r="C185" t="str">
            <v>吴明洋</v>
          </cell>
          <cell r="E185">
            <v>734.08</v>
          </cell>
          <cell r="G185">
            <v>27.53</v>
          </cell>
          <cell r="I185">
            <v>346.39</v>
          </cell>
          <cell r="K185">
            <v>34.409999999999997</v>
          </cell>
          <cell r="L185">
            <v>9.18</v>
          </cell>
          <cell r="N185">
            <v>0</v>
          </cell>
          <cell r="P185">
            <v>117</v>
          </cell>
          <cell r="Q185">
            <v>117</v>
          </cell>
          <cell r="S185">
            <v>477.15</v>
          </cell>
        </row>
        <row r="186">
          <cell r="C186" t="str">
            <v>孙苗</v>
          </cell>
          <cell r="E186">
            <v>734.08</v>
          </cell>
          <cell r="G186">
            <v>27.53</v>
          </cell>
          <cell r="I186">
            <v>346.39</v>
          </cell>
          <cell r="K186">
            <v>34.409999999999997</v>
          </cell>
          <cell r="L186">
            <v>9.18</v>
          </cell>
          <cell r="N186">
            <v>0</v>
          </cell>
          <cell r="P186">
            <v>117</v>
          </cell>
          <cell r="Q186">
            <v>117</v>
          </cell>
          <cell r="S186">
            <v>477.15</v>
          </cell>
        </row>
        <row r="187">
          <cell r="C187" t="str">
            <v>曹锟</v>
          </cell>
          <cell r="E187">
            <v>734.08</v>
          </cell>
          <cell r="G187">
            <v>27.53</v>
          </cell>
          <cell r="I187">
            <v>346.39</v>
          </cell>
          <cell r="K187">
            <v>34.409999999999997</v>
          </cell>
          <cell r="L187">
            <v>9.18</v>
          </cell>
          <cell r="N187">
            <v>0</v>
          </cell>
          <cell r="P187">
            <v>117</v>
          </cell>
          <cell r="Q187">
            <v>117</v>
          </cell>
          <cell r="S187">
            <v>477.15</v>
          </cell>
        </row>
        <row r="188">
          <cell r="C188" t="str">
            <v>翁林星</v>
          </cell>
          <cell r="E188">
            <v>734.08</v>
          </cell>
          <cell r="G188">
            <v>27.53</v>
          </cell>
          <cell r="I188">
            <v>346.39</v>
          </cell>
          <cell r="K188">
            <v>34.409999999999997</v>
          </cell>
          <cell r="L188">
            <v>9.18</v>
          </cell>
          <cell r="N188">
            <v>0</v>
          </cell>
          <cell r="P188">
            <v>117</v>
          </cell>
          <cell r="Q188">
            <v>117</v>
          </cell>
          <cell r="S188">
            <v>477.15</v>
          </cell>
        </row>
        <row r="189">
          <cell r="C189" t="str">
            <v>刘杨</v>
          </cell>
          <cell r="E189">
            <v>734.08</v>
          </cell>
          <cell r="G189">
            <v>27.53</v>
          </cell>
          <cell r="I189">
            <v>346.39</v>
          </cell>
          <cell r="K189">
            <v>34.409999999999997</v>
          </cell>
          <cell r="L189">
            <v>9.18</v>
          </cell>
          <cell r="N189">
            <v>0</v>
          </cell>
          <cell r="P189">
            <v>117</v>
          </cell>
          <cell r="Q189">
            <v>117</v>
          </cell>
          <cell r="S189">
            <v>477.15</v>
          </cell>
        </row>
        <row r="190">
          <cell r="C190" t="str">
            <v>郑晓龙</v>
          </cell>
          <cell r="E190">
            <v>734.08</v>
          </cell>
          <cell r="G190">
            <v>27.53</v>
          </cell>
          <cell r="I190">
            <v>346.39</v>
          </cell>
          <cell r="K190">
            <v>34.409999999999997</v>
          </cell>
          <cell r="L190">
            <v>9.18</v>
          </cell>
          <cell r="N190">
            <v>0</v>
          </cell>
          <cell r="P190">
            <v>117</v>
          </cell>
          <cell r="Q190">
            <v>117</v>
          </cell>
          <cell r="S190">
            <v>477.15</v>
          </cell>
        </row>
        <row r="191">
          <cell r="C191" t="str">
            <v>陈超</v>
          </cell>
          <cell r="E191">
            <v>734.08</v>
          </cell>
          <cell r="G191">
            <v>27.53</v>
          </cell>
          <cell r="I191">
            <v>346.39</v>
          </cell>
          <cell r="K191">
            <v>34.409999999999997</v>
          </cell>
          <cell r="L191">
            <v>9.18</v>
          </cell>
          <cell r="N191">
            <v>0</v>
          </cell>
          <cell r="P191">
            <v>117</v>
          </cell>
          <cell r="Q191">
            <v>117</v>
          </cell>
          <cell r="S191">
            <v>477.15</v>
          </cell>
        </row>
        <row r="192">
          <cell r="C192" t="str">
            <v>韩维</v>
          </cell>
          <cell r="E192">
            <v>734.08</v>
          </cell>
          <cell r="G192">
            <v>27.53</v>
          </cell>
          <cell r="I192">
            <v>346.39</v>
          </cell>
          <cell r="K192">
            <v>34.409999999999997</v>
          </cell>
          <cell r="L192">
            <v>9.18</v>
          </cell>
          <cell r="N192">
            <v>0</v>
          </cell>
          <cell r="P192">
            <v>117</v>
          </cell>
          <cell r="Q192">
            <v>117</v>
          </cell>
          <cell r="S192">
            <v>477.15</v>
          </cell>
        </row>
        <row r="193">
          <cell r="C193" t="str">
            <v>陈凤平</v>
          </cell>
          <cell r="E193">
            <v>734.08</v>
          </cell>
          <cell r="G193">
            <v>27.53</v>
          </cell>
          <cell r="I193">
            <v>346.39</v>
          </cell>
          <cell r="K193">
            <v>34.409999999999997</v>
          </cell>
          <cell r="L193">
            <v>9.18</v>
          </cell>
          <cell r="N193">
            <v>0</v>
          </cell>
          <cell r="P193">
            <v>117</v>
          </cell>
          <cell r="Q193">
            <v>117</v>
          </cell>
          <cell r="S193">
            <v>477.15</v>
          </cell>
        </row>
        <row r="194">
          <cell r="C194" t="str">
            <v>杨定安</v>
          </cell>
          <cell r="E194">
            <v>734.08</v>
          </cell>
          <cell r="G194">
            <v>27.53</v>
          </cell>
          <cell r="I194">
            <v>346.39</v>
          </cell>
          <cell r="K194">
            <v>34.409999999999997</v>
          </cell>
          <cell r="L194">
            <v>9.18</v>
          </cell>
          <cell r="N194">
            <v>0</v>
          </cell>
          <cell r="P194">
            <v>117</v>
          </cell>
          <cell r="Q194">
            <v>117</v>
          </cell>
          <cell r="S194">
            <v>477.15</v>
          </cell>
        </row>
        <row r="195">
          <cell r="C195" t="str">
            <v>何辉</v>
          </cell>
          <cell r="E195">
            <v>734.08</v>
          </cell>
          <cell r="G195">
            <v>27.53</v>
          </cell>
          <cell r="I195">
            <v>346.39</v>
          </cell>
          <cell r="K195">
            <v>34.409999999999997</v>
          </cell>
          <cell r="L195">
            <v>9.18</v>
          </cell>
          <cell r="N195">
            <v>0</v>
          </cell>
          <cell r="P195">
            <v>117</v>
          </cell>
          <cell r="Q195">
            <v>117</v>
          </cell>
          <cell r="S195">
            <v>477.15</v>
          </cell>
        </row>
        <row r="196">
          <cell r="E196">
            <v>75850.880000000005</v>
          </cell>
          <cell r="G196">
            <v>2844.58</v>
          </cell>
          <cell r="I196">
            <v>35791.79</v>
          </cell>
          <cell r="K196">
            <v>3555.51</v>
          </cell>
          <cell r="L196">
            <v>983.66</v>
          </cell>
          <cell r="N196">
            <v>0</v>
          </cell>
          <cell r="P196">
            <v>11583</v>
          </cell>
          <cell r="Q196">
            <v>11583</v>
          </cell>
          <cell r="S196">
            <v>49302.9</v>
          </cell>
        </row>
        <row r="200">
          <cell r="C200" t="str">
            <v>姓名</v>
          </cell>
          <cell r="E200" t="str">
            <v>养老</v>
          </cell>
          <cell r="G200" t="str">
            <v>失业</v>
          </cell>
          <cell r="I200" t="str">
            <v>医疗</v>
          </cell>
          <cell r="K200" t="str">
            <v>大病信息</v>
          </cell>
          <cell r="L200" t="str">
            <v>工伤</v>
          </cell>
          <cell r="N200" t="str">
            <v>社保补差</v>
          </cell>
          <cell r="P200" t="str">
            <v>公积金</v>
          </cell>
        </row>
        <row r="201">
          <cell r="E201" t="str">
            <v>单位16％</v>
          </cell>
          <cell r="G201" t="str">
            <v>单位0.6％</v>
          </cell>
          <cell r="I201" t="str">
            <v>单位7.55％</v>
          </cell>
          <cell r="K201" t="str">
            <v>单位0.75%</v>
          </cell>
          <cell r="L201" t="str">
            <v>单位0.1％</v>
          </cell>
          <cell r="N201" t="str">
            <v>单位</v>
          </cell>
          <cell r="P201" t="str">
            <v>单位</v>
          </cell>
          <cell r="Q201" t="str">
            <v>个人</v>
          </cell>
          <cell r="S201" t="str">
            <v>个人</v>
          </cell>
        </row>
        <row r="202">
          <cell r="C202" t="str">
            <v>曾吉斌</v>
          </cell>
          <cell r="E202">
            <v>1040</v>
          </cell>
          <cell r="G202">
            <v>39</v>
          </cell>
          <cell r="I202">
            <v>490.75</v>
          </cell>
          <cell r="K202">
            <v>48.75</v>
          </cell>
          <cell r="L202">
            <v>13</v>
          </cell>
          <cell r="N202">
            <v>0</v>
          </cell>
          <cell r="P202">
            <v>117</v>
          </cell>
          <cell r="Q202">
            <v>117</v>
          </cell>
          <cell r="S202">
            <v>676</v>
          </cell>
        </row>
        <row r="203">
          <cell r="C203" t="str">
            <v>陈琳琳</v>
          </cell>
          <cell r="E203">
            <v>734.08</v>
          </cell>
          <cell r="G203">
            <v>27.53</v>
          </cell>
          <cell r="I203">
            <v>346.39</v>
          </cell>
          <cell r="K203">
            <v>34.409999999999997</v>
          </cell>
          <cell r="L203">
            <v>9.18</v>
          </cell>
          <cell r="N203">
            <v>0</v>
          </cell>
          <cell r="P203">
            <v>117</v>
          </cell>
          <cell r="Q203">
            <v>117</v>
          </cell>
          <cell r="S203">
            <v>477.15</v>
          </cell>
        </row>
        <row r="204">
          <cell r="C204" t="str">
            <v>邱昭丽</v>
          </cell>
          <cell r="E204">
            <v>734.08</v>
          </cell>
          <cell r="G204">
            <v>27.53</v>
          </cell>
          <cell r="I204">
            <v>346.39</v>
          </cell>
          <cell r="K204">
            <v>34.409999999999997</v>
          </cell>
          <cell r="L204">
            <v>9.18</v>
          </cell>
          <cell r="N204">
            <v>0</v>
          </cell>
          <cell r="P204">
            <v>117</v>
          </cell>
          <cell r="Q204">
            <v>117</v>
          </cell>
          <cell r="S204">
            <v>477.15</v>
          </cell>
        </row>
        <row r="205">
          <cell r="C205" t="str">
            <v>邱小艳</v>
          </cell>
          <cell r="E205">
            <v>734.08</v>
          </cell>
          <cell r="G205">
            <v>27.53</v>
          </cell>
          <cell r="I205">
            <v>346.39</v>
          </cell>
          <cell r="K205">
            <v>34.409999999999997</v>
          </cell>
          <cell r="L205">
            <v>9.18</v>
          </cell>
          <cell r="N205">
            <v>0</v>
          </cell>
          <cell r="P205">
            <v>117</v>
          </cell>
          <cell r="Q205">
            <v>117</v>
          </cell>
          <cell r="S205">
            <v>477.15</v>
          </cell>
        </row>
        <row r="206">
          <cell r="C206" t="str">
            <v>向阳</v>
          </cell>
          <cell r="E206">
            <v>734.08</v>
          </cell>
          <cell r="G206">
            <v>27.53</v>
          </cell>
          <cell r="I206">
            <v>346.39</v>
          </cell>
          <cell r="K206">
            <v>34.409999999999997</v>
          </cell>
          <cell r="L206">
            <v>9.18</v>
          </cell>
          <cell r="N206">
            <v>0</v>
          </cell>
          <cell r="P206">
            <v>117</v>
          </cell>
          <cell r="Q206">
            <v>117</v>
          </cell>
          <cell r="S206">
            <v>477.15</v>
          </cell>
        </row>
        <row r="207">
          <cell r="C207" t="str">
            <v>陈川蓉</v>
          </cell>
          <cell r="E207">
            <v>734.08</v>
          </cell>
          <cell r="G207">
            <v>27.53</v>
          </cell>
          <cell r="I207">
            <v>346.39</v>
          </cell>
          <cell r="K207">
            <v>34.409999999999997</v>
          </cell>
          <cell r="L207">
            <v>9.18</v>
          </cell>
          <cell r="N207">
            <v>0</v>
          </cell>
          <cell r="P207">
            <v>117</v>
          </cell>
          <cell r="Q207">
            <v>117</v>
          </cell>
          <cell r="S207">
            <v>477.15</v>
          </cell>
        </row>
        <row r="208">
          <cell r="C208" t="str">
            <v>肖伦容</v>
          </cell>
          <cell r="E208">
            <v>734.08</v>
          </cell>
          <cell r="G208">
            <v>27.53</v>
          </cell>
          <cell r="I208">
            <v>346.39</v>
          </cell>
          <cell r="K208">
            <v>34.409999999999997</v>
          </cell>
          <cell r="L208">
            <v>9.18</v>
          </cell>
          <cell r="N208">
            <v>0</v>
          </cell>
          <cell r="P208">
            <v>117</v>
          </cell>
          <cell r="Q208">
            <v>117</v>
          </cell>
          <cell r="S208">
            <v>477.15</v>
          </cell>
        </row>
        <row r="209">
          <cell r="C209" t="str">
            <v>周俊宏</v>
          </cell>
          <cell r="E209">
            <v>734.08</v>
          </cell>
          <cell r="G209">
            <v>27.53</v>
          </cell>
          <cell r="I209">
            <v>346.39</v>
          </cell>
          <cell r="K209">
            <v>34.409999999999997</v>
          </cell>
          <cell r="L209">
            <v>9.18</v>
          </cell>
          <cell r="N209">
            <v>0</v>
          </cell>
          <cell r="P209">
            <v>117</v>
          </cell>
          <cell r="Q209">
            <v>117</v>
          </cell>
          <cell r="S209">
            <v>477.15</v>
          </cell>
        </row>
        <row r="210">
          <cell r="C210" t="str">
            <v>成万强</v>
          </cell>
          <cell r="E210">
            <v>734.08</v>
          </cell>
          <cell r="G210">
            <v>27.53</v>
          </cell>
          <cell r="I210">
            <v>346.39</v>
          </cell>
          <cell r="K210">
            <v>34.409999999999997</v>
          </cell>
          <cell r="L210">
            <v>9.18</v>
          </cell>
          <cell r="N210">
            <v>0</v>
          </cell>
          <cell r="P210">
            <v>117</v>
          </cell>
          <cell r="Q210">
            <v>117</v>
          </cell>
          <cell r="S210">
            <v>477.15</v>
          </cell>
        </row>
        <row r="211">
          <cell r="C211" t="str">
            <v>廖君</v>
          </cell>
          <cell r="E211">
            <v>734.08</v>
          </cell>
          <cell r="G211">
            <v>27.53</v>
          </cell>
          <cell r="I211">
            <v>346.39</v>
          </cell>
          <cell r="K211">
            <v>34.409999999999997</v>
          </cell>
          <cell r="L211">
            <v>9.18</v>
          </cell>
          <cell r="N211">
            <v>0</v>
          </cell>
          <cell r="P211">
            <v>117</v>
          </cell>
          <cell r="Q211">
            <v>117</v>
          </cell>
          <cell r="S211">
            <v>477.15</v>
          </cell>
        </row>
        <row r="212">
          <cell r="C212" t="str">
            <v>孙小平</v>
          </cell>
          <cell r="E212">
            <v>734.08</v>
          </cell>
          <cell r="G212">
            <v>27.53</v>
          </cell>
          <cell r="I212">
            <v>346.39</v>
          </cell>
          <cell r="K212">
            <v>34.409999999999997</v>
          </cell>
          <cell r="L212">
            <v>9.18</v>
          </cell>
          <cell r="N212">
            <v>0</v>
          </cell>
          <cell r="P212">
            <v>117</v>
          </cell>
          <cell r="Q212">
            <v>117</v>
          </cell>
          <cell r="S212">
            <v>477.15</v>
          </cell>
        </row>
        <row r="213">
          <cell r="C213" t="str">
            <v>梁宁</v>
          </cell>
          <cell r="E213">
            <v>0</v>
          </cell>
          <cell r="G213">
            <v>0</v>
          </cell>
          <cell r="I213">
            <v>0</v>
          </cell>
          <cell r="K213">
            <v>0</v>
          </cell>
          <cell r="L213">
            <v>9.18</v>
          </cell>
          <cell r="N213">
            <v>0</v>
          </cell>
          <cell r="P213">
            <v>0</v>
          </cell>
          <cell r="Q213">
            <v>0</v>
          </cell>
          <cell r="S213">
            <v>0</v>
          </cell>
        </row>
        <row r="214">
          <cell r="C214" t="str">
            <v>辜晓菲</v>
          </cell>
          <cell r="E214">
            <v>734.08</v>
          </cell>
          <cell r="G214">
            <v>27.53</v>
          </cell>
          <cell r="I214">
            <v>346.39</v>
          </cell>
          <cell r="K214">
            <v>34.409999999999997</v>
          </cell>
          <cell r="L214">
            <v>9.18</v>
          </cell>
          <cell r="N214">
            <v>0</v>
          </cell>
          <cell r="P214">
            <v>117</v>
          </cell>
          <cell r="Q214">
            <v>117</v>
          </cell>
          <cell r="S214">
            <v>477.15</v>
          </cell>
        </row>
        <row r="215">
          <cell r="C215" t="str">
            <v>曾浩</v>
          </cell>
          <cell r="E215">
            <v>734.08</v>
          </cell>
          <cell r="G215">
            <v>27.53</v>
          </cell>
          <cell r="I215">
            <v>346.39</v>
          </cell>
          <cell r="K215">
            <v>34.409999999999997</v>
          </cell>
          <cell r="L215">
            <v>9.18</v>
          </cell>
          <cell r="N215">
            <v>0</v>
          </cell>
          <cell r="P215">
            <v>117</v>
          </cell>
          <cell r="Q215">
            <v>117</v>
          </cell>
          <cell r="S215">
            <v>477.15</v>
          </cell>
        </row>
        <row r="216">
          <cell r="C216" t="str">
            <v>李波</v>
          </cell>
          <cell r="E216">
            <v>734.08</v>
          </cell>
          <cell r="G216">
            <v>27.53</v>
          </cell>
          <cell r="I216">
            <v>346.39</v>
          </cell>
          <cell r="K216">
            <v>34.409999999999997</v>
          </cell>
          <cell r="L216">
            <v>9.18</v>
          </cell>
          <cell r="N216">
            <v>0</v>
          </cell>
          <cell r="P216">
            <v>117</v>
          </cell>
          <cell r="Q216">
            <v>117</v>
          </cell>
          <cell r="S216">
            <v>477.15</v>
          </cell>
        </row>
        <row r="217">
          <cell r="C217" t="str">
            <v>田建勇</v>
          </cell>
          <cell r="E217">
            <v>734.08</v>
          </cell>
          <cell r="G217">
            <v>27.53</v>
          </cell>
          <cell r="I217">
            <v>346.39</v>
          </cell>
          <cell r="K217">
            <v>34.409999999999997</v>
          </cell>
          <cell r="L217">
            <v>9.18</v>
          </cell>
          <cell r="N217">
            <v>0</v>
          </cell>
          <cell r="P217">
            <v>117</v>
          </cell>
          <cell r="Q217">
            <v>117</v>
          </cell>
          <cell r="S217">
            <v>477.15</v>
          </cell>
        </row>
        <row r="218">
          <cell r="C218" t="str">
            <v>雷维可</v>
          </cell>
          <cell r="E218">
            <v>734.08</v>
          </cell>
          <cell r="G218">
            <v>27.53</v>
          </cell>
          <cell r="I218">
            <v>346.39</v>
          </cell>
          <cell r="K218">
            <v>34.409999999999997</v>
          </cell>
          <cell r="L218">
            <v>9.18</v>
          </cell>
          <cell r="N218">
            <v>0</v>
          </cell>
          <cell r="P218">
            <v>117</v>
          </cell>
          <cell r="Q218">
            <v>117</v>
          </cell>
          <cell r="S218">
            <v>477.15</v>
          </cell>
        </row>
        <row r="219">
          <cell r="C219" t="str">
            <v>贾文哲</v>
          </cell>
          <cell r="E219">
            <v>734.08</v>
          </cell>
          <cell r="G219">
            <v>27.53</v>
          </cell>
          <cell r="I219">
            <v>346.39</v>
          </cell>
          <cell r="K219">
            <v>34.409999999999997</v>
          </cell>
          <cell r="L219">
            <v>9.18</v>
          </cell>
          <cell r="N219">
            <v>0</v>
          </cell>
          <cell r="P219">
            <v>117</v>
          </cell>
          <cell r="Q219">
            <v>117</v>
          </cell>
          <cell r="S219">
            <v>477.15</v>
          </cell>
        </row>
        <row r="220">
          <cell r="C220" t="str">
            <v>张琴</v>
          </cell>
          <cell r="E220">
            <v>734.08</v>
          </cell>
          <cell r="G220">
            <v>27.53</v>
          </cell>
          <cell r="I220">
            <v>346.39</v>
          </cell>
          <cell r="K220">
            <v>34.409999999999997</v>
          </cell>
          <cell r="L220">
            <v>9.18</v>
          </cell>
          <cell r="N220">
            <v>0</v>
          </cell>
          <cell r="P220">
            <v>117</v>
          </cell>
          <cell r="Q220">
            <v>117</v>
          </cell>
          <cell r="S220">
            <v>477.15</v>
          </cell>
        </row>
        <row r="221">
          <cell r="C221" t="str">
            <v>应文龙</v>
          </cell>
          <cell r="E221">
            <v>734.08</v>
          </cell>
          <cell r="G221">
            <v>27.53</v>
          </cell>
          <cell r="I221">
            <v>346.39</v>
          </cell>
          <cell r="K221">
            <v>34.409999999999997</v>
          </cell>
          <cell r="L221">
            <v>9.18</v>
          </cell>
          <cell r="N221">
            <v>0</v>
          </cell>
          <cell r="P221">
            <v>117</v>
          </cell>
          <cell r="Q221">
            <v>117</v>
          </cell>
          <cell r="S221">
            <v>477.15</v>
          </cell>
        </row>
        <row r="222">
          <cell r="C222" t="str">
            <v>周劲松</v>
          </cell>
          <cell r="E222">
            <v>734.08</v>
          </cell>
          <cell r="G222">
            <v>27.53</v>
          </cell>
          <cell r="I222">
            <v>346.39</v>
          </cell>
          <cell r="K222">
            <v>34.409999999999997</v>
          </cell>
          <cell r="L222">
            <v>9.18</v>
          </cell>
          <cell r="N222">
            <v>0</v>
          </cell>
          <cell r="P222">
            <v>117</v>
          </cell>
          <cell r="Q222">
            <v>117</v>
          </cell>
          <cell r="S222">
            <v>477.15</v>
          </cell>
        </row>
        <row r="223">
          <cell r="C223" t="str">
            <v>蔡青山</v>
          </cell>
          <cell r="E223">
            <v>734.08</v>
          </cell>
          <cell r="G223">
            <v>27.53</v>
          </cell>
          <cell r="I223">
            <v>346.39</v>
          </cell>
          <cell r="K223">
            <v>34.409999999999997</v>
          </cell>
          <cell r="L223">
            <v>9.18</v>
          </cell>
          <cell r="N223">
            <v>0</v>
          </cell>
          <cell r="P223">
            <v>117</v>
          </cell>
          <cell r="Q223">
            <v>117</v>
          </cell>
          <cell r="S223">
            <v>477.15</v>
          </cell>
        </row>
        <row r="224">
          <cell r="C224" t="str">
            <v>张敏</v>
          </cell>
          <cell r="E224">
            <v>734.08</v>
          </cell>
          <cell r="G224">
            <v>27.53</v>
          </cell>
          <cell r="I224">
            <v>346.39</v>
          </cell>
          <cell r="K224">
            <v>34.409999999999997</v>
          </cell>
          <cell r="L224">
            <v>9.18</v>
          </cell>
          <cell r="N224">
            <v>0</v>
          </cell>
          <cell r="P224">
            <v>117</v>
          </cell>
          <cell r="Q224">
            <v>117</v>
          </cell>
          <cell r="S224">
            <v>477.15</v>
          </cell>
        </row>
        <row r="225">
          <cell r="C225" t="str">
            <v>陈晓波</v>
          </cell>
          <cell r="E225">
            <v>734.08</v>
          </cell>
          <cell r="G225">
            <v>27.53</v>
          </cell>
          <cell r="I225">
            <v>346.39</v>
          </cell>
          <cell r="K225">
            <v>34.409999999999997</v>
          </cell>
          <cell r="L225">
            <v>9.18</v>
          </cell>
          <cell r="N225">
            <v>0</v>
          </cell>
          <cell r="P225">
            <v>117</v>
          </cell>
          <cell r="Q225">
            <v>117</v>
          </cell>
          <cell r="S225">
            <v>477.15</v>
          </cell>
        </row>
        <row r="226">
          <cell r="C226" t="str">
            <v>罗义瑕</v>
          </cell>
          <cell r="E226">
            <v>734.08</v>
          </cell>
          <cell r="G226">
            <v>27.53</v>
          </cell>
          <cell r="I226">
            <v>346.39</v>
          </cell>
          <cell r="K226">
            <v>34.409999999999997</v>
          </cell>
          <cell r="L226">
            <v>9.18</v>
          </cell>
          <cell r="N226">
            <v>0</v>
          </cell>
          <cell r="P226">
            <v>117</v>
          </cell>
          <cell r="Q226">
            <v>117</v>
          </cell>
          <cell r="S226">
            <v>477.15</v>
          </cell>
        </row>
        <row r="227">
          <cell r="C227" t="str">
            <v>李垚</v>
          </cell>
          <cell r="E227">
            <v>734.08</v>
          </cell>
          <cell r="G227">
            <v>27.53</v>
          </cell>
          <cell r="I227">
            <v>346.39</v>
          </cell>
          <cell r="K227">
            <v>34.409999999999997</v>
          </cell>
          <cell r="L227">
            <v>9.18</v>
          </cell>
          <cell r="N227">
            <v>0</v>
          </cell>
          <cell r="P227">
            <v>117</v>
          </cell>
          <cell r="Q227">
            <v>117</v>
          </cell>
          <cell r="S227">
            <v>477.15</v>
          </cell>
        </row>
        <row r="228">
          <cell r="C228" t="str">
            <v>宋航</v>
          </cell>
          <cell r="E228">
            <v>734.08</v>
          </cell>
          <cell r="G228">
            <v>27.53</v>
          </cell>
          <cell r="I228">
            <v>346.39</v>
          </cell>
          <cell r="K228">
            <v>34.409999999999997</v>
          </cell>
          <cell r="L228">
            <v>9.18</v>
          </cell>
          <cell r="N228">
            <v>0</v>
          </cell>
          <cell r="P228">
            <v>117</v>
          </cell>
          <cell r="Q228">
            <v>117</v>
          </cell>
          <cell r="S228">
            <v>477.15</v>
          </cell>
        </row>
        <row r="229">
          <cell r="C229" t="str">
            <v>伍成勇</v>
          </cell>
          <cell r="E229">
            <v>734.08</v>
          </cell>
          <cell r="G229">
            <v>27.53</v>
          </cell>
          <cell r="I229">
            <v>346.39</v>
          </cell>
          <cell r="K229">
            <v>34.409999999999997</v>
          </cell>
          <cell r="L229">
            <v>9.18</v>
          </cell>
          <cell r="N229">
            <v>0</v>
          </cell>
          <cell r="P229">
            <v>117</v>
          </cell>
          <cell r="Q229">
            <v>117</v>
          </cell>
          <cell r="S229">
            <v>477.15</v>
          </cell>
        </row>
        <row r="230">
          <cell r="C230" t="str">
            <v>赵水仙</v>
          </cell>
          <cell r="E230">
            <v>734.08</v>
          </cell>
          <cell r="G230">
            <v>27.53</v>
          </cell>
          <cell r="I230">
            <v>346.39</v>
          </cell>
          <cell r="K230">
            <v>34.409999999999997</v>
          </cell>
          <cell r="L230">
            <v>9.18</v>
          </cell>
          <cell r="N230">
            <v>0</v>
          </cell>
          <cell r="P230">
            <v>117</v>
          </cell>
          <cell r="Q230">
            <v>117</v>
          </cell>
          <cell r="S230">
            <v>477.15</v>
          </cell>
        </row>
        <row r="231">
          <cell r="C231" t="str">
            <v>王强</v>
          </cell>
          <cell r="E231">
            <v>734.08</v>
          </cell>
          <cell r="G231">
            <v>27.53</v>
          </cell>
          <cell r="I231">
            <v>346.39</v>
          </cell>
          <cell r="K231">
            <v>34.409999999999997</v>
          </cell>
          <cell r="L231">
            <v>9.18</v>
          </cell>
          <cell r="N231">
            <v>0</v>
          </cell>
          <cell r="P231">
            <v>117</v>
          </cell>
          <cell r="Q231">
            <v>117</v>
          </cell>
          <cell r="S231">
            <v>477.15</v>
          </cell>
        </row>
        <row r="232">
          <cell r="C232" t="str">
            <v>何毅</v>
          </cell>
          <cell r="E232">
            <v>734.08</v>
          </cell>
          <cell r="G232">
            <v>27.53</v>
          </cell>
          <cell r="I232">
            <v>346.39</v>
          </cell>
          <cell r="K232">
            <v>34.409999999999997</v>
          </cell>
          <cell r="L232">
            <v>9.18</v>
          </cell>
          <cell r="N232">
            <v>0</v>
          </cell>
          <cell r="P232">
            <v>117</v>
          </cell>
          <cell r="Q232">
            <v>117</v>
          </cell>
          <cell r="S232">
            <v>477.15</v>
          </cell>
        </row>
        <row r="233">
          <cell r="C233" t="str">
            <v>颜书琼</v>
          </cell>
          <cell r="E233">
            <v>800</v>
          </cell>
          <cell r="G233">
            <v>30</v>
          </cell>
          <cell r="I233">
            <v>377.5</v>
          </cell>
          <cell r="K233">
            <v>37.5</v>
          </cell>
          <cell r="L233">
            <v>10</v>
          </cell>
          <cell r="N233">
            <v>0</v>
          </cell>
          <cell r="P233">
            <v>117</v>
          </cell>
          <cell r="Q233">
            <v>117</v>
          </cell>
          <cell r="S233">
            <v>520</v>
          </cell>
        </row>
        <row r="234">
          <cell r="C234" t="str">
            <v>李超</v>
          </cell>
          <cell r="E234">
            <v>734.08</v>
          </cell>
          <cell r="G234">
            <v>27.53</v>
          </cell>
          <cell r="I234">
            <v>346.39</v>
          </cell>
          <cell r="K234">
            <v>34.409999999999997</v>
          </cell>
          <cell r="L234">
            <v>9.18</v>
          </cell>
          <cell r="N234">
            <v>0</v>
          </cell>
          <cell r="P234">
            <v>117</v>
          </cell>
          <cell r="Q234">
            <v>117</v>
          </cell>
          <cell r="S234">
            <v>477.15</v>
          </cell>
        </row>
        <row r="235">
          <cell r="C235" t="str">
            <v>谢尧江</v>
          </cell>
          <cell r="E235">
            <v>800</v>
          </cell>
          <cell r="G235">
            <v>30</v>
          </cell>
          <cell r="I235">
            <v>377.5</v>
          </cell>
          <cell r="K235">
            <v>37.5</v>
          </cell>
          <cell r="L235">
            <v>10</v>
          </cell>
          <cell r="N235">
            <v>0</v>
          </cell>
          <cell r="P235">
            <v>117</v>
          </cell>
          <cell r="Q235">
            <v>117</v>
          </cell>
          <cell r="S235">
            <v>520</v>
          </cell>
        </row>
        <row r="236">
          <cell r="C236" t="str">
            <v>王毅</v>
          </cell>
          <cell r="E236">
            <v>734.08</v>
          </cell>
          <cell r="G236">
            <v>27.53</v>
          </cell>
          <cell r="I236">
            <v>346.39</v>
          </cell>
          <cell r="K236">
            <v>34.409999999999997</v>
          </cell>
          <cell r="L236">
            <v>9.18</v>
          </cell>
          <cell r="N236">
            <v>0</v>
          </cell>
          <cell r="P236">
            <v>117</v>
          </cell>
          <cell r="Q236">
            <v>117</v>
          </cell>
          <cell r="S236">
            <v>477.15</v>
          </cell>
        </row>
        <row r="237">
          <cell r="C237" t="str">
            <v>王柳毅</v>
          </cell>
          <cell r="E237">
            <v>734.08</v>
          </cell>
          <cell r="G237">
            <v>27.53</v>
          </cell>
          <cell r="I237">
            <v>346.39</v>
          </cell>
          <cell r="K237">
            <v>34.409999999999997</v>
          </cell>
          <cell r="L237">
            <v>9.18</v>
          </cell>
          <cell r="N237">
            <v>0</v>
          </cell>
          <cell r="P237">
            <v>117</v>
          </cell>
          <cell r="Q237">
            <v>117</v>
          </cell>
          <cell r="S237">
            <v>477.15</v>
          </cell>
        </row>
        <row r="238">
          <cell r="C238" t="str">
            <v>刘石磊</v>
          </cell>
          <cell r="E238">
            <v>734.08</v>
          </cell>
          <cell r="G238">
            <v>27.53</v>
          </cell>
          <cell r="I238">
            <v>346.39</v>
          </cell>
          <cell r="K238">
            <v>34.409999999999997</v>
          </cell>
          <cell r="L238">
            <v>9.18</v>
          </cell>
          <cell r="N238">
            <v>0</v>
          </cell>
          <cell r="P238">
            <v>117</v>
          </cell>
          <cell r="Q238">
            <v>117</v>
          </cell>
          <cell r="S238">
            <v>477.15</v>
          </cell>
        </row>
        <row r="239">
          <cell r="C239" t="str">
            <v>王鹏</v>
          </cell>
          <cell r="E239">
            <v>734.08</v>
          </cell>
          <cell r="G239">
            <v>27.53</v>
          </cell>
          <cell r="I239">
            <v>346.39</v>
          </cell>
          <cell r="K239">
            <v>34.409999999999997</v>
          </cell>
          <cell r="L239">
            <v>9.18</v>
          </cell>
          <cell r="N239">
            <v>0</v>
          </cell>
          <cell r="P239">
            <v>117</v>
          </cell>
          <cell r="Q239">
            <v>117</v>
          </cell>
          <cell r="S239">
            <v>477.15</v>
          </cell>
        </row>
        <row r="240">
          <cell r="C240" t="str">
            <v>朱小军</v>
          </cell>
          <cell r="E240">
            <v>734.08</v>
          </cell>
          <cell r="G240">
            <v>27.53</v>
          </cell>
          <cell r="I240">
            <v>346.39</v>
          </cell>
          <cell r="K240">
            <v>34.409999999999997</v>
          </cell>
          <cell r="L240">
            <v>9.18</v>
          </cell>
          <cell r="N240">
            <v>0</v>
          </cell>
          <cell r="P240">
            <v>117</v>
          </cell>
          <cell r="Q240">
            <v>117</v>
          </cell>
          <cell r="S240">
            <v>477.15</v>
          </cell>
        </row>
        <row r="241">
          <cell r="C241" t="str">
            <v>张林</v>
          </cell>
          <cell r="E241">
            <v>734.08</v>
          </cell>
          <cell r="G241">
            <v>27.53</v>
          </cell>
          <cell r="I241">
            <v>346.39</v>
          </cell>
          <cell r="K241">
            <v>34.409999999999997</v>
          </cell>
          <cell r="L241">
            <v>9.18</v>
          </cell>
          <cell r="N241">
            <v>0</v>
          </cell>
          <cell r="P241">
            <v>117</v>
          </cell>
          <cell r="Q241">
            <v>117</v>
          </cell>
          <cell r="S241">
            <v>477.15</v>
          </cell>
        </row>
        <row r="242">
          <cell r="C242" t="str">
            <v>陈昱良</v>
          </cell>
          <cell r="E242">
            <v>734.08</v>
          </cell>
          <cell r="G242">
            <v>27.53</v>
          </cell>
          <cell r="I242">
            <v>346.39</v>
          </cell>
          <cell r="K242">
            <v>34.409999999999997</v>
          </cell>
          <cell r="L242">
            <v>9.18</v>
          </cell>
          <cell r="N242">
            <v>0</v>
          </cell>
          <cell r="P242">
            <v>117</v>
          </cell>
          <cell r="Q242">
            <v>117</v>
          </cell>
          <cell r="S242">
            <v>477.15</v>
          </cell>
        </row>
        <row r="243">
          <cell r="C243" t="str">
            <v>王竹飞</v>
          </cell>
          <cell r="E243">
            <v>734.08</v>
          </cell>
          <cell r="G243">
            <v>27.53</v>
          </cell>
          <cell r="I243">
            <v>346.39</v>
          </cell>
          <cell r="K243">
            <v>34.409999999999997</v>
          </cell>
          <cell r="L243">
            <v>9.18</v>
          </cell>
          <cell r="N243">
            <v>0</v>
          </cell>
          <cell r="P243">
            <v>117</v>
          </cell>
          <cell r="Q243">
            <v>117</v>
          </cell>
          <cell r="S243">
            <v>477.15</v>
          </cell>
        </row>
        <row r="244">
          <cell r="C244" t="str">
            <v>唐芳兰</v>
          </cell>
          <cell r="E244">
            <v>734.08</v>
          </cell>
          <cell r="G244">
            <v>27.53</v>
          </cell>
          <cell r="I244">
            <v>346.39</v>
          </cell>
          <cell r="K244">
            <v>34.409999999999997</v>
          </cell>
          <cell r="L244">
            <v>9.18</v>
          </cell>
          <cell r="N244">
            <v>0</v>
          </cell>
          <cell r="P244">
            <v>117</v>
          </cell>
          <cell r="Q244">
            <v>117</v>
          </cell>
          <cell r="S244">
            <v>477.15</v>
          </cell>
        </row>
        <row r="245">
          <cell r="C245" t="str">
            <v>王立勃</v>
          </cell>
          <cell r="E245">
            <v>734.08</v>
          </cell>
          <cell r="G245">
            <v>27.53</v>
          </cell>
          <cell r="I245">
            <v>346.39</v>
          </cell>
          <cell r="K245">
            <v>34.409999999999997</v>
          </cell>
          <cell r="L245">
            <v>9.18</v>
          </cell>
          <cell r="N245">
            <v>0</v>
          </cell>
          <cell r="P245">
            <v>117</v>
          </cell>
          <cell r="Q245">
            <v>117</v>
          </cell>
          <cell r="S245">
            <v>477.15</v>
          </cell>
        </row>
        <row r="246">
          <cell r="C246" t="str">
            <v>潘倩</v>
          </cell>
          <cell r="E246">
            <v>734.08</v>
          </cell>
          <cell r="G246">
            <v>27.53</v>
          </cell>
          <cell r="I246">
            <v>346.39</v>
          </cell>
          <cell r="K246">
            <v>34.409999999999997</v>
          </cell>
          <cell r="L246">
            <v>9.18</v>
          </cell>
          <cell r="N246">
            <v>0</v>
          </cell>
          <cell r="P246">
            <v>117</v>
          </cell>
          <cell r="Q246">
            <v>117</v>
          </cell>
          <cell r="S246">
            <v>477.15</v>
          </cell>
        </row>
        <row r="247">
          <cell r="C247" t="str">
            <v>李桃</v>
          </cell>
          <cell r="E247">
            <v>734.08</v>
          </cell>
          <cell r="G247">
            <v>27.53</v>
          </cell>
          <cell r="I247">
            <v>346.39</v>
          </cell>
          <cell r="K247">
            <v>34.409999999999997</v>
          </cell>
          <cell r="L247">
            <v>9.18</v>
          </cell>
          <cell r="N247">
            <v>0</v>
          </cell>
          <cell r="P247">
            <v>117</v>
          </cell>
          <cell r="Q247">
            <v>117</v>
          </cell>
          <cell r="S247">
            <v>477.15</v>
          </cell>
        </row>
        <row r="248">
          <cell r="C248" t="str">
            <v>章东</v>
          </cell>
          <cell r="E248">
            <v>734.08</v>
          </cell>
          <cell r="G248">
            <v>27.53</v>
          </cell>
          <cell r="I248">
            <v>346.39</v>
          </cell>
          <cell r="K248">
            <v>34.409999999999997</v>
          </cell>
          <cell r="L248">
            <v>9.18</v>
          </cell>
          <cell r="N248">
            <v>0</v>
          </cell>
          <cell r="P248">
            <v>117</v>
          </cell>
          <cell r="Q248">
            <v>117</v>
          </cell>
          <cell r="S248">
            <v>477.15</v>
          </cell>
        </row>
        <row r="249">
          <cell r="C249" t="str">
            <v>李长春</v>
          </cell>
          <cell r="E249">
            <v>734.08</v>
          </cell>
          <cell r="G249">
            <v>27.53</v>
          </cell>
          <cell r="I249">
            <v>346.39</v>
          </cell>
          <cell r="K249">
            <v>34.409999999999997</v>
          </cell>
          <cell r="L249">
            <v>9.18</v>
          </cell>
          <cell r="N249">
            <v>0</v>
          </cell>
          <cell r="P249">
            <v>117</v>
          </cell>
          <cell r="Q249">
            <v>117</v>
          </cell>
          <cell r="S249">
            <v>477.15</v>
          </cell>
        </row>
        <row r="250">
          <cell r="C250" t="str">
            <v>刘强</v>
          </cell>
          <cell r="E250">
            <v>734.08</v>
          </cell>
          <cell r="G250">
            <v>27.53</v>
          </cell>
          <cell r="I250">
            <v>346.39</v>
          </cell>
          <cell r="K250">
            <v>34.409999999999997</v>
          </cell>
          <cell r="L250">
            <v>9.18</v>
          </cell>
          <cell r="N250">
            <v>0</v>
          </cell>
          <cell r="P250">
            <v>117</v>
          </cell>
          <cell r="Q250">
            <v>117</v>
          </cell>
          <cell r="S250">
            <v>477.15</v>
          </cell>
        </row>
        <row r="251">
          <cell r="C251" t="str">
            <v>刘玳琳</v>
          </cell>
          <cell r="E251">
            <v>734.08</v>
          </cell>
          <cell r="G251">
            <v>27.53</v>
          </cell>
          <cell r="I251">
            <v>346.39</v>
          </cell>
          <cell r="K251">
            <v>34.409999999999997</v>
          </cell>
          <cell r="L251">
            <v>9.18</v>
          </cell>
          <cell r="N251">
            <v>0</v>
          </cell>
          <cell r="P251">
            <v>117</v>
          </cell>
          <cell r="Q251">
            <v>117</v>
          </cell>
          <cell r="S251">
            <v>477.15</v>
          </cell>
        </row>
        <row r="252">
          <cell r="C252" t="str">
            <v>白影</v>
          </cell>
          <cell r="E252">
            <v>734.08</v>
          </cell>
          <cell r="G252">
            <v>27.53</v>
          </cell>
          <cell r="I252">
            <v>346.39</v>
          </cell>
          <cell r="K252">
            <v>34.409999999999997</v>
          </cell>
          <cell r="L252">
            <v>9.18</v>
          </cell>
          <cell r="N252">
            <v>0</v>
          </cell>
          <cell r="P252">
            <v>117</v>
          </cell>
          <cell r="Q252">
            <v>117</v>
          </cell>
          <cell r="S252">
            <v>477.15</v>
          </cell>
        </row>
        <row r="253">
          <cell r="C253" t="str">
            <v>陶纯玲</v>
          </cell>
          <cell r="E253">
            <v>734.08</v>
          </cell>
          <cell r="G253">
            <v>27.53</v>
          </cell>
          <cell r="I253">
            <v>346.39</v>
          </cell>
          <cell r="K253">
            <v>34.409999999999997</v>
          </cell>
          <cell r="L253">
            <v>9.18</v>
          </cell>
          <cell r="N253">
            <v>0</v>
          </cell>
          <cell r="P253">
            <v>117</v>
          </cell>
          <cell r="Q253">
            <v>117</v>
          </cell>
          <cell r="S253">
            <v>477.15</v>
          </cell>
        </row>
        <row r="254">
          <cell r="C254" t="str">
            <v>宋虹冰</v>
          </cell>
          <cell r="E254">
            <v>734.08</v>
          </cell>
          <cell r="G254">
            <v>27.53</v>
          </cell>
          <cell r="I254">
            <v>346.39</v>
          </cell>
          <cell r="K254">
            <v>34.409999999999997</v>
          </cell>
          <cell r="L254">
            <v>9.18</v>
          </cell>
          <cell r="N254">
            <v>0</v>
          </cell>
          <cell r="P254">
            <v>117</v>
          </cell>
          <cell r="Q254">
            <v>117</v>
          </cell>
          <cell r="S254">
            <v>477.15</v>
          </cell>
        </row>
        <row r="255">
          <cell r="C255" t="str">
            <v>唐梅</v>
          </cell>
          <cell r="E255">
            <v>734.08</v>
          </cell>
          <cell r="G255">
            <v>27.53</v>
          </cell>
          <cell r="I255">
            <v>346.39</v>
          </cell>
          <cell r="K255">
            <v>34.409999999999997</v>
          </cell>
          <cell r="L255">
            <v>9.18</v>
          </cell>
          <cell r="N255">
            <v>0</v>
          </cell>
          <cell r="P255">
            <v>117</v>
          </cell>
          <cell r="Q255">
            <v>117</v>
          </cell>
          <cell r="S255">
            <v>477.15</v>
          </cell>
        </row>
        <row r="256">
          <cell r="C256" t="str">
            <v>陈志扬</v>
          </cell>
          <cell r="E256">
            <v>734.08</v>
          </cell>
          <cell r="G256">
            <v>27.53</v>
          </cell>
          <cell r="I256">
            <v>346.39</v>
          </cell>
          <cell r="K256">
            <v>34.409999999999997</v>
          </cell>
          <cell r="L256">
            <v>9.18</v>
          </cell>
          <cell r="N256">
            <v>0</v>
          </cell>
          <cell r="P256">
            <v>117</v>
          </cell>
          <cell r="Q256">
            <v>117</v>
          </cell>
          <cell r="S256">
            <v>477.15</v>
          </cell>
        </row>
        <row r="257">
          <cell r="C257" t="str">
            <v>阳国华</v>
          </cell>
          <cell r="E257">
            <v>734.08</v>
          </cell>
          <cell r="G257">
            <v>27.53</v>
          </cell>
          <cell r="I257">
            <v>346.39</v>
          </cell>
          <cell r="K257">
            <v>34.409999999999997</v>
          </cell>
          <cell r="L257">
            <v>9.18</v>
          </cell>
          <cell r="N257">
            <v>0</v>
          </cell>
          <cell r="P257">
            <v>117</v>
          </cell>
          <cell r="Q257">
            <v>117</v>
          </cell>
          <cell r="S257">
            <v>477.15</v>
          </cell>
        </row>
        <row r="258">
          <cell r="C258" t="str">
            <v>胡磊</v>
          </cell>
          <cell r="E258">
            <v>734.08</v>
          </cell>
          <cell r="G258">
            <v>27.53</v>
          </cell>
          <cell r="I258">
            <v>346.39</v>
          </cell>
          <cell r="K258">
            <v>34.409999999999997</v>
          </cell>
          <cell r="L258">
            <v>9.18</v>
          </cell>
          <cell r="N258">
            <v>0</v>
          </cell>
          <cell r="P258">
            <v>117</v>
          </cell>
          <cell r="Q258">
            <v>117</v>
          </cell>
          <cell r="S258">
            <v>477.15</v>
          </cell>
        </row>
        <row r="259">
          <cell r="C259" t="str">
            <v>黄意轩</v>
          </cell>
          <cell r="E259">
            <v>734.08</v>
          </cell>
          <cell r="G259">
            <v>27.53</v>
          </cell>
          <cell r="I259">
            <v>346.39</v>
          </cell>
          <cell r="K259">
            <v>34.409999999999997</v>
          </cell>
          <cell r="L259">
            <v>9.18</v>
          </cell>
          <cell r="N259">
            <v>0</v>
          </cell>
          <cell r="P259">
            <v>117</v>
          </cell>
          <cell r="Q259">
            <v>117</v>
          </cell>
          <cell r="S259">
            <v>477.15</v>
          </cell>
        </row>
        <row r="260">
          <cell r="C260" t="str">
            <v>罗文琦</v>
          </cell>
          <cell r="E260">
            <v>734.08</v>
          </cell>
          <cell r="G260">
            <v>27.53</v>
          </cell>
          <cell r="I260">
            <v>346.39</v>
          </cell>
          <cell r="K260">
            <v>34.409999999999997</v>
          </cell>
          <cell r="L260">
            <v>9.18</v>
          </cell>
          <cell r="N260">
            <v>0</v>
          </cell>
          <cell r="P260">
            <v>117</v>
          </cell>
          <cell r="Q260">
            <v>117</v>
          </cell>
          <cell r="S260">
            <v>477.15</v>
          </cell>
        </row>
        <row r="261">
          <cell r="C261" t="str">
            <v>金亮亮</v>
          </cell>
          <cell r="E261">
            <v>734.08</v>
          </cell>
          <cell r="G261">
            <v>27.53</v>
          </cell>
          <cell r="I261">
            <v>346.39</v>
          </cell>
          <cell r="K261">
            <v>34.409999999999997</v>
          </cell>
          <cell r="L261">
            <v>9.18</v>
          </cell>
          <cell r="N261">
            <v>0</v>
          </cell>
          <cell r="P261">
            <v>117</v>
          </cell>
          <cell r="Q261">
            <v>117</v>
          </cell>
          <cell r="S261">
            <v>477.15</v>
          </cell>
        </row>
        <row r="262">
          <cell r="C262" t="str">
            <v>陈晓华</v>
          </cell>
          <cell r="E262">
            <v>734.08</v>
          </cell>
          <cell r="G262">
            <v>27.53</v>
          </cell>
          <cell r="I262">
            <v>346.39</v>
          </cell>
          <cell r="K262">
            <v>34.409999999999997</v>
          </cell>
          <cell r="L262">
            <v>9.18</v>
          </cell>
          <cell r="N262">
            <v>0</v>
          </cell>
          <cell r="P262">
            <v>117</v>
          </cell>
          <cell r="Q262">
            <v>117</v>
          </cell>
          <cell r="S262">
            <v>477.15</v>
          </cell>
        </row>
        <row r="263">
          <cell r="C263" t="str">
            <v>黄小炼</v>
          </cell>
          <cell r="E263">
            <v>734.08</v>
          </cell>
          <cell r="G263">
            <v>27.53</v>
          </cell>
          <cell r="I263">
            <v>346.39</v>
          </cell>
          <cell r="K263">
            <v>34.409999999999997</v>
          </cell>
          <cell r="L263">
            <v>9.18</v>
          </cell>
          <cell r="N263">
            <v>0</v>
          </cell>
          <cell r="P263">
            <v>117</v>
          </cell>
          <cell r="Q263">
            <v>117</v>
          </cell>
          <cell r="S263">
            <v>477.15</v>
          </cell>
        </row>
        <row r="264">
          <cell r="C264" t="str">
            <v>王华通</v>
          </cell>
          <cell r="E264">
            <v>734.08</v>
          </cell>
          <cell r="G264">
            <v>27.53</v>
          </cell>
          <cell r="I264">
            <v>346.39</v>
          </cell>
          <cell r="K264">
            <v>34.409999999999997</v>
          </cell>
          <cell r="L264">
            <v>9.18</v>
          </cell>
          <cell r="N264">
            <v>0</v>
          </cell>
          <cell r="P264">
            <v>117</v>
          </cell>
          <cell r="Q264">
            <v>117</v>
          </cell>
          <cell r="S264">
            <v>477.15</v>
          </cell>
        </row>
        <row r="265">
          <cell r="C265" t="str">
            <v>王成</v>
          </cell>
          <cell r="E265">
            <v>734.08</v>
          </cell>
          <cell r="G265">
            <v>27.53</v>
          </cell>
          <cell r="I265">
            <v>346.39</v>
          </cell>
          <cell r="K265">
            <v>34.409999999999997</v>
          </cell>
          <cell r="L265">
            <v>9.18</v>
          </cell>
          <cell r="N265">
            <v>0</v>
          </cell>
          <cell r="P265">
            <v>117</v>
          </cell>
          <cell r="Q265">
            <v>117</v>
          </cell>
          <cell r="S265">
            <v>477.15</v>
          </cell>
        </row>
        <row r="266">
          <cell r="C266" t="str">
            <v>李国民</v>
          </cell>
          <cell r="E266">
            <v>734.08</v>
          </cell>
          <cell r="G266">
            <v>27.53</v>
          </cell>
          <cell r="I266">
            <v>346.39</v>
          </cell>
          <cell r="K266">
            <v>34.409999999999997</v>
          </cell>
          <cell r="L266">
            <v>9.18</v>
          </cell>
          <cell r="N266">
            <v>0</v>
          </cell>
          <cell r="P266">
            <v>117</v>
          </cell>
          <cell r="Q266">
            <v>117</v>
          </cell>
          <cell r="S266">
            <v>477.15</v>
          </cell>
        </row>
        <row r="267">
          <cell r="C267" t="str">
            <v>贾卫红</v>
          </cell>
          <cell r="E267">
            <v>734.08</v>
          </cell>
          <cell r="G267">
            <v>27.53</v>
          </cell>
          <cell r="I267">
            <v>346.39</v>
          </cell>
          <cell r="K267">
            <v>34.409999999999997</v>
          </cell>
          <cell r="L267">
            <v>9.18</v>
          </cell>
          <cell r="N267">
            <v>0</v>
          </cell>
          <cell r="P267">
            <v>117</v>
          </cell>
          <cell r="Q267">
            <v>117</v>
          </cell>
          <cell r="S267">
            <v>477.15</v>
          </cell>
        </row>
        <row r="268">
          <cell r="C268" t="str">
            <v>高梓绮</v>
          </cell>
          <cell r="E268">
            <v>734.08</v>
          </cell>
          <cell r="G268">
            <v>27.53</v>
          </cell>
          <cell r="I268">
            <v>346.39</v>
          </cell>
          <cell r="K268">
            <v>34.409999999999997</v>
          </cell>
          <cell r="L268">
            <v>9.18</v>
          </cell>
          <cell r="N268">
            <v>0</v>
          </cell>
          <cell r="P268">
            <v>117</v>
          </cell>
          <cell r="Q268">
            <v>117</v>
          </cell>
          <cell r="S268">
            <v>477.15</v>
          </cell>
        </row>
        <row r="269">
          <cell r="C269" t="str">
            <v>张建</v>
          </cell>
          <cell r="E269">
            <v>734.08</v>
          </cell>
          <cell r="G269">
            <v>27.53</v>
          </cell>
          <cell r="I269">
            <v>346.39</v>
          </cell>
          <cell r="K269">
            <v>34.409999999999997</v>
          </cell>
          <cell r="L269">
            <v>9.18</v>
          </cell>
          <cell r="N269">
            <v>0</v>
          </cell>
          <cell r="P269">
            <v>117</v>
          </cell>
          <cell r="Q269">
            <v>117</v>
          </cell>
          <cell r="S269">
            <v>477.15</v>
          </cell>
        </row>
        <row r="270">
          <cell r="C270" t="str">
            <v>曹磊</v>
          </cell>
          <cell r="E270">
            <v>880</v>
          </cell>
          <cell r="G270">
            <v>33</v>
          </cell>
          <cell r="I270">
            <v>415.25</v>
          </cell>
          <cell r="K270">
            <v>41.25</v>
          </cell>
          <cell r="L270">
            <v>11</v>
          </cell>
          <cell r="N270">
            <v>0</v>
          </cell>
          <cell r="P270">
            <v>117</v>
          </cell>
          <cell r="Q270">
            <v>117</v>
          </cell>
          <cell r="S270">
            <v>572</v>
          </cell>
        </row>
        <row r="271">
          <cell r="C271" t="str">
            <v>舒童强</v>
          </cell>
          <cell r="E271">
            <v>734.08</v>
          </cell>
          <cell r="G271">
            <v>27.53</v>
          </cell>
          <cell r="I271">
            <v>346.39</v>
          </cell>
          <cell r="K271">
            <v>34.409999999999997</v>
          </cell>
          <cell r="L271">
            <v>9.18</v>
          </cell>
          <cell r="N271">
            <v>0</v>
          </cell>
          <cell r="P271">
            <v>117</v>
          </cell>
          <cell r="Q271">
            <v>117</v>
          </cell>
          <cell r="S271">
            <v>477.15</v>
          </cell>
        </row>
        <row r="272">
          <cell r="C272" t="str">
            <v>吴德亮</v>
          </cell>
          <cell r="E272">
            <v>734.08</v>
          </cell>
          <cell r="G272">
            <v>27.53</v>
          </cell>
          <cell r="I272">
            <v>346.39</v>
          </cell>
          <cell r="K272">
            <v>34.409999999999997</v>
          </cell>
          <cell r="L272">
            <v>9.18</v>
          </cell>
          <cell r="N272">
            <v>0</v>
          </cell>
          <cell r="P272">
            <v>117</v>
          </cell>
          <cell r="Q272">
            <v>117</v>
          </cell>
          <cell r="S272">
            <v>477.15</v>
          </cell>
        </row>
        <row r="273">
          <cell r="C273" t="str">
            <v>朱开莲</v>
          </cell>
          <cell r="E273">
            <v>734.08</v>
          </cell>
          <cell r="G273">
            <v>27.53</v>
          </cell>
          <cell r="I273">
            <v>346.39</v>
          </cell>
          <cell r="K273">
            <v>34.409999999999997</v>
          </cell>
          <cell r="L273">
            <v>9.18</v>
          </cell>
          <cell r="N273">
            <v>0</v>
          </cell>
          <cell r="P273">
            <v>117</v>
          </cell>
          <cell r="Q273">
            <v>117</v>
          </cell>
          <cell r="S273">
            <v>477.15</v>
          </cell>
        </row>
        <row r="274">
          <cell r="C274" t="str">
            <v>谢波桃</v>
          </cell>
          <cell r="E274">
            <v>734.08</v>
          </cell>
          <cell r="G274">
            <v>27.53</v>
          </cell>
          <cell r="I274">
            <v>346.39</v>
          </cell>
          <cell r="K274">
            <v>34.409999999999997</v>
          </cell>
          <cell r="L274">
            <v>9.18</v>
          </cell>
          <cell r="N274">
            <v>0</v>
          </cell>
          <cell r="P274">
            <v>117</v>
          </cell>
          <cell r="Q274">
            <v>117</v>
          </cell>
          <cell r="S274">
            <v>477.15</v>
          </cell>
        </row>
        <row r="275">
          <cell r="C275" t="str">
            <v>杨洋</v>
          </cell>
          <cell r="E275">
            <v>734.08</v>
          </cell>
          <cell r="G275">
            <v>27.53</v>
          </cell>
          <cell r="I275">
            <v>346.39</v>
          </cell>
          <cell r="K275">
            <v>34.409999999999997</v>
          </cell>
          <cell r="L275">
            <v>9.18</v>
          </cell>
          <cell r="N275">
            <v>0</v>
          </cell>
          <cell r="P275">
            <v>117</v>
          </cell>
          <cell r="Q275">
            <v>117</v>
          </cell>
          <cell r="S275">
            <v>477.15</v>
          </cell>
        </row>
        <row r="276">
          <cell r="C276" t="str">
            <v>唐玉屏</v>
          </cell>
          <cell r="E276">
            <v>734.08</v>
          </cell>
          <cell r="G276">
            <v>27.53</v>
          </cell>
          <cell r="I276">
            <v>346.39</v>
          </cell>
          <cell r="K276">
            <v>34.409999999999997</v>
          </cell>
          <cell r="L276">
            <v>9.18</v>
          </cell>
          <cell r="N276">
            <v>0</v>
          </cell>
          <cell r="P276">
            <v>117</v>
          </cell>
          <cell r="Q276">
            <v>117</v>
          </cell>
          <cell r="S276">
            <v>477.15</v>
          </cell>
        </row>
        <row r="277">
          <cell r="C277" t="str">
            <v>黄雪梅</v>
          </cell>
          <cell r="E277">
            <v>734.08</v>
          </cell>
          <cell r="G277">
            <v>27.53</v>
          </cell>
          <cell r="I277">
            <v>346.39</v>
          </cell>
          <cell r="K277">
            <v>34.409999999999997</v>
          </cell>
          <cell r="L277">
            <v>9.18</v>
          </cell>
          <cell r="N277">
            <v>0</v>
          </cell>
          <cell r="P277">
            <v>117</v>
          </cell>
          <cell r="Q277">
            <v>117</v>
          </cell>
          <cell r="S277">
            <v>477.15</v>
          </cell>
        </row>
        <row r="278">
          <cell r="C278" t="str">
            <v>李彩琼</v>
          </cell>
          <cell r="E278">
            <v>734.08</v>
          </cell>
          <cell r="G278">
            <v>27.53</v>
          </cell>
          <cell r="I278">
            <v>346.39</v>
          </cell>
          <cell r="K278">
            <v>34.409999999999997</v>
          </cell>
          <cell r="L278">
            <v>9.18</v>
          </cell>
          <cell r="N278">
            <v>0</v>
          </cell>
          <cell r="P278">
            <v>117</v>
          </cell>
          <cell r="Q278">
            <v>117</v>
          </cell>
          <cell r="S278">
            <v>477.15</v>
          </cell>
        </row>
        <row r="279">
          <cell r="C279" t="str">
            <v>柳超</v>
          </cell>
          <cell r="E279">
            <v>734.08</v>
          </cell>
          <cell r="G279">
            <v>27.53</v>
          </cell>
          <cell r="I279">
            <v>346.39</v>
          </cell>
          <cell r="K279">
            <v>34.409999999999997</v>
          </cell>
          <cell r="L279">
            <v>9.18</v>
          </cell>
          <cell r="N279">
            <v>0</v>
          </cell>
          <cell r="P279">
            <v>117</v>
          </cell>
          <cell r="Q279">
            <v>117</v>
          </cell>
          <cell r="S279">
            <v>477.15</v>
          </cell>
        </row>
        <row r="280">
          <cell r="C280" t="str">
            <v>李璐</v>
          </cell>
          <cell r="E280">
            <v>734.08</v>
          </cell>
          <cell r="G280">
            <v>27.53</v>
          </cell>
          <cell r="I280">
            <v>346.39</v>
          </cell>
          <cell r="K280">
            <v>34.409999999999997</v>
          </cell>
          <cell r="L280">
            <v>9.18</v>
          </cell>
          <cell r="N280">
            <v>0</v>
          </cell>
          <cell r="P280">
            <v>117</v>
          </cell>
          <cell r="Q280">
            <v>117</v>
          </cell>
          <cell r="S280">
            <v>477.15</v>
          </cell>
        </row>
        <row r="281">
          <cell r="C281" t="str">
            <v>李伦伟</v>
          </cell>
          <cell r="E281">
            <v>0</v>
          </cell>
          <cell r="G281">
            <v>0</v>
          </cell>
          <cell r="I281">
            <v>0</v>
          </cell>
          <cell r="K281">
            <v>0</v>
          </cell>
          <cell r="L281">
            <v>0</v>
          </cell>
          <cell r="N281">
            <v>0</v>
          </cell>
          <cell r="P281">
            <v>117</v>
          </cell>
          <cell r="Q281">
            <v>117</v>
          </cell>
          <cell r="S281">
            <v>0</v>
          </cell>
        </row>
        <row r="282">
          <cell r="C282" t="str">
            <v>罗烽</v>
          </cell>
          <cell r="E282">
            <v>734.08</v>
          </cell>
          <cell r="G282">
            <v>27.53</v>
          </cell>
          <cell r="I282">
            <v>346.39</v>
          </cell>
          <cell r="K282">
            <v>34.409999999999997</v>
          </cell>
          <cell r="L282">
            <v>9.18</v>
          </cell>
          <cell r="N282">
            <v>0</v>
          </cell>
          <cell r="P282">
            <v>117</v>
          </cell>
          <cell r="Q282">
            <v>117</v>
          </cell>
          <cell r="S282">
            <v>477.15</v>
          </cell>
        </row>
        <row r="283">
          <cell r="C283" t="str">
            <v>赵廷宇</v>
          </cell>
          <cell r="E283">
            <v>734.08</v>
          </cell>
          <cell r="G283">
            <v>27.53</v>
          </cell>
          <cell r="I283">
            <v>346.39</v>
          </cell>
          <cell r="K283">
            <v>34.409999999999997</v>
          </cell>
          <cell r="L283">
            <v>9.18</v>
          </cell>
          <cell r="N283">
            <v>0</v>
          </cell>
          <cell r="P283">
            <v>117</v>
          </cell>
          <cell r="Q283">
            <v>117</v>
          </cell>
          <cell r="S283">
            <v>477.15</v>
          </cell>
        </row>
        <row r="284">
          <cell r="C284" t="str">
            <v>易林江</v>
          </cell>
          <cell r="E284">
            <v>734.08</v>
          </cell>
          <cell r="G284">
            <v>27.53</v>
          </cell>
          <cell r="I284">
            <v>346.39</v>
          </cell>
          <cell r="K284">
            <v>34.409999999999997</v>
          </cell>
          <cell r="L284">
            <v>9.18</v>
          </cell>
          <cell r="N284">
            <v>0</v>
          </cell>
          <cell r="P284">
            <v>117</v>
          </cell>
          <cell r="Q284">
            <v>117</v>
          </cell>
          <cell r="S284">
            <v>477.15</v>
          </cell>
        </row>
        <row r="285">
          <cell r="C285" t="str">
            <v>王浩宇</v>
          </cell>
          <cell r="E285">
            <v>734.08</v>
          </cell>
          <cell r="G285">
            <v>27.53</v>
          </cell>
          <cell r="I285">
            <v>346.39</v>
          </cell>
          <cell r="K285">
            <v>34.409999999999997</v>
          </cell>
          <cell r="L285">
            <v>9.18</v>
          </cell>
          <cell r="N285">
            <v>0</v>
          </cell>
          <cell r="P285">
            <v>117</v>
          </cell>
          <cell r="Q285">
            <v>117</v>
          </cell>
          <cell r="S285">
            <v>477.15</v>
          </cell>
        </row>
        <row r="286">
          <cell r="C286" t="str">
            <v>李欢</v>
          </cell>
          <cell r="E286">
            <v>734.08</v>
          </cell>
          <cell r="G286">
            <v>27.53</v>
          </cell>
          <cell r="I286">
            <v>346.39</v>
          </cell>
          <cell r="K286">
            <v>34.409999999999997</v>
          </cell>
          <cell r="L286">
            <v>9.18</v>
          </cell>
          <cell r="N286">
            <v>0</v>
          </cell>
          <cell r="P286">
            <v>117</v>
          </cell>
          <cell r="Q286">
            <v>117</v>
          </cell>
          <cell r="S286">
            <v>477.15</v>
          </cell>
        </row>
        <row r="287">
          <cell r="C287" t="str">
            <v>任彬</v>
          </cell>
          <cell r="E287">
            <v>734.08</v>
          </cell>
          <cell r="G287">
            <v>27.53</v>
          </cell>
          <cell r="I287">
            <v>346.39</v>
          </cell>
          <cell r="K287">
            <v>34.409999999999997</v>
          </cell>
          <cell r="L287">
            <v>9.18</v>
          </cell>
          <cell r="N287">
            <v>0</v>
          </cell>
          <cell r="P287">
            <v>117</v>
          </cell>
          <cell r="Q287">
            <v>117</v>
          </cell>
          <cell r="S287">
            <v>477.15</v>
          </cell>
        </row>
        <row r="288">
          <cell r="C288" t="str">
            <v>赵前波</v>
          </cell>
          <cell r="E288">
            <v>734.08</v>
          </cell>
          <cell r="G288">
            <v>27.53</v>
          </cell>
          <cell r="I288">
            <v>346.39</v>
          </cell>
          <cell r="K288">
            <v>34.409999999999997</v>
          </cell>
          <cell r="L288">
            <v>9.18</v>
          </cell>
          <cell r="N288">
            <v>0</v>
          </cell>
          <cell r="P288">
            <v>117</v>
          </cell>
          <cell r="Q288">
            <v>117</v>
          </cell>
          <cell r="S288">
            <v>477.15</v>
          </cell>
        </row>
        <row r="289">
          <cell r="C289" t="str">
            <v>邓尚明</v>
          </cell>
          <cell r="E289">
            <v>734.08</v>
          </cell>
          <cell r="G289">
            <v>27.53</v>
          </cell>
          <cell r="I289">
            <v>346.39</v>
          </cell>
          <cell r="K289">
            <v>34.409999999999997</v>
          </cell>
          <cell r="L289">
            <v>9.18</v>
          </cell>
          <cell r="N289">
            <v>0</v>
          </cell>
          <cell r="P289">
            <v>117</v>
          </cell>
          <cell r="Q289">
            <v>117</v>
          </cell>
          <cell r="S289">
            <v>477.15</v>
          </cell>
        </row>
        <row r="290">
          <cell r="C290" t="str">
            <v>吕自红</v>
          </cell>
          <cell r="E290">
            <v>734.08</v>
          </cell>
          <cell r="G290">
            <v>27.53</v>
          </cell>
          <cell r="I290">
            <v>346.39</v>
          </cell>
          <cell r="K290">
            <v>34.409999999999997</v>
          </cell>
          <cell r="L290">
            <v>9.18</v>
          </cell>
          <cell r="N290">
            <v>0</v>
          </cell>
          <cell r="P290">
            <v>117</v>
          </cell>
          <cell r="Q290">
            <v>117</v>
          </cell>
          <cell r="S290">
            <v>477.15</v>
          </cell>
        </row>
        <row r="291">
          <cell r="C291" t="str">
            <v>谭磊</v>
          </cell>
          <cell r="E291">
            <v>734.08</v>
          </cell>
          <cell r="G291">
            <v>27.53</v>
          </cell>
          <cell r="I291">
            <v>346.39</v>
          </cell>
          <cell r="K291">
            <v>34.409999999999997</v>
          </cell>
          <cell r="L291">
            <v>9.18</v>
          </cell>
          <cell r="N291">
            <v>0</v>
          </cell>
          <cell r="P291">
            <v>117</v>
          </cell>
          <cell r="Q291">
            <v>117</v>
          </cell>
          <cell r="S291">
            <v>477.15</v>
          </cell>
        </row>
        <row r="292">
          <cell r="C292" t="str">
            <v>段宝安</v>
          </cell>
          <cell r="E292">
            <v>734.08</v>
          </cell>
          <cell r="G292">
            <v>27.53</v>
          </cell>
          <cell r="I292">
            <v>346.39</v>
          </cell>
          <cell r="K292">
            <v>34.409999999999997</v>
          </cell>
          <cell r="L292">
            <v>9.18</v>
          </cell>
          <cell r="N292">
            <v>0</v>
          </cell>
          <cell r="P292">
            <v>117</v>
          </cell>
          <cell r="Q292">
            <v>117</v>
          </cell>
          <cell r="S292">
            <v>477.15</v>
          </cell>
        </row>
        <row r="293">
          <cell r="C293" t="str">
            <v>冉维朗</v>
          </cell>
          <cell r="E293">
            <v>734.08</v>
          </cell>
          <cell r="G293">
            <v>27.53</v>
          </cell>
          <cell r="I293">
            <v>346.39</v>
          </cell>
          <cell r="K293">
            <v>34.409999999999997</v>
          </cell>
          <cell r="L293">
            <v>9.18</v>
          </cell>
          <cell r="N293">
            <v>0</v>
          </cell>
          <cell r="P293">
            <v>117</v>
          </cell>
          <cell r="Q293">
            <v>117</v>
          </cell>
          <cell r="S293">
            <v>477.15</v>
          </cell>
        </row>
        <row r="294">
          <cell r="C294" t="str">
            <v>冯波</v>
          </cell>
          <cell r="E294">
            <v>734.08</v>
          </cell>
          <cell r="G294">
            <v>27.53</v>
          </cell>
          <cell r="I294">
            <v>346.39</v>
          </cell>
          <cell r="K294">
            <v>34.409999999999997</v>
          </cell>
          <cell r="L294">
            <v>9.18</v>
          </cell>
          <cell r="N294">
            <v>0</v>
          </cell>
          <cell r="P294">
            <v>117</v>
          </cell>
          <cell r="Q294">
            <v>117</v>
          </cell>
          <cell r="S294">
            <v>477.15</v>
          </cell>
        </row>
        <row r="295">
          <cell r="C295" t="str">
            <v>左三明</v>
          </cell>
          <cell r="E295">
            <v>734.08</v>
          </cell>
          <cell r="G295">
            <v>27.53</v>
          </cell>
          <cell r="I295">
            <v>346.39</v>
          </cell>
          <cell r="K295">
            <v>34.409999999999997</v>
          </cell>
          <cell r="L295">
            <v>9.18</v>
          </cell>
          <cell r="N295">
            <v>0</v>
          </cell>
          <cell r="P295">
            <v>117</v>
          </cell>
          <cell r="Q295">
            <v>117</v>
          </cell>
          <cell r="S295">
            <v>477.15</v>
          </cell>
        </row>
        <row r="296">
          <cell r="C296" t="str">
            <v>李建国</v>
          </cell>
          <cell r="E296">
            <v>734.08</v>
          </cell>
          <cell r="G296">
            <v>27.53</v>
          </cell>
          <cell r="I296">
            <v>346.39</v>
          </cell>
          <cell r="K296">
            <v>34.409999999999997</v>
          </cell>
          <cell r="L296">
            <v>9.18</v>
          </cell>
          <cell r="N296">
            <v>0</v>
          </cell>
          <cell r="P296">
            <v>117</v>
          </cell>
          <cell r="Q296">
            <v>117</v>
          </cell>
          <cell r="S296">
            <v>477.15</v>
          </cell>
        </row>
        <row r="297">
          <cell r="C297" t="str">
            <v>李双权</v>
          </cell>
          <cell r="E297">
            <v>734.08</v>
          </cell>
          <cell r="G297">
            <v>27.53</v>
          </cell>
          <cell r="I297">
            <v>346.39</v>
          </cell>
          <cell r="K297">
            <v>34.409999999999997</v>
          </cell>
          <cell r="L297">
            <v>9.18</v>
          </cell>
          <cell r="N297">
            <v>0</v>
          </cell>
          <cell r="P297">
            <v>117</v>
          </cell>
          <cell r="Q297">
            <v>117</v>
          </cell>
          <cell r="S297">
            <v>477.15</v>
          </cell>
        </row>
        <row r="298">
          <cell r="C298" t="str">
            <v>罗洪</v>
          </cell>
          <cell r="E298">
            <v>734.08</v>
          </cell>
          <cell r="G298">
            <v>27.53</v>
          </cell>
          <cell r="I298">
            <v>346.39</v>
          </cell>
          <cell r="K298">
            <v>34.409999999999997</v>
          </cell>
          <cell r="L298">
            <v>9.18</v>
          </cell>
          <cell r="N298">
            <v>0</v>
          </cell>
          <cell r="P298">
            <v>117</v>
          </cell>
          <cell r="Q298">
            <v>117</v>
          </cell>
          <cell r="S298">
            <v>477.15</v>
          </cell>
        </row>
        <row r="299">
          <cell r="C299" t="str">
            <v>冯建勇</v>
          </cell>
          <cell r="E299">
            <v>734.08</v>
          </cell>
          <cell r="G299">
            <v>27.53</v>
          </cell>
          <cell r="I299">
            <v>346.39</v>
          </cell>
          <cell r="K299">
            <v>34.409999999999997</v>
          </cell>
          <cell r="L299">
            <v>9.18</v>
          </cell>
          <cell r="N299">
            <v>0</v>
          </cell>
          <cell r="P299">
            <v>117</v>
          </cell>
          <cell r="Q299">
            <v>117</v>
          </cell>
          <cell r="S299">
            <v>477.15</v>
          </cell>
        </row>
        <row r="300">
          <cell r="C300" t="str">
            <v>雷毫</v>
          </cell>
          <cell r="E300">
            <v>734.08</v>
          </cell>
          <cell r="G300">
            <v>27.53</v>
          </cell>
          <cell r="I300">
            <v>346.39</v>
          </cell>
          <cell r="K300">
            <v>34.409999999999997</v>
          </cell>
          <cell r="L300">
            <v>9.18</v>
          </cell>
          <cell r="N300">
            <v>0</v>
          </cell>
          <cell r="P300">
            <v>117</v>
          </cell>
          <cell r="Q300">
            <v>117</v>
          </cell>
          <cell r="S300">
            <v>477.15</v>
          </cell>
        </row>
        <row r="301">
          <cell r="E301">
            <v>71789.440000000002</v>
          </cell>
          <cell r="G301">
            <v>2692.29</v>
          </cell>
          <cell r="I301">
            <v>33875.269999999997</v>
          </cell>
          <cell r="K301">
            <v>3365.13</v>
          </cell>
          <cell r="L301">
            <v>906.92</v>
          </cell>
          <cell r="N301">
            <v>0</v>
          </cell>
          <cell r="P301">
            <v>11466</v>
          </cell>
          <cell r="Q301">
            <v>11466</v>
          </cell>
          <cell r="S301">
            <v>46662.95</v>
          </cell>
        </row>
        <row r="302">
          <cell r="N302">
            <v>0</v>
          </cell>
          <cell r="P302">
            <v>20943</v>
          </cell>
          <cell r="Q302">
            <v>20943</v>
          </cell>
          <cell r="S302">
            <v>85942.35</v>
          </cell>
        </row>
        <row r="305">
          <cell r="C305" t="str">
            <v>姓名</v>
          </cell>
          <cell r="E305" t="str">
            <v>养老</v>
          </cell>
          <cell r="G305" t="str">
            <v>失业</v>
          </cell>
          <cell r="I305" t="str">
            <v>医疗</v>
          </cell>
          <cell r="K305" t="str">
            <v>大病信息</v>
          </cell>
          <cell r="L305" t="str">
            <v>工伤</v>
          </cell>
          <cell r="N305" t="str">
            <v>社保补差</v>
          </cell>
          <cell r="P305" t="str">
            <v>公积金</v>
          </cell>
          <cell r="Q305" t="str">
            <v>公积金</v>
          </cell>
        </row>
        <row r="306">
          <cell r="E306" t="str">
            <v>单位12％</v>
          </cell>
          <cell r="G306" t="str">
            <v>单位0.6％</v>
          </cell>
          <cell r="I306" t="str">
            <v>单位7.7％</v>
          </cell>
          <cell r="K306" t="str">
            <v>单位0.6％</v>
          </cell>
          <cell r="L306" t="str">
            <v>单位0.35％</v>
          </cell>
          <cell r="N306" t="str">
            <v>单位</v>
          </cell>
          <cell r="P306" t="str">
            <v>单位</v>
          </cell>
          <cell r="Q306" t="str">
            <v>个人</v>
          </cell>
          <cell r="S306" t="str">
            <v>个人</v>
          </cell>
        </row>
        <row r="307">
          <cell r="C307" t="str">
            <v>金胜钟</v>
          </cell>
          <cell r="E307">
            <v>734.08</v>
          </cell>
          <cell r="G307">
            <v>27.53</v>
          </cell>
          <cell r="I307">
            <v>346.39</v>
          </cell>
          <cell r="K307">
            <v>34.409999999999997</v>
          </cell>
          <cell r="L307">
            <v>16.059999999999999</v>
          </cell>
          <cell r="N307">
            <v>0</v>
          </cell>
          <cell r="P307">
            <v>0</v>
          </cell>
          <cell r="Q307">
            <v>0</v>
          </cell>
          <cell r="S307">
            <v>477.15</v>
          </cell>
        </row>
        <row r="308">
          <cell r="C308" t="str">
            <v>合计</v>
          </cell>
          <cell r="E308">
            <v>734.08</v>
          </cell>
          <cell r="G308">
            <v>27.53</v>
          </cell>
          <cell r="I308">
            <v>346.39</v>
          </cell>
          <cell r="K308">
            <v>34.409999999999997</v>
          </cell>
          <cell r="L308">
            <v>16.059999999999999</v>
          </cell>
          <cell r="N308">
            <v>0</v>
          </cell>
          <cell r="P308">
            <v>0</v>
          </cell>
          <cell r="Q308">
            <v>0</v>
          </cell>
          <cell r="S308">
            <v>477.15</v>
          </cell>
        </row>
        <row r="311">
          <cell r="C311" t="str">
            <v>姓名</v>
          </cell>
          <cell r="E311" t="str">
            <v>养老</v>
          </cell>
          <cell r="G311" t="str">
            <v>失业</v>
          </cell>
          <cell r="I311" t="str">
            <v>医疗</v>
          </cell>
          <cell r="K311" t="str">
            <v>大病信息</v>
          </cell>
          <cell r="L311" t="str">
            <v>工伤</v>
          </cell>
          <cell r="N311" t="str">
            <v>社保补差</v>
          </cell>
          <cell r="P311" t="str">
            <v>公积金</v>
          </cell>
          <cell r="Q311" t="str">
            <v>公积金</v>
          </cell>
        </row>
        <row r="312">
          <cell r="E312" t="str">
            <v>单位16％</v>
          </cell>
          <cell r="G312" t="str">
            <v>单位0.6％</v>
          </cell>
          <cell r="I312" t="str">
            <v>单位7.55％</v>
          </cell>
          <cell r="K312" t="str">
            <v>单位0.75%</v>
          </cell>
          <cell r="L312" t="str">
            <v>单位0.1％</v>
          </cell>
          <cell r="N312" t="str">
            <v>单位</v>
          </cell>
          <cell r="P312" t="str">
            <v>单位</v>
          </cell>
          <cell r="Q312" t="str">
            <v>个人</v>
          </cell>
          <cell r="S312" t="str">
            <v>个人</v>
          </cell>
        </row>
        <row r="313">
          <cell r="C313" t="str">
            <v>谢德</v>
          </cell>
          <cell r="E313">
            <v>880</v>
          </cell>
          <cell r="G313">
            <v>33</v>
          </cell>
          <cell r="I313">
            <v>415.25</v>
          </cell>
          <cell r="K313">
            <v>41.25</v>
          </cell>
          <cell r="L313">
            <v>11</v>
          </cell>
          <cell r="N313">
            <v>0</v>
          </cell>
          <cell r="P313">
            <v>117</v>
          </cell>
          <cell r="Q313">
            <v>117</v>
          </cell>
          <cell r="S313">
            <v>572</v>
          </cell>
        </row>
        <row r="314">
          <cell r="C314" t="str">
            <v>张丹</v>
          </cell>
          <cell r="E314">
            <v>734.08</v>
          </cell>
          <cell r="G314">
            <v>27.53</v>
          </cell>
          <cell r="I314">
            <v>346.39</v>
          </cell>
          <cell r="K314">
            <v>34.409999999999997</v>
          </cell>
          <cell r="L314">
            <v>9.18</v>
          </cell>
          <cell r="N314">
            <v>0</v>
          </cell>
          <cell r="P314">
            <v>117</v>
          </cell>
          <cell r="Q314">
            <v>117</v>
          </cell>
          <cell r="S314">
            <v>477.15</v>
          </cell>
        </row>
        <row r="315">
          <cell r="C315" t="str">
            <v>张桥英</v>
          </cell>
          <cell r="E315">
            <v>734.08</v>
          </cell>
          <cell r="G315">
            <v>27.53</v>
          </cell>
          <cell r="I315">
            <v>346.39</v>
          </cell>
          <cell r="K315">
            <v>34.409999999999997</v>
          </cell>
          <cell r="L315">
            <v>9.18</v>
          </cell>
          <cell r="N315">
            <v>0</v>
          </cell>
          <cell r="P315">
            <v>117</v>
          </cell>
          <cell r="Q315">
            <v>117</v>
          </cell>
          <cell r="S315">
            <v>477.15</v>
          </cell>
        </row>
        <row r="316">
          <cell r="C316" t="str">
            <v>李先军</v>
          </cell>
          <cell r="E316">
            <v>734.08</v>
          </cell>
          <cell r="G316">
            <v>27.53</v>
          </cell>
          <cell r="I316">
            <v>346.39</v>
          </cell>
          <cell r="K316">
            <v>34.409999999999997</v>
          </cell>
          <cell r="L316">
            <v>9.18</v>
          </cell>
          <cell r="N316">
            <v>0</v>
          </cell>
          <cell r="P316">
            <v>117</v>
          </cell>
          <cell r="Q316">
            <v>117</v>
          </cell>
          <cell r="S316">
            <v>477.15</v>
          </cell>
        </row>
        <row r="317">
          <cell r="C317" t="str">
            <v>何松</v>
          </cell>
          <cell r="E317">
            <v>800</v>
          </cell>
          <cell r="G317">
            <v>30</v>
          </cell>
          <cell r="I317">
            <v>377.5</v>
          </cell>
          <cell r="K317">
            <v>37.5</v>
          </cell>
          <cell r="L317">
            <v>10</v>
          </cell>
          <cell r="N317">
            <v>0</v>
          </cell>
          <cell r="P317">
            <v>117</v>
          </cell>
          <cell r="Q317">
            <v>117</v>
          </cell>
          <cell r="S317">
            <v>520</v>
          </cell>
        </row>
        <row r="318">
          <cell r="C318" t="str">
            <v>王攀</v>
          </cell>
          <cell r="E318">
            <v>800</v>
          </cell>
          <cell r="G318">
            <v>30</v>
          </cell>
          <cell r="I318">
            <v>377.5</v>
          </cell>
          <cell r="K318">
            <v>37.5</v>
          </cell>
          <cell r="L318">
            <v>10</v>
          </cell>
          <cell r="N318">
            <v>0</v>
          </cell>
          <cell r="P318">
            <v>117</v>
          </cell>
          <cell r="Q318">
            <v>117</v>
          </cell>
          <cell r="S318">
            <v>520</v>
          </cell>
        </row>
        <row r="319">
          <cell r="C319" t="str">
            <v>金梁平</v>
          </cell>
          <cell r="E319">
            <v>880</v>
          </cell>
          <cell r="G319">
            <v>33</v>
          </cell>
          <cell r="I319">
            <v>415.25</v>
          </cell>
          <cell r="K319">
            <v>41.25</v>
          </cell>
          <cell r="L319">
            <v>11</v>
          </cell>
          <cell r="N319">
            <v>0</v>
          </cell>
          <cell r="P319">
            <v>117</v>
          </cell>
          <cell r="Q319">
            <v>117</v>
          </cell>
          <cell r="S319">
            <v>572</v>
          </cell>
        </row>
        <row r="320">
          <cell r="C320" t="str">
            <v>赵申伟</v>
          </cell>
          <cell r="E320">
            <v>734.08</v>
          </cell>
          <cell r="G320">
            <v>27.53</v>
          </cell>
          <cell r="I320">
            <v>346.39</v>
          </cell>
          <cell r="K320">
            <v>34.409999999999997</v>
          </cell>
          <cell r="L320">
            <v>9.18</v>
          </cell>
          <cell r="N320">
            <v>0</v>
          </cell>
          <cell r="P320">
            <v>117</v>
          </cell>
          <cell r="Q320">
            <v>117</v>
          </cell>
          <cell r="S320">
            <v>477.15</v>
          </cell>
        </row>
        <row r="321">
          <cell r="C321" t="str">
            <v>合计</v>
          </cell>
          <cell r="E321">
            <v>6296.32</v>
          </cell>
          <cell r="G321">
            <v>236.12</v>
          </cell>
          <cell r="I321">
            <v>2971.06</v>
          </cell>
          <cell r="K321">
            <v>295.14</v>
          </cell>
          <cell r="L321">
            <v>78.72</v>
          </cell>
          <cell r="N321">
            <v>0</v>
          </cell>
          <cell r="P321">
            <v>936</v>
          </cell>
          <cell r="Q321">
            <v>936</v>
          </cell>
          <cell r="S321">
            <v>4092.6</v>
          </cell>
        </row>
        <row r="323">
          <cell r="C323" t="str">
            <v>李黎</v>
          </cell>
          <cell r="E323">
            <v>880</v>
          </cell>
          <cell r="G323">
            <v>33</v>
          </cell>
          <cell r="I323">
            <v>415.25</v>
          </cell>
          <cell r="K323">
            <v>41.25</v>
          </cell>
          <cell r="L323">
            <v>11</v>
          </cell>
          <cell r="N323">
            <v>0</v>
          </cell>
          <cell r="P323">
            <v>117</v>
          </cell>
          <cell r="Q323">
            <v>117</v>
          </cell>
          <cell r="S323">
            <v>572</v>
          </cell>
        </row>
        <row r="324">
          <cell r="C324" t="str">
            <v>蒋凤梅</v>
          </cell>
          <cell r="E324">
            <v>734.08</v>
          </cell>
          <cell r="G324">
            <v>27.53</v>
          </cell>
          <cell r="I324">
            <v>346.39</v>
          </cell>
          <cell r="K324">
            <v>34.409999999999997</v>
          </cell>
          <cell r="L324">
            <v>9.18</v>
          </cell>
          <cell r="N324">
            <v>0</v>
          </cell>
          <cell r="P324">
            <v>117</v>
          </cell>
          <cell r="Q324">
            <v>117</v>
          </cell>
          <cell r="S324">
            <v>477.15</v>
          </cell>
        </row>
        <row r="325">
          <cell r="C325" t="str">
            <v>王晓菲</v>
          </cell>
          <cell r="E325">
            <v>734.08</v>
          </cell>
          <cell r="G325">
            <v>27.53</v>
          </cell>
          <cell r="I325">
            <v>346.39</v>
          </cell>
          <cell r="K325">
            <v>34.409999999999997</v>
          </cell>
          <cell r="L325">
            <v>9.18</v>
          </cell>
          <cell r="N325">
            <v>0</v>
          </cell>
          <cell r="P325">
            <v>117</v>
          </cell>
          <cell r="Q325">
            <v>117</v>
          </cell>
          <cell r="S325">
            <v>477.15</v>
          </cell>
        </row>
        <row r="326">
          <cell r="C326" t="str">
            <v>范轻祥</v>
          </cell>
          <cell r="E326">
            <v>880</v>
          </cell>
          <cell r="G326">
            <v>33</v>
          </cell>
          <cell r="I326">
            <v>415.25</v>
          </cell>
          <cell r="K326">
            <v>41.25</v>
          </cell>
          <cell r="L326">
            <v>11</v>
          </cell>
          <cell r="N326">
            <v>0</v>
          </cell>
          <cell r="P326">
            <v>117</v>
          </cell>
          <cell r="Q326">
            <v>117</v>
          </cell>
          <cell r="S326">
            <v>572</v>
          </cell>
        </row>
        <row r="327">
          <cell r="C327" t="str">
            <v>吴燕</v>
          </cell>
          <cell r="E327">
            <v>734.08</v>
          </cell>
          <cell r="G327">
            <v>27.53</v>
          </cell>
          <cell r="I327">
            <v>346.39</v>
          </cell>
          <cell r="K327">
            <v>34.409999999999997</v>
          </cell>
          <cell r="L327">
            <v>9.18</v>
          </cell>
          <cell r="N327">
            <v>0</v>
          </cell>
          <cell r="P327">
            <v>117</v>
          </cell>
          <cell r="Q327">
            <v>117</v>
          </cell>
          <cell r="S327">
            <v>477.15</v>
          </cell>
        </row>
        <row r="328">
          <cell r="C328" t="str">
            <v>曹兰</v>
          </cell>
          <cell r="E328">
            <v>734.08</v>
          </cell>
          <cell r="G328">
            <v>27.53</v>
          </cell>
          <cell r="I328">
            <v>346.39</v>
          </cell>
          <cell r="K328">
            <v>34.409999999999997</v>
          </cell>
          <cell r="L328">
            <v>9.18</v>
          </cell>
          <cell r="N328">
            <v>0</v>
          </cell>
          <cell r="P328">
            <v>117</v>
          </cell>
          <cell r="Q328">
            <v>117</v>
          </cell>
          <cell r="S328">
            <v>477.15</v>
          </cell>
        </row>
        <row r="329">
          <cell r="C329" t="str">
            <v>舒孟蝶</v>
          </cell>
          <cell r="E329">
            <v>734.08</v>
          </cell>
          <cell r="G329">
            <v>27.53</v>
          </cell>
          <cell r="I329">
            <v>346.39</v>
          </cell>
          <cell r="K329">
            <v>34.409999999999997</v>
          </cell>
          <cell r="L329">
            <v>9.18</v>
          </cell>
          <cell r="N329">
            <v>0</v>
          </cell>
          <cell r="P329">
            <v>117</v>
          </cell>
          <cell r="Q329">
            <v>117</v>
          </cell>
          <cell r="S329">
            <v>477.15</v>
          </cell>
        </row>
        <row r="330">
          <cell r="C330" t="str">
            <v>刘建容</v>
          </cell>
          <cell r="E330">
            <v>734.08</v>
          </cell>
          <cell r="G330">
            <v>27.53</v>
          </cell>
          <cell r="I330">
            <v>346.39</v>
          </cell>
          <cell r="K330">
            <v>34.409999999999997</v>
          </cell>
          <cell r="L330">
            <v>9.18</v>
          </cell>
          <cell r="N330">
            <v>0</v>
          </cell>
          <cell r="P330">
            <v>117</v>
          </cell>
          <cell r="Q330">
            <v>117</v>
          </cell>
          <cell r="S330">
            <v>477.15</v>
          </cell>
        </row>
        <row r="331">
          <cell r="C331" t="str">
            <v>杨涛</v>
          </cell>
          <cell r="E331">
            <v>734.08</v>
          </cell>
          <cell r="G331">
            <v>27.53</v>
          </cell>
          <cell r="I331">
            <v>346.39</v>
          </cell>
          <cell r="K331">
            <v>34.409999999999997</v>
          </cell>
          <cell r="L331">
            <v>9.18</v>
          </cell>
          <cell r="N331">
            <v>0</v>
          </cell>
          <cell r="P331">
            <v>117</v>
          </cell>
          <cell r="Q331">
            <v>117</v>
          </cell>
          <cell r="S331">
            <v>477.15</v>
          </cell>
        </row>
        <row r="332">
          <cell r="C332" t="str">
            <v>余梦蕾</v>
          </cell>
          <cell r="E332">
            <v>734.08</v>
          </cell>
          <cell r="G332">
            <v>27.53</v>
          </cell>
          <cell r="I332">
            <v>346.39</v>
          </cell>
          <cell r="K332">
            <v>34.409999999999997</v>
          </cell>
          <cell r="L332">
            <v>9.18</v>
          </cell>
          <cell r="N332">
            <v>0</v>
          </cell>
          <cell r="P332">
            <v>117</v>
          </cell>
          <cell r="Q332">
            <v>117</v>
          </cell>
          <cell r="S332">
            <v>477.15</v>
          </cell>
        </row>
        <row r="333">
          <cell r="C333" t="str">
            <v>魏巍</v>
          </cell>
          <cell r="E333">
            <v>734.08</v>
          </cell>
          <cell r="G333">
            <v>27.53</v>
          </cell>
          <cell r="I333">
            <v>346.39</v>
          </cell>
          <cell r="K333">
            <v>34.409999999999997</v>
          </cell>
          <cell r="L333">
            <v>9.18</v>
          </cell>
          <cell r="N333">
            <v>0</v>
          </cell>
          <cell r="P333">
            <v>117</v>
          </cell>
          <cell r="Q333">
            <v>117</v>
          </cell>
          <cell r="S333">
            <v>477.15</v>
          </cell>
        </row>
        <row r="334">
          <cell r="C334" t="str">
            <v>卢瑶</v>
          </cell>
          <cell r="E334">
            <v>734.08</v>
          </cell>
          <cell r="G334">
            <v>27.53</v>
          </cell>
          <cell r="I334">
            <v>346.39</v>
          </cell>
          <cell r="K334">
            <v>34.409999999999997</v>
          </cell>
          <cell r="L334">
            <v>9.18</v>
          </cell>
          <cell r="N334">
            <v>0</v>
          </cell>
          <cell r="P334">
            <v>117</v>
          </cell>
          <cell r="Q334">
            <v>117</v>
          </cell>
          <cell r="S334">
            <v>477.15</v>
          </cell>
        </row>
        <row r="335">
          <cell r="C335" t="str">
            <v>李秋园</v>
          </cell>
          <cell r="E335">
            <v>734.08</v>
          </cell>
          <cell r="G335">
            <v>27.53</v>
          </cell>
          <cell r="I335">
            <v>346.39</v>
          </cell>
          <cell r="K335">
            <v>34.409999999999997</v>
          </cell>
          <cell r="L335">
            <v>9.18</v>
          </cell>
          <cell r="N335">
            <v>0</v>
          </cell>
          <cell r="P335">
            <v>117</v>
          </cell>
          <cell r="Q335">
            <v>117</v>
          </cell>
          <cell r="S335">
            <v>477.15</v>
          </cell>
        </row>
        <row r="336">
          <cell r="C336" t="str">
            <v>朱倩源</v>
          </cell>
          <cell r="E336">
            <v>734.08</v>
          </cell>
          <cell r="G336">
            <v>27.53</v>
          </cell>
          <cell r="I336">
            <v>346.39</v>
          </cell>
          <cell r="K336">
            <v>34.409999999999997</v>
          </cell>
          <cell r="L336">
            <v>9.18</v>
          </cell>
          <cell r="N336">
            <v>0</v>
          </cell>
          <cell r="P336">
            <v>117</v>
          </cell>
          <cell r="Q336">
            <v>117</v>
          </cell>
          <cell r="S336">
            <v>477.15</v>
          </cell>
        </row>
        <row r="337">
          <cell r="C337" t="str">
            <v>黄浩原</v>
          </cell>
          <cell r="E337">
            <v>734.08</v>
          </cell>
          <cell r="G337">
            <v>27.53</v>
          </cell>
          <cell r="I337">
            <v>346.39</v>
          </cell>
          <cell r="K337">
            <v>34.409999999999997</v>
          </cell>
          <cell r="L337">
            <v>9.18</v>
          </cell>
          <cell r="N337">
            <v>0</v>
          </cell>
          <cell r="P337">
            <v>117</v>
          </cell>
          <cell r="Q337">
            <v>117</v>
          </cell>
          <cell r="S337">
            <v>477.15</v>
          </cell>
        </row>
        <row r="338">
          <cell r="C338" t="str">
            <v>廖潇</v>
          </cell>
          <cell r="E338">
            <v>734.08</v>
          </cell>
          <cell r="G338">
            <v>27.53</v>
          </cell>
          <cell r="I338">
            <v>346.39</v>
          </cell>
          <cell r="K338">
            <v>34.409999999999997</v>
          </cell>
          <cell r="L338">
            <v>9.18</v>
          </cell>
          <cell r="N338">
            <v>0</v>
          </cell>
          <cell r="P338">
            <v>117</v>
          </cell>
          <cell r="Q338">
            <v>117</v>
          </cell>
          <cell r="S338">
            <v>477.15</v>
          </cell>
        </row>
        <row r="339">
          <cell r="C339" t="str">
            <v>胡艺凡</v>
          </cell>
          <cell r="E339">
            <v>734.08</v>
          </cell>
          <cell r="G339">
            <v>27.53</v>
          </cell>
          <cell r="I339">
            <v>346.39</v>
          </cell>
          <cell r="K339">
            <v>34.409999999999997</v>
          </cell>
          <cell r="L339">
            <v>9.18</v>
          </cell>
          <cell r="N339">
            <v>0</v>
          </cell>
          <cell r="P339">
            <v>117</v>
          </cell>
          <cell r="Q339">
            <v>117</v>
          </cell>
          <cell r="S339">
            <v>477.15</v>
          </cell>
        </row>
        <row r="340">
          <cell r="C340" t="str">
            <v>胡刚</v>
          </cell>
          <cell r="E340">
            <v>734.08</v>
          </cell>
          <cell r="G340">
            <v>27.53</v>
          </cell>
          <cell r="I340">
            <v>346.39</v>
          </cell>
          <cell r="K340">
            <v>34.409999999999997</v>
          </cell>
          <cell r="L340">
            <v>9.18</v>
          </cell>
          <cell r="N340">
            <v>0</v>
          </cell>
          <cell r="P340">
            <v>117</v>
          </cell>
          <cell r="Q340">
            <v>117</v>
          </cell>
          <cell r="S340">
            <v>477.15</v>
          </cell>
        </row>
        <row r="341">
          <cell r="C341" t="str">
            <v>胡琳</v>
          </cell>
          <cell r="E341">
            <v>734.08</v>
          </cell>
          <cell r="G341">
            <v>27.53</v>
          </cell>
          <cell r="I341">
            <v>346.39</v>
          </cell>
          <cell r="K341">
            <v>34.409999999999997</v>
          </cell>
          <cell r="L341">
            <v>9.18</v>
          </cell>
          <cell r="N341">
            <v>0</v>
          </cell>
          <cell r="P341">
            <v>117</v>
          </cell>
          <cell r="Q341">
            <v>117</v>
          </cell>
          <cell r="S341">
            <v>477.15</v>
          </cell>
        </row>
        <row r="342">
          <cell r="C342" t="str">
            <v>张权</v>
          </cell>
          <cell r="E342">
            <v>1280</v>
          </cell>
          <cell r="G342">
            <v>48</v>
          </cell>
          <cell r="I342">
            <v>604</v>
          </cell>
          <cell r="K342">
            <v>60</v>
          </cell>
          <cell r="L342">
            <v>16</v>
          </cell>
          <cell r="N342">
            <v>0</v>
          </cell>
          <cell r="P342">
            <v>117</v>
          </cell>
          <cell r="Q342">
            <v>117</v>
          </cell>
          <cell r="S342">
            <v>832</v>
          </cell>
        </row>
        <row r="343">
          <cell r="C343" t="str">
            <v>马魁明</v>
          </cell>
          <cell r="E343">
            <v>880</v>
          </cell>
          <cell r="G343">
            <v>33</v>
          </cell>
          <cell r="I343">
            <v>415.25</v>
          </cell>
          <cell r="K343">
            <v>41.25</v>
          </cell>
          <cell r="L343">
            <v>11</v>
          </cell>
          <cell r="N343">
            <v>0</v>
          </cell>
          <cell r="P343">
            <v>117</v>
          </cell>
          <cell r="Q343">
            <v>117</v>
          </cell>
          <cell r="S343">
            <v>572</v>
          </cell>
        </row>
        <row r="344">
          <cell r="C344" t="str">
            <v>郭静</v>
          </cell>
          <cell r="E344">
            <v>734.08</v>
          </cell>
          <cell r="G344">
            <v>27.53</v>
          </cell>
          <cell r="I344">
            <v>346.39</v>
          </cell>
          <cell r="K344">
            <v>34.409999999999997</v>
          </cell>
          <cell r="L344">
            <v>9.18</v>
          </cell>
          <cell r="N344">
            <v>0</v>
          </cell>
          <cell r="P344">
            <v>117</v>
          </cell>
          <cell r="Q344">
            <v>117</v>
          </cell>
          <cell r="S344">
            <v>477.15</v>
          </cell>
        </row>
        <row r="345">
          <cell r="C345" t="str">
            <v>钟雨佟</v>
          </cell>
          <cell r="E345">
            <v>734.08</v>
          </cell>
          <cell r="G345">
            <v>27.53</v>
          </cell>
          <cell r="I345">
            <v>346.39</v>
          </cell>
          <cell r="K345">
            <v>34.409999999999997</v>
          </cell>
          <cell r="L345">
            <v>9.18</v>
          </cell>
          <cell r="N345">
            <v>0</v>
          </cell>
          <cell r="P345">
            <v>117</v>
          </cell>
          <cell r="Q345">
            <v>117</v>
          </cell>
          <cell r="S345">
            <v>477.15</v>
          </cell>
        </row>
        <row r="346">
          <cell r="C346" t="str">
            <v>叶子骏</v>
          </cell>
          <cell r="E346">
            <v>734.08</v>
          </cell>
          <cell r="G346">
            <v>27.53</v>
          </cell>
          <cell r="I346">
            <v>346.39</v>
          </cell>
          <cell r="K346">
            <v>34.409999999999997</v>
          </cell>
          <cell r="L346">
            <v>9.18</v>
          </cell>
          <cell r="N346">
            <v>0</v>
          </cell>
          <cell r="P346">
            <v>117</v>
          </cell>
          <cell r="Q346">
            <v>117</v>
          </cell>
          <cell r="S346">
            <v>477.15</v>
          </cell>
        </row>
        <row r="347">
          <cell r="C347" t="str">
            <v>陈光婷</v>
          </cell>
          <cell r="E347">
            <v>880</v>
          </cell>
          <cell r="G347">
            <v>33</v>
          </cell>
          <cell r="I347">
            <v>415.25</v>
          </cell>
          <cell r="K347">
            <v>41.25</v>
          </cell>
          <cell r="L347">
            <v>11</v>
          </cell>
          <cell r="N347">
            <v>0</v>
          </cell>
          <cell r="P347">
            <v>117</v>
          </cell>
          <cell r="Q347">
            <v>117</v>
          </cell>
          <cell r="S347">
            <v>572</v>
          </cell>
        </row>
        <row r="348">
          <cell r="C348" t="str">
            <v>梁伟</v>
          </cell>
          <cell r="E348">
            <v>734.08</v>
          </cell>
          <cell r="G348">
            <v>27.53</v>
          </cell>
          <cell r="I348">
            <v>346.39</v>
          </cell>
          <cell r="K348">
            <v>34.409999999999997</v>
          </cell>
          <cell r="L348">
            <v>9.18</v>
          </cell>
          <cell r="N348">
            <v>0</v>
          </cell>
          <cell r="P348">
            <v>117</v>
          </cell>
          <cell r="Q348">
            <v>117</v>
          </cell>
          <cell r="S348">
            <v>477.15</v>
          </cell>
        </row>
        <row r="349">
          <cell r="C349" t="str">
            <v>胡臣</v>
          </cell>
          <cell r="E349">
            <v>734.08</v>
          </cell>
          <cell r="G349">
            <v>27.53</v>
          </cell>
          <cell r="I349">
            <v>346.39</v>
          </cell>
          <cell r="K349">
            <v>34.409999999999997</v>
          </cell>
          <cell r="L349">
            <v>9.18</v>
          </cell>
          <cell r="N349">
            <v>0</v>
          </cell>
          <cell r="P349">
            <v>117</v>
          </cell>
          <cell r="Q349">
            <v>117</v>
          </cell>
          <cell r="S349">
            <v>477.15</v>
          </cell>
        </row>
        <row r="350">
          <cell r="C350" t="str">
            <v>丁丽</v>
          </cell>
          <cell r="E350">
            <v>734.08</v>
          </cell>
          <cell r="G350">
            <v>27.53</v>
          </cell>
          <cell r="I350">
            <v>346.39</v>
          </cell>
          <cell r="K350">
            <v>34.409999999999997</v>
          </cell>
          <cell r="L350">
            <v>9.18</v>
          </cell>
          <cell r="N350">
            <v>0</v>
          </cell>
          <cell r="P350">
            <v>117</v>
          </cell>
          <cell r="Q350">
            <v>117</v>
          </cell>
          <cell r="S350">
            <v>477.15</v>
          </cell>
        </row>
        <row r="351">
          <cell r="C351" t="str">
            <v>熊鑫</v>
          </cell>
          <cell r="E351">
            <v>734.08</v>
          </cell>
          <cell r="G351">
            <v>27.53</v>
          </cell>
          <cell r="I351">
            <v>346.39</v>
          </cell>
          <cell r="K351">
            <v>34.409999999999997</v>
          </cell>
          <cell r="L351">
            <v>9.18</v>
          </cell>
          <cell r="N351">
            <v>0</v>
          </cell>
          <cell r="P351">
            <v>117</v>
          </cell>
          <cell r="Q351">
            <v>117</v>
          </cell>
          <cell r="S351">
            <v>477.15</v>
          </cell>
        </row>
        <row r="352">
          <cell r="C352" t="str">
            <v>王刚</v>
          </cell>
          <cell r="E352">
            <v>734.08</v>
          </cell>
          <cell r="G352">
            <v>27.53</v>
          </cell>
          <cell r="I352">
            <v>346.39</v>
          </cell>
          <cell r="K352">
            <v>34.409999999999997</v>
          </cell>
          <cell r="L352">
            <v>9.18</v>
          </cell>
          <cell r="N352">
            <v>0</v>
          </cell>
          <cell r="P352">
            <v>117</v>
          </cell>
          <cell r="Q352">
            <v>117</v>
          </cell>
          <cell r="S352">
            <v>477.15</v>
          </cell>
        </row>
        <row r="353">
          <cell r="C353" t="str">
            <v>徐靓</v>
          </cell>
          <cell r="E353">
            <v>734.08</v>
          </cell>
          <cell r="G353">
            <v>27.53</v>
          </cell>
          <cell r="I353">
            <v>346.39</v>
          </cell>
          <cell r="K353">
            <v>34.409999999999997</v>
          </cell>
          <cell r="L353">
            <v>9.18</v>
          </cell>
          <cell r="N353">
            <v>0</v>
          </cell>
          <cell r="P353">
            <v>117</v>
          </cell>
          <cell r="Q353">
            <v>117</v>
          </cell>
          <cell r="S353">
            <v>477.15</v>
          </cell>
        </row>
        <row r="354">
          <cell r="C354" t="str">
            <v>蒋志强</v>
          </cell>
          <cell r="E354">
            <v>734.08</v>
          </cell>
          <cell r="G354">
            <v>27.53</v>
          </cell>
          <cell r="I354">
            <v>346.39</v>
          </cell>
          <cell r="K354">
            <v>34.409999999999997</v>
          </cell>
          <cell r="L354">
            <v>9.18</v>
          </cell>
          <cell r="N354">
            <v>0</v>
          </cell>
          <cell r="P354">
            <v>117</v>
          </cell>
          <cell r="Q354">
            <v>117</v>
          </cell>
          <cell r="S354">
            <v>477.15</v>
          </cell>
        </row>
        <row r="355">
          <cell r="C355" t="str">
            <v>何建灵</v>
          </cell>
          <cell r="E355">
            <v>734.08</v>
          </cell>
          <cell r="G355">
            <v>27.53</v>
          </cell>
          <cell r="I355">
            <v>346.39</v>
          </cell>
          <cell r="K355">
            <v>34.409999999999997</v>
          </cell>
          <cell r="L355">
            <v>9.18</v>
          </cell>
          <cell r="N355">
            <v>0</v>
          </cell>
          <cell r="P355">
            <v>117</v>
          </cell>
          <cell r="Q355">
            <v>117</v>
          </cell>
          <cell r="S355">
            <v>477.15</v>
          </cell>
        </row>
        <row r="356">
          <cell r="C356" t="str">
            <v>吴善角</v>
          </cell>
          <cell r="E356">
            <v>734.08</v>
          </cell>
          <cell r="G356">
            <v>27.53</v>
          </cell>
          <cell r="I356">
            <v>346.39</v>
          </cell>
          <cell r="K356">
            <v>34.409999999999997</v>
          </cell>
          <cell r="L356">
            <v>9.18</v>
          </cell>
          <cell r="N356">
            <v>0</v>
          </cell>
          <cell r="P356">
            <v>117</v>
          </cell>
          <cell r="Q356">
            <v>117</v>
          </cell>
          <cell r="S356">
            <v>477.15</v>
          </cell>
        </row>
        <row r="357">
          <cell r="C357" t="str">
            <v>黄兴宇</v>
          </cell>
          <cell r="E357">
            <v>734.08</v>
          </cell>
          <cell r="G357">
            <v>27.53</v>
          </cell>
          <cell r="I357">
            <v>346.39</v>
          </cell>
          <cell r="K357">
            <v>34.409999999999997</v>
          </cell>
          <cell r="L357">
            <v>9.18</v>
          </cell>
          <cell r="N357">
            <v>0</v>
          </cell>
          <cell r="P357">
            <v>117</v>
          </cell>
          <cell r="Q357">
            <v>117</v>
          </cell>
          <cell r="S357">
            <v>477.15</v>
          </cell>
        </row>
        <row r="358">
          <cell r="C358" t="str">
            <v>鲁杰培</v>
          </cell>
          <cell r="E358">
            <v>734.08</v>
          </cell>
          <cell r="G358">
            <v>27.53</v>
          </cell>
          <cell r="I358">
            <v>346.39</v>
          </cell>
          <cell r="K358">
            <v>34.409999999999997</v>
          </cell>
          <cell r="L358">
            <v>9.18</v>
          </cell>
          <cell r="N358">
            <v>0</v>
          </cell>
          <cell r="P358">
            <v>117</v>
          </cell>
          <cell r="Q358">
            <v>117</v>
          </cell>
          <cell r="S358">
            <v>477.15</v>
          </cell>
        </row>
        <row r="359">
          <cell r="C359" t="str">
            <v>张蕙</v>
          </cell>
          <cell r="E359">
            <v>734.08</v>
          </cell>
          <cell r="G359">
            <v>27.53</v>
          </cell>
          <cell r="I359">
            <v>346.39</v>
          </cell>
          <cell r="K359">
            <v>34.409999999999997</v>
          </cell>
          <cell r="L359">
            <v>9.18</v>
          </cell>
          <cell r="N359">
            <v>0</v>
          </cell>
          <cell r="P359">
            <v>117</v>
          </cell>
          <cell r="Q359">
            <v>117</v>
          </cell>
          <cell r="S359">
            <v>477.15</v>
          </cell>
        </row>
        <row r="360">
          <cell r="C360" t="str">
            <v>胡圆</v>
          </cell>
          <cell r="E360">
            <v>734.08</v>
          </cell>
          <cell r="G360">
            <v>27.53</v>
          </cell>
          <cell r="I360">
            <v>346.39</v>
          </cell>
          <cell r="K360">
            <v>34.409999999999997</v>
          </cell>
          <cell r="L360">
            <v>9.18</v>
          </cell>
          <cell r="N360">
            <v>0</v>
          </cell>
          <cell r="P360">
            <v>117</v>
          </cell>
          <cell r="Q360">
            <v>117</v>
          </cell>
          <cell r="S360">
            <v>477.15</v>
          </cell>
        </row>
        <row r="361">
          <cell r="E361">
            <v>29024.639999999999</v>
          </cell>
          <cell r="G361">
            <v>1088.49</v>
          </cell>
          <cell r="I361">
            <v>13695.87</v>
          </cell>
          <cell r="K361">
            <v>1360.53</v>
          </cell>
          <cell r="L361">
            <v>362.94</v>
          </cell>
          <cell r="N361">
            <v>0</v>
          </cell>
          <cell r="P361">
            <v>4446</v>
          </cell>
          <cell r="Q361">
            <v>4446</v>
          </cell>
          <cell r="S361">
            <v>18865.95</v>
          </cell>
        </row>
        <row r="362">
          <cell r="S362" t="str">
            <v>超市社保</v>
          </cell>
        </row>
        <row r="363">
          <cell r="S363" t="str">
            <v>西物社保</v>
          </cell>
        </row>
        <row r="364">
          <cell r="S364" t="str">
            <v>聚广社保</v>
          </cell>
        </row>
        <row r="368">
          <cell r="S368" t="str">
            <v>核对</v>
          </cell>
        </row>
        <row r="369">
          <cell r="S369" t="str">
            <v>核对</v>
          </cell>
        </row>
        <row r="370">
          <cell r="S370" t="str">
            <v>核对</v>
          </cell>
        </row>
        <row r="372">
          <cell r="S372" t="str">
            <v>西物代垫</v>
          </cell>
        </row>
        <row r="373">
          <cell r="S373" t="str">
            <v>超市代垫</v>
          </cell>
        </row>
        <row r="374">
          <cell r="S374" t="str">
            <v>合计</v>
          </cell>
        </row>
      </sheetData>
      <sheetData sheetId="12"/>
      <sheetData sheetId="13"/>
      <sheetData sheetId="14"/>
      <sheetData sheetId="15"/>
      <sheetData sheetId="16"/>
      <sheetData sheetId="17"/>
      <sheetData sheetId="18"/>
      <sheetData sheetId="19">
        <row r="3">
          <cell r="B3" t="str">
            <v>姓名</v>
          </cell>
          <cell r="H3" t="str">
            <v>合计金额</v>
          </cell>
        </row>
        <row r="4">
          <cell r="B4" t="str">
            <v>刘伟生</v>
          </cell>
          <cell r="H4">
            <v>0</v>
          </cell>
        </row>
        <row r="5">
          <cell r="B5" t="str">
            <v>代蓓</v>
          </cell>
          <cell r="H5">
            <v>0</v>
          </cell>
        </row>
        <row r="6">
          <cell r="B6" t="str">
            <v>齐坤忠</v>
          </cell>
          <cell r="H6">
            <v>0</v>
          </cell>
        </row>
        <row r="7">
          <cell r="B7" t="str">
            <v>王斌</v>
          </cell>
          <cell r="H7">
            <v>0</v>
          </cell>
        </row>
        <row r="8">
          <cell r="B8" t="str">
            <v>陈军</v>
          </cell>
          <cell r="H8">
            <v>0</v>
          </cell>
        </row>
        <row r="9">
          <cell r="B9" t="str">
            <v>陶兰</v>
          </cell>
          <cell r="H9">
            <v>0</v>
          </cell>
        </row>
        <row r="10">
          <cell r="B10" t="str">
            <v>汤小明</v>
          </cell>
          <cell r="H10">
            <v>0</v>
          </cell>
        </row>
        <row r="11">
          <cell r="B11" t="str">
            <v>冯岚</v>
          </cell>
          <cell r="H11">
            <v>0</v>
          </cell>
        </row>
        <row r="12">
          <cell r="B12" t="str">
            <v>唐玲</v>
          </cell>
          <cell r="H12">
            <v>0</v>
          </cell>
        </row>
        <row r="13">
          <cell r="B13" t="str">
            <v>陈俊霖</v>
          </cell>
          <cell r="H13">
            <v>0</v>
          </cell>
        </row>
        <row r="14">
          <cell r="B14" t="str">
            <v>袁顺序</v>
          </cell>
          <cell r="H14">
            <v>0</v>
          </cell>
        </row>
        <row r="15">
          <cell r="B15" t="str">
            <v>钟小丽</v>
          </cell>
          <cell r="H15">
            <v>0</v>
          </cell>
        </row>
        <row r="16">
          <cell r="B16" t="str">
            <v>熊杰文</v>
          </cell>
          <cell r="H16">
            <v>0</v>
          </cell>
        </row>
        <row r="17">
          <cell r="B17" t="str">
            <v>马攀</v>
          </cell>
          <cell r="H17">
            <v>0</v>
          </cell>
        </row>
        <row r="18">
          <cell r="B18" t="str">
            <v>易花贞子</v>
          </cell>
          <cell r="H18">
            <v>0</v>
          </cell>
        </row>
        <row r="19">
          <cell r="B19" t="str">
            <v>毛春秀</v>
          </cell>
          <cell r="H19">
            <v>0</v>
          </cell>
        </row>
        <row r="20">
          <cell r="B20" t="str">
            <v>廖晓军</v>
          </cell>
          <cell r="H20">
            <v>0</v>
          </cell>
        </row>
        <row r="21">
          <cell r="B21" t="str">
            <v>康鳞波</v>
          </cell>
          <cell r="H21">
            <v>0</v>
          </cell>
        </row>
        <row r="22">
          <cell r="B22" t="str">
            <v>代力</v>
          </cell>
          <cell r="H22">
            <v>0</v>
          </cell>
        </row>
        <row r="23">
          <cell r="B23" t="str">
            <v>干小楠</v>
          </cell>
          <cell r="H23">
            <v>0</v>
          </cell>
        </row>
        <row r="24">
          <cell r="B24" t="str">
            <v>蒲喜</v>
          </cell>
          <cell r="H24">
            <v>0</v>
          </cell>
        </row>
        <row r="25">
          <cell r="B25" t="str">
            <v>何伟</v>
          </cell>
          <cell r="H25">
            <v>0</v>
          </cell>
        </row>
        <row r="26">
          <cell r="B26" t="str">
            <v>唐操</v>
          </cell>
          <cell r="H26">
            <v>0</v>
          </cell>
        </row>
        <row r="27">
          <cell r="B27" t="str">
            <v>母勇</v>
          </cell>
          <cell r="H27">
            <v>0</v>
          </cell>
        </row>
        <row r="28">
          <cell r="B28" t="str">
            <v>刘飞</v>
          </cell>
          <cell r="H28">
            <v>0</v>
          </cell>
        </row>
        <row r="29">
          <cell r="B29" t="str">
            <v>黄利君</v>
          </cell>
          <cell r="H29">
            <v>0</v>
          </cell>
        </row>
        <row r="30">
          <cell r="B30" t="str">
            <v>何剑</v>
          </cell>
          <cell r="H30">
            <v>0</v>
          </cell>
        </row>
        <row r="31">
          <cell r="B31" t="str">
            <v>雷卓远</v>
          </cell>
          <cell r="H31">
            <v>0</v>
          </cell>
        </row>
        <row r="32">
          <cell r="B32" t="str">
            <v>何宇</v>
          </cell>
          <cell r="H32">
            <v>0</v>
          </cell>
        </row>
        <row r="33">
          <cell r="B33" t="str">
            <v>王泳文</v>
          </cell>
          <cell r="H33">
            <v>0</v>
          </cell>
        </row>
        <row r="34">
          <cell r="B34" t="str">
            <v>周思雨</v>
          </cell>
          <cell r="H34">
            <v>0</v>
          </cell>
        </row>
        <row r="35">
          <cell r="B35" t="str">
            <v>杜小红</v>
          </cell>
          <cell r="H35">
            <v>0</v>
          </cell>
        </row>
        <row r="36">
          <cell r="B36" t="str">
            <v>陈文霜</v>
          </cell>
          <cell r="H36">
            <v>0</v>
          </cell>
        </row>
        <row r="37">
          <cell r="B37" t="str">
            <v>周梅</v>
          </cell>
          <cell r="H37">
            <v>0</v>
          </cell>
        </row>
        <row r="38">
          <cell r="B38" t="str">
            <v>金玉梅</v>
          </cell>
          <cell r="H38">
            <v>0</v>
          </cell>
        </row>
        <row r="39">
          <cell r="B39" t="str">
            <v>邱勇</v>
          </cell>
          <cell r="H39">
            <v>0</v>
          </cell>
        </row>
        <row r="40">
          <cell r="B40" t="str">
            <v>晏彬文</v>
          </cell>
          <cell r="H40">
            <v>0</v>
          </cell>
        </row>
        <row r="41">
          <cell r="B41" t="str">
            <v>张龙</v>
          </cell>
          <cell r="H41">
            <v>0</v>
          </cell>
        </row>
        <row r="42">
          <cell r="B42" t="str">
            <v>熊宇</v>
          </cell>
          <cell r="H42">
            <v>0</v>
          </cell>
        </row>
        <row r="43">
          <cell r="B43" t="str">
            <v>张春燕</v>
          </cell>
          <cell r="H43">
            <v>0</v>
          </cell>
        </row>
        <row r="44">
          <cell r="B44" t="str">
            <v>邓小军</v>
          </cell>
          <cell r="H44">
            <v>0</v>
          </cell>
        </row>
        <row r="45">
          <cell r="B45" t="str">
            <v>顾雪梅</v>
          </cell>
          <cell r="H45">
            <v>0</v>
          </cell>
        </row>
        <row r="46">
          <cell r="B46" t="str">
            <v>丁红</v>
          </cell>
          <cell r="H46">
            <v>0</v>
          </cell>
        </row>
        <row r="47">
          <cell r="B47" t="str">
            <v>邓琦琪</v>
          </cell>
          <cell r="H47">
            <v>0</v>
          </cell>
        </row>
        <row r="48">
          <cell r="B48" t="str">
            <v>李佳乐</v>
          </cell>
          <cell r="H48">
            <v>0</v>
          </cell>
        </row>
        <row r="49">
          <cell r="B49" t="str">
            <v>罗涵</v>
          </cell>
          <cell r="H49">
            <v>0</v>
          </cell>
        </row>
        <row r="50">
          <cell r="B50" t="str">
            <v>谭艳</v>
          </cell>
          <cell r="H50">
            <v>0</v>
          </cell>
        </row>
        <row r="51">
          <cell r="B51" t="str">
            <v>李青洋</v>
          </cell>
          <cell r="H51">
            <v>0</v>
          </cell>
        </row>
        <row r="52">
          <cell r="B52" t="str">
            <v>何莉</v>
          </cell>
          <cell r="H52">
            <v>0</v>
          </cell>
        </row>
        <row r="53">
          <cell r="B53" t="str">
            <v>邓娟</v>
          </cell>
          <cell r="H53">
            <v>0</v>
          </cell>
        </row>
        <row r="54">
          <cell r="B54" t="str">
            <v>肖廷忠</v>
          </cell>
          <cell r="H54">
            <v>0</v>
          </cell>
        </row>
        <row r="55">
          <cell r="B55" t="str">
            <v>黄凤</v>
          </cell>
          <cell r="H55">
            <v>0</v>
          </cell>
        </row>
        <row r="56">
          <cell r="B56" t="str">
            <v>曾子乂</v>
          </cell>
          <cell r="H56">
            <v>0</v>
          </cell>
        </row>
        <row r="57">
          <cell r="B57" t="str">
            <v>刘菁妍</v>
          </cell>
          <cell r="H57">
            <v>0</v>
          </cell>
        </row>
        <row r="58">
          <cell r="B58" t="str">
            <v>林琼</v>
          </cell>
          <cell r="H58">
            <v>0</v>
          </cell>
        </row>
        <row r="59">
          <cell r="B59" t="str">
            <v>周小红</v>
          </cell>
          <cell r="H59">
            <v>0</v>
          </cell>
        </row>
        <row r="60">
          <cell r="B60" t="str">
            <v>何婷婷</v>
          </cell>
          <cell r="H60">
            <v>0</v>
          </cell>
        </row>
        <row r="61">
          <cell r="B61" t="str">
            <v>谢槟羽</v>
          </cell>
          <cell r="H61">
            <v>0</v>
          </cell>
        </row>
        <row r="62">
          <cell r="B62" t="str">
            <v>陈凌</v>
          </cell>
          <cell r="H62">
            <v>0</v>
          </cell>
        </row>
        <row r="63">
          <cell r="B63" t="str">
            <v>周德芳</v>
          </cell>
          <cell r="H63">
            <v>0</v>
          </cell>
        </row>
        <row r="64">
          <cell r="B64" t="str">
            <v>杨英</v>
          </cell>
          <cell r="H64">
            <v>0</v>
          </cell>
        </row>
        <row r="65">
          <cell r="B65" t="str">
            <v>唐中华</v>
          </cell>
          <cell r="H65">
            <v>0</v>
          </cell>
        </row>
        <row r="66">
          <cell r="B66" t="str">
            <v>张保珍</v>
          </cell>
          <cell r="H66">
            <v>0</v>
          </cell>
        </row>
        <row r="67">
          <cell r="B67" t="str">
            <v>邓芳</v>
          </cell>
          <cell r="H67">
            <v>0</v>
          </cell>
        </row>
        <row r="68">
          <cell r="B68" t="str">
            <v>马瑞</v>
          </cell>
          <cell r="H68">
            <v>0</v>
          </cell>
        </row>
        <row r="69">
          <cell r="B69" t="str">
            <v>赖跃坤</v>
          </cell>
          <cell r="H69">
            <v>0</v>
          </cell>
        </row>
        <row r="70">
          <cell r="B70" t="str">
            <v>黄鹏</v>
          </cell>
          <cell r="H70">
            <v>0</v>
          </cell>
        </row>
        <row r="71">
          <cell r="B71" t="str">
            <v>花芸芸</v>
          </cell>
          <cell r="H71">
            <v>0</v>
          </cell>
        </row>
        <row r="72">
          <cell r="B72" t="str">
            <v>薛祥建</v>
          </cell>
          <cell r="H72">
            <v>0</v>
          </cell>
        </row>
        <row r="73">
          <cell r="B73" t="str">
            <v>吴嘉敏</v>
          </cell>
          <cell r="H73">
            <v>0</v>
          </cell>
        </row>
        <row r="74">
          <cell r="B74" t="str">
            <v>韩柏成</v>
          </cell>
          <cell r="H74">
            <v>0</v>
          </cell>
        </row>
        <row r="75">
          <cell r="B75" t="str">
            <v>沈燕1</v>
          </cell>
          <cell r="H75">
            <v>0</v>
          </cell>
        </row>
        <row r="76">
          <cell r="B76" t="str">
            <v>蒋利</v>
          </cell>
          <cell r="H76">
            <v>0</v>
          </cell>
        </row>
        <row r="77">
          <cell r="B77" t="str">
            <v>张嘉唯</v>
          </cell>
          <cell r="H77">
            <v>0</v>
          </cell>
        </row>
        <row r="78">
          <cell r="B78" t="str">
            <v>王欢</v>
          </cell>
          <cell r="H78">
            <v>0</v>
          </cell>
        </row>
        <row r="79">
          <cell r="B79" t="str">
            <v>范娜</v>
          </cell>
          <cell r="H79">
            <v>0</v>
          </cell>
        </row>
        <row r="80">
          <cell r="B80" t="str">
            <v>黄思路</v>
          </cell>
          <cell r="H80">
            <v>0</v>
          </cell>
        </row>
        <row r="81">
          <cell r="B81" t="str">
            <v>付国晓</v>
          </cell>
          <cell r="H81">
            <v>0</v>
          </cell>
        </row>
        <row r="82">
          <cell r="B82" t="str">
            <v>王芝婕</v>
          </cell>
          <cell r="H82">
            <v>0</v>
          </cell>
        </row>
        <row r="83">
          <cell r="B83" t="str">
            <v>何玉</v>
          </cell>
          <cell r="H83">
            <v>0</v>
          </cell>
        </row>
        <row r="84">
          <cell r="B84" t="str">
            <v>蓝仁楷</v>
          </cell>
          <cell r="H84">
            <v>0</v>
          </cell>
        </row>
        <row r="85">
          <cell r="B85" t="str">
            <v>刘彦</v>
          </cell>
        </row>
        <row r="86">
          <cell r="B86" t="str">
            <v>李彦林</v>
          </cell>
        </row>
        <row r="87">
          <cell r="B87" t="str">
            <v>白林</v>
          </cell>
        </row>
        <row r="88">
          <cell r="B88" t="str">
            <v>沈燕</v>
          </cell>
        </row>
        <row r="89">
          <cell r="B89" t="str">
            <v>李芳</v>
          </cell>
        </row>
        <row r="90">
          <cell r="B90" t="str">
            <v>唐梁英</v>
          </cell>
        </row>
        <row r="91">
          <cell r="B91" t="str">
            <v>高敏</v>
          </cell>
          <cell r="H91">
            <v>0</v>
          </cell>
        </row>
        <row r="92">
          <cell r="B92" t="str">
            <v>刘晓琴</v>
          </cell>
          <cell r="H92">
            <v>0</v>
          </cell>
        </row>
        <row r="93">
          <cell r="B93" t="str">
            <v>刘玉兰</v>
          </cell>
          <cell r="H93">
            <v>0</v>
          </cell>
        </row>
        <row r="94">
          <cell r="B94" t="str">
            <v>周舟</v>
          </cell>
          <cell r="H94">
            <v>0</v>
          </cell>
        </row>
        <row r="95">
          <cell r="B95" t="str">
            <v>李姣</v>
          </cell>
          <cell r="H95">
            <v>0</v>
          </cell>
        </row>
        <row r="96">
          <cell r="B96" t="str">
            <v>李燕</v>
          </cell>
          <cell r="H96">
            <v>0</v>
          </cell>
        </row>
        <row r="97">
          <cell r="B97" t="str">
            <v>罗良清</v>
          </cell>
          <cell r="H97">
            <v>0</v>
          </cell>
        </row>
        <row r="98">
          <cell r="B98" t="str">
            <v>康忠伦</v>
          </cell>
          <cell r="H98">
            <v>0</v>
          </cell>
        </row>
        <row r="99">
          <cell r="B99" t="str">
            <v>邓戈</v>
          </cell>
          <cell r="H99">
            <v>0</v>
          </cell>
        </row>
        <row r="100">
          <cell r="B100" t="str">
            <v>黄军</v>
          </cell>
          <cell r="H100">
            <v>0</v>
          </cell>
        </row>
        <row r="101">
          <cell r="B101" t="str">
            <v>刘发</v>
          </cell>
          <cell r="H101">
            <v>0</v>
          </cell>
        </row>
        <row r="102">
          <cell r="B102" t="str">
            <v>刘波</v>
          </cell>
          <cell r="H102">
            <v>0</v>
          </cell>
        </row>
        <row r="103">
          <cell r="B103" t="str">
            <v>姚元利</v>
          </cell>
          <cell r="H103">
            <v>0</v>
          </cell>
        </row>
        <row r="104">
          <cell r="B104" t="str">
            <v>王熙鸿</v>
          </cell>
          <cell r="H104">
            <v>0</v>
          </cell>
        </row>
        <row r="105">
          <cell r="B105" t="str">
            <v>王秋望</v>
          </cell>
          <cell r="H105">
            <v>0</v>
          </cell>
        </row>
        <row r="106">
          <cell r="B106" t="str">
            <v>冯超</v>
          </cell>
          <cell r="H106">
            <v>0</v>
          </cell>
        </row>
        <row r="107">
          <cell r="B107" t="str">
            <v>苟松柏</v>
          </cell>
          <cell r="H107">
            <v>0</v>
          </cell>
        </row>
        <row r="108">
          <cell r="B108" t="str">
            <v>刘凤英</v>
          </cell>
          <cell r="H108">
            <v>0</v>
          </cell>
        </row>
        <row r="109">
          <cell r="B109" t="str">
            <v>莫晓何</v>
          </cell>
          <cell r="H109">
            <v>0</v>
          </cell>
        </row>
        <row r="110">
          <cell r="B110" t="str">
            <v>赵强</v>
          </cell>
          <cell r="H110">
            <v>0</v>
          </cell>
        </row>
        <row r="111">
          <cell r="B111" t="str">
            <v>黄婷婷</v>
          </cell>
          <cell r="H111">
            <v>0</v>
          </cell>
        </row>
        <row r="112">
          <cell r="B112" t="str">
            <v>向兰</v>
          </cell>
          <cell r="H112">
            <v>0</v>
          </cell>
        </row>
        <row r="113">
          <cell r="B113" t="str">
            <v>熊俊杰</v>
          </cell>
          <cell r="H113">
            <v>0</v>
          </cell>
        </row>
        <row r="114">
          <cell r="B114" t="str">
            <v>邱明杰</v>
          </cell>
          <cell r="H114">
            <v>0</v>
          </cell>
        </row>
        <row r="115">
          <cell r="B115" t="str">
            <v>陈林</v>
          </cell>
          <cell r="H115">
            <v>0</v>
          </cell>
        </row>
        <row r="116">
          <cell r="B116" t="str">
            <v>施巍</v>
          </cell>
          <cell r="H116">
            <v>0</v>
          </cell>
        </row>
        <row r="117">
          <cell r="B117" t="str">
            <v>陈子逸</v>
          </cell>
          <cell r="H117">
            <v>0</v>
          </cell>
        </row>
        <row r="118">
          <cell r="B118" t="str">
            <v>李春梅</v>
          </cell>
          <cell r="H118">
            <v>0</v>
          </cell>
        </row>
        <row r="119">
          <cell r="B119" t="str">
            <v>魏艳</v>
          </cell>
          <cell r="H119">
            <v>0</v>
          </cell>
        </row>
        <row r="120">
          <cell r="B120" t="str">
            <v>谷雨</v>
          </cell>
          <cell r="H120">
            <v>0</v>
          </cell>
        </row>
        <row r="121">
          <cell r="B121" t="str">
            <v>王艳</v>
          </cell>
          <cell r="H121">
            <v>0</v>
          </cell>
        </row>
        <row r="122">
          <cell r="B122" t="str">
            <v>刘珣</v>
          </cell>
          <cell r="H122">
            <v>0</v>
          </cell>
        </row>
        <row r="123">
          <cell r="B123" t="str">
            <v>王俊茹</v>
          </cell>
          <cell r="H123">
            <v>0</v>
          </cell>
        </row>
        <row r="124">
          <cell r="B124" t="str">
            <v>贾名伟</v>
          </cell>
          <cell r="H124">
            <v>0</v>
          </cell>
        </row>
        <row r="125">
          <cell r="B125" t="str">
            <v>王泽文</v>
          </cell>
          <cell r="H125">
            <v>0</v>
          </cell>
        </row>
        <row r="126">
          <cell r="B126" t="str">
            <v>曾吉斌</v>
          </cell>
          <cell r="H126">
            <v>0</v>
          </cell>
        </row>
        <row r="127">
          <cell r="B127" t="str">
            <v>曹磊</v>
          </cell>
          <cell r="H127">
            <v>0</v>
          </cell>
        </row>
        <row r="128">
          <cell r="B128" t="str">
            <v>谢尧江</v>
          </cell>
          <cell r="H128">
            <v>0</v>
          </cell>
        </row>
        <row r="129">
          <cell r="B129" t="str">
            <v>张敏</v>
          </cell>
          <cell r="H129">
            <v>0</v>
          </cell>
        </row>
        <row r="130">
          <cell r="B130" t="str">
            <v>邱小艳</v>
          </cell>
          <cell r="H130">
            <v>0</v>
          </cell>
        </row>
        <row r="131">
          <cell r="B131" t="str">
            <v>潘倩</v>
          </cell>
          <cell r="H131">
            <v>0</v>
          </cell>
        </row>
        <row r="132">
          <cell r="B132" t="str">
            <v>唐梅</v>
          </cell>
          <cell r="H132">
            <v>0</v>
          </cell>
        </row>
        <row r="133">
          <cell r="B133" t="str">
            <v>邱昭丽</v>
          </cell>
          <cell r="H133">
            <v>0</v>
          </cell>
        </row>
        <row r="134">
          <cell r="B134" t="str">
            <v>陈琳琳</v>
          </cell>
          <cell r="H134">
            <v>0</v>
          </cell>
        </row>
        <row r="135">
          <cell r="B135" t="str">
            <v>黄雪梅</v>
          </cell>
          <cell r="H135">
            <v>0</v>
          </cell>
        </row>
        <row r="136">
          <cell r="B136" t="str">
            <v>李彩琼</v>
          </cell>
          <cell r="H136">
            <v>0</v>
          </cell>
        </row>
        <row r="137">
          <cell r="B137" t="str">
            <v>向阳</v>
          </cell>
          <cell r="H137">
            <v>0</v>
          </cell>
        </row>
        <row r="138">
          <cell r="B138" t="str">
            <v>白影</v>
          </cell>
          <cell r="H138">
            <v>0</v>
          </cell>
        </row>
        <row r="139">
          <cell r="B139" t="str">
            <v>朱开莲</v>
          </cell>
          <cell r="H139">
            <v>0</v>
          </cell>
        </row>
        <row r="140">
          <cell r="B140" t="str">
            <v>陶纯玲</v>
          </cell>
          <cell r="H140">
            <v>0</v>
          </cell>
        </row>
        <row r="141">
          <cell r="B141" t="str">
            <v>陈川蓉</v>
          </cell>
          <cell r="H141">
            <v>0</v>
          </cell>
        </row>
        <row r="142">
          <cell r="B142" t="str">
            <v>舒童强</v>
          </cell>
          <cell r="H142">
            <v>0</v>
          </cell>
        </row>
        <row r="143">
          <cell r="B143" t="str">
            <v>罗义瑕</v>
          </cell>
          <cell r="H143">
            <v>0</v>
          </cell>
        </row>
        <row r="144">
          <cell r="B144" t="str">
            <v>刘强</v>
          </cell>
          <cell r="H144">
            <v>0</v>
          </cell>
        </row>
        <row r="145">
          <cell r="B145" t="str">
            <v>王毅</v>
          </cell>
          <cell r="H145">
            <v>0</v>
          </cell>
        </row>
        <row r="146">
          <cell r="B146" t="str">
            <v>张建</v>
          </cell>
          <cell r="H146">
            <v>0</v>
          </cell>
        </row>
        <row r="147">
          <cell r="B147" t="str">
            <v>贾文哲</v>
          </cell>
          <cell r="H147">
            <v>0</v>
          </cell>
        </row>
        <row r="148">
          <cell r="B148" t="str">
            <v>黄小炼</v>
          </cell>
          <cell r="H148">
            <v>0</v>
          </cell>
        </row>
        <row r="149">
          <cell r="B149" t="str">
            <v>张林</v>
          </cell>
          <cell r="H149">
            <v>0</v>
          </cell>
        </row>
        <row r="150">
          <cell r="B150" t="str">
            <v>阳国华</v>
          </cell>
          <cell r="H150">
            <v>0</v>
          </cell>
        </row>
        <row r="151">
          <cell r="B151" t="str">
            <v>唐玉屏</v>
          </cell>
          <cell r="H151">
            <v>0</v>
          </cell>
        </row>
        <row r="152">
          <cell r="B152" t="str">
            <v>陈昱良</v>
          </cell>
          <cell r="H152">
            <v>0</v>
          </cell>
        </row>
        <row r="153">
          <cell r="B153" t="str">
            <v>段宝安</v>
          </cell>
          <cell r="H153">
            <v>0</v>
          </cell>
        </row>
        <row r="154">
          <cell r="B154" t="str">
            <v>金亮亮</v>
          </cell>
          <cell r="H154">
            <v>0</v>
          </cell>
        </row>
        <row r="155">
          <cell r="B155" t="str">
            <v>曾浩</v>
          </cell>
          <cell r="H155">
            <v>0</v>
          </cell>
        </row>
        <row r="156">
          <cell r="B156" t="str">
            <v>李超</v>
          </cell>
          <cell r="H156">
            <v>0</v>
          </cell>
        </row>
        <row r="157">
          <cell r="B157" t="str">
            <v>辜晓菲</v>
          </cell>
          <cell r="H157">
            <v>0</v>
          </cell>
        </row>
        <row r="158">
          <cell r="B158" t="str">
            <v>李国民</v>
          </cell>
          <cell r="H158">
            <v>0</v>
          </cell>
        </row>
        <row r="159">
          <cell r="B159" t="str">
            <v>应文龙</v>
          </cell>
          <cell r="H159">
            <v>0</v>
          </cell>
        </row>
        <row r="160">
          <cell r="B160" t="str">
            <v>梁宁</v>
          </cell>
          <cell r="H160">
            <v>0</v>
          </cell>
        </row>
        <row r="161">
          <cell r="B161" t="str">
            <v>雷维可</v>
          </cell>
          <cell r="H161">
            <v>0</v>
          </cell>
        </row>
        <row r="162">
          <cell r="B162" t="str">
            <v>陈晓波</v>
          </cell>
          <cell r="H162">
            <v>0</v>
          </cell>
        </row>
        <row r="163">
          <cell r="B163" t="str">
            <v>黄意轩</v>
          </cell>
          <cell r="H163">
            <v>0</v>
          </cell>
        </row>
        <row r="164">
          <cell r="B164" t="str">
            <v>唐芳兰</v>
          </cell>
          <cell r="H164">
            <v>0</v>
          </cell>
        </row>
        <row r="165">
          <cell r="B165" t="str">
            <v>张琴</v>
          </cell>
          <cell r="H165">
            <v>0</v>
          </cell>
        </row>
        <row r="166">
          <cell r="B166" t="str">
            <v>赵水仙</v>
          </cell>
          <cell r="H166">
            <v>0</v>
          </cell>
        </row>
        <row r="167">
          <cell r="B167" t="str">
            <v>罗文琦</v>
          </cell>
          <cell r="H167">
            <v>0</v>
          </cell>
        </row>
        <row r="168">
          <cell r="B168" t="str">
            <v>高梓绮</v>
          </cell>
          <cell r="H168">
            <v>0</v>
          </cell>
        </row>
        <row r="169">
          <cell r="B169" t="str">
            <v>孙茂梅</v>
          </cell>
          <cell r="H169">
            <v>0</v>
          </cell>
        </row>
        <row r="170">
          <cell r="B170" t="e">
            <v>#REF!</v>
          </cell>
          <cell r="H170">
            <v>0</v>
          </cell>
        </row>
        <row r="171">
          <cell r="B171" t="str">
            <v>刘尧梅</v>
          </cell>
          <cell r="H171">
            <v>0</v>
          </cell>
        </row>
        <row r="172">
          <cell r="B172" t="str">
            <v>冯桢</v>
          </cell>
          <cell r="H172">
            <v>0</v>
          </cell>
        </row>
        <row r="173">
          <cell r="B173" t="str">
            <v>颜书琼</v>
          </cell>
          <cell r="H173">
            <v>0</v>
          </cell>
        </row>
        <row r="174">
          <cell r="B174" t="str">
            <v>肖伦容</v>
          </cell>
          <cell r="H174">
            <v>0</v>
          </cell>
        </row>
        <row r="175">
          <cell r="B175" t="str">
            <v>李波</v>
          </cell>
          <cell r="H175">
            <v>0</v>
          </cell>
        </row>
        <row r="176">
          <cell r="B176" t="str">
            <v>李桃</v>
          </cell>
          <cell r="H176">
            <v>0</v>
          </cell>
        </row>
        <row r="177">
          <cell r="B177" t="str">
            <v>宋航</v>
          </cell>
          <cell r="H177">
            <v>0</v>
          </cell>
        </row>
        <row r="178">
          <cell r="B178" t="str">
            <v>伍成勇</v>
          </cell>
          <cell r="H178">
            <v>0</v>
          </cell>
        </row>
        <row r="179">
          <cell r="B179" t="str">
            <v>孙小平</v>
          </cell>
          <cell r="H179">
            <v>0</v>
          </cell>
        </row>
        <row r="180">
          <cell r="B180" t="str">
            <v>成万强</v>
          </cell>
          <cell r="H180">
            <v>0</v>
          </cell>
        </row>
        <row r="181">
          <cell r="B181" t="str">
            <v>贾卫红</v>
          </cell>
          <cell r="H181">
            <v>0</v>
          </cell>
        </row>
        <row r="182">
          <cell r="B182" t="str">
            <v>何毅</v>
          </cell>
        </row>
        <row r="183">
          <cell r="B183" t="str">
            <v>王竹飞</v>
          </cell>
          <cell r="H183">
            <v>0</v>
          </cell>
        </row>
        <row r="184">
          <cell r="B184" t="str">
            <v>周劲松</v>
          </cell>
          <cell r="H184">
            <v>0</v>
          </cell>
        </row>
        <row r="185">
          <cell r="B185" t="str">
            <v>田建勇</v>
          </cell>
          <cell r="H185">
            <v>0</v>
          </cell>
        </row>
        <row r="186">
          <cell r="B186" t="str">
            <v>宋虹冰</v>
          </cell>
          <cell r="H186">
            <v>0</v>
          </cell>
        </row>
        <row r="187">
          <cell r="B187" t="str">
            <v>冉维朗</v>
          </cell>
          <cell r="H187">
            <v>0</v>
          </cell>
        </row>
        <row r="188">
          <cell r="B188" t="str">
            <v>柳超</v>
          </cell>
          <cell r="H188">
            <v>0</v>
          </cell>
        </row>
        <row r="189">
          <cell r="B189" t="str">
            <v>杨洋</v>
          </cell>
          <cell r="H189">
            <v>0</v>
          </cell>
        </row>
        <row r="190">
          <cell r="B190" t="str">
            <v>王华通</v>
          </cell>
          <cell r="H190">
            <v>0</v>
          </cell>
        </row>
        <row r="191">
          <cell r="B191" t="str">
            <v>谢波桃</v>
          </cell>
          <cell r="H191">
            <v>0</v>
          </cell>
        </row>
        <row r="192">
          <cell r="B192" t="str">
            <v>吴德亮</v>
          </cell>
          <cell r="H192">
            <v>0</v>
          </cell>
        </row>
        <row r="193">
          <cell r="B193" t="str">
            <v>蔡青山</v>
          </cell>
          <cell r="H193">
            <v>0</v>
          </cell>
        </row>
        <row r="194">
          <cell r="B194" t="str">
            <v>廖君</v>
          </cell>
          <cell r="H194">
            <v>0</v>
          </cell>
        </row>
        <row r="195">
          <cell r="B195" t="str">
            <v>李欢</v>
          </cell>
          <cell r="H195">
            <v>0</v>
          </cell>
        </row>
        <row r="196">
          <cell r="B196" t="str">
            <v>左三明</v>
          </cell>
          <cell r="H196">
            <v>0</v>
          </cell>
        </row>
        <row r="197">
          <cell r="B197" t="str">
            <v>李建国</v>
          </cell>
          <cell r="H197">
            <v>0</v>
          </cell>
        </row>
        <row r="198">
          <cell r="B198" t="str">
            <v>李伦伟</v>
          </cell>
          <cell r="H198">
            <v>0</v>
          </cell>
        </row>
        <row r="199">
          <cell r="B199" t="str">
            <v>刘新宇</v>
          </cell>
          <cell r="H199">
            <v>0</v>
          </cell>
        </row>
        <row r="200">
          <cell r="B200" t="str">
            <v>章东</v>
          </cell>
          <cell r="H200">
            <v>0</v>
          </cell>
        </row>
        <row r="201">
          <cell r="B201" t="str">
            <v>冯波</v>
          </cell>
          <cell r="H201">
            <v>0</v>
          </cell>
        </row>
        <row r="202">
          <cell r="B202" t="str">
            <v>周俊宏</v>
          </cell>
          <cell r="H202">
            <v>0</v>
          </cell>
        </row>
        <row r="203">
          <cell r="B203" t="str">
            <v>易林江</v>
          </cell>
          <cell r="H203">
            <v>0</v>
          </cell>
        </row>
        <row r="204">
          <cell r="B204" t="str">
            <v>王浩宇</v>
          </cell>
          <cell r="H204">
            <v>0</v>
          </cell>
        </row>
        <row r="205">
          <cell r="B205" t="str">
            <v>罗烽</v>
          </cell>
          <cell r="H205">
            <v>0</v>
          </cell>
        </row>
        <row r="206">
          <cell r="B206" t="str">
            <v>王鹏</v>
          </cell>
          <cell r="H206">
            <v>0</v>
          </cell>
        </row>
        <row r="207">
          <cell r="B207" t="str">
            <v>刘玳琳</v>
          </cell>
          <cell r="H207">
            <v>0</v>
          </cell>
        </row>
        <row r="208">
          <cell r="B208" t="str">
            <v>邓尚明</v>
          </cell>
          <cell r="H208">
            <v>0</v>
          </cell>
        </row>
        <row r="209">
          <cell r="B209" t="str">
            <v>赵廷宇</v>
          </cell>
          <cell r="H209">
            <v>0</v>
          </cell>
        </row>
        <row r="210">
          <cell r="B210" t="str">
            <v>陈晓华</v>
          </cell>
          <cell r="H210">
            <v>0</v>
          </cell>
        </row>
        <row r="211">
          <cell r="B211" t="str">
            <v>王立勃</v>
          </cell>
          <cell r="H211">
            <v>0</v>
          </cell>
        </row>
        <row r="212">
          <cell r="B212" t="str">
            <v>陈志扬</v>
          </cell>
          <cell r="H212">
            <v>0</v>
          </cell>
        </row>
        <row r="213">
          <cell r="B213" t="str">
            <v>刘石磊</v>
          </cell>
          <cell r="H213">
            <v>0</v>
          </cell>
        </row>
        <row r="214">
          <cell r="B214" t="str">
            <v>朱小军</v>
          </cell>
          <cell r="H214">
            <v>0</v>
          </cell>
        </row>
        <row r="215">
          <cell r="B215" t="str">
            <v>王强</v>
          </cell>
          <cell r="H215">
            <v>0</v>
          </cell>
        </row>
        <row r="216">
          <cell r="B216" t="str">
            <v>胡磊</v>
          </cell>
          <cell r="H216">
            <v>0</v>
          </cell>
        </row>
        <row r="217">
          <cell r="B217" t="str">
            <v>王柳毅</v>
          </cell>
          <cell r="H217">
            <v>0</v>
          </cell>
        </row>
        <row r="218">
          <cell r="B218" t="str">
            <v>李璐</v>
          </cell>
          <cell r="H218">
            <v>0</v>
          </cell>
        </row>
        <row r="219">
          <cell r="B219" t="str">
            <v>李双权</v>
          </cell>
          <cell r="H219">
            <v>0</v>
          </cell>
        </row>
        <row r="220">
          <cell r="B220" t="str">
            <v>李垚</v>
          </cell>
          <cell r="H220">
            <v>0</v>
          </cell>
        </row>
        <row r="221">
          <cell r="B221" t="str">
            <v>王成</v>
          </cell>
          <cell r="H221">
            <v>0</v>
          </cell>
        </row>
        <row r="222">
          <cell r="B222" t="str">
            <v>李长春</v>
          </cell>
          <cell r="H222">
            <v>0</v>
          </cell>
        </row>
        <row r="223">
          <cell r="B223" t="str">
            <v>吕自红</v>
          </cell>
          <cell r="H223">
            <v>0</v>
          </cell>
        </row>
        <row r="224">
          <cell r="B224" t="str">
            <v>谭磊</v>
          </cell>
          <cell r="H224">
            <v>0</v>
          </cell>
        </row>
        <row r="225">
          <cell r="B225" t="str">
            <v>赵前波</v>
          </cell>
          <cell r="H225">
            <v>0</v>
          </cell>
        </row>
        <row r="226">
          <cell r="B226" t="str">
            <v>任彬</v>
          </cell>
          <cell r="H226">
            <v>0</v>
          </cell>
        </row>
        <row r="227">
          <cell r="B227" t="str">
            <v>罗洪</v>
          </cell>
          <cell r="H227">
            <v>0</v>
          </cell>
        </row>
        <row r="228">
          <cell r="B228" t="str">
            <v>雷毫</v>
          </cell>
          <cell r="H228">
            <v>0</v>
          </cell>
        </row>
        <row r="229">
          <cell r="B229" t="str">
            <v>冯建勇</v>
          </cell>
          <cell r="H229">
            <v>0</v>
          </cell>
        </row>
        <row r="230">
          <cell r="B230" t="str">
            <v>罗筱凡</v>
          </cell>
          <cell r="H230">
            <v>0</v>
          </cell>
        </row>
        <row r="231">
          <cell r="B231" t="str">
            <v>陈浩</v>
          </cell>
          <cell r="H231">
            <v>0</v>
          </cell>
        </row>
        <row r="232">
          <cell r="B232" t="str">
            <v>刘志洪</v>
          </cell>
          <cell r="H232">
            <v>0</v>
          </cell>
        </row>
        <row r="233">
          <cell r="B233" t="str">
            <v>李佳语</v>
          </cell>
          <cell r="H233">
            <v>0</v>
          </cell>
        </row>
        <row r="234">
          <cell r="B234" t="str">
            <v>鞠双双</v>
          </cell>
          <cell r="H234">
            <v>0</v>
          </cell>
        </row>
        <row r="235">
          <cell r="B235" t="str">
            <v>古镇吉</v>
          </cell>
          <cell r="H235">
            <v>0</v>
          </cell>
        </row>
        <row r="236">
          <cell r="B236" t="str">
            <v>孙俊杰</v>
          </cell>
          <cell r="H236">
            <v>0</v>
          </cell>
        </row>
        <row r="237">
          <cell r="B237" t="str">
            <v>周毅</v>
          </cell>
          <cell r="H237">
            <v>0</v>
          </cell>
        </row>
        <row r="238">
          <cell r="B238" t="str">
            <v>谢婷</v>
          </cell>
          <cell r="H238">
            <v>0</v>
          </cell>
        </row>
        <row r="239">
          <cell r="B239" t="str">
            <v>况婷婷</v>
          </cell>
          <cell r="H239">
            <v>0</v>
          </cell>
        </row>
        <row r="240">
          <cell r="B240" t="str">
            <v>何滔</v>
          </cell>
          <cell r="H240">
            <v>0</v>
          </cell>
        </row>
        <row r="241">
          <cell r="B241" t="str">
            <v>李东梅</v>
          </cell>
          <cell r="H241">
            <v>0</v>
          </cell>
        </row>
        <row r="242">
          <cell r="B242" t="str">
            <v>刘红</v>
          </cell>
          <cell r="H242">
            <v>0</v>
          </cell>
        </row>
        <row r="243">
          <cell r="B243" t="str">
            <v>徐源</v>
          </cell>
          <cell r="H243">
            <v>0</v>
          </cell>
        </row>
        <row r="244">
          <cell r="B244" t="str">
            <v>苟艳</v>
          </cell>
          <cell r="H244">
            <v>0</v>
          </cell>
        </row>
        <row r="245">
          <cell r="B245" t="str">
            <v>孙苗</v>
          </cell>
          <cell r="H245">
            <v>0</v>
          </cell>
        </row>
        <row r="246">
          <cell r="B246" t="str">
            <v>曹锟</v>
          </cell>
          <cell r="H246">
            <v>0</v>
          </cell>
        </row>
        <row r="247">
          <cell r="B247" t="str">
            <v>翁林星</v>
          </cell>
          <cell r="H247">
            <v>0</v>
          </cell>
        </row>
        <row r="248">
          <cell r="B248" t="str">
            <v>姚金东</v>
          </cell>
          <cell r="H248">
            <v>0</v>
          </cell>
        </row>
        <row r="249">
          <cell r="B249" t="str">
            <v>刘辉玺</v>
          </cell>
          <cell r="H249">
            <v>0</v>
          </cell>
        </row>
        <row r="250">
          <cell r="B250" t="str">
            <v>舒麒羽</v>
          </cell>
          <cell r="H250">
            <v>0</v>
          </cell>
        </row>
        <row r="251">
          <cell r="B251" t="str">
            <v>贾兴卜</v>
          </cell>
          <cell r="H251">
            <v>0</v>
          </cell>
        </row>
        <row r="252">
          <cell r="B252" t="str">
            <v>周兴强</v>
          </cell>
          <cell r="H252">
            <v>0</v>
          </cell>
        </row>
        <row r="253">
          <cell r="B253" t="str">
            <v>严云中</v>
          </cell>
          <cell r="H253">
            <v>0</v>
          </cell>
        </row>
        <row r="254">
          <cell r="B254" t="str">
            <v>吴明洋</v>
          </cell>
          <cell r="H254">
            <v>0</v>
          </cell>
        </row>
        <row r="255">
          <cell r="B255" t="str">
            <v>韩爱民</v>
          </cell>
          <cell r="H255">
            <v>0</v>
          </cell>
        </row>
        <row r="256">
          <cell r="B256" t="str">
            <v>蒋湘龙</v>
          </cell>
          <cell r="H256">
            <v>0</v>
          </cell>
        </row>
        <row r="257">
          <cell r="B257" t="str">
            <v>张雨</v>
          </cell>
          <cell r="H257">
            <v>0</v>
          </cell>
        </row>
        <row r="258">
          <cell r="B258" t="str">
            <v>郑晓龙</v>
          </cell>
        </row>
        <row r="259">
          <cell r="B259" t="str">
            <v>刘杨</v>
          </cell>
        </row>
        <row r="260">
          <cell r="B260" t="str">
            <v>陈超</v>
          </cell>
          <cell r="H260">
            <v>0</v>
          </cell>
        </row>
        <row r="261">
          <cell r="B261" t="str">
            <v>陈凤平</v>
          </cell>
          <cell r="H261">
            <v>0</v>
          </cell>
        </row>
        <row r="262">
          <cell r="B262" t="str">
            <v>韩维</v>
          </cell>
          <cell r="H262">
            <v>0</v>
          </cell>
        </row>
        <row r="263">
          <cell r="B263" t="str">
            <v>何辉</v>
          </cell>
          <cell r="H263">
            <v>0</v>
          </cell>
        </row>
        <row r="264">
          <cell r="B264" t="str">
            <v>杨定安</v>
          </cell>
          <cell r="H264">
            <v>0</v>
          </cell>
        </row>
        <row r="265">
          <cell r="B265" t="str">
            <v>余才万</v>
          </cell>
          <cell r="H265">
            <v>0</v>
          </cell>
        </row>
        <row r="266">
          <cell r="B266" t="str">
            <v>孙杰</v>
          </cell>
          <cell r="H266">
            <v>0</v>
          </cell>
        </row>
        <row r="267">
          <cell r="B267" t="str">
            <v>王茂林</v>
          </cell>
          <cell r="H267">
            <v>0</v>
          </cell>
        </row>
        <row r="268">
          <cell r="B268" t="str">
            <v>黎明朗</v>
          </cell>
          <cell r="H268">
            <v>0</v>
          </cell>
        </row>
        <row r="269">
          <cell r="B269" t="str">
            <v>牟春柳</v>
          </cell>
          <cell r="H269">
            <v>0</v>
          </cell>
        </row>
        <row r="270">
          <cell r="B270" t="str">
            <v>钟家林</v>
          </cell>
          <cell r="H270">
            <v>0</v>
          </cell>
        </row>
        <row r="271">
          <cell r="B271" t="str">
            <v>任和奎</v>
          </cell>
          <cell r="H271">
            <v>0</v>
          </cell>
        </row>
        <row r="272">
          <cell r="B272" t="str">
            <v>刘娅</v>
          </cell>
        </row>
        <row r="273">
          <cell r="B273" t="str">
            <v>兰代全</v>
          </cell>
        </row>
        <row r="274">
          <cell r="B274" t="str">
            <v>陈莉</v>
          </cell>
        </row>
        <row r="275">
          <cell r="B275" t="str">
            <v>孙伟</v>
          </cell>
        </row>
        <row r="276">
          <cell r="B276" t="str">
            <v>程羊</v>
          </cell>
        </row>
        <row r="277">
          <cell r="B277" t="str">
            <v>常涛</v>
          </cell>
        </row>
        <row r="278">
          <cell r="B278" t="str">
            <v>王海</v>
          </cell>
        </row>
        <row r="279">
          <cell r="B279" t="str">
            <v>袁萍</v>
          </cell>
        </row>
        <row r="280">
          <cell r="B280" t="str">
            <v>吴思超</v>
          </cell>
        </row>
        <row r="281">
          <cell r="B281" t="str">
            <v>叶荣鹏</v>
          </cell>
        </row>
        <row r="282">
          <cell r="B282" t="str">
            <v>马勇</v>
          </cell>
        </row>
        <row r="283">
          <cell r="B283" t="str">
            <v>高东琴</v>
          </cell>
        </row>
        <row r="284">
          <cell r="B284" t="str">
            <v>王巧巧</v>
          </cell>
        </row>
        <row r="285">
          <cell r="B285" t="str">
            <v>朱剑波</v>
          </cell>
        </row>
        <row r="286">
          <cell r="B286" t="str">
            <v>李良英</v>
          </cell>
        </row>
        <row r="287">
          <cell r="B287" t="str">
            <v>唐鹏</v>
          </cell>
        </row>
        <row r="288">
          <cell r="B288" t="str">
            <v>赵思梵</v>
          </cell>
        </row>
        <row r="289">
          <cell r="B289" t="str">
            <v>陈勇建</v>
          </cell>
        </row>
        <row r="290">
          <cell r="B290" t="str">
            <v>宁袁</v>
          </cell>
        </row>
        <row r="291">
          <cell r="B291" t="str">
            <v>杨婷</v>
          </cell>
        </row>
        <row r="292">
          <cell r="B292" t="str">
            <v>钟涛</v>
          </cell>
        </row>
        <row r="293">
          <cell r="B293" t="str">
            <v>毛婷婷</v>
          </cell>
        </row>
        <row r="294">
          <cell r="B294" t="str">
            <v>吴小琴</v>
          </cell>
        </row>
        <row r="295">
          <cell r="B295" t="str">
            <v>张坤</v>
          </cell>
        </row>
        <row r="296">
          <cell r="B296" t="str">
            <v>丁小玲</v>
          </cell>
        </row>
        <row r="297">
          <cell r="B297" t="str">
            <v>刘华</v>
          </cell>
        </row>
        <row r="298">
          <cell r="B298" t="str">
            <v>蒋云</v>
          </cell>
        </row>
        <row r="299">
          <cell r="H299">
            <v>0</v>
          </cell>
        </row>
      </sheetData>
      <sheetData sheetId="20">
        <row r="2">
          <cell r="C2" t="str">
            <v>姓名</v>
          </cell>
          <cell r="G2" t="str">
            <v>补贴金额
（元）</v>
          </cell>
        </row>
        <row r="4">
          <cell r="C4" t="str">
            <v>冉维朗</v>
          </cell>
          <cell r="G4">
            <v>40</v>
          </cell>
        </row>
        <row r="5">
          <cell r="C5" t="str">
            <v>柳超</v>
          </cell>
          <cell r="G5">
            <v>40</v>
          </cell>
        </row>
        <row r="6">
          <cell r="C6" t="str">
            <v>杨洋</v>
          </cell>
          <cell r="G6">
            <v>30</v>
          </cell>
        </row>
        <row r="7">
          <cell r="C7" t="str">
            <v>王华通</v>
          </cell>
          <cell r="G7">
            <v>30</v>
          </cell>
        </row>
        <row r="8">
          <cell r="C8" t="str">
            <v>谢波桃</v>
          </cell>
          <cell r="G8">
            <v>40</v>
          </cell>
        </row>
        <row r="9">
          <cell r="C9" t="str">
            <v>吴德亮</v>
          </cell>
          <cell r="G9">
            <v>50</v>
          </cell>
        </row>
        <row r="10">
          <cell r="C10" t="str">
            <v>蔡青山</v>
          </cell>
          <cell r="G10">
            <v>20</v>
          </cell>
        </row>
        <row r="11">
          <cell r="C11" t="str">
            <v>廖君</v>
          </cell>
          <cell r="G11">
            <v>40</v>
          </cell>
        </row>
        <row r="12">
          <cell r="C12" t="str">
            <v>李欢</v>
          </cell>
          <cell r="G12">
            <v>50</v>
          </cell>
        </row>
        <row r="13">
          <cell r="C13" t="str">
            <v>罗烽</v>
          </cell>
          <cell r="G13">
            <v>20</v>
          </cell>
        </row>
        <row r="14">
          <cell r="C14" t="str">
            <v>左三明</v>
          </cell>
          <cell r="G14">
            <v>20</v>
          </cell>
        </row>
        <row r="15">
          <cell r="C15" t="str">
            <v>李伦伟</v>
          </cell>
          <cell r="G15">
            <v>10</v>
          </cell>
        </row>
        <row r="16">
          <cell r="C16" t="str">
            <v>刘新宇</v>
          </cell>
          <cell r="G16">
            <v>10</v>
          </cell>
        </row>
        <row r="17">
          <cell r="C17" t="str">
            <v>章东</v>
          </cell>
          <cell r="G17">
            <v>20</v>
          </cell>
        </row>
        <row r="18">
          <cell r="C18" t="str">
            <v>冯波</v>
          </cell>
          <cell r="G18">
            <v>20</v>
          </cell>
        </row>
        <row r="19">
          <cell r="C19" t="str">
            <v>李建国</v>
          </cell>
          <cell r="G19">
            <v>20</v>
          </cell>
        </row>
        <row r="20">
          <cell r="C20" t="str">
            <v>周俊宏</v>
          </cell>
          <cell r="G20">
            <v>10</v>
          </cell>
        </row>
        <row r="21">
          <cell r="C21" t="str">
            <v>易林江</v>
          </cell>
          <cell r="G21">
            <v>20</v>
          </cell>
        </row>
        <row r="22">
          <cell r="C22" t="str">
            <v>王浩宇</v>
          </cell>
          <cell r="G22">
            <v>20</v>
          </cell>
        </row>
        <row r="23">
          <cell r="C23" t="str">
            <v>王鹏</v>
          </cell>
          <cell r="G23">
            <v>50</v>
          </cell>
        </row>
        <row r="24">
          <cell r="C24" t="str">
            <v>邓尚民</v>
          </cell>
          <cell r="G24">
            <v>40</v>
          </cell>
        </row>
        <row r="25">
          <cell r="C25" t="str">
            <v>刘玳琳</v>
          </cell>
          <cell r="G25">
            <v>50</v>
          </cell>
        </row>
        <row r="26">
          <cell r="C26" t="str">
            <v>赵廷宇</v>
          </cell>
          <cell r="G26">
            <v>40</v>
          </cell>
        </row>
        <row r="27">
          <cell r="C27" t="str">
            <v>陈晓华</v>
          </cell>
          <cell r="G27">
            <v>80</v>
          </cell>
        </row>
        <row r="28">
          <cell r="C28" t="str">
            <v>王立勃</v>
          </cell>
          <cell r="G28">
            <v>70</v>
          </cell>
        </row>
        <row r="29">
          <cell r="C29" t="str">
            <v>陈志扬</v>
          </cell>
          <cell r="G29">
            <v>70</v>
          </cell>
        </row>
        <row r="30">
          <cell r="C30" t="str">
            <v>刘石磊</v>
          </cell>
          <cell r="G30">
            <v>90</v>
          </cell>
        </row>
        <row r="31">
          <cell r="C31" t="str">
            <v>朱小军</v>
          </cell>
          <cell r="G31">
            <v>70</v>
          </cell>
        </row>
        <row r="32">
          <cell r="C32" t="str">
            <v>王强</v>
          </cell>
          <cell r="G32">
            <v>90</v>
          </cell>
        </row>
        <row r="33">
          <cell r="C33" t="str">
            <v>胡磊</v>
          </cell>
          <cell r="G33">
            <v>80</v>
          </cell>
        </row>
        <row r="34">
          <cell r="C34" t="str">
            <v>王柳毅</v>
          </cell>
          <cell r="G34">
            <v>80</v>
          </cell>
        </row>
        <row r="35">
          <cell r="C35" t="str">
            <v>李双权</v>
          </cell>
          <cell r="G35">
            <v>70</v>
          </cell>
        </row>
        <row r="36">
          <cell r="C36" t="str">
            <v>李璐</v>
          </cell>
          <cell r="G36">
            <v>80</v>
          </cell>
        </row>
        <row r="37">
          <cell r="C37" t="str">
            <v>李垚</v>
          </cell>
          <cell r="G37">
            <v>90</v>
          </cell>
        </row>
        <row r="38">
          <cell r="C38" t="str">
            <v>王成</v>
          </cell>
          <cell r="G38">
            <v>70</v>
          </cell>
        </row>
        <row r="39">
          <cell r="C39" t="str">
            <v>冯建勇</v>
          </cell>
          <cell r="G39">
            <v>70</v>
          </cell>
        </row>
        <row r="40">
          <cell r="C40" t="str">
            <v>李长春</v>
          </cell>
          <cell r="G40">
            <v>70</v>
          </cell>
        </row>
        <row r="41">
          <cell r="C41" t="str">
            <v>吕自红</v>
          </cell>
          <cell r="G41">
            <v>70</v>
          </cell>
        </row>
        <row r="42">
          <cell r="C42" t="str">
            <v>谭磊</v>
          </cell>
          <cell r="G42">
            <v>70</v>
          </cell>
        </row>
        <row r="43">
          <cell r="C43" t="str">
            <v>赵前波</v>
          </cell>
          <cell r="G43">
            <v>60</v>
          </cell>
        </row>
        <row r="44">
          <cell r="C44" t="str">
            <v>任彬</v>
          </cell>
          <cell r="G44">
            <v>70</v>
          </cell>
        </row>
        <row r="45">
          <cell r="C45" t="str">
            <v>雷毫</v>
          </cell>
          <cell r="G45">
            <v>70</v>
          </cell>
        </row>
        <row r="46">
          <cell r="C46" t="str">
            <v>罗洪</v>
          </cell>
          <cell r="G46">
            <v>50</v>
          </cell>
        </row>
        <row r="48">
          <cell r="G48">
            <v>2160</v>
          </cell>
        </row>
        <row r="49">
          <cell r="C49" t="str">
            <v>白影</v>
          </cell>
          <cell r="G49">
            <v>0</v>
          </cell>
        </row>
        <row r="50">
          <cell r="C50" t="str">
            <v>朱开莲</v>
          </cell>
          <cell r="G50">
            <v>0</v>
          </cell>
        </row>
        <row r="51">
          <cell r="C51" t="str">
            <v>曹青</v>
          </cell>
          <cell r="G51">
            <v>0</v>
          </cell>
        </row>
        <row r="52">
          <cell r="C52" t="str">
            <v>谢尧江</v>
          </cell>
          <cell r="G52">
            <v>0</v>
          </cell>
        </row>
        <row r="53">
          <cell r="C53" t="str">
            <v>贾文哲</v>
          </cell>
          <cell r="G53">
            <v>32</v>
          </cell>
        </row>
        <row r="54">
          <cell r="C54" t="str">
            <v>唐玉屏</v>
          </cell>
          <cell r="G54">
            <v>0</v>
          </cell>
        </row>
        <row r="55">
          <cell r="C55" t="str">
            <v>李超</v>
          </cell>
          <cell r="G55">
            <v>0</v>
          </cell>
        </row>
        <row r="56">
          <cell r="C56" t="str">
            <v>阳国华</v>
          </cell>
          <cell r="G56">
            <v>0</v>
          </cell>
        </row>
        <row r="57">
          <cell r="C57" t="str">
            <v>姚金东</v>
          </cell>
          <cell r="G57">
            <v>0</v>
          </cell>
        </row>
        <row r="58">
          <cell r="C58" t="str">
            <v>黄小炼</v>
          </cell>
          <cell r="G58">
            <v>32</v>
          </cell>
        </row>
        <row r="59">
          <cell r="C59" t="str">
            <v>张建</v>
          </cell>
          <cell r="G59">
            <v>32</v>
          </cell>
        </row>
        <row r="60">
          <cell r="C60" t="str">
            <v>陈昱良</v>
          </cell>
          <cell r="G60">
            <v>0</v>
          </cell>
        </row>
        <row r="61">
          <cell r="C61" t="str">
            <v>舒童强</v>
          </cell>
          <cell r="G61">
            <v>32</v>
          </cell>
        </row>
        <row r="62">
          <cell r="C62" t="str">
            <v>刘强</v>
          </cell>
          <cell r="G62">
            <v>32</v>
          </cell>
        </row>
        <row r="63">
          <cell r="C63" t="str">
            <v>罗义瑕</v>
          </cell>
          <cell r="G63">
            <v>32</v>
          </cell>
        </row>
        <row r="64">
          <cell r="C64" t="str">
            <v>王毅</v>
          </cell>
          <cell r="G64">
            <v>24</v>
          </cell>
        </row>
        <row r="65">
          <cell r="C65" t="str">
            <v>张林</v>
          </cell>
          <cell r="G65">
            <v>32</v>
          </cell>
        </row>
        <row r="66">
          <cell r="G66">
            <v>248</v>
          </cell>
        </row>
        <row r="67">
          <cell r="C67" t="str">
            <v>陈浩</v>
          </cell>
          <cell r="G67">
            <v>0</v>
          </cell>
        </row>
        <row r="68">
          <cell r="C68" t="str">
            <v>孙俊杰</v>
          </cell>
          <cell r="G68">
            <v>0</v>
          </cell>
        </row>
        <row r="69">
          <cell r="C69" t="str">
            <v>古镇吉</v>
          </cell>
          <cell r="G69">
            <v>0</v>
          </cell>
        </row>
        <row r="70">
          <cell r="C70" t="str">
            <v>何杰</v>
          </cell>
          <cell r="G70">
            <v>0</v>
          </cell>
        </row>
        <row r="71">
          <cell r="C71" t="str">
            <v>何滔</v>
          </cell>
          <cell r="G71">
            <v>0</v>
          </cell>
        </row>
        <row r="72">
          <cell r="C72" t="str">
            <v>邓智超</v>
          </cell>
          <cell r="G72">
            <v>0</v>
          </cell>
        </row>
        <row r="73">
          <cell r="C73" t="str">
            <v>辜晓菲</v>
          </cell>
          <cell r="G73">
            <v>0</v>
          </cell>
        </row>
        <row r="74">
          <cell r="C74" t="str">
            <v>严云中</v>
          </cell>
          <cell r="G74">
            <v>40</v>
          </cell>
        </row>
        <row r="75">
          <cell r="C75" t="str">
            <v>张雨</v>
          </cell>
          <cell r="G75">
            <v>90</v>
          </cell>
        </row>
        <row r="76">
          <cell r="C76" t="str">
            <v>蒋湘龙</v>
          </cell>
          <cell r="G76">
            <v>30</v>
          </cell>
        </row>
        <row r="77">
          <cell r="C77" t="str">
            <v>韩爱民</v>
          </cell>
          <cell r="G77">
            <v>30</v>
          </cell>
        </row>
        <row r="78">
          <cell r="C78" t="str">
            <v>郑晓龙</v>
          </cell>
          <cell r="G78">
            <v>60</v>
          </cell>
        </row>
        <row r="79">
          <cell r="C79" t="str">
            <v>刘杨</v>
          </cell>
          <cell r="G79">
            <v>100</v>
          </cell>
        </row>
        <row r="80">
          <cell r="C80" t="str">
            <v>吴明洋</v>
          </cell>
          <cell r="G80">
            <v>30</v>
          </cell>
        </row>
        <row r="81">
          <cell r="C81" t="str">
            <v>陈超</v>
          </cell>
          <cell r="G81">
            <v>0</v>
          </cell>
        </row>
        <row r="82">
          <cell r="C82" t="str">
            <v>陈凤平</v>
          </cell>
          <cell r="G82">
            <v>0</v>
          </cell>
        </row>
        <row r="83">
          <cell r="C83" t="str">
            <v>梁永强</v>
          </cell>
          <cell r="G83">
            <v>0</v>
          </cell>
        </row>
        <row r="84">
          <cell r="C84" t="str">
            <v>何辉</v>
          </cell>
          <cell r="G84">
            <v>0</v>
          </cell>
        </row>
        <row r="85">
          <cell r="C85" t="str">
            <v>杨定安</v>
          </cell>
          <cell r="G85">
            <v>0</v>
          </cell>
        </row>
        <row r="86">
          <cell r="G86">
            <v>380</v>
          </cell>
        </row>
      </sheetData>
      <sheetData sheetId="21"/>
      <sheetData sheetId="22"/>
      <sheetData sheetId="23"/>
      <sheetData sheetId="24"/>
      <sheetData sheetId="25">
        <row r="2">
          <cell r="B2" t="str">
            <v>部门</v>
          </cell>
          <cell r="M2" t="str">
            <v>合计金额</v>
          </cell>
        </row>
        <row r="3">
          <cell r="B3" t="str">
            <v>颜书琼</v>
          </cell>
          <cell r="M3">
            <v>0</v>
          </cell>
        </row>
        <row r="4">
          <cell r="B4" t="str">
            <v>肖伦容</v>
          </cell>
          <cell r="M4">
            <v>0</v>
          </cell>
        </row>
        <row r="5">
          <cell r="B5" t="str">
            <v>李波</v>
          </cell>
          <cell r="M5">
            <v>0</v>
          </cell>
        </row>
        <row r="6">
          <cell r="B6" t="str">
            <v>李桃</v>
          </cell>
          <cell r="M6">
            <v>0</v>
          </cell>
        </row>
        <row r="7">
          <cell r="B7" t="str">
            <v>宋航</v>
          </cell>
          <cell r="M7">
            <v>0</v>
          </cell>
        </row>
        <row r="8">
          <cell r="B8" t="str">
            <v>伍成勇</v>
          </cell>
          <cell r="M8">
            <v>0</v>
          </cell>
        </row>
        <row r="9">
          <cell r="B9" t="e">
            <v>#REF!</v>
          </cell>
          <cell r="M9">
            <v>0</v>
          </cell>
        </row>
        <row r="10">
          <cell r="B10" t="str">
            <v>何毅</v>
          </cell>
          <cell r="M10">
            <v>0</v>
          </cell>
        </row>
        <row r="11">
          <cell r="B11" t="str">
            <v>王竹飞</v>
          </cell>
          <cell r="M11">
            <v>0</v>
          </cell>
        </row>
        <row r="12">
          <cell r="B12" t="str">
            <v>周劲松</v>
          </cell>
          <cell r="M12">
            <v>0</v>
          </cell>
        </row>
        <row r="13">
          <cell r="B13" t="str">
            <v>田建勇</v>
          </cell>
          <cell r="M13">
            <v>0</v>
          </cell>
        </row>
        <row r="14">
          <cell r="B14" t="str">
            <v>宋虹冰</v>
          </cell>
          <cell r="M14">
            <v>0</v>
          </cell>
        </row>
        <row r="15">
          <cell r="B15" t="str">
            <v>冉维朗</v>
          </cell>
          <cell r="M15">
            <v>0</v>
          </cell>
        </row>
        <row r="16">
          <cell r="B16" t="str">
            <v>柳超</v>
          </cell>
          <cell r="M16">
            <v>0</v>
          </cell>
        </row>
        <row r="17">
          <cell r="B17" t="str">
            <v>杨洋</v>
          </cell>
          <cell r="M17">
            <v>0</v>
          </cell>
        </row>
        <row r="18">
          <cell r="B18" t="str">
            <v>王华通</v>
          </cell>
          <cell r="M18">
            <v>0</v>
          </cell>
        </row>
        <row r="19">
          <cell r="B19" t="str">
            <v>谢波桃</v>
          </cell>
          <cell r="M19">
            <v>0</v>
          </cell>
        </row>
        <row r="20">
          <cell r="B20" t="str">
            <v>吴德亮</v>
          </cell>
          <cell r="M20">
            <v>0</v>
          </cell>
        </row>
        <row r="21">
          <cell r="B21" t="str">
            <v>蔡青山</v>
          </cell>
          <cell r="M21">
            <v>0</v>
          </cell>
        </row>
        <row r="22">
          <cell r="B22" t="str">
            <v>廖君</v>
          </cell>
          <cell r="M22">
            <v>0</v>
          </cell>
        </row>
        <row r="23">
          <cell r="B23" t="e">
            <v>#REF!</v>
          </cell>
          <cell r="M23">
            <v>0</v>
          </cell>
        </row>
        <row r="24">
          <cell r="B24" t="str">
            <v>王浩宇</v>
          </cell>
          <cell r="M24">
            <v>0</v>
          </cell>
        </row>
        <row r="25">
          <cell r="B25" t="e">
            <v>#REF!</v>
          </cell>
          <cell r="M25">
            <v>0</v>
          </cell>
        </row>
        <row r="26">
          <cell r="B26" t="str">
            <v>李欢</v>
          </cell>
          <cell r="M26">
            <v>0</v>
          </cell>
        </row>
        <row r="27">
          <cell r="B27" t="e">
            <v>#REF!</v>
          </cell>
          <cell r="M27">
            <v>0</v>
          </cell>
        </row>
        <row r="28">
          <cell r="B28" t="e">
            <v>#REF!</v>
          </cell>
          <cell r="M28">
            <v>0</v>
          </cell>
        </row>
        <row r="29">
          <cell r="B29" t="e">
            <v>#REF!</v>
          </cell>
          <cell r="M29">
            <v>0</v>
          </cell>
        </row>
        <row r="30">
          <cell r="B30" t="e">
            <v>#REF!</v>
          </cell>
          <cell r="M30">
            <v>0</v>
          </cell>
        </row>
        <row r="31">
          <cell r="B31" t="str">
            <v>左三明</v>
          </cell>
          <cell r="M31">
            <v>0</v>
          </cell>
        </row>
        <row r="32">
          <cell r="B32" t="e">
            <v>#REF!</v>
          </cell>
          <cell r="M32">
            <v>0</v>
          </cell>
        </row>
        <row r="33">
          <cell r="B33" t="e">
            <v>#REF!</v>
          </cell>
          <cell r="M33">
            <v>0</v>
          </cell>
        </row>
        <row r="34">
          <cell r="B34" t="str">
            <v>周俊宏</v>
          </cell>
          <cell r="M34">
            <v>0</v>
          </cell>
        </row>
        <row r="35">
          <cell r="B35" t="e">
            <v>#REF!</v>
          </cell>
          <cell r="M35">
            <v>0</v>
          </cell>
        </row>
        <row r="36">
          <cell r="B36" t="str">
            <v>王鹏</v>
          </cell>
          <cell r="M36">
            <v>0</v>
          </cell>
        </row>
        <row r="37">
          <cell r="B37" t="e">
            <v>#REF!</v>
          </cell>
          <cell r="M37">
            <v>0</v>
          </cell>
        </row>
        <row r="38">
          <cell r="B38" t="e">
            <v>#REF!</v>
          </cell>
          <cell r="M38">
            <v>0</v>
          </cell>
        </row>
        <row r="39">
          <cell r="B39" t="str">
            <v>邓尚明</v>
          </cell>
          <cell r="M39">
            <v>0</v>
          </cell>
        </row>
        <row r="40">
          <cell r="B40" t="str">
            <v>刘玳琳</v>
          </cell>
          <cell r="M40">
            <v>0</v>
          </cell>
        </row>
        <row r="41">
          <cell r="B41" t="e">
            <v>#REF!</v>
          </cell>
          <cell r="M41">
            <v>0</v>
          </cell>
        </row>
        <row r="42">
          <cell r="B42" t="str">
            <v>陈晓华</v>
          </cell>
          <cell r="M42">
            <v>0</v>
          </cell>
        </row>
        <row r="43">
          <cell r="B43" t="str">
            <v>王立勃</v>
          </cell>
          <cell r="M43">
            <v>0</v>
          </cell>
        </row>
        <row r="44">
          <cell r="B44" t="str">
            <v>陈志扬</v>
          </cell>
          <cell r="M44">
            <v>0</v>
          </cell>
        </row>
        <row r="45">
          <cell r="B45" t="str">
            <v>刘石磊</v>
          </cell>
          <cell r="M45">
            <v>0</v>
          </cell>
        </row>
        <row r="46">
          <cell r="B46" t="str">
            <v>朱小军</v>
          </cell>
          <cell r="M46">
            <v>0</v>
          </cell>
        </row>
        <row r="47">
          <cell r="B47" t="str">
            <v>王强</v>
          </cell>
          <cell r="M47">
            <v>0</v>
          </cell>
        </row>
        <row r="48">
          <cell r="B48" t="str">
            <v>胡磊</v>
          </cell>
          <cell r="M48">
            <v>0</v>
          </cell>
        </row>
        <row r="49">
          <cell r="B49" t="str">
            <v>王柳毅</v>
          </cell>
          <cell r="M49">
            <v>0</v>
          </cell>
        </row>
        <row r="50">
          <cell r="B50" t="str">
            <v>李璐</v>
          </cell>
          <cell r="M50">
            <v>0</v>
          </cell>
        </row>
        <row r="51">
          <cell r="B51" t="str">
            <v>李双权</v>
          </cell>
          <cell r="M51">
            <v>0</v>
          </cell>
        </row>
        <row r="52">
          <cell r="B52" t="str">
            <v>王成</v>
          </cell>
          <cell r="M52">
            <v>0</v>
          </cell>
        </row>
        <row r="53">
          <cell r="B53" t="str">
            <v>李长春</v>
          </cell>
          <cell r="M53">
            <v>0</v>
          </cell>
        </row>
        <row r="54">
          <cell r="B54" t="str">
            <v>吕自红</v>
          </cell>
          <cell r="M54">
            <v>0</v>
          </cell>
        </row>
        <row r="55">
          <cell r="B55" t="str">
            <v>谭磊</v>
          </cell>
          <cell r="M55">
            <v>0</v>
          </cell>
        </row>
        <row r="56">
          <cell r="B56" t="str">
            <v>赵前波</v>
          </cell>
          <cell r="M56">
            <v>0</v>
          </cell>
        </row>
        <row r="57">
          <cell r="B57" t="str">
            <v>任彬</v>
          </cell>
          <cell r="M57">
            <v>0</v>
          </cell>
        </row>
        <row r="58">
          <cell r="B58" t="str">
            <v>罗洪</v>
          </cell>
          <cell r="M58">
            <v>0</v>
          </cell>
        </row>
        <row r="59">
          <cell r="B59" t="e">
            <v>#REF!</v>
          </cell>
          <cell r="M59">
            <v>0</v>
          </cell>
        </row>
        <row r="60">
          <cell r="B60" t="str">
            <v>雷毫</v>
          </cell>
          <cell r="M60">
            <v>0</v>
          </cell>
        </row>
        <row r="61">
          <cell r="B61" t="str">
            <v>邱小林</v>
          </cell>
          <cell r="M61">
            <v>0</v>
          </cell>
        </row>
        <row r="62">
          <cell r="B62" t="str">
            <v>陈浩</v>
          </cell>
          <cell r="M62">
            <v>0</v>
          </cell>
        </row>
        <row r="63">
          <cell r="B63" t="str">
            <v>刘志洪</v>
          </cell>
          <cell r="M63">
            <v>0</v>
          </cell>
        </row>
        <row r="64">
          <cell r="B64" t="str">
            <v>孙俊杰</v>
          </cell>
          <cell r="M64">
            <v>0</v>
          </cell>
        </row>
        <row r="65">
          <cell r="B65" t="str">
            <v>周毅</v>
          </cell>
          <cell r="M65">
            <v>0</v>
          </cell>
        </row>
        <row r="66">
          <cell r="B66" t="str">
            <v>严云中</v>
          </cell>
          <cell r="M66">
            <v>0</v>
          </cell>
        </row>
        <row r="67">
          <cell r="B67" t="str">
            <v>张雨</v>
          </cell>
          <cell r="M67">
            <v>0</v>
          </cell>
        </row>
        <row r="68">
          <cell r="B68" t="e">
            <v>#REF!</v>
          </cell>
          <cell r="M68">
            <v>0</v>
          </cell>
        </row>
        <row r="69">
          <cell r="B69" t="e">
            <v>#REF!</v>
          </cell>
          <cell r="M69">
            <v>0</v>
          </cell>
        </row>
        <row r="70">
          <cell r="B70" t="str">
            <v>韩爱民</v>
          </cell>
          <cell r="M70">
            <v>0</v>
          </cell>
        </row>
        <row r="71">
          <cell r="B71" t="str">
            <v>蒋湘龙</v>
          </cell>
          <cell r="M71">
            <v>0</v>
          </cell>
        </row>
        <row r="72">
          <cell r="B72" t="e">
            <v>#REF!</v>
          </cell>
          <cell r="M72">
            <v>0</v>
          </cell>
        </row>
        <row r="73">
          <cell r="B73" t="str">
            <v>陈超</v>
          </cell>
          <cell r="M73">
            <v>0</v>
          </cell>
        </row>
        <row r="74">
          <cell r="B74" t="str">
            <v>陈凤平</v>
          </cell>
          <cell r="M74">
            <v>0</v>
          </cell>
        </row>
        <row r="75">
          <cell r="B75" t="str">
            <v>韩维</v>
          </cell>
          <cell r="M75">
            <v>0</v>
          </cell>
        </row>
        <row r="76">
          <cell r="B76" t="str">
            <v>何辉</v>
          </cell>
          <cell r="M76">
            <v>0</v>
          </cell>
        </row>
        <row r="77">
          <cell r="B77" t="str">
            <v>杨定安</v>
          </cell>
          <cell r="M77">
            <v>0</v>
          </cell>
        </row>
        <row r="78">
          <cell r="M78">
            <v>0</v>
          </cell>
        </row>
      </sheetData>
      <sheetData sheetId="26">
        <row r="2">
          <cell r="B2" t="str">
            <v>姓名</v>
          </cell>
          <cell r="G2" t="str">
            <v>员工承担金额</v>
          </cell>
        </row>
        <row r="3">
          <cell r="B3" t="str">
            <v>刘伟生</v>
          </cell>
          <cell r="G3">
            <v>59</v>
          </cell>
        </row>
        <row r="4">
          <cell r="B4" t="str">
            <v>代蓓</v>
          </cell>
          <cell r="G4">
            <v>59</v>
          </cell>
        </row>
        <row r="5">
          <cell r="B5" t="str">
            <v>齐坤忠</v>
          </cell>
          <cell r="G5">
            <v>59</v>
          </cell>
        </row>
        <row r="6">
          <cell r="B6" t="str">
            <v>汤小明</v>
          </cell>
          <cell r="G6">
            <v>59</v>
          </cell>
        </row>
        <row r="7">
          <cell r="B7" t="str">
            <v>张静</v>
          </cell>
        </row>
        <row r="8">
          <cell r="B8" t="str">
            <v>陈军</v>
          </cell>
        </row>
        <row r="9">
          <cell r="B9" t="str">
            <v>唐玲</v>
          </cell>
          <cell r="G9">
            <v>59</v>
          </cell>
        </row>
        <row r="10">
          <cell r="B10" t="str">
            <v>冯岚</v>
          </cell>
          <cell r="G10">
            <v>59</v>
          </cell>
        </row>
        <row r="11">
          <cell r="B11" t="str">
            <v>陈俊霖</v>
          </cell>
          <cell r="G11">
            <v>59</v>
          </cell>
        </row>
        <row r="12">
          <cell r="B12" t="str">
            <v>顾雪梅</v>
          </cell>
          <cell r="G12">
            <v>59</v>
          </cell>
        </row>
        <row r="13">
          <cell r="B13" t="str">
            <v>丁红</v>
          </cell>
          <cell r="G13">
            <v>59</v>
          </cell>
        </row>
        <row r="14">
          <cell r="B14" t="str">
            <v>罗涵</v>
          </cell>
          <cell r="G14">
            <v>59</v>
          </cell>
        </row>
        <row r="15">
          <cell r="B15" t="str">
            <v>邓琦琪</v>
          </cell>
          <cell r="G15">
            <v>59</v>
          </cell>
        </row>
        <row r="16">
          <cell r="B16" t="str">
            <v>李佳乐</v>
          </cell>
          <cell r="G16">
            <v>59</v>
          </cell>
        </row>
        <row r="17">
          <cell r="B17" t="str">
            <v>林琼</v>
          </cell>
          <cell r="G17">
            <v>59</v>
          </cell>
        </row>
        <row r="18">
          <cell r="B18" t="str">
            <v>周小红</v>
          </cell>
          <cell r="G18">
            <v>59</v>
          </cell>
        </row>
        <row r="19">
          <cell r="B19" t="str">
            <v>何婷婷</v>
          </cell>
          <cell r="G19">
            <v>59</v>
          </cell>
        </row>
        <row r="20">
          <cell r="B20" t="str">
            <v>谢槟羽</v>
          </cell>
          <cell r="G20">
            <v>59</v>
          </cell>
        </row>
        <row r="21">
          <cell r="B21" t="str">
            <v>谭艳</v>
          </cell>
          <cell r="G21">
            <v>59</v>
          </cell>
        </row>
        <row r="22">
          <cell r="B22" t="str">
            <v>邓娟</v>
          </cell>
          <cell r="G22">
            <v>59</v>
          </cell>
        </row>
        <row r="23">
          <cell r="B23" t="str">
            <v>李青洋</v>
          </cell>
          <cell r="G23">
            <v>59</v>
          </cell>
        </row>
        <row r="24">
          <cell r="B24" t="str">
            <v>肖廷忠</v>
          </cell>
          <cell r="G24">
            <v>59</v>
          </cell>
        </row>
        <row r="25">
          <cell r="B25" t="str">
            <v>黄凤</v>
          </cell>
        </row>
        <row r="26">
          <cell r="B26" t="str">
            <v>曾子乂</v>
          </cell>
        </row>
        <row r="27">
          <cell r="B27" t="str">
            <v>陈凌</v>
          </cell>
          <cell r="G27">
            <v>59</v>
          </cell>
        </row>
        <row r="28">
          <cell r="B28" t="str">
            <v>杨英</v>
          </cell>
          <cell r="G28">
            <v>59</v>
          </cell>
        </row>
        <row r="29">
          <cell r="B29" t="str">
            <v>周德芳</v>
          </cell>
          <cell r="G29">
            <v>59</v>
          </cell>
        </row>
        <row r="30">
          <cell r="B30" t="str">
            <v>唐中华</v>
          </cell>
          <cell r="G30">
            <v>59</v>
          </cell>
        </row>
        <row r="31">
          <cell r="B31" t="str">
            <v>晏彬文</v>
          </cell>
          <cell r="G31">
            <v>59</v>
          </cell>
        </row>
        <row r="32">
          <cell r="B32" t="str">
            <v>熊宇</v>
          </cell>
          <cell r="G32">
            <v>59</v>
          </cell>
        </row>
        <row r="33">
          <cell r="B33" t="str">
            <v>张龙</v>
          </cell>
          <cell r="G33">
            <v>59</v>
          </cell>
        </row>
        <row r="34">
          <cell r="B34" t="str">
            <v>张春燕</v>
          </cell>
          <cell r="G34">
            <v>59</v>
          </cell>
        </row>
        <row r="35">
          <cell r="B35" t="str">
            <v>邓小军</v>
          </cell>
          <cell r="G35">
            <v>59</v>
          </cell>
        </row>
        <row r="36">
          <cell r="B36" t="str">
            <v>张保珍</v>
          </cell>
          <cell r="G36">
            <v>59</v>
          </cell>
        </row>
        <row r="37">
          <cell r="B37" t="str">
            <v>邓芳</v>
          </cell>
          <cell r="G37">
            <v>59</v>
          </cell>
        </row>
        <row r="38">
          <cell r="B38" t="str">
            <v>熊杰文</v>
          </cell>
          <cell r="G38">
            <v>59</v>
          </cell>
        </row>
        <row r="39">
          <cell r="B39" t="str">
            <v>马攀</v>
          </cell>
          <cell r="G39">
            <v>59</v>
          </cell>
        </row>
        <row r="40">
          <cell r="B40" t="str">
            <v>易花贞子</v>
          </cell>
          <cell r="G40">
            <v>59</v>
          </cell>
        </row>
        <row r="41">
          <cell r="B41" t="str">
            <v>毛春秀</v>
          </cell>
          <cell r="G41">
            <v>59</v>
          </cell>
        </row>
        <row r="42">
          <cell r="B42" t="str">
            <v>廖晓军</v>
          </cell>
          <cell r="G42">
            <v>59</v>
          </cell>
        </row>
        <row r="43">
          <cell r="B43" t="str">
            <v>康鳞波</v>
          </cell>
          <cell r="G43">
            <v>59</v>
          </cell>
        </row>
        <row r="44">
          <cell r="B44" t="str">
            <v>代力</v>
          </cell>
          <cell r="G44">
            <v>59</v>
          </cell>
        </row>
        <row r="45">
          <cell r="B45" t="str">
            <v>黄利君</v>
          </cell>
          <cell r="G45">
            <v>59</v>
          </cell>
        </row>
        <row r="46">
          <cell r="B46" t="str">
            <v>袁顺序</v>
          </cell>
          <cell r="G46">
            <v>59</v>
          </cell>
        </row>
        <row r="47">
          <cell r="B47" t="str">
            <v>蒲喜</v>
          </cell>
          <cell r="G47">
            <v>59</v>
          </cell>
        </row>
        <row r="48">
          <cell r="B48" t="str">
            <v>何伟</v>
          </cell>
          <cell r="G48">
            <v>59</v>
          </cell>
        </row>
        <row r="49">
          <cell r="B49" t="str">
            <v>唐操</v>
          </cell>
          <cell r="G49">
            <v>59</v>
          </cell>
        </row>
        <row r="50">
          <cell r="B50" t="str">
            <v>刘飞</v>
          </cell>
          <cell r="G50">
            <v>59</v>
          </cell>
        </row>
        <row r="51">
          <cell r="B51" t="str">
            <v>母勇</v>
          </cell>
          <cell r="G51">
            <v>59</v>
          </cell>
        </row>
        <row r="52">
          <cell r="B52" t="str">
            <v>钟小丽</v>
          </cell>
          <cell r="G52">
            <v>59</v>
          </cell>
        </row>
        <row r="53">
          <cell r="B53" t="str">
            <v>何宇</v>
          </cell>
          <cell r="G53">
            <v>59</v>
          </cell>
        </row>
        <row r="54">
          <cell r="B54" t="str">
            <v>王泳文</v>
          </cell>
          <cell r="G54">
            <v>59</v>
          </cell>
        </row>
        <row r="55">
          <cell r="B55" t="str">
            <v>何剑</v>
          </cell>
          <cell r="G55">
            <v>59</v>
          </cell>
        </row>
        <row r="56">
          <cell r="B56" t="str">
            <v>雷卓远</v>
          </cell>
          <cell r="G56">
            <v>59</v>
          </cell>
        </row>
        <row r="57">
          <cell r="B57" t="str">
            <v>金玉梅</v>
          </cell>
          <cell r="G57">
            <v>59</v>
          </cell>
        </row>
        <row r="58">
          <cell r="B58" t="str">
            <v>杜小红</v>
          </cell>
          <cell r="G58">
            <v>59</v>
          </cell>
        </row>
        <row r="59">
          <cell r="B59" t="str">
            <v>陈文霜</v>
          </cell>
          <cell r="G59">
            <v>59</v>
          </cell>
        </row>
        <row r="60">
          <cell r="B60" t="str">
            <v>周梅</v>
          </cell>
          <cell r="G60">
            <v>59</v>
          </cell>
        </row>
        <row r="61">
          <cell r="B61" t="str">
            <v>周思雨</v>
          </cell>
          <cell r="G61">
            <v>59</v>
          </cell>
        </row>
        <row r="62">
          <cell r="B62" t="str">
            <v>赵金秀</v>
          </cell>
          <cell r="G62">
            <v>59</v>
          </cell>
        </row>
        <row r="63">
          <cell r="B63" t="str">
            <v>罗筱凡</v>
          </cell>
          <cell r="G63">
            <v>59</v>
          </cell>
        </row>
        <row r="64">
          <cell r="B64" t="str">
            <v>李佳语</v>
          </cell>
          <cell r="G64">
            <v>59</v>
          </cell>
        </row>
        <row r="65">
          <cell r="B65" t="str">
            <v>鞠双双</v>
          </cell>
          <cell r="G65">
            <v>59</v>
          </cell>
        </row>
        <row r="66">
          <cell r="B66" t="str">
            <v>陈浩</v>
          </cell>
          <cell r="G66">
            <v>59</v>
          </cell>
        </row>
        <row r="67">
          <cell r="B67" t="str">
            <v>刘志洪</v>
          </cell>
          <cell r="G67">
            <v>59</v>
          </cell>
        </row>
        <row r="68">
          <cell r="B68" t="str">
            <v>苟艳</v>
          </cell>
          <cell r="G68">
            <v>59</v>
          </cell>
        </row>
        <row r="69">
          <cell r="B69" t="str">
            <v>孙苗</v>
          </cell>
          <cell r="G69">
            <v>59</v>
          </cell>
        </row>
        <row r="70">
          <cell r="B70" t="str">
            <v>翁林星</v>
          </cell>
          <cell r="G70">
            <v>59</v>
          </cell>
        </row>
        <row r="71">
          <cell r="B71" t="str">
            <v>谢婷</v>
          </cell>
          <cell r="G71">
            <v>59</v>
          </cell>
        </row>
        <row r="72">
          <cell r="B72" t="str">
            <v>况婷婷</v>
          </cell>
          <cell r="G72">
            <v>59</v>
          </cell>
        </row>
        <row r="73">
          <cell r="B73" t="str">
            <v>古镇吉</v>
          </cell>
          <cell r="G73">
            <v>59</v>
          </cell>
        </row>
        <row r="74">
          <cell r="B74" t="str">
            <v>周毅</v>
          </cell>
          <cell r="G74">
            <v>59</v>
          </cell>
        </row>
        <row r="75">
          <cell r="B75" t="str">
            <v>孙俊杰</v>
          </cell>
          <cell r="G75">
            <v>59</v>
          </cell>
        </row>
        <row r="76">
          <cell r="B76" t="str">
            <v>姚金东</v>
          </cell>
          <cell r="G76">
            <v>59</v>
          </cell>
        </row>
        <row r="77">
          <cell r="B77" t="str">
            <v>舒麒羽</v>
          </cell>
          <cell r="G77">
            <v>59</v>
          </cell>
        </row>
        <row r="78">
          <cell r="B78" t="str">
            <v>周兴强</v>
          </cell>
          <cell r="G78">
            <v>59</v>
          </cell>
        </row>
        <row r="79">
          <cell r="B79" t="str">
            <v>刘辉玺</v>
          </cell>
          <cell r="G79">
            <v>59</v>
          </cell>
        </row>
        <row r="80">
          <cell r="B80" t="str">
            <v>贾兴卜</v>
          </cell>
          <cell r="G80">
            <v>59</v>
          </cell>
        </row>
        <row r="81">
          <cell r="B81" t="str">
            <v>何滔</v>
          </cell>
          <cell r="G81">
            <v>59</v>
          </cell>
        </row>
        <row r="82">
          <cell r="B82" t="str">
            <v>李东梅</v>
          </cell>
          <cell r="G82">
            <v>59</v>
          </cell>
        </row>
        <row r="83">
          <cell r="B83" t="str">
            <v>徐源</v>
          </cell>
          <cell r="G83">
            <v>59</v>
          </cell>
        </row>
        <row r="84">
          <cell r="B84" t="str">
            <v>刘红</v>
          </cell>
          <cell r="G84">
            <v>59</v>
          </cell>
        </row>
        <row r="85">
          <cell r="B85" t="str">
            <v>曹锟</v>
          </cell>
          <cell r="G85">
            <v>59</v>
          </cell>
        </row>
        <row r="86">
          <cell r="B86" t="str">
            <v>严冬梅</v>
          </cell>
          <cell r="G86">
            <v>59</v>
          </cell>
        </row>
        <row r="87">
          <cell r="B87" t="str">
            <v>袁超</v>
          </cell>
        </row>
        <row r="88">
          <cell r="B88" t="str">
            <v>戈良梅</v>
          </cell>
        </row>
        <row r="89">
          <cell r="B89" t="str">
            <v>沈燕</v>
          </cell>
          <cell r="G89">
            <v>59</v>
          </cell>
        </row>
        <row r="90">
          <cell r="B90" t="str">
            <v>唐梁英</v>
          </cell>
          <cell r="G90">
            <v>59</v>
          </cell>
        </row>
        <row r="91">
          <cell r="B91" t="str">
            <v>李芳</v>
          </cell>
          <cell r="G91">
            <v>59</v>
          </cell>
        </row>
        <row r="92">
          <cell r="B92" t="str">
            <v>刘晓琴</v>
          </cell>
          <cell r="G92">
            <v>59</v>
          </cell>
        </row>
        <row r="93">
          <cell r="B93" t="str">
            <v>康忠伦</v>
          </cell>
          <cell r="G93">
            <v>59</v>
          </cell>
        </row>
        <row r="94">
          <cell r="B94" t="str">
            <v>王芝婕</v>
          </cell>
        </row>
        <row r="95">
          <cell r="B95" t="str">
            <v>蓝仁楷</v>
          </cell>
        </row>
        <row r="96">
          <cell r="B96" t="str">
            <v>何玉</v>
          </cell>
        </row>
        <row r="97">
          <cell r="B97" t="str">
            <v>罗良清</v>
          </cell>
          <cell r="G97">
            <v>59</v>
          </cell>
        </row>
        <row r="98">
          <cell r="B98" t="str">
            <v>李彦林</v>
          </cell>
          <cell r="G98">
            <v>59</v>
          </cell>
        </row>
        <row r="99">
          <cell r="B99" t="str">
            <v>高敏</v>
          </cell>
          <cell r="G99">
            <v>59</v>
          </cell>
        </row>
        <row r="100">
          <cell r="B100" t="str">
            <v>刘玉兰</v>
          </cell>
          <cell r="G100">
            <v>59</v>
          </cell>
        </row>
        <row r="101">
          <cell r="B101" t="str">
            <v>黄思路</v>
          </cell>
          <cell r="G101">
            <v>59</v>
          </cell>
        </row>
        <row r="102">
          <cell r="B102" t="str">
            <v>付国晓</v>
          </cell>
          <cell r="G102">
            <v>59</v>
          </cell>
        </row>
        <row r="103">
          <cell r="B103" t="str">
            <v>李燕</v>
          </cell>
          <cell r="G103">
            <v>59</v>
          </cell>
        </row>
        <row r="104">
          <cell r="B104" t="str">
            <v>刘彦</v>
          </cell>
          <cell r="G104">
            <v>59</v>
          </cell>
        </row>
        <row r="105">
          <cell r="B105" t="str">
            <v>李姣</v>
          </cell>
          <cell r="G105">
            <v>59</v>
          </cell>
        </row>
        <row r="106">
          <cell r="B106" t="str">
            <v>白林</v>
          </cell>
          <cell r="G106">
            <v>59</v>
          </cell>
        </row>
        <row r="107">
          <cell r="B107" t="str">
            <v>周舟</v>
          </cell>
          <cell r="G107">
            <v>59</v>
          </cell>
        </row>
        <row r="108">
          <cell r="B108" t="str">
            <v>张嘉唯</v>
          </cell>
          <cell r="G108">
            <v>59</v>
          </cell>
        </row>
        <row r="109">
          <cell r="B109" t="str">
            <v>王欢</v>
          </cell>
          <cell r="G109">
            <v>59</v>
          </cell>
        </row>
        <row r="110">
          <cell r="B110" t="str">
            <v>邓戈</v>
          </cell>
          <cell r="G110">
            <v>59</v>
          </cell>
        </row>
        <row r="111">
          <cell r="B111" t="str">
            <v>黄军</v>
          </cell>
          <cell r="G111">
            <v>59</v>
          </cell>
        </row>
        <row r="112">
          <cell r="B112" t="str">
            <v>刘发</v>
          </cell>
          <cell r="G112">
            <v>59</v>
          </cell>
        </row>
        <row r="113">
          <cell r="B113" t="str">
            <v>姚元利</v>
          </cell>
          <cell r="G113">
            <v>59</v>
          </cell>
        </row>
        <row r="114">
          <cell r="B114" t="str">
            <v>冯超</v>
          </cell>
          <cell r="G114">
            <v>59</v>
          </cell>
        </row>
        <row r="115">
          <cell r="B115" t="str">
            <v>陈林</v>
          </cell>
          <cell r="G115">
            <v>59</v>
          </cell>
        </row>
        <row r="116">
          <cell r="B116" t="str">
            <v>王秋望</v>
          </cell>
          <cell r="G116">
            <v>59</v>
          </cell>
        </row>
        <row r="117">
          <cell r="B117" t="str">
            <v>苟松柏</v>
          </cell>
          <cell r="G117">
            <v>59</v>
          </cell>
        </row>
        <row r="118">
          <cell r="B118" t="str">
            <v>范娜</v>
          </cell>
          <cell r="G118">
            <v>59</v>
          </cell>
        </row>
        <row r="119">
          <cell r="B119" t="str">
            <v>刘波</v>
          </cell>
          <cell r="G119">
            <v>59</v>
          </cell>
        </row>
        <row r="120">
          <cell r="B120" t="str">
            <v>赵强</v>
          </cell>
          <cell r="G120">
            <v>59</v>
          </cell>
        </row>
        <row r="121">
          <cell r="B121" t="str">
            <v>黄婷婷</v>
          </cell>
          <cell r="G121">
            <v>59</v>
          </cell>
        </row>
        <row r="122">
          <cell r="B122" t="str">
            <v>向兰</v>
          </cell>
          <cell r="G122">
            <v>59</v>
          </cell>
        </row>
        <row r="123">
          <cell r="B123" t="str">
            <v>熊俊杰</v>
          </cell>
          <cell r="G123">
            <v>59</v>
          </cell>
        </row>
        <row r="124">
          <cell r="B124" t="str">
            <v>刘凤英</v>
          </cell>
          <cell r="G124">
            <v>59</v>
          </cell>
        </row>
        <row r="125">
          <cell r="B125" t="str">
            <v>莫晓何</v>
          </cell>
          <cell r="G125">
            <v>59</v>
          </cell>
        </row>
        <row r="126">
          <cell r="B126" t="str">
            <v>施巍</v>
          </cell>
          <cell r="G126">
            <v>59</v>
          </cell>
        </row>
        <row r="127">
          <cell r="B127" t="str">
            <v>陈子逸</v>
          </cell>
          <cell r="G127">
            <v>59</v>
          </cell>
        </row>
        <row r="128">
          <cell r="B128" t="str">
            <v>李春梅</v>
          </cell>
          <cell r="G128">
            <v>59</v>
          </cell>
        </row>
        <row r="129">
          <cell r="B129" t="str">
            <v>魏艳</v>
          </cell>
          <cell r="G129">
            <v>59</v>
          </cell>
        </row>
        <row r="130">
          <cell r="B130" t="str">
            <v>谷雨</v>
          </cell>
          <cell r="G130">
            <v>59</v>
          </cell>
        </row>
        <row r="131">
          <cell r="B131" t="str">
            <v>孙杰</v>
          </cell>
          <cell r="G131">
            <v>59</v>
          </cell>
        </row>
        <row r="132">
          <cell r="B132" t="str">
            <v>余才万</v>
          </cell>
          <cell r="G132">
            <v>59</v>
          </cell>
        </row>
        <row r="133">
          <cell r="B133" t="str">
            <v>钟涛</v>
          </cell>
          <cell r="G133">
            <v>59</v>
          </cell>
        </row>
        <row r="134">
          <cell r="B134" t="str">
            <v>吴小琴</v>
          </cell>
          <cell r="G134">
            <v>59</v>
          </cell>
        </row>
        <row r="135">
          <cell r="B135" t="str">
            <v>毛婷婷</v>
          </cell>
          <cell r="G135">
            <v>59</v>
          </cell>
        </row>
        <row r="136">
          <cell r="B136" t="str">
            <v>张坤</v>
          </cell>
          <cell r="G136">
            <v>59</v>
          </cell>
        </row>
        <row r="137">
          <cell r="B137" t="str">
            <v>丁小玲</v>
          </cell>
          <cell r="G137">
            <v>59</v>
          </cell>
        </row>
        <row r="138">
          <cell r="B138" t="str">
            <v>刘华</v>
          </cell>
          <cell r="G138">
            <v>59</v>
          </cell>
        </row>
        <row r="139">
          <cell r="B139" t="str">
            <v>蒋云</v>
          </cell>
          <cell r="G139">
            <v>59</v>
          </cell>
        </row>
        <row r="140">
          <cell r="B140" t="str">
            <v>王茂林</v>
          </cell>
          <cell r="G140">
            <v>59</v>
          </cell>
        </row>
        <row r="141">
          <cell r="B141" t="str">
            <v>黎明朗</v>
          </cell>
          <cell r="G141">
            <v>59</v>
          </cell>
        </row>
        <row r="142">
          <cell r="B142" t="str">
            <v>牟春柳</v>
          </cell>
          <cell r="G142">
            <v>59</v>
          </cell>
        </row>
        <row r="143">
          <cell r="B143" t="str">
            <v>任和奎</v>
          </cell>
          <cell r="G143">
            <v>59</v>
          </cell>
        </row>
        <row r="144">
          <cell r="B144" t="str">
            <v>兰代全</v>
          </cell>
          <cell r="G144">
            <v>59</v>
          </cell>
        </row>
        <row r="145">
          <cell r="B145" t="str">
            <v>刘娅</v>
          </cell>
          <cell r="G145">
            <v>59</v>
          </cell>
        </row>
        <row r="146">
          <cell r="B146" t="str">
            <v>陈莉</v>
          </cell>
          <cell r="G146">
            <v>59</v>
          </cell>
        </row>
        <row r="147">
          <cell r="B147" t="str">
            <v>钟家林</v>
          </cell>
          <cell r="G147">
            <v>59</v>
          </cell>
        </row>
        <row r="148">
          <cell r="B148" t="str">
            <v>朱剑波</v>
          </cell>
          <cell r="G148">
            <v>59</v>
          </cell>
        </row>
        <row r="149">
          <cell r="B149" t="str">
            <v>唐鹏</v>
          </cell>
          <cell r="G149">
            <v>59</v>
          </cell>
        </row>
        <row r="150">
          <cell r="B150" t="str">
            <v>赵思梵</v>
          </cell>
          <cell r="G150">
            <v>59</v>
          </cell>
        </row>
        <row r="151">
          <cell r="B151" t="str">
            <v>陈勇建</v>
          </cell>
          <cell r="G151">
            <v>59</v>
          </cell>
        </row>
        <row r="152">
          <cell r="B152" t="str">
            <v>宁袁</v>
          </cell>
          <cell r="G152">
            <v>59</v>
          </cell>
        </row>
        <row r="153">
          <cell r="B153" t="str">
            <v>杨婷</v>
          </cell>
          <cell r="G153">
            <v>59</v>
          </cell>
        </row>
        <row r="154">
          <cell r="B154" t="str">
            <v>吴思超</v>
          </cell>
          <cell r="G154">
            <v>59</v>
          </cell>
        </row>
        <row r="155">
          <cell r="B155" t="str">
            <v>叶荣鹏</v>
          </cell>
          <cell r="G155">
            <v>59</v>
          </cell>
        </row>
        <row r="156">
          <cell r="B156" t="str">
            <v>马勇</v>
          </cell>
          <cell r="G156">
            <v>59</v>
          </cell>
        </row>
        <row r="157">
          <cell r="B157" t="str">
            <v>高东琴</v>
          </cell>
          <cell r="G157">
            <v>59</v>
          </cell>
        </row>
        <row r="158">
          <cell r="B158" t="str">
            <v>王巧巧</v>
          </cell>
          <cell r="G158">
            <v>59</v>
          </cell>
        </row>
        <row r="159">
          <cell r="B159" t="str">
            <v>孙伟</v>
          </cell>
          <cell r="G159">
            <v>59</v>
          </cell>
        </row>
        <row r="160">
          <cell r="B160" t="str">
            <v>程羊</v>
          </cell>
          <cell r="G160">
            <v>59</v>
          </cell>
        </row>
        <row r="161">
          <cell r="B161" t="str">
            <v>常涛</v>
          </cell>
          <cell r="G161">
            <v>59</v>
          </cell>
        </row>
        <row r="162">
          <cell r="B162" t="str">
            <v>王海</v>
          </cell>
          <cell r="G162">
            <v>59</v>
          </cell>
        </row>
        <row r="163">
          <cell r="B163" t="str">
            <v>袁萍</v>
          </cell>
          <cell r="G163">
            <v>59</v>
          </cell>
        </row>
        <row r="164">
          <cell r="B164" t="str">
            <v>曾吉斌</v>
          </cell>
          <cell r="G164">
            <v>59</v>
          </cell>
        </row>
        <row r="165">
          <cell r="B165" t="str">
            <v>曹磊</v>
          </cell>
          <cell r="G165">
            <v>59</v>
          </cell>
        </row>
        <row r="166">
          <cell r="B166" t="str">
            <v>谢尧江</v>
          </cell>
          <cell r="G166">
            <v>59</v>
          </cell>
        </row>
        <row r="167">
          <cell r="B167" t="str">
            <v>张敏</v>
          </cell>
          <cell r="G167">
            <v>59</v>
          </cell>
        </row>
        <row r="168">
          <cell r="B168" t="str">
            <v>邱小艳</v>
          </cell>
          <cell r="G168">
            <v>59</v>
          </cell>
        </row>
        <row r="169">
          <cell r="B169" t="str">
            <v>潘倩</v>
          </cell>
          <cell r="G169">
            <v>59</v>
          </cell>
        </row>
        <row r="170">
          <cell r="B170" t="str">
            <v>黄意轩</v>
          </cell>
          <cell r="G170">
            <v>59</v>
          </cell>
        </row>
        <row r="171">
          <cell r="B171" t="str">
            <v>赵水仙</v>
          </cell>
          <cell r="G171">
            <v>59</v>
          </cell>
        </row>
        <row r="172">
          <cell r="B172" t="str">
            <v>张琴</v>
          </cell>
          <cell r="G172">
            <v>59</v>
          </cell>
        </row>
        <row r="173">
          <cell r="B173" t="str">
            <v>唐芳兰</v>
          </cell>
          <cell r="G173">
            <v>59</v>
          </cell>
        </row>
        <row r="174">
          <cell r="B174" t="str">
            <v>罗文琦</v>
          </cell>
          <cell r="G174">
            <v>59</v>
          </cell>
        </row>
        <row r="175">
          <cell r="B175" t="str">
            <v>高梓绮</v>
          </cell>
          <cell r="G175">
            <v>59</v>
          </cell>
        </row>
        <row r="176">
          <cell r="B176" t="str">
            <v>阳国华</v>
          </cell>
          <cell r="G176">
            <v>59</v>
          </cell>
        </row>
        <row r="177">
          <cell r="B177" t="str">
            <v>李超</v>
          </cell>
          <cell r="G177">
            <v>59</v>
          </cell>
        </row>
        <row r="178">
          <cell r="B178" t="str">
            <v>辜晓菲</v>
          </cell>
          <cell r="G178">
            <v>59</v>
          </cell>
        </row>
        <row r="179">
          <cell r="B179" t="str">
            <v>唐玉屏</v>
          </cell>
          <cell r="G179">
            <v>59</v>
          </cell>
        </row>
        <row r="180">
          <cell r="B180" t="str">
            <v>金亮亮</v>
          </cell>
          <cell r="G180">
            <v>59</v>
          </cell>
        </row>
        <row r="181">
          <cell r="B181" t="str">
            <v>段宝安</v>
          </cell>
          <cell r="G181">
            <v>59</v>
          </cell>
        </row>
        <row r="182">
          <cell r="B182" t="str">
            <v>陈昱良</v>
          </cell>
          <cell r="G182">
            <v>59</v>
          </cell>
        </row>
        <row r="183">
          <cell r="B183" t="str">
            <v>曾浩</v>
          </cell>
          <cell r="G183">
            <v>59</v>
          </cell>
        </row>
        <row r="184">
          <cell r="B184" t="str">
            <v>应文龙</v>
          </cell>
          <cell r="G184">
            <v>59</v>
          </cell>
        </row>
        <row r="185">
          <cell r="B185" t="str">
            <v>李国民</v>
          </cell>
          <cell r="G185">
            <v>59</v>
          </cell>
        </row>
        <row r="186">
          <cell r="B186" t="str">
            <v>向阳</v>
          </cell>
          <cell r="G186">
            <v>59</v>
          </cell>
        </row>
        <row r="187">
          <cell r="B187" t="str">
            <v>唐梅</v>
          </cell>
          <cell r="G187">
            <v>59</v>
          </cell>
        </row>
        <row r="188">
          <cell r="B188" t="str">
            <v>陈琳琳</v>
          </cell>
          <cell r="G188">
            <v>59</v>
          </cell>
        </row>
        <row r="189">
          <cell r="B189" t="str">
            <v>邱昭丽</v>
          </cell>
          <cell r="G189">
            <v>59</v>
          </cell>
        </row>
        <row r="190">
          <cell r="B190" t="str">
            <v>黄雪梅</v>
          </cell>
          <cell r="G190">
            <v>59</v>
          </cell>
        </row>
        <row r="191">
          <cell r="B191" t="str">
            <v>雷维可</v>
          </cell>
          <cell r="G191">
            <v>59</v>
          </cell>
        </row>
        <row r="192">
          <cell r="B192" t="str">
            <v>陈晓波</v>
          </cell>
          <cell r="G192">
            <v>59</v>
          </cell>
        </row>
        <row r="193">
          <cell r="B193" t="str">
            <v>梁宁</v>
          </cell>
        </row>
        <row r="194">
          <cell r="B194" t="str">
            <v>陈川蓉</v>
          </cell>
          <cell r="G194">
            <v>59</v>
          </cell>
        </row>
        <row r="195">
          <cell r="B195" t="str">
            <v>张林</v>
          </cell>
          <cell r="G195">
            <v>59</v>
          </cell>
        </row>
        <row r="196">
          <cell r="B196" t="str">
            <v>张建</v>
          </cell>
          <cell r="G196">
            <v>59</v>
          </cell>
        </row>
        <row r="197">
          <cell r="B197" t="str">
            <v>王毅</v>
          </cell>
          <cell r="G197">
            <v>59</v>
          </cell>
        </row>
        <row r="198">
          <cell r="B198" t="str">
            <v>舒童强</v>
          </cell>
          <cell r="G198">
            <v>59</v>
          </cell>
        </row>
        <row r="199">
          <cell r="B199" t="str">
            <v>罗义瑕</v>
          </cell>
          <cell r="G199">
            <v>59</v>
          </cell>
        </row>
        <row r="200">
          <cell r="B200" t="str">
            <v>刘强</v>
          </cell>
          <cell r="G200">
            <v>59</v>
          </cell>
        </row>
        <row r="201">
          <cell r="B201" t="str">
            <v>贾文哲</v>
          </cell>
          <cell r="G201">
            <v>59</v>
          </cell>
        </row>
        <row r="202">
          <cell r="B202" t="str">
            <v>黄小炼</v>
          </cell>
          <cell r="G202">
            <v>59</v>
          </cell>
        </row>
        <row r="203">
          <cell r="B203" t="str">
            <v>白影</v>
          </cell>
          <cell r="G203">
            <v>59</v>
          </cell>
        </row>
        <row r="204">
          <cell r="B204" t="str">
            <v>陶纯玲</v>
          </cell>
          <cell r="G204">
            <v>59</v>
          </cell>
        </row>
        <row r="205">
          <cell r="B205" t="str">
            <v>朱开莲</v>
          </cell>
          <cell r="G205">
            <v>59</v>
          </cell>
        </row>
        <row r="206">
          <cell r="B206" t="str">
            <v>马瑞</v>
          </cell>
          <cell r="G206">
            <v>59</v>
          </cell>
        </row>
        <row r="207">
          <cell r="B207" t="str">
            <v>黄鹏</v>
          </cell>
          <cell r="G207">
            <v>59</v>
          </cell>
        </row>
        <row r="208">
          <cell r="B208" t="str">
            <v>赖跃坤</v>
          </cell>
          <cell r="G208">
            <v>59</v>
          </cell>
        </row>
        <row r="209">
          <cell r="B209" t="str">
            <v>薛祥建</v>
          </cell>
          <cell r="G209">
            <v>59</v>
          </cell>
        </row>
        <row r="210">
          <cell r="B210" t="str">
            <v>吴嘉敏</v>
          </cell>
        </row>
        <row r="211">
          <cell r="B211" t="str">
            <v>韩柏成</v>
          </cell>
          <cell r="G211">
            <v>59</v>
          </cell>
        </row>
        <row r="212">
          <cell r="B212" t="str">
            <v>蒋利</v>
          </cell>
          <cell r="G212">
            <v>59</v>
          </cell>
        </row>
        <row r="213">
          <cell r="B213" t="str">
            <v>沈燕1</v>
          </cell>
          <cell r="G213">
            <v>59</v>
          </cell>
        </row>
        <row r="214">
          <cell r="B214" t="str">
            <v>花芸芸</v>
          </cell>
          <cell r="G214">
            <v>59</v>
          </cell>
        </row>
        <row r="215">
          <cell r="G215">
            <v>11859</v>
          </cell>
        </row>
      </sheetData>
      <sheetData sheetId="27"/>
      <sheetData sheetId="28"/>
      <sheetData sheetId="29">
        <row r="3">
          <cell r="C3" t="str">
            <v>姓名</v>
          </cell>
          <cell r="D3" t="str">
            <v>金额</v>
          </cell>
        </row>
      </sheetData>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月提成-钣喷汇总"/>
      <sheetName val="5月提成-关联挂账"/>
      <sheetName val="5月提成-钣喷中心实际发放明细"/>
      <sheetName val="续保"/>
      <sheetName val="5月基本"/>
      <sheetName val="4月续保推荐事故"/>
      <sheetName val="6月配件"/>
      <sheetName val="业务提成系数"/>
      <sheetName val="（鑫盛）提成标准"/>
      <sheetName val="鑫盛产值"/>
      <sheetName val="车间绩效表"/>
      <sheetName val="综合项"/>
      <sheetName val="业务绩效测算"/>
      <sheetName val="车间绩效"/>
      <sheetName val="其它部门绩效"/>
      <sheetName val="车间工时"/>
      <sheetName val="个税计算表"/>
      <sheetName val="转介绍"/>
    </sheetNames>
    <sheetDataSet>
      <sheetData sheetId="0"/>
      <sheetData sheetId="1"/>
      <sheetData sheetId="2"/>
      <sheetData sheetId="3"/>
      <sheetData sheetId="4"/>
      <sheetData sheetId="5"/>
      <sheetData sheetId="6"/>
      <sheetData sheetId="7"/>
      <sheetData sheetId="8"/>
      <sheetData sheetId="9"/>
      <sheetData sheetId="10">
        <row r="3">
          <cell r="D3" t="str">
            <v>姓 名</v>
          </cell>
          <cell r="E3" t="str">
            <v>正常工时收入</v>
          </cell>
          <cell r="F3" t="str">
            <v>各店补贴工资</v>
          </cell>
          <cell r="G3" t="str">
            <v>辅料耗用</v>
          </cell>
          <cell r="H3" t="str">
            <v>洗车费</v>
          </cell>
          <cell r="I3" t="str">
            <v>正常工时提成比例</v>
          </cell>
          <cell r="J3" t="str">
            <v>保险提成比例</v>
          </cell>
          <cell r="K3" t="str">
            <v>工时提成</v>
          </cell>
          <cell r="L3" t="str">
            <v>洗车台次提成标准</v>
          </cell>
          <cell r="M3" t="str">
            <v>材料</v>
          </cell>
          <cell r="N3" t="str">
            <v>提成比例</v>
          </cell>
          <cell r="O3" t="str">
            <v>材料提成</v>
          </cell>
          <cell r="P3" t="str">
            <v>精品</v>
          </cell>
          <cell r="Q3" t="str">
            <v>精品提成</v>
          </cell>
          <cell r="R3" t="str">
            <v>洗车费提成</v>
          </cell>
          <cell r="S3" t="str">
            <v>工时+材料+精品+快修</v>
          </cell>
          <cell r="T3" t="str">
            <v>基本工资标准</v>
          </cell>
          <cell r="U3" t="str">
            <v>基本工资-</v>
          </cell>
          <cell r="V3" t="str">
            <v>其中：
加班工资</v>
          </cell>
          <cell r="W3" t="str">
            <v>其中：病假、事假、缺勤、罚款</v>
          </cell>
          <cell r="X3" t="str">
            <v>其中：
特殊津贴</v>
          </cell>
          <cell r="Y3" t="str">
            <v>系数</v>
          </cell>
          <cell r="Z3" t="str">
            <v>其它-保底绩效</v>
          </cell>
          <cell r="AA3" t="str">
            <v>满意度考核</v>
          </cell>
          <cell r="AB3" t="str">
            <v>月度提成</v>
          </cell>
        </row>
        <row r="5">
          <cell r="D5" t="str">
            <v>雷国志</v>
          </cell>
          <cell r="T5">
            <v>1500</v>
          </cell>
          <cell r="Y5">
            <v>0.16596304763884701</v>
          </cell>
          <cell r="AB5">
            <v>8078.1533758338601</v>
          </cell>
        </row>
        <row r="6">
          <cell r="D6" t="str">
            <v>罗荣炬</v>
          </cell>
          <cell r="T6">
            <v>1500</v>
          </cell>
          <cell r="Y6">
            <v>0.12649565274559099</v>
          </cell>
          <cell r="AB6">
            <v>6157.1012270078299</v>
          </cell>
        </row>
        <row r="7">
          <cell r="D7" t="str">
            <v>曾伟杰</v>
          </cell>
          <cell r="T7">
            <v>1500</v>
          </cell>
          <cell r="Y7">
            <v>0.14893517456527999</v>
          </cell>
          <cell r="AB7">
            <v>7249.3317055314501</v>
          </cell>
        </row>
        <row r="8">
          <cell r="D8" t="str">
            <v>朱炳龙</v>
          </cell>
          <cell r="T8">
            <v>1500</v>
          </cell>
          <cell r="Y8">
            <v>9.4180513781371697E-2</v>
          </cell>
          <cell r="AB8">
            <v>4584.1809135509802</v>
          </cell>
        </row>
        <row r="9">
          <cell r="D9" t="str">
            <v>任叶红</v>
          </cell>
          <cell r="T9">
            <v>1500</v>
          </cell>
          <cell r="Y9">
            <v>0.15328098548723801</v>
          </cell>
          <cell r="AB9">
            <v>7460.86148682556</v>
          </cell>
        </row>
        <row r="10">
          <cell r="D10" t="str">
            <v>陈超</v>
          </cell>
          <cell r="T10">
            <v>1500</v>
          </cell>
          <cell r="Y10">
            <v>0.15557233371135501</v>
          </cell>
          <cell r="AB10">
            <v>7572.3915090516302</v>
          </cell>
        </row>
        <row r="11">
          <cell r="D11" t="str">
            <v>韩维</v>
          </cell>
          <cell r="T11">
            <v>1500</v>
          </cell>
          <cell r="Y11">
            <v>0.15559287839192701</v>
          </cell>
          <cell r="AB11">
            <v>7573.3915092509196</v>
          </cell>
        </row>
        <row r="12">
          <cell r="D12" t="str">
            <v>钣金2组</v>
          </cell>
          <cell r="E12">
            <v>52595.229700000004</v>
          </cell>
          <cell r="F12">
            <v>6579.18</v>
          </cell>
          <cell r="I12">
            <v>1</v>
          </cell>
          <cell r="J12">
            <v>1</v>
          </cell>
          <cell r="K12">
            <v>59174.409699999997</v>
          </cell>
          <cell r="L12">
            <v>7</v>
          </cell>
          <cell r="O12">
            <v>0</v>
          </cell>
          <cell r="P12">
            <v>0</v>
          </cell>
          <cell r="Q12">
            <v>0</v>
          </cell>
          <cell r="R12">
            <v>0</v>
          </cell>
          <cell r="S12">
            <v>48674.409699999997</v>
          </cell>
          <cell r="T12">
            <v>10500</v>
          </cell>
          <cell r="U12">
            <v>0</v>
          </cell>
          <cell r="V12">
            <v>0</v>
          </cell>
          <cell r="W12">
            <v>0</v>
          </cell>
          <cell r="X12">
            <v>0</v>
          </cell>
          <cell r="Y12">
            <v>1.0000205863216101</v>
          </cell>
          <cell r="Z12">
            <v>0</v>
          </cell>
          <cell r="AA12">
            <v>0</v>
          </cell>
          <cell r="AB12">
            <v>48675.411727052197</v>
          </cell>
        </row>
        <row r="13">
          <cell r="D13" t="str">
            <v>胡毕君</v>
          </cell>
          <cell r="T13">
            <v>1500</v>
          </cell>
          <cell r="Y13">
            <v>0.118157574992505</v>
          </cell>
          <cell r="AB13">
            <v>7488</v>
          </cell>
        </row>
        <row r="14">
          <cell r="D14" t="str">
            <v>王岗</v>
          </cell>
          <cell r="T14">
            <v>1500</v>
          </cell>
          <cell r="Y14">
            <v>0.105666976998617</v>
          </cell>
          <cell r="AB14">
            <v>6696.4333333333298</v>
          </cell>
        </row>
        <row r="15">
          <cell r="D15" t="str">
            <v>杨定安</v>
          </cell>
          <cell r="T15">
            <v>1500</v>
          </cell>
          <cell r="Y15">
            <v>0.114637148312373</v>
          </cell>
          <cell r="AB15">
            <v>7264.9</v>
          </cell>
        </row>
        <row r="16">
          <cell r="D16" t="str">
            <v>何辉</v>
          </cell>
          <cell r="T16">
            <v>1500</v>
          </cell>
          <cell r="Y16">
            <v>0.105666976998617</v>
          </cell>
          <cell r="AB16">
            <v>6696.4333333333298</v>
          </cell>
        </row>
        <row r="17">
          <cell r="D17" t="str">
            <v>陈凤平</v>
          </cell>
          <cell r="T17">
            <v>1500</v>
          </cell>
          <cell r="Y17">
            <v>0.124122260268569</v>
          </cell>
          <cell r="AB17">
            <v>7866</v>
          </cell>
        </row>
        <row r="18">
          <cell r="D18" t="str">
            <v>刘鑫宇</v>
          </cell>
          <cell r="T18">
            <v>1500</v>
          </cell>
          <cell r="Y18">
            <v>0.11040085420184199</v>
          </cell>
          <cell r="AB18">
            <v>6996.4333333333298</v>
          </cell>
        </row>
        <row r="19">
          <cell r="D19" t="str">
            <v>毛小红</v>
          </cell>
          <cell r="T19">
            <v>1500</v>
          </cell>
          <cell r="Y19">
            <v>0.116787906521705</v>
          </cell>
          <cell r="AB19">
            <v>7401.2</v>
          </cell>
        </row>
        <row r="20">
          <cell r="D20" t="str">
            <v>何朝林</v>
          </cell>
          <cell r="T20">
            <v>1500</v>
          </cell>
          <cell r="Y20">
            <v>0.11953039938144</v>
          </cell>
          <cell r="AB20">
            <v>7575</v>
          </cell>
        </row>
        <row r="21">
          <cell r="D21" t="str">
            <v>钟源</v>
          </cell>
          <cell r="T21">
            <v>1500</v>
          </cell>
          <cell r="Y21">
            <v>8.5029902324333703E-2</v>
          </cell>
          <cell r="AB21">
            <v>5388.6</v>
          </cell>
        </row>
        <row r="23">
          <cell r="D23" t="str">
            <v>漆工1组</v>
          </cell>
          <cell r="E23">
            <v>924.6</v>
          </cell>
          <cell r="H23">
            <v>415</v>
          </cell>
          <cell r="I23">
            <v>80</v>
          </cell>
          <cell r="K23">
            <v>73968</v>
          </cell>
          <cell r="L23">
            <v>7</v>
          </cell>
          <cell r="O23">
            <v>0</v>
          </cell>
          <cell r="P23">
            <v>0</v>
          </cell>
          <cell r="Q23">
            <v>0</v>
          </cell>
          <cell r="R23">
            <v>2905</v>
          </cell>
          <cell r="S23">
            <v>63373</v>
          </cell>
          <cell r="T23">
            <v>13500</v>
          </cell>
          <cell r="U23">
            <v>0</v>
          </cell>
          <cell r="V23">
            <v>0</v>
          </cell>
          <cell r="W23">
            <v>0</v>
          </cell>
          <cell r="X23">
            <v>0</v>
          </cell>
          <cell r="Y23">
            <v>1</v>
          </cell>
          <cell r="Z23">
            <v>0</v>
          </cell>
          <cell r="AA23">
            <v>0</v>
          </cell>
          <cell r="AB23">
            <v>63373</v>
          </cell>
        </row>
        <row r="24">
          <cell r="E24">
            <v>53519.829700000002</v>
          </cell>
          <cell r="F24">
            <v>6579.18</v>
          </cell>
          <cell r="G24">
            <v>0</v>
          </cell>
          <cell r="H24">
            <v>415</v>
          </cell>
          <cell r="I24">
            <v>81</v>
          </cell>
          <cell r="J24">
            <v>1</v>
          </cell>
          <cell r="K24">
            <v>133142.40969999999</v>
          </cell>
          <cell r="L24">
            <v>14</v>
          </cell>
          <cell r="M24">
            <v>0</v>
          </cell>
          <cell r="N24">
            <v>0</v>
          </cell>
          <cell r="O24">
            <v>0</v>
          </cell>
          <cell r="P24">
            <v>0</v>
          </cell>
          <cell r="Q24">
            <v>0</v>
          </cell>
          <cell r="R24">
            <v>2905</v>
          </cell>
          <cell r="S24">
            <v>112047.4097</v>
          </cell>
          <cell r="T24">
            <v>24000</v>
          </cell>
          <cell r="U24">
            <v>0</v>
          </cell>
          <cell r="V24">
            <v>0</v>
          </cell>
          <cell r="W24">
            <v>0</v>
          </cell>
          <cell r="X24">
            <v>0</v>
          </cell>
          <cell r="Y24">
            <v>2.0000205863216101</v>
          </cell>
          <cell r="Z24">
            <v>0</v>
          </cell>
          <cell r="AA24">
            <v>0</v>
          </cell>
          <cell r="AB24">
            <v>112048.41172705199</v>
          </cell>
        </row>
        <row r="27">
          <cell r="AB27">
            <v>63373</v>
          </cell>
        </row>
      </sheetData>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年5月"/>
      <sheetName val="分析表1"/>
      <sheetName val="分析表2(有效）"/>
      <sheetName val="个人留修"/>
      <sheetName val="抽查"/>
      <sheetName val="外协总表"/>
      <sheetName val="个人留修2"/>
      <sheetName val="上月未到站跟进表"/>
      <sheetName val="返厂无忧"/>
      <sheetName val="Sheet1"/>
      <sheetName val="Sheet3"/>
      <sheetName val="Sheet2"/>
    </sheetNames>
    <sheetDataSet>
      <sheetData sheetId="0">
        <row r="1">
          <cell r="C1" t="str">
            <v>保险公司</v>
          </cell>
          <cell r="I1" t="str">
            <v>是否保单</v>
          </cell>
          <cell r="AD1" t="str">
            <v>无效信息</v>
          </cell>
        </row>
        <row r="2">
          <cell r="C2" t="str">
            <v>中国人保保险</v>
          </cell>
          <cell r="I2" t="str">
            <v>保单客户</v>
          </cell>
        </row>
        <row r="3">
          <cell r="C3" t="str">
            <v>中国平安保险</v>
          </cell>
          <cell r="I3" t="str">
            <v>推修客户</v>
          </cell>
        </row>
        <row r="4">
          <cell r="C4" t="str">
            <v>中国平安保险</v>
          </cell>
          <cell r="I4" t="str">
            <v>推修客户</v>
          </cell>
        </row>
        <row r="5">
          <cell r="C5" t="str">
            <v>中国人保保险</v>
          </cell>
          <cell r="I5" t="str">
            <v>推修客户</v>
          </cell>
        </row>
        <row r="6">
          <cell r="C6" t="str">
            <v>中华保险</v>
          </cell>
          <cell r="I6" t="str">
            <v>推修客户</v>
          </cell>
        </row>
        <row r="7">
          <cell r="C7" t="str">
            <v>中国平安保险</v>
          </cell>
          <cell r="I7" t="str">
            <v>推修客户</v>
          </cell>
        </row>
        <row r="8">
          <cell r="C8" t="str">
            <v>中国平安保险</v>
          </cell>
          <cell r="I8" t="str">
            <v>推修客户</v>
          </cell>
          <cell r="AD8">
            <v>1</v>
          </cell>
        </row>
        <row r="9">
          <cell r="C9" t="str">
            <v>中国平安保险</v>
          </cell>
          <cell r="I9" t="str">
            <v>推修客户</v>
          </cell>
          <cell r="AD9">
            <v>1</v>
          </cell>
        </row>
        <row r="10">
          <cell r="C10" t="str">
            <v>中国平安保险</v>
          </cell>
          <cell r="I10" t="str">
            <v>推修客户</v>
          </cell>
        </row>
        <row r="11">
          <cell r="C11" t="str">
            <v>中国平安保险</v>
          </cell>
          <cell r="I11" t="str">
            <v>推修客户</v>
          </cell>
        </row>
        <row r="12">
          <cell r="C12" t="str">
            <v>中国平安保险</v>
          </cell>
          <cell r="I12" t="str">
            <v>推修客户</v>
          </cell>
        </row>
        <row r="13">
          <cell r="C13" t="str">
            <v>中国平安保险</v>
          </cell>
          <cell r="I13" t="str">
            <v>保单客户</v>
          </cell>
        </row>
        <row r="14">
          <cell r="C14" t="str">
            <v>中国平安保险</v>
          </cell>
          <cell r="I14" t="str">
            <v>保单客户</v>
          </cell>
        </row>
        <row r="15">
          <cell r="C15" t="str">
            <v>中国平安保险</v>
          </cell>
          <cell r="I15" t="str">
            <v>推修客户</v>
          </cell>
        </row>
        <row r="16">
          <cell r="C16" t="str">
            <v>中国人保保险</v>
          </cell>
          <cell r="I16" t="str">
            <v>保单客户</v>
          </cell>
        </row>
        <row r="17">
          <cell r="C17" t="str">
            <v>中国人保保险</v>
          </cell>
          <cell r="I17" t="str">
            <v>保单客户</v>
          </cell>
        </row>
        <row r="18">
          <cell r="C18" t="str">
            <v>中国平安保险</v>
          </cell>
          <cell r="I18" t="str">
            <v>推修客户</v>
          </cell>
          <cell r="AD18">
            <v>1</v>
          </cell>
        </row>
        <row r="19">
          <cell r="C19" t="str">
            <v>阳光保险</v>
          </cell>
          <cell r="I19" t="str">
            <v>保单客户</v>
          </cell>
        </row>
        <row r="20">
          <cell r="C20" t="str">
            <v>中国人保保险</v>
          </cell>
          <cell r="I20" t="str">
            <v>推修客户</v>
          </cell>
        </row>
        <row r="21">
          <cell r="C21" t="str">
            <v>中国人保保险</v>
          </cell>
          <cell r="I21" t="str">
            <v>保单客户</v>
          </cell>
        </row>
        <row r="22">
          <cell r="C22" t="str">
            <v>中国平安保险</v>
          </cell>
          <cell r="I22" t="str">
            <v>推修客户</v>
          </cell>
          <cell r="AD22">
            <v>1</v>
          </cell>
        </row>
        <row r="23">
          <cell r="C23" t="str">
            <v>中国平安保险</v>
          </cell>
          <cell r="I23" t="str">
            <v>保单客户</v>
          </cell>
        </row>
        <row r="24">
          <cell r="C24" t="str">
            <v>中国人保保险</v>
          </cell>
          <cell r="I24" t="str">
            <v>保单客户</v>
          </cell>
        </row>
        <row r="25">
          <cell r="C25" t="str">
            <v>中国平安保险</v>
          </cell>
          <cell r="I25" t="str">
            <v>推修客户</v>
          </cell>
          <cell r="AD25">
            <v>1</v>
          </cell>
        </row>
        <row r="26">
          <cell r="C26" t="str">
            <v>中国人保保险</v>
          </cell>
          <cell r="I26" t="str">
            <v>保单客户</v>
          </cell>
        </row>
        <row r="27">
          <cell r="C27" t="str">
            <v>中国平安保险</v>
          </cell>
          <cell r="I27" t="str">
            <v>推修客户</v>
          </cell>
        </row>
        <row r="28">
          <cell r="C28" t="str">
            <v>国寿保险</v>
          </cell>
          <cell r="I28" t="str">
            <v>保单客户</v>
          </cell>
        </row>
        <row r="29">
          <cell r="C29" t="str">
            <v>中国平安保险</v>
          </cell>
          <cell r="I29" t="str">
            <v>保单客户</v>
          </cell>
        </row>
        <row r="30">
          <cell r="C30" t="str">
            <v>中国平安保险</v>
          </cell>
          <cell r="I30" t="str">
            <v>推修客户</v>
          </cell>
        </row>
        <row r="31">
          <cell r="C31" t="str">
            <v>太平保险</v>
          </cell>
          <cell r="I31" t="str">
            <v>推修客户</v>
          </cell>
          <cell r="AD31">
            <v>1</v>
          </cell>
        </row>
        <row r="32">
          <cell r="C32" t="str">
            <v>中国平安保险</v>
          </cell>
          <cell r="I32" t="str">
            <v>推修客户</v>
          </cell>
        </row>
        <row r="33">
          <cell r="C33" t="str">
            <v>太平保险</v>
          </cell>
          <cell r="I33" t="str">
            <v>保单客户</v>
          </cell>
        </row>
        <row r="34">
          <cell r="C34" t="str">
            <v>天安保险</v>
          </cell>
          <cell r="I34" t="str">
            <v>保单客户</v>
          </cell>
          <cell r="AD34">
            <v>1</v>
          </cell>
        </row>
        <row r="35">
          <cell r="C35" t="str">
            <v>中国平安保险</v>
          </cell>
          <cell r="I35" t="str">
            <v>推修客户</v>
          </cell>
        </row>
        <row r="36">
          <cell r="C36" t="str">
            <v>华安保险</v>
          </cell>
          <cell r="I36" t="str">
            <v>推修客户</v>
          </cell>
        </row>
        <row r="37">
          <cell r="C37" t="str">
            <v>中国平安保险</v>
          </cell>
          <cell r="I37" t="str">
            <v>保单客户</v>
          </cell>
          <cell r="AD37">
            <v>1</v>
          </cell>
        </row>
        <row r="38">
          <cell r="C38" t="str">
            <v>中国人保保险</v>
          </cell>
          <cell r="I38" t="str">
            <v>保单客户</v>
          </cell>
          <cell r="AD38">
            <v>1</v>
          </cell>
        </row>
        <row r="39">
          <cell r="C39" t="str">
            <v>中国人保保险</v>
          </cell>
          <cell r="I39" t="str">
            <v>保单客户</v>
          </cell>
        </row>
        <row r="40">
          <cell r="C40" t="str">
            <v>中国人保保险</v>
          </cell>
          <cell r="I40" t="str">
            <v>保单客户</v>
          </cell>
        </row>
        <row r="41">
          <cell r="C41" t="str">
            <v>中国平安保险</v>
          </cell>
          <cell r="I41" t="str">
            <v>推修客户</v>
          </cell>
        </row>
        <row r="42">
          <cell r="C42" t="str">
            <v>中国平安保险</v>
          </cell>
          <cell r="I42" t="str">
            <v>保单客户</v>
          </cell>
        </row>
        <row r="43">
          <cell r="C43" t="str">
            <v>中国平安保险</v>
          </cell>
          <cell r="I43" t="str">
            <v>保单客户</v>
          </cell>
        </row>
        <row r="44">
          <cell r="C44" t="str">
            <v>中国平安保险</v>
          </cell>
          <cell r="I44" t="str">
            <v>推修客户</v>
          </cell>
        </row>
        <row r="45">
          <cell r="C45" t="str">
            <v>中国平安保险</v>
          </cell>
          <cell r="I45" t="str">
            <v>推修客户</v>
          </cell>
        </row>
        <row r="46">
          <cell r="C46" t="str">
            <v>中国平安保险</v>
          </cell>
          <cell r="I46" t="str">
            <v>保单客户</v>
          </cell>
        </row>
        <row r="47">
          <cell r="C47" t="str">
            <v>中国人保保险</v>
          </cell>
          <cell r="I47" t="str">
            <v>推修客户</v>
          </cell>
        </row>
        <row r="48">
          <cell r="C48" t="str">
            <v>阳光保险</v>
          </cell>
          <cell r="I48" t="str">
            <v>推修客户</v>
          </cell>
          <cell r="AD48">
            <v>1</v>
          </cell>
        </row>
        <row r="49">
          <cell r="C49" t="str">
            <v>中国平安保险</v>
          </cell>
          <cell r="I49" t="str">
            <v>推修客户</v>
          </cell>
        </row>
        <row r="50">
          <cell r="C50" t="str">
            <v>中国人保保险</v>
          </cell>
          <cell r="I50" t="str">
            <v>保单客户</v>
          </cell>
        </row>
        <row r="51">
          <cell r="C51" t="str">
            <v>中国平安保险</v>
          </cell>
          <cell r="I51" t="str">
            <v>推修客户</v>
          </cell>
        </row>
        <row r="52">
          <cell r="C52" t="str">
            <v>中国平安保险</v>
          </cell>
          <cell r="I52" t="str">
            <v>推修客户</v>
          </cell>
        </row>
        <row r="53">
          <cell r="C53" t="str">
            <v>中国人保保险</v>
          </cell>
          <cell r="I53" t="str">
            <v>推修客户</v>
          </cell>
        </row>
        <row r="54">
          <cell r="C54" t="str">
            <v>中国平安保险</v>
          </cell>
          <cell r="I54" t="str">
            <v>推修客户</v>
          </cell>
        </row>
        <row r="55">
          <cell r="C55" t="str">
            <v>中国平安保险</v>
          </cell>
          <cell r="I55" t="str">
            <v>推修客户</v>
          </cell>
          <cell r="AD55">
            <v>1</v>
          </cell>
        </row>
        <row r="56">
          <cell r="C56" t="str">
            <v>中国平安保险</v>
          </cell>
          <cell r="I56" t="str">
            <v>保单客户</v>
          </cell>
        </row>
        <row r="57">
          <cell r="C57" t="str">
            <v>中国平安保险</v>
          </cell>
          <cell r="I57" t="str">
            <v>推修客户</v>
          </cell>
          <cell r="AD57">
            <v>1</v>
          </cell>
        </row>
        <row r="58">
          <cell r="C58" t="str">
            <v>中国人保保险</v>
          </cell>
          <cell r="I58" t="str">
            <v>保单客户</v>
          </cell>
        </row>
        <row r="59">
          <cell r="C59" t="str">
            <v>中国人保保险</v>
          </cell>
          <cell r="I59" t="str">
            <v>保单客户</v>
          </cell>
          <cell r="AD59">
            <v>1</v>
          </cell>
        </row>
        <row r="60">
          <cell r="C60" t="str">
            <v>阳光保险</v>
          </cell>
          <cell r="I60" t="str">
            <v>保单客户</v>
          </cell>
        </row>
        <row r="61">
          <cell r="C61" t="str">
            <v>中华保险</v>
          </cell>
          <cell r="I61" t="str">
            <v>保单客户</v>
          </cell>
        </row>
        <row r="62">
          <cell r="C62" t="str">
            <v>中国平安保险</v>
          </cell>
          <cell r="I62" t="str">
            <v>推修客户</v>
          </cell>
        </row>
        <row r="63">
          <cell r="C63" t="str">
            <v>中国平安保险</v>
          </cell>
          <cell r="I63" t="str">
            <v>推修客户</v>
          </cell>
        </row>
        <row r="64">
          <cell r="C64" t="str">
            <v>中国人保保险</v>
          </cell>
          <cell r="I64" t="str">
            <v>推修客户</v>
          </cell>
        </row>
        <row r="65">
          <cell r="C65" t="str">
            <v>中国平安保险</v>
          </cell>
          <cell r="I65" t="str">
            <v>保单客户</v>
          </cell>
        </row>
        <row r="66">
          <cell r="C66" t="str">
            <v>中国人保保险</v>
          </cell>
          <cell r="I66" t="str">
            <v>保单客户</v>
          </cell>
        </row>
        <row r="67">
          <cell r="C67" t="str">
            <v>中国人保保险</v>
          </cell>
          <cell r="I67" t="str">
            <v>保单客户</v>
          </cell>
        </row>
        <row r="68">
          <cell r="C68" t="str">
            <v>太平洋保险</v>
          </cell>
          <cell r="I68" t="str">
            <v>推修客户</v>
          </cell>
        </row>
        <row r="69">
          <cell r="C69" t="str">
            <v>中国平安保险</v>
          </cell>
          <cell r="I69" t="str">
            <v>推修客户</v>
          </cell>
        </row>
        <row r="70">
          <cell r="C70" t="str">
            <v>中国人保保险</v>
          </cell>
          <cell r="I70" t="str">
            <v>推修客户</v>
          </cell>
        </row>
        <row r="71">
          <cell r="C71" t="str">
            <v>中国人保保险</v>
          </cell>
          <cell r="I71" t="str">
            <v>保单客户</v>
          </cell>
        </row>
        <row r="72">
          <cell r="C72" t="str">
            <v>中国人保保险</v>
          </cell>
          <cell r="I72" t="str">
            <v>保单客户</v>
          </cell>
        </row>
        <row r="73">
          <cell r="C73" t="str">
            <v>中国人保保险</v>
          </cell>
          <cell r="I73" t="str">
            <v>保单客户</v>
          </cell>
        </row>
        <row r="74">
          <cell r="C74" t="str">
            <v>中国人保保险</v>
          </cell>
          <cell r="I74" t="str">
            <v>保单客户</v>
          </cell>
        </row>
        <row r="75">
          <cell r="C75" t="str">
            <v>中国平安保险</v>
          </cell>
          <cell r="I75" t="str">
            <v>推修客户</v>
          </cell>
        </row>
        <row r="76">
          <cell r="C76" t="str">
            <v>中国平安保险</v>
          </cell>
          <cell r="I76" t="str">
            <v>推修客户</v>
          </cell>
          <cell r="AD76">
            <v>1</v>
          </cell>
        </row>
        <row r="77">
          <cell r="C77" t="str">
            <v>中国人保保险</v>
          </cell>
          <cell r="I77" t="str">
            <v>保单客户</v>
          </cell>
        </row>
        <row r="78">
          <cell r="C78" t="str">
            <v>太平保险</v>
          </cell>
          <cell r="I78" t="str">
            <v>保单客户</v>
          </cell>
        </row>
        <row r="79">
          <cell r="C79" t="str">
            <v>中国平安保险</v>
          </cell>
          <cell r="I79" t="str">
            <v>保单客户</v>
          </cell>
        </row>
        <row r="80">
          <cell r="C80" t="str">
            <v>中华保险</v>
          </cell>
          <cell r="I80" t="str">
            <v>推修客户</v>
          </cell>
        </row>
        <row r="81">
          <cell r="C81" t="str">
            <v>中国平安保险</v>
          </cell>
          <cell r="I81" t="str">
            <v>推修客户</v>
          </cell>
        </row>
        <row r="82">
          <cell r="C82" t="str">
            <v>中华保险</v>
          </cell>
          <cell r="I82" t="str">
            <v>保单客户</v>
          </cell>
        </row>
        <row r="83">
          <cell r="C83" t="str">
            <v>阳光保险</v>
          </cell>
          <cell r="I83" t="str">
            <v>推修客户</v>
          </cell>
        </row>
        <row r="84">
          <cell r="C84" t="str">
            <v>中国平安保险</v>
          </cell>
          <cell r="I84" t="str">
            <v>保单客户</v>
          </cell>
        </row>
        <row r="85">
          <cell r="C85" t="str">
            <v>太平洋保险</v>
          </cell>
          <cell r="I85" t="str">
            <v>推修客户</v>
          </cell>
        </row>
        <row r="86">
          <cell r="C86" t="str">
            <v>中国人保保险</v>
          </cell>
          <cell r="I86" t="str">
            <v>推修客户</v>
          </cell>
        </row>
        <row r="87">
          <cell r="C87" t="str">
            <v>中国人保保险</v>
          </cell>
          <cell r="I87" t="str">
            <v>推修客户</v>
          </cell>
        </row>
        <row r="88">
          <cell r="C88" t="str">
            <v>中国平安保险</v>
          </cell>
          <cell r="I88" t="str">
            <v>推修客户</v>
          </cell>
        </row>
        <row r="89">
          <cell r="C89" t="str">
            <v>中国平安保险</v>
          </cell>
          <cell r="I89" t="str">
            <v>保单客户</v>
          </cell>
        </row>
        <row r="90">
          <cell r="C90" t="str">
            <v>中华保险</v>
          </cell>
          <cell r="I90" t="str">
            <v>保单客户</v>
          </cell>
        </row>
        <row r="91">
          <cell r="C91" t="str">
            <v>中国人保保险</v>
          </cell>
          <cell r="I91" t="str">
            <v>推修客户</v>
          </cell>
        </row>
        <row r="92">
          <cell r="C92" t="str">
            <v>中国平安保险</v>
          </cell>
          <cell r="I92" t="str">
            <v>推修客户</v>
          </cell>
        </row>
        <row r="93">
          <cell r="C93" t="str">
            <v>中国人保保险</v>
          </cell>
          <cell r="I93" t="str">
            <v>保单客户</v>
          </cell>
        </row>
        <row r="94">
          <cell r="C94" t="str">
            <v>中国人保保险</v>
          </cell>
          <cell r="I94" t="str">
            <v>保单客户</v>
          </cell>
        </row>
        <row r="95">
          <cell r="C95" t="str">
            <v>中国人保保险</v>
          </cell>
          <cell r="I95" t="str">
            <v>保单客户</v>
          </cell>
        </row>
        <row r="96">
          <cell r="C96" t="str">
            <v>中国平安保险</v>
          </cell>
          <cell r="I96" t="str">
            <v>推修客户</v>
          </cell>
          <cell r="AD96">
            <v>1</v>
          </cell>
        </row>
        <row r="97">
          <cell r="C97" t="str">
            <v>中国人保保险</v>
          </cell>
          <cell r="I97" t="str">
            <v>保单客户</v>
          </cell>
        </row>
        <row r="98">
          <cell r="C98" t="str">
            <v>华安保险</v>
          </cell>
          <cell r="I98" t="str">
            <v>推修客户</v>
          </cell>
        </row>
        <row r="99">
          <cell r="C99" t="str">
            <v>中国人保保险</v>
          </cell>
          <cell r="I99" t="str">
            <v>推修客户</v>
          </cell>
        </row>
        <row r="100">
          <cell r="C100" t="str">
            <v>中国人保保险</v>
          </cell>
          <cell r="I100" t="str">
            <v>推修客户</v>
          </cell>
        </row>
        <row r="101">
          <cell r="C101" t="str">
            <v>中国平安保险</v>
          </cell>
          <cell r="I101" t="str">
            <v>保单客户</v>
          </cell>
        </row>
        <row r="102">
          <cell r="C102" t="str">
            <v>太平保险</v>
          </cell>
          <cell r="I102" t="str">
            <v>保单客户</v>
          </cell>
        </row>
        <row r="103">
          <cell r="C103" t="str">
            <v>中国人保保险</v>
          </cell>
          <cell r="I103" t="str">
            <v>保单客户</v>
          </cell>
        </row>
        <row r="104">
          <cell r="C104" t="str">
            <v>中国人保保险</v>
          </cell>
          <cell r="I104" t="str">
            <v>保单客户</v>
          </cell>
        </row>
        <row r="105">
          <cell r="C105" t="str">
            <v>中国平安保险</v>
          </cell>
          <cell r="I105" t="str">
            <v>推修客户</v>
          </cell>
        </row>
        <row r="106">
          <cell r="C106" t="str">
            <v>华安保险</v>
          </cell>
          <cell r="I106" t="str">
            <v>推修客户</v>
          </cell>
          <cell r="AD106">
            <v>1</v>
          </cell>
        </row>
        <row r="107">
          <cell r="C107" t="str">
            <v>中国人保保险</v>
          </cell>
          <cell r="I107" t="str">
            <v>保单客户</v>
          </cell>
        </row>
        <row r="108">
          <cell r="C108" t="str">
            <v>中国人保保险</v>
          </cell>
          <cell r="I108" t="str">
            <v>保单客户</v>
          </cell>
        </row>
        <row r="109">
          <cell r="C109" t="str">
            <v>中国平安保险</v>
          </cell>
          <cell r="I109" t="str">
            <v>保单客户</v>
          </cell>
        </row>
        <row r="110">
          <cell r="C110" t="str">
            <v>中国人保保险</v>
          </cell>
          <cell r="I110" t="str">
            <v>推修客户</v>
          </cell>
        </row>
        <row r="111">
          <cell r="C111" t="str">
            <v>阳光保险</v>
          </cell>
          <cell r="I111" t="str">
            <v>推修客户</v>
          </cell>
        </row>
        <row r="112">
          <cell r="C112" t="str">
            <v>大地保险</v>
          </cell>
          <cell r="I112" t="str">
            <v>保单客户</v>
          </cell>
        </row>
        <row r="113">
          <cell r="C113" t="str">
            <v>华安保险</v>
          </cell>
          <cell r="I113" t="str">
            <v>保单客户</v>
          </cell>
        </row>
        <row r="114">
          <cell r="C114" t="str">
            <v>中国人保保险</v>
          </cell>
          <cell r="I114" t="str">
            <v>保单客户</v>
          </cell>
        </row>
        <row r="115">
          <cell r="C115" t="str">
            <v>中国平安保险</v>
          </cell>
          <cell r="I115" t="str">
            <v>推修客户</v>
          </cell>
          <cell r="AD115">
            <v>1</v>
          </cell>
        </row>
        <row r="116">
          <cell r="C116" t="str">
            <v>中国平安保险</v>
          </cell>
          <cell r="I116" t="str">
            <v>推修客户</v>
          </cell>
          <cell r="AD116">
            <v>1</v>
          </cell>
        </row>
        <row r="117">
          <cell r="C117" t="str">
            <v>中国平安保险</v>
          </cell>
          <cell r="I117" t="str">
            <v>保单客户</v>
          </cell>
        </row>
        <row r="118">
          <cell r="C118" t="str">
            <v>中国平安保险</v>
          </cell>
          <cell r="I118" t="str">
            <v>保单客户</v>
          </cell>
        </row>
        <row r="119">
          <cell r="C119" t="str">
            <v>中国平安保险</v>
          </cell>
          <cell r="I119" t="str">
            <v>保单客户</v>
          </cell>
        </row>
        <row r="120">
          <cell r="C120" t="str">
            <v>中国平安保险</v>
          </cell>
          <cell r="I120" t="str">
            <v>保单客户</v>
          </cell>
        </row>
        <row r="121">
          <cell r="C121" t="str">
            <v>中国平安保险</v>
          </cell>
          <cell r="I121" t="str">
            <v>保单客户</v>
          </cell>
        </row>
        <row r="122">
          <cell r="C122" t="str">
            <v>中国人保保险</v>
          </cell>
          <cell r="I122" t="str">
            <v>保单客户</v>
          </cell>
        </row>
        <row r="123">
          <cell r="C123" t="str">
            <v>中国人保保险</v>
          </cell>
          <cell r="I123" t="str">
            <v>保单客户</v>
          </cell>
        </row>
        <row r="124">
          <cell r="C124" t="str">
            <v>中国平安保险</v>
          </cell>
          <cell r="I124" t="str">
            <v>保单客户</v>
          </cell>
        </row>
        <row r="125">
          <cell r="C125" t="str">
            <v>中国平安保险</v>
          </cell>
          <cell r="I125" t="str">
            <v>推修客户</v>
          </cell>
        </row>
        <row r="126">
          <cell r="C126" t="str">
            <v>中华保险</v>
          </cell>
          <cell r="I126" t="str">
            <v>推修客户</v>
          </cell>
        </row>
        <row r="127">
          <cell r="C127" t="str">
            <v>华安保险</v>
          </cell>
          <cell r="I127" t="str">
            <v>推修客户</v>
          </cell>
          <cell r="AD127">
            <v>1</v>
          </cell>
        </row>
        <row r="128">
          <cell r="C128" t="str">
            <v>国寿保险</v>
          </cell>
          <cell r="I128" t="str">
            <v>推修客户</v>
          </cell>
        </row>
        <row r="129">
          <cell r="C129" t="str">
            <v>中国人保保险</v>
          </cell>
          <cell r="I129" t="str">
            <v>保单客户</v>
          </cell>
        </row>
        <row r="130">
          <cell r="C130" t="str">
            <v>中国人保保险</v>
          </cell>
          <cell r="I130" t="str">
            <v>推修客户</v>
          </cell>
        </row>
        <row r="131">
          <cell r="C131" t="str">
            <v>阳光保险</v>
          </cell>
          <cell r="I131" t="str">
            <v>保单客户</v>
          </cell>
        </row>
        <row r="132">
          <cell r="C132" t="str">
            <v>中银保险</v>
          </cell>
          <cell r="I132" t="str">
            <v>推修客户</v>
          </cell>
        </row>
        <row r="133">
          <cell r="C133" t="str">
            <v>中华保险</v>
          </cell>
          <cell r="I133" t="str">
            <v>推修客户</v>
          </cell>
        </row>
        <row r="134">
          <cell r="C134" t="str">
            <v>中国人保保险</v>
          </cell>
          <cell r="I134" t="str">
            <v>保单客户</v>
          </cell>
        </row>
        <row r="135">
          <cell r="C135" t="str">
            <v>中国平安保险</v>
          </cell>
          <cell r="I135" t="str">
            <v>推修客户</v>
          </cell>
        </row>
        <row r="136">
          <cell r="C136" t="str">
            <v>中国人保保险</v>
          </cell>
          <cell r="I136" t="str">
            <v>推修客户</v>
          </cell>
        </row>
        <row r="137">
          <cell r="C137" t="str">
            <v>中华保险</v>
          </cell>
          <cell r="I137" t="str">
            <v>保单客户</v>
          </cell>
        </row>
        <row r="138">
          <cell r="C138" t="str">
            <v>中国人保保险</v>
          </cell>
          <cell r="I138" t="str">
            <v>保单客户</v>
          </cell>
        </row>
        <row r="139">
          <cell r="C139" t="str">
            <v>大地保险</v>
          </cell>
          <cell r="I139" t="str">
            <v>保单客户</v>
          </cell>
        </row>
        <row r="140">
          <cell r="C140" t="str">
            <v>阳光保险</v>
          </cell>
          <cell r="I140" t="str">
            <v>推修客户</v>
          </cell>
        </row>
        <row r="141">
          <cell r="C141" t="str">
            <v>中国人保保险</v>
          </cell>
          <cell r="I141" t="str">
            <v>推修客户</v>
          </cell>
        </row>
        <row r="142">
          <cell r="C142" t="str">
            <v>中国平安保险</v>
          </cell>
          <cell r="I142" t="str">
            <v>推修客户</v>
          </cell>
          <cell r="AD142">
            <v>1</v>
          </cell>
        </row>
        <row r="143">
          <cell r="C143" t="str">
            <v>中国人保保险</v>
          </cell>
          <cell r="I143" t="str">
            <v>保单客户</v>
          </cell>
          <cell r="AD143">
            <v>1</v>
          </cell>
        </row>
        <row r="144">
          <cell r="C144" t="str">
            <v>中国平安保险</v>
          </cell>
          <cell r="I144" t="str">
            <v>推修客户</v>
          </cell>
        </row>
        <row r="145">
          <cell r="C145" t="str">
            <v>中国人保保险</v>
          </cell>
          <cell r="I145" t="str">
            <v>保单客户</v>
          </cell>
        </row>
        <row r="146">
          <cell r="C146" t="str">
            <v>中国平安保险</v>
          </cell>
          <cell r="I146" t="str">
            <v>推修客户</v>
          </cell>
        </row>
        <row r="147">
          <cell r="C147" t="str">
            <v>中国平安保险</v>
          </cell>
          <cell r="I147" t="str">
            <v>推修客户</v>
          </cell>
        </row>
        <row r="148">
          <cell r="C148" t="str">
            <v>中华保险</v>
          </cell>
          <cell r="I148" t="str">
            <v>推修客户</v>
          </cell>
        </row>
        <row r="149">
          <cell r="C149" t="str">
            <v>中国人保保险</v>
          </cell>
          <cell r="I149" t="str">
            <v>保单客户</v>
          </cell>
        </row>
        <row r="150">
          <cell r="C150" t="str">
            <v>国寿保险</v>
          </cell>
          <cell r="I150" t="str">
            <v>保单客户</v>
          </cell>
          <cell r="AD150">
            <v>1</v>
          </cell>
        </row>
        <row r="151">
          <cell r="C151" t="str">
            <v>中国平安保险</v>
          </cell>
          <cell r="I151" t="str">
            <v>保单客户</v>
          </cell>
        </row>
        <row r="152">
          <cell r="C152" t="str">
            <v>中国人保保险</v>
          </cell>
          <cell r="I152" t="str">
            <v>推修客户</v>
          </cell>
        </row>
        <row r="153">
          <cell r="C153" t="str">
            <v>中国平安保险</v>
          </cell>
          <cell r="I153" t="str">
            <v>推修客户</v>
          </cell>
        </row>
        <row r="154">
          <cell r="C154" t="str">
            <v>中国平安保险</v>
          </cell>
          <cell r="I154" t="str">
            <v>推修客户</v>
          </cell>
        </row>
        <row r="155">
          <cell r="C155" t="str">
            <v>中国人保保险</v>
          </cell>
          <cell r="I155" t="str">
            <v>推修客户</v>
          </cell>
        </row>
        <row r="156">
          <cell r="C156" t="str">
            <v>中国人保保险</v>
          </cell>
          <cell r="I156" t="str">
            <v>推修客户</v>
          </cell>
        </row>
        <row r="157">
          <cell r="C157" t="str">
            <v>中国人保保险</v>
          </cell>
          <cell r="I157" t="str">
            <v>保单客户</v>
          </cell>
          <cell r="AD157">
            <v>1</v>
          </cell>
        </row>
        <row r="158">
          <cell r="C158" t="str">
            <v>中国平安保险</v>
          </cell>
          <cell r="I158" t="str">
            <v>推修客户</v>
          </cell>
        </row>
        <row r="159">
          <cell r="C159" t="str">
            <v>中国平安保险</v>
          </cell>
          <cell r="I159" t="str">
            <v>保单客户</v>
          </cell>
        </row>
        <row r="160">
          <cell r="C160" t="str">
            <v>中国平安保险</v>
          </cell>
          <cell r="I160" t="str">
            <v>推修客户</v>
          </cell>
        </row>
        <row r="161">
          <cell r="C161" t="str">
            <v>中国平安保险</v>
          </cell>
          <cell r="I161" t="str">
            <v>保单客户</v>
          </cell>
          <cell r="AD161">
            <v>1</v>
          </cell>
        </row>
        <row r="162">
          <cell r="C162" t="str">
            <v>中国平安保险</v>
          </cell>
          <cell r="I162" t="str">
            <v>保单客户</v>
          </cell>
        </row>
        <row r="163">
          <cell r="C163" t="str">
            <v>中国平安保险</v>
          </cell>
          <cell r="I163" t="str">
            <v>推修客户</v>
          </cell>
        </row>
        <row r="164">
          <cell r="C164" t="str">
            <v>中国人保保险</v>
          </cell>
          <cell r="I164" t="str">
            <v>保单客户</v>
          </cell>
          <cell r="AD164">
            <v>1</v>
          </cell>
        </row>
        <row r="165">
          <cell r="C165" t="str">
            <v>中国人保保险</v>
          </cell>
          <cell r="I165" t="str">
            <v>保单客户</v>
          </cell>
        </row>
        <row r="166">
          <cell r="C166" t="str">
            <v>中国人保保险</v>
          </cell>
          <cell r="I166" t="str">
            <v>推修客户</v>
          </cell>
        </row>
        <row r="167">
          <cell r="C167" t="str">
            <v>太平洋保险</v>
          </cell>
          <cell r="I167" t="str">
            <v>保单客户</v>
          </cell>
        </row>
        <row r="168">
          <cell r="C168" t="str">
            <v>中国平安保险</v>
          </cell>
          <cell r="I168" t="str">
            <v>推修客户</v>
          </cell>
        </row>
        <row r="169">
          <cell r="C169" t="str">
            <v>中国平安保险</v>
          </cell>
          <cell r="I169" t="str">
            <v>推修客户</v>
          </cell>
        </row>
        <row r="170">
          <cell r="C170" t="str">
            <v>中华保险</v>
          </cell>
          <cell r="I170" t="str">
            <v>推修客户</v>
          </cell>
        </row>
        <row r="171">
          <cell r="C171" t="str">
            <v>中国平安保险</v>
          </cell>
          <cell r="I171" t="str">
            <v>保单客户</v>
          </cell>
        </row>
        <row r="172">
          <cell r="C172" t="str">
            <v>中华保险</v>
          </cell>
          <cell r="I172" t="str">
            <v>推修客户</v>
          </cell>
        </row>
        <row r="173">
          <cell r="C173" t="str">
            <v>中国平安保险</v>
          </cell>
          <cell r="I173" t="str">
            <v>推修客户</v>
          </cell>
        </row>
        <row r="174">
          <cell r="C174" t="str">
            <v>中国人保保险</v>
          </cell>
          <cell r="I174" t="str">
            <v>推修客户</v>
          </cell>
        </row>
        <row r="175">
          <cell r="C175" t="str">
            <v>中国人保保险</v>
          </cell>
          <cell r="I175" t="str">
            <v>保单客户</v>
          </cell>
        </row>
        <row r="176">
          <cell r="C176" t="str">
            <v>中国人保保险</v>
          </cell>
          <cell r="I176" t="str">
            <v>保单客户</v>
          </cell>
        </row>
        <row r="177">
          <cell r="C177" t="str">
            <v>中国平安保险</v>
          </cell>
          <cell r="I177" t="str">
            <v>推修客户</v>
          </cell>
          <cell r="AD177">
            <v>1</v>
          </cell>
        </row>
        <row r="178">
          <cell r="C178" t="str">
            <v>中国平安保险</v>
          </cell>
          <cell r="I178" t="str">
            <v>保单客户</v>
          </cell>
        </row>
        <row r="179">
          <cell r="C179" t="str">
            <v>中国人保保险</v>
          </cell>
          <cell r="I179" t="str">
            <v>保单客户</v>
          </cell>
        </row>
        <row r="180">
          <cell r="C180" t="str">
            <v>太平保险</v>
          </cell>
          <cell r="I180" t="str">
            <v>保单客户</v>
          </cell>
        </row>
        <row r="181">
          <cell r="C181" t="str">
            <v>中国平安保险</v>
          </cell>
          <cell r="I181" t="str">
            <v>推修客户</v>
          </cell>
        </row>
        <row r="182">
          <cell r="C182" t="str">
            <v>中国人保保险</v>
          </cell>
          <cell r="I182" t="str">
            <v>推修客户</v>
          </cell>
        </row>
        <row r="183">
          <cell r="C183" t="str">
            <v>中国人保保险</v>
          </cell>
          <cell r="I183" t="str">
            <v>保单客户</v>
          </cell>
        </row>
        <row r="184">
          <cell r="C184" t="str">
            <v>中国人保保险</v>
          </cell>
          <cell r="I184" t="str">
            <v>推修客户</v>
          </cell>
        </row>
        <row r="185">
          <cell r="C185" t="str">
            <v>中国平安保险</v>
          </cell>
          <cell r="I185" t="str">
            <v>推修客户</v>
          </cell>
          <cell r="AD185">
            <v>1</v>
          </cell>
        </row>
        <row r="186">
          <cell r="C186" t="str">
            <v>中国人保保险</v>
          </cell>
          <cell r="I186" t="str">
            <v>保单客户</v>
          </cell>
        </row>
        <row r="187">
          <cell r="C187" t="str">
            <v>中国平安保险</v>
          </cell>
          <cell r="I187" t="str">
            <v>推修客户</v>
          </cell>
        </row>
        <row r="188">
          <cell r="C188" t="str">
            <v>中国人保保险</v>
          </cell>
          <cell r="I188" t="str">
            <v>保单客户</v>
          </cell>
        </row>
        <row r="189">
          <cell r="C189" t="str">
            <v>大地保险</v>
          </cell>
          <cell r="I189" t="str">
            <v>保单客户</v>
          </cell>
        </row>
        <row r="190">
          <cell r="C190" t="str">
            <v>中国平安保险</v>
          </cell>
          <cell r="I190" t="str">
            <v>保单客户</v>
          </cell>
          <cell r="AD190">
            <v>1</v>
          </cell>
        </row>
        <row r="191">
          <cell r="C191" t="str">
            <v>中国平安保险</v>
          </cell>
          <cell r="I191" t="str">
            <v>保单客户</v>
          </cell>
        </row>
        <row r="192">
          <cell r="C192" t="str">
            <v>中国人保保险</v>
          </cell>
          <cell r="I192" t="str">
            <v>推修客户</v>
          </cell>
        </row>
        <row r="193">
          <cell r="C193" t="str">
            <v>中国平安保险</v>
          </cell>
          <cell r="I193" t="str">
            <v>保单客户</v>
          </cell>
        </row>
        <row r="194">
          <cell r="C194" t="str">
            <v>中国人保保险</v>
          </cell>
          <cell r="I194" t="str">
            <v>推修客户</v>
          </cell>
        </row>
        <row r="195">
          <cell r="C195" t="str">
            <v>中国平安保险</v>
          </cell>
          <cell r="I195" t="str">
            <v>推修客户</v>
          </cell>
        </row>
        <row r="196">
          <cell r="C196" t="str">
            <v>中国平安保险</v>
          </cell>
          <cell r="I196" t="str">
            <v>推修客户</v>
          </cell>
        </row>
        <row r="197">
          <cell r="C197" t="str">
            <v>中国人保保险</v>
          </cell>
          <cell r="I197" t="str">
            <v>保单客户</v>
          </cell>
        </row>
        <row r="198">
          <cell r="C198" t="str">
            <v>中国平安保险</v>
          </cell>
          <cell r="I198" t="str">
            <v>推修客户</v>
          </cell>
        </row>
        <row r="199">
          <cell r="C199" t="str">
            <v>中国平安保险</v>
          </cell>
          <cell r="I199" t="str">
            <v>推修客户</v>
          </cell>
        </row>
        <row r="200">
          <cell r="C200" t="str">
            <v>中国人保保险</v>
          </cell>
          <cell r="I200" t="str">
            <v>推修客户</v>
          </cell>
        </row>
        <row r="201">
          <cell r="C201" t="str">
            <v>中国人保保险</v>
          </cell>
          <cell r="I201" t="str">
            <v>保单客户</v>
          </cell>
        </row>
        <row r="202">
          <cell r="C202" t="str">
            <v>中国平安保险</v>
          </cell>
          <cell r="I202" t="str">
            <v>推修客户</v>
          </cell>
        </row>
        <row r="203">
          <cell r="C203" t="str">
            <v>中国人保保险</v>
          </cell>
          <cell r="I203" t="str">
            <v>保单客户</v>
          </cell>
        </row>
        <row r="204">
          <cell r="C204" t="str">
            <v>中国人保保险</v>
          </cell>
          <cell r="I204" t="str">
            <v>保单客户</v>
          </cell>
        </row>
        <row r="205">
          <cell r="C205" t="str">
            <v>中国人保保险</v>
          </cell>
          <cell r="I205" t="str">
            <v>推修客户</v>
          </cell>
        </row>
        <row r="206">
          <cell r="C206" t="str">
            <v>华安保险</v>
          </cell>
          <cell r="I206" t="str">
            <v>推修客户</v>
          </cell>
        </row>
        <row r="207">
          <cell r="C207" t="str">
            <v>中华保险</v>
          </cell>
          <cell r="I207" t="str">
            <v>推修客户</v>
          </cell>
        </row>
        <row r="208">
          <cell r="C208" t="str">
            <v>中国人保保险</v>
          </cell>
          <cell r="I208" t="str">
            <v>保单客户</v>
          </cell>
        </row>
        <row r="209">
          <cell r="C209" t="str">
            <v>中国人保保险</v>
          </cell>
          <cell r="I209" t="str">
            <v>推修客户</v>
          </cell>
        </row>
        <row r="210">
          <cell r="C210" t="str">
            <v>华安保险</v>
          </cell>
          <cell r="I210" t="str">
            <v>保单客户</v>
          </cell>
        </row>
        <row r="211">
          <cell r="C211" t="str">
            <v>中国平安保险</v>
          </cell>
          <cell r="I211" t="str">
            <v>保单客户</v>
          </cell>
        </row>
        <row r="212">
          <cell r="C212" t="str">
            <v>中国人保保险</v>
          </cell>
          <cell r="I212" t="str">
            <v>保单客户</v>
          </cell>
        </row>
        <row r="213">
          <cell r="C213" t="str">
            <v>中国平安保险</v>
          </cell>
          <cell r="I213" t="str">
            <v>推修客户</v>
          </cell>
          <cell r="AD213">
            <v>1</v>
          </cell>
        </row>
        <row r="214">
          <cell r="C214" t="str">
            <v>中国人保保险</v>
          </cell>
          <cell r="I214" t="str">
            <v>推修客户</v>
          </cell>
        </row>
        <row r="215">
          <cell r="C215" t="str">
            <v>中国平安保险</v>
          </cell>
          <cell r="I215" t="str">
            <v>保单客户</v>
          </cell>
        </row>
        <row r="216">
          <cell r="C216" t="str">
            <v>太平保险</v>
          </cell>
          <cell r="I216" t="str">
            <v>推修客户</v>
          </cell>
          <cell r="AD216">
            <v>1</v>
          </cell>
        </row>
        <row r="217">
          <cell r="C217" t="str">
            <v>中国平安保险</v>
          </cell>
          <cell r="I217" t="str">
            <v>保单客户</v>
          </cell>
        </row>
        <row r="218">
          <cell r="C218" t="str">
            <v>中国人保保险</v>
          </cell>
          <cell r="I218" t="str">
            <v>保单客户</v>
          </cell>
          <cell r="AD218">
            <v>1</v>
          </cell>
        </row>
        <row r="219">
          <cell r="C219" t="str">
            <v>大地保险</v>
          </cell>
          <cell r="I219" t="str">
            <v>保单客户</v>
          </cell>
        </row>
        <row r="220">
          <cell r="C220" t="str">
            <v>中国平安保险</v>
          </cell>
          <cell r="I220" t="str">
            <v>推修客户</v>
          </cell>
        </row>
        <row r="221">
          <cell r="C221" t="str">
            <v>中国平安保险</v>
          </cell>
          <cell r="I221" t="str">
            <v>保单客户</v>
          </cell>
          <cell r="AD221">
            <v>1</v>
          </cell>
        </row>
        <row r="222">
          <cell r="C222" t="str">
            <v>中国平安保险</v>
          </cell>
          <cell r="I222" t="str">
            <v>保单客户</v>
          </cell>
          <cell r="AD222">
            <v>1</v>
          </cell>
        </row>
        <row r="223">
          <cell r="C223" t="str">
            <v>中国平安保险</v>
          </cell>
          <cell r="I223" t="str">
            <v>保单客户</v>
          </cell>
        </row>
        <row r="224">
          <cell r="C224" t="str">
            <v>中国平安保险</v>
          </cell>
          <cell r="I224" t="str">
            <v>保单客户</v>
          </cell>
          <cell r="AD224">
            <v>1</v>
          </cell>
        </row>
        <row r="225">
          <cell r="C225" t="str">
            <v>中国人保保险</v>
          </cell>
          <cell r="I225" t="str">
            <v>保单客户</v>
          </cell>
        </row>
        <row r="226">
          <cell r="C226" t="str">
            <v>中国人保保险</v>
          </cell>
          <cell r="I226" t="str">
            <v>保单客户</v>
          </cell>
        </row>
        <row r="227">
          <cell r="C227" t="str">
            <v>中国平安保险</v>
          </cell>
          <cell r="I227" t="str">
            <v>保单客户</v>
          </cell>
        </row>
        <row r="228">
          <cell r="C228" t="str">
            <v>中国平安保险</v>
          </cell>
          <cell r="I228" t="str">
            <v>保单客户</v>
          </cell>
          <cell r="AD228">
            <v>1</v>
          </cell>
        </row>
        <row r="229">
          <cell r="C229" t="str">
            <v>中国平安保险</v>
          </cell>
          <cell r="I229" t="str">
            <v>保单客户</v>
          </cell>
          <cell r="AD229">
            <v>1</v>
          </cell>
        </row>
        <row r="230">
          <cell r="C230" t="str">
            <v>中国人保保险</v>
          </cell>
          <cell r="I230" t="str">
            <v>推修客户</v>
          </cell>
        </row>
        <row r="231">
          <cell r="C231" t="str">
            <v>中国平安保险</v>
          </cell>
          <cell r="I231" t="str">
            <v>保单客户</v>
          </cell>
        </row>
        <row r="232">
          <cell r="C232" t="str">
            <v>中国人保保险</v>
          </cell>
          <cell r="I232" t="str">
            <v>推修客户</v>
          </cell>
        </row>
        <row r="233">
          <cell r="C233" t="str">
            <v>华安保险</v>
          </cell>
          <cell r="I233" t="str">
            <v>推修客户</v>
          </cell>
        </row>
        <row r="234">
          <cell r="C234" t="str">
            <v>中国人保保险</v>
          </cell>
          <cell r="I234" t="str">
            <v>推修客户</v>
          </cell>
        </row>
        <row r="235">
          <cell r="C235" t="str">
            <v>中国人保保险</v>
          </cell>
          <cell r="I235" t="str">
            <v>保单客户</v>
          </cell>
        </row>
        <row r="236">
          <cell r="C236" t="str">
            <v>中国人保保险</v>
          </cell>
          <cell r="I236" t="str">
            <v>保单客户</v>
          </cell>
        </row>
        <row r="237">
          <cell r="C237" t="str">
            <v>中国人保保险</v>
          </cell>
          <cell r="I237" t="str">
            <v>推修客户</v>
          </cell>
        </row>
        <row r="238">
          <cell r="C238" t="str">
            <v>中国平安保险</v>
          </cell>
          <cell r="I238" t="str">
            <v>保单客户</v>
          </cell>
        </row>
        <row r="239">
          <cell r="C239" t="str">
            <v>中国平安保险</v>
          </cell>
          <cell r="I239" t="str">
            <v>保单客户</v>
          </cell>
        </row>
        <row r="240">
          <cell r="C240" t="str">
            <v>中国平安保险</v>
          </cell>
          <cell r="I240" t="str">
            <v>保单客户</v>
          </cell>
        </row>
        <row r="241">
          <cell r="C241" t="str">
            <v>紫金保险</v>
          </cell>
          <cell r="I241" t="str">
            <v>推修客户</v>
          </cell>
          <cell r="AD241">
            <v>1</v>
          </cell>
        </row>
        <row r="242">
          <cell r="C242" t="str">
            <v>中国人保保险</v>
          </cell>
          <cell r="I242" t="str">
            <v>推修客户</v>
          </cell>
        </row>
        <row r="243">
          <cell r="C243" t="str">
            <v>中国人保保险</v>
          </cell>
          <cell r="I243" t="str">
            <v>保单客户</v>
          </cell>
        </row>
        <row r="244">
          <cell r="C244" t="str">
            <v>中国人保保险</v>
          </cell>
          <cell r="I244" t="str">
            <v>推修客户</v>
          </cell>
        </row>
        <row r="245">
          <cell r="C245" t="str">
            <v>中国平安保险</v>
          </cell>
          <cell r="I245" t="str">
            <v>推修客户</v>
          </cell>
          <cell r="AD245">
            <v>1</v>
          </cell>
        </row>
        <row r="246">
          <cell r="C246" t="str">
            <v>华安保险</v>
          </cell>
          <cell r="I246" t="str">
            <v>推修客户</v>
          </cell>
          <cell r="AD246">
            <v>1</v>
          </cell>
        </row>
        <row r="247">
          <cell r="C247" t="str">
            <v>中国平安保险</v>
          </cell>
          <cell r="I247" t="str">
            <v>推修客户</v>
          </cell>
        </row>
        <row r="248">
          <cell r="C248" t="str">
            <v>华安保险</v>
          </cell>
          <cell r="I248" t="str">
            <v>保单客户</v>
          </cell>
        </row>
        <row r="249">
          <cell r="C249" t="str">
            <v>中国平安保险</v>
          </cell>
          <cell r="I249" t="str">
            <v>推修客户</v>
          </cell>
        </row>
        <row r="250">
          <cell r="C250" t="str">
            <v>中国人保保险</v>
          </cell>
          <cell r="I250" t="str">
            <v>保单客户</v>
          </cell>
        </row>
        <row r="251">
          <cell r="C251" t="str">
            <v>中国人保保险</v>
          </cell>
          <cell r="I251" t="str">
            <v>保单客户</v>
          </cell>
        </row>
        <row r="252">
          <cell r="C252" t="str">
            <v>中国平安保险</v>
          </cell>
          <cell r="I252" t="str">
            <v>推修客户</v>
          </cell>
        </row>
        <row r="253">
          <cell r="C253" t="str">
            <v>中国人保保险</v>
          </cell>
          <cell r="I253" t="str">
            <v>保单客户</v>
          </cell>
        </row>
        <row r="254">
          <cell r="C254" t="str">
            <v>太平洋保险</v>
          </cell>
          <cell r="I254" t="str">
            <v>保单客户</v>
          </cell>
        </row>
        <row r="255">
          <cell r="C255" t="str">
            <v>中国平安保险</v>
          </cell>
          <cell r="I255" t="str">
            <v>保单客户</v>
          </cell>
        </row>
        <row r="256">
          <cell r="C256" t="str">
            <v>中国人保保险</v>
          </cell>
          <cell r="I256" t="str">
            <v>保单客户</v>
          </cell>
        </row>
        <row r="257">
          <cell r="C257" t="str">
            <v>中国人保保险</v>
          </cell>
          <cell r="I257" t="str">
            <v>保单客户</v>
          </cell>
        </row>
        <row r="258">
          <cell r="C258" t="str">
            <v>中国平安保险</v>
          </cell>
          <cell r="I258" t="str">
            <v>推修客户</v>
          </cell>
        </row>
        <row r="259">
          <cell r="C259" t="str">
            <v>中国平安保险</v>
          </cell>
          <cell r="I259" t="str">
            <v>推修客户</v>
          </cell>
        </row>
        <row r="260">
          <cell r="C260" t="str">
            <v>中国人保保险</v>
          </cell>
          <cell r="I260" t="str">
            <v>推修客户</v>
          </cell>
        </row>
        <row r="261">
          <cell r="C261" t="str">
            <v>中国平安保险</v>
          </cell>
          <cell r="I261" t="str">
            <v>推修客户</v>
          </cell>
          <cell r="AD261">
            <v>1</v>
          </cell>
        </row>
        <row r="262">
          <cell r="C262" t="str">
            <v>中国平安保险</v>
          </cell>
          <cell r="I262" t="str">
            <v>保单客户</v>
          </cell>
        </row>
        <row r="263">
          <cell r="C263" t="str">
            <v>中国平安保险</v>
          </cell>
          <cell r="I263" t="str">
            <v>推修客户</v>
          </cell>
        </row>
        <row r="264">
          <cell r="C264" t="str">
            <v>大地保险</v>
          </cell>
          <cell r="I264" t="str">
            <v>保单客户</v>
          </cell>
          <cell r="AD264">
            <v>1</v>
          </cell>
        </row>
        <row r="265">
          <cell r="C265" t="str">
            <v>中国人保保险</v>
          </cell>
          <cell r="I265" t="str">
            <v>保单客户</v>
          </cell>
        </row>
        <row r="266">
          <cell r="C266" t="str">
            <v>中国人保保险</v>
          </cell>
          <cell r="I266" t="str">
            <v>保单客户</v>
          </cell>
          <cell r="AD266">
            <v>1</v>
          </cell>
        </row>
        <row r="267">
          <cell r="C267" t="str">
            <v>中国人保保险</v>
          </cell>
          <cell r="I267" t="str">
            <v>保单客户</v>
          </cell>
        </row>
        <row r="268">
          <cell r="C268" t="str">
            <v>中国平安保险</v>
          </cell>
          <cell r="I268" t="str">
            <v>保单客户</v>
          </cell>
        </row>
        <row r="269">
          <cell r="C269" t="str">
            <v>中国人保保险</v>
          </cell>
          <cell r="I269" t="str">
            <v>保单客户</v>
          </cell>
        </row>
        <row r="270">
          <cell r="C270" t="str">
            <v>大地保险</v>
          </cell>
          <cell r="I270" t="str">
            <v>保单客户</v>
          </cell>
        </row>
        <row r="271">
          <cell r="C271" t="str">
            <v>中国平安保险</v>
          </cell>
          <cell r="I271" t="str">
            <v>推修客户</v>
          </cell>
        </row>
        <row r="272">
          <cell r="C272" t="str">
            <v>中国人保保险</v>
          </cell>
          <cell r="I272" t="str">
            <v>保单客户</v>
          </cell>
        </row>
        <row r="273">
          <cell r="C273" t="str">
            <v>太平保险</v>
          </cell>
          <cell r="I273" t="str">
            <v>保单客户</v>
          </cell>
        </row>
        <row r="274">
          <cell r="C274" t="str">
            <v>华安保险</v>
          </cell>
          <cell r="I274" t="str">
            <v>推修客户</v>
          </cell>
        </row>
        <row r="275">
          <cell r="C275" t="str">
            <v>中国人保保险</v>
          </cell>
          <cell r="I275" t="str">
            <v>保单客户</v>
          </cell>
        </row>
        <row r="276">
          <cell r="C276" t="str">
            <v>中国人保保险</v>
          </cell>
          <cell r="I276" t="str">
            <v>保单客户</v>
          </cell>
        </row>
        <row r="277">
          <cell r="C277" t="str">
            <v>中国人保保险</v>
          </cell>
          <cell r="I277" t="str">
            <v>保单客户</v>
          </cell>
        </row>
        <row r="278">
          <cell r="C278" t="str">
            <v>中国平安保险</v>
          </cell>
          <cell r="I278" t="str">
            <v>推修客户</v>
          </cell>
          <cell r="AD278">
            <v>1</v>
          </cell>
        </row>
        <row r="279">
          <cell r="C279" t="str">
            <v>中国平安保险</v>
          </cell>
          <cell r="I279" t="str">
            <v>保单客户</v>
          </cell>
        </row>
        <row r="280">
          <cell r="C280" t="str">
            <v>中国人保保险</v>
          </cell>
          <cell r="I280" t="str">
            <v>推修客户</v>
          </cell>
        </row>
        <row r="281">
          <cell r="C281" t="str">
            <v>中国人保保险</v>
          </cell>
          <cell r="I281" t="str">
            <v>推修客户</v>
          </cell>
        </row>
        <row r="282">
          <cell r="C282" t="str">
            <v>中华保险</v>
          </cell>
          <cell r="I282" t="str">
            <v>推修客户</v>
          </cell>
        </row>
        <row r="283">
          <cell r="C283" t="str">
            <v>中国平安保险</v>
          </cell>
          <cell r="I283" t="str">
            <v>推修客户</v>
          </cell>
        </row>
        <row r="284">
          <cell r="C284" t="str">
            <v>中国平安保险</v>
          </cell>
          <cell r="I284" t="str">
            <v>保单客户</v>
          </cell>
          <cell r="AD284">
            <v>1</v>
          </cell>
        </row>
        <row r="285">
          <cell r="C285" t="str">
            <v>中国平安保险</v>
          </cell>
          <cell r="I285" t="str">
            <v>推修客户</v>
          </cell>
          <cell r="AD285">
            <v>1</v>
          </cell>
        </row>
        <row r="286">
          <cell r="C286" t="str">
            <v>中国平安保险</v>
          </cell>
          <cell r="I286" t="str">
            <v>保单客户</v>
          </cell>
          <cell r="AD286">
            <v>1</v>
          </cell>
        </row>
        <row r="287">
          <cell r="C287" t="str">
            <v>太平洋保险</v>
          </cell>
          <cell r="I287" t="str">
            <v>保单客户</v>
          </cell>
        </row>
        <row r="288">
          <cell r="C288" t="str">
            <v>中国人保保险</v>
          </cell>
          <cell r="I288" t="str">
            <v>保单客户</v>
          </cell>
        </row>
        <row r="289">
          <cell r="C289" t="str">
            <v>中国平安保险</v>
          </cell>
          <cell r="I289" t="str">
            <v>推修客户</v>
          </cell>
        </row>
        <row r="290">
          <cell r="C290" t="str">
            <v>中国平安保险</v>
          </cell>
          <cell r="I290" t="str">
            <v>保单客户</v>
          </cell>
        </row>
        <row r="291">
          <cell r="C291" t="str">
            <v>太平保险</v>
          </cell>
          <cell r="I291" t="str">
            <v>保单客户</v>
          </cell>
        </row>
        <row r="292">
          <cell r="C292" t="str">
            <v>中国人保保险</v>
          </cell>
          <cell r="I292" t="str">
            <v>保单客户</v>
          </cell>
        </row>
        <row r="293">
          <cell r="C293" t="str">
            <v>国寿保险</v>
          </cell>
          <cell r="I293" t="str">
            <v>保单客户</v>
          </cell>
        </row>
        <row r="294">
          <cell r="C294" t="str">
            <v>中国平安保险</v>
          </cell>
          <cell r="I294" t="str">
            <v>推修客户</v>
          </cell>
          <cell r="AD294">
            <v>1</v>
          </cell>
        </row>
        <row r="295">
          <cell r="C295" t="str">
            <v>中国人保保险</v>
          </cell>
          <cell r="I295" t="str">
            <v>保单客户</v>
          </cell>
        </row>
        <row r="296">
          <cell r="C296" t="str">
            <v>中国人保保险</v>
          </cell>
          <cell r="I296" t="str">
            <v>保单客户</v>
          </cell>
        </row>
        <row r="297">
          <cell r="C297" t="str">
            <v>华安保险</v>
          </cell>
          <cell r="I297" t="str">
            <v>推修客户</v>
          </cell>
        </row>
        <row r="298">
          <cell r="C298" t="str">
            <v>中国平安保险</v>
          </cell>
          <cell r="I298" t="str">
            <v>推修客户</v>
          </cell>
        </row>
        <row r="299">
          <cell r="C299" t="str">
            <v>中国人保保险</v>
          </cell>
          <cell r="I299" t="str">
            <v>保单客户</v>
          </cell>
        </row>
        <row r="300">
          <cell r="C300" t="str">
            <v>中国平安保险</v>
          </cell>
          <cell r="I300" t="str">
            <v>保单客户</v>
          </cell>
          <cell r="AD300">
            <v>1</v>
          </cell>
        </row>
        <row r="301">
          <cell r="C301" t="str">
            <v>中国平安保险</v>
          </cell>
          <cell r="I301" t="str">
            <v>推修客户</v>
          </cell>
        </row>
        <row r="302">
          <cell r="C302" t="str">
            <v>中国人保保险</v>
          </cell>
          <cell r="I302" t="str">
            <v>保单客户</v>
          </cell>
        </row>
        <row r="303">
          <cell r="C303" t="str">
            <v>中国平安保险</v>
          </cell>
          <cell r="I303" t="str">
            <v>推修客户</v>
          </cell>
        </row>
        <row r="304">
          <cell r="C304" t="str">
            <v>中国人保保险</v>
          </cell>
          <cell r="I304" t="str">
            <v>推修客户</v>
          </cell>
        </row>
        <row r="305">
          <cell r="C305" t="str">
            <v>中国人保保险</v>
          </cell>
          <cell r="I305" t="str">
            <v>保单客户</v>
          </cell>
        </row>
        <row r="306">
          <cell r="C306" t="str">
            <v>中国人保保险</v>
          </cell>
          <cell r="I306" t="str">
            <v>保单客户</v>
          </cell>
        </row>
        <row r="307">
          <cell r="C307" t="str">
            <v>中国人保保险</v>
          </cell>
          <cell r="I307" t="str">
            <v>保单客户</v>
          </cell>
        </row>
        <row r="308">
          <cell r="C308" t="str">
            <v>中国人保保险</v>
          </cell>
          <cell r="I308" t="str">
            <v>保单客户</v>
          </cell>
        </row>
        <row r="309">
          <cell r="C309" t="str">
            <v>中国平安保险</v>
          </cell>
          <cell r="I309" t="str">
            <v>推修客户</v>
          </cell>
          <cell r="AD309">
            <v>1</v>
          </cell>
        </row>
        <row r="310">
          <cell r="C310" t="str">
            <v>中国人保保险</v>
          </cell>
          <cell r="I310" t="str">
            <v>推修客户</v>
          </cell>
        </row>
        <row r="311">
          <cell r="C311" t="str">
            <v>中国人保保险</v>
          </cell>
          <cell r="I311" t="str">
            <v>保单客户</v>
          </cell>
        </row>
        <row r="312">
          <cell r="C312" t="str">
            <v>中国平安保险</v>
          </cell>
          <cell r="I312" t="str">
            <v>保单客户</v>
          </cell>
        </row>
        <row r="313">
          <cell r="C313" t="str">
            <v>中国平安保险</v>
          </cell>
          <cell r="I313" t="str">
            <v>推修客户</v>
          </cell>
        </row>
        <row r="314">
          <cell r="C314" t="str">
            <v>中国平安保险</v>
          </cell>
          <cell r="I314" t="str">
            <v>推修客户</v>
          </cell>
        </row>
        <row r="315">
          <cell r="C315" t="str">
            <v>中国平安保险</v>
          </cell>
          <cell r="I315" t="str">
            <v>保单客户</v>
          </cell>
        </row>
        <row r="316">
          <cell r="C316" t="str">
            <v>中国平安保险</v>
          </cell>
          <cell r="I316" t="str">
            <v>保单客户</v>
          </cell>
        </row>
        <row r="317">
          <cell r="C317" t="str">
            <v>太平洋保险</v>
          </cell>
          <cell r="I317" t="str">
            <v>保单客户</v>
          </cell>
        </row>
        <row r="318">
          <cell r="C318" t="str">
            <v>太平保险</v>
          </cell>
          <cell r="I318" t="str">
            <v>保单客户</v>
          </cell>
          <cell r="AD318">
            <v>1</v>
          </cell>
        </row>
        <row r="319">
          <cell r="C319" t="str">
            <v>中国人保保险</v>
          </cell>
          <cell r="I319" t="str">
            <v>保单客户</v>
          </cell>
          <cell r="AD319">
            <v>1</v>
          </cell>
        </row>
        <row r="320">
          <cell r="C320" t="str">
            <v>中国平安保险</v>
          </cell>
          <cell r="I320" t="str">
            <v>保单客户</v>
          </cell>
        </row>
        <row r="321">
          <cell r="C321" t="str">
            <v>华安保险</v>
          </cell>
          <cell r="I321" t="str">
            <v>保单客户</v>
          </cell>
        </row>
        <row r="322">
          <cell r="C322" t="str">
            <v>华安保险</v>
          </cell>
          <cell r="I322" t="str">
            <v>保单客户</v>
          </cell>
        </row>
        <row r="323">
          <cell r="C323" t="str">
            <v>太平保险</v>
          </cell>
          <cell r="I323" t="str">
            <v>推修客户</v>
          </cell>
          <cell r="AD323">
            <v>1</v>
          </cell>
        </row>
        <row r="324">
          <cell r="C324" t="str">
            <v>中国人保保险</v>
          </cell>
          <cell r="I324" t="str">
            <v>保单客户</v>
          </cell>
        </row>
        <row r="325">
          <cell r="C325" t="str">
            <v>中国平安保险</v>
          </cell>
          <cell r="I325" t="str">
            <v>推修客户</v>
          </cell>
        </row>
        <row r="326">
          <cell r="C326" t="str">
            <v>中国平安保险</v>
          </cell>
          <cell r="I326" t="str">
            <v>推修客户</v>
          </cell>
        </row>
        <row r="327">
          <cell r="C327" t="str">
            <v>华安保险</v>
          </cell>
          <cell r="I327" t="str">
            <v>保单客户</v>
          </cell>
        </row>
        <row r="328">
          <cell r="C328" t="str">
            <v>中国平安保险</v>
          </cell>
          <cell r="I328" t="str">
            <v>推修客户</v>
          </cell>
        </row>
        <row r="329">
          <cell r="C329" t="str">
            <v>中华保险</v>
          </cell>
          <cell r="I329" t="str">
            <v>推修客户</v>
          </cell>
          <cell r="AD329">
            <v>1</v>
          </cell>
        </row>
        <row r="330">
          <cell r="C330" t="str">
            <v>中国平安保险</v>
          </cell>
          <cell r="I330" t="str">
            <v>推修客户</v>
          </cell>
        </row>
        <row r="331">
          <cell r="C331" t="str">
            <v>中国平安保险</v>
          </cell>
          <cell r="I331" t="str">
            <v>推修客户</v>
          </cell>
        </row>
        <row r="332">
          <cell r="C332" t="str">
            <v>中国人保保险</v>
          </cell>
          <cell r="I332" t="str">
            <v>推修客户</v>
          </cell>
        </row>
        <row r="333">
          <cell r="C333" t="str">
            <v>中国平安保险</v>
          </cell>
          <cell r="I333" t="str">
            <v>推修客户</v>
          </cell>
          <cell r="AD333">
            <v>1</v>
          </cell>
        </row>
        <row r="334">
          <cell r="C334" t="str">
            <v>中国平安保险</v>
          </cell>
          <cell r="I334" t="str">
            <v>推修客户</v>
          </cell>
        </row>
        <row r="335">
          <cell r="C335" t="str">
            <v>太平洋保险</v>
          </cell>
          <cell r="I335" t="str">
            <v>保单客户</v>
          </cell>
          <cell r="AD335">
            <v>1</v>
          </cell>
        </row>
        <row r="336">
          <cell r="C336" t="str">
            <v>中国平安保险</v>
          </cell>
          <cell r="I336" t="str">
            <v>保单客户</v>
          </cell>
          <cell r="AD336">
            <v>1</v>
          </cell>
        </row>
        <row r="337">
          <cell r="C337" t="str">
            <v>中国平安保险</v>
          </cell>
          <cell r="I337" t="str">
            <v>推修客户</v>
          </cell>
        </row>
        <row r="338">
          <cell r="C338" t="str">
            <v>中国平安保险</v>
          </cell>
          <cell r="I338" t="str">
            <v>推修客户</v>
          </cell>
        </row>
        <row r="339">
          <cell r="C339" t="str">
            <v>中国平安保险</v>
          </cell>
          <cell r="I339" t="str">
            <v>保单客户</v>
          </cell>
          <cell r="AD339">
            <v>1</v>
          </cell>
        </row>
        <row r="340">
          <cell r="C340" t="str">
            <v>中国平安保险</v>
          </cell>
          <cell r="I340" t="str">
            <v>推修客户</v>
          </cell>
          <cell r="AD340">
            <v>1</v>
          </cell>
        </row>
        <row r="341">
          <cell r="C341" t="str">
            <v>中国平安保险</v>
          </cell>
          <cell r="I341" t="str">
            <v>推修客户</v>
          </cell>
        </row>
        <row r="342">
          <cell r="C342" t="str">
            <v>中国人保保险</v>
          </cell>
          <cell r="I342" t="str">
            <v>推修客户</v>
          </cell>
        </row>
        <row r="343">
          <cell r="C343" t="str">
            <v>中国平安保险</v>
          </cell>
          <cell r="I343" t="str">
            <v>推修客户</v>
          </cell>
        </row>
        <row r="344">
          <cell r="C344" t="str">
            <v>中国人保保险</v>
          </cell>
          <cell r="I344" t="str">
            <v>保单客户</v>
          </cell>
        </row>
        <row r="345">
          <cell r="C345" t="str">
            <v>中国平安保险</v>
          </cell>
          <cell r="I345" t="str">
            <v>推修客户</v>
          </cell>
        </row>
        <row r="346">
          <cell r="C346" t="str">
            <v>中国平安保险</v>
          </cell>
          <cell r="I346" t="str">
            <v>推修客户</v>
          </cell>
        </row>
        <row r="347">
          <cell r="C347" t="str">
            <v>中国人保保险</v>
          </cell>
          <cell r="I347" t="str">
            <v>保单客户</v>
          </cell>
        </row>
        <row r="348">
          <cell r="C348" t="str">
            <v>中国平安保险</v>
          </cell>
          <cell r="I348" t="str">
            <v>推修客户</v>
          </cell>
        </row>
        <row r="349">
          <cell r="C349" t="str">
            <v>华安保险</v>
          </cell>
          <cell r="I349" t="str">
            <v>推修客户</v>
          </cell>
        </row>
        <row r="350">
          <cell r="C350" t="str">
            <v>中国平安保险</v>
          </cell>
          <cell r="I350" t="str">
            <v>推修客户</v>
          </cell>
        </row>
        <row r="351">
          <cell r="C351" t="str">
            <v>中国人保保险</v>
          </cell>
          <cell r="I351" t="str">
            <v>保单客户</v>
          </cell>
        </row>
        <row r="352">
          <cell r="C352" t="str">
            <v>中国平安保险</v>
          </cell>
          <cell r="I352" t="str">
            <v>推修客户</v>
          </cell>
        </row>
        <row r="353">
          <cell r="C353" t="str">
            <v>中国平安保险</v>
          </cell>
          <cell r="I353" t="str">
            <v>保单客户</v>
          </cell>
        </row>
        <row r="354">
          <cell r="C354" t="str">
            <v>中国平安保险</v>
          </cell>
          <cell r="I354" t="str">
            <v>推修客户</v>
          </cell>
          <cell r="AD354">
            <v>1</v>
          </cell>
        </row>
        <row r="355">
          <cell r="C355" t="str">
            <v>中国人保保险</v>
          </cell>
          <cell r="I355" t="str">
            <v>保单客户</v>
          </cell>
        </row>
        <row r="356">
          <cell r="C356" t="str">
            <v>中国平安保险</v>
          </cell>
          <cell r="I356" t="str">
            <v>推修客户</v>
          </cell>
        </row>
        <row r="357">
          <cell r="C357" t="str">
            <v>中国人保保险</v>
          </cell>
          <cell r="I357" t="str">
            <v>保单客户</v>
          </cell>
          <cell r="AD357">
            <v>1</v>
          </cell>
        </row>
        <row r="358">
          <cell r="C358" t="str">
            <v>中国平安保险</v>
          </cell>
          <cell r="I358" t="str">
            <v>推修客户</v>
          </cell>
        </row>
        <row r="359">
          <cell r="C359" t="str">
            <v>中国平安保险</v>
          </cell>
          <cell r="I359" t="str">
            <v>推修客户</v>
          </cell>
          <cell r="AD359">
            <v>1</v>
          </cell>
        </row>
        <row r="360">
          <cell r="C360" t="str">
            <v>中国平安保险</v>
          </cell>
          <cell r="I360" t="str">
            <v>推修客户</v>
          </cell>
        </row>
        <row r="361">
          <cell r="C361" t="str">
            <v>中国人保保险</v>
          </cell>
          <cell r="I361" t="str">
            <v>保单客户</v>
          </cell>
        </row>
        <row r="362">
          <cell r="C362" t="str">
            <v>中国平安保险</v>
          </cell>
          <cell r="I362" t="str">
            <v>保单客户</v>
          </cell>
        </row>
        <row r="363">
          <cell r="C363" t="str">
            <v>中国人保保险</v>
          </cell>
          <cell r="I363" t="str">
            <v>保单客户</v>
          </cell>
          <cell r="AD363">
            <v>1</v>
          </cell>
        </row>
        <row r="364">
          <cell r="C364" t="str">
            <v>中国平安保险</v>
          </cell>
          <cell r="I364" t="str">
            <v>推修客户</v>
          </cell>
        </row>
        <row r="365">
          <cell r="C365" t="str">
            <v>中华保险</v>
          </cell>
          <cell r="I365" t="str">
            <v>保单客户</v>
          </cell>
        </row>
        <row r="366">
          <cell r="C366" t="str">
            <v>大地保险</v>
          </cell>
          <cell r="I366" t="str">
            <v>保单客户</v>
          </cell>
        </row>
        <row r="367">
          <cell r="C367" t="str">
            <v>中国平安保险</v>
          </cell>
          <cell r="I367" t="str">
            <v>保单客户</v>
          </cell>
        </row>
        <row r="368">
          <cell r="C368" t="str">
            <v>中国平安保险</v>
          </cell>
          <cell r="I368" t="str">
            <v>保单客户</v>
          </cell>
          <cell r="AD368">
            <v>1</v>
          </cell>
        </row>
        <row r="369">
          <cell r="C369" t="str">
            <v>中国平安保险</v>
          </cell>
          <cell r="I369" t="str">
            <v>保单客户</v>
          </cell>
        </row>
        <row r="370">
          <cell r="C370" t="str">
            <v>中国平安保险</v>
          </cell>
          <cell r="I370" t="str">
            <v>推修客户</v>
          </cell>
        </row>
        <row r="371">
          <cell r="C371" t="str">
            <v>中国平安保险</v>
          </cell>
          <cell r="I371" t="str">
            <v>推修客户</v>
          </cell>
        </row>
        <row r="372">
          <cell r="C372" t="str">
            <v>中国平安保险</v>
          </cell>
          <cell r="I372" t="str">
            <v>保单客户</v>
          </cell>
        </row>
        <row r="373">
          <cell r="C373" t="str">
            <v>中国人保保险</v>
          </cell>
          <cell r="I373" t="str">
            <v>保单客户</v>
          </cell>
          <cell r="AD373">
            <v>1</v>
          </cell>
        </row>
        <row r="374">
          <cell r="C374" t="str">
            <v>太平洋保险</v>
          </cell>
          <cell r="I374" t="str">
            <v>保单客户</v>
          </cell>
        </row>
        <row r="375">
          <cell r="C375" t="str">
            <v>中国平安保险</v>
          </cell>
          <cell r="I375" t="str">
            <v>推修客户</v>
          </cell>
        </row>
        <row r="376">
          <cell r="C376" t="str">
            <v>中国平安保险</v>
          </cell>
          <cell r="I376" t="str">
            <v>推修客户</v>
          </cell>
        </row>
        <row r="377">
          <cell r="C377" t="str">
            <v>中国人保保险</v>
          </cell>
          <cell r="I377" t="str">
            <v>保单客户</v>
          </cell>
        </row>
        <row r="378">
          <cell r="C378" t="str">
            <v>中国平安保险</v>
          </cell>
          <cell r="I378" t="str">
            <v>推修客户</v>
          </cell>
        </row>
        <row r="379">
          <cell r="C379" t="str">
            <v>中国平安保险</v>
          </cell>
          <cell r="I379" t="str">
            <v>保单客户</v>
          </cell>
        </row>
        <row r="380">
          <cell r="C380" t="str">
            <v>中国人保保险</v>
          </cell>
          <cell r="I380" t="str">
            <v>保单客户</v>
          </cell>
          <cell r="AD380">
            <v>1</v>
          </cell>
        </row>
        <row r="381">
          <cell r="C381" t="str">
            <v>国寿保险</v>
          </cell>
          <cell r="I381" t="str">
            <v>保单客户</v>
          </cell>
        </row>
        <row r="382">
          <cell r="C382" t="str">
            <v>中国平安保险</v>
          </cell>
          <cell r="I382" t="str">
            <v>保单客户</v>
          </cell>
        </row>
        <row r="383">
          <cell r="C383" t="str">
            <v>中华保险</v>
          </cell>
          <cell r="I383" t="str">
            <v>保单客户</v>
          </cell>
          <cell r="AD383">
            <v>1</v>
          </cell>
        </row>
        <row r="384">
          <cell r="C384" t="str">
            <v>中银保险</v>
          </cell>
          <cell r="I384" t="str">
            <v>保单客户</v>
          </cell>
        </row>
        <row r="385">
          <cell r="C385" t="str">
            <v>中国平安保险</v>
          </cell>
          <cell r="I385" t="str">
            <v>推修客户</v>
          </cell>
        </row>
        <row r="386">
          <cell r="C386" t="str">
            <v>中国人保保险</v>
          </cell>
          <cell r="I386" t="str">
            <v>保单客户</v>
          </cell>
          <cell r="AD386">
            <v>1</v>
          </cell>
        </row>
        <row r="387">
          <cell r="C387" t="str">
            <v>中国人保保险</v>
          </cell>
          <cell r="I387" t="str">
            <v>推修客户</v>
          </cell>
        </row>
        <row r="388">
          <cell r="C388" t="str">
            <v>中国平安保险</v>
          </cell>
          <cell r="I388" t="str">
            <v>保单客户</v>
          </cell>
          <cell r="AD388">
            <v>1</v>
          </cell>
        </row>
        <row r="389">
          <cell r="C389" t="str">
            <v>中国平安保险</v>
          </cell>
          <cell r="I389" t="str">
            <v>保单客户</v>
          </cell>
        </row>
        <row r="390">
          <cell r="C390" t="str">
            <v>中国平安保险</v>
          </cell>
          <cell r="I390" t="str">
            <v>推修客户</v>
          </cell>
        </row>
        <row r="391">
          <cell r="C391" t="str">
            <v>华安保险</v>
          </cell>
          <cell r="I391" t="str">
            <v>保单客户</v>
          </cell>
          <cell r="AD391">
            <v>1</v>
          </cell>
        </row>
        <row r="392">
          <cell r="C392" t="str">
            <v>华安保险</v>
          </cell>
          <cell r="I392" t="str">
            <v>推修客户</v>
          </cell>
        </row>
        <row r="393">
          <cell r="C393" t="str">
            <v>华安保险</v>
          </cell>
          <cell r="I393" t="str">
            <v>保单客户</v>
          </cell>
        </row>
        <row r="394">
          <cell r="C394" t="str">
            <v>中国人保保险</v>
          </cell>
          <cell r="I394" t="str">
            <v>保单客户</v>
          </cell>
        </row>
        <row r="395">
          <cell r="C395" t="str">
            <v>中国平安保险</v>
          </cell>
          <cell r="I395" t="str">
            <v>保单客户</v>
          </cell>
        </row>
        <row r="396">
          <cell r="C396" t="str">
            <v>永诚保险</v>
          </cell>
          <cell r="I396" t="str">
            <v>保单客户</v>
          </cell>
        </row>
        <row r="397">
          <cell r="C397" t="str">
            <v>中国平安保险</v>
          </cell>
          <cell r="I397" t="str">
            <v>推修客户</v>
          </cell>
        </row>
        <row r="398">
          <cell r="C398" t="str">
            <v>中华保险</v>
          </cell>
          <cell r="I398" t="str">
            <v>推修客户</v>
          </cell>
        </row>
        <row r="399">
          <cell r="C399" t="str">
            <v>中国平安保险</v>
          </cell>
          <cell r="I399" t="str">
            <v>推修客户</v>
          </cell>
          <cell r="AD399">
            <v>1</v>
          </cell>
        </row>
        <row r="400">
          <cell r="C400" t="str">
            <v>中国平安保险</v>
          </cell>
          <cell r="I400" t="str">
            <v>保单客户</v>
          </cell>
        </row>
        <row r="401">
          <cell r="C401" t="str">
            <v>大地保险</v>
          </cell>
          <cell r="I401" t="str">
            <v>保单客户</v>
          </cell>
        </row>
        <row r="402">
          <cell r="C402" t="str">
            <v>中华保险</v>
          </cell>
          <cell r="I402" t="str">
            <v>保单客户</v>
          </cell>
        </row>
        <row r="403">
          <cell r="C403" t="str">
            <v>中国平安保险</v>
          </cell>
          <cell r="I403" t="str">
            <v>推修客户</v>
          </cell>
        </row>
        <row r="404">
          <cell r="C404" t="str">
            <v>中国平安保险</v>
          </cell>
          <cell r="I404" t="str">
            <v>推修客户</v>
          </cell>
        </row>
        <row r="405">
          <cell r="C405" t="str">
            <v>中国人保保险</v>
          </cell>
          <cell r="I405" t="str">
            <v>保单客户</v>
          </cell>
        </row>
        <row r="406">
          <cell r="C406" t="str">
            <v>中国平安保险</v>
          </cell>
          <cell r="I406" t="str">
            <v>推修客户</v>
          </cell>
        </row>
        <row r="407">
          <cell r="C407" t="str">
            <v>中国人保保险</v>
          </cell>
          <cell r="I407" t="str">
            <v>保单客户</v>
          </cell>
        </row>
        <row r="408">
          <cell r="C408" t="str">
            <v>太平洋保险</v>
          </cell>
          <cell r="I408" t="str">
            <v>保单客户</v>
          </cell>
          <cell r="AD408">
            <v>1</v>
          </cell>
        </row>
        <row r="409">
          <cell r="C409" t="str">
            <v>阳光保险</v>
          </cell>
          <cell r="I409" t="str">
            <v>保单客户</v>
          </cell>
        </row>
        <row r="410">
          <cell r="C410" t="str">
            <v>中国人保保险</v>
          </cell>
          <cell r="I410" t="str">
            <v>保单客户</v>
          </cell>
          <cell r="AD410">
            <v>1</v>
          </cell>
        </row>
        <row r="411">
          <cell r="C411" t="str">
            <v>中国人保保险</v>
          </cell>
          <cell r="I411" t="str">
            <v>保单客户</v>
          </cell>
        </row>
        <row r="412">
          <cell r="C412" t="str">
            <v>太平洋保险</v>
          </cell>
          <cell r="I412" t="str">
            <v>保单客户</v>
          </cell>
        </row>
        <row r="413">
          <cell r="C413" t="str">
            <v>华泰保险</v>
          </cell>
          <cell r="I413" t="str">
            <v>推修客户</v>
          </cell>
        </row>
        <row r="414">
          <cell r="C414" t="str">
            <v>中国平安保险</v>
          </cell>
          <cell r="I414" t="str">
            <v>推修客户</v>
          </cell>
        </row>
        <row r="415">
          <cell r="C415" t="str">
            <v>中国平安保险</v>
          </cell>
          <cell r="I415" t="str">
            <v>推修客户</v>
          </cell>
        </row>
        <row r="416">
          <cell r="C416" t="str">
            <v>中国平安保险</v>
          </cell>
          <cell r="I416" t="str">
            <v>推修客户</v>
          </cell>
        </row>
        <row r="417">
          <cell r="C417" t="str">
            <v>中华保险</v>
          </cell>
          <cell r="I417" t="str">
            <v>推修客户</v>
          </cell>
        </row>
        <row r="418">
          <cell r="C418" t="str">
            <v>中国平安保险</v>
          </cell>
          <cell r="I418" t="str">
            <v>推修客户</v>
          </cell>
        </row>
        <row r="419">
          <cell r="C419" t="str">
            <v>中国平安保险</v>
          </cell>
          <cell r="I419" t="str">
            <v>推修客户</v>
          </cell>
          <cell r="AD419">
            <v>1</v>
          </cell>
        </row>
        <row r="420">
          <cell r="C420" t="str">
            <v>华安保险</v>
          </cell>
          <cell r="I420" t="str">
            <v>推修客户</v>
          </cell>
          <cell r="AD420">
            <v>1</v>
          </cell>
        </row>
        <row r="421">
          <cell r="C421" t="str">
            <v>紫金保险</v>
          </cell>
          <cell r="I421" t="str">
            <v>推修客户</v>
          </cell>
          <cell r="AD421">
            <v>1</v>
          </cell>
        </row>
        <row r="422">
          <cell r="C422" t="str">
            <v>中国平安保险</v>
          </cell>
          <cell r="I422" t="str">
            <v>保单客户</v>
          </cell>
        </row>
        <row r="423">
          <cell r="C423" t="str">
            <v>太平洋保险</v>
          </cell>
          <cell r="I423" t="str">
            <v>保单客户</v>
          </cell>
          <cell r="AD423">
            <v>1</v>
          </cell>
        </row>
        <row r="424">
          <cell r="C424" t="str">
            <v>中国人保保险</v>
          </cell>
          <cell r="I424" t="str">
            <v>推修客户</v>
          </cell>
        </row>
        <row r="425">
          <cell r="C425" t="str">
            <v>中国平安保险</v>
          </cell>
          <cell r="I425" t="str">
            <v>推修客户</v>
          </cell>
        </row>
        <row r="426">
          <cell r="C426" t="str">
            <v>中国人保保险</v>
          </cell>
          <cell r="I426" t="str">
            <v>保单客户</v>
          </cell>
          <cell r="AD426">
            <v>1</v>
          </cell>
        </row>
        <row r="427">
          <cell r="C427" t="str">
            <v>中国人保保险</v>
          </cell>
          <cell r="I427" t="str">
            <v>保单客户</v>
          </cell>
        </row>
        <row r="428">
          <cell r="C428" t="str">
            <v>中国平安保险</v>
          </cell>
          <cell r="I428" t="str">
            <v>推修客户</v>
          </cell>
        </row>
        <row r="429">
          <cell r="C429" t="str">
            <v>中华保险</v>
          </cell>
          <cell r="I429" t="str">
            <v>推修客户</v>
          </cell>
        </row>
        <row r="430">
          <cell r="C430" t="str">
            <v>中国人保保险</v>
          </cell>
          <cell r="I430" t="str">
            <v>保单客户</v>
          </cell>
        </row>
        <row r="431">
          <cell r="C431" t="str">
            <v>太平洋保险</v>
          </cell>
          <cell r="I431" t="str">
            <v>推修客户</v>
          </cell>
        </row>
        <row r="432">
          <cell r="C432" t="str">
            <v>中国人保保险</v>
          </cell>
          <cell r="I432" t="str">
            <v>保单客户</v>
          </cell>
        </row>
        <row r="433">
          <cell r="C433" t="str">
            <v>中国平安保险</v>
          </cell>
          <cell r="I433" t="str">
            <v>保单客户</v>
          </cell>
        </row>
        <row r="434">
          <cell r="C434" t="str">
            <v>天安保险</v>
          </cell>
          <cell r="I434" t="str">
            <v>推修客户</v>
          </cell>
          <cell r="AD434">
            <v>1</v>
          </cell>
        </row>
        <row r="435">
          <cell r="C435" t="str">
            <v>中国人保保险</v>
          </cell>
          <cell r="I435" t="str">
            <v>保单客户</v>
          </cell>
        </row>
        <row r="436">
          <cell r="C436" t="str">
            <v>中国平安保险</v>
          </cell>
          <cell r="I436" t="str">
            <v>保单客户</v>
          </cell>
        </row>
        <row r="437">
          <cell r="C437" t="str">
            <v>中国人保保险</v>
          </cell>
          <cell r="I437" t="str">
            <v>推修客户</v>
          </cell>
        </row>
        <row r="438">
          <cell r="C438" t="str">
            <v>中国平安保险</v>
          </cell>
          <cell r="I438" t="str">
            <v>推修客户</v>
          </cell>
        </row>
        <row r="439">
          <cell r="C439" t="str">
            <v>国寿保险</v>
          </cell>
          <cell r="I439" t="str">
            <v>保单客户</v>
          </cell>
        </row>
        <row r="440">
          <cell r="C440" t="str">
            <v>中国人保保险</v>
          </cell>
          <cell r="I440" t="str">
            <v>保单客户</v>
          </cell>
        </row>
        <row r="441">
          <cell r="C441" t="str">
            <v>太平保险</v>
          </cell>
          <cell r="I441" t="str">
            <v>推修客户</v>
          </cell>
          <cell r="AD441">
            <v>1</v>
          </cell>
        </row>
        <row r="442">
          <cell r="C442" t="str">
            <v>天安保险</v>
          </cell>
          <cell r="I442" t="str">
            <v>推修客户</v>
          </cell>
        </row>
        <row r="443">
          <cell r="C443" t="str">
            <v>中国人保保险</v>
          </cell>
          <cell r="I443" t="str">
            <v>保单客户</v>
          </cell>
        </row>
        <row r="444">
          <cell r="C444" t="str">
            <v>中华保险</v>
          </cell>
          <cell r="I444" t="str">
            <v>保单客户</v>
          </cell>
        </row>
        <row r="445">
          <cell r="C445" t="str">
            <v>中国平安保险</v>
          </cell>
          <cell r="I445" t="str">
            <v>推修客户</v>
          </cell>
        </row>
        <row r="446">
          <cell r="C446" t="str">
            <v>国寿保险</v>
          </cell>
          <cell r="I446" t="str">
            <v>保单客户</v>
          </cell>
          <cell r="AD446">
            <v>1</v>
          </cell>
        </row>
        <row r="447">
          <cell r="C447" t="str">
            <v>中国人保保险</v>
          </cell>
          <cell r="I447" t="str">
            <v>保单客户</v>
          </cell>
          <cell r="AD447">
            <v>1</v>
          </cell>
        </row>
        <row r="448">
          <cell r="C448" t="str">
            <v>中国人保保险</v>
          </cell>
          <cell r="I448" t="str">
            <v>保单客户</v>
          </cell>
        </row>
        <row r="449">
          <cell r="C449" t="str">
            <v>中国人保保险</v>
          </cell>
          <cell r="I449" t="str">
            <v>保单客户</v>
          </cell>
        </row>
        <row r="450">
          <cell r="C450" t="str">
            <v>中国平安保险</v>
          </cell>
          <cell r="I450" t="str">
            <v>保单客户</v>
          </cell>
        </row>
        <row r="451">
          <cell r="C451" t="str">
            <v>中国平安保险</v>
          </cell>
          <cell r="I451" t="str">
            <v>推修客户</v>
          </cell>
        </row>
        <row r="452">
          <cell r="C452" t="str">
            <v>中国平安保险</v>
          </cell>
          <cell r="I452" t="str">
            <v>保单客户</v>
          </cell>
        </row>
        <row r="453">
          <cell r="C453" t="str">
            <v>中国平安保险</v>
          </cell>
          <cell r="I453" t="str">
            <v>保单客户</v>
          </cell>
        </row>
        <row r="454">
          <cell r="C454" t="str">
            <v>中国平安保险</v>
          </cell>
          <cell r="I454" t="str">
            <v>推修客户</v>
          </cell>
          <cell r="AD454">
            <v>1</v>
          </cell>
        </row>
        <row r="455">
          <cell r="C455" t="str">
            <v>中国人保保险</v>
          </cell>
          <cell r="I455" t="str">
            <v>推修客户</v>
          </cell>
        </row>
        <row r="456">
          <cell r="C456" t="str">
            <v>中国平安保险</v>
          </cell>
          <cell r="I456" t="str">
            <v>推修客户</v>
          </cell>
          <cell r="AD456">
            <v>1</v>
          </cell>
        </row>
        <row r="457">
          <cell r="C457" t="str">
            <v>中国人保保险</v>
          </cell>
          <cell r="I457" t="str">
            <v>保单客户</v>
          </cell>
        </row>
        <row r="458">
          <cell r="C458" t="str">
            <v>中国人保保险</v>
          </cell>
          <cell r="I458" t="str">
            <v>保单客户</v>
          </cell>
          <cell r="AD458">
            <v>1</v>
          </cell>
        </row>
        <row r="459">
          <cell r="C459" t="str">
            <v>中国人保保险</v>
          </cell>
          <cell r="I459" t="str">
            <v>保单客户</v>
          </cell>
        </row>
        <row r="460">
          <cell r="C460" t="str">
            <v>中国平安保险</v>
          </cell>
          <cell r="I460" t="str">
            <v>推修客户</v>
          </cell>
        </row>
        <row r="461">
          <cell r="C461" t="str">
            <v>中国人保保险</v>
          </cell>
          <cell r="I461" t="str">
            <v>保单客户</v>
          </cell>
          <cell r="AD461">
            <v>1</v>
          </cell>
        </row>
        <row r="462">
          <cell r="C462" t="str">
            <v>中国平安保险</v>
          </cell>
          <cell r="I462" t="str">
            <v>推修客户</v>
          </cell>
        </row>
        <row r="463">
          <cell r="C463" t="str">
            <v>中国平安保险</v>
          </cell>
          <cell r="I463" t="str">
            <v>推修客户</v>
          </cell>
        </row>
        <row r="464">
          <cell r="C464" t="str">
            <v>中国平安保险</v>
          </cell>
          <cell r="I464" t="str">
            <v>推修客户</v>
          </cell>
        </row>
        <row r="465">
          <cell r="C465" t="str">
            <v>中国人保保险</v>
          </cell>
          <cell r="I465" t="str">
            <v>保单客户</v>
          </cell>
          <cell r="AD465">
            <v>1</v>
          </cell>
        </row>
        <row r="466">
          <cell r="C466" t="str">
            <v>华安保险</v>
          </cell>
          <cell r="I466" t="str">
            <v>推修客户</v>
          </cell>
        </row>
        <row r="467">
          <cell r="C467" t="str">
            <v>中华保险</v>
          </cell>
          <cell r="I467" t="str">
            <v>推修客户</v>
          </cell>
        </row>
        <row r="468">
          <cell r="C468" t="str">
            <v>华安保险</v>
          </cell>
          <cell r="I468" t="str">
            <v>推修客户</v>
          </cell>
          <cell r="AD468">
            <v>1</v>
          </cell>
        </row>
        <row r="469">
          <cell r="C469" t="str">
            <v>中国人保保险</v>
          </cell>
          <cell r="I469" t="str">
            <v>保单客户</v>
          </cell>
        </row>
        <row r="470">
          <cell r="C470" t="str">
            <v>中国人保保险</v>
          </cell>
          <cell r="I470" t="str">
            <v>保单客户</v>
          </cell>
        </row>
        <row r="471">
          <cell r="C471" t="str">
            <v>中国人保保险</v>
          </cell>
          <cell r="I471" t="str">
            <v>推修客户</v>
          </cell>
        </row>
        <row r="472">
          <cell r="C472" t="str">
            <v>中国平安保险</v>
          </cell>
          <cell r="I472" t="str">
            <v>推修客户</v>
          </cell>
          <cell r="AD472">
            <v>1</v>
          </cell>
        </row>
        <row r="473">
          <cell r="C473" t="str">
            <v>中国平安保险</v>
          </cell>
          <cell r="I473" t="str">
            <v>推修客户</v>
          </cell>
        </row>
        <row r="474">
          <cell r="C474" t="str">
            <v>华泰保险</v>
          </cell>
          <cell r="I474" t="str">
            <v>推修客户</v>
          </cell>
        </row>
        <row r="475">
          <cell r="C475" t="str">
            <v>中国平安保险</v>
          </cell>
          <cell r="I475" t="str">
            <v>推修客户</v>
          </cell>
        </row>
        <row r="476">
          <cell r="C476" t="str">
            <v>中国人保保险</v>
          </cell>
          <cell r="I476" t="str">
            <v>推修客户</v>
          </cell>
        </row>
        <row r="477">
          <cell r="C477" t="str">
            <v>中国人保保险</v>
          </cell>
          <cell r="I477" t="str">
            <v>推修客户</v>
          </cell>
        </row>
        <row r="478">
          <cell r="C478" t="str">
            <v>中国人保保险</v>
          </cell>
          <cell r="I478" t="str">
            <v>保单客户</v>
          </cell>
        </row>
        <row r="479">
          <cell r="C479" t="str">
            <v>华安保险</v>
          </cell>
          <cell r="I479" t="str">
            <v>推修客户</v>
          </cell>
          <cell r="AD479">
            <v>1</v>
          </cell>
        </row>
        <row r="480">
          <cell r="C480" t="str">
            <v>中国人保保险</v>
          </cell>
          <cell r="I480" t="str">
            <v>推修客户</v>
          </cell>
        </row>
        <row r="481">
          <cell r="C481" t="str">
            <v>中国人保保险</v>
          </cell>
          <cell r="I481" t="str">
            <v>保单客户</v>
          </cell>
        </row>
        <row r="482">
          <cell r="C482" t="str">
            <v>中国人保保险</v>
          </cell>
          <cell r="I482" t="str">
            <v>推修客户</v>
          </cell>
        </row>
        <row r="483">
          <cell r="C483" t="str">
            <v>中国平安保险</v>
          </cell>
          <cell r="I483" t="str">
            <v>推修客户</v>
          </cell>
        </row>
        <row r="484">
          <cell r="C484" t="str">
            <v>中国平安保险</v>
          </cell>
          <cell r="I484" t="str">
            <v>推修客户</v>
          </cell>
          <cell r="AD484">
            <v>1</v>
          </cell>
        </row>
        <row r="485">
          <cell r="C485" t="str">
            <v>太平洋保险</v>
          </cell>
          <cell r="I485" t="str">
            <v>保单客户</v>
          </cell>
        </row>
        <row r="486">
          <cell r="C486" t="str">
            <v>中国平安保险</v>
          </cell>
          <cell r="I486" t="str">
            <v>保单客户</v>
          </cell>
        </row>
        <row r="487">
          <cell r="C487" t="str">
            <v>中国人保保险</v>
          </cell>
          <cell r="I487" t="str">
            <v>保单客户</v>
          </cell>
        </row>
        <row r="488">
          <cell r="C488" t="str">
            <v>中国人保保险</v>
          </cell>
          <cell r="I488" t="str">
            <v>保单客户</v>
          </cell>
        </row>
        <row r="489">
          <cell r="C489" t="str">
            <v>中国平安保险</v>
          </cell>
          <cell r="I489" t="str">
            <v>推修客户</v>
          </cell>
        </row>
        <row r="490">
          <cell r="C490" t="str">
            <v>中华保险</v>
          </cell>
          <cell r="I490" t="str">
            <v>保单客户</v>
          </cell>
        </row>
        <row r="491">
          <cell r="C491" t="str">
            <v>中国平安保险</v>
          </cell>
          <cell r="I491" t="str">
            <v>保单客户</v>
          </cell>
        </row>
        <row r="492">
          <cell r="C492" t="str">
            <v>太平洋保险</v>
          </cell>
          <cell r="I492" t="str">
            <v>保单客户</v>
          </cell>
        </row>
        <row r="493">
          <cell r="C493" t="str">
            <v>中国人保保险</v>
          </cell>
          <cell r="I493" t="str">
            <v>推修客户</v>
          </cell>
        </row>
        <row r="494">
          <cell r="C494" t="str">
            <v>中华保险</v>
          </cell>
          <cell r="I494" t="str">
            <v>推修客户</v>
          </cell>
          <cell r="AD494">
            <v>1</v>
          </cell>
        </row>
        <row r="495">
          <cell r="C495" t="str">
            <v>中华保险</v>
          </cell>
          <cell r="I495" t="str">
            <v>推修客户</v>
          </cell>
          <cell r="AD495">
            <v>1</v>
          </cell>
        </row>
        <row r="496">
          <cell r="C496" t="str">
            <v>大地保险</v>
          </cell>
          <cell r="I496" t="str">
            <v>保单客户</v>
          </cell>
          <cell r="AD496">
            <v>1</v>
          </cell>
        </row>
        <row r="497">
          <cell r="C497" t="str">
            <v>中国平安保险</v>
          </cell>
          <cell r="I497" t="str">
            <v>保单客户</v>
          </cell>
        </row>
        <row r="498">
          <cell r="C498" t="str">
            <v>中国平安保险</v>
          </cell>
          <cell r="I498" t="str">
            <v>保单客户</v>
          </cell>
          <cell r="AD498">
            <v>1</v>
          </cell>
        </row>
        <row r="499">
          <cell r="C499" t="str">
            <v>中国平安保险</v>
          </cell>
          <cell r="I499" t="str">
            <v>推修客户</v>
          </cell>
        </row>
        <row r="500">
          <cell r="C500" t="str">
            <v>中国平安保险</v>
          </cell>
          <cell r="I500" t="str">
            <v>推修客户</v>
          </cell>
        </row>
        <row r="501">
          <cell r="C501" t="str">
            <v>中国人保保险</v>
          </cell>
          <cell r="I501" t="str">
            <v>推修客户</v>
          </cell>
        </row>
        <row r="502">
          <cell r="C502" t="str">
            <v>中国人保保险</v>
          </cell>
          <cell r="I502" t="str">
            <v>保单客户</v>
          </cell>
        </row>
        <row r="503">
          <cell r="C503" t="str">
            <v>中国人保保险</v>
          </cell>
          <cell r="I503" t="str">
            <v>推修客户</v>
          </cell>
        </row>
        <row r="504">
          <cell r="C504" t="str">
            <v>中国人保保险</v>
          </cell>
          <cell r="I504" t="str">
            <v>保单客户</v>
          </cell>
          <cell r="AD504">
            <v>1</v>
          </cell>
        </row>
        <row r="505">
          <cell r="C505" t="str">
            <v>中国人保保险</v>
          </cell>
          <cell r="I505" t="str">
            <v>保单客户</v>
          </cell>
        </row>
        <row r="506">
          <cell r="C506" t="str">
            <v>中国人保保险</v>
          </cell>
          <cell r="I506" t="str">
            <v>保单客户</v>
          </cell>
        </row>
        <row r="507">
          <cell r="C507" t="str">
            <v>中国平安保险</v>
          </cell>
          <cell r="I507" t="str">
            <v>推修客户</v>
          </cell>
        </row>
        <row r="508">
          <cell r="C508" t="str">
            <v>中国人保保险</v>
          </cell>
          <cell r="I508" t="str">
            <v>推修客户</v>
          </cell>
        </row>
        <row r="509">
          <cell r="C509" t="str">
            <v>中国平安保险</v>
          </cell>
          <cell r="I509" t="str">
            <v>保单客户</v>
          </cell>
        </row>
        <row r="510">
          <cell r="C510" t="str">
            <v>中国人保保险</v>
          </cell>
          <cell r="I510" t="str">
            <v>保单客户</v>
          </cell>
        </row>
        <row r="511">
          <cell r="C511" t="str">
            <v>中国平安保险</v>
          </cell>
          <cell r="I511" t="str">
            <v>保单客户</v>
          </cell>
        </row>
        <row r="512">
          <cell r="C512" t="str">
            <v>中国人保保险</v>
          </cell>
          <cell r="I512" t="str">
            <v>保单客户</v>
          </cell>
        </row>
        <row r="513">
          <cell r="C513" t="str">
            <v>中国平安保险</v>
          </cell>
          <cell r="I513" t="str">
            <v>推修客户</v>
          </cell>
          <cell r="AD513">
            <v>1</v>
          </cell>
        </row>
        <row r="514">
          <cell r="C514" t="str">
            <v>中国人保保险</v>
          </cell>
          <cell r="I514" t="str">
            <v>保单客户</v>
          </cell>
        </row>
        <row r="515">
          <cell r="C515" t="str">
            <v>中国平安保险</v>
          </cell>
          <cell r="I515" t="str">
            <v>推修客户</v>
          </cell>
        </row>
        <row r="516">
          <cell r="C516" t="str">
            <v>中国平安保险</v>
          </cell>
          <cell r="I516" t="str">
            <v>保单客户</v>
          </cell>
        </row>
        <row r="517">
          <cell r="C517" t="str">
            <v>中国人保保险</v>
          </cell>
          <cell r="I517" t="str">
            <v>保单客户</v>
          </cell>
          <cell r="AD517">
            <v>1</v>
          </cell>
        </row>
        <row r="518">
          <cell r="C518" t="str">
            <v>中国平安保险</v>
          </cell>
          <cell r="I518" t="str">
            <v>推修客户</v>
          </cell>
          <cell r="AD518">
            <v>1</v>
          </cell>
        </row>
        <row r="519">
          <cell r="C519" t="str">
            <v>中国平安保险</v>
          </cell>
          <cell r="I519" t="str">
            <v>推修客户</v>
          </cell>
        </row>
        <row r="520">
          <cell r="C520" t="str">
            <v>中国平安保险</v>
          </cell>
          <cell r="I520" t="str">
            <v>推修客户</v>
          </cell>
        </row>
        <row r="521">
          <cell r="C521" t="str">
            <v>中国人保保险</v>
          </cell>
          <cell r="I521" t="str">
            <v>保单客户</v>
          </cell>
          <cell r="AD521">
            <v>1</v>
          </cell>
        </row>
        <row r="522">
          <cell r="C522" t="str">
            <v>中国平安保险</v>
          </cell>
          <cell r="I522" t="str">
            <v>推修客户</v>
          </cell>
        </row>
        <row r="523">
          <cell r="C523" t="str">
            <v>中国人保保险</v>
          </cell>
          <cell r="I523" t="str">
            <v>保单客户</v>
          </cell>
          <cell r="AD523">
            <v>1</v>
          </cell>
        </row>
        <row r="524">
          <cell r="C524" t="str">
            <v>中国人保保险</v>
          </cell>
          <cell r="I524" t="str">
            <v>推修客户</v>
          </cell>
        </row>
        <row r="525">
          <cell r="C525" t="str">
            <v>中国平安保险</v>
          </cell>
          <cell r="I525" t="str">
            <v>推修客户</v>
          </cell>
          <cell r="AD525">
            <v>1</v>
          </cell>
        </row>
        <row r="526">
          <cell r="C526" t="str">
            <v>中国人保保险</v>
          </cell>
          <cell r="I526" t="str">
            <v>保单客户</v>
          </cell>
        </row>
        <row r="527">
          <cell r="C527" t="str">
            <v>中国平安保险</v>
          </cell>
          <cell r="I527" t="str">
            <v>推修客户</v>
          </cell>
        </row>
        <row r="528">
          <cell r="C528" t="str">
            <v>中国平安保险</v>
          </cell>
          <cell r="I528" t="str">
            <v>保单客户</v>
          </cell>
          <cell r="AD528">
            <v>1</v>
          </cell>
        </row>
        <row r="529">
          <cell r="C529" t="str">
            <v>中国平安保险</v>
          </cell>
          <cell r="I529" t="str">
            <v>推修客户</v>
          </cell>
          <cell r="AD529">
            <v>1</v>
          </cell>
        </row>
        <row r="530">
          <cell r="C530" t="str">
            <v>中国平安保险</v>
          </cell>
          <cell r="I530" t="str">
            <v>推修客户</v>
          </cell>
        </row>
        <row r="531">
          <cell r="C531" t="str">
            <v>中国平安保险</v>
          </cell>
          <cell r="I531" t="str">
            <v>推修客户</v>
          </cell>
        </row>
        <row r="532">
          <cell r="C532" t="str">
            <v>紫金保险</v>
          </cell>
          <cell r="I532" t="str">
            <v>保单客户</v>
          </cell>
        </row>
        <row r="533">
          <cell r="C533" t="str">
            <v>中银保险</v>
          </cell>
          <cell r="I533" t="str">
            <v>保单客户</v>
          </cell>
        </row>
        <row r="534">
          <cell r="C534" t="str">
            <v>中国平安保险</v>
          </cell>
          <cell r="I534" t="str">
            <v>保单客户</v>
          </cell>
          <cell r="AD534">
            <v>1</v>
          </cell>
        </row>
        <row r="535">
          <cell r="C535" t="str">
            <v>中国人保保险</v>
          </cell>
          <cell r="I535" t="str">
            <v>保单客户</v>
          </cell>
        </row>
        <row r="536">
          <cell r="C536" t="str">
            <v>太平洋保险</v>
          </cell>
          <cell r="I536" t="str">
            <v>推修客户</v>
          </cell>
        </row>
        <row r="537">
          <cell r="C537" t="str">
            <v>中国平安保险</v>
          </cell>
          <cell r="I537" t="str">
            <v>推修客户</v>
          </cell>
          <cell r="AD537">
            <v>1</v>
          </cell>
        </row>
        <row r="538">
          <cell r="C538" t="str">
            <v>中国人保保险</v>
          </cell>
          <cell r="I538" t="str">
            <v>保单客户</v>
          </cell>
        </row>
        <row r="539">
          <cell r="C539" t="str">
            <v>中国平安保险</v>
          </cell>
          <cell r="I539" t="str">
            <v>推修客户</v>
          </cell>
        </row>
        <row r="540">
          <cell r="C540" t="str">
            <v>中国人保保险</v>
          </cell>
          <cell r="I540" t="str">
            <v>保单客户</v>
          </cell>
        </row>
        <row r="541">
          <cell r="C541" t="str">
            <v>中银保险</v>
          </cell>
          <cell r="I541" t="str">
            <v>保单客户</v>
          </cell>
        </row>
        <row r="542">
          <cell r="C542" t="str">
            <v>中国人保保险</v>
          </cell>
          <cell r="I542" t="str">
            <v>保单客户</v>
          </cell>
        </row>
        <row r="543">
          <cell r="C543" t="str">
            <v>中国平安保险</v>
          </cell>
          <cell r="I543" t="str">
            <v>推修客户</v>
          </cell>
          <cell r="AD543">
            <v>1</v>
          </cell>
        </row>
        <row r="544">
          <cell r="C544" t="str">
            <v>华安保险</v>
          </cell>
          <cell r="I544" t="str">
            <v>保单客户</v>
          </cell>
          <cell r="AD544">
            <v>1</v>
          </cell>
        </row>
        <row r="545">
          <cell r="C545" t="str">
            <v>中国人保保险</v>
          </cell>
          <cell r="I545" t="str">
            <v>保单客户</v>
          </cell>
        </row>
        <row r="546">
          <cell r="C546" t="str">
            <v>中国平安保险</v>
          </cell>
          <cell r="I546" t="str">
            <v>推修客户</v>
          </cell>
          <cell r="AD546">
            <v>1</v>
          </cell>
        </row>
        <row r="547">
          <cell r="C547" t="str">
            <v>中国人保保险</v>
          </cell>
          <cell r="I547" t="str">
            <v>推修客户</v>
          </cell>
        </row>
        <row r="548">
          <cell r="C548" t="str">
            <v>天安保险</v>
          </cell>
          <cell r="I548" t="str">
            <v>推修客户</v>
          </cell>
        </row>
        <row r="549">
          <cell r="C549" t="str">
            <v>中华保险</v>
          </cell>
          <cell r="I549" t="str">
            <v>推修客户</v>
          </cell>
        </row>
        <row r="550">
          <cell r="C550" t="str">
            <v>中国平安保险</v>
          </cell>
          <cell r="I550" t="str">
            <v>推修客户</v>
          </cell>
        </row>
        <row r="551">
          <cell r="C551" t="str">
            <v>中国人保保险</v>
          </cell>
          <cell r="I551" t="str">
            <v>保单客户</v>
          </cell>
        </row>
        <row r="552">
          <cell r="C552" t="str">
            <v>中国平安保险</v>
          </cell>
          <cell r="I552" t="str">
            <v>推修客户</v>
          </cell>
        </row>
        <row r="553">
          <cell r="C553" t="str">
            <v>中国人保保险</v>
          </cell>
          <cell r="I553" t="str">
            <v>推修客户</v>
          </cell>
        </row>
        <row r="554">
          <cell r="C554" t="str">
            <v>中国人保保险</v>
          </cell>
          <cell r="I554" t="str">
            <v>保单客户</v>
          </cell>
        </row>
        <row r="555">
          <cell r="C555" t="str">
            <v>中国人保保险</v>
          </cell>
          <cell r="I555" t="str">
            <v>保单客户</v>
          </cell>
        </row>
        <row r="556">
          <cell r="C556" t="str">
            <v>中国人保保险</v>
          </cell>
          <cell r="I556" t="str">
            <v>保单客户</v>
          </cell>
        </row>
        <row r="557">
          <cell r="C557" t="str">
            <v>阳光保险</v>
          </cell>
          <cell r="I557" t="str">
            <v>推修客户</v>
          </cell>
        </row>
        <row r="558">
          <cell r="C558" t="str">
            <v>中国人保保险</v>
          </cell>
          <cell r="I558" t="str">
            <v>保单客户</v>
          </cell>
        </row>
        <row r="559">
          <cell r="C559" t="str">
            <v>中国人保保险</v>
          </cell>
          <cell r="I559" t="str">
            <v>推修客户</v>
          </cell>
        </row>
        <row r="560">
          <cell r="C560" t="str">
            <v>中国平安保险</v>
          </cell>
          <cell r="I560" t="str">
            <v>推修客户</v>
          </cell>
          <cell r="AD560">
            <v>1</v>
          </cell>
        </row>
        <row r="561">
          <cell r="C561" t="str">
            <v>中国平安保险</v>
          </cell>
          <cell r="I561" t="str">
            <v>推修客户</v>
          </cell>
        </row>
        <row r="562">
          <cell r="C562" t="str">
            <v>中国人保保险</v>
          </cell>
          <cell r="I562" t="str">
            <v>保单客户</v>
          </cell>
          <cell r="AD562">
            <v>1</v>
          </cell>
        </row>
        <row r="563">
          <cell r="C563" t="str">
            <v>中国人保保险</v>
          </cell>
          <cell r="I563" t="str">
            <v>保单客户</v>
          </cell>
        </row>
        <row r="564">
          <cell r="C564" t="str">
            <v>中国平安保险</v>
          </cell>
          <cell r="I564" t="str">
            <v>推修客户</v>
          </cell>
          <cell r="AD564">
            <v>1</v>
          </cell>
        </row>
        <row r="565">
          <cell r="C565" t="str">
            <v>天安保险</v>
          </cell>
          <cell r="I565" t="str">
            <v>推修客户</v>
          </cell>
        </row>
        <row r="566">
          <cell r="C566" t="str">
            <v>中国平安保险</v>
          </cell>
          <cell r="I566" t="str">
            <v>推修客户</v>
          </cell>
        </row>
        <row r="567">
          <cell r="C567" t="str">
            <v>中国平安保险</v>
          </cell>
          <cell r="I567" t="str">
            <v>推修客户</v>
          </cell>
        </row>
        <row r="568">
          <cell r="C568" t="str">
            <v>中国人保保险</v>
          </cell>
          <cell r="I568" t="str">
            <v>保单客户</v>
          </cell>
        </row>
        <row r="569">
          <cell r="C569" t="str">
            <v>中国平安保险</v>
          </cell>
          <cell r="I569" t="str">
            <v>保单客户</v>
          </cell>
          <cell r="AD569">
            <v>1</v>
          </cell>
        </row>
        <row r="570">
          <cell r="C570" t="str">
            <v>中国平安保险</v>
          </cell>
          <cell r="I570" t="str">
            <v>推修客户</v>
          </cell>
        </row>
        <row r="571">
          <cell r="C571" t="str">
            <v>华安保险</v>
          </cell>
          <cell r="I571" t="str">
            <v>推修客户</v>
          </cell>
          <cell r="AD571">
            <v>1</v>
          </cell>
        </row>
        <row r="572">
          <cell r="C572" t="str">
            <v>中华保险</v>
          </cell>
          <cell r="I572" t="str">
            <v>推修客户</v>
          </cell>
        </row>
        <row r="573">
          <cell r="C573" t="str">
            <v>中国人保保险</v>
          </cell>
          <cell r="I573" t="str">
            <v>推修客户</v>
          </cell>
        </row>
        <row r="574">
          <cell r="C574" t="str">
            <v>中国人保保险</v>
          </cell>
          <cell r="I574" t="str">
            <v>保单客户</v>
          </cell>
        </row>
        <row r="575">
          <cell r="C575" t="str">
            <v>中国人保保险</v>
          </cell>
          <cell r="I575" t="str">
            <v>保单客户</v>
          </cell>
        </row>
        <row r="576">
          <cell r="C576" t="str">
            <v>中国平安保险</v>
          </cell>
          <cell r="I576" t="str">
            <v>推修客户</v>
          </cell>
        </row>
        <row r="577">
          <cell r="C577" t="str">
            <v>中国人保保险</v>
          </cell>
          <cell r="I577" t="str">
            <v>保单客户</v>
          </cell>
        </row>
        <row r="578">
          <cell r="C578" t="str">
            <v>国任保险</v>
          </cell>
          <cell r="I578" t="str">
            <v>保单客户</v>
          </cell>
        </row>
        <row r="579">
          <cell r="C579" t="str">
            <v>中国平安保险</v>
          </cell>
          <cell r="I579" t="str">
            <v>推修客户</v>
          </cell>
          <cell r="AD579">
            <v>1</v>
          </cell>
        </row>
        <row r="580">
          <cell r="C580" t="str">
            <v>中国平安保险</v>
          </cell>
          <cell r="I580" t="str">
            <v>推修客户</v>
          </cell>
          <cell r="AD580">
            <v>1</v>
          </cell>
        </row>
        <row r="581">
          <cell r="C581" t="str">
            <v>中国人保保险</v>
          </cell>
          <cell r="I581" t="str">
            <v>保单客户</v>
          </cell>
        </row>
        <row r="582">
          <cell r="C582" t="str">
            <v>中国平安保险</v>
          </cell>
          <cell r="I582" t="str">
            <v>推修客户</v>
          </cell>
        </row>
        <row r="583">
          <cell r="C583" t="str">
            <v>紫金保险</v>
          </cell>
          <cell r="I583" t="str">
            <v>保单客户</v>
          </cell>
        </row>
        <row r="584">
          <cell r="C584" t="str">
            <v>中国平安保险</v>
          </cell>
          <cell r="I584" t="str">
            <v>推修客户</v>
          </cell>
        </row>
        <row r="585">
          <cell r="C585" t="str">
            <v>中国人保保险</v>
          </cell>
          <cell r="I585" t="str">
            <v>保单客户</v>
          </cell>
        </row>
        <row r="586">
          <cell r="C586" t="str">
            <v>中国人保保险</v>
          </cell>
          <cell r="I586" t="str">
            <v>保单客户</v>
          </cell>
        </row>
        <row r="587">
          <cell r="C587" t="str">
            <v>太平洋保险</v>
          </cell>
          <cell r="I587" t="str">
            <v>保单客户</v>
          </cell>
          <cell r="AD587">
            <v>1</v>
          </cell>
        </row>
        <row r="588">
          <cell r="C588" t="str">
            <v>中国平安保险</v>
          </cell>
          <cell r="I588" t="str">
            <v>推修客户</v>
          </cell>
        </row>
        <row r="589">
          <cell r="C589" t="str">
            <v>中国平安保险</v>
          </cell>
          <cell r="I589" t="str">
            <v>推修客户</v>
          </cell>
        </row>
        <row r="590">
          <cell r="C590" t="str">
            <v>中华保险</v>
          </cell>
          <cell r="I590" t="str">
            <v>推修客户</v>
          </cell>
        </row>
        <row r="591">
          <cell r="C591" t="str">
            <v>中国人保保险</v>
          </cell>
          <cell r="I591" t="str">
            <v>保单客户</v>
          </cell>
        </row>
        <row r="592">
          <cell r="C592" t="str">
            <v>天安保险</v>
          </cell>
          <cell r="I592" t="str">
            <v>推修客户</v>
          </cell>
        </row>
        <row r="593">
          <cell r="C593" t="str">
            <v>中国平安保险</v>
          </cell>
          <cell r="I593" t="str">
            <v>保单客户</v>
          </cell>
        </row>
        <row r="594">
          <cell r="C594" t="str">
            <v>华安保险</v>
          </cell>
          <cell r="I594" t="str">
            <v>推修客户</v>
          </cell>
        </row>
        <row r="595">
          <cell r="C595" t="str">
            <v>中国平安保险</v>
          </cell>
          <cell r="I595" t="str">
            <v>保单客户</v>
          </cell>
          <cell r="AD595">
            <v>1</v>
          </cell>
        </row>
        <row r="596">
          <cell r="C596" t="str">
            <v>中国人保保险</v>
          </cell>
          <cell r="I596" t="str">
            <v>推修客户</v>
          </cell>
        </row>
        <row r="597">
          <cell r="C597" t="str">
            <v>中华保险</v>
          </cell>
          <cell r="I597" t="str">
            <v>推修客户</v>
          </cell>
        </row>
        <row r="598">
          <cell r="C598" t="str">
            <v>中国平安保险</v>
          </cell>
          <cell r="I598" t="str">
            <v>推修客户</v>
          </cell>
          <cell r="AD598">
            <v>1</v>
          </cell>
        </row>
        <row r="599">
          <cell r="C599" t="str">
            <v>中国平安保险</v>
          </cell>
          <cell r="I599" t="str">
            <v>推修客户</v>
          </cell>
          <cell r="AD599">
            <v>1</v>
          </cell>
        </row>
        <row r="600">
          <cell r="C600" t="str">
            <v>国寿保险</v>
          </cell>
          <cell r="I600" t="str">
            <v>保单客户</v>
          </cell>
        </row>
        <row r="601">
          <cell r="C601" t="str">
            <v>中国人保保险</v>
          </cell>
          <cell r="I601" t="str">
            <v>保单客户</v>
          </cell>
        </row>
        <row r="602">
          <cell r="C602" t="str">
            <v>中国人保保险</v>
          </cell>
          <cell r="I602" t="str">
            <v>保单客户</v>
          </cell>
        </row>
        <row r="603">
          <cell r="C603" t="str">
            <v>天安保险</v>
          </cell>
          <cell r="I603" t="str">
            <v>推修客户</v>
          </cell>
        </row>
        <row r="604">
          <cell r="C604" t="str">
            <v>中国平安保险</v>
          </cell>
          <cell r="I604" t="str">
            <v>推修客户</v>
          </cell>
        </row>
      </sheetData>
      <sheetData sheetId="1">
        <row r="5">
          <cell r="C5">
            <v>60</v>
          </cell>
          <cell r="D5">
            <v>52</v>
          </cell>
          <cell r="G5">
            <v>153</v>
          </cell>
          <cell r="H5">
            <v>95</v>
          </cell>
        </row>
        <row r="6">
          <cell r="C6">
            <v>175</v>
          </cell>
          <cell r="D6">
            <v>32</v>
          </cell>
          <cell r="G6">
            <v>88</v>
          </cell>
          <cell r="H6">
            <v>48</v>
          </cell>
        </row>
        <row r="7">
          <cell r="C7">
            <v>4</v>
          </cell>
          <cell r="D7">
            <v>2</v>
          </cell>
          <cell r="G7">
            <v>12</v>
          </cell>
          <cell r="H7">
            <v>5</v>
          </cell>
        </row>
        <row r="8">
          <cell r="C8">
            <v>20</v>
          </cell>
          <cell r="D8">
            <v>2</v>
          </cell>
          <cell r="G8">
            <v>9</v>
          </cell>
          <cell r="H8">
            <v>8</v>
          </cell>
        </row>
        <row r="9">
          <cell r="C9">
            <v>4</v>
          </cell>
          <cell r="D9">
            <v>0</v>
          </cell>
          <cell r="G9">
            <v>7</v>
          </cell>
          <cell r="H9">
            <v>6</v>
          </cell>
        </row>
        <row r="10">
          <cell r="C10">
            <v>1</v>
          </cell>
          <cell r="D10">
            <v>0</v>
          </cell>
          <cell r="G10">
            <v>7</v>
          </cell>
          <cell r="H10">
            <v>4</v>
          </cell>
        </row>
        <row r="11">
          <cell r="C11">
            <v>0</v>
          </cell>
          <cell r="D11">
            <v>0</v>
          </cell>
          <cell r="G11">
            <v>1</v>
          </cell>
          <cell r="H11">
            <v>1</v>
          </cell>
        </row>
        <row r="12">
          <cell r="C12">
            <v>6</v>
          </cell>
          <cell r="D12">
            <v>1</v>
          </cell>
          <cell r="G12">
            <v>1</v>
          </cell>
          <cell r="H12">
            <v>0</v>
          </cell>
        </row>
        <row r="13">
          <cell r="C13">
            <v>1</v>
          </cell>
          <cell r="D13">
            <v>0</v>
          </cell>
          <cell r="G13">
            <v>3</v>
          </cell>
          <cell r="H13">
            <v>3</v>
          </cell>
        </row>
        <row r="14">
          <cell r="C14">
            <v>0</v>
          </cell>
          <cell r="D14">
            <v>0</v>
          </cell>
          <cell r="G14">
            <v>0</v>
          </cell>
          <cell r="H14">
            <v>0</v>
          </cell>
        </row>
        <row r="15">
          <cell r="C15">
            <v>5</v>
          </cell>
          <cell r="D15">
            <v>0</v>
          </cell>
          <cell r="G15">
            <v>4</v>
          </cell>
          <cell r="H15">
            <v>4</v>
          </cell>
        </row>
        <row r="16">
          <cell r="C16">
            <v>0</v>
          </cell>
          <cell r="D16">
            <v>0</v>
          </cell>
          <cell r="G16">
            <v>0</v>
          </cell>
          <cell r="H16">
            <v>0</v>
          </cell>
        </row>
        <row r="17">
          <cell r="C17">
            <v>0</v>
          </cell>
          <cell r="D17">
            <v>0</v>
          </cell>
          <cell r="G17">
            <v>9</v>
          </cell>
          <cell r="H17">
            <v>3</v>
          </cell>
        </row>
        <row r="18">
          <cell r="C18">
            <v>2</v>
          </cell>
          <cell r="D18">
            <v>1</v>
          </cell>
          <cell r="G18">
            <v>0</v>
          </cell>
          <cell r="H18">
            <v>0</v>
          </cell>
        </row>
        <row r="19">
          <cell r="C19">
            <v>0</v>
          </cell>
          <cell r="D19">
            <v>0</v>
          </cell>
          <cell r="G19">
            <v>1</v>
          </cell>
          <cell r="H19">
            <v>1</v>
          </cell>
        </row>
        <row r="20">
          <cell r="C20">
            <v>0</v>
          </cell>
          <cell r="D20">
            <v>0</v>
          </cell>
          <cell r="G20">
            <v>0</v>
          </cell>
          <cell r="H20">
            <v>0</v>
          </cell>
        </row>
        <row r="21">
          <cell r="C21">
            <v>2</v>
          </cell>
          <cell r="D21">
            <v>0</v>
          </cell>
          <cell r="G21">
            <v>2</v>
          </cell>
          <cell r="H21">
            <v>2</v>
          </cell>
        </row>
        <row r="22">
          <cell r="C22">
            <v>17</v>
          </cell>
          <cell r="D22">
            <v>1</v>
          </cell>
          <cell r="G22">
            <v>9</v>
          </cell>
          <cell r="H22">
            <v>7</v>
          </cell>
        </row>
        <row r="23">
          <cell r="C23">
            <v>0</v>
          </cell>
          <cell r="D23">
            <v>0</v>
          </cell>
          <cell r="G23">
            <v>0</v>
          </cell>
          <cell r="H23">
            <v>0</v>
          </cell>
        </row>
      </sheetData>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192.168.3.4\&#24494;&#20449;\xwechat_files\wxid_gq8y5fepba3l21_101b\msg\file\2026-06\&#20445;&#38505;&#37096;2026&#24180;5&#26376;&#32489;&#25928;(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8304" refreshedDate="46175.558136574102" createdVersion="5" refreshedVersion="5" minRefreshableVersion="3" recordCount="643" xr:uid="{00000000-000A-0000-FFFF-FFFF00000000}">
  <cacheSource type="worksheet">
    <worksheetSource ref="A16:N659" sheet="附件1-续保绩效考核" r:id="rId2"/>
  </cacheSource>
  <cacheFields count="14">
    <cacheField name="保险公司" numFmtId="0">
      <sharedItems count="18">
        <s v="中国平安"/>
        <s v="中国人保"/>
        <s v="安诚保险"/>
        <s v="中银保险"/>
        <s v="中华联合"/>
        <s v="阳光保险"/>
        <s v="中国太平"/>
        <s v="国寿财险"/>
        <s v="太平洋保险"/>
        <s v="紫金保险"/>
        <s v="华泰保险"/>
        <s v="大地保险"/>
        <s v="申能财险"/>
        <s v="华安保险"/>
        <s v="华农保险"/>
        <s v="国任保险"/>
        <s v="永诚保险"/>
        <s v="锦泰保险"/>
      </sharedItems>
    </cacheField>
    <cacheField name="销售时间" numFmtId="190">
      <sharedItems containsSemiMixedTypes="0" containsNonDate="0" containsDate="1" containsString="0" minDate="2026-04-01T00:00:00" maxDate="2026-05-29T00:00:00" count="55">
        <d v="2026-04-01T00:00:00"/>
        <d v="2026-04-02T00:00:00"/>
        <d v="2026-04-05T00:00:00"/>
        <d v="2026-04-06T00:00:00"/>
        <d v="2026-04-07T00:00:00"/>
        <d v="2026-04-08T00:00:00"/>
        <d v="2026-04-09T00:00:00"/>
        <d v="2026-04-11T00:00:00"/>
        <d v="2026-04-10T00:00:00"/>
        <d v="2026-04-12T00:00:00"/>
        <d v="2026-04-13T00:00:00"/>
        <d v="2026-04-14T00:00:00"/>
        <d v="2026-04-15T00:00:00"/>
        <d v="2026-04-16T00:00:00"/>
        <d v="2026-04-17T00:00:00"/>
        <d v="2026-04-18T00:00:00"/>
        <d v="2026-04-20T00:00:00"/>
        <d v="2026-04-21T00:00:00"/>
        <d v="2026-04-22T00:00:00"/>
        <d v="2026-04-23T00:00:00"/>
        <d v="2026-04-24T00:00:00"/>
        <d v="2026-04-25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sharedItems>
    </cacheField>
    <cacheField name="起保日期" numFmtId="190">
      <sharedItems containsSemiMixedTypes="0" containsNonDate="0" containsDate="1" containsString="0" minDate="2026-05-01T00:00:00" maxDate="2026-05-31T00:00:00" count="31">
        <d v="2026-05-01T00:00:00"/>
        <d v="2026-05-02T00:00:00"/>
        <d v="2026-05-06T00:00:00"/>
        <d v="2026-05-03T00:00:00"/>
        <d v="2026-05-04T00:00:00"/>
        <d v="2026-05-05T00:00:00"/>
        <d v="2026-05-07T00:00:00"/>
        <d v="2026-05-08T00:00:00"/>
        <d v="2026-05-09T00:00:00"/>
        <d v="2026-05-10T00:00:00"/>
        <d v="2026-05-11T00:00:00"/>
        <d v="2026-05-12T00:00:00"/>
        <d v="2026-05-13T00:00:00"/>
        <d v="2026-05-14T00:00:00"/>
        <d v="2026-05-15T00:00:00"/>
        <d v="2026-05-16T00:00:00"/>
        <d v="2026-05-17T00:00:00"/>
        <d v="2026-05-18T00:00:00"/>
        <d v="2026-05-20T00:00:00"/>
        <d v="2026-05-19T00:00:00"/>
        <d v="2026-05-21T00:00:00"/>
        <d v="2026-05-22T00:00:00"/>
        <d v="2026-05-23T00:00:00"/>
        <d v="2026-05-24T00:00:00"/>
        <d v="2026-05-25T00:00:00"/>
        <d v="2026-05-26T00:00:00"/>
        <d v="2026-05-27T00:00:00"/>
        <d v="2026-05-28T00:00:00"/>
        <d v="2026-05-29T00:00:00"/>
        <d v="2026-05-30T00:00:00"/>
        <d v="2026-05-31T00:00:00"/>
      </sharedItems>
    </cacheField>
    <cacheField name="车架号" numFmtId="0">
      <sharedItems count="643">
        <s v="LB37822Z2PB013836"/>
        <s v="LB37722Z9JA036756"/>
        <s v="LB37824Z8RG048951"/>
        <s v="LB37522S7LL005277"/>
        <s v="L6T7854Z9PD035430"/>
        <s v="LB37622Z5PX926129"/>
        <s v="LB37824Z5NG110915"/>
        <s v="LB37852Z4PS049464"/>
        <s v="L6T7842ZXLY047263"/>
        <s v="LB378JNZ1SH025309"/>
        <s v="LB378JNZ0SH006329"/>
        <s v="LB375GNN0SX042567"/>
        <s v="LB37852Z3RS078702"/>
        <s v="L6T7824Z9RD199567"/>
        <s v="L6T7854Z3RD069639"/>
        <s v="LB37852ZXRS065879"/>
        <s v="LB378LCZ7RB016075"/>
        <s v="L6T7854ZXPD028860"/>
        <s v="LB37852Z5PS058612"/>
        <s v="LB37852ZXPS066558"/>
        <s v="LB37824Z7PG025383"/>
        <s v="LB37722Z3PX304965"/>
        <s v="LB37722Z5MH020338"/>
        <s v="LB377U2W3NA177152"/>
        <s v="L6T7854Z7PD019078"/>
        <s v="L6T7854Z0ND037743"/>
        <s v="L6T75MNN5SF371748"/>
        <s v="LB37822Z3SB051892"/>
        <s v="L6T7824Z0SD052737"/>
        <s v="L6T7722Z0SV044816"/>
        <s v="LB37852Z8SS111019"/>
        <s v="LB370ADN1PJ137954"/>
        <s v="LB37824Z8PG033329"/>
        <s v="LB37852Z0PS051826"/>
        <s v="LB37852Z1PS071180"/>
        <s v="LB37852Z6PS055587"/>
        <s v="L6T7824Z0SD054410"/>
        <s v="LB37824S4PG047375"/>
        <s v="LB37852D4SS121972"/>
        <s v="L6T7854Z5PD035974"/>
        <s v="LJ2KP7FG0MA017633"/>
        <s v="LB37824Z5JH062689"/>
        <s v="LB378JNZ8SH046254"/>
        <s v="LB378LEZ6RH064290"/>
        <s v="L6T7824Z5SD055715"/>
        <s v="LB378LEZ8RH002552"/>
        <s v="LB37822ZXPB012515"/>
        <s v="LB37824Z2PG052443"/>
        <s v="LB37852Z6SS090834"/>
        <s v="L6T7824Z0SD034948"/>
        <s v="L6T7824Z6KW035235"/>
        <s v="LB375GNN2SX433445"/>
        <s v="LB378JRZ3SH071945"/>
        <s v="LB37742S8FC259753"/>
        <s v="L107722Z0NC004492"/>
        <s v="L6T7944Z2HN426969"/>
        <s v="LB37522S4LL070412"/>
        <s v="L6T7952Z7RY013244"/>
        <s v="L6T7854Z3SD059859"/>
        <s v="LB3784EZ3RH017997"/>
        <s v="L6T7854Z0MD031374"/>
        <s v="LB37622Z3RX602678"/>
        <s v="L6T7622Z0NV028381"/>
        <s v="L6T75MNN9SF365600"/>
        <s v="LB378JNZ9SH059076"/>
        <s v="L6T75MNN4SF373474"/>
        <s v="L6T7742Z2GN018785"/>
        <s v="LB370ADN6RJ123728"/>
        <s v="LB37822Z3RB039784"/>
        <s v="LB37622Z1KX601051"/>
        <s v="LB370ADN9SJ144658"/>
        <s v="LB37824Z7LH142420"/>
        <s v="LB37722Z5NH016825"/>
        <s v="LB37852Z6SS112654"/>
        <s v="L6T78CNW6SY060456"/>
        <s v="L6T79XEZXSV253015"/>
        <s v="LBERCADB1FX845906"/>
        <s v="L6T75MNN6SF363240"/>
        <s v="L6T7824Z9SD059377"/>
        <s v="L6T7854Z9PD023049"/>
        <s v="L6T7854Z5ND100559"/>
        <s v="LB37824Z0NG112068"/>
        <s v="LB37622Z6LX601287"/>
        <s v="L6T7854Z5SD059801"/>
        <s v="L6T7742ZXGN018145"/>
        <s v="LB37852D5PS066181"/>
        <s v="L6T7622Z2NV032383"/>
        <s v="LB37622Z7SX611499"/>
        <s v="L6T7824Z2SD053758"/>
        <s v="L6T7824Z0KN018081"/>
        <s v="L6T75MNN7SF373212"/>
        <s v="LB378JNZ2SH047576"/>
        <s v="LB37622Z8RX909313"/>
        <s v="LB37852Z5PS052339"/>
        <s v="LB37622SXNX723107"/>
        <s v="LB37742Z6LB031569"/>
        <s v="LB37852Z0NS032349"/>
        <s v="LB37742Z5HB154951"/>
        <s v="L107722Z3PC002738"/>
        <s v="LB37852Z2PS032789"/>
        <s v="L6T7854Z9ND033626"/>
        <s v="LB37822Z2SB056193"/>
        <s v="L6T7622Z6LV005751"/>
        <s v="L6T7622ZXLV006689"/>
        <s v="LB37742Z7LB023612"/>
        <s v="L6T7824Z5KW033931"/>
        <s v="LB37724Z9MX205236"/>
        <s v="LB37822Z2SB048692"/>
        <s v="LB37852Z6NS027298"/>
        <s v="LB378JNZ0SH047849"/>
        <s v="LB37622Z9PX609504"/>
        <s v="LB37722Z0RX313724"/>
        <s v="LB37824Z1NG111639"/>
        <s v="LB37852Z5PS047044"/>
        <s v="LB37522Z6KL015195"/>
        <s v="LB37722Z6LC013989"/>
        <s v="LB37824Z9PG031945"/>
        <s v="LB375GNN6SX430127"/>
        <s v="L6T7942Z4NY015005"/>
        <s v="L6T78CNW3RY103435"/>
        <s v="LB37742S0HH077213"/>
        <s v="L6T7822Z7KD028891"/>
        <s v="L6T7824SXLW177947"/>
        <s v="L6T7854Z8RD064727"/>
        <s v="LB37852Z9PS061335"/>
        <s v="L6T7854Z3PD039666"/>
        <s v="L6T75MNN9SF366956"/>
        <s v="L6T7854ZXND032629"/>
        <s v="L6T7854Z8PD036763"/>
        <s v="LB37742Z4LB023308"/>
        <s v="L6T7722S4KN010882"/>
        <s v="L6T7824Z9RD040886"/>
        <s v="LB37622Z9KX682199"/>
        <s v="LB37722Z7RX307452"/>
        <s v="LB37824S4PG047408"/>
        <s v="LB37742Z6LB030115"/>
        <s v="LB37522Z7LL009682"/>
        <s v="LB37824Z4LH024079"/>
        <s v="L6T7854Z9PD023214"/>
        <s v="LB37742D7HB045394"/>
        <s v="LB37522S0LL005217"/>
        <s v="LB375GNN4SX430062"/>
        <s v="LB378B2Z0PS029369"/>
        <s v="LB378LCZ5PB118648"/>
        <s v="LB37824Z0PG029436"/>
        <s v="LB378JRZ8SH062884"/>
        <s v="L6T7824Z3HN021128"/>
        <s v="LB37742Z3KB019717"/>
        <s v="LB37822Z6RB039553"/>
        <s v="LB375GNN4SX047125"/>
        <s v="LB375GNN5SX430278"/>
        <s v="LB37622ZXRX604797"/>
        <s v="L6T7854Z2PD036760"/>
        <s v="L6T7852Z0KD027275"/>
        <s v="LB37852D7NS032823"/>
        <s v="LB37824Z9PG042332"/>
        <s v="L6T7824Z5RD061802"/>
        <s v="L6T7824Z5MW271264"/>
        <s v="L6T7824S3JN193197"/>
        <s v="LB37822Z2RB041719"/>
        <s v="LB378JNZ1SH051828"/>
        <s v="L6T75MNN6SF383410"/>
        <s v="L107722S1MC004437"/>
        <s v="L6T79BRN0SV172082"/>
        <s v="LB376F2Z0NX601229"/>
        <s v="L6T791RZ4SV301907"/>
        <s v="L6T7722Z5NF023779"/>
        <s v="LB37852ZXSS029504"/>
        <s v="L6T7824Z4SD054748"/>
        <s v="LB37724SXGX025464"/>
        <s v="LJ2KV8NA6MA019587"/>
        <s v="LB37824S5PG057560"/>
        <s v="L6T7824Z3SD051369"/>
        <s v="LB378LCZ4PB133447"/>
        <s v="LB37824Z1PG056578"/>
        <s v="L6T791RZXSV302673"/>
        <s v="LB37742S6JB044886"/>
        <s v="L6T75N2W7PV329890"/>
        <s v="L6T7824Z2RD064608"/>
        <s v="LB37852Z4PS051697"/>
        <s v="L6T7942Z9MY003835"/>
        <s v="L107722S9MC004461"/>
        <s v="L6T7742Z8GN405549"/>
        <s v="L6T7854ZXND126381"/>
        <s v="LB378JNZ0SB009864"/>
        <s v="LB37824Z5SG057600"/>
        <s v="LB378JNZ2SH048050"/>
        <s v="LB378LEZ5RH064278"/>
        <s v="LB37722Z7KH036201"/>
        <s v="LB37822Z5RB013736"/>
        <s v="LB378JNZ9SH054511"/>
        <s v="LB37824ZXNG110795"/>
        <s v="LB370ADN1PJ140224"/>
        <s v="L6T7824Z7SD054839"/>
        <s v="LB37822Z4PB013837"/>
        <s v="L6T7824S3JN193054"/>
        <s v="LB37722Z0MH015404"/>
        <s v="LB37722Z9LC014005"/>
        <s v="LB378LEZ4RH064269"/>
        <s v="LB370ADN4PJ138239"/>
        <s v="LB37852Z9NS038263"/>
        <s v="LB37852Z3PS040271"/>
        <s v="LB37622Z3NX715282"/>
        <s v="LB37852Z6RS078712"/>
        <s v="LB37824Z8LH032198"/>
        <s v="L6T7854Z2ND033628"/>
        <s v="LB375GNN8SX425043"/>
        <s v="L6T7854Z7SD052767"/>
        <s v="L6T79XEZXSV252754"/>
        <s v="LB37622Z2KX601768"/>
        <s v="L6T7722S7GN022354"/>
        <s v="LB37824Z9NG017895"/>
        <s v="LB37824Z5RG048745"/>
        <s v="L6T7854Z1ND037850"/>
        <s v="LB37622Z7PX703008"/>
        <s v="LB37624S9EL021770"/>
        <s v="LB37742S4JA032998"/>
        <s v="LB37742Z0NB019548"/>
        <s v="L6T7854ZXPD039714"/>
        <s v="LB37742Z2LB010671"/>
        <s v="L6T791RZ6SV301214"/>
        <s v="LB37852Z0SS107918"/>
        <s v="L6T7824Z8RD059283"/>
        <s v="LB37722D0LB026067"/>
        <s v="LB37852Z4PS066605"/>
        <s v="LB37824Z1NG034562"/>
        <s v="LB37724S8HX669000"/>
        <s v="LB37824ZXPG031954"/>
        <s v="L6T79XEZ7SV251528"/>
        <s v="L6T791RZ1SV302965"/>
        <s v="LB37852Z5NS024215"/>
        <s v="L6T7824S1KN022336"/>
        <s v="LB37722Z3NH013566"/>
        <s v="LB37824ZXRG047865"/>
        <s v="LB37522S5ML013900"/>
        <s v="LB37742Z9LB107690"/>
        <s v="LB37852Z2SS070547"/>
        <s v="LB378JNZ1SB033901"/>
        <s v="LB378LEZXRH063739"/>
        <s v="L6T75MNN6SF365540"/>
        <s v="LB37852Z4RS041092"/>
        <s v="LB378LCZ9RB012951"/>
        <s v="L6T7824Z1JN052707"/>
        <s v="L6T7824Z5SD054869"/>
        <s v="LB37852Z3PS048953"/>
        <s v="LB37724S8GX029643"/>
        <s v="LB37724ZXJX047713"/>
        <s v="LB37824Z7LH032189"/>
        <s v="L6T7854Z0SD057373"/>
        <s v="L6T7742Z1LU087435"/>
        <s v="LB37622Z7MX710407"/>
        <s v="LB37824Z7KH013186"/>
        <s v="LB37522S2JL045618"/>
        <s v="LB37824Z9LH140622"/>
        <s v="LB37522S5JL041126"/>
        <s v="LB378LEZ9RH022471"/>
        <s v="L6T7844SXBN111611"/>
        <s v="LB3752CWXNA300647"/>
        <s v="L6T75MNN9SF363510"/>
        <s v="LB37824S4LH041614"/>
        <s v="LB37742Z9MB008935"/>
        <s v="L6T7822Z2KD027941"/>
        <s v="LB375HNN4SX051567"/>
        <s v="LB37852D2PS051394"/>
        <s v="L6T7854Z1MD025017"/>
        <s v="LB378JNZ9SH063967"/>
        <s v="LB37852ZXPS046942"/>
        <s v="LB37624Z2FL058951"/>
        <s v="LB37742Z2LB023193"/>
        <s v="LB37742D7HB045668"/>
        <s v="L6T78CNW6SY060490"/>
        <s v="LB37852Z0PS066584"/>
        <s v="L6T7854Z7MD032215"/>
        <s v="L6T7824SXDN210047"/>
        <s v="LB37742Z4LB014205"/>
        <s v="LB37742Z7LB023836"/>
        <s v="L6T7854Z8PD039694"/>
        <s v="LB370ADN2RJ118008"/>
        <s v="LB37822Z4PB013854"/>
        <s v="LB378LCZ6PB124345"/>
        <s v="LB37712Z2HC043489"/>
        <s v="L6T7824Z5KN022983"/>
        <s v="LB37622Z9NX717554"/>
        <s v="LB37742Z1LB023217"/>
        <s v="L6T7854Z1ND039193"/>
        <s v="LJ2KP7FG3MA019263"/>
        <s v="L6T7952Z5RY012223"/>
        <s v="LB37852Z8PS013003"/>
        <s v="LB37822Z0SB068701"/>
        <s v="LB378JNZ1SH046810"/>
        <s v="L6T7852ZXLD005656"/>
        <s v="L6T7822Z0KY011830"/>
        <s v="LB37852Z3SS106973"/>
        <s v="LB37742Z8MB021403"/>
        <s v="L6T791RZ4SV306363"/>
        <s v="L6T7824Z0SD065505"/>
        <s v="LB370ADN5RJ112672"/>
        <s v="L6T75MNN1SF366689"/>
        <s v="L6T7824Z9SD069407"/>
        <s v="L6T7824Z1SD065349"/>
        <s v="LB37722Z2NH013557"/>
        <s v="LB37852Z0PS027400"/>
        <s v="L6T7824Z9KW012502"/>
        <s v="LB37824Z5SG057595"/>
        <s v="LB37852Z1PS071230"/>
        <s v="LB37522Z5ML007592"/>
        <s v="L6T79XEZ2SV253641"/>
        <s v="LB375GNN3SX035807"/>
        <s v="LB37712Z2HC040821"/>
        <s v="LB37824S5LH146582"/>
        <s v="LB37722Z3LC021564"/>
        <s v="LB37824ZXPG036071"/>
        <s v="LLV5CWB25R0001110"/>
        <s v="LB37822Z8PB009998"/>
        <s v="LB37742Z0NB017153"/>
        <s v="LB37824Z1LH031247"/>
        <s v="LB37752S7KB024654"/>
        <s v="LB370ADN1SJ148249"/>
        <s v="L6T7822Z8LD003631"/>
        <s v="LB370ADN3PJ138152"/>
        <s v="L107722Z3LC084268"/>
        <s v="L6T7924Z3LU018855"/>
        <s v="LB378LCZ7RB038626"/>
        <s v="LB37622Z3MX704586"/>
        <s v="LB375GNN4SX427081"/>
        <s v="LB37824Z1KH034289"/>
        <s v="LB37852Z8SS029677"/>
        <s v="L6T7852DXMD026173"/>
        <s v="LB37852Z5SS140154"/>
        <s v="LB378JNZ9SH049129"/>
        <s v="LB37852Z7PS066582"/>
        <s v="L6T75MNN6SF371760"/>
        <s v="LB378LEZ6RH009922"/>
        <s v="LB37742Z8MB037469"/>
        <s v="L6T7852Z7KD027886"/>
        <s v="L6T7824Z7SD033733"/>
        <s v="L6T75N2W5RV153974"/>
        <s v="LB37852Z5RS030585"/>
        <s v="LB370ADN9PJ139189"/>
        <s v="L6T75MNN4SF372339"/>
        <s v="LB37822Z4PB013823"/>
        <s v="LB37742ZXJB044452"/>
        <s v="LB37822Z7RB023054"/>
        <s v="LB378LCZ4PB124117"/>
        <s v="LB37622Z0NX715224"/>
        <s v="L6T7824Z9RD056148"/>
        <s v="LB37822Z6PB006100"/>
        <s v="L6T7824Z8SD057197"/>
        <s v="L6T7824Z1MW043682"/>
        <s v="LB370ADN5RJ124949"/>
        <s v="LB37824ZXLH142508"/>
        <s v="LB37742Z5LB003729"/>
        <s v="L6T7804Z0LW021188"/>
        <s v="LB37852Z2RS057050"/>
        <s v="LB37722Z8JA027420"/>
        <s v="L6T7622Z3LV005223"/>
        <s v="LB37722Z7JH079063"/>
        <s v="LB37622Z5PX642032"/>
        <s v="LB378LCZ0SB054933"/>
        <s v="L6T797EZ9RD037852"/>
        <s v="LB37852Z5RS092455"/>
        <s v="LB37724Z1MX205330"/>
        <s v="LB378LCZ3RB031009"/>
        <s v="LB37722Z5LH019804"/>
        <s v="WDC0J4GB2KF619012"/>
        <s v="LB37622Z1NX715278"/>
        <s v="LB37852Z0PS084812"/>
        <s v="L6T7854Z8PD039761"/>
        <s v="L6T75N2W0RV151789"/>
        <s v="LB37852D7NS024768"/>
        <s v="LB378B2Z7PS093957"/>
        <s v="L6T7824S4KW033843"/>
        <s v="L6T7854Z1PD033400"/>
        <s v="LB37824ZXSG048651"/>
        <s v="LB37742Z8LB107700"/>
        <s v="LB378JNZ0SH027360"/>
        <s v="L6T75MNN2SF374199"/>
        <s v="L6T79XEZ1SV251301"/>
        <s v="LB37622Z6LX732736"/>
        <s v="LB37742Z2NB023391"/>
        <s v="L6T7622Z9PV014885"/>
        <s v="LB378LEZXRH019935"/>
        <s v="LB37522Z3ML007591"/>
        <s v="LB37724Z2HX654523"/>
        <s v="LB37722Z3LC015005"/>
        <s v="L6T7824Z5SD055701"/>
        <s v="LB37724Z8LX214394"/>
        <s v="LB375GNN1SX054596"/>
        <s v="LB37624S2BL037479"/>
        <s v="L6T7824Z4KW032639"/>
        <s v="LB37522S9JL044773"/>
        <s v="LB37822Z5PB106155"/>
        <s v="L6T7854Z5RD064720"/>
        <s v="LB37724S5DX075040"/>
        <s v="L6T75MNN8SF373428"/>
        <s v="LB37852Z5SS097094"/>
        <s v="LB370ADN1PJ137419"/>
        <s v="LB37852Z3SS137057"/>
        <s v="L6T7742ZXLU087580"/>
        <s v="LB37622ZXPX608118"/>
        <s v="LB375GNN8SX047855"/>
        <s v="LB37824Z0LH018960"/>
        <s v="LB37852Z4RS054926"/>
        <s v="L6T7824Z7RD067648"/>
        <s v="LB378LEZ1RH023002"/>
        <s v="L6T7824Z1RD201215"/>
        <s v="LB378LCZ2RB064650"/>
        <s v="LB37852Z9SS081898"/>
        <s v="L6T7742Z4LU087462"/>
        <s v="L6T791RZ7SV306390"/>
        <s v="LB378GCZ6NS130294"/>
        <s v="LB37822Z4PB008217"/>
        <s v="LB37722Z5JC036273"/>
        <s v="LB37852Z3RS078344"/>
        <s v="LB378JRZ0SH063012"/>
        <s v="LB370ADN6PJ138386"/>
        <s v="L6T7824S7DN127014"/>
        <s v="LB37824Z8MH076560"/>
        <s v="LB378LEZ5RH017297"/>
        <s v="LB37824Z5LH033342"/>
        <s v="LB37622Z3SX620491"/>
        <s v="LB37814S6HH071716"/>
        <s v="LB37822ZXSB056023"/>
        <s v="L6T7854Z8MD035785"/>
        <s v="L6T7854Z8ND032614"/>
        <s v="LB37742S0KC008719"/>
        <s v="L6T7824S1LW006794"/>
        <s v="L6T7622Z0LV008564"/>
        <s v="LB370ADN2PJ138319"/>
        <s v="L6T7854Z9MD020860"/>
        <s v="LB37742S1JC031389"/>
        <s v="LB378JRZ1SH068882"/>
        <s v="L6T7952Z9RY108291"/>
        <s v="L6T7844S2CN115086"/>
        <s v="LB37752S5HB036097"/>
        <s v="LB378JNZ1SH068094"/>
        <s v="L6T7822Z4KY007697"/>
        <s v="LB37852ZXNS028731"/>
        <s v="L6T75N2W8RV157615"/>
        <s v="LB37852Z5PS066581"/>
        <s v="LB37824Z3PG031911"/>
        <s v="L6T7964Z5HN434964"/>
        <s v="LB37742Z1NB005674"/>
        <s v="LB37822Z6RB041318"/>
        <s v="LB37722Z5JA031392"/>
        <s v="L6T7944Z5FN001579"/>
        <s v="LB37742Z1HB043278"/>
        <s v="LB37712Z5HC033331"/>
        <s v="LB37852DXPS067472"/>
        <s v="L6T7824S9KW022417"/>
        <s v="LB37522Z7KL028389"/>
        <s v="L6T75MNN0SF365498"/>
        <s v="LB37824Z1LH032804"/>
        <s v="LB37722Z3LC014825"/>
        <s v="LB37844Z0JH057041"/>
        <s v="LB370ADN1SJ156500"/>
        <s v="LB378LEZ9RH064297"/>
        <s v="LB375GNNXSX047856"/>
        <s v="LB378LEZ0RH087919"/>
        <s v="LB370ADN3PJ140421"/>
        <s v="L6T7942Z4MY017352"/>
        <s v="LB37824Z5SG046936"/>
        <s v="LB37852Z4RS053050"/>
        <s v="LB37852Z2PS066568"/>
        <s v="LB37822Z7RB027119"/>
        <s v="LB378LCZ4PB128863"/>
        <s v="LB37852Z9SS111479"/>
        <s v="L6T7622Z1MV010499"/>
        <s v="LB37824Z7RG046611"/>
        <s v="LB37824S9JH063038"/>
        <s v="LB37824S4PG058361"/>
        <s v="L6T7622Z0LV005728"/>
        <s v="LB37522Z7LL013134"/>
        <s v="L6T7824Z4KW038781"/>
        <s v="LB37852Z4NS021581"/>
        <s v="L6T7824Z3SD045006"/>
        <s v="LB37852Z7SS118155"/>
        <s v="LB378JNZ3SH057582"/>
        <s v="LB37852Z6RS097552"/>
        <s v="LB37852Z8NS034494"/>
        <s v="LB37822Z0SB058928"/>
        <s v="L6T7742Z1GN407370"/>
        <s v="LB37742Z6KB020702"/>
        <s v="LB37824Z6PG035130"/>
        <s v="L6T7854Z4ND042007"/>
        <s v="L6T791RZXSV301801"/>
        <s v="LB378JNZ0SH028377"/>
        <s v="LB37742S9FC228575"/>
        <s v="L6T7742ZXGN019859"/>
        <s v="L6T79XEZ4SV250353"/>
        <s v="LB375GNN8SX700412"/>
        <s v="LB37622Z4NX720006"/>
        <s v="LB37852Z9SS119047"/>
        <s v="LB37622ZXMX704603"/>
        <s v="L6T79XEZ5SV253052"/>
        <s v="LB37822ZXSB060525"/>
        <s v="LB37824S2SG042751"/>
        <s v="LB378LEZ1RH024697"/>
        <s v="L6T7824Z9KN024087"/>
        <s v="L6T7824Z5KW033590"/>
        <s v="L6T75MNN4SF374155"/>
        <s v="LB37722Z8SX310124"/>
        <s v="LB37822Z7SB061292"/>
        <s v="LB37742Z2HB051793"/>
        <s v="LB37742S5KH013644"/>
        <s v="L6T7742ZXGN015701"/>
        <s v="L6T7824Z3MW042632"/>
        <s v="L6T7824S8DN133646"/>
        <s v="LB37742S9JC029969"/>
        <s v="LB370ADN5RJ131058"/>
        <s v="LB37742Z8KH031374"/>
        <s v="L6T7622Z3RV011919"/>
        <s v="LB37724S3HX020950"/>
        <s v="LB37822Z5SB069360"/>
        <s v="L6T79P4N7RV340315"/>
        <s v="L6T7854Z8ND039885"/>
        <s v="L6T7824S3EN023170"/>
        <s v="LB37824S1SG054423"/>
        <s v="L6T7804Z0LW020252"/>
        <s v="L6T7942Z4MY018551"/>
        <s v="LB37622Z8PX702756"/>
        <s v="L6T78CNW8SY060295"/>
        <s v="LB37722Z1KH042172"/>
        <s v="LB37852Z2PS060916"/>
        <s v="LB37824Z2JH059779"/>
        <s v="LB37722Z2LH019761"/>
        <s v="L6T7842Z3LY003430"/>
        <s v="LB37722Z2NH063665"/>
        <s v="LB37822Z9RB027865"/>
        <s v="LB37742S0NB012392"/>
        <s v="LB37822Z5SB059668"/>
        <s v="LB37852Z1RS097555"/>
        <s v="L6T7622Z6LV007029"/>
        <s v="LB378JRZ3SH068995"/>
        <s v="LB37852Z1SS138983"/>
        <s v="LB37724Z1MX205361"/>
        <s v="L6T79BRNXSV175054"/>
        <s v="L6T7852Z0LD005925"/>
        <s v="L6T79BRN6SV173222"/>
        <s v="LB370ADNXRJ131038"/>
        <s v="LB37824S0RG053676"/>
        <s v="LB37962Z7FC237519"/>
        <s v="LB37824Z2LH049708"/>
        <s v="L6T7924Z3KU016649"/>
        <s v="LVSHCFDB9DE203795"/>
        <s v="LB37822Z1SB056024"/>
        <s v="LJ2KV8NA1MA020016"/>
        <s v="L6T7952Z5SY600760"/>
        <s v="L6T75MNN4SF391019"/>
        <s v="LB37852Z5RS100649"/>
        <s v="L6T7824Z4RD065274"/>
        <s v="L6T7824Z2MW043366"/>
        <s v="LB37742Z3LB021615"/>
        <s v="LB370ADN7PJ140003"/>
        <s v="LB37622Z6LX732722"/>
        <s v="LB378JNZ7SH049095"/>
        <s v="LB378LEZXRH024214"/>
        <s v="LB37852Z4PS028453"/>
        <s v="LB37824Z4LH024258"/>
        <s v="LB37742Z3LB031691"/>
        <s v="LB37852ZXRS089423"/>
        <s v="L6T7952Z4RY005666"/>
        <s v="L6T79P4NXRV336016"/>
        <s v="L6T7852Z5KD025814"/>
        <s v="LB378JNZ3SH075810"/>
        <s v="L6T7824Z7KW034367"/>
        <s v="L6T79P4N8RV340209"/>
        <s v="LB37852Z6RS019465"/>
        <s v="LB37742Z2LB030337"/>
        <s v="LB37814Z9HH070315"/>
        <s v="LB37852Z0RS098017"/>
        <s v="L6T7854Z6RD069232"/>
        <s v="L6T7824Z0JN036675"/>
        <s v="L6T7942Z1NY017388"/>
        <s v="LB37742Z5NB004110"/>
        <s v="LB378JNZ2SH035136"/>
        <s v="LB37622Z1PX620111"/>
        <s v="LB37742Z6LB009992"/>
        <s v="L6T7824Z8MW043470"/>
        <s v="LJ2KU8NA7MA027815"/>
        <s v="LB37852Z8NS040134"/>
        <s v="L6T7854Z6MD049362"/>
        <s v="LB37522Z5LL013164"/>
        <s v="LB37852D0PS069845"/>
        <s v="LB37722Z4MH023747"/>
        <s v="LB375GNN0SX053990"/>
        <s v="L6T7942ZXMY003553"/>
        <s v="L6T7854ZXMD050045"/>
        <s v="LB37852ZXSS123897"/>
        <s v="LB37722Z9KH038984"/>
        <s v="L6T7824Z2RD068111"/>
        <s v="LB37824Z8NG239408"/>
        <s v="LB378LCZ4SB053980"/>
        <s v="LB37742SXHC047021"/>
        <s v="LB37622Z0LX603407"/>
        <s v="LB37742Z6NB016492"/>
        <s v="LB37742Z4HB049401"/>
        <s v="LB378LEZ7RH002557"/>
        <s v="L6T7944Z7HN446134"/>
        <s v="LB37722S5KC077152"/>
        <s v="L6T79XEZ6SV251200"/>
        <s v="L6T79BRN2SV174142"/>
        <s v="LB37824Z9LH032162"/>
        <s v="L6T7944Z2HN506529"/>
        <s v="L6T7824Z7KW046678"/>
        <s v="L6T7824S7HN020972"/>
        <s v="L6T7854Z3ND042466"/>
        <s v="LB37722Z9LC014831"/>
        <s v="LB37712Z2JA011157"/>
        <s v="LB37622Z5PX612884"/>
        <s v="LB375GNN5SX437232"/>
        <s v="LB377U2W8MA106799"/>
        <s v="LB37522S4KL030975"/>
        <s v="L6T7824Z1HN029146"/>
        <s v="L6T7854Z8MD048519"/>
        <s v="L6T7944Z8GN020533"/>
        <s v="LB37852Z3PS032350"/>
        <s v="L6T7824Z0SD064838"/>
        <s v="L6T7854ZXRD068892"/>
        <s v="LB37742Z7HB056679"/>
        <s v="WAU9GCF26LN065369"/>
        <s v="LB37822Z9RB013917"/>
        <s v="LB37622ZXNX715246"/>
        <s v="L6T7742Z1GN011505"/>
        <s v="L6T7854Z9MD050442"/>
        <s v="LB370ADN7PJ120155"/>
        <s v="LB378JNZ3SH068095"/>
        <s v="LB37852Z2RS036957"/>
        <s v="LB37742S5HC049193"/>
        <s v="LB37622Z1RX602517"/>
        <s v="L6T79XEZ7SV253151"/>
        <s v="LB37742ZXMB024545"/>
        <s v="LB378LEZ7PH030582"/>
        <s v="L6T7854Z5MD034352"/>
        <s v="LB37822Z6PB022023"/>
        <s v="LB37622Z7PX618962"/>
        <s v="LB37852ZXRS055398"/>
        <s v="LB378JNZ0SH062612"/>
        <s v="L6T7824SXFN154372"/>
        <s v="L6T7824S2HN030115"/>
        <s v="LB37752S6HB024363"/>
        <s v="LB37742Z2LB112472"/>
        <s v="LB37824Z9KH031267"/>
      </sharedItems>
    </cacheField>
    <cacheField name="车牌号" numFmtId="0">
      <sharedItems count="643">
        <s v="川G1FP33"/>
        <s v="川A46BD2"/>
        <s v="川GKJ235"/>
        <s v="川AD8F39"/>
        <s v="川AG543F"/>
        <s v="川G1KH90"/>
        <s v="川G854R6"/>
        <s v="川E2288A"/>
        <s v="川A34CT2"/>
        <s v="川AFG9802"/>
        <s v="川AGG2515"/>
        <s v="川ABY8554"/>
        <s v="川GHW330"/>
        <s v="川GQE940"/>
        <s v="川GD3T56"/>
        <s v="川GU5R93"/>
        <s v="川AFX9600"/>
        <s v="川G8HM31"/>
        <s v="川GG2R73"/>
        <s v="川G7FY89"/>
        <s v="川A865CL"/>
        <s v="川G8E162"/>
        <s v="川XR559F"/>
        <s v="川AAM5335"/>
        <s v="川AS7W59"/>
        <s v="川G51A19"/>
        <s v="川ABT8864"/>
        <s v="川GF63R6"/>
        <s v="川GL1L82"/>
        <s v="川GPB272"/>
        <s v="川GFR756"/>
        <s v="川AAD5416"/>
        <s v="川A7D41X"/>
        <s v="川A7804Y"/>
        <s v="川G35M97"/>
        <s v="川G81R94"/>
        <s v="川A8X67S"/>
        <s v="川AF1Y23"/>
        <s v="川A37J1P"/>
        <s v="川W259KQ"/>
        <s v="川AD50279"/>
        <s v="川A97W4Q"/>
        <s v="川AGH6956"/>
        <s v="川AG99359"/>
        <s v="川G980B8"/>
        <s v="川AFU1852"/>
        <s v="川G1G096"/>
        <s v="川AWZ201"/>
        <s v="川A0AS92"/>
        <s v="川GQY358"/>
        <s v="川XCL169"/>
        <s v="川AA18045"/>
        <s v="川AGK1575"/>
        <s v="川A63DJ6"/>
        <s v="川GG7P82"/>
        <s v="川A5G5J4"/>
        <s v="川AX5S74"/>
        <s v="川G6XR77"/>
        <s v="川AB7F00"/>
        <s v="川AF86634"/>
        <s v="川GM84B8"/>
        <s v="川GW0J76"/>
        <s v="川GG3H52"/>
        <s v="川ACA6229"/>
        <s v="川AGK0530"/>
        <s v="川ACA7189"/>
        <s v="川AJG113"/>
        <s v="川ABD0430"/>
        <s v="川G5W281"/>
        <s v="川AH4715"/>
        <s v="川ACD5290"/>
        <s v="川KYK505"/>
        <s v="川ABA478"/>
        <s v="川AF698V"/>
        <s v="川ACA5753"/>
        <s v="川AG99366"/>
        <s v="川A8N6N2"/>
        <s v="川ACD8767"/>
        <s v="川G71V56"/>
        <s v="川A13E0X"/>
        <s v="川GG7P38"/>
        <s v="川G43B00"/>
        <s v="川A9B16L"/>
        <s v="川GFL064"/>
        <s v="川A87V4J"/>
        <s v="川GJ2K86"/>
        <s v="川G8E178"/>
        <s v="川G4K006"/>
        <s v="川GD0V12"/>
        <s v="川G9G332"/>
        <s v="川AC58073"/>
        <s v="川AFU9351"/>
        <s v="川GY7Y63"/>
        <s v="川AB34F8"/>
        <s v="川G6AM25"/>
        <s v="川R71S57"/>
        <s v="川G6CH26"/>
        <s v="川A9MD41"/>
        <s v="川GG0K95"/>
        <s v="川G9HN61"/>
        <s v="川AG6M10"/>
        <s v="川CH9517"/>
        <s v="川XJL550"/>
        <s v="川A29F9A"/>
        <s v="川AKZ568"/>
        <s v="川TLA667"/>
        <s v="川A4K6X6"/>
        <s v="川GFT970"/>
        <s v="川A2D6K1"/>
        <s v="川AGD8035"/>
        <s v="川G50N25"/>
        <s v="川GKN090"/>
        <s v="川A17P3F"/>
        <s v="川A752LN"/>
        <s v="川B539TQ"/>
        <s v="川A681K9"/>
        <s v="川AP0N17"/>
        <s v="川AC28910"/>
        <s v="川G1CC60"/>
        <s v="川ACB1313"/>
        <s v="川A29L5C"/>
        <s v="川A24S6E"/>
        <s v="川GKK829"/>
        <s v="川G0WK56"/>
        <s v="川G69N49"/>
        <s v="川GJ5Q68"/>
        <s v="川WD33335"/>
        <s v="川A4H751"/>
        <s v="川A15M7K"/>
        <s v="川AS82Z8"/>
        <s v="川A920J4"/>
        <s v="川GU1Y65"/>
        <s v="川A9W4X1"/>
        <s v="川G2J882"/>
        <s v="川GJ9B33"/>
        <s v="川A20C2V"/>
        <s v="川AM224X"/>
        <s v="川A52K6F"/>
        <s v="川AT29J9"/>
        <s v="川AS6D35"/>
        <s v="川A6W66X"/>
        <s v="川AC63662"/>
        <s v="川G50N81"/>
        <s v="川AFK7852"/>
        <s v="川G9PP16"/>
        <s v="川AG40788"/>
        <s v="川A3Q3E5"/>
        <s v="川AM6S37"/>
        <s v="川AB889D"/>
        <s v="川ACB3835"/>
        <s v="川ACB5204"/>
        <s v="川GG7G24"/>
        <s v="川A5465M"/>
        <s v="川AYM660"/>
        <s v="川A193HJ"/>
        <s v="川A8B896"/>
        <s v="川GGP100"/>
        <s v="川G10A32"/>
        <s v="川CVC265"/>
        <s v="川GHR026"/>
        <s v="川AGJ2888"/>
        <s v="川AC44556"/>
        <s v="川A0LT95"/>
        <s v="川ACB8603"/>
        <s v="川AF32723"/>
        <s v="川AGH2009"/>
        <s v="川A308RQ"/>
        <s v="川G868B3"/>
        <s v="川G5E5R8"/>
        <s v="川A28HL5"/>
        <s v="川HV5672"/>
        <s v="川AB0R62"/>
        <s v="川GL2127"/>
        <s v="川AFP6295"/>
        <s v="川ACY818"/>
        <s v="川AGK5869"/>
        <s v="川A3UH84"/>
        <s v="川ABA8807"/>
        <s v="川GL5C29"/>
        <s v="川AMH586"/>
        <s v="川AYU683"/>
        <s v="川AHR953"/>
        <s v="川AW8W44"/>
        <s v="川A0WP45"/>
        <s v="川AFG4919"/>
        <s v="川G697A2"/>
        <s v="川AGK2040"/>
        <s v="川AGE9023"/>
        <s v="川AX7Y47"/>
        <s v="川GU7W89"/>
        <s v="川AGH2298"/>
        <s v="川G8CE69"/>
        <s v="川AAT3513"/>
        <s v="川LR0856"/>
        <s v="川G01R90"/>
        <s v="川AE42Y0"/>
        <s v="川AK32A9"/>
        <s v="川KWR756"/>
        <s v="川EF92778"/>
        <s v="川AAR0208"/>
        <s v="川AU8Z30"/>
        <s v="川G9FF09"/>
        <s v="川GC5K55"/>
        <s v="川GJY919"/>
        <s v="川XL510W"/>
        <s v="川AM63F3"/>
        <s v="川AC65466"/>
        <s v="川G39424"/>
        <s v="川AGG9108"/>
        <s v="川ZQH316"/>
        <s v="川AW14J8"/>
        <s v="川AVB337"/>
        <s v="川G3BF00"/>
        <s v="川AK64X8"/>
        <s v="川GH8P22"/>
        <s v="川A6ZY29"/>
        <s v="川MRL315"/>
        <s v="川A381Z5"/>
        <s v="川A61US3"/>
        <s v="川AXY001"/>
        <s v="川AG96972"/>
        <s v="川G3TH16"/>
        <s v="川G62C54"/>
        <s v="川EK33G3"/>
        <s v="川AER122"/>
        <s v="川A000BT"/>
        <s v="川A73R2U"/>
        <s v="川G7HV16"/>
        <s v="川AGK5997"/>
        <s v="川AG93006"/>
        <s v="川G9AB00"/>
        <s v="川A406T9"/>
        <s v="川A02HW9"/>
        <s v="川GL3A38"/>
        <s v="川A7M40K"/>
        <s v="川A75C4Q"/>
        <s v="川A1P5Y4"/>
        <s v="川AFU2691"/>
        <s v="川AGH2692"/>
        <s v="川ACA5502"/>
        <s v="川A935AN"/>
        <s v="川AFX0781"/>
        <s v="川A55XX2"/>
        <s v="川A398V3"/>
        <s v="川G2FY58"/>
        <s v="川A28AY0"/>
        <s v="川AH88U4"/>
        <s v="川A0A4K6"/>
        <s v="川G45705"/>
        <s v="川A426NB"/>
        <s v="川A10Y3J"/>
        <s v="川G3WY09"/>
        <s v="川MRZ728"/>
        <s v="川A408PA"/>
        <s v="川A48Z7T"/>
        <s v="川AG15217"/>
        <s v="川G5E6G6"/>
        <s v="川AA20139"/>
        <s v="川AC30126"/>
        <s v="川B6TS81"/>
        <s v="川A11L4M"/>
        <s v="川AM00G3"/>
        <s v="川ACA0406"/>
        <s v="川G5HJ18"/>
        <s v="川A61A4N"/>
        <s v="川AGG0630"/>
        <s v="川JF8866"/>
        <s v="川A6Q7C3"/>
        <s v="川A97SN1"/>
        <s v="川AM6A70"/>
        <s v="川ABP6135"/>
        <s v="川A3U70Z"/>
        <s v="川AP2S13"/>
        <s v="川AN873Q"/>
        <s v="川A3L466"/>
        <s v="川AM1001"/>
        <s v="川GJ2Z29"/>
        <s v="川ABG7123"/>
        <s v="川GJ6R60"/>
        <s v="川AFX8329"/>
        <s v="川A60L3W"/>
        <s v="川A9R34D"/>
        <s v="川A256X9"/>
        <s v="川AG0682"/>
        <s v="川A44JY1"/>
        <s v="川YD01151"/>
        <s v="川GHY708"/>
        <s v="川AJ9E57"/>
        <s v="川GU2Q13"/>
        <s v="川AGD7070"/>
        <s v="川AYJ487"/>
        <s v="川A2E6J2"/>
        <s v="川G4KH55"/>
        <s v="川Q298KB"/>
        <s v="川AFH9291"/>
        <s v="川G5G4G8"/>
        <s v="川AAF1075"/>
        <s v="川ACB3380"/>
        <s v="川GQP702"/>
        <s v="川G7G7M0"/>
        <s v="川A982T1"/>
        <s v="川G0GS93"/>
        <s v="川A91M64"/>
        <s v="川GWX520"/>
        <s v="川A2S79J"/>
        <s v="川AR6H97"/>
        <s v="川AG96811"/>
        <s v="川AC45500"/>
        <s v="川A303TM"/>
        <s v="川A62D18"/>
        <s v="川AF8243"/>
        <s v="川GJ3H61"/>
        <s v="川ABF7003"/>
        <s v="川A6Y5N5"/>
        <s v="川GC1T88"/>
        <s v="川V20A90"/>
        <s v="川AY2081"/>
        <s v="川ACL8861"/>
        <s v="川AW5H51"/>
        <s v="川AA38949"/>
        <s v="川G3NK99"/>
        <s v="川A1CB28"/>
        <s v="川AFZ6461"/>
        <s v="川KM978B"/>
        <s v="川AC35315"/>
        <s v="川F20TP3"/>
        <s v="川G46846"/>
        <s v="川Y877D8"/>
        <s v="川GK4N88"/>
        <s v="川AG90689"/>
        <s v="川GD2R46"/>
        <s v="川ACB1323"/>
        <s v="川AFZ0707"/>
        <s v="川Y692D2"/>
        <s v="川F5C5T2"/>
        <s v="川GF55Z0"/>
        <s v="川ABF6803"/>
        <s v="川AYM705"/>
        <s v="川AAS8827"/>
        <s v="川AAB2950"/>
        <s v="川A157WU"/>
        <s v="川A04H4E"/>
        <s v="川A849VE"/>
        <s v="川AFX1797"/>
        <s v="川G80B97"/>
        <s v="川G1S987"/>
        <s v="川GYP186"/>
        <s v="川GQR123"/>
        <s v="川GC939W"/>
        <s v="川ABA7385"/>
        <s v="川AD740M"/>
        <s v="川A926XD"/>
        <s v="川AY532Q"/>
        <s v="川GU9K01"/>
        <s v="川A64Z4T"/>
        <s v="川AK648N"/>
        <s v="川AXY196"/>
        <s v="川GU7S06"/>
        <s v="川AGD9618"/>
        <s v="川GY2S62"/>
        <s v="川GFX008"/>
        <s v="川AYX390"/>
        <s v="川AG19781"/>
        <s v="川R99R19"/>
        <s v="川A8N3J9"/>
        <s v="川A4D1S5"/>
        <s v="川AY58A2"/>
        <s v="川GG4A80"/>
        <s v="川AB24977"/>
        <s v="川G17B22"/>
        <s v="川G29R38"/>
        <s v="川A42A73"/>
        <s v="川G1CH97"/>
        <s v="川GUN161"/>
        <s v="川AR05D1"/>
        <s v="川AGG7985"/>
        <s v="川ADY0404"/>
        <s v="川AGH6882"/>
        <s v="川A6S18C"/>
        <s v="川A2E140"/>
        <s v="川GD0C95"/>
        <s v="川AFX0917"/>
        <s v="川AC3P79"/>
        <s v="川A6W72S"/>
        <s v="川A381JE"/>
        <s v="川A03Y3B"/>
        <s v="川F10FN9"/>
        <s v="川ACB5921"/>
        <s v="川AY26N8"/>
        <s v="川AY29F1"/>
        <s v="川LZL788"/>
        <s v="川GU0K42"/>
        <s v="川G3J405"/>
        <s v="川A41Q46"/>
        <s v="川ACA9123"/>
        <s v="川A6C43G"/>
        <s v="川AAG6971"/>
        <s v="川G552B8"/>
        <s v="川A97B8S"/>
        <s v="川GD0258"/>
        <s v="川ACB0000"/>
        <s v="川ACZ067"/>
        <s v="川AV812G"/>
        <s v="川A60DE8"/>
        <s v="川AFY8510"/>
        <s v="川GA868P"/>
        <s v="川AG15729"/>
        <s v="川G3G8C9"/>
        <s v="川A47J3U"/>
        <s v="川AGE8298"/>
        <s v="川AFJ6474"/>
        <s v="川GD8F98"/>
        <s v="川A39L89"/>
        <s v="川G0XV33"/>
        <s v="川AGJ9281"/>
        <s v="川AAR5550"/>
        <s v="川A2JT08"/>
        <s v="川ACW342"/>
        <s v="川AFW6387"/>
        <s v="川A44774"/>
        <s v="川G5TB86"/>
        <s v="川A78R5K"/>
        <s v="川AM3D18"/>
        <s v="川SB963K"/>
        <s v="川G40C88"/>
        <s v="川A33WR0"/>
        <s v="川AZ249K"/>
        <s v="川A51K8G"/>
        <s v="川AAT3709"/>
        <s v="川Q0Q215"/>
        <s v="川B222MZ"/>
        <s v="川AGK0921"/>
        <s v="川G7E0G0"/>
        <s v="川A792MA"/>
        <s v="川A64FM6"/>
        <s v="川AGJ2310"/>
        <s v="川A433L0"/>
        <s v="川A35B5U"/>
        <s v="川ABH5763"/>
        <s v="川A69PC8"/>
        <s v="川A531H3"/>
        <s v="川A11S7P"/>
        <s v="川A48Q6D"/>
        <s v="川GY2C08"/>
        <s v="川ARP939"/>
        <s v="川GKT273"/>
        <s v="川A22G0X"/>
        <s v="川A51R3Q"/>
        <s v="川A7ZW63"/>
        <s v="川J13R30"/>
        <s v="川AQ8H34"/>
        <s v="川ACD5687"/>
        <s v="川HHN396"/>
        <s v="川AW083Q"/>
        <s v="川A90BA5"/>
        <s v="川ADP8832"/>
        <s v="川AFC1272"/>
        <s v="川ACE1386"/>
        <s v="川AFL7466"/>
        <s v="川AAM4778"/>
        <s v="川AWC884"/>
        <s v="川G371A7"/>
        <s v="川GX5N26"/>
        <s v="川GC8Z39"/>
        <s v="川GKY861"/>
        <s v="川AG17588"/>
        <s v="川A0DW49"/>
        <s v="川A2V31Z"/>
        <s v="川GFX142"/>
        <s v="川AB12S4"/>
        <s v="川Z3JK85"/>
        <s v="川A00QV0"/>
        <s v="川A6Z450"/>
        <s v="川A9B61G"/>
        <s v="川G3CC79"/>
        <s v="川GQQ942"/>
        <s v="川GPB256"/>
        <s v="川AGE6050"/>
        <s v="川A4B68L"/>
        <s v="川G63C56"/>
        <s v="川G9TR91"/>
        <s v="川A92LL0"/>
        <s v="川GR8694"/>
        <s v="川G1E653"/>
        <s v="川AC874N"/>
        <s v="川AFH6832"/>
        <s v="川AG99456"/>
        <s v="川A8R4B8"/>
        <s v="川A06FF2"/>
        <s v="川AFM4398"/>
        <s v="川AC04030"/>
        <s v="川A9F6T3"/>
        <s v="川G2H6V8"/>
        <s v="川EJJ258"/>
        <s v="川AGA3127"/>
        <s v="川AD51U8"/>
        <s v="川A097CB"/>
        <s v="川AFD6249"/>
        <s v="川A0915H"/>
        <s v="川GAU823"/>
        <s v="川ACC7836"/>
        <s v="川GK90N3"/>
        <s v="川G5S431"/>
        <s v="川AV643R"/>
        <s v="川A45TC5"/>
        <s v="川A33FM8"/>
        <s v="川A2D93M"/>
        <s v="川AZK456"/>
        <s v="川AUY662"/>
        <s v="川ABH9172"/>
        <s v="川A80GS2"/>
        <s v="川G0TY58"/>
        <s v="川A5W5S0"/>
        <s v="川GQH570"/>
        <s v="川ABH3873"/>
        <s v="川A4AA82"/>
        <s v="川AD38X8"/>
        <s v="川A219VS"/>
        <s v="川R5AP86"/>
        <s v="川AP94T2"/>
        <s v="川GK1J83"/>
        <s v="川ACB6623"/>
        <s v="川A14E7S"/>
        <s v="川G6E629"/>
        <s v="川F13HT3"/>
        <s v="川ARJ508"/>
        <s v="川G0U671"/>
        <s v="川A011CJ"/>
        <s v="川A8LM20"/>
        <s v="川A4910Y"/>
        <s v="川A2908H"/>
        <s v="川GZ0Z90"/>
        <s v="川A41A8E"/>
        <s v="川AG98972"/>
        <s v="川GPH229"/>
        <s v="川G8C0S9"/>
        <s v="川ADP0362"/>
        <s v="川AS8W12"/>
        <s v="川ACE3737"/>
        <s v="川ABF1100"/>
        <s v="川AF6W17"/>
        <s v="川A2F2J5"/>
        <s v="川A6RV27"/>
        <s v="川A121V5"/>
        <s v="川A24U1L"/>
        <s v="川G1G3V3"/>
        <s v="川GQ5Y26"/>
        <s v="川A371LD"/>
        <s v="川AC44288"/>
        <s v="川AA1R79"/>
        <s v="川A6Q99W"/>
        <s v="川XS975H"/>
        <s v="川A8A3F4"/>
        <s v="川AAQ5478"/>
        <s v="川A2U10D"/>
        <s v="川AG91117"/>
        <s v="川AFX3531"/>
        <s v="川A43717"/>
        <s v="川A042K5"/>
        <s v="川AN9R89"/>
        <s v="川G2S915"/>
        <s v="川AS853U"/>
        <s v="川ABH3414"/>
        <s v="川A785NQ"/>
        <s v="川AGF1151"/>
        <s v="川A92D24"/>
        <s v="川AB84994"/>
        <s v="川GY7G19"/>
        <s v="川A50BG2"/>
        <s v="川A34S5M"/>
        <s v="川G3CK10"/>
        <s v="川GW7C79"/>
        <s v="川AZB993"/>
        <s v="川A27YD9"/>
        <s v="川A140K8"/>
        <s v="川AG15423"/>
        <s v="川G9FC62"/>
        <s v="川A022CL"/>
        <s v="川KXY661"/>
        <s v="川A044C3"/>
        <s v="川AC2U13"/>
        <s v="川A0S97X"/>
        <s v="川A01UN6"/>
        <s v="川GG0U52"/>
        <s v="川AT4S24"/>
        <s v="川AAV2651"/>
        <s v="川A256MN"/>
        <s v="川A8F7W4"/>
        <s v="川GG556S"/>
        <s v="川A87Q4K"/>
        <s v="川GLG989"/>
        <s v="川GJ5J02"/>
        <s v="川AGK1250"/>
        <s v="川A86R2R"/>
        <s v="川B1TX78"/>
        <s v="川A7E80S"/>
        <s v="川A20R7K"/>
        <s v="川AFT3076"/>
        <s v="川A85S9A"/>
        <s v="川GX9801"/>
        <s v="川AG65210"/>
        <s v="川ACM6818"/>
        <s v="川G4C248"/>
        <s v="川ADM077"/>
        <s v="川A1H46B"/>
        <s v="川CTY558"/>
        <s v="川AJ5646"/>
        <s v="川AJ4E02"/>
        <s v="川AD684Q"/>
        <s v="川A4X838"/>
        <s v="川ACE3220"/>
        <s v="川ADF0010"/>
        <s v="川A152KA"/>
        <s v="川A86T0B"/>
        <s v="川Z1TZ61"/>
        <s v="川A9P452"/>
        <s v="川AZ639D"/>
        <s v="川GL6839"/>
        <s v="川A796CB"/>
        <s v="川A02R3H"/>
        <s v="川A477DT"/>
        <s v="川R12G73"/>
        <s v="川G10C12"/>
        <s v="川A46JJ8"/>
        <s v="川ARJ436"/>
        <s v="川AAR8923"/>
        <s v="川AFV9226"/>
        <s v="川A66MF0"/>
        <s v="川A61R3L"/>
        <s v="川A060A8"/>
        <s v="川AGF5725"/>
        <s v="川M2366R"/>
        <s v="川AFM6442"/>
        <s v="川A3G7D0"/>
        <s v="川G6FN55"/>
        <s v="川AN7087"/>
        <s v="川GKM987"/>
        <s v="川AFZ4990"/>
        <s v="川AS3Z30"/>
        <s v="川A80T0F"/>
        <s v="川A36G0N"/>
        <s v="川A007TW"/>
        <s v="川ALK478"/>
      </sharedItems>
    </cacheField>
    <cacheField name="车型代码" numFmtId="0">
      <sharedItems count="161">
        <s v="HQ6471D02"/>
        <s v="HQ7142C01"/>
        <s v="HQ7151D02"/>
        <s v="JL7151M01"/>
        <s v="MR7203D17"/>
        <s v="JL6432D24"/>
        <s v="HQ7151D01"/>
        <s v="JL6482D05"/>
        <s v="MR6471D09"/>
        <s v="HQ6471DCHEV04"/>
        <s v="JL7001BEV71"/>
        <s v="JL6482D07"/>
        <s v="MR7153D20"/>
        <s v="JL6482D04"/>
        <s v="HQ6472DCHEV01"/>
        <s v="HQ7151D03"/>
        <s v="JL6453D12"/>
        <s v="HQ7142D12"/>
        <s v="HQ7003BEV01"/>
        <s v="MR7203D12"/>
        <s v="MR7001BEV111"/>
        <s v="HQ6472D100"/>
        <s v="MR7152D31"/>
        <s v="JL7007BEV04"/>
        <s v="HQ7151M02"/>
        <s v="JL6482D08"/>
        <s v="JHC7003BEV06"/>
        <s v="HQ7142C02"/>
        <s v="HQ7153DCHEV01"/>
        <s v="HQ7153DCHEV05"/>
        <s v="MR7142C03"/>
        <s v="HQ7152DCHEV102"/>
        <s v="JL6453L03"/>
        <s v="RX6453D03"/>
        <s v="MR7183C01"/>
        <s v="JL7151M02"/>
        <s v="MR6491D02"/>
        <s v="MR7203D19"/>
        <s v="HQ7152DCHEV02"/>
        <s v="JL6442D02"/>
        <s v="MR7152D27"/>
        <s v="MR6453C04"/>
        <s v="JL7007BEV13"/>
        <s v="JL6432D10"/>
        <s v="JL7002BEV101"/>
        <s v="HQ7142D11"/>
        <s v="MR6465BEV01"/>
        <s v="MR7151DCHEV105"/>
        <s v="BH7141AY"/>
        <s v="JL6432D16"/>
        <s v="JL6482D06"/>
        <s v="MR7152C09"/>
        <s v="JL6432M21"/>
        <s v="HQ6453D20"/>
        <s v="JL6482D01"/>
        <s v="HQ6453C03"/>
        <s v="MR7152D01"/>
        <s v="MR7152D20"/>
        <s v="HQ6453D24"/>
        <s v="JL7152D06"/>
        <s v="JL7151C08"/>
        <s v="JL6453D09"/>
        <s v="HQ7152D13"/>
        <s v="MR6481D08"/>
        <s v="HQ7182L04"/>
        <s v="MR6463D03"/>
        <s v="MR7152M14"/>
        <s v="MR7152L32"/>
        <s v="JL7151D01"/>
        <s v="HQ6453C04"/>
        <s v="JL6482DCHEV01"/>
        <s v="HQ6472DCHEV03"/>
        <s v="HQ7152DCHEV100"/>
        <s v="MR7152C06"/>
        <s v="MR6463D06"/>
        <s v="JL6482D03"/>
        <s v="MR7142D20"/>
        <s v="MR7152L33"/>
        <s v="RX6453M01"/>
        <s v="MR7005BEV27"/>
        <s v="JL6432DPHEV14"/>
        <s v="MR7151DCHEV111"/>
        <s v="MR6453D55"/>
        <s v="JL7152L13"/>
        <s v="JHC7152D01"/>
        <s v="HQ6453L02"/>
        <s v="MR7003BEV09"/>
        <s v="HQ6472DCHEV100"/>
        <s v="HQ7151D05"/>
        <s v="HQ7142D1"/>
        <s v="JL6432D19"/>
        <s v="MR7152L23"/>
        <s v="JL6432D25"/>
        <s v="JL7152D"/>
        <s v="HQ7132L05"/>
        <s v="HQ6453D13"/>
        <s v="HQ7152D11"/>
        <s v="JL7152C11"/>
        <s v="MR6453D35"/>
        <s v="HQ7142C05"/>
        <s v="JL7151L15"/>
        <s v="MR7184E4"/>
        <s v="HQ7004BEV01"/>
        <s v="HQ7142M09"/>
        <s v="JL7001BEV72"/>
        <s v="JL7151C06"/>
        <s v="MR7152K03"/>
        <s v="JL6453C05"/>
        <s v="MR6463D08"/>
        <s v="MR6471D03"/>
        <s v="JL7151D02"/>
        <s v="LF6462SEV01"/>
        <s v="HQ6453L01"/>
        <s v="JL7007BEV14"/>
        <s v="MR6463D11"/>
        <s v="JL7007BEV02"/>
        <s v="RX6453D01"/>
        <s v="MR7153D06"/>
        <s v="HQ7153DCHEV04"/>
        <s v="MR6463D09"/>
        <s v="JL7007BEV03"/>
        <s v="MR7102D10"/>
        <s v="MR7153DCHEV01"/>
        <s v="HQ7142D09"/>
        <s v="BENZ GLC260 COUPE"/>
        <s v="JL6482DCHEV05"/>
        <s v="MR7142L05"/>
        <s v="JL7152C02"/>
        <s v="JL7152K12"/>
        <s v="JL6482DCHEV03"/>
        <s v="JL6453C12"/>
        <s v="HQ7142D13"/>
        <s v="HQ7132L06"/>
        <s v="JL6453L09"/>
        <s v="MR7152M11"/>
        <s v="MR7003BEV03"/>
        <s v="MR7243C01"/>
        <s v="HQ7182C04"/>
        <s v="JL7002BEV100"/>
        <s v="HQ7142L02"/>
        <s v="JL6453K05"/>
        <s v="HQ7151M04"/>
        <s v="HQ7182C03"/>
        <s v="MR7005BEV17"/>
        <s v="MR6465BEV05"/>
        <s v="MR6471D06"/>
        <s v="HQ6453M03"/>
        <s v="MR7005BEV29"/>
        <s v="JL6483C01"/>
        <s v="MR7153C01"/>
        <s v="CAF7163A4"/>
        <s v="MR7005BEV19"/>
        <s v="HQ7132C04"/>
        <s v="JHC7152M01"/>
        <s v="JL6453M02"/>
        <s v="MR7183C05"/>
        <s v="MR7152L21"/>
        <s v="HQ7132C03"/>
        <s v="HQ7003BEV04"/>
        <s v="AUDI A6 55TFSI ALLROAD QUATTRO"/>
        <s v="MR7152L09"/>
      </sharedItems>
    </cacheField>
    <cacheField name="车辆名称" numFmtId="0">
      <sharedItems count="2">
        <s v="吉利"/>
        <s v="外品牌"/>
      </sharedItems>
    </cacheField>
    <cacheField name="客户姓名" numFmtId="0">
      <sharedItems count="638">
        <s v="郭春林"/>
        <s v="徐乐曼"/>
        <s v="刘明东"/>
        <s v="廖君"/>
        <s v="代婷"/>
        <s v="邓雄"/>
        <s v="罗政"/>
        <s v="徐源"/>
        <s v="张旭"/>
        <s v="龚东梅"/>
        <s v="付光露"/>
        <s v="何小雪"/>
        <s v="常敬宇"/>
        <s v="陈强"/>
        <s v="于延泊"/>
        <s v="赵一航"/>
        <s v="徐开平"/>
        <s v="胥冶"/>
        <s v="张邓岚"/>
        <s v="杨宝明"/>
        <s v="刘婷"/>
        <s v="孙梓偎"/>
        <s v="宋佳"/>
        <s v="郭强"/>
        <s v="罗明元"/>
        <s v="王勇"/>
        <s v="杜志博"/>
        <s v="徐琳"/>
        <s v="李芳"/>
        <s v="强菡"/>
        <s v="罗仕虎"/>
        <s v="何勇"/>
        <s v="赵雪辰"/>
        <s v="周萌"/>
        <s v="胡先韬"/>
        <s v="张沥予"/>
        <s v="曾元"/>
        <s v="程金凤"/>
        <s v="李军"/>
        <s v="宋丰谷"/>
        <s v="卢少华"/>
        <s v="乔仕超"/>
        <s v="刘恒"/>
        <s v="王杰"/>
        <s v="游炳凤"/>
        <s v="廖大鹏"/>
        <s v="周亮"/>
        <s v="王伯生"/>
        <s v="李欣"/>
        <s v="韩佳敏"/>
        <s v="杨继深"/>
        <s v="丁汪梦雪"/>
        <s v="熊帆"/>
        <s v="任德文"/>
        <s v="谢永海"/>
        <s v="杨世宇"/>
        <s v="陈万伦"/>
        <s v="王刚"/>
        <s v="帅文强"/>
        <s v="曾晓丽"/>
        <s v="刘玉义"/>
        <s v="徐丽"/>
        <s v="杨蝶"/>
        <s v="魏军民"/>
        <s v="董学江"/>
        <s v="赵锐"/>
        <s v="魏红兵"/>
        <s v="柴菱"/>
        <s v="苏晓"/>
        <s v="朱春雨"/>
        <s v="唐雪"/>
        <s v="曾永达"/>
        <s v="刘威"/>
        <s v="黎燕"/>
        <s v="覃浩"/>
        <s v="陈莉"/>
        <s v="田载林"/>
        <s v="刘欢"/>
        <s v="徐京杰"/>
        <s v="肖建勇"/>
        <s v="段家琛"/>
        <s v="陈德元"/>
        <s v="魏开德"/>
        <s v="吕麟"/>
        <s v="周历玲"/>
        <s v="陈晓莉"/>
        <s v="陈瑶"/>
        <s v="马崇礼"/>
        <s v="赵焱"/>
        <s v="邓培"/>
        <s v="徐飞"/>
        <s v="巫洋"/>
        <s v="四川德禹虹科技有限公司"/>
        <s v="王樊"/>
        <s v="高建立"/>
        <s v="王浠"/>
        <s v="林俊"/>
        <s v="刘云"/>
        <s v="李成君"/>
        <s v="李金宇"/>
        <s v="罗润"/>
        <s v="陈雄"/>
        <s v="杨阳"/>
        <s v="张敏"/>
        <s v="麦吉"/>
        <s v="罗亮"/>
        <s v="王国威"/>
        <s v="邹翠"/>
        <s v="左罗"/>
        <s v="余晓东"/>
        <s v="宋学彬"/>
        <s v="雷兵"/>
        <s v="陈佳"/>
        <s v="黎杰"/>
        <s v="陈少甫"/>
        <s v="何国倩"/>
        <s v="梁肇洪"/>
        <s v="伏一铭"/>
        <s v="冷静柯"/>
        <s v="张晓龙"/>
        <s v="罗城"/>
        <s v="彭福祥"/>
        <s v="陈文武"/>
        <s v="魏可民"/>
        <s v="徐建平"/>
        <s v="王益琴"/>
        <s v="贺丹"/>
        <s v="周春燕"/>
        <s v="唐帅"/>
        <s v="舒刚"/>
        <s v="杨姚"/>
        <s v="刘先平"/>
        <s v="冯利"/>
        <s v="苟正"/>
        <s v="张桂芬"/>
        <s v="李华林"/>
        <s v="曹泽彬"/>
        <s v="罗雷"/>
        <s v="李晓乔"/>
        <s v="黄正平"/>
        <s v="龙发英"/>
        <s v="陈志琼"/>
        <s v="张容华"/>
        <s v="吴开昊"/>
        <s v="华威武"/>
        <s v="锦江区胜传锋弘服装店"/>
        <s v="董涛"/>
        <s v="吴汶泽"/>
        <s v="赵文"/>
        <s v="罗蔷玉"/>
        <s v="张高林"/>
        <s v="李京"/>
        <s v="田勇"/>
        <s v="周林楷"/>
        <s v="周代兴"/>
        <s v="王鹏"/>
        <s v="江德传"/>
        <s v="卓莉"/>
        <s v="曾健"/>
        <s v="曾磊"/>
        <s v="李晓昆"/>
        <s v="张学忠"/>
        <s v="周铜"/>
        <s v="唐迟"/>
        <s v="刘慧"/>
        <s v="江琼"/>
        <s v="钟华健"/>
        <s v="李安瑞"/>
        <s v="代世平"/>
        <s v="胡文学"/>
        <s v="刘玉华"/>
        <s v="汤奎"/>
        <s v="张涛"/>
        <s v="邹自强"/>
        <s v="黄燕"/>
        <s v="冯丽"/>
        <s v="王怀兵"/>
        <s v="王文武"/>
        <s v="杨建华"/>
        <s v="张秀君"/>
        <s v="康飞洋"/>
        <s v="邹深雯"/>
        <s v="岑俊"/>
        <s v="王扣成"/>
        <s v="辜锡文"/>
        <s v="文蕴竹"/>
        <s v="邹文俊"/>
        <s v="邱芮"/>
        <s v="刘刚"/>
        <s v="谭远光"/>
        <s v="施建洪"/>
        <s v="凌曦"/>
        <s v="黄芃"/>
        <s v="刘开磊"/>
        <s v="叶存文"/>
        <s v="王雪山"/>
        <s v="谢碧尧"/>
        <s v="周炼"/>
        <s v="胡莹"/>
        <s v="张绍帅"/>
        <s v="刘雅婷"/>
        <s v="简万军"/>
        <s v="范海蓉"/>
        <s v="杨鑫"/>
        <s v="杨仁润"/>
        <s v="魏天一"/>
        <s v="刘磊"/>
        <s v="高友谊"/>
        <s v="杨太成"/>
        <s v="周祚丞"/>
        <s v="四川诗诺美科技有限公司"/>
        <s v="廖芝芝"/>
        <s v="高开连"/>
        <s v="黄文超"/>
        <s v="刘曾勇"/>
        <s v="阳涛"/>
        <s v="陈兴贵"/>
        <s v="程雪"/>
        <s v="杨朝洋"/>
        <s v="李川"/>
        <s v="柏邈"/>
        <s v="张燕丽"/>
        <s v="李忠强"/>
        <s v="张勇"/>
        <s v="任益峰"/>
        <s v="李龙"/>
        <s v="詹福"/>
        <s v="肖成语"/>
        <s v="吴海瑞"/>
        <s v="唐顾恩"/>
        <s v="冯亮"/>
        <s v="李双峰"/>
        <s v="陈宏"/>
        <s v="李禄琼"/>
        <s v="余涛"/>
        <s v="曾娟"/>
        <s v="付杰"/>
        <s v="李焱"/>
        <s v="詹晓辉"/>
        <s v="先为群"/>
        <s v="陈年"/>
        <s v="况莉萍"/>
        <s v="邱卉"/>
        <s v="罗德清"/>
        <s v="黄启德"/>
        <s v="姚坤"/>
        <s v="汤小刚"/>
        <s v="梅本泽"/>
        <s v="张桂蓉"/>
        <s v="伍亚东"/>
        <s v="吴有兵"/>
        <s v="唐代"/>
        <s v="张义"/>
        <s v="熊伟"/>
        <s v="黄馨仪"/>
        <s v="何滔"/>
        <s v="欧洲"/>
        <s v="兰文财"/>
        <s v="王仁兵"/>
        <s v="王小愿"/>
        <s v="何登甲"/>
        <s v="杨理晶"/>
        <s v="林昌顺"/>
        <s v="王静"/>
        <s v="李欢"/>
        <s v="罗京"/>
        <s v="张清富"/>
        <s v="李东"/>
        <s v="向国江"/>
        <s v="白苹"/>
        <s v="廖连伟"/>
        <s v="四川云飞亦商贸有限公司"/>
        <s v="王洋"/>
        <s v="吴茜"/>
        <s v="余川川"/>
        <s v="曹毅"/>
        <s v="罗志芳"/>
        <s v="蔡汶昊"/>
        <s v="周加凤"/>
        <s v="梁停"/>
        <s v="李丹妮"/>
        <s v="付连清"/>
        <s v="高金秋"/>
        <s v="祝晴"/>
        <s v="四川大正云济文化发展有限公司"/>
        <s v="彭红"/>
        <s v="张团龙"/>
        <s v="龙珠"/>
        <s v="孙曲超"/>
        <s v="张子曦"/>
        <s v="黄凯宇"/>
        <s v="康青川"/>
        <s v="谭同斌"/>
        <s v="杨乾"/>
        <s v="廖成林"/>
        <s v="刘亭亭"/>
        <s v="罗向伟"/>
        <s v="陈前鹏"/>
        <s v="林珍强"/>
        <s v="王晨"/>
        <s v="寇永成"/>
        <s v="王春福"/>
        <s v="刘申亮"/>
        <s v="石鹏"/>
        <s v="吴翠"/>
        <s v="曾述才"/>
        <s v="王蒙"/>
        <s v="叶小波"/>
        <s v="刘文俊"/>
        <s v="蒋超文"/>
        <s v="任燕"/>
        <s v="尹志森"/>
        <s v="翟彪"/>
        <s v="杨坤"/>
        <s v="杨星"/>
        <s v="林正文"/>
        <s v="刘波"/>
        <s v="梁成"/>
        <s v="王学杰"/>
        <s v="邬超"/>
        <s v="林英"/>
        <s v="邹慧"/>
        <s v="黄叔坤"/>
        <s v="张海鹏"/>
        <s v="邓杉"/>
        <s v="马朋飞"/>
        <s v="王聪"/>
        <s v="张鹏"/>
        <s v="雷毅"/>
        <s v="邬自强"/>
        <s v="杨潇"/>
        <s v="鲁馨月"/>
        <s v="程建文"/>
        <s v="陈庆玲"/>
        <s v="赵明洁"/>
        <s v="闫石"/>
        <s v="周毅"/>
        <s v="范美"/>
        <s v="张郅"/>
        <s v="龙晶城"/>
        <s v="朱海燕"/>
        <s v="辜松"/>
        <s v="张盼"/>
        <s v="文刚"/>
        <s v="汪东豪"/>
        <s v="李均元"/>
        <s v="侯文杰"/>
        <s v="李红萍"/>
        <s v="张洪云"/>
        <s v="郭华兵"/>
        <s v="张国彦"/>
        <s v="雷开平"/>
        <s v="石钰杰"/>
        <s v="廖晓玲"/>
        <s v="田甜"/>
        <s v="黄群"/>
        <s v="张宁"/>
        <s v="刘欣曈"/>
        <s v="杨龙"/>
        <s v="李贵川"/>
        <s v="李叙"/>
        <s v="何莉"/>
        <s v="邓煜祺"/>
        <s v="杨娟"/>
        <s v="徐伯松"/>
        <s v="费浪"/>
        <s v="高智"/>
        <s v="吴金虹"/>
        <s v="周树欢"/>
        <s v="徐思睿"/>
        <s v="唐建"/>
        <s v="陈航"/>
        <s v="何思正"/>
        <s v="戚红艳"/>
        <s v="巫思成"/>
        <s v="薛力通"/>
        <s v="张晓宇"/>
        <s v="陈海燕"/>
        <s v="童志勇"/>
        <s v="罗蓉"/>
        <s v="杨启萍"/>
        <s v="陈元昌"/>
        <s v="成华区刘银忠商贸部"/>
        <s v="代继金"/>
        <s v="陈先华"/>
        <s v="邓中兵"/>
        <s v="李林飞"/>
        <s v="周玉"/>
        <s v="杨钟"/>
        <s v="王秋平"/>
        <s v="陈太平"/>
        <s v="周灿"/>
        <s v="魏国中"/>
        <s v="廖静"/>
        <s v="王爽"/>
        <s v="向宇"/>
        <s v="邓李毅"/>
        <s v="魏祥兵"/>
        <s v="肖舒鑫"/>
        <s v="沈文武"/>
        <s v="曾思维"/>
        <s v="刘毅"/>
        <s v="杨蔡燏"/>
        <s v="唐文武"/>
        <s v="云超"/>
        <s v="刘瑞霖"/>
        <s v="袁承俊"/>
        <s v="何也"/>
        <s v="伍益毅"/>
        <s v="黄昊"/>
        <s v="刘啸"/>
        <s v="陈朴阳"/>
        <s v="谢宗颖"/>
        <s v="黄浩渊"/>
        <s v="文卫兵"/>
        <s v="田淼"/>
        <s v="唐梦婕"/>
        <s v="施曰斌"/>
        <s v="朱思雨"/>
        <s v="锦江区鑫康源广告设计工作室"/>
        <s v="蒲先国"/>
        <s v="郭清忠"/>
        <s v="许文文"/>
        <s v="陈聪"/>
        <s v="黎贤峰"/>
        <s v="郭欣雨"/>
        <s v="陈宜"/>
        <s v="蒋红军"/>
        <s v="蒋凯"/>
        <s v="熊海滨"/>
        <s v="袁志刚"/>
        <s v="成华区刘泽庆商贸部"/>
        <s v="钟新"/>
        <s v="尚积清"/>
        <s v="范大军"/>
        <s v="李桂凤"/>
        <s v="谢习波"/>
        <s v="庞肖"/>
        <s v="郭祥凤"/>
        <s v="王群芳"/>
        <s v="尹胜国"/>
        <s v="赵春霞"/>
        <s v="魏心登"/>
        <s v="高健"/>
        <s v="周凤"/>
        <s v="刘维骏"/>
        <s v="胡海龙"/>
        <s v="邓琼"/>
        <s v="郑祁月"/>
        <s v="杨强"/>
        <s v="刘汉宁"/>
        <s v="杨炎"/>
        <s v="赵兰鑫"/>
        <s v="魏铁林"/>
        <s v="肖彤"/>
        <s v="李文硕"/>
        <s v="陈立"/>
        <s v="宋家云"/>
        <s v="唐怒涛"/>
        <s v="李永萍"/>
        <s v="陈永琼"/>
        <s v="田露"/>
        <s v="张平"/>
        <s v="邓海艳"/>
        <s v="管飞翔"/>
        <s v="宋根华"/>
        <s v="彭小波"/>
        <s v="赵子坤"/>
        <s v="周纪学"/>
        <s v="唐婷"/>
        <s v="安培壮"/>
        <s v="钱琪"/>
        <s v="后华成"/>
        <s v="吴思波"/>
        <s v="廖明珍"/>
        <s v="刘兰香"/>
        <s v="张欢"/>
        <s v="张倩"/>
        <s v="周涛"/>
        <s v="马雨霏"/>
        <s v="邱佳"/>
        <s v="肖敏"/>
        <s v="刘明"/>
        <s v="吴婧"/>
        <s v="袁世菊"/>
        <s v="张鑫"/>
        <s v="张玉禄"/>
        <s v="毛嘉"/>
        <s v="徐志周"/>
        <s v="周忠萍"/>
        <s v="王树忠"/>
        <s v="秦天建"/>
        <s v="李林刚"/>
        <s v="胡贵康"/>
        <s v="彭德春"/>
        <s v="廖成兵"/>
        <s v="聂丹"/>
        <s v="谢素君"/>
        <s v="王显维"/>
        <s v="万磊"/>
        <s v="王正科"/>
        <s v="刘鹏"/>
        <s v="薛高明"/>
        <s v="卢华中"/>
        <s v="宋英业"/>
        <s v="赵乔华"/>
        <s v="林春华"/>
        <s v="汪昌群"/>
        <s v="王莎"/>
        <s v="严福强"/>
        <s v="刘永贵"/>
        <s v="段燕"/>
        <s v="唐华林"/>
        <s v="李云祥"/>
        <s v="杨军"/>
        <s v="李小月"/>
        <s v="刘国伟"/>
        <s v="刘嫒"/>
        <s v="蒲小国"/>
        <s v="卢亦成"/>
        <s v="刘曦"/>
        <s v="郑王莉"/>
        <s v="四川天中佳建筑工程有限公司"/>
        <s v="唐铭"/>
        <s v="代万礼"/>
        <s v="王强"/>
        <s v="张志明"/>
        <s v="赵玉双"/>
        <s v="陈世萍"/>
        <s v="邓雯"/>
        <s v="刘红卫"/>
        <s v="杨远君"/>
        <s v="杨润良"/>
        <s v="谢春来"/>
        <s v="帅丕英"/>
        <s v="刘清秀"/>
        <s v="付正海"/>
        <s v="张发俊"/>
        <s v="廖燕"/>
        <s v="董城"/>
        <s v="谢波桃"/>
        <s v="魏玮"/>
        <s v="刘召军"/>
        <s v="宋小龙"/>
        <s v="龙瑞"/>
        <s v="张恩瑞"/>
        <s v="彭渝婷"/>
        <s v="刘勇"/>
        <s v="黎小龙"/>
        <s v="蔡佩珊"/>
        <s v="李彬"/>
        <s v="罗洪"/>
        <s v="任静"/>
        <s v="赵鹏"/>
        <s v="吴伟"/>
        <s v="胡黄刚"/>
        <s v="张诗贝"/>
        <s v="何瑞礼"/>
        <s v="曾思健"/>
        <s v="四川含章可桢贸易有限公司"/>
        <s v="魏波"/>
        <s v="姚朝莹"/>
        <s v="周杨"/>
        <s v="秦强"/>
        <s v="武侯区刘涛商贸部"/>
        <s v="屈俊祥"/>
        <s v="吴晓芳"/>
        <s v="杨闯"/>
        <s v="杨勇"/>
        <s v="何海深"/>
        <s v="杨彬"/>
        <s v="陈思行"/>
        <s v="甘游"/>
        <s v="王昆"/>
        <s v="邹婷"/>
        <s v="李嘉逸"/>
        <s v="单小琦"/>
        <s v="陈娇龙"/>
        <s v="李圆美"/>
        <s v="卿银"/>
        <s v="肖莹颖"/>
        <s v="漆心玫"/>
        <s v="兰奎林"/>
        <s v="刘书勇"/>
        <s v="蒲静"/>
        <s v="付美宁"/>
        <s v="赵天昊"/>
        <s v="熊桂林"/>
        <s v="成华区周秋梅商贸部"/>
        <s v="李兵"/>
        <s v="王德云"/>
        <s v="冉啟松"/>
        <s v="张雪婷"/>
        <s v="成华区杨督商贸部"/>
        <s v="余玲"/>
        <s v="邹文生"/>
        <s v="田小慧"/>
        <s v="郑春林"/>
        <s v="董奎"/>
        <s v="王宇"/>
        <s v="张超"/>
        <s v="吴洁"/>
        <s v="杨万春"/>
        <s v="黄利恒"/>
        <s v="徐鹏"/>
        <s v="郑铃泱"/>
        <s v="刘阳"/>
        <s v="杨进"/>
        <s v="王蕾"/>
        <s v="王洁"/>
        <s v="朱平"/>
        <s v="付超"/>
        <s v="宋荣锋"/>
        <s v="张杰"/>
        <s v="成都御林卫士安全科技有限公司"/>
        <s v="陈万迎"/>
        <s v="黎家清"/>
        <s v="张雪静"/>
        <s v="陈林兵"/>
        <s v="吴叶函"/>
        <s v="唐佳"/>
        <s v="何逍"/>
        <s v="赖东"/>
        <s v="周仲林"/>
        <s v="林欢"/>
        <s v="韩力柯"/>
        <s v="王勋"/>
        <s v="张延发"/>
        <s v="曾静"/>
        <s v="马建军"/>
        <s v="徐成禄"/>
        <s v="许亮军"/>
        <s v="付贵"/>
        <s v="朱祥友"/>
        <s v="向先林"/>
        <s v="成华区刘倩军商贸部"/>
        <s v="张鹰"/>
        <s v="黄文君"/>
      </sharedItems>
    </cacheField>
    <cacheField name="商业险保费" numFmtId="0">
      <sharedItems containsSemiMixedTypes="0" containsString="0" containsNumber="1" minValue="0" maxValue="6961.28" count="623">
        <n v="1387.01"/>
        <n v="1086.19"/>
        <n v="674.97"/>
        <n v="860.43"/>
        <n v="2086.4299999999998"/>
        <n v="1441.1"/>
        <n v="2124.35"/>
        <n v="1597.22"/>
        <n v="1137.3"/>
        <n v="2353.09"/>
        <n v="1866.25"/>
        <n v="1874.9"/>
        <n v="1959.3"/>
        <n v="1978.58"/>
        <n v="1823.56"/>
        <n v="1645.41"/>
        <n v="2002.14"/>
        <n v="1600.4"/>
        <n v="1505.62"/>
        <n v="1434.4"/>
        <n v="1329.04"/>
        <n v="1051.83"/>
        <n v="1107.31"/>
        <n v="1603.94"/>
        <n v="1701.92"/>
        <n v="1846.03"/>
        <n v="2378.41"/>
        <n v="2069.31"/>
        <n v="1982.33"/>
        <n v="1944.93"/>
        <n v="1727.3"/>
        <n v="1300.73"/>
        <n v="1240.8499999999999"/>
        <n v="1597.64"/>
        <n v="1863.43"/>
        <n v="1698.06"/>
        <n v="1641.3"/>
        <n v="1237.0999999999999"/>
        <n v="1898.59"/>
        <n v="1647.82"/>
        <n v="1331.51"/>
        <n v="1171.29"/>
        <n v="2891.66"/>
        <n v="2735.24"/>
        <n v="2003.71"/>
        <n v="1943.29"/>
        <n v="1385.62"/>
        <n v="1153.8900000000001"/>
        <n v="1599.92"/>
        <n v="1982.42"/>
        <n v="1692.55"/>
        <n v="2497.0700000000002"/>
        <n v="3297.67"/>
        <n v="922.74"/>
        <n v="1252.7"/>
        <n v="1270.48"/>
        <n v="911.81"/>
        <n v="1781.54"/>
        <n v="1985.76"/>
        <n v="1931.82"/>
        <n v="3000.78"/>
        <n v="2182"/>
        <n v="1627.94"/>
        <n v="2069.87"/>
        <n v="1876.49"/>
        <n v="1921.8"/>
        <n v="906.14"/>
        <n v="1521.83"/>
        <n v="1775.47"/>
        <n v="1150.79"/>
        <n v="2417.31"/>
        <n v="1657.3"/>
        <n v="1090.9000000000001"/>
        <n v="1888.02"/>
        <n v="2011.21"/>
        <n v="3211.59"/>
        <n v="866.19"/>
        <n v="1816.92"/>
        <n v="2104.0500000000002"/>
        <n v="1637.94"/>
        <n v="1669.41"/>
        <n v="1474.62"/>
        <n v="1044.4000000000001"/>
        <n v="1871.37"/>
        <n v="1700.44"/>
        <n v="1716.42"/>
        <n v="1397"/>
        <n v="1634.67"/>
        <n v="1867.95"/>
        <n v="1376.13"/>
        <n v="1964.98"/>
        <n v="1897.01"/>
        <n v="1437.91"/>
        <n v="1340.66"/>
        <n v="912.62"/>
        <n v="1056.83"/>
        <n v="1659.17"/>
        <n v="402.84"/>
        <n v="1295.8499999999999"/>
        <n v="1437.97"/>
        <n v="2001.93"/>
        <n v="2219.3200000000002"/>
        <n v="1275.4000000000001"/>
        <n v="1390.51"/>
        <n v="899.55"/>
        <n v="347.8"/>
        <n v="1346.24"/>
        <n v="1538.97"/>
        <n v="1791.8"/>
        <n v="1872.34"/>
        <n v="1340.44"/>
        <n v="487.83"/>
        <n v="1359.26"/>
        <n v="1500.11"/>
        <n v="759.54"/>
        <n v="1134.54"/>
        <n v="1560.67"/>
        <n v="2008.62"/>
        <n v="1048.23"/>
        <n v="3321.31"/>
        <n v="1159.42"/>
        <n v="1243.9100000000001"/>
        <n v="1569.37"/>
        <n v="2007.57"/>
        <n v="1530.18"/>
        <n v="1612.74"/>
        <n v="2205.85"/>
        <n v="2241.64"/>
        <n v="2920.36"/>
        <n v="677.82"/>
        <n v="1026.3"/>
        <n v="2144.17"/>
        <n v="1616.22"/>
        <n v="1369.45"/>
        <n v="1264.6600000000001"/>
        <n v="1096"/>
        <n v="1149.22"/>
        <n v="1638.99"/>
        <n v="1044.55"/>
        <n v="851.24"/>
        <n v="2589"/>
        <n v="2269.37"/>
        <n v="1887.5"/>
        <n v="1401.22"/>
        <n v="2743.31"/>
        <n v="960.62"/>
        <n v="1159.1199999999999"/>
        <n v="1515.4"/>
        <n v="2132.0500000000002"/>
        <n v="793.69"/>
        <n v="674.67"/>
        <n v="1656.5"/>
        <n v="2216.39"/>
        <n v="1949.84"/>
        <n v="1594.77"/>
        <n v="1806.66"/>
        <n v="1216.33"/>
        <n v="396.41"/>
        <n v="1514.94"/>
        <n v="2568.67"/>
        <n v="2586.6799999999998"/>
        <n v="920.71"/>
        <n v="2529.54"/>
        <n v="1714.21"/>
        <n v="3043.77"/>
        <n v="1527.27"/>
        <n v="1834.72"/>
        <n v="670.4"/>
        <n v="1262.94"/>
        <n v="1380.72"/>
        <n v="2111.44"/>
        <n v="2167.8000000000002"/>
        <n v="954.56"/>
        <n v="2443.8200000000002"/>
        <n v="1067.1400000000001"/>
        <n v="1539.34"/>
        <n v="1711.86"/>
        <n v="1588.32"/>
        <n v="1466.01"/>
        <n v="1004.05"/>
        <n v="1081.74"/>
        <n v="1719.63"/>
        <n v="2397.21"/>
        <n v="516.24"/>
        <n v="2520.73"/>
        <n v="2259.81"/>
        <n v="1426.7"/>
        <n v="1537.93"/>
        <n v="2516.2600000000002"/>
        <n v="1548.11"/>
        <n v="1282.8900000000001"/>
        <n v="2552.67"/>
        <n v="1527.25"/>
        <n v="1078.1300000000001"/>
        <n v="1337.46"/>
        <n v="1084.3"/>
        <n v="2884.14"/>
        <n v="1208.48"/>
        <n v="1242.6400000000001"/>
        <n v="1776"/>
        <n v="1181.68"/>
        <n v="1430.34"/>
        <n v="3699.54"/>
        <n v="2009.05"/>
        <n v="3221.7"/>
        <n v="1118.32"/>
        <n v="399.34"/>
        <n v="1823.41"/>
        <n v="1397.6"/>
        <n v="1635.48"/>
        <n v="1661.3"/>
        <n v="785.99"/>
        <n v="1011.55"/>
        <n v="1040.51"/>
        <n v="1210.3"/>
        <n v="2229.71"/>
        <n v="2546.7199999999998"/>
        <n v="2163.5500000000002"/>
        <n v="1565.9"/>
        <n v="1490.86"/>
        <n v="1523.74"/>
        <n v="843.9"/>
        <n v="1519.85"/>
        <n v="2593.15"/>
        <n v="2532.94"/>
        <n v="1318.78"/>
        <n v="1066.6199999999999"/>
        <n v="1414.14"/>
        <n v="881.54"/>
        <n v="1115.17"/>
        <n v="2919.1"/>
        <n v="2572.7600000000002"/>
        <n v="2325.0100000000002"/>
        <n v="1918.49"/>
        <n v="1918.38"/>
        <n v="1794.28"/>
        <n v="512.99"/>
        <n v="2080.66"/>
        <n v="1633.21"/>
        <n v="932.67"/>
        <n v="912.89"/>
        <n v="1223.94"/>
        <n v="2563.2800000000002"/>
        <n v="1295.83"/>
        <n v="1364.99"/>
        <n v="732.8"/>
        <n v="780.74"/>
        <n v="1222.3399999999999"/>
        <n v="842.4"/>
        <n v="2221.1999999999998"/>
        <n v="797.29"/>
        <n v="1463.25"/>
        <n v="2039.57"/>
        <n v="1269.71"/>
        <n v="1729.86"/>
        <n v="2025.11"/>
        <n v="1473.76"/>
        <n v="1567.71"/>
        <n v="2065.09"/>
        <n v="3445.78"/>
        <n v="877.86"/>
        <n v="1008.36"/>
        <n v="1676.01"/>
        <n v="2142.39"/>
        <n v="1492.23"/>
        <n v="1016.52"/>
        <n v="978.83"/>
        <n v="1045.68"/>
        <n v="1162.3699999999999"/>
        <n v="1943.62"/>
        <n v="1305.94"/>
        <n v="708.01"/>
        <n v="1907.33"/>
        <n v="950.3"/>
        <n v="1098.4000000000001"/>
        <n v="1302.9100000000001"/>
        <n v="1006.27"/>
        <n v="1206.7"/>
        <n v="766.51"/>
        <n v="2121.5300000000002"/>
        <n v="2027.62"/>
        <n v="2035.42"/>
        <n v="2409.7199999999998"/>
        <n v="1896.54"/>
        <n v="1950.73"/>
        <n v="1848.97"/>
        <n v="982.23"/>
        <n v="4509.6499999999996"/>
        <n v="1943.72"/>
        <n v="1396.51"/>
        <n v="1925.93"/>
        <n v="1968.4"/>
        <n v="1159.82"/>
        <n v="1485.23"/>
        <n v="1541.47"/>
        <n v="2001.81"/>
        <n v="1495.16"/>
        <n v="885.17"/>
        <n v="2510.13"/>
        <n v="1769.66"/>
        <n v="1340.33"/>
        <n v="1209.4000000000001"/>
        <n v="983.48"/>
        <n v="1908.06"/>
        <n v="2204.34"/>
        <n v="1669.11"/>
        <n v="1169.94"/>
        <n v="819.01"/>
        <n v="2064.21"/>
        <n v="1398.39"/>
        <n v="1141.47"/>
        <n v="1286.4000000000001"/>
        <n v="2264.8200000000002"/>
        <n v="1906.05"/>
        <n v="1014.64"/>
        <n v="2015.47"/>
        <n v="973.29"/>
        <n v="1908.59"/>
        <n v="1710.71"/>
        <n v="1830.88"/>
        <n v="2559.41"/>
        <n v="2029.19"/>
        <n v="2344.83"/>
        <n v="984.22"/>
        <n v="2103.4899999999998"/>
        <n v="2716.68"/>
        <n v="1452.83"/>
        <n v="1870.72"/>
        <n v="1568.26"/>
        <n v="1861.65"/>
        <n v="1564.57"/>
        <n v="368.95"/>
        <n v="1749.09"/>
        <n v="1755.15"/>
        <n v="402.81"/>
        <n v="2000.97"/>
        <n v="1760.28"/>
        <n v="2599.62"/>
        <n v="1669.44"/>
        <n v="1149.54"/>
        <n v="281.92"/>
        <n v="1926.97"/>
        <n v="1614.71"/>
        <n v="1083.24"/>
        <n v="1192.8"/>
        <n v="1514.73"/>
        <n v="1707.15"/>
        <n v="3300.3"/>
        <n v="1905.53"/>
        <n v="1774.83"/>
        <n v="1025.27"/>
        <n v="1815.14"/>
        <n v="1017.03"/>
        <n v="4957.8999999999996"/>
        <n v="1118.1099999999999"/>
        <n v="1491.18"/>
        <n v="1645.04"/>
        <n v="1604.51"/>
        <n v="2017.83"/>
        <n v="1314.33"/>
        <n v="1898.15"/>
        <n v="1571.12"/>
        <n v="1000.21"/>
        <n v="1971.74"/>
        <n v="1904.15"/>
        <n v="3223.39"/>
        <n v="1049.5899999999999"/>
        <n v="1354.17"/>
        <n v="1322.85"/>
        <n v="2245.2199999999998"/>
        <n v="966.52"/>
        <n v="836.45"/>
        <n v="387.91"/>
        <n v="1977.65"/>
        <n v="1202.81"/>
        <n v="3094.44"/>
        <n v="1292.01"/>
        <n v="1554.95"/>
        <n v="798.21"/>
        <n v="1727.02"/>
        <n v="2122.2800000000002"/>
        <n v="393.9"/>
        <n v="2758.97"/>
        <n v="1883.87"/>
        <n v="1514.38"/>
        <n v="1969.02"/>
        <n v="1115.3900000000001"/>
        <n v="1538.47"/>
        <n v="1805.22"/>
        <n v="2258.08"/>
        <n v="1760.58"/>
        <n v="2073.4299999999998"/>
        <n v="2132.5300000000002"/>
        <n v="2028.38"/>
        <n v="1865.28"/>
        <n v="1828.24"/>
        <n v="944.55"/>
        <n v="2481.0500000000002"/>
        <n v="2124.12"/>
        <n v="1312.85"/>
        <n v="1291.97"/>
        <n v="2068.4699999999998"/>
        <n v="2667.87"/>
        <n v="1225.27"/>
        <n v="285.76"/>
        <n v="1426.9"/>
        <n v="1801.66"/>
        <n v="1641.84"/>
        <n v="1667.34"/>
        <n v="899.84"/>
        <n v="1594.31"/>
        <n v="3091.33"/>
        <n v="2166.67"/>
        <n v="1033.8399999999999"/>
        <n v="951.42"/>
        <n v="1176.55"/>
        <n v="1401.49"/>
        <n v="1047.79"/>
        <n v="2150.44"/>
        <n v="2056.9899999999998"/>
        <n v="958.16"/>
        <n v="1416.9"/>
        <n v="2332.8000000000002"/>
        <n v="1095.56"/>
        <n v="1264"/>
        <n v="1600.33"/>
        <n v="504.22"/>
        <n v="1780.7"/>
        <n v="1566.16"/>
        <n v="1190.68"/>
        <n v="1496.23"/>
        <n v="1767.96"/>
        <n v="2087.86"/>
        <n v="430.12"/>
        <n v="942.14"/>
        <n v="1713.47"/>
        <n v="942.01"/>
        <n v="954.87"/>
        <n v="2668.77"/>
        <n v="1043.8599999999999"/>
        <n v="306.56"/>
        <n v="1010.85"/>
        <n v="1031.93"/>
        <n v="2701.14"/>
        <n v="1790.93"/>
        <n v="2682.02"/>
        <n v="1273.69"/>
        <n v="1505.56"/>
        <n v="1600.47"/>
        <n v="1742.57"/>
        <n v="1628.68"/>
        <n v="1809.39"/>
        <n v="1753.23"/>
        <n v="1213.32"/>
        <n v="1529.54"/>
        <n v="403.32"/>
        <n v="1296.32"/>
        <n v="1788.36"/>
        <n v="824.12"/>
        <n v="1269.26"/>
        <n v="2005.51"/>
        <n v="1944.89"/>
        <n v="1909.61"/>
        <n v="2037.58"/>
        <n v="1513.87"/>
        <n v="1263.95"/>
        <n v="1720.78"/>
        <n v="966.19"/>
        <n v="1144.31"/>
        <n v="2423.67"/>
        <n v="1886.71"/>
        <n v="2487.98"/>
        <n v="2065.62"/>
        <n v="1197.68"/>
        <n v="455.72"/>
        <n v="2529.5100000000002"/>
        <n v="2035.13"/>
        <n v="2194.2399999999998"/>
        <n v="1905.86"/>
        <n v="1011.66"/>
        <n v="2510.06"/>
        <n v="1848.78"/>
        <n v="633.76"/>
        <n v="1855.79"/>
        <n v="1123.8499999999999"/>
        <n v="1237.6199999999999"/>
        <n v="1919.39"/>
        <n v="1509.02"/>
        <n v="1617.52"/>
        <n v="1077.42"/>
        <n v="1071.6500000000001"/>
        <n v="283.73"/>
        <n v="1119.06"/>
        <n v="840.26"/>
        <n v="792.31"/>
        <n v="1741.33"/>
        <n v="1538.51"/>
        <n v="1579.3"/>
        <n v="447.88"/>
        <n v="1735.6"/>
        <n v="2306.2199999999998"/>
        <n v="1874.78"/>
        <n v="1392.11"/>
        <n v="1397.2"/>
        <n v="1225.74"/>
        <n v="1568.24"/>
        <n v="2215.31"/>
        <n v="2972.81"/>
        <n v="1569.08"/>
        <n v="1860.57"/>
        <n v="326.08"/>
        <n v="1088.67"/>
        <n v="1222.07"/>
        <n v="1311.03"/>
        <n v="811.47"/>
        <n v="2078.0700000000002"/>
        <n v="1684.83"/>
        <n v="1150.1500000000001"/>
        <n v="2177.2800000000002"/>
        <n v="1822.38"/>
        <n v="1450.98"/>
        <n v="3250.9"/>
        <n v="1348.62"/>
        <n v="1736.74"/>
        <n v="1463.44"/>
        <n v="704.82"/>
        <n v="1658.31"/>
        <n v="2152.9899999999998"/>
        <n v="335.07"/>
        <n v="1852.26"/>
        <n v="1425"/>
        <n v="1784.08"/>
        <n v="2045.88"/>
        <n v="1956.41"/>
        <n v="2739.81"/>
        <n v="638.17999999999995"/>
        <n v="1036"/>
        <n v="1485.98"/>
        <n v="1156.08"/>
        <n v="1996.28"/>
        <n v="1906.77"/>
        <n v="1985.8"/>
        <n v="1733.67"/>
        <n v="1500.38"/>
        <n v="1896.85"/>
        <n v="1686.12"/>
        <n v="2426.13"/>
        <n v="1136.9100000000001"/>
        <n v="2465.27"/>
        <n v="1109.3800000000001"/>
        <n v="639.35"/>
        <n v="2491.35"/>
        <n v="1035.31"/>
        <n v="1336.91"/>
        <n v="1803.49"/>
        <n v="1262.5"/>
        <n v="1126.55"/>
        <n v="1672.52"/>
        <n v="1917.53"/>
        <n v="1572.79"/>
        <n v="705.4"/>
        <n v="1713.71"/>
        <n v="1510.19"/>
        <n v="1750.57"/>
        <n v="1797.19"/>
        <n v="830.14"/>
        <n v="1712.16"/>
        <n v="1350.89"/>
        <n v="1926.42"/>
        <n v="1187.24"/>
        <n v="1492.48"/>
        <n v="2328.13"/>
        <n v="591"/>
        <n v="2643.03"/>
        <n v="1888.12"/>
        <n v="2735.77"/>
        <n v="892.1"/>
        <n v="1156.6400000000001"/>
        <n v="1049"/>
        <n v="1097.8800000000001"/>
        <n v="1993.26"/>
        <n v="1409.98"/>
        <n v="1991.25"/>
        <n v="2618.62"/>
        <n v="3231.55"/>
        <n v="1243.51"/>
        <n v="550.01"/>
        <n v="2038.75"/>
        <n v="1718.32"/>
        <n v="2000.78"/>
        <n v="966.18"/>
        <n v="1449"/>
        <n v="1223.93"/>
        <n v="1896.79"/>
        <n v="1975.69"/>
        <n v="1364.93"/>
        <n v="1435.59"/>
        <n v="1803.3"/>
        <n v="1291.5999999999999"/>
        <n v="1525.24"/>
        <n v="2048"/>
        <n v="1824.56"/>
        <n v="837.01"/>
        <n v="6961.28"/>
        <n v="1660.26"/>
        <n v="1328.31"/>
        <n v="1616.7"/>
        <n v="638.48"/>
        <n v="1861.16"/>
        <n v="1992.95"/>
        <n v="952.47"/>
        <n v="2092.23"/>
        <n v="440.98"/>
        <n v="1909.27"/>
        <n v="1396.45"/>
        <n v="1399.29"/>
        <n v="1374.42"/>
        <n v="2120.77"/>
        <n v="2558.31"/>
        <n v="872.09"/>
        <n v="943.36"/>
        <n v="931.09"/>
        <n v="2471.4699999999998"/>
      </sharedItems>
    </cacheField>
    <cacheField name="交强险保费" numFmtId="0">
      <sharedItems containsString="0" containsBlank="1" containsNumber="1" containsInteger="1" minValue="0" maxValue="1130" count="14">
        <n v="665"/>
        <n v="950"/>
        <n v="760"/>
        <n v="770"/>
        <n v="855"/>
        <n v="880"/>
        <n v="900"/>
        <n v="1045"/>
        <n v="700"/>
        <n v="1000"/>
        <m/>
        <n v="990"/>
        <n v="1130"/>
        <n v="1100"/>
      </sharedItems>
    </cacheField>
    <cacheField name="合计" numFmtId="0">
      <sharedItems containsSemiMixedTypes="0" containsString="0" containsNumber="1" minValue="0" maxValue="7721.28" count="629">
        <n v="2052.0100000000002"/>
        <n v="1751.19"/>
        <n v="1624.97"/>
        <n v="1525.43"/>
        <n v="2751.43"/>
        <n v="2201.1"/>
        <n v="3074.35"/>
        <n v="2262.2199999999998"/>
        <n v="1907.3"/>
        <n v="3303.09"/>
        <n v="2721.25"/>
        <n v="2729.9"/>
        <n v="2719.3"/>
        <n v="2833.58"/>
        <n v="2583.56"/>
        <n v="2405.41"/>
        <n v="2857.14"/>
        <n v="2265.4"/>
        <n v="2170.62"/>
        <n v="2099.4"/>
        <n v="1994.04"/>
        <n v="1716.83"/>
        <n v="1772.31"/>
        <n v="2268.94"/>
        <n v="2366.92"/>
        <n v="2511.0300000000002"/>
        <n v="3328.41"/>
        <n v="2924.31"/>
        <n v="2837.33"/>
        <n v="2799.93"/>
        <n v="2582.3000000000002"/>
        <n v="1965.73"/>
        <n v="1905.85"/>
        <n v="2262.64"/>
        <n v="2528.4299999999998"/>
        <n v="2458.06"/>
        <n v="2496.3000000000002"/>
        <n v="1902.1"/>
        <n v="2753.59"/>
        <n v="2312.8200000000002"/>
        <n v="1996.51"/>
        <n v="1836.29"/>
        <n v="3841.66"/>
        <n v="3590.24"/>
        <n v="2858.71"/>
        <n v="2703.29"/>
        <n v="2335.62"/>
        <n v="1818.89"/>
        <n v="2454.92"/>
        <n v="2837.42"/>
        <n v="2357.5500000000002"/>
        <n v="3447.07"/>
        <n v="4152.67"/>
        <n v="1587.74"/>
        <n v="1917.7"/>
        <n v="1935.48"/>
        <n v="1576.81"/>
        <n v="2661.54"/>
        <n v="2840.76"/>
        <n v="2691.82"/>
        <n v="3950.78"/>
        <n v="3037"/>
        <n v="2482.94"/>
        <n v="2924.87"/>
        <n v="2826.49"/>
        <n v="2776.8"/>
        <n v="1571.14"/>
        <n v="2281.83"/>
        <n v="2535.4699999999998"/>
        <n v="1815.79"/>
        <n v="3367.31"/>
        <n v="2607.3000000000002"/>
        <n v="1755.9"/>
        <n v="2743.02"/>
        <n v="2961.21"/>
        <n v="4066.59"/>
        <n v="1531.19"/>
        <n v="2671.92"/>
        <n v="2959.05"/>
        <n v="2302.94"/>
        <n v="2334.41"/>
        <n v="2139.62"/>
        <n v="1709.4"/>
        <n v="2726.37"/>
        <n v="2365.44"/>
        <n v="2381.42"/>
        <n v="2062"/>
        <n v="2489.67"/>
        <n v="2722.95"/>
        <n v="2136.13"/>
        <n v="2819.98"/>
        <n v="2752.01"/>
        <n v="2337.91"/>
        <n v="2005.66"/>
        <n v="1577.62"/>
        <n v="1721.83"/>
        <n v="2324.17"/>
        <n v="1067.8399999999999"/>
        <n v="1960.85"/>
        <n v="2102.9699999999998"/>
        <n v="2666.93"/>
        <n v="3169.32"/>
        <n v="1940.4"/>
        <n v="2055.5100000000002"/>
        <n v="1564.55"/>
        <n v="1012.8"/>
        <n v="2201.2399999999998"/>
        <n v="2393.9699999999998"/>
        <n v="2741.8"/>
        <n v="2727.34"/>
        <n v="2005.44"/>
        <n v="1247.83"/>
        <n v="2119.2600000000002"/>
        <n v="2165.11"/>
        <n v="1424.54"/>
        <n v="1799.54"/>
        <n v="2225.67"/>
        <n v="2863.62"/>
        <n v="1818.23"/>
        <n v="4366.3100000000004"/>
        <n v="1824.42"/>
        <n v="1908.91"/>
        <n v="2234.37"/>
        <n v="2767.57"/>
        <n v="2195.1799999999998"/>
        <n v="2277.7399999999998"/>
        <n v="3060.85"/>
        <n v="3191.64"/>
        <n v="3775.36"/>
        <n v="1532.82"/>
        <n v="1691.3"/>
        <n v="3094.17"/>
        <n v="2566.2199999999998"/>
        <n v="2129.4499999999998"/>
        <n v="1929.66"/>
        <n v="1761"/>
        <n v="1814.22"/>
        <n v="2303.9899999999998"/>
        <n v="1709.55"/>
        <n v="1516.24"/>
        <n v="3444"/>
        <n v="3029.37"/>
        <n v="2647.5"/>
        <n v="2161.2199999999998"/>
        <n v="3598.31"/>
        <n v="1660.62"/>
        <n v="1824.12"/>
        <n v="2275.4"/>
        <n v="2987.05"/>
        <n v="1648.69"/>
        <n v="1434.67"/>
        <n v="2321.5"/>
        <n v="2881.39"/>
        <n v="2804.84"/>
        <n v="2259.77"/>
        <n v="2566.66"/>
        <n v="1976.33"/>
        <n v="1061.4100000000001"/>
        <n v="2274.94"/>
        <n v="3423.67"/>
        <n v="3441.68"/>
        <n v="1585.71"/>
        <n v="3384.54"/>
        <n v="2474.21"/>
        <n v="3993.77"/>
        <n v="2477.27"/>
        <n v="2689.72"/>
        <n v="1335.4"/>
        <n v="2117.94"/>
        <n v="2235.7199999999998"/>
        <n v="2966.44"/>
        <n v="3117.8"/>
        <n v="1619.56"/>
        <n v="3298.82"/>
        <n v="1732.14"/>
        <n v="2299.34"/>
        <n v="2471.86"/>
        <n v="2253.3200000000002"/>
        <n v="2236.0100000000002"/>
        <n v="1669.05"/>
        <n v="1746.74"/>
        <n v="2384.63"/>
        <n v="3252.21"/>
        <n v="1371.24"/>
        <n v="3470.73"/>
        <n v="3114.81"/>
        <n v="2091.6999999999998"/>
        <n v="2297.9299999999998"/>
        <n v="3371.26"/>
        <n v="2213.11"/>
        <n v="1947.89"/>
        <n v="3407.67"/>
        <n v="2287.25"/>
        <n v="1743.13"/>
        <n v="2002.46"/>
        <n v="1749.3"/>
        <n v="3739.14"/>
        <n v="1873.48"/>
        <n v="1907.64"/>
        <n v="2631"/>
        <n v="1846.68"/>
        <n v="1342.83"/>
        <n v="2095.34"/>
        <n v="4744.54"/>
        <n v="2864.05"/>
        <n v="4076.7"/>
        <n v="1783.32"/>
        <n v="1064.3399999999999"/>
        <n v="2823.41"/>
        <n v="2157.6"/>
        <n v="2300.48"/>
        <n v="2611.3000000000002"/>
        <n v="1450.99"/>
        <n v="1676.55"/>
        <n v="1705.51"/>
        <n v="2160.3000000000002"/>
        <n v="2229.71"/>
        <n v="3496.72"/>
        <n v="3018.55"/>
        <n v="2420.9"/>
        <n v="2155.86"/>
        <n v="2188.7399999999998"/>
        <n v="1508.9"/>
        <n v="2184.85"/>
        <n v="3448.15"/>
        <n v="3387.94"/>
        <n v="1983.78"/>
        <n v="1731.62"/>
        <n v="2174.14"/>
        <n v="1546.54"/>
        <n v="1780.17"/>
        <n v="3774.1"/>
        <n v="3427.76"/>
        <n v="3180.01"/>
        <n v="2773.49"/>
        <n v="2678.38"/>
        <n v="2554.2800000000002"/>
        <n v="1177.99"/>
        <n v="2935.66"/>
        <n v="2298.21"/>
        <n v="1597.67"/>
        <n v="1577.89"/>
        <n v="1888.94"/>
        <n v="3418.28"/>
        <n v="1960.83"/>
        <n v="2029.99"/>
        <n v="1492.8"/>
        <n v="1445.74"/>
        <n v="1887.34"/>
        <n v="1507.4"/>
        <n v="2981.2"/>
        <n v="797.29"/>
        <n v="2508.25"/>
        <n v="2894.57"/>
        <n v="1934.71"/>
        <n v="2584.86"/>
        <n v="2880.11"/>
        <n v="2138.7600000000002"/>
        <n v="2232.71"/>
        <n v="2920.09"/>
        <n v="4395.78"/>
        <n v="1542.86"/>
        <n v="1673.36"/>
        <n v="2341.0100000000002"/>
        <n v="2997.39"/>
        <n v="2157.23"/>
        <n v="1716.52"/>
        <n v="1643.83"/>
        <n v="1710.68"/>
        <n v="1827.37"/>
        <n v="2608.62"/>
        <n v="2065.94"/>
        <n v="1468.01"/>
        <n v="2667.33"/>
        <n v="1710.3"/>
        <n v="2048.4"/>
        <n v="1967.91"/>
        <n v="1671.27"/>
        <n v="1871.7"/>
        <n v="1466.51"/>
        <n v="3001.53"/>
        <n v="2787.62"/>
        <n v="2890.42"/>
        <n v="3359.72"/>
        <n v="2751.54"/>
        <n v="2940.73"/>
        <n v="2703.97"/>
        <n v="1647.23"/>
        <n v="5459.65"/>
        <n v="2798.72"/>
        <n v="2156.5100000000002"/>
        <n v="2780.93"/>
        <n v="2823.4"/>
        <n v="1824.82"/>
        <n v="2150.23"/>
        <n v="2301.4699999999998"/>
        <n v="2856.81"/>
        <n v="2160.16"/>
        <n v="1550.17"/>
        <n v="3365.13"/>
        <n v="2624.66"/>
        <n v="2290.33"/>
        <n v="1874.4"/>
        <n v="1648.48"/>
        <n v="2573.06"/>
        <n v="2964.34"/>
        <n v="2334.11"/>
        <n v="1834.94"/>
        <n v="1484.01"/>
        <n v="3014.21"/>
        <n v="2348.39"/>
        <n v="1806.47"/>
        <n v="2046.4"/>
        <n v="2929.82"/>
        <n v="2666.05"/>
        <n v="1679.64"/>
        <n v="2870.47"/>
        <n v="1638.29"/>
        <n v="2763.59"/>
        <n v="2470.71"/>
        <n v="2685.88"/>
        <n v="3414.41"/>
        <n v="2456.8000000000002"/>
        <n v="2884.19"/>
        <n v="3104.83"/>
        <n v="1649.22"/>
        <n v="2768.49"/>
        <n v="3666.68"/>
        <n v="2212.83"/>
        <n v="2630.72"/>
        <n v="2233.2600000000002"/>
        <n v="2716.65"/>
        <n v="2229.5700000000002"/>
        <n v="1033.95"/>
        <n v="2509.09"/>
        <n v="2610.15"/>
        <n v="1067.81"/>
        <n v="2760.97"/>
        <n v="2615.2800000000002"/>
        <n v="3549.62"/>
        <n v="2429.44"/>
        <n v="1814.54"/>
        <n v="1136.92"/>
        <n v="2876.97"/>
        <n v="2564.71"/>
        <n v="1748.24"/>
        <n v="1857.8"/>
        <n v="2369.73"/>
        <n v="2467.15"/>
        <n v="4250.3"/>
        <n v="2760.53"/>
        <n v="2629.83"/>
        <n v="1690.27"/>
        <n v="2575.14"/>
        <n v="1682.03"/>
        <n v="5717.9"/>
        <n v="1783.11"/>
        <n v="2156.1799999999998"/>
        <n v="2310.04"/>
        <n v="2364.5100000000002"/>
        <n v="2682.83"/>
        <n v="1979.33"/>
        <n v="2658.15"/>
        <n v="2426.12"/>
        <n v="1665.21"/>
        <n v="2826.74"/>
        <n v="2759.15"/>
        <n v="4078.39"/>
        <n v="1714.59"/>
        <n v="2019.17"/>
        <n v="1987.85"/>
        <n v="3100.22"/>
        <n v="1631.52"/>
        <n v="1536.45"/>
        <n v="1052.9100000000001"/>
        <n v="2832.65"/>
        <n v="1867.81"/>
        <n v="4044.44"/>
        <n v="1957.01"/>
        <n v="2409.9499999999998"/>
        <n v="1463.21"/>
        <n v="2487.02"/>
        <n v="2122.2800000000002"/>
        <n v="1058.9000000000001"/>
        <n v="3613.97"/>
        <n v="2738.87"/>
        <n v="2179.38"/>
        <n v="2824.02"/>
        <n v="1780.39"/>
        <n v="2203.4699999999998"/>
        <n v="2660.22"/>
        <n v="3208.08"/>
        <n v="2520.58"/>
        <n v="2928.43"/>
        <n v="2892.53"/>
        <n v="2883.38"/>
        <n v="2720.28"/>
        <n v="2683.24"/>
        <n v="1609.55"/>
        <n v="3336.05"/>
        <n v="2789.12"/>
        <n v="1977.85"/>
        <n v="1956.97"/>
        <n v="3018.47"/>
        <n v="3617.87"/>
        <n v="1890.27"/>
        <n v="950.76"/>
        <n v="2091.9"/>
        <n v="2656.66"/>
        <n v="2496.84"/>
        <n v="2522.34"/>
        <n v="1599.84"/>
        <n v="2449.31"/>
        <n v="3946.33"/>
        <n v="2831.67"/>
        <n v="1033.8399999999999"/>
        <n v="1616.42"/>
        <n v="1176.55"/>
        <n v="2066.4899999999998"/>
        <n v="1712.79"/>
        <n v="3005.44"/>
        <n v="3046.99"/>
        <n v="1623.16"/>
        <n v="2116.9"/>
        <n v="3282.8"/>
        <n v="1865.56"/>
        <n v="1929"/>
        <n v="2360.33"/>
        <n v="1454.22"/>
        <n v="2540.6999999999998"/>
        <n v="2231.16"/>
        <n v="1855.68"/>
        <n v="2256.23"/>
        <n v="2717.96"/>
        <n v="2942.86"/>
        <n v="1095.1199999999999"/>
        <n v="1607.14"/>
        <n v="2378.4699999999998"/>
        <n v="1607.01"/>
        <n v="1619.87"/>
        <n v="3523.77"/>
        <n v="1708.86"/>
        <n v="971.56"/>
        <n v="1675.85"/>
        <n v="1981.93"/>
        <n v="3651.14"/>
        <n v="2645.93"/>
        <n v="3632.02"/>
        <n v="1938.69"/>
        <n v="2275.56"/>
        <n v="2455.4699999999998"/>
        <n v="2828.47"/>
        <n v="2407.5700000000002"/>
        <n v="2388.6799999999998"/>
        <n v="2569.39"/>
        <n v="2703.23"/>
        <n v="1878.32"/>
        <n v="2289.54"/>
        <n v="1068.32"/>
        <n v="1961.32"/>
        <n v="2738.36"/>
        <n v="1489.12"/>
        <n v="1934.26"/>
        <n v="2005.51"/>
        <n v="2799.89"/>
        <n v="2764.61"/>
        <n v="2892.58"/>
        <n v="2273.87"/>
        <n v="1263.95"/>
        <n v="2575.7800000000002"/>
        <n v="1631.19"/>
        <n v="1809.31"/>
        <n v="3278.67"/>
        <n v="2741.71"/>
        <n v="3342.98"/>
        <n v="2920.62"/>
        <n v="1862.68"/>
        <n v="1120.72"/>
        <n v="3384.51"/>
        <n v="2890.13"/>
        <n v="3144.24"/>
        <n v="2760.86"/>
        <n v="1676.66"/>
        <n v="3365.06"/>
        <n v="2703.78"/>
        <n v="1488.76"/>
        <n v="2615.79"/>
        <n v="1788.85"/>
        <n v="1902.62"/>
        <n v="2774.39"/>
        <n v="2364.02"/>
        <n v="2472.52"/>
        <n v="1742.42"/>
        <n v="1736.65"/>
        <n v="948.73"/>
        <n v="1784.06"/>
        <n v="1505.26"/>
        <n v="1457.31"/>
        <n v="2691.33"/>
        <n v="2203.5100000000002"/>
        <n v="2339.3000000000002"/>
        <n v="1112.8800000000001"/>
        <n v="2590.6"/>
        <n v="3066.22"/>
        <n v="2729.78"/>
        <n v="2057.11"/>
        <n v="2252.1999999999998"/>
        <n v="1890.74"/>
        <n v="2233.2399999999998"/>
        <n v="3070.31"/>
        <n v="3922.81"/>
        <n v="2234.08"/>
        <n v="2810.57"/>
        <n v="991.08"/>
        <n v="1753.67"/>
        <n v="2352.0700000000002"/>
        <n v="1976.03"/>
        <n v="1666.47"/>
        <n v="2933.07"/>
        <n v="2444.83"/>
        <n v="1815.15"/>
        <n v="3127.28"/>
        <n v="2677.38"/>
        <n v="2305.98"/>
        <n v="4105.8999999999996"/>
        <n v="2013.62"/>
        <n v="4200.8999999999996"/>
        <n v="2591.7399999999998"/>
        <n v="2223.44"/>
        <n v="1804.82"/>
        <n v="2323.31"/>
        <n v="2817.99"/>
        <n v="1000.07"/>
        <n v="2707.26"/>
        <n v="2090"/>
        <n v="2774.08"/>
        <n v="2900.88"/>
        <n v="2716.41"/>
        <n v="3689.81"/>
        <n v="1683.18"/>
        <n v="1701"/>
        <n v="2245.98"/>
        <n v="1821.08"/>
        <n v="2851.28"/>
        <n v="2666.77"/>
        <n v="2650.8"/>
        <n v="2398.67"/>
        <n v="2260.38"/>
        <n v="2656.85"/>
        <n v="2566.12"/>
        <n v="3186.13"/>
        <n v="1836.91"/>
        <n v="3415.27"/>
        <n v="1774.38"/>
        <n v="1399.35"/>
        <n v="3441.35"/>
        <n v="1700.31"/>
        <n v="2236.91"/>
        <n v="2563.4899999999998"/>
        <n v="1927.5"/>
        <n v="1896.55"/>
        <n v="2432.52"/>
        <n v="2772.53"/>
        <n v="2237.79"/>
        <n v="1655.4"/>
        <n v="2378.71"/>
        <n v="2460.19"/>
        <n v="2415.5700000000002"/>
        <n v="2462.19"/>
        <n v="1495.14"/>
        <n v="2377.16"/>
        <n v="2015.89"/>
        <n v="2781.42"/>
        <n v="1957.24"/>
        <n v="2157.48"/>
        <n v="3278.13"/>
        <n v="1256"/>
        <n v="3498.03"/>
        <n v="2553.12"/>
        <n v="3590.77"/>
        <n v="1592.1"/>
        <n v="1821.64"/>
        <n v="1714"/>
        <n v="1762.88"/>
        <n v="2753.26"/>
        <n v="2109.98"/>
        <n v="2941.25"/>
        <n v="3568.62"/>
        <n v="4086.55"/>
        <n v="1908.51"/>
        <n v="1215.01"/>
        <n v="2703.75"/>
        <n v="2478.3200000000002"/>
        <n v="2665.78"/>
        <n v="1631.18"/>
        <n v="2114"/>
        <n v="1888.93"/>
        <n v="2751.79"/>
        <n v="2735.69"/>
        <n v="2029.93"/>
        <n v="2385.59"/>
        <n v="2468.3000000000002"/>
        <n v="1956.6"/>
        <n v="2190.2399999999998"/>
        <n v="2903"/>
        <n v="2584.56"/>
        <n v="1537.01"/>
        <n v="7721.28"/>
        <n v="2420.2600000000002"/>
        <n v="1993.31"/>
        <n v="2471.6999999999998"/>
        <n v="1493.48"/>
        <n v="2526.16"/>
        <n v="2847.95"/>
        <n v="2620.5700000000002"/>
        <n v="1617.47"/>
        <n v="3042.23"/>
        <n v="1105.98"/>
        <n v="2669.27"/>
        <n v="2061.4499999999998"/>
        <n v="2064.29"/>
        <n v="2039.42"/>
        <n v="2975.77"/>
        <n v="3413.31"/>
        <n v="2247.11"/>
        <n v="1537.09"/>
        <n v="1643.36"/>
        <n v="1596.09"/>
        <n v="3516.47"/>
      </sharedItems>
    </cacheField>
    <cacheField name="出单员" numFmtId="0">
      <sharedItems count="7">
        <s v="张琴"/>
        <s v="唐芳兰"/>
        <s v="罗文琦"/>
        <s v="周凤英"/>
        <s v="赵水仙"/>
        <s v="高梓绮"/>
        <s v="黄意轩" u="1"/>
      </sharedItems>
    </cacheField>
    <cacheField name="销售类型" numFmtId="0">
      <sharedItems count="7">
        <s v="续转续"/>
        <s v="新转续"/>
        <s v="流失"/>
        <s v="外品牌"/>
        <s v="在修不在保" u="1"/>
        <s v="流失再续保" u="1"/>
        <s v="流入" u="1"/>
      </sharedItems>
    </cacheField>
    <cacheField name="是否有效" numFmtId="185">
      <sharedItems containsBlank="1" count="2">
        <m/>
        <s v="ap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43">
  <r>
    <x v="0"/>
    <x v="0"/>
    <x v="0"/>
    <x v="0"/>
    <x v="0"/>
    <x v="0"/>
    <x v="0"/>
    <x v="0"/>
    <x v="0"/>
    <x v="0"/>
    <x v="0"/>
    <x v="0"/>
    <x v="0"/>
    <x v="0"/>
  </r>
  <r>
    <x v="0"/>
    <x v="0"/>
    <x v="0"/>
    <x v="1"/>
    <x v="1"/>
    <x v="1"/>
    <x v="0"/>
    <x v="1"/>
    <x v="1"/>
    <x v="0"/>
    <x v="1"/>
    <x v="0"/>
    <x v="0"/>
    <x v="0"/>
  </r>
  <r>
    <x v="0"/>
    <x v="0"/>
    <x v="0"/>
    <x v="2"/>
    <x v="2"/>
    <x v="2"/>
    <x v="0"/>
    <x v="2"/>
    <x v="2"/>
    <x v="1"/>
    <x v="2"/>
    <x v="1"/>
    <x v="0"/>
    <x v="0"/>
  </r>
  <r>
    <x v="0"/>
    <x v="0"/>
    <x v="0"/>
    <x v="3"/>
    <x v="3"/>
    <x v="3"/>
    <x v="0"/>
    <x v="3"/>
    <x v="3"/>
    <x v="0"/>
    <x v="3"/>
    <x v="2"/>
    <x v="0"/>
    <x v="0"/>
  </r>
  <r>
    <x v="1"/>
    <x v="1"/>
    <x v="1"/>
    <x v="4"/>
    <x v="4"/>
    <x v="4"/>
    <x v="0"/>
    <x v="4"/>
    <x v="4"/>
    <x v="0"/>
    <x v="4"/>
    <x v="2"/>
    <x v="0"/>
    <x v="0"/>
  </r>
  <r>
    <x v="1"/>
    <x v="1"/>
    <x v="0"/>
    <x v="5"/>
    <x v="5"/>
    <x v="5"/>
    <x v="0"/>
    <x v="5"/>
    <x v="5"/>
    <x v="2"/>
    <x v="5"/>
    <x v="1"/>
    <x v="0"/>
    <x v="0"/>
  </r>
  <r>
    <x v="2"/>
    <x v="1"/>
    <x v="1"/>
    <x v="6"/>
    <x v="6"/>
    <x v="6"/>
    <x v="0"/>
    <x v="6"/>
    <x v="6"/>
    <x v="1"/>
    <x v="6"/>
    <x v="0"/>
    <x v="0"/>
    <x v="0"/>
  </r>
  <r>
    <x v="1"/>
    <x v="1"/>
    <x v="0"/>
    <x v="7"/>
    <x v="7"/>
    <x v="7"/>
    <x v="0"/>
    <x v="7"/>
    <x v="7"/>
    <x v="0"/>
    <x v="7"/>
    <x v="0"/>
    <x v="0"/>
    <x v="0"/>
  </r>
  <r>
    <x v="3"/>
    <x v="1"/>
    <x v="1"/>
    <x v="8"/>
    <x v="8"/>
    <x v="8"/>
    <x v="0"/>
    <x v="8"/>
    <x v="8"/>
    <x v="3"/>
    <x v="8"/>
    <x v="0"/>
    <x v="0"/>
    <x v="0"/>
  </r>
  <r>
    <x v="4"/>
    <x v="2"/>
    <x v="2"/>
    <x v="9"/>
    <x v="9"/>
    <x v="9"/>
    <x v="0"/>
    <x v="9"/>
    <x v="9"/>
    <x v="1"/>
    <x v="9"/>
    <x v="0"/>
    <x v="1"/>
    <x v="0"/>
  </r>
  <r>
    <x v="1"/>
    <x v="2"/>
    <x v="3"/>
    <x v="10"/>
    <x v="10"/>
    <x v="9"/>
    <x v="0"/>
    <x v="10"/>
    <x v="10"/>
    <x v="4"/>
    <x v="10"/>
    <x v="0"/>
    <x v="1"/>
    <x v="0"/>
  </r>
  <r>
    <x v="1"/>
    <x v="2"/>
    <x v="1"/>
    <x v="11"/>
    <x v="11"/>
    <x v="10"/>
    <x v="0"/>
    <x v="11"/>
    <x v="11"/>
    <x v="4"/>
    <x v="11"/>
    <x v="0"/>
    <x v="1"/>
    <x v="0"/>
  </r>
  <r>
    <x v="1"/>
    <x v="3"/>
    <x v="4"/>
    <x v="12"/>
    <x v="12"/>
    <x v="11"/>
    <x v="0"/>
    <x v="12"/>
    <x v="12"/>
    <x v="2"/>
    <x v="12"/>
    <x v="1"/>
    <x v="0"/>
    <x v="0"/>
  </r>
  <r>
    <x v="1"/>
    <x v="3"/>
    <x v="0"/>
    <x v="13"/>
    <x v="13"/>
    <x v="12"/>
    <x v="0"/>
    <x v="13"/>
    <x v="13"/>
    <x v="4"/>
    <x v="13"/>
    <x v="1"/>
    <x v="1"/>
    <x v="0"/>
  </r>
  <r>
    <x v="5"/>
    <x v="3"/>
    <x v="5"/>
    <x v="14"/>
    <x v="14"/>
    <x v="4"/>
    <x v="0"/>
    <x v="14"/>
    <x v="14"/>
    <x v="2"/>
    <x v="14"/>
    <x v="1"/>
    <x v="0"/>
    <x v="0"/>
  </r>
  <r>
    <x v="1"/>
    <x v="3"/>
    <x v="4"/>
    <x v="15"/>
    <x v="15"/>
    <x v="13"/>
    <x v="0"/>
    <x v="15"/>
    <x v="15"/>
    <x v="2"/>
    <x v="15"/>
    <x v="3"/>
    <x v="0"/>
    <x v="0"/>
  </r>
  <r>
    <x v="6"/>
    <x v="2"/>
    <x v="4"/>
    <x v="16"/>
    <x v="16"/>
    <x v="14"/>
    <x v="0"/>
    <x v="16"/>
    <x v="16"/>
    <x v="4"/>
    <x v="16"/>
    <x v="0"/>
    <x v="0"/>
    <x v="0"/>
  </r>
  <r>
    <x v="0"/>
    <x v="3"/>
    <x v="4"/>
    <x v="17"/>
    <x v="17"/>
    <x v="4"/>
    <x v="0"/>
    <x v="17"/>
    <x v="17"/>
    <x v="0"/>
    <x v="17"/>
    <x v="0"/>
    <x v="0"/>
    <x v="1"/>
  </r>
  <r>
    <x v="1"/>
    <x v="4"/>
    <x v="0"/>
    <x v="18"/>
    <x v="18"/>
    <x v="13"/>
    <x v="0"/>
    <x v="18"/>
    <x v="18"/>
    <x v="0"/>
    <x v="18"/>
    <x v="2"/>
    <x v="0"/>
    <x v="0"/>
  </r>
  <r>
    <x v="1"/>
    <x v="4"/>
    <x v="5"/>
    <x v="19"/>
    <x v="19"/>
    <x v="13"/>
    <x v="0"/>
    <x v="19"/>
    <x v="19"/>
    <x v="0"/>
    <x v="19"/>
    <x v="3"/>
    <x v="0"/>
    <x v="0"/>
  </r>
  <r>
    <x v="7"/>
    <x v="4"/>
    <x v="2"/>
    <x v="20"/>
    <x v="20"/>
    <x v="15"/>
    <x v="0"/>
    <x v="20"/>
    <x v="20"/>
    <x v="0"/>
    <x v="20"/>
    <x v="4"/>
    <x v="0"/>
    <x v="0"/>
  </r>
  <r>
    <x v="8"/>
    <x v="4"/>
    <x v="6"/>
    <x v="21"/>
    <x v="21"/>
    <x v="16"/>
    <x v="0"/>
    <x v="21"/>
    <x v="21"/>
    <x v="0"/>
    <x v="21"/>
    <x v="1"/>
    <x v="0"/>
    <x v="0"/>
  </r>
  <r>
    <x v="1"/>
    <x v="4"/>
    <x v="1"/>
    <x v="22"/>
    <x v="22"/>
    <x v="17"/>
    <x v="0"/>
    <x v="22"/>
    <x v="22"/>
    <x v="0"/>
    <x v="22"/>
    <x v="1"/>
    <x v="0"/>
    <x v="0"/>
  </r>
  <r>
    <x v="0"/>
    <x v="4"/>
    <x v="5"/>
    <x v="23"/>
    <x v="23"/>
    <x v="18"/>
    <x v="0"/>
    <x v="23"/>
    <x v="23"/>
    <x v="0"/>
    <x v="23"/>
    <x v="0"/>
    <x v="0"/>
    <x v="0"/>
  </r>
  <r>
    <x v="9"/>
    <x v="4"/>
    <x v="5"/>
    <x v="24"/>
    <x v="24"/>
    <x v="4"/>
    <x v="0"/>
    <x v="24"/>
    <x v="24"/>
    <x v="0"/>
    <x v="24"/>
    <x v="0"/>
    <x v="0"/>
    <x v="0"/>
  </r>
  <r>
    <x v="0"/>
    <x v="4"/>
    <x v="1"/>
    <x v="25"/>
    <x v="25"/>
    <x v="19"/>
    <x v="0"/>
    <x v="25"/>
    <x v="25"/>
    <x v="0"/>
    <x v="25"/>
    <x v="0"/>
    <x v="0"/>
    <x v="1"/>
  </r>
  <r>
    <x v="6"/>
    <x v="4"/>
    <x v="6"/>
    <x v="26"/>
    <x v="26"/>
    <x v="20"/>
    <x v="0"/>
    <x v="26"/>
    <x v="26"/>
    <x v="1"/>
    <x v="26"/>
    <x v="0"/>
    <x v="1"/>
    <x v="0"/>
  </r>
  <r>
    <x v="4"/>
    <x v="4"/>
    <x v="6"/>
    <x v="27"/>
    <x v="27"/>
    <x v="21"/>
    <x v="0"/>
    <x v="27"/>
    <x v="27"/>
    <x v="4"/>
    <x v="27"/>
    <x v="0"/>
    <x v="1"/>
    <x v="0"/>
  </r>
  <r>
    <x v="3"/>
    <x v="4"/>
    <x v="6"/>
    <x v="28"/>
    <x v="28"/>
    <x v="12"/>
    <x v="0"/>
    <x v="28"/>
    <x v="28"/>
    <x v="4"/>
    <x v="28"/>
    <x v="3"/>
    <x v="1"/>
    <x v="0"/>
  </r>
  <r>
    <x v="4"/>
    <x v="4"/>
    <x v="5"/>
    <x v="29"/>
    <x v="29"/>
    <x v="22"/>
    <x v="0"/>
    <x v="29"/>
    <x v="29"/>
    <x v="4"/>
    <x v="29"/>
    <x v="0"/>
    <x v="1"/>
    <x v="0"/>
  </r>
  <r>
    <x v="1"/>
    <x v="5"/>
    <x v="7"/>
    <x v="30"/>
    <x v="30"/>
    <x v="13"/>
    <x v="0"/>
    <x v="30"/>
    <x v="30"/>
    <x v="4"/>
    <x v="30"/>
    <x v="3"/>
    <x v="1"/>
    <x v="0"/>
  </r>
  <r>
    <x v="9"/>
    <x v="5"/>
    <x v="7"/>
    <x v="31"/>
    <x v="31"/>
    <x v="23"/>
    <x v="0"/>
    <x v="31"/>
    <x v="31"/>
    <x v="0"/>
    <x v="31"/>
    <x v="3"/>
    <x v="0"/>
    <x v="0"/>
  </r>
  <r>
    <x v="1"/>
    <x v="5"/>
    <x v="7"/>
    <x v="32"/>
    <x v="32"/>
    <x v="15"/>
    <x v="0"/>
    <x v="32"/>
    <x v="32"/>
    <x v="0"/>
    <x v="32"/>
    <x v="4"/>
    <x v="0"/>
    <x v="0"/>
  </r>
  <r>
    <x v="7"/>
    <x v="5"/>
    <x v="5"/>
    <x v="33"/>
    <x v="33"/>
    <x v="7"/>
    <x v="0"/>
    <x v="33"/>
    <x v="33"/>
    <x v="0"/>
    <x v="33"/>
    <x v="4"/>
    <x v="0"/>
    <x v="0"/>
  </r>
  <r>
    <x v="1"/>
    <x v="5"/>
    <x v="6"/>
    <x v="34"/>
    <x v="34"/>
    <x v="7"/>
    <x v="0"/>
    <x v="34"/>
    <x v="34"/>
    <x v="0"/>
    <x v="34"/>
    <x v="1"/>
    <x v="0"/>
    <x v="0"/>
  </r>
  <r>
    <x v="1"/>
    <x v="5"/>
    <x v="6"/>
    <x v="35"/>
    <x v="35"/>
    <x v="13"/>
    <x v="0"/>
    <x v="35"/>
    <x v="35"/>
    <x v="2"/>
    <x v="35"/>
    <x v="0"/>
    <x v="0"/>
    <x v="0"/>
  </r>
  <r>
    <x v="8"/>
    <x v="5"/>
    <x v="7"/>
    <x v="36"/>
    <x v="36"/>
    <x v="12"/>
    <x v="0"/>
    <x v="36"/>
    <x v="36"/>
    <x v="4"/>
    <x v="36"/>
    <x v="0"/>
    <x v="1"/>
    <x v="0"/>
  </r>
  <r>
    <x v="0"/>
    <x v="5"/>
    <x v="7"/>
    <x v="37"/>
    <x v="37"/>
    <x v="24"/>
    <x v="0"/>
    <x v="37"/>
    <x v="37"/>
    <x v="0"/>
    <x v="37"/>
    <x v="0"/>
    <x v="0"/>
    <x v="1"/>
  </r>
  <r>
    <x v="1"/>
    <x v="6"/>
    <x v="8"/>
    <x v="38"/>
    <x v="38"/>
    <x v="25"/>
    <x v="0"/>
    <x v="38"/>
    <x v="38"/>
    <x v="4"/>
    <x v="38"/>
    <x v="3"/>
    <x v="1"/>
    <x v="0"/>
  </r>
  <r>
    <x v="4"/>
    <x v="6"/>
    <x v="4"/>
    <x v="39"/>
    <x v="39"/>
    <x v="4"/>
    <x v="0"/>
    <x v="39"/>
    <x v="39"/>
    <x v="0"/>
    <x v="39"/>
    <x v="2"/>
    <x v="0"/>
    <x v="0"/>
  </r>
  <r>
    <x v="0"/>
    <x v="6"/>
    <x v="3"/>
    <x v="40"/>
    <x v="40"/>
    <x v="26"/>
    <x v="0"/>
    <x v="40"/>
    <x v="40"/>
    <x v="0"/>
    <x v="40"/>
    <x v="2"/>
    <x v="0"/>
    <x v="1"/>
  </r>
  <r>
    <x v="3"/>
    <x v="6"/>
    <x v="8"/>
    <x v="41"/>
    <x v="41"/>
    <x v="27"/>
    <x v="0"/>
    <x v="41"/>
    <x v="41"/>
    <x v="0"/>
    <x v="41"/>
    <x v="0"/>
    <x v="0"/>
    <x v="0"/>
  </r>
  <r>
    <x v="1"/>
    <x v="6"/>
    <x v="8"/>
    <x v="42"/>
    <x v="42"/>
    <x v="9"/>
    <x v="0"/>
    <x v="42"/>
    <x v="42"/>
    <x v="1"/>
    <x v="42"/>
    <x v="0"/>
    <x v="1"/>
    <x v="0"/>
  </r>
  <r>
    <x v="1"/>
    <x v="6"/>
    <x v="8"/>
    <x v="43"/>
    <x v="43"/>
    <x v="28"/>
    <x v="0"/>
    <x v="43"/>
    <x v="43"/>
    <x v="4"/>
    <x v="43"/>
    <x v="0"/>
    <x v="1"/>
    <x v="0"/>
  </r>
  <r>
    <x v="10"/>
    <x v="6"/>
    <x v="8"/>
    <x v="44"/>
    <x v="44"/>
    <x v="12"/>
    <x v="0"/>
    <x v="44"/>
    <x v="44"/>
    <x v="4"/>
    <x v="44"/>
    <x v="0"/>
    <x v="1"/>
    <x v="0"/>
  </r>
  <r>
    <x v="0"/>
    <x v="3"/>
    <x v="5"/>
    <x v="45"/>
    <x v="45"/>
    <x v="29"/>
    <x v="0"/>
    <x v="45"/>
    <x v="45"/>
    <x v="2"/>
    <x v="45"/>
    <x v="2"/>
    <x v="0"/>
    <x v="1"/>
  </r>
  <r>
    <x v="0"/>
    <x v="7"/>
    <x v="2"/>
    <x v="46"/>
    <x v="46"/>
    <x v="0"/>
    <x v="0"/>
    <x v="46"/>
    <x v="46"/>
    <x v="1"/>
    <x v="46"/>
    <x v="3"/>
    <x v="0"/>
    <x v="1"/>
  </r>
  <r>
    <x v="11"/>
    <x v="7"/>
    <x v="9"/>
    <x v="47"/>
    <x v="47"/>
    <x v="2"/>
    <x v="0"/>
    <x v="47"/>
    <x v="47"/>
    <x v="0"/>
    <x v="47"/>
    <x v="3"/>
    <x v="0"/>
    <x v="0"/>
  </r>
  <r>
    <x v="5"/>
    <x v="7"/>
    <x v="10"/>
    <x v="48"/>
    <x v="48"/>
    <x v="11"/>
    <x v="0"/>
    <x v="48"/>
    <x v="48"/>
    <x v="4"/>
    <x v="48"/>
    <x v="3"/>
    <x v="1"/>
    <x v="0"/>
  </r>
  <r>
    <x v="11"/>
    <x v="7"/>
    <x v="10"/>
    <x v="49"/>
    <x v="49"/>
    <x v="12"/>
    <x v="0"/>
    <x v="49"/>
    <x v="49"/>
    <x v="4"/>
    <x v="49"/>
    <x v="3"/>
    <x v="1"/>
    <x v="0"/>
  </r>
  <r>
    <x v="7"/>
    <x v="7"/>
    <x v="2"/>
    <x v="50"/>
    <x v="50"/>
    <x v="30"/>
    <x v="0"/>
    <x v="50"/>
    <x v="50"/>
    <x v="0"/>
    <x v="50"/>
    <x v="4"/>
    <x v="0"/>
    <x v="0"/>
  </r>
  <r>
    <x v="1"/>
    <x v="7"/>
    <x v="10"/>
    <x v="51"/>
    <x v="51"/>
    <x v="10"/>
    <x v="0"/>
    <x v="51"/>
    <x v="51"/>
    <x v="1"/>
    <x v="51"/>
    <x v="0"/>
    <x v="1"/>
    <x v="0"/>
  </r>
  <r>
    <x v="1"/>
    <x v="7"/>
    <x v="10"/>
    <x v="52"/>
    <x v="52"/>
    <x v="31"/>
    <x v="0"/>
    <x v="52"/>
    <x v="52"/>
    <x v="4"/>
    <x v="52"/>
    <x v="0"/>
    <x v="1"/>
    <x v="0"/>
  </r>
  <r>
    <x v="0"/>
    <x v="8"/>
    <x v="9"/>
    <x v="53"/>
    <x v="53"/>
    <x v="32"/>
    <x v="0"/>
    <x v="53"/>
    <x v="53"/>
    <x v="0"/>
    <x v="53"/>
    <x v="0"/>
    <x v="0"/>
    <x v="1"/>
  </r>
  <r>
    <x v="12"/>
    <x v="9"/>
    <x v="11"/>
    <x v="54"/>
    <x v="54"/>
    <x v="33"/>
    <x v="0"/>
    <x v="54"/>
    <x v="54"/>
    <x v="0"/>
    <x v="54"/>
    <x v="1"/>
    <x v="0"/>
    <x v="0"/>
  </r>
  <r>
    <x v="3"/>
    <x v="9"/>
    <x v="10"/>
    <x v="55"/>
    <x v="55"/>
    <x v="34"/>
    <x v="0"/>
    <x v="55"/>
    <x v="55"/>
    <x v="0"/>
    <x v="55"/>
    <x v="0"/>
    <x v="0"/>
    <x v="0"/>
  </r>
  <r>
    <x v="1"/>
    <x v="10"/>
    <x v="3"/>
    <x v="56"/>
    <x v="56"/>
    <x v="35"/>
    <x v="0"/>
    <x v="56"/>
    <x v="56"/>
    <x v="0"/>
    <x v="56"/>
    <x v="3"/>
    <x v="0"/>
    <x v="0"/>
  </r>
  <r>
    <x v="0"/>
    <x v="10"/>
    <x v="9"/>
    <x v="57"/>
    <x v="57"/>
    <x v="36"/>
    <x v="0"/>
    <x v="57"/>
    <x v="57"/>
    <x v="5"/>
    <x v="57"/>
    <x v="3"/>
    <x v="0"/>
    <x v="0"/>
  </r>
  <r>
    <x v="12"/>
    <x v="10"/>
    <x v="12"/>
    <x v="58"/>
    <x v="58"/>
    <x v="37"/>
    <x v="0"/>
    <x v="58"/>
    <x v="58"/>
    <x v="4"/>
    <x v="58"/>
    <x v="3"/>
    <x v="1"/>
    <x v="0"/>
  </r>
  <r>
    <x v="1"/>
    <x v="10"/>
    <x v="5"/>
    <x v="59"/>
    <x v="59"/>
    <x v="38"/>
    <x v="0"/>
    <x v="59"/>
    <x v="59"/>
    <x v="2"/>
    <x v="59"/>
    <x v="3"/>
    <x v="0"/>
    <x v="0"/>
  </r>
  <r>
    <x v="1"/>
    <x v="10"/>
    <x v="0"/>
    <x v="60"/>
    <x v="60"/>
    <x v="19"/>
    <x v="0"/>
    <x v="60"/>
    <x v="60"/>
    <x v="1"/>
    <x v="60"/>
    <x v="4"/>
    <x v="2"/>
    <x v="0"/>
  </r>
  <r>
    <x v="1"/>
    <x v="10"/>
    <x v="6"/>
    <x v="61"/>
    <x v="61"/>
    <x v="39"/>
    <x v="0"/>
    <x v="61"/>
    <x v="61"/>
    <x v="4"/>
    <x v="61"/>
    <x v="4"/>
    <x v="0"/>
    <x v="0"/>
  </r>
  <r>
    <x v="1"/>
    <x v="10"/>
    <x v="8"/>
    <x v="62"/>
    <x v="62"/>
    <x v="40"/>
    <x v="0"/>
    <x v="62"/>
    <x v="62"/>
    <x v="4"/>
    <x v="62"/>
    <x v="4"/>
    <x v="0"/>
    <x v="0"/>
  </r>
  <r>
    <x v="1"/>
    <x v="10"/>
    <x v="4"/>
    <x v="63"/>
    <x v="63"/>
    <x v="20"/>
    <x v="0"/>
    <x v="63"/>
    <x v="63"/>
    <x v="4"/>
    <x v="63"/>
    <x v="0"/>
    <x v="1"/>
    <x v="0"/>
  </r>
  <r>
    <x v="1"/>
    <x v="10"/>
    <x v="11"/>
    <x v="64"/>
    <x v="64"/>
    <x v="9"/>
    <x v="0"/>
    <x v="64"/>
    <x v="64"/>
    <x v="1"/>
    <x v="64"/>
    <x v="0"/>
    <x v="1"/>
    <x v="0"/>
  </r>
  <r>
    <x v="0"/>
    <x v="10"/>
    <x v="9"/>
    <x v="65"/>
    <x v="65"/>
    <x v="20"/>
    <x v="0"/>
    <x v="65"/>
    <x v="65"/>
    <x v="4"/>
    <x v="65"/>
    <x v="0"/>
    <x v="1"/>
    <x v="0"/>
  </r>
  <r>
    <x v="8"/>
    <x v="10"/>
    <x v="12"/>
    <x v="66"/>
    <x v="66"/>
    <x v="41"/>
    <x v="0"/>
    <x v="66"/>
    <x v="66"/>
    <x v="0"/>
    <x v="66"/>
    <x v="0"/>
    <x v="0"/>
    <x v="0"/>
  </r>
  <r>
    <x v="0"/>
    <x v="10"/>
    <x v="10"/>
    <x v="67"/>
    <x v="67"/>
    <x v="42"/>
    <x v="0"/>
    <x v="67"/>
    <x v="67"/>
    <x v="2"/>
    <x v="67"/>
    <x v="0"/>
    <x v="0"/>
    <x v="0"/>
  </r>
  <r>
    <x v="1"/>
    <x v="10"/>
    <x v="4"/>
    <x v="68"/>
    <x v="68"/>
    <x v="0"/>
    <x v="0"/>
    <x v="68"/>
    <x v="68"/>
    <x v="2"/>
    <x v="68"/>
    <x v="0"/>
    <x v="0"/>
    <x v="0"/>
  </r>
  <r>
    <x v="0"/>
    <x v="10"/>
    <x v="11"/>
    <x v="69"/>
    <x v="69"/>
    <x v="43"/>
    <x v="0"/>
    <x v="69"/>
    <x v="69"/>
    <x v="0"/>
    <x v="69"/>
    <x v="0"/>
    <x v="0"/>
    <x v="0"/>
  </r>
  <r>
    <x v="9"/>
    <x v="10"/>
    <x v="6"/>
    <x v="70"/>
    <x v="70"/>
    <x v="44"/>
    <x v="0"/>
    <x v="70"/>
    <x v="70"/>
    <x v="1"/>
    <x v="70"/>
    <x v="3"/>
    <x v="1"/>
    <x v="0"/>
  </r>
  <r>
    <x v="1"/>
    <x v="10"/>
    <x v="12"/>
    <x v="71"/>
    <x v="71"/>
    <x v="45"/>
    <x v="0"/>
    <x v="71"/>
    <x v="71"/>
    <x v="1"/>
    <x v="71"/>
    <x v="4"/>
    <x v="0"/>
    <x v="0"/>
  </r>
  <r>
    <x v="1"/>
    <x v="10"/>
    <x v="8"/>
    <x v="72"/>
    <x v="72"/>
    <x v="17"/>
    <x v="0"/>
    <x v="72"/>
    <x v="72"/>
    <x v="0"/>
    <x v="72"/>
    <x v="1"/>
    <x v="0"/>
    <x v="0"/>
  </r>
  <r>
    <x v="1"/>
    <x v="10"/>
    <x v="3"/>
    <x v="73"/>
    <x v="73"/>
    <x v="13"/>
    <x v="0"/>
    <x v="73"/>
    <x v="73"/>
    <x v="4"/>
    <x v="73"/>
    <x v="2"/>
    <x v="1"/>
    <x v="0"/>
  </r>
  <r>
    <x v="1"/>
    <x v="10"/>
    <x v="0"/>
    <x v="74"/>
    <x v="74"/>
    <x v="46"/>
    <x v="0"/>
    <x v="74"/>
    <x v="74"/>
    <x v="1"/>
    <x v="74"/>
    <x v="3"/>
    <x v="1"/>
    <x v="0"/>
  </r>
  <r>
    <x v="1"/>
    <x v="11"/>
    <x v="13"/>
    <x v="75"/>
    <x v="75"/>
    <x v="47"/>
    <x v="0"/>
    <x v="75"/>
    <x v="75"/>
    <x v="4"/>
    <x v="75"/>
    <x v="2"/>
    <x v="1"/>
    <x v="0"/>
  </r>
  <r>
    <x v="13"/>
    <x v="11"/>
    <x v="7"/>
    <x v="76"/>
    <x v="76"/>
    <x v="48"/>
    <x v="1"/>
    <x v="76"/>
    <x v="76"/>
    <x v="0"/>
    <x v="76"/>
    <x v="5"/>
    <x v="3"/>
    <x v="0"/>
  </r>
  <r>
    <x v="13"/>
    <x v="11"/>
    <x v="6"/>
    <x v="77"/>
    <x v="77"/>
    <x v="20"/>
    <x v="0"/>
    <x v="77"/>
    <x v="77"/>
    <x v="4"/>
    <x v="77"/>
    <x v="4"/>
    <x v="1"/>
    <x v="0"/>
  </r>
  <r>
    <x v="7"/>
    <x v="11"/>
    <x v="13"/>
    <x v="78"/>
    <x v="78"/>
    <x v="12"/>
    <x v="0"/>
    <x v="78"/>
    <x v="78"/>
    <x v="4"/>
    <x v="78"/>
    <x v="4"/>
    <x v="1"/>
    <x v="0"/>
  </r>
  <r>
    <x v="3"/>
    <x v="11"/>
    <x v="3"/>
    <x v="79"/>
    <x v="79"/>
    <x v="4"/>
    <x v="0"/>
    <x v="79"/>
    <x v="79"/>
    <x v="0"/>
    <x v="79"/>
    <x v="3"/>
    <x v="0"/>
    <x v="0"/>
  </r>
  <r>
    <x v="3"/>
    <x v="11"/>
    <x v="12"/>
    <x v="80"/>
    <x v="80"/>
    <x v="19"/>
    <x v="0"/>
    <x v="80"/>
    <x v="80"/>
    <x v="0"/>
    <x v="80"/>
    <x v="0"/>
    <x v="0"/>
    <x v="0"/>
  </r>
  <r>
    <x v="1"/>
    <x v="11"/>
    <x v="13"/>
    <x v="81"/>
    <x v="81"/>
    <x v="6"/>
    <x v="0"/>
    <x v="81"/>
    <x v="81"/>
    <x v="0"/>
    <x v="81"/>
    <x v="0"/>
    <x v="0"/>
    <x v="0"/>
  </r>
  <r>
    <x v="3"/>
    <x v="11"/>
    <x v="11"/>
    <x v="82"/>
    <x v="82"/>
    <x v="49"/>
    <x v="0"/>
    <x v="82"/>
    <x v="82"/>
    <x v="0"/>
    <x v="82"/>
    <x v="0"/>
    <x v="0"/>
    <x v="0"/>
  </r>
  <r>
    <x v="5"/>
    <x v="11"/>
    <x v="12"/>
    <x v="83"/>
    <x v="83"/>
    <x v="37"/>
    <x v="0"/>
    <x v="83"/>
    <x v="83"/>
    <x v="4"/>
    <x v="83"/>
    <x v="0"/>
    <x v="1"/>
    <x v="0"/>
  </r>
  <r>
    <x v="1"/>
    <x v="11"/>
    <x v="12"/>
    <x v="84"/>
    <x v="84"/>
    <x v="41"/>
    <x v="0"/>
    <x v="84"/>
    <x v="84"/>
    <x v="0"/>
    <x v="84"/>
    <x v="0"/>
    <x v="0"/>
    <x v="0"/>
  </r>
  <r>
    <x v="1"/>
    <x v="11"/>
    <x v="13"/>
    <x v="85"/>
    <x v="85"/>
    <x v="50"/>
    <x v="0"/>
    <x v="85"/>
    <x v="85"/>
    <x v="0"/>
    <x v="85"/>
    <x v="0"/>
    <x v="0"/>
    <x v="0"/>
  </r>
  <r>
    <x v="7"/>
    <x v="11"/>
    <x v="5"/>
    <x v="86"/>
    <x v="86"/>
    <x v="40"/>
    <x v="0"/>
    <x v="86"/>
    <x v="86"/>
    <x v="0"/>
    <x v="86"/>
    <x v="0"/>
    <x v="0"/>
    <x v="0"/>
  </r>
  <r>
    <x v="11"/>
    <x v="11"/>
    <x v="13"/>
    <x v="87"/>
    <x v="87"/>
    <x v="39"/>
    <x v="0"/>
    <x v="87"/>
    <x v="87"/>
    <x v="4"/>
    <x v="87"/>
    <x v="0"/>
    <x v="1"/>
    <x v="0"/>
  </r>
  <r>
    <x v="5"/>
    <x v="11"/>
    <x v="5"/>
    <x v="88"/>
    <x v="88"/>
    <x v="12"/>
    <x v="0"/>
    <x v="88"/>
    <x v="88"/>
    <x v="4"/>
    <x v="88"/>
    <x v="1"/>
    <x v="1"/>
    <x v="0"/>
  </r>
  <r>
    <x v="3"/>
    <x v="11"/>
    <x v="13"/>
    <x v="89"/>
    <x v="89"/>
    <x v="51"/>
    <x v="0"/>
    <x v="89"/>
    <x v="89"/>
    <x v="2"/>
    <x v="89"/>
    <x v="0"/>
    <x v="0"/>
    <x v="0"/>
  </r>
  <r>
    <x v="1"/>
    <x v="11"/>
    <x v="12"/>
    <x v="90"/>
    <x v="90"/>
    <x v="20"/>
    <x v="0"/>
    <x v="90"/>
    <x v="90"/>
    <x v="4"/>
    <x v="90"/>
    <x v="3"/>
    <x v="1"/>
    <x v="0"/>
  </r>
  <r>
    <x v="1"/>
    <x v="11"/>
    <x v="10"/>
    <x v="91"/>
    <x v="91"/>
    <x v="9"/>
    <x v="0"/>
    <x v="91"/>
    <x v="91"/>
    <x v="4"/>
    <x v="91"/>
    <x v="1"/>
    <x v="1"/>
    <x v="0"/>
  </r>
  <r>
    <x v="1"/>
    <x v="12"/>
    <x v="14"/>
    <x v="92"/>
    <x v="92"/>
    <x v="5"/>
    <x v="0"/>
    <x v="92"/>
    <x v="92"/>
    <x v="6"/>
    <x v="92"/>
    <x v="2"/>
    <x v="0"/>
    <x v="0"/>
  </r>
  <r>
    <x v="13"/>
    <x v="12"/>
    <x v="14"/>
    <x v="93"/>
    <x v="93"/>
    <x v="7"/>
    <x v="0"/>
    <x v="93"/>
    <x v="93"/>
    <x v="0"/>
    <x v="93"/>
    <x v="0"/>
    <x v="0"/>
    <x v="0"/>
  </r>
  <r>
    <x v="4"/>
    <x v="12"/>
    <x v="3"/>
    <x v="94"/>
    <x v="94"/>
    <x v="52"/>
    <x v="0"/>
    <x v="94"/>
    <x v="94"/>
    <x v="0"/>
    <x v="94"/>
    <x v="0"/>
    <x v="0"/>
    <x v="0"/>
  </r>
  <r>
    <x v="3"/>
    <x v="12"/>
    <x v="14"/>
    <x v="95"/>
    <x v="95"/>
    <x v="53"/>
    <x v="0"/>
    <x v="95"/>
    <x v="95"/>
    <x v="0"/>
    <x v="95"/>
    <x v="0"/>
    <x v="0"/>
    <x v="0"/>
  </r>
  <r>
    <x v="3"/>
    <x v="12"/>
    <x v="1"/>
    <x v="96"/>
    <x v="96"/>
    <x v="54"/>
    <x v="0"/>
    <x v="96"/>
    <x v="96"/>
    <x v="0"/>
    <x v="96"/>
    <x v="0"/>
    <x v="0"/>
    <x v="0"/>
  </r>
  <r>
    <x v="0"/>
    <x v="12"/>
    <x v="9"/>
    <x v="97"/>
    <x v="97"/>
    <x v="55"/>
    <x v="0"/>
    <x v="97"/>
    <x v="97"/>
    <x v="0"/>
    <x v="97"/>
    <x v="1"/>
    <x v="0"/>
    <x v="1"/>
  </r>
  <r>
    <x v="5"/>
    <x v="12"/>
    <x v="4"/>
    <x v="98"/>
    <x v="98"/>
    <x v="33"/>
    <x v="0"/>
    <x v="98"/>
    <x v="98"/>
    <x v="0"/>
    <x v="98"/>
    <x v="4"/>
    <x v="0"/>
    <x v="0"/>
  </r>
  <r>
    <x v="1"/>
    <x v="13"/>
    <x v="0"/>
    <x v="99"/>
    <x v="99"/>
    <x v="13"/>
    <x v="0"/>
    <x v="99"/>
    <x v="99"/>
    <x v="0"/>
    <x v="99"/>
    <x v="3"/>
    <x v="0"/>
    <x v="0"/>
  </r>
  <r>
    <x v="0"/>
    <x v="13"/>
    <x v="15"/>
    <x v="100"/>
    <x v="100"/>
    <x v="19"/>
    <x v="0"/>
    <x v="100"/>
    <x v="100"/>
    <x v="0"/>
    <x v="100"/>
    <x v="3"/>
    <x v="0"/>
    <x v="0"/>
  </r>
  <r>
    <x v="1"/>
    <x v="13"/>
    <x v="14"/>
    <x v="101"/>
    <x v="101"/>
    <x v="21"/>
    <x v="0"/>
    <x v="101"/>
    <x v="101"/>
    <x v="1"/>
    <x v="101"/>
    <x v="2"/>
    <x v="1"/>
    <x v="0"/>
  </r>
  <r>
    <x v="3"/>
    <x v="13"/>
    <x v="1"/>
    <x v="102"/>
    <x v="102"/>
    <x v="56"/>
    <x v="0"/>
    <x v="102"/>
    <x v="102"/>
    <x v="0"/>
    <x v="102"/>
    <x v="0"/>
    <x v="0"/>
    <x v="0"/>
  </r>
  <r>
    <x v="4"/>
    <x v="13"/>
    <x v="1"/>
    <x v="103"/>
    <x v="103"/>
    <x v="57"/>
    <x v="0"/>
    <x v="103"/>
    <x v="103"/>
    <x v="0"/>
    <x v="103"/>
    <x v="0"/>
    <x v="0"/>
    <x v="0"/>
  </r>
  <r>
    <x v="8"/>
    <x v="13"/>
    <x v="11"/>
    <x v="104"/>
    <x v="104"/>
    <x v="58"/>
    <x v="0"/>
    <x v="104"/>
    <x v="104"/>
    <x v="0"/>
    <x v="104"/>
    <x v="0"/>
    <x v="0"/>
    <x v="0"/>
  </r>
  <r>
    <x v="2"/>
    <x v="13"/>
    <x v="0"/>
    <x v="105"/>
    <x v="105"/>
    <x v="30"/>
    <x v="0"/>
    <x v="105"/>
    <x v="105"/>
    <x v="0"/>
    <x v="105"/>
    <x v="0"/>
    <x v="0"/>
    <x v="0"/>
  </r>
  <r>
    <x v="1"/>
    <x v="13"/>
    <x v="15"/>
    <x v="106"/>
    <x v="106"/>
    <x v="59"/>
    <x v="0"/>
    <x v="106"/>
    <x v="106"/>
    <x v="4"/>
    <x v="106"/>
    <x v="1"/>
    <x v="0"/>
    <x v="0"/>
  </r>
  <r>
    <x v="5"/>
    <x v="13"/>
    <x v="5"/>
    <x v="107"/>
    <x v="107"/>
    <x v="21"/>
    <x v="0"/>
    <x v="107"/>
    <x v="107"/>
    <x v="4"/>
    <x v="107"/>
    <x v="1"/>
    <x v="1"/>
    <x v="0"/>
  </r>
  <r>
    <x v="1"/>
    <x v="14"/>
    <x v="3"/>
    <x v="108"/>
    <x v="108"/>
    <x v="54"/>
    <x v="0"/>
    <x v="108"/>
    <x v="108"/>
    <x v="1"/>
    <x v="108"/>
    <x v="3"/>
    <x v="0"/>
    <x v="0"/>
  </r>
  <r>
    <x v="1"/>
    <x v="14"/>
    <x v="5"/>
    <x v="109"/>
    <x v="109"/>
    <x v="9"/>
    <x v="0"/>
    <x v="109"/>
    <x v="109"/>
    <x v="4"/>
    <x v="109"/>
    <x v="3"/>
    <x v="1"/>
    <x v="0"/>
  </r>
  <r>
    <x v="1"/>
    <x v="14"/>
    <x v="4"/>
    <x v="110"/>
    <x v="110"/>
    <x v="39"/>
    <x v="0"/>
    <x v="110"/>
    <x v="110"/>
    <x v="0"/>
    <x v="110"/>
    <x v="2"/>
    <x v="0"/>
    <x v="0"/>
  </r>
  <r>
    <x v="1"/>
    <x v="14"/>
    <x v="4"/>
    <x v="111"/>
    <x v="111"/>
    <x v="16"/>
    <x v="0"/>
    <x v="111"/>
    <x v="111"/>
    <x v="2"/>
    <x v="111"/>
    <x v="2"/>
    <x v="0"/>
    <x v="0"/>
  </r>
  <r>
    <x v="4"/>
    <x v="14"/>
    <x v="9"/>
    <x v="112"/>
    <x v="112"/>
    <x v="6"/>
    <x v="0"/>
    <x v="112"/>
    <x v="112"/>
    <x v="2"/>
    <x v="112"/>
    <x v="2"/>
    <x v="0"/>
    <x v="0"/>
  </r>
  <r>
    <x v="1"/>
    <x v="14"/>
    <x v="15"/>
    <x v="113"/>
    <x v="113"/>
    <x v="13"/>
    <x v="0"/>
    <x v="113"/>
    <x v="113"/>
    <x v="0"/>
    <x v="113"/>
    <x v="3"/>
    <x v="0"/>
    <x v="0"/>
  </r>
  <r>
    <x v="8"/>
    <x v="14"/>
    <x v="15"/>
    <x v="114"/>
    <x v="114"/>
    <x v="60"/>
    <x v="0"/>
    <x v="114"/>
    <x v="114"/>
    <x v="0"/>
    <x v="114"/>
    <x v="0"/>
    <x v="0"/>
    <x v="0"/>
  </r>
  <r>
    <x v="1"/>
    <x v="14"/>
    <x v="2"/>
    <x v="115"/>
    <x v="115"/>
    <x v="61"/>
    <x v="0"/>
    <x v="115"/>
    <x v="115"/>
    <x v="0"/>
    <x v="115"/>
    <x v="0"/>
    <x v="0"/>
    <x v="0"/>
  </r>
  <r>
    <x v="1"/>
    <x v="14"/>
    <x v="7"/>
    <x v="116"/>
    <x v="116"/>
    <x v="62"/>
    <x v="0"/>
    <x v="116"/>
    <x v="116"/>
    <x v="0"/>
    <x v="116"/>
    <x v="0"/>
    <x v="0"/>
    <x v="0"/>
  </r>
  <r>
    <x v="1"/>
    <x v="14"/>
    <x v="1"/>
    <x v="117"/>
    <x v="117"/>
    <x v="10"/>
    <x v="0"/>
    <x v="117"/>
    <x v="117"/>
    <x v="4"/>
    <x v="117"/>
    <x v="0"/>
    <x v="1"/>
    <x v="0"/>
  </r>
  <r>
    <x v="8"/>
    <x v="14"/>
    <x v="8"/>
    <x v="118"/>
    <x v="118"/>
    <x v="63"/>
    <x v="0"/>
    <x v="118"/>
    <x v="118"/>
    <x v="3"/>
    <x v="118"/>
    <x v="0"/>
    <x v="0"/>
    <x v="0"/>
  </r>
  <r>
    <x v="1"/>
    <x v="14"/>
    <x v="6"/>
    <x v="119"/>
    <x v="119"/>
    <x v="46"/>
    <x v="0"/>
    <x v="119"/>
    <x v="119"/>
    <x v="7"/>
    <x v="119"/>
    <x v="0"/>
    <x v="1"/>
    <x v="0"/>
  </r>
  <r>
    <x v="4"/>
    <x v="14"/>
    <x v="16"/>
    <x v="120"/>
    <x v="120"/>
    <x v="64"/>
    <x v="0"/>
    <x v="120"/>
    <x v="120"/>
    <x v="0"/>
    <x v="120"/>
    <x v="0"/>
    <x v="0"/>
    <x v="0"/>
  </r>
  <r>
    <x v="8"/>
    <x v="14"/>
    <x v="9"/>
    <x v="121"/>
    <x v="121"/>
    <x v="65"/>
    <x v="0"/>
    <x v="121"/>
    <x v="121"/>
    <x v="0"/>
    <x v="121"/>
    <x v="0"/>
    <x v="0"/>
    <x v="0"/>
  </r>
  <r>
    <x v="7"/>
    <x v="14"/>
    <x v="15"/>
    <x v="122"/>
    <x v="122"/>
    <x v="66"/>
    <x v="0"/>
    <x v="122"/>
    <x v="122"/>
    <x v="0"/>
    <x v="122"/>
    <x v="1"/>
    <x v="0"/>
    <x v="0"/>
  </r>
  <r>
    <x v="1"/>
    <x v="14"/>
    <x v="1"/>
    <x v="123"/>
    <x v="123"/>
    <x v="4"/>
    <x v="0"/>
    <x v="123"/>
    <x v="123"/>
    <x v="2"/>
    <x v="123"/>
    <x v="1"/>
    <x v="0"/>
    <x v="0"/>
  </r>
  <r>
    <x v="1"/>
    <x v="14"/>
    <x v="1"/>
    <x v="124"/>
    <x v="124"/>
    <x v="13"/>
    <x v="0"/>
    <x v="124"/>
    <x v="124"/>
    <x v="0"/>
    <x v="124"/>
    <x v="4"/>
    <x v="0"/>
    <x v="0"/>
  </r>
  <r>
    <x v="7"/>
    <x v="14"/>
    <x v="2"/>
    <x v="125"/>
    <x v="125"/>
    <x v="4"/>
    <x v="0"/>
    <x v="125"/>
    <x v="125"/>
    <x v="0"/>
    <x v="125"/>
    <x v="2"/>
    <x v="0"/>
    <x v="0"/>
  </r>
  <r>
    <x v="1"/>
    <x v="15"/>
    <x v="17"/>
    <x v="126"/>
    <x v="126"/>
    <x v="20"/>
    <x v="0"/>
    <x v="126"/>
    <x v="126"/>
    <x v="4"/>
    <x v="126"/>
    <x v="4"/>
    <x v="1"/>
    <x v="0"/>
  </r>
  <r>
    <x v="5"/>
    <x v="15"/>
    <x v="15"/>
    <x v="127"/>
    <x v="127"/>
    <x v="19"/>
    <x v="0"/>
    <x v="127"/>
    <x v="127"/>
    <x v="1"/>
    <x v="127"/>
    <x v="4"/>
    <x v="2"/>
    <x v="0"/>
  </r>
  <r>
    <x v="1"/>
    <x v="15"/>
    <x v="17"/>
    <x v="128"/>
    <x v="128"/>
    <x v="4"/>
    <x v="0"/>
    <x v="128"/>
    <x v="128"/>
    <x v="4"/>
    <x v="128"/>
    <x v="3"/>
    <x v="0"/>
    <x v="0"/>
  </r>
  <r>
    <x v="8"/>
    <x v="15"/>
    <x v="14"/>
    <x v="129"/>
    <x v="129"/>
    <x v="53"/>
    <x v="0"/>
    <x v="129"/>
    <x v="129"/>
    <x v="4"/>
    <x v="129"/>
    <x v="0"/>
    <x v="0"/>
    <x v="0"/>
  </r>
  <r>
    <x v="1"/>
    <x v="12"/>
    <x v="12"/>
    <x v="130"/>
    <x v="130"/>
    <x v="67"/>
    <x v="0"/>
    <x v="130"/>
    <x v="130"/>
    <x v="0"/>
    <x v="130"/>
    <x v="3"/>
    <x v="0"/>
    <x v="0"/>
  </r>
  <r>
    <x v="0"/>
    <x v="16"/>
    <x v="9"/>
    <x v="131"/>
    <x v="131"/>
    <x v="12"/>
    <x v="0"/>
    <x v="131"/>
    <x v="131"/>
    <x v="1"/>
    <x v="131"/>
    <x v="4"/>
    <x v="0"/>
    <x v="1"/>
  </r>
  <r>
    <x v="1"/>
    <x v="16"/>
    <x v="9"/>
    <x v="132"/>
    <x v="132"/>
    <x v="43"/>
    <x v="0"/>
    <x v="132"/>
    <x v="132"/>
    <x v="1"/>
    <x v="132"/>
    <x v="4"/>
    <x v="0"/>
    <x v="0"/>
  </r>
  <r>
    <x v="1"/>
    <x v="16"/>
    <x v="8"/>
    <x v="133"/>
    <x v="133"/>
    <x v="16"/>
    <x v="0"/>
    <x v="133"/>
    <x v="133"/>
    <x v="2"/>
    <x v="133"/>
    <x v="2"/>
    <x v="0"/>
    <x v="0"/>
  </r>
  <r>
    <x v="7"/>
    <x v="16"/>
    <x v="7"/>
    <x v="134"/>
    <x v="134"/>
    <x v="24"/>
    <x v="0"/>
    <x v="134"/>
    <x v="134"/>
    <x v="0"/>
    <x v="134"/>
    <x v="4"/>
    <x v="0"/>
    <x v="0"/>
  </r>
  <r>
    <x v="1"/>
    <x v="16"/>
    <x v="10"/>
    <x v="135"/>
    <x v="135"/>
    <x v="53"/>
    <x v="0"/>
    <x v="135"/>
    <x v="115"/>
    <x v="0"/>
    <x v="115"/>
    <x v="1"/>
    <x v="0"/>
    <x v="0"/>
  </r>
  <r>
    <x v="1"/>
    <x v="16"/>
    <x v="3"/>
    <x v="136"/>
    <x v="136"/>
    <x v="68"/>
    <x v="0"/>
    <x v="136"/>
    <x v="135"/>
    <x v="0"/>
    <x v="135"/>
    <x v="1"/>
    <x v="0"/>
    <x v="0"/>
  </r>
  <r>
    <x v="1"/>
    <x v="16"/>
    <x v="2"/>
    <x v="137"/>
    <x v="137"/>
    <x v="45"/>
    <x v="0"/>
    <x v="137"/>
    <x v="136"/>
    <x v="0"/>
    <x v="136"/>
    <x v="1"/>
    <x v="0"/>
    <x v="0"/>
  </r>
  <r>
    <x v="6"/>
    <x v="16"/>
    <x v="5"/>
    <x v="138"/>
    <x v="138"/>
    <x v="4"/>
    <x v="0"/>
    <x v="101"/>
    <x v="137"/>
    <x v="0"/>
    <x v="137"/>
    <x v="1"/>
    <x v="0"/>
    <x v="0"/>
  </r>
  <r>
    <x v="4"/>
    <x v="16"/>
    <x v="5"/>
    <x v="139"/>
    <x v="139"/>
    <x v="69"/>
    <x v="0"/>
    <x v="138"/>
    <x v="138"/>
    <x v="0"/>
    <x v="138"/>
    <x v="1"/>
    <x v="0"/>
    <x v="0"/>
  </r>
  <r>
    <x v="8"/>
    <x v="16"/>
    <x v="6"/>
    <x v="140"/>
    <x v="140"/>
    <x v="3"/>
    <x v="0"/>
    <x v="139"/>
    <x v="139"/>
    <x v="0"/>
    <x v="139"/>
    <x v="3"/>
    <x v="0"/>
    <x v="0"/>
  </r>
  <r>
    <x v="1"/>
    <x v="16"/>
    <x v="3"/>
    <x v="141"/>
    <x v="141"/>
    <x v="10"/>
    <x v="0"/>
    <x v="140"/>
    <x v="140"/>
    <x v="4"/>
    <x v="140"/>
    <x v="3"/>
    <x v="1"/>
    <x v="0"/>
  </r>
  <r>
    <x v="1"/>
    <x v="16"/>
    <x v="8"/>
    <x v="142"/>
    <x v="142"/>
    <x v="70"/>
    <x v="0"/>
    <x v="141"/>
    <x v="141"/>
    <x v="2"/>
    <x v="141"/>
    <x v="3"/>
    <x v="0"/>
    <x v="0"/>
  </r>
  <r>
    <x v="6"/>
    <x v="16"/>
    <x v="18"/>
    <x v="143"/>
    <x v="143"/>
    <x v="71"/>
    <x v="0"/>
    <x v="142"/>
    <x v="142"/>
    <x v="2"/>
    <x v="142"/>
    <x v="3"/>
    <x v="0"/>
    <x v="0"/>
  </r>
  <r>
    <x v="4"/>
    <x v="16"/>
    <x v="3"/>
    <x v="144"/>
    <x v="144"/>
    <x v="15"/>
    <x v="0"/>
    <x v="143"/>
    <x v="143"/>
    <x v="2"/>
    <x v="143"/>
    <x v="3"/>
    <x v="0"/>
    <x v="0"/>
  </r>
  <r>
    <x v="1"/>
    <x v="16"/>
    <x v="7"/>
    <x v="145"/>
    <x v="145"/>
    <x v="72"/>
    <x v="0"/>
    <x v="144"/>
    <x v="144"/>
    <x v="4"/>
    <x v="144"/>
    <x v="2"/>
    <x v="1"/>
    <x v="0"/>
  </r>
  <r>
    <x v="9"/>
    <x v="16"/>
    <x v="5"/>
    <x v="146"/>
    <x v="146"/>
    <x v="73"/>
    <x v="0"/>
    <x v="145"/>
    <x v="145"/>
    <x v="8"/>
    <x v="145"/>
    <x v="2"/>
    <x v="0"/>
    <x v="0"/>
  </r>
  <r>
    <x v="1"/>
    <x v="16"/>
    <x v="14"/>
    <x v="147"/>
    <x v="147"/>
    <x v="55"/>
    <x v="0"/>
    <x v="146"/>
    <x v="146"/>
    <x v="0"/>
    <x v="146"/>
    <x v="0"/>
    <x v="0"/>
    <x v="0"/>
  </r>
  <r>
    <x v="1"/>
    <x v="16"/>
    <x v="19"/>
    <x v="148"/>
    <x v="148"/>
    <x v="0"/>
    <x v="0"/>
    <x v="147"/>
    <x v="147"/>
    <x v="2"/>
    <x v="147"/>
    <x v="0"/>
    <x v="0"/>
    <x v="0"/>
  </r>
  <r>
    <x v="1"/>
    <x v="16"/>
    <x v="4"/>
    <x v="149"/>
    <x v="149"/>
    <x v="10"/>
    <x v="0"/>
    <x v="148"/>
    <x v="148"/>
    <x v="4"/>
    <x v="148"/>
    <x v="0"/>
    <x v="1"/>
    <x v="0"/>
  </r>
  <r>
    <x v="0"/>
    <x v="17"/>
    <x v="0"/>
    <x v="150"/>
    <x v="150"/>
    <x v="10"/>
    <x v="0"/>
    <x v="149"/>
    <x v="149"/>
    <x v="4"/>
    <x v="149"/>
    <x v="3"/>
    <x v="1"/>
    <x v="0"/>
  </r>
  <r>
    <x v="7"/>
    <x v="17"/>
    <x v="20"/>
    <x v="151"/>
    <x v="151"/>
    <x v="39"/>
    <x v="0"/>
    <x v="150"/>
    <x v="150"/>
    <x v="2"/>
    <x v="150"/>
    <x v="3"/>
    <x v="0"/>
    <x v="0"/>
  </r>
  <r>
    <x v="0"/>
    <x v="17"/>
    <x v="20"/>
    <x v="152"/>
    <x v="152"/>
    <x v="4"/>
    <x v="0"/>
    <x v="151"/>
    <x v="151"/>
    <x v="0"/>
    <x v="151"/>
    <x v="3"/>
    <x v="0"/>
    <x v="0"/>
  </r>
  <r>
    <x v="8"/>
    <x v="17"/>
    <x v="12"/>
    <x v="153"/>
    <x v="153"/>
    <x v="74"/>
    <x v="0"/>
    <x v="152"/>
    <x v="152"/>
    <x v="0"/>
    <x v="152"/>
    <x v="3"/>
    <x v="0"/>
    <x v="0"/>
  </r>
  <r>
    <x v="1"/>
    <x v="17"/>
    <x v="20"/>
    <x v="154"/>
    <x v="154"/>
    <x v="75"/>
    <x v="0"/>
    <x v="153"/>
    <x v="153"/>
    <x v="4"/>
    <x v="153"/>
    <x v="1"/>
    <x v="0"/>
    <x v="0"/>
  </r>
  <r>
    <x v="1"/>
    <x v="17"/>
    <x v="4"/>
    <x v="155"/>
    <x v="155"/>
    <x v="62"/>
    <x v="0"/>
    <x v="154"/>
    <x v="154"/>
    <x v="0"/>
    <x v="154"/>
    <x v="1"/>
    <x v="0"/>
    <x v="0"/>
  </r>
  <r>
    <x v="1"/>
    <x v="17"/>
    <x v="3"/>
    <x v="156"/>
    <x v="156"/>
    <x v="12"/>
    <x v="0"/>
    <x v="155"/>
    <x v="155"/>
    <x v="2"/>
    <x v="155"/>
    <x v="1"/>
    <x v="0"/>
    <x v="0"/>
  </r>
  <r>
    <x v="4"/>
    <x v="17"/>
    <x v="6"/>
    <x v="157"/>
    <x v="157"/>
    <x v="76"/>
    <x v="0"/>
    <x v="156"/>
    <x v="156"/>
    <x v="2"/>
    <x v="156"/>
    <x v="1"/>
    <x v="0"/>
    <x v="0"/>
  </r>
  <r>
    <x v="4"/>
    <x v="17"/>
    <x v="4"/>
    <x v="158"/>
    <x v="158"/>
    <x v="77"/>
    <x v="0"/>
    <x v="157"/>
    <x v="157"/>
    <x v="0"/>
    <x v="157"/>
    <x v="1"/>
    <x v="0"/>
    <x v="0"/>
  </r>
  <r>
    <x v="1"/>
    <x v="17"/>
    <x v="19"/>
    <x v="159"/>
    <x v="159"/>
    <x v="0"/>
    <x v="0"/>
    <x v="158"/>
    <x v="158"/>
    <x v="2"/>
    <x v="158"/>
    <x v="0"/>
    <x v="0"/>
    <x v="0"/>
  </r>
  <r>
    <x v="1"/>
    <x v="17"/>
    <x v="19"/>
    <x v="160"/>
    <x v="160"/>
    <x v="9"/>
    <x v="0"/>
    <x v="159"/>
    <x v="159"/>
    <x v="4"/>
    <x v="159"/>
    <x v="0"/>
    <x v="1"/>
    <x v="0"/>
  </r>
  <r>
    <x v="1"/>
    <x v="17"/>
    <x v="20"/>
    <x v="161"/>
    <x v="161"/>
    <x v="20"/>
    <x v="0"/>
    <x v="160"/>
    <x v="160"/>
    <x v="4"/>
    <x v="160"/>
    <x v="0"/>
    <x v="1"/>
    <x v="0"/>
  </r>
  <r>
    <x v="0"/>
    <x v="17"/>
    <x v="0"/>
    <x v="162"/>
    <x v="162"/>
    <x v="78"/>
    <x v="0"/>
    <x v="161"/>
    <x v="161"/>
    <x v="0"/>
    <x v="161"/>
    <x v="0"/>
    <x v="0"/>
    <x v="0"/>
  </r>
  <r>
    <x v="0"/>
    <x v="17"/>
    <x v="21"/>
    <x v="163"/>
    <x v="163"/>
    <x v="79"/>
    <x v="0"/>
    <x v="162"/>
    <x v="162"/>
    <x v="4"/>
    <x v="162"/>
    <x v="0"/>
    <x v="1"/>
    <x v="0"/>
  </r>
  <r>
    <x v="1"/>
    <x v="17"/>
    <x v="1"/>
    <x v="164"/>
    <x v="164"/>
    <x v="80"/>
    <x v="0"/>
    <x v="163"/>
    <x v="163"/>
    <x v="2"/>
    <x v="163"/>
    <x v="0"/>
    <x v="0"/>
    <x v="0"/>
  </r>
  <r>
    <x v="0"/>
    <x v="17"/>
    <x v="20"/>
    <x v="165"/>
    <x v="165"/>
    <x v="81"/>
    <x v="0"/>
    <x v="164"/>
    <x v="164"/>
    <x v="1"/>
    <x v="164"/>
    <x v="0"/>
    <x v="1"/>
    <x v="0"/>
  </r>
  <r>
    <x v="1"/>
    <x v="17"/>
    <x v="20"/>
    <x v="166"/>
    <x v="166"/>
    <x v="82"/>
    <x v="0"/>
    <x v="165"/>
    <x v="165"/>
    <x v="1"/>
    <x v="165"/>
    <x v="0"/>
    <x v="0"/>
    <x v="0"/>
  </r>
  <r>
    <x v="1"/>
    <x v="17"/>
    <x v="13"/>
    <x v="167"/>
    <x v="167"/>
    <x v="11"/>
    <x v="0"/>
    <x v="166"/>
    <x v="13"/>
    <x v="4"/>
    <x v="13"/>
    <x v="0"/>
    <x v="1"/>
    <x v="0"/>
  </r>
  <r>
    <x v="6"/>
    <x v="17"/>
    <x v="0"/>
    <x v="168"/>
    <x v="168"/>
    <x v="12"/>
    <x v="0"/>
    <x v="167"/>
    <x v="166"/>
    <x v="4"/>
    <x v="166"/>
    <x v="0"/>
    <x v="1"/>
    <x v="0"/>
  </r>
  <r>
    <x v="14"/>
    <x v="17"/>
    <x v="20"/>
    <x v="169"/>
    <x v="169"/>
    <x v="83"/>
    <x v="0"/>
    <x v="168"/>
    <x v="167"/>
    <x v="0"/>
    <x v="167"/>
    <x v="0"/>
    <x v="0"/>
    <x v="0"/>
  </r>
  <r>
    <x v="3"/>
    <x v="17"/>
    <x v="10"/>
    <x v="170"/>
    <x v="170"/>
    <x v="84"/>
    <x v="0"/>
    <x v="169"/>
    <x v="168"/>
    <x v="4"/>
    <x v="168"/>
    <x v="4"/>
    <x v="0"/>
    <x v="0"/>
  </r>
  <r>
    <x v="5"/>
    <x v="17"/>
    <x v="20"/>
    <x v="171"/>
    <x v="171"/>
    <x v="24"/>
    <x v="0"/>
    <x v="170"/>
    <x v="169"/>
    <x v="4"/>
    <x v="169"/>
    <x v="4"/>
    <x v="0"/>
    <x v="0"/>
  </r>
  <r>
    <x v="0"/>
    <x v="17"/>
    <x v="3"/>
    <x v="172"/>
    <x v="172"/>
    <x v="12"/>
    <x v="0"/>
    <x v="171"/>
    <x v="170"/>
    <x v="4"/>
    <x v="170"/>
    <x v="4"/>
    <x v="1"/>
    <x v="0"/>
  </r>
  <r>
    <x v="1"/>
    <x v="17"/>
    <x v="20"/>
    <x v="173"/>
    <x v="173"/>
    <x v="14"/>
    <x v="0"/>
    <x v="172"/>
    <x v="171"/>
    <x v="1"/>
    <x v="171"/>
    <x v="4"/>
    <x v="0"/>
    <x v="0"/>
  </r>
  <r>
    <x v="8"/>
    <x v="17"/>
    <x v="20"/>
    <x v="174"/>
    <x v="174"/>
    <x v="2"/>
    <x v="0"/>
    <x v="173"/>
    <x v="172"/>
    <x v="0"/>
    <x v="172"/>
    <x v="4"/>
    <x v="0"/>
    <x v="0"/>
  </r>
  <r>
    <x v="1"/>
    <x v="18"/>
    <x v="21"/>
    <x v="175"/>
    <x v="175"/>
    <x v="81"/>
    <x v="0"/>
    <x v="174"/>
    <x v="173"/>
    <x v="4"/>
    <x v="173"/>
    <x v="5"/>
    <x v="1"/>
    <x v="0"/>
  </r>
  <r>
    <x v="0"/>
    <x v="18"/>
    <x v="1"/>
    <x v="176"/>
    <x v="176"/>
    <x v="85"/>
    <x v="0"/>
    <x v="175"/>
    <x v="174"/>
    <x v="0"/>
    <x v="174"/>
    <x v="3"/>
    <x v="2"/>
    <x v="0"/>
  </r>
  <r>
    <x v="0"/>
    <x v="18"/>
    <x v="3"/>
    <x v="177"/>
    <x v="177"/>
    <x v="86"/>
    <x v="0"/>
    <x v="176"/>
    <x v="175"/>
    <x v="2"/>
    <x v="175"/>
    <x v="4"/>
    <x v="0"/>
    <x v="0"/>
  </r>
  <r>
    <x v="6"/>
    <x v="18"/>
    <x v="2"/>
    <x v="178"/>
    <x v="178"/>
    <x v="12"/>
    <x v="0"/>
    <x v="177"/>
    <x v="176"/>
    <x v="2"/>
    <x v="176"/>
    <x v="4"/>
    <x v="0"/>
    <x v="0"/>
  </r>
  <r>
    <x v="8"/>
    <x v="18"/>
    <x v="8"/>
    <x v="179"/>
    <x v="179"/>
    <x v="13"/>
    <x v="0"/>
    <x v="178"/>
    <x v="177"/>
    <x v="0"/>
    <x v="177"/>
    <x v="0"/>
    <x v="0"/>
    <x v="0"/>
  </r>
  <r>
    <x v="3"/>
    <x v="18"/>
    <x v="6"/>
    <x v="180"/>
    <x v="180"/>
    <x v="63"/>
    <x v="0"/>
    <x v="179"/>
    <x v="178"/>
    <x v="3"/>
    <x v="178"/>
    <x v="0"/>
    <x v="0"/>
    <x v="0"/>
  </r>
  <r>
    <x v="1"/>
    <x v="18"/>
    <x v="21"/>
    <x v="181"/>
    <x v="181"/>
    <x v="78"/>
    <x v="0"/>
    <x v="180"/>
    <x v="179"/>
    <x v="0"/>
    <x v="179"/>
    <x v="0"/>
    <x v="0"/>
    <x v="0"/>
  </r>
  <r>
    <x v="1"/>
    <x v="18"/>
    <x v="20"/>
    <x v="182"/>
    <x v="182"/>
    <x v="41"/>
    <x v="0"/>
    <x v="181"/>
    <x v="180"/>
    <x v="0"/>
    <x v="180"/>
    <x v="0"/>
    <x v="0"/>
    <x v="0"/>
  </r>
  <r>
    <x v="1"/>
    <x v="18"/>
    <x v="20"/>
    <x v="183"/>
    <x v="183"/>
    <x v="19"/>
    <x v="0"/>
    <x v="182"/>
    <x v="181"/>
    <x v="0"/>
    <x v="181"/>
    <x v="4"/>
    <x v="0"/>
    <x v="0"/>
  </r>
  <r>
    <x v="1"/>
    <x v="18"/>
    <x v="20"/>
    <x v="184"/>
    <x v="184"/>
    <x v="87"/>
    <x v="0"/>
    <x v="183"/>
    <x v="182"/>
    <x v="4"/>
    <x v="182"/>
    <x v="0"/>
    <x v="1"/>
    <x v="0"/>
  </r>
  <r>
    <x v="11"/>
    <x v="19"/>
    <x v="12"/>
    <x v="185"/>
    <x v="185"/>
    <x v="88"/>
    <x v="0"/>
    <x v="184"/>
    <x v="183"/>
    <x v="4"/>
    <x v="183"/>
    <x v="2"/>
    <x v="1"/>
    <x v="0"/>
  </r>
  <r>
    <x v="1"/>
    <x v="19"/>
    <x v="1"/>
    <x v="186"/>
    <x v="186"/>
    <x v="9"/>
    <x v="0"/>
    <x v="185"/>
    <x v="184"/>
    <x v="1"/>
    <x v="184"/>
    <x v="4"/>
    <x v="1"/>
    <x v="0"/>
  </r>
  <r>
    <x v="1"/>
    <x v="19"/>
    <x v="0"/>
    <x v="187"/>
    <x v="187"/>
    <x v="28"/>
    <x v="0"/>
    <x v="186"/>
    <x v="185"/>
    <x v="4"/>
    <x v="185"/>
    <x v="4"/>
    <x v="1"/>
    <x v="0"/>
  </r>
  <r>
    <x v="0"/>
    <x v="19"/>
    <x v="4"/>
    <x v="188"/>
    <x v="188"/>
    <x v="1"/>
    <x v="0"/>
    <x v="187"/>
    <x v="186"/>
    <x v="0"/>
    <x v="186"/>
    <x v="4"/>
    <x v="2"/>
    <x v="0"/>
  </r>
  <r>
    <x v="1"/>
    <x v="19"/>
    <x v="22"/>
    <x v="189"/>
    <x v="189"/>
    <x v="0"/>
    <x v="0"/>
    <x v="188"/>
    <x v="187"/>
    <x v="2"/>
    <x v="187"/>
    <x v="3"/>
    <x v="0"/>
    <x v="0"/>
  </r>
  <r>
    <x v="1"/>
    <x v="19"/>
    <x v="22"/>
    <x v="190"/>
    <x v="190"/>
    <x v="9"/>
    <x v="0"/>
    <x v="189"/>
    <x v="188"/>
    <x v="4"/>
    <x v="188"/>
    <x v="3"/>
    <x v="1"/>
    <x v="0"/>
  </r>
  <r>
    <x v="0"/>
    <x v="19"/>
    <x v="3"/>
    <x v="191"/>
    <x v="191"/>
    <x v="6"/>
    <x v="0"/>
    <x v="190"/>
    <x v="189"/>
    <x v="0"/>
    <x v="189"/>
    <x v="3"/>
    <x v="0"/>
    <x v="0"/>
  </r>
  <r>
    <x v="1"/>
    <x v="19"/>
    <x v="21"/>
    <x v="192"/>
    <x v="192"/>
    <x v="23"/>
    <x v="0"/>
    <x v="191"/>
    <x v="190"/>
    <x v="0"/>
    <x v="190"/>
    <x v="3"/>
    <x v="0"/>
    <x v="0"/>
  </r>
  <r>
    <x v="1"/>
    <x v="19"/>
    <x v="7"/>
    <x v="193"/>
    <x v="193"/>
    <x v="12"/>
    <x v="0"/>
    <x v="192"/>
    <x v="191"/>
    <x v="4"/>
    <x v="191"/>
    <x v="1"/>
    <x v="1"/>
    <x v="0"/>
  </r>
  <r>
    <x v="1"/>
    <x v="19"/>
    <x v="3"/>
    <x v="194"/>
    <x v="194"/>
    <x v="0"/>
    <x v="0"/>
    <x v="193"/>
    <x v="192"/>
    <x v="2"/>
    <x v="192"/>
    <x v="1"/>
    <x v="2"/>
    <x v="0"/>
  </r>
  <r>
    <x v="0"/>
    <x v="19"/>
    <x v="4"/>
    <x v="195"/>
    <x v="195"/>
    <x v="77"/>
    <x v="0"/>
    <x v="194"/>
    <x v="193"/>
    <x v="0"/>
    <x v="193"/>
    <x v="1"/>
    <x v="0"/>
    <x v="0"/>
  </r>
  <r>
    <x v="1"/>
    <x v="19"/>
    <x v="10"/>
    <x v="196"/>
    <x v="196"/>
    <x v="89"/>
    <x v="0"/>
    <x v="195"/>
    <x v="194"/>
    <x v="0"/>
    <x v="194"/>
    <x v="1"/>
    <x v="0"/>
    <x v="0"/>
  </r>
  <r>
    <x v="8"/>
    <x v="19"/>
    <x v="21"/>
    <x v="197"/>
    <x v="197"/>
    <x v="61"/>
    <x v="0"/>
    <x v="196"/>
    <x v="195"/>
    <x v="0"/>
    <x v="195"/>
    <x v="1"/>
    <x v="0"/>
    <x v="0"/>
  </r>
  <r>
    <x v="1"/>
    <x v="19"/>
    <x v="9"/>
    <x v="198"/>
    <x v="198"/>
    <x v="28"/>
    <x v="0"/>
    <x v="197"/>
    <x v="196"/>
    <x v="4"/>
    <x v="196"/>
    <x v="4"/>
    <x v="1"/>
    <x v="0"/>
  </r>
  <r>
    <x v="0"/>
    <x v="19"/>
    <x v="22"/>
    <x v="199"/>
    <x v="199"/>
    <x v="23"/>
    <x v="0"/>
    <x v="198"/>
    <x v="197"/>
    <x v="0"/>
    <x v="197"/>
    <x v="0"/>
    <x v="0"/>
    <x v="0"/>
  </r>
  <r>
    <x v="1"/>
    <x v="19"/>
    <x v="22"/>
    <x v="200"/>
    <x v="200"/>
    <x v="54"/>
    <x v="0"/>
    <x v="199"/>
    <x v="198"/>
    <x v="0"/>
    <x v="198"/>
    <x v="0"/>
    <x v="0"/>
    <x v="0"/>
  </r>
  <r>
    <x v="0"/>
    <x v="19"/>
    <x v="5"/>
    <x v="201"/>
    <x v="201"/>
    <x v="7"/>
    <x v="0"/>
    <x v="200"/>
    <x v="199"/>
    <x v="4"/>
    <x v="199"/>
    <x v="0"/>
    <x v="0"/>
    <x v="0"/>
  </r>
  <r>
    <x v="0"/>
    <x v="19"/>
    <x v="5"/>
    <x v="202"/>
    <x v="202"/>
    <x v="90"/>
    <x v="0"/>
    <x v="201"/>
    <x v="200"/>
    <x v="0"/>
    <x v="200"/>
    <x v="0"/>
    <x v="0"/>
    <x v="0"/>
  </r>
  <r>
    <x v="1"/>
    <x v="19"/>
    <x v="5"/>
    <x v="203"/>
    <x v="203"/>
    <x v="11"/>
    <x v="0"/>
    <x v="202"/>
    <x v="141"/>
    <x v="2"/>
    <x v="141"/>
    <x v="0"/>
    <x v="0"/>
    <x v="0"/>
  </r>
  <r>
    <x v="1"/>
    <x v="19"/>
    <x v="5"/>
    <x v="204"/>
    <x v="204"/>
    <x v="45"/>
    <x v="0"/>
    <x v="203"/>
    <x v="111"/>
    <x v="4"/>
    <x v="201"/>
    <x v="0"/>
    <x v="0"/>
    <x v="0"/>
  </r>
  <r>
    <x v="1"/>
    <x v="19"/>
    <x v="19"/>
    <x v="205"/>
    <x v="205"/>
    <x v="19"/>
    <x v="0"/>
    <x v="204"/>
    <x v="201"/>
    <x v="0"/>
    <x v="202"/>
    <x v="0"/>
    <x v="0"/>
    <x v="0"/>
  </r>
  <r>
    <x v="0"/>
    <x v="19"/>
    <x v="11"/>
    <x v="206"/>
    <x v="206"/>
    <x v="10"/>
    <x v="0"/>
    <x v="205"/>
    <x v="202"/>
    <x v="7"/>
    <x v="203"/>
    <x v="0"/>
    <x v="1"/>
    <x v="0"/>
  </r>
  <r>
    <x v="1"/>
    <x v="19"/>
    <x v="9"/>
    <x v="207"/>
    <x v="207"/>
    <x v="37"/>
    <x v="0"/>
    <x v="206"/>
    <x v="203"/>
    <x v="4"/>
    <x v="204"/>
    <x v="0"/>
    <x v="1"/>
    <x v="0"/>
  </r>
  <r>
    <x v="1"/>
    <x v="19"/>
    <x v="21"/>
    <x v="208"/>
    <x v="208"/>
    <x v="47"/>
    <x v="0"/>
    <x v="207"/>
    <x v="204"/>
    <x v="4"/>
    <x v="205"/>
    <x v="0"/>
    <x v="1"/>
    <x v="0"/>
  </r>
  <r>
    <x v="7"/>
    <x v="19"/>
    <x v="15"/>
    <x v="209"/>
    <x v="209"/>
    <x v="43"/>
    <x v="0"/>
    <x v="208"/>
    <x v="205"/>
    <x v="0"/>
    <x v="206"/>
    <x v="0"/>
    <x v="0"/>
    <x v="0"/>
  </r>
  <r>
    <x v="0"/>
    <x v="19"/>
    <x v="8"/>
    <x v="210"/>
    <x v="210"/>
    <x v="91"/>
    <x v="0"/>
    <x v="209"/>
    <x v="206"/>
    <x v="0"/>
    <x v="207"/>
    <x v="0"/>
    <x v="0"/>
    <x v="1"/>
  </r>
  <r>
    <x v="1"/>
    <x v="19"/>
    <x v="9"/>
    <x v="211"/>
    <x v="211"/>
    <x v="6"/>
    <x v="0"/>
    <x v="210"/>
    <x v="207"/>
    <x v="9"/>
    <x v="208"/>
    <x v="0"/>
    <x v="0"/>
    <x v="0"/>
  </r>
  <r>
    <x v="8"/>
    <x v="19"/>
    <x v="16"/>
    <x v="212"/>
    <x v="212"/>
    <x v="62"/>
    <x v="0"/>
    <x v="211"/>
    <x v="208"/>
    <x v="2"/>
    <x v="209"/>
    <x v="0"/>
    <x v="2"/>
    <x v="0"/>
  </r>
  <r>
    <x v="1"/>
    <x v="20"/>
    <x v="7"/>
    <x v="213"/>
    <x v="213"/>
    <x v="19"/>
    <x v="0"/>
    <x v="212"/>
    <x v="209"/>
    <x v="0"/>
    <x v="210"/>
    <x v="3"/>
    <x v="0"/>
    <x v="0"/>
  </r>
  <r>
    <x v="0"/>
    <x v="20"/>
    <x v="23"/>
    <x v="214"/>
    <x v="214"/>
    <x v="92"/>
    <x v="0"/>
    <x v="213"/>
    <x v="210"/>
    <x v="1"/>
    <x v="211"/>
    <x v="3"/>
    <x v="0"/>
    <x v="0"/>
  </r>
  <r>
    <x v="13"/>
    <x v="20"/>
    <x v="11"/>
    <x v="215"/>
    <x v="215"/>
    <x v="93"/>
    <x v="0"/>
    <x v="214"/>
    <x v="211"/>
    <x v="0"/>
    <x v="212"/>
    <x v="2"/>
    <x v="0"/>
    <x v="0"/>
  </r>
  <r>
    <x v="0"/>
    <x v="20"/>
    <x v="23"/>
    <x v="216"/>
    <x v="216"/>
    <x v="94"/>
    <x v="0"/>
    <x v="215"/>
    <x v="212"/>
    <x v="0"/>
    <x v="213"/>
    <x v="0"/>
    <x v="0"/>
    <x v="0"/>
  </r>
  <r>
    <x v="0"/>
    <x v="20"/>
    <x v="23"/>
    <x v="217"/>
    <x v="217"/>
    <x v="53"/>
    <x v="0"/>
    <x v="216"/>
    <x v="213"/>
    <x v="0"/>
    <x v="214"/>
    <x v="0"/>
    <x v="0"/>
    <x v="0"/>
  </r>
  <r>
    <x v="7"/>
    <x v="20"/>
    <x v="2"/>
    <x v="218"/>
    <x v="218"/>
    <x v="4"/>
    <x v="0"/>
    <x v="217"/>
    <x v="125"/>
    <x v="0"/>
    <x v="125"/>
    <x v="0"/>
    <x v="0"/>
    <x v="0"/>
  </r>
  <r>
    <x v="6"/>
    <x v="20"/>
    <x v="20"/>
    <x v="219"/>
    <x v="219"/>
    <x v="58"/>
    <x v="0"/>
    <x v="218"/>
    <x v="214"/>
    <x v="1"/>
    <x v="215"/>
    <x v="0"/>
    <x v="0"/>
    <x v="0"/>
  </r>
  <r>
    <x v="0"/>
    <x v="20"/>
    <x v="18"/>
    <x v="220"/>
    <x v="220"/>
    <x v="81"/>
    <x v="0"/>
    <x v="219"/>
    <x v="215"/>
    <x v="10"/>
    <x v="216"/>
    <x v="0"/>
    <x v="1"/>
    <x v="0"/>
  </r>
  <r>
    <x v="1"/>
    <x v="20"/>
    <x v="17"/>
    <x v="221"/>
    <x v="221"/>
    <x v="13"/>
    <x v="0"/>
    <x v="220"/>
    <x v="216"/>
    <x v="1"/>
    <x v="217"/>
    <x v="0"/>
    <x v="1"/>
    <x v="0"/>
  </r>
  <r>
    <x v="1"/>
    <x v="20"/>
    <x v="1"/>
    <x v="222"/>
    <x v="222"/>
    <x v="12"/>
    <x v="0"/>
    <x v="221"/>
    <x v="217"/>
    <x v="4"/>
    <x v="218"/>
    <x v="4"/>
    <x v="0"/>
    <x v="0"/>
  </r>
  <r>
    <x v="1"/>
    <x v="20"/>
    <x v="12"/>
    <x v="223"/>
    <x v="223"/>
    <x v="95"/>
    <x v="0"/>
    <x v="222"/>
    <x v="218"/>
    <x v="4"/>
    <x v="219"/>
    <x v="0"/>
    <x v="0"/>
    <x v="0"/>
  </r>
  <r>
    <x v="6"/>
    <x v="21"/>
    <x v="7"/>
    <x v="224"/>
    <x v="224"/>
    <x v="13"/>
    <x v="0"/>
    <x v="223"/>
    <x v="219"/>
    <x v="0"/>
    <x v="220"/>
    <x v="0"/>
    <x v="0"/>
    <x v="0"/>
  </r>
  <r>
    <x v="3"/>
    <x v="21"/>
    <x v="24"/>
    <x v="225"/>
    <x v="225"/>
    <x v="96"/>
    <x v="0"/>
    <x v="224"/>
    <x v="220"/>
    <x v="0"/>
    <x v="221"/>
    <x v="0"/>
    <x v="0"/>
    <x v="0"/>
  </r>
  <r>
    <x v="4"/>
    <x v="21"/>
    <x v="23"/>
    <x v="226"/>
    <x v="226"/>
    <x v="83"/>
    <x v="0"/>
    <x v="225"/>
    <x v="221"/>
    <x v="0"/>
    <x v="222"/>
    <x v="1"/>
    <x v="0"/>
    <x v="0"/>
  </r>
  <r>
    <x v="10"/>
    <x v="21"/>
    <x v="22"/>
    <x v="227"/>
    <x v="227"/>
    <x v="62"/>
    <x v="0"/>
    <x v="226"/>
    <x v="222"/>
    <x v="0"/>
    <x v="223"/>
    <x v="3"/>
    <x v="0"/>
    <x v="0"/>
  </r>
  <r>
    <x v="0"/>
    <x v="22"/>
    <x v="17"/>
    <x v="228"/>
    <x v="228"/>
    <x v="47"/>
    <x v="0"/>
    <x v="227"/>
    <x v="223"/>
    <x v="4"/>
    <x v="224"/>
    <x v="3"/>
    <x v="1"/>
    <x v="0"/>
  </r>
  <r>
    <x v="0"/>
    <x v="22"/>
    <x v="24"/>
    <x v="229"/>
    <x v="229"/>
    <x v="81"/>
    <x v="0"/>
    <x v="228"/>
    <x v="224"/>
    <x v="4"/>
    <x v="225"/>
    <x v="3"/>
    <x v="1"/>
    <x v="0"/>
  </r>
  <r>
    <x v="1"/>
    <x v="22"/>
    <x v="0"/>
    <x v="230"/>
    <x v="230"/>
    <x v="54"/>
    <x v="0"/>
    <x v="229"/>
    <x v="225"/>
    <x v="0"/>
    <x v="226"/>
    <x v="4"/>
    <x v="0"/>
    <x v="0"/>
  </r>
  <r>
    <x v="0"/>
    <x v="22"/>
    <x v="12"/>
    <x v="231"/>
    <x v="231"/>
    <x v="77"/>
    <x v="0"/>
    <x v="230"/>
    <x v="226"/>
    <x v="0"/>
    <x v="227"/>
    <x v="4"/>
    <x v="0"/>
    <x v="0"/>
  </r>
  <r>
    <x v="1"/>
    <x v="22"/>
    <x v="14"/>
    <x v="232"/>
    <x v="232"/>
    <x v="17"/>
    <x v="0"/>
    <x v="231"/>
    <x v="72"/>
    <x v="0"/>
    <x v="72"/>
    <x v="4"/>
    <x v="0"/>
    <x v="0"/>
  </r>
  <r>
    <x v="1"/>
    <x v="22"/>
    <x v="22"/>
    <x v="233"/>
    <x v="233"/>
    <x v="2"/>
    <x v="0"/>
    <x v="232"/>
    <x v="227"/>
    <x v="2"/>
    <x v="228"/>
    <x v="4"/>
    <x v="0"/>
    <x v="0"/>
  </r>
  <r>
    <x v="1"/>
    <x v="22"/>
    <x v="23"/>
    <x v="234"/>
    <x v="234"/>
    <x v="35"/>
    <x v="0"/>
    <x v="233"/>
    <x v="228"/>
    <x v="0"/>
    <x v="229"/>
    <x v="4"/>
    <x v="0"/>
    <x v="0"/>
  </r>
  <r>
    <x v="8"/>
    <x v="22"/>
    <x v="25"/>
    <x v="235"/>
    <x v="235"/>
    <x v="53"/>
    <x v="0"/>
    <x v="234"/>
    <x v="229"/>
    <x v="0"/>
    <x v="230"/>
    <x v="4"/>
    <x v="0"/>
    <x v="0"/>
  </r>
  <r>
    <x v="0"/>
    <x v="22"/>
    <x v="25"/>
    <x v="236"/>
    <x v="236"/>
    <x v="11"/>
    <x v="0"/>
    <x v="235"/>
    <x v="230"/>
    <x v="4"/>
    <x v="231"/>
    <x v="4"/>
    <x v="1"/>
    <x v="0"/>
  </r>
  <r>
    <x v="1"/>
    <x v="22"/>
    <x v="4"/>
    <x v="237"/>
    <x v="237"/>
    <x v="87"/>
    <x v="0"/>
    <x v="236"/>
    <x v="231"/>
    <x v="4"/>
    <x v="232"/>
    <x v="4"/>
    <x v="1"/>
    <x v="0"/>
  </r>
  <r>
    <x v="1"/>
    <x v="22"/>
    <x v="1"/>
    <x v="238"/>
    <x v="238"/>
    <x v="29"/>
    <x v="0"/>
    <x v="237"/>
    <x v="232"/>
    <x v="4"/>
    <x v="233"/>
    <x v="2"/>
    <x v="1"/>
    <x v="0"/>
  </r>
  <r>
    <x v="1"/>
    <x v="22"/>
    <x v="2"/>
    <x v="239"/>
    <x v="239"/>
    <x v="20"/>
    <x v="0"/>
    <x v="238"/>
    <x v="233"/>
    <x v="4"/>
    <x v="234"/>
    <x v="2"/>
    <x v="1"/>
    <x v="0"/>
  </r>
  <r>
    <x v="0"/>
    <x v="22"/>
    <x v="2"/>
    <x v="240"/>
    <x v="240"/>
    <x v="11"/>
    <x v="0"/>
    <x v="239"/>
    <x v="234"/>
    <x v="2"/>
    <x v="235"/>
    <x v="2"/>
    <x v="2"/>
    <x v="0"/>
  </r>
  <r>
    <x v="1"/>
    <x v="22"/>
    <x v="26"/>
    <x v="241"/>
    <x v="241"/>
    <x v="14"/>
    <x v="0"/>
    <x v="240"/>
    <x v="235"/>
    <x v="2"/>
    <x v="236"/>
    <x v="2"/>
    <x v="0"/>
    <x v="0"/>
  </r>
  <r>
    <x v="0"/>
    <x v="22"/>
    <x v="13"/>
    <x v="242"/>
    <x v="242"/>
    <x v="51"/>
    <x v="0"/>
    <x v="241"/>
    <x v="236"/>
    <x v="0"/>
    <x v="237"/>
    <x v="1"/>
    <x v="0"/>
    <x v="0"/>
  </r>
  <r>
    <x v="0"/>
    <x v="22"/>
    <x v="8"/>
    <x v="243"/>
    <x v="243"/>
    <x v="12"/>
    <x v="0"/>
    <x v="242"/>
    <x v="237"/>
    <x v="4"/>
    <x v="238"/>
    <x v="1"/>
    <x v="1"/>
    <x v="0"/>
  </r>
  <r>
    <x v="0"/>
    <x v="22"/>
    <x v="23"/>
    <x v="244"/>
    <x v="244"/>
    <x v="7"/>
    <x v="0"/>
    <x v="243"/>
    <x v="238"/>
    <x v="0"/>
    <x v="239"/>
    <x v="1"/>
    <x v="0"/>
    <x v="0"/>
  </r>
  <r>
    <x v="0"/>
    <x v="22"/>
    <x v="6"/>
    <x v="245"/>
    <x v="245"/>
    <x v="83"/>
    <x v="0"/>
    <x v="244"/>
    <x v="239"/>
    <x v="0"/>
    <x v="240"/>
    <x v="1"/>
    <x v="0"/>
    <x v="0"/>
  </r>
  <r>
    <x v="0"/>
    <x v="22"/>
    <x v="9"/>
    <x v="246"/>
    <x v="246"/>
    <x v="97"/>
    <x v="0"/>
    <x v="245"/>
    <x v="240"/>
    <x v="0"/>
    <x v="241"/>
    <x v="1"/>
    <x v="0"/>
    <x v="0"/>
  </r>
  <r>
    <x v="0"/>
    <x v="22"/>
    <x v="2"/>
    <x v="247"/>
    <x v="247"/>
    <x v="45"/>
    <x v="0"/>
    <x v="246"/>
    <x v="241"/>
    <x v="0"/>
    <x v="242"/>
    <x v="1"/>
    <x v="0"/>
    <x v="0"/>
  </r>
  <r>
    <x v="6"/>
    <x v="22"/>
    <x v="5"/>
    <x v="248"/>
    <x v="248"/>
    <x v="37"/>
    <x v="0"/>
    <x v="247"/>
    <x v="242"/>
    <x v="4"/>
    <x v="243"/>
    <x v="1"/>
    <x v="1"/>
    <x v="0"/>
  </r>
  <r>
    <x v="0"/>
    <x v="22"/>
    <x v="9"/>
    <x v="249"/>
    <x v="249"/>
    <x v="98"/>
    <x v="0"/>
    <x v="248"/>
    <x v="243"/>
    <x v="0"/>
    <x v="244"/>
    <x v="4"/>
    <x v="0"/>
    <x v="0"/>
  </r>
  <r>
    <x v="0"/>
    <x v="22"/>
    <x v="13"/>
    <x v="250"/>
    <x v="250"/>
    <x v="90"/>
    <x v="0"/>
    <x v="249"/>
    <x v="244"/>
    <x v="0"/>
    <x v="245"/>
    <x v="4"/>
    <x v="0"/>
    <x v="0"/>
  </r>
  <r>
    <x v="0"/>
    <x v="22"/>
    <x v="8"/>
    <x v="251"/>
    <x v="251"/>
    <x v="99"/>
    <x v="0"/>
    <x v="250"/>
    <x v="245"/>
    <x v="2"/>
    <x v="246"/>
    <x v="0"/>
    <x v="0"/>
    <x v="0"/>
  </r>
  <r>
    <x v="3"/>
    <x v="22"/>
    <x v="5"/>
    <x v="252"/>
    <x v="252"/>
    <x v="100"/>
    <x v="0"/>
    <x v="251"/>
    <x v="246"/>
    <x v="0"/>
    <x v="247"/>
    <x v="0"/>
    <x v="0"/>
    <x v="0"/>
  </r>
  <r>
    <x v="0"/>
    <x v="22"/>
    <x v="8"/>
    <x v="253"/>
    <x v="253"/>
    <x v="45"/>
    <x v="0"/>
    <x v="252"/>
    <x v="247"/>
    <x v="0"/>
    <x v="248"/>
    <x v="0"/>
    <x v="0"/>
    <x v="0"/>
  </r>
  <r>
    <x v="1"/>
    <x v="22"/>
    <x v="1"/>
    <x v="254"/>
    <x v="254"/>
    <x v="100"/>
    <x v="0"/>
    <x v="253"/>
    <x v="248"/>
    <x v="0"/>
    <x v="249"/>
    <x v="0"/>
    <x v="0"/>
    <x v="0"/>
  </r>
  <r>
    <x v="1"/>
    <x v="22"/>
    <x v="26"/>
    <x v="255"/>
    <x v="255"/>
    <x v="28"/>
    <x v="0"/>
    <x v="254"/>
    <x v="249"/>
    <x v="2"/>
    <x v="250"/>
    <x v="0"/>
    <x v="0"/>
    <x v="0"/>
  </r>
  <r>
    <x v="0"/>
    <x v="22"/>
    <x v="13"/>
    <x v="256"/>
    <x v="256"/>
    <x v="101"/>
    <x v="0"/>
    <x v="255"/>
    <x v="250"/>
    <x v="10"/>
    <x v="251"/>
    <x v="0"/>
    <x v="0"/>
    <x v="0"/>
  </r>
  <r>
    <x v="1"/>
    <x v="22"/>
    <x v="0"/>
    <x v="257"/>
    <x v="257"/>
    <x v="102"/>
    <x v="0"/>
    <x v="256"/>
    <x v="251"/>
    <x v="7"/>
    <x v="252"/>
    <x v="0"/>
    <x v="0"/>
    <x v="0"/>
  </r>
  <r>
    <x v="11"/>
    <x v="22"/>
    <x v="23"/>
    <x v="258"/>
    <x v="258"/>
    <x v="20"/>
    <x v="0"/>
    <x v="257"/>
    <x v="252"/>
    <x v="4"/>
    <x v="253"/>
    <x v="0"/>
    <x v="1"/>
    <x v="0"/>
  </r>
  <r>
    <x v="8"/>
    <x v="22"/>
    <x v="6"/>
    <x v="259"/>
    <x v="259"/>
    <x v="103"/>
    <x v="0"/>
    <x v="258"/>
    <x v="253"/>
    <x v="0"/>
    <x v="254"/>
    <x v="0"/>
    <x v="0"/>
    <x v="0"/>
  </r>
  <r>
    <x v="1"/>
    <x v="22"/>
    <x v="0"/>
    <x v="260"/>
    <x v="260"/>
    <x v="53"/>
    <x v="0"/>
    <x v="259"/>
    <x v="115"/>
    <x v="0"/>
    <x v="115"/>
    <x v="0"/>
    <x v="0"/>
    <x v="0"/>
  </r>
  <r>
    <x v="3"/>
    <x v="22"/>
    <x v="0"/>
    <x v="261"/>
    <x v="261"/>
    <x v="65"/>
    <x v="0"/>
    <x v="260"/>
    <x v="254"/>
    <x v="4"/>
    <x v="255"/>
    <x v="0"/>
    <x v="0"/>
    <x v="0"/>
  </r>
  <r>
    <x v="1"/>
    <x v="22"/>
    <x v="23"/>
    <x v="262"/>
    <x v="262"/>
    <x v="104"/>
    <x v="0"/>
    <x v="261"/>
    <x v="255"/>
    <x v="4"/>
    <x v="256"/>
    <x v="0"/>
    <x v="1"/>
    <x v="0"/>
  </r>
  <r>
    <x v="4"/>
    <x v="22"/>
    <x v="6"/>
    <x v="263"/>
    <x v="263"/>
    <x v="50"/>
    <x v="0"/>
    <x v="262"/>
    <x v="256"/>
    <x v="0"/>
    <x v="257"/>
    <x v="0"/>
    <x v="0"/>
    <x v="0"/>
  </r>
  <r>
    <x v="0"/>
    <x v="22"/>
    <x v="10"/>
    <x v="264"/>
    <x v="264"/>
    <x v="19"/>
    <x v="0"/>
    <x v="263"/>
    <x v="257"/>
    <x v="0"/>
    <x v="258"/>
    <x v="4"/>
    <x v="0"/>
    <x v="0"/>
  </r>
  <r>
    <x v="0"/>
    <x v="22"/>
    <x v="24"/>
    <x v="265"/>
    <x v="265"/>
    <x v="9"/>
    <x v="0"/>
    <x v="264"/>
    <x v="258"/>
    <x v="4"/>
    <x v="259"/>
    <x v="3"/>
    <x v="1"/>
    <x v="0"/>
  </r>
  <r>
    <x v="0"/>
    <x v="22"/>
    <x v="15"/>
    <x v="266"/>
    <x v="266"/>
    <x v="13"/>
    <x v="0"/>
    <x v="265"/>
    <x v="259"/>
    <x v="1"/>
    <x v="260"/>
    <x v="3"/>
    <x v="2"/>
    <x v="0"/>
  </r>
  <r>
    <x v="4"/>
    <x v="22"/>
    <x v="14"/>
    <x v="267"/>
    <x v="267"/>
    <x v="105"/>
    <x v="0"/>
    <x v="266"/>
    <x v="260"/>
    <x v="0"/>
    <x v="261"/>
    <x v="0"/>
    <x v="0"/>
    <x v="0"/>
  </r>
  <r>
    <x v="1"/>
    <x v="22"/>
    <x v="16"/>
    <x v="268"/>
    <x v="268"/>
    <x v="53"/>
    <x v="0"/>
    <x v="267"/>
    <x v="261"/>
    <x v="0"/>
    <x v="262"/>
    <x v="4"/>
    <x v="0"/>
    <x v="0"/>
  </r>
  <r>
    <x v="0"/>
    <x v="23"/>
    <x v="12"/>
    <x v="269"/>
    <x v="269"/>
    <x v="69"/>
    <x v="0"/>
    <x v="268"/>
    <x v="262"/>
    <x v="0"/>
    <x v="263"/>
    <x v="2"/>
    <x v="0"/>
    <x v="0"/>
  </r>
  <r>
    <x v="1"/>
    <x v="23"/>
    <x v="20"/>
    <x v="270"/>
    <x v="270"/>
    <x v="46"/>
    <x v="0"/>
    <x v="269"/>
    <x v="263"/>
    <x v="4"/>
    <x v="264"/>
    <x v="4"/>
    <x v="1"/>
    <x v="0"/>
  </r>
  <r>
    <x v="0"/>
    <x v="23"/>
    <x v="13"/>
    <x v="271"/>
    <x v="271"/>
    <x v="13"/>
    <x v="0"/>
    <x v="270"/>
    <x v="264"/>
    <x v="0"/>
    <x v="265"/>
    <x v="4"/>
    <x v="0"/>
    <x v="0"/>
  </r>
  <r>
    <x v="9"/>
    <x v="23"/>
    <x v="8"/>
    <x v="272"/>
    <x v="272"/>
    <x v="19"/>
    <x v="0"/>
    <x v="271"/>
    <x v="265"/>
    <x v="8"/>
    <x v="266"/>
    <x v="1"/>
    <x v="0"/>
    <x v="0"/>
  </r>
  <r>
    <x v="4"/>
    <x v="23"/>
    <x v="4"/>
    <x v="273"/>
    <x v="273"/>
    <x v="106"/>
    <x v="0"/>
    <x v="272"/>
    <x v="266"/>
    <x v="0"/>
    <x v="267"/>
    <x v="1"/>
    <x v="0"/>
    <x v="0"/>
  </r>
  <r>
    <x v="0"/>
    <x v="23"/>
    <x v="27"/>
    <x v="274"/>
    <x v="274"/>
    <x v="58"/>
    <x v="0"/>
    <x v="273"/>
    <x v="267"/>
    <x v="0"/>
    <x v="268"/>
    <x v="1"/>
    <x v="0"/>
    <x v="0"/>
  </r>
  <r>
    <x v="0"/>
    <x v="23"/>
    <x v="1"/>
    <x v="275"/>
    <x v="275"/>
    <x v="53"/>
    <x v="0"/>
    <x v="274"/>
    <x v="268"/>
    <x v="0"/>
    <x v="269"/>
    <x v="1"/>
    <x v="0"/>
    <x v="0"/>
  </r>
  <r>
    <x v="1"/>
    <x v="23"/>
    <x v="12"/>
    <x v="276"/>
    <x v="276"/>
    <x v="4"/>
    <x v="0"/>
    <x v="275"/>
    <x v="269"/>
    <x v="0"/>
    <x v="270"/>
    <x v="1"/>
    <x v="0"/>
    <x v="0"/>
  </r>
  <r>
    <x v="0"/>
    <x v="23"/>
    <x v="24"/>
    <x v="277"/>
    <x v="277"/>
    <x v="42"/>
    <x v="0"/>
    <x v="276"/>
    <x v="270"/>
    <x v="2"/>
    <x v="271"/>
    <x v="3"/>
    <x v="0"/>
    <x v="1"/>
  </r>
  <r>
    <x v="0"/>
    <x v="23"/>
    <x v="4"/>
    <x v="278"/>
    <x v="278"/>
    <x v="0"/>
    <x v="0"/>
    <x v="277"/>
    <x v="271"/>
    <x v="2"/>
    <x v="272"/>
    <x v="3"/>
    <x v="0"/>
    <x v="0"/>
  </r>
  <r>
    <x v="1"/>
    <x v="23"/>
    <x v="3"/>
    <x v="279"/>
    <x v="279"/>
    <x v="14"/>
    <x v="0"/>
    <x v="278"/>
    <x v="272"/>
    <x v="2"/>
    <x v="273"/>
    <x v="2"/>
    <x v="2"/>
    <x v="0"/>
  </r>
  <r>
    <x v="0"/>
    <x v="23"/>
    <x v="8"/>
    <x v="280"/>
    <x v="280"/>
    <x v="107"/>
    <x v="0"/>
    <x v="279"/>
    <x v="273"/>
    <x v="2"/>
    <x v="274"/>
    <x v="0"/>
    <x v="0"/>
    <x v="0"/>
  </r>
  <r>
    <x v="1"/>
    <x v="23"/>
    <x v="25"/>
    <x v="281"/>
    <x v="281"/>
    <x v="51"/>
    <x v="0"/>
    <x v="280"/>
    <x v="274"/>
    <x v="1"/>
    <x v="275"/>
    <x v="0"/>
    <x v="0"/>
    <x v="0"/>
  </r>
  <r>
    <x v="0"/>
    <x v="23"/>
    <x v="12"/>
    <x v="282"/>
    <x v="282"/>
    <x v="90"/>
    <x v="0"/>
    <x v="281"/>
    <x v="275"/>
    <x v="0"/>
    <x v="276"/>
    <x v="0"/>
    <x v="0"/>
    <x v="0"/>
  </r>
  <r>
    <x v="1"/>
    <x v="23"/>
    <x v="10"/>
    <x v="283"/>
    <x v="283"/>
    <x v="53"/>
    <x v="0"/>
    <x v="282"/>
    <x v="276"/>
    <x v="0"/>
    <x v="277"/>
    <x v="0"/>
    <x v="0"/>
    <x v="0"/>
  </r>
  <r>
    <x v="3"/>
    <x v="23"/>
    <x v="15"/>
    <x v="284"/>
    <x v="284"/>
    <x v="19"/>
    <x v="0"/>
    <x v="283"/>
    <x v="277"/>
    <x v="0"/>
    <x v="278"/>
    <x v="0"/>
    <x v="0"/>
    <x v="0"/>
  </r>
  <r>
    <x v="9"/>
    <x v="23"/>
    <x v="6"/>
    <x v="285"/>
    <x v="285"/>
    <x v="26"/>
    <x v="0"/>
    <x v="284"/>
    <x v="278"/>
    <x v="8"/>
    <x v="279"/>
    <x v="0"/>
    <x v="0"/>
    <x v="0"/>
  </r>
  <r>
    <x v="0"/>
    <x v="23"/>
    <x v="6"/>
    <x v="286"/>
    <x v="286"/>
    <x v="36"/>
    <x v="0"/>
    <x v="285"/>
    <x v="279"/>
    <x v="5"/>
    <x v="280"/>
    <x v="0"/>
    <x v="0"/>
    <x v="0"/>
  </r>
  <r>
    <x v="0"/>
    <x v="23"/>
    <x v="1"/>
    <x v="287"/>
    <x v="287"/>
    <x v="13"/>
    <x v="0"/>
    <x v="286"/>
    <x v="280"/>
    <x v="2"/>
    <x v="281"/>
    <x v="4"/>
    <x v="0"/>
    <x v="0"/>
  </r>
  <r>
    <x v="1"/>
    <x v="23"/>
    <x v="23"/>
    <x v="288"/>
    <x v="288"/>
    <x v="21"/>
    <x v="0"/>
    <x v="287"/>
    <x v="281"/>
    <x v="4"/>
    <x v="282"/>
    <x v="1"/>
    <x v="1"/>
    <x v="0"/>
  </r>
  <r>
    <x v="1"/>
    <x v="23"/>
    <x v="9"/>
    <x v="289"/>
    <x v="289"/>
    <x v="9"/>
    <x v="0"/>
    <x v="288"/>
    <x v="282"/>
    <x v="1"/>
    <x v="283"/>
    <x v="1"/>
    <x v="1"/>
    <x v="0"/>
  </r>
  <r>
    <x v="1"/>
    <x v="24"/>
    <x v="28"/>
    <x v="290"/>
    <x v="290"/>
    <x v="108"/>
    <x v="0"/>
    <x v="289"/>
    <x v="283"/>
    <x v="4"/>
    <x v="284"/>
    <x v="2"/>
    <x v="0"/>
    <x v="0"/>
  </r>
  <r>
    <x v="0"/>
    <x v="24"/>
    <x v="0"/>
    <x v="291"/>
    <x v="291"/>
    <x v="109"/>
    <x v="0"/>
    <x v="290"/>
    <x v="284"/>
    <x v="11"/>
    <x v="285"/>
    <x v="2"/>
    <x v="0"/>
    <x v="0"/>
  </r>
  <r>
    <x v="1"/>
    <x v="24"/>
    <x v="28"/>
    <x v="292"/>
    <x v="292"/>
    <x v="13"/>
    <x v="0"/>
    <x v="291"/>
    <x v="285"/>
    <x v="4"/>
    <x v="286"/>
    <x v="2"/>
    <x v="1"/>
    <x v="0"/>
  </r>
  <r>
    <x v="1"/>
    <x v="24"/>
    <x v="23"/>
    <x v="293"/>
    <x v="293"/>
    <x v="58"/>
    <x v="0"/>
    <x v="292"/>
    <x v="286"/>
    <x v="0"/>
    <x v="287"/>
    <x v="2"/>
    <x v="0"/>
    <x v="0"/>
  </r>
  <r>
    <x v="1"/>
    <x v="24"/>
    <x v="28"/>
    <x v="294"/>
    <x v="294"/>
    <x v="81"/>
    <x v="0"/>
    <x v="293"/>
    <x v="287"/>
    <x v="1"/>
    <x v="288"/>
    <x v="4"/>
    <x v="1"/>
    <x v="0"/>
  </r>
  <r>
    <x v="11"/>
    <x v="24"/>
    <x v="26"/>
    <x v="295"/>
    <x v="295"/>
    <x v="12"/>
    <x v="0"/>
    <x v="294"/>
    <x v="288"/>
    <x v="4"/>
    <x v="289"/>
    <x v="4"/>
    <x v="1"/>
    <x v="0"/>
  </r>
  <r>
    <x v="0"/>
    <x v="24"/>
    <x v="8"/>
    <x v="296"/>
    <x v="296"/>
    <x v="42"/>
    <x v="0"/>
    <x v="295"/>
    <x v="289"/>
    <x v="2"/>
    <x v="290"/>
    <x v="4"/>
    <x v="0"/>
    <x v="0"/>
  </r>
  <r>
    <x v="1"/>
    <x v="24"/>
    <x v="5"/>
    <x v="297"/>
    <x v="297"/>
    <x v="20"/>
    <x v="0"/>
    <x v="296"/>
    <x v="290"/>
    <x v="4"/>
    <x v="291"/>
    <x v="4"/>
    <x v="1"/>
    <x v="0"/>
  </r>
  <r>
    <x v="1"/>
    <x v="24"/>
    <x v="27"/>
    <x v="298"/>
    <x v="298"/>
    <x v="12"/>
    <x v="0"/>
    <x v="297"/>
    <x v="13"/>
    <x v="4"/>
    <x v="13"/>
    <x v="5"/>
    <x v="1"/>
    <x v="0"/>
  </r>
  <r>
    <x v="1"/>
    <x v="24"/>
    <x v="22"/>
    <x v="299"/>
    <x v="299"/>
    <x v="12"/>
    <x v="0"/>
    <x v="298"/>
    <x v="291"/>
    <x v="4"/>
    <x v="292"/>
    <x v="5"/>
    <x v="1"/>
    <x v="0"/>
  </r>
  <r>
    <x v="1"/>
    <x v="24"/>
    <x v="8"/>
    <x v="300"/>
    <x v="300"/>
    <x v="17"/>
    <x v="0"/>
    <x v="299"/>
    <x v="292"/>
    <x v="0"/>
    <x v="293"/>
    <x v="0"/>
    <x v="0"/>
    <x v="0"/>
  </r>
  <r>
    <x v="0"/>
    <x v="24"/>
    <x v="0"/>
    <x v="301"/>
    <x v="301"/>
    <x v="13"/>
    <x v="0"/>
    <x v="300"/>
    <x v="293"/>
    <x v="0"/>
    <x v="294"/>
    <x v="0"/>
    <x v="0"/>
    <x v="0"/>
  </r>
  <r>
    <x v="8"/>
    <x v="24"/>
    <x v="28"/>
    <x v="302"/>
    <x v="302"/>
    <x v="30"/>
    <x v="0"/>
    <x v="301"/>
    <x v="294"/>
    <x v="2"/>
    <x v="295"/>
    <x v="0"/>
    <x v="0"/>
    <x v="0"/>
  </r>
  <r>
    <x v="1"/>
    <x v="24"/>
    <x v="2"/>
    <x v="303"/>
    <x v="303"/>
    <x v="88"/>
    <x v="0"/>
    <x v="302"/>
    <x v="295"/>
    <x v="4"/>
    <x v="296"/>
    <x v="0"/>
    <x v="1"/>
    <x v="0"/>
  </r>
  <r>
    <x v="3"/>
    <x v="24"/>
    <x v="1"/>
    <x v="304"/>
    <x v="304"/>
    <x v="7"/>
    <x v="0"/>
    <x v="303"/>
    <x v="296"/>
    <x v="0"/>
    <x v="297"/>
    <x v="0"/>
    <x v="0"/>
    <x v="0"/>
  </r>
  <r>
    <x v="8"/>
    <x v="24"/>
    <x v="27"/>
    <x v="305"/>
    <x v="305"/>
    <x v="110"/>
    <x v="0"/>
    <x v="304"/>
    <x v="297"/>
    <x v="0"/>
    <x v="298"/>
    <x v="0"/>
    <x v="0"/>
    <x v="0"/>
  </r>
  <r>
    <x v="1"/>
    <x v="24"/>
    <x v="21"/>
    <x v="306"/>
    <x v="306"/>
    <x v="47"/>
    <x v="0"/>
    <x v="305"/>
    <x v="298"/>
    <x v="4"/>
    <x v="299"/>
    <x v="0"/>
    <x v="1"/>
    <x v="0"/>
  </r>
  <r>
    <x v="6"/>
    <x v="24"/>
    <x v="11"/>
    <x v="307"/>
    <x v="307"/>
    <x v="10"/>
    <x v="0"/>
    <x v="306"/>
    <x v="299"/>
    <x v="4"/>
    <x v="300"/>
    <x v="0"/>
    <x v="1"/>
    <x v="0"/>
  </r>
  <r>
    <x v="0"/>
    <x v="24"/>
    <x v="28"/>
    <x v="308"/>
    <x v="308"/>
    <x v="107"/>
    <x v="0"/>
    <x v="307"/>
    <x v="300"/>
    <x v="1"/>
    <x v="301"/>
    <x v="0"/>
    <x v="0"/>
    <x v="0"/>
  </r>
  <r>
    <x v="1"/>
    <x v="24"/>
    <x v="3"/>
    <x v="309"/>
    <x v="309"/>
    <x v="103"/>
    <x v="0"/>
    <x v="308"/>
    <x v="301"/>
    <x v="0"/>
    <x v="302"/>
    <x v="1"/>
    <x v="0"/>
    <x v="0"/>
  </r>
  <r>
    <x v="1"/>
    <x v="24"/>
    <x v="6"/>
    <x v="310"/>
    <x v="310"/>
    <x v="61"/>
    <x v="0"/>
    <x v="309"/>
    <x v="302"/>
    <x v="0"/>
    <x v="303"/>
    <x v="1"/>
    <x v="0"/>
    <x v="0"/>
  </r>
  <r>
    <x v="1"/>
    <x v="24"/>
    <x v="16"/>
    <x v="311"/>
    <x v="311"/>
    <x v="62"/>
    <x v="0"/>
    <x v="310"/>
    <x v="303"/>
    <x v="0"/>
    <x v="304"/>
    <x v="1"/>
    <x v="0"/>
    <x v="0"/>
  </r>
  <r>
    <x v="12"/>
    <x v="24"/>
    <x v="27"/>
    <x v="312"/>
    <x v="312"/>
    <x v="111"/>
    <x v="0"/>
    <x v="311"/>
    <x v="304"/>
    <x v="2"/>
    <x v="305"/>
    <x v="1"/>
    <x v="0"/>
    <x v="0"/>
  </r>
  <r>
    <x v="7"/>
    <x v="24"/>
    <x v="27"/>
    <x v="313"/>
    <x v="313"/>
    <x v="0"/>
    <x v="0"/>
    <x v="312"/>
    <x v="305"/>
    <x v="0"/>
    <x v="306"/>
    <x v="1"/>
    <x v="0"/>
    <x v="0"/>
  </r>
  <r>
    <x v="1"/>
    <x v="24"/>
    <x v="27"/>
    <x v="314"/>
    <x v="314"/>
    <x v="53"/>
    <x v="0"/>
    <x v="313"/>
    <x v="286"/>
    <x v="0"/>
    <x v="287"/>
    <x v="1"/>
    <x v="0"/>
    <x v="0"/>
  </r>
  <r>
    <x v="4"/>
    <x v="24"/>
    <x v="20"/>
    <x v="315"/>
    <x v="315"/>
    <x v="45"/>
    <x v="0"/>
    <x v="314"/>
    <x v="306"/>
    <x v="0"/>
    <x v="307"/>
    <x v="4"/>
    <x v="0"/>
    <x v="0"/>
  </r>
  <r>
    <x v="3"/>
    <x v="24"/>
    <x v="2"/>
    <x v="316"/>
    <x v="316"/>
    <x v="112"/>
    <x v="0"/>
    <x v="315"/>
    <x v="307"/>
    <x v="0"/>
    <x v="308"/>
    <x v="2"/>
    <x v="0"/>
    <x v="0"/>
  </r>
  <r>
    <x v="11"/>
    <x v="24"/>
    <x v="0"/>
    <x v="317"/>
    <x v="317"/>
    <x v="113"/>
    <x v="0"/>
    <x v="316"/>
    <x v="308"/>
    <x v="1"/>
    <x v="309"/>
    <x v="0"/>
    <x v="1"/>
    <x v="0"/>
  </r>
  <r>
    <x v="9"/>
    <x v="24"/>
    <x v="25"/>
    <x v="318"/>
    <x v="318"/>
    <x v="114"/>
    <x v="0"/>
    <x v="317"/>
    <x v="309"/>
    <x v="1"/>
    <x v="310"/>
    <x v="5"/>
    <x v="0"/>
    <x v="0"/>
  </r>
  <r>
    <x v="0"/>
    <x v="23"/>
    <x v="6"/>
    <x v="319"/>
    <x v="319"/>
    <x v="115"/>
    <x v="0"/>
    <x v="318"/>
    <x v="310"/>
    <x v="0"/>
    <x v="311"/>
    <x v="0"/>
    <x v="0"/>
    <x v="0"/>
  </r>
  <r>
    <x v="3"/>
    <x v="23"/>
    <x v="10"/>
    <x v="320"/>
    <x v="320"/>
    <x v="116"/>
    <x v="0"/>
    <x v="319"/>
    <x v="311"/>
    <x v="2"/>
    <x v="312"/>
    <x v="0"/>
    <x v="0"/>
    <x v="0"/>
  </r>
  <r>
    <x v="3"/>
    <x v="25"/>
    <x v="4"/>
    <x v="321"/>
    <x v="321"/>
    <x v="117"/>
    <x v="0"/>
    <x v="320"/>
    <x v="312"/>
    <x v="0"/>
    <x v="313"/>
    <x v="4"/>
    <x v="2"/>
    <x v="0"/>
  </r>
  <r>
    <x v="1"/>
    <x v="25"/>
    <x v="1"/>
    <x v="322"/>
    <x v="322"/>
    <x v="118"/>
    <x v="0"/>
    <x v="321"/>
    <x v="313"/>
    <x v="2"/>
    <x v="314"/>
    <x v="0"/>
    <x v="0"/>
    <x v="0"/>
  </r>
  <r>
    <x v="5"/>
    <x v="25"/>
    <x v="28"/>
    <x v="323"/>
    <x v="323"/>
    <x v="90"/>
    <x v="0"/>
    <x v="322"/>
    <x v="314"/>
    <x v="0"/>
    <x v="315"/>
    <x v="0"/>
    <x v="0"/>
    <x v="0"/>
  </r>
  <r>
    <x v="4"/>
    <x v="25"/>
    <x v="2"/>
    <x v="324"/>
    <x v="324"/>
    <x v="10"/>
    <x v="0"/>
    <x v="323"/>
    <x v="315"/>
    <x v="4"/>
    <x v="316"/>
    <x v="0"/>
    <x v="1"/>
    <x v="0"/>
  </r>
  <r>
    <x v="8"/>
    <x v="25"/>
    <x v="29"/>
    <x v="325"/>
    <x v="325"/>
    <x v="99"/>
    <x v="0"/>
    <x v="324"/>
    <x v="316"/>
    <x v="0"/>
    <x v="317"/>
    <x v="0"/>
    <x v="0"/>
    <x v="0"/>
  </r>
  <r>
    <x v="6"/>
    <x v="25"/>
    <x v="2"/>
    <x v="326"/>
    <x v="326"/>
    <x v="11"/>
    <x v="0"/>
    <x v="325"/>
    <x v="317"/>
    <x v="4"/>
    <x v="318"/>
    <x v="0"/>
    <x v="1"/>
    <x v="0"/>
  </r>
  <r>
    <x v="1"/>
    <x v="25"/>
    <x v="10"/>
    <x v="327"/>
    <x v="327"/>
    <x v="119"/>
    <x v="0"/>
    <x v="326"/>
    <x v="318"/>
    <x v="2"/>
    <x v="319"/>
    <x v="0"/>
    <x v="0"/>
    <x v="0"/>
  </r>
  <r>
    <x v="11"/>
    <x v="25"/>
    <x v="29"/>
    <x v="328"/>
    <x v="328"/>
    <x v="11"/>
    <x v="0"/>
    <x v="327"/>
    <x v="319"/>
    <x v="4"/>
    <x v="320"/>
    <x v="0"/>
    <x v="1"/>
    <x v="0"/>
  </r>
  <r>
    <x v="1"/>
    <x v="25"/>
    <x v="9"/>
    <x v="329"/>
    <x v="329"/>
    <x v="9"/>
    <x v="0"/>
    <x v="328"/>
    <x v="320"/>
    <x v="4"/>
    <x v="321"/>
    <x v="2"/>
    <x v="1"/>
    <x v="0"/>
  </r>
  <r>
    <x v="1"/>
    <x v="25"/>
    <x v="14"/>
    <x v="330"/>
    <x v="330"/>
    <x v="13"/>
    <x v="0"/>
    <x v="329"/>
    <x v="108"/>
    <x v="0"/>
    <x v="322"/>
    <x v="2"/>
    <x v="0"/>
    <x v="0"/>
  </r>
  <r>
    <x v="1"/>
    <x v="25"/>
    <x v="8"/>
    <x v="331"/>
    <x v="331"/>
    <x v="20"/>
    <x v="0"/>
    <x v="330"/>
    <x v="321"/>
    <x v="4"/>
    <x v="323"/>
    <x v="2"/>
    <x v="1"/>
    <x v="0"/>
  </r>
  <r>
    <x v="1"/>
    <x v="25"/>
    <x v="7"/>
    <x v="332"/>
    <x v="332"/>
    <x v="118"/>
    <x v="0"/>
    <x v="331"/>
    <x v="322"/>
    <x v="2"/>
    <x v="324"/>
    <x v="4"/>
    <x v="0"/>
    <x v="0"/>
  </r>
  <r>
    <x v="1"/>
    <x v="25"/>
    <x v="28"/>
    <x v="333"/>
    <x v="333"/>
    <x v="58"/>
    <x v="0"/>
    <x v="332"/>
    <x v="323"/>
    <x v="0"/>
    <x v="325"/>
    <x v="1"/>
    <x v="0"/>
    <x v="0"/>
  </r>
  <r>
    <x v="3"/>
    <x v="25"/>
    <x v="12"/>
    <x v="334"/>
    <x v="334"/>
    <x v="74"/>
    <x v="0"/>
    <x v="333"/>
    <x v="324"/>
    <x v="0"/>
    <x v="326"/>
    <x v="0"/>
    <x v="0"/>
    <x v="0"/>
  </r>
  <r>
    <x v="10"/>
    <x v="25"/>
    <x v="27"/>
    <x v="335"/>
    <x v="335"/>
    <x v="12"/>
    <x v="0"/>
    <x v="334"/>
    <x v="325"/>
    <x v="1"/>
    <x v="327"/>
    <x v="0"/>
    <x v="1"/>
    <x v="0"/>
  </r>
  <r>
    <x v="7"/>
    <x v="25"/>
    <x v="0"/>
    <x v="336"/>
    <x v="336"/>
    <x v="86"/>
    <x v="0"/>
    <x v="335"/>
    <x v="326"/>
    <x v="2"/>
    <x v="328"/>
    <x v="1"/>
    <x v="0"/>
    <x v="0"/>
  </r>
  <r>
    <x v="0"/>
    <x v="25"/>
    <x v="18"/>
    <x v="337"/>
    <x v="337"/>
    <x v="11"/>
    <x v="0"/>
    <x v="336"/>
    <x v="327"/>
    <x v="2"/>
    <x v="329"/>
    <x v="5"/>
    <x v="0"/>
    <x v="0"/>
  </r>
  <r>
    <x v="9"/>
    <x v="25"/>
    <x v="23"/>
    <x v="338"/>
    <x v="338"/>
    <x v="120"/>
    <x v="0"/>
    <x v="337"/>
    <x v="328"/>
    <x v="0"/>
    <x v="330"/>
    <x v="4"/>
    <x v="0"/>
    <x v="0"/>
  </r>
  <r>
    <x v="0"/>
    <x v="26"/>
    <x v="21"/>
    <x v="339"/>
    <x v="339"/>
    <x v="20"/>
    <x v="0"/>
    <x v="338"/>
    <x v="329"/>
    <x v="4"/>
    <x v="331"/>
    <x v="1"/>
    <x v="1"/>
    <x v="1"/>
  </r>
  <r>
    <x v="3"/>
    <x v="26"/>
    <x v="3"/>
    <x v="340"/>
    <x v="340"/>
    <x v="0"/>
    <x v="0"/>
    <x v="339"/>
    <x v="330"/>
    <x v="0"/>
    <x v="332"/>
    <x v="1"/>
    <x v="0"/>
    <x v="0"/>
  </r>
  <r>
    <x v="4"/>
    <x v="26"/>
    <x v="2"/>
    <x v="341"/>
    <x v="341"/>
    <x v="55"/>
    <x v="0"/>
    <x v="340"/>
    <x v="331"/>
    <x v="0"/>
    <x v="333"/>
    <x v="1"/>
    <x v="0"/>
    <x v="0"/>
  </r>
  <r>
    <x v="5"/>
    <x v="27"/>
    <x v="29"/>
    <x v="342"/>
    <x v="342"/>
    <x v="0"/>
    <x v="0"/>
    <x v="341"/>
    <x v="332"/>
    <x v="2"/>
    <x v="334"/>
    <x v="0"/>
    <x v="0"/>
    <x v="0"/>
  </r>
  <r>
    <x v="6"/>
    <x v="27"/>
    <x v="26"/>
    <x v="343"/>
    <x v="343"/>
    <x v="14"/>
    <x v="0"/>
    <x v="342"/>
    <x v="333"/>
    <x v="4"/>
    <x v="335"/>
    <x v="0"/>
    <x v="0"/>
    <x v="0"/>
  </r>
  <r>
    <x v="0"/>
    <x v="27"/>
    <x v="3"/>
    <x v="344"/>
    <x v="344"/>
    <x v="90"/>
    <x v="0"/>
    <x v="343"/>
    <x v="334"/>
    <x v="0"/>
    <x v="336"/>
    <x v="0"/>
    <x v="0"/>
    <x v="1"/>
  </r>
  <r>
    <x v="3"/>
    <x v="26"/>
    <x v="7"/>
    <x v="345"/>
    <x v="345"/>
    <x v="12"/>
    <x v="0"/>
    <x v="344"/>
    <x v="335"/>
    <x v="2"/>
    <x v="337"/>
    <x v="4"/>
    <x v="0"/>
    <x v="0"/>
  </r>
  <r>
    <x v="3"/>
    <x v="26"/>
    <x v="29"/>
    <x v="346"/>
    <x v="346"/>
    <x v="0"/>
    <x v="0"/>
    <x v="345"/>
    <x v="336"/>
    <x v="4"/>
    <x v="338"/>
    <x v="4"/>
    <x v="0"/>
    <x v="0"/>
  </r>
  <r>
    <x v="11"/>
    <x v="26"/>
    <x v="10"/>
    <x v="347"/>
    <x v="347"/>
    <x v="12"/>
    <x v="0"/>
    <x v="346"/>
    <x v="49"/>
    <x v="4"/>
    <x v="49"/>
    <x v="4"/>
    <x v="1"/>
    <x v="0"/>
  </r>
  <r>
    <x v="10"/>
    <x v="27"/>
    <x v="26"/>
    <x v="348"/>
    <x v="348"/>
    <x v="76"/>
    <x v="0"/>
    <x v="347"/>
    <x v="337"/>
    <x v="1"/>
    <x v="339"/>
    <x v="4"/>
    <x v="0"/>
    <x v="0"/>
  </r>
  <r>
    <x v="0"/>
    <x v="28"/>
    <x v="11"/>
    <x v="349"/>
    <x v="349"/>
    <x v="42"/>
    <x v="0"/>
    <x v="348"/>
    <x v="338"/>
    <x v="2"/>
    <x v="340"/>
    <x v="4"/>
    <x v="0"/>
    <x v="1"/>
  </r>
  <r>
    <x v="0"/>
    <x v="26"/>
    <x v="7"/>
    <x v="350"/>
    <x v="350"/>
    <x v="45"/>
    <x v="0"/>
    <x v="349"/>
    <x v="339"/>
    <x v="0"/>
    <x v="341"/>
    <x v="2"/>
    <x v="0"/>
    <x v="1"/>
  </r>
  <r>
    <x v="0"/>
    <x v="27"/>
    <x v="3"/>
    <x v="351"/>
    <x v="351"/>
    <x v="58"/>
    <x v="0"/>
    <x v="350"/>
    <x v="340"/>
    <x v="4"/>
    <x v="342"/>
    <x v="0"/>
    <x v="0"/>
    <x v="1"/>
  </r>
  <r>
    <x v="1"/>
    <x v="29"/>
    <x v="30"/>
    <x v="352"/>
    <x v="352"/>
    <x v="121"/>
    <x v="0"/>
    <x v="351"/>
    <x v="341"/>
    <x v="1"/>
    <x v="343"/>
    <x v="0"/>
    <x v="0"/>
    <x v="0"/>
  </r>
  <r>
    <x v="1"/>
    <x v="29"/>
    <x v="29"/>
    <x v="353"/>
    <x v="353"/>
    <x v="11"/>
    <x v="0"/>
    <x v="352"/>
    <x v="342"/>
    <x v="1"/>
    <x v="344"/>
    <x v="0"/>
    <x v="0"/>
    <x v="0"/>
  </r>
  <r>
    <x v="0"/>
    <x v="27"/>
    <x v="8"/>
    <x v="354"/>
    <x v="354"/>
    <x v="1"/>
    <x v="0"/>
    <x v="353"/>
    <x v="343"/>
    <x v="0"/>
    <x v="345"/>
    <x v="1"/>
    <x v="0"/>
    <x v="1"/>
  </r>
  <r>
    <x v="1"/>
    <x v="30"/>
    <x v="28"/>
    <x v="355"/>
    <x v="355"/>
    <x v="57"/>
    <x v="0"/>
    <x v="354"/>
    <x v="344"/>
    <x v="0"/>
    <x v="346"/>
    <x v="1"/>
    <x v="0"/>
    <x v="0"/>
  </r>
  <r>
    <x v="1"/>
    <x v="30"/>
    <x v="28"/>
    <x v="356"/>
    <x v="356"/>
    <x v="1"/>
    <x v="0"/>
    <x v="355"/>
    <x v="345"/>
    <x v="4"/>
    <x v="347"/>
    <x v="1"/>
    <x v="0"/>
    <x v="0"/>
  </r>
  <r>
    <x v="1"/>
    <x v="28"/>
    <x v="28"/>
    <x v="357"/>
    <x v="357"/>
    <x v="39"/>
    <x v="0"/>
    <x v="356"/>
    <x v="346"/>
    <x v="2"/>
    <x v="348"/>
    <x v="4"/>
    <x v="0"/>
    <x v="0"/>
  </r>
  <r>
    <x v="0"/>
    <x v="29"/>
    <x v="11"/>
    <x v="358"/>
    <x v="358"/>
    <x v="14"/>
    <x v="0"/>
    <x v="357"/>
    <x v="347"/>
    <x v="1"/>
    <x v="349"/>
    <x v="4"/>
    <x v="1"/>
    <x v="0"/>
  </r>
  <r>
    <x v="1"/>
    <x v="30"/>
    <x v="26"/>
    <x v="359"/>
    <x v="359"/>
    <x v="122"/>
    <x v="0"/>
    <x v="358"/>
    <x v="348"/>
    <x v="4"/>
    <x v="350"/>
    <x v="0"/>
    <x v="0"/>
    <x v="0"/>
  </r>
  <r>
    <x v="1"/>
    <x v="30"/>
    <x v="22"/>
    <x v="360"/>
    <x v="360"/>
    <x v="122"/>
    <x v="0"/>
    <x v="359"/>
    <x v="349"/>
    <x v="4"/>
    <x v="351"/>
    <x v="0"/>
    <x v="0"/>
    <x v="0"/>
  </r>
  <r>
    <x v="0"/>
    <x v="30"/>
    <x v="10"/>
    <x v="361"/>
    <x v="361"/>
    <x v="59"/>
    <x v="0"/>
    <x v="360"/>
    <x v="350"/>
    <x v="0"/>
    <x v="352"/>
    <x v="0"/>
    <x v="0"/>
    <x v="0"/>
  </r>
  <r>
    <x v="0"/>
    <x v="30"/>
    <x v="10"/>
    <x v="362"/>
    <x v="362"/>
    <x v="14"/>
    <x v="0"/>
    <x v="361"/>
    <x v="351"/>
    <x v="2"/>
    <x v="353"/>
    <x v="0"/>
    <x v="0"/>
    <x v="0"/>
  </r>
  <r>
    <x v="0"/>
    <x v="30"/>
    <x v="2"/>
    <x v="363"/>
    <x v="363"/>
    <x v="123"/>
    <x v="0"/>
    <x v="362"/>
    <x v="352"/>
    <x v="0"/>
    <x v="354"/>
    <x v="0"/>
    <x v="0"/>
    <x v="0"/>
  </r>
  <r>
    <x v="13"/>
    <x v="31"/>
    <x v="7"/>
    <x v="364"/>
    <x v="364"/>
    <x v="124"/>
    <x v="1"/>
    <x v="363"/>
    <x v="353"/>
    <x v="2"/>
    <x v="355"/>
    <x v="5"/>
    <x v="3"/>
    <x v="0"/>
  </r>
  <r>
    <x v="0"/>
    <x v="30"/>
    <x v="26"/>
    <x v="365"/>
    <x v="365"/>
    <x v="90"/>
    <x v="0"/>
    <x v="364"/>
    <x v="354"/>
    <x v="0"/>
    <x v="356"/>
    <x v="4"/>
    <x v="0"/>
    <x v="1"/>
  </r>
  <r>
    <x v="1"/>
    <x v="31"/>
    <x v="30"/>
    <x v="366"/>
    <x v="366"/>
    <x v="13"/>
    <x v="0"/>
    <x v="365"/>
    <x v="355"/>
    <x v="0"/>
    <x v="357"/>
    <x v="4"/>
    <x v="0"/>
    <x v="0"/>
  </r>
  <r>
    <x v="1"/>
    <x v="29"/>
    <x v="6"/>
    <x v="367"/>
    <x v="367"/>
    <x v="4"/>
    <x v="0"/>
    <x v="366"/>
    <x v="356"/>
    <x v="0"/>
    <x v="358"/>
    <x v="2"/>
    <x v="0"/>
    <x v="0"/>
  </r>
  <r>
    <x v="1"/>
    <x v="29"/>
    <x v="7"/>
    <x v="368"/>
    <x v="368"/>
    <x v="86"/>
    <x v="0"/>
    <x v="367"/>
    <x v="357"/>
    <x v="2"/>
    <x v="359"/>
    <x v="2"/>
    <x v="0"/>
    <x v="0"/>
  </r>
  <r>
    <x v="3"/>
    <x v="30"/>
    <x v="7"/>
    <x v="369"/>
    <x v="369"/>
    <x v="75"/>
    <x v="0"/>
    <x v="368"/>
    <x v="358"/>
    <x v="0"/>
    <x v="360"/>
    <x v="2"/>
    <x v="0"/>
    <x v="0"/>
  </r>
  <r>
    <x v="1"/>
    <x v="31"/>
    <x v="30"/>
    <x v="370"/>
    <x v="370"/>
    <x v="125"/>
    <x v="0"/>
    <x v="369"/>
    <x v="85"/>
    <x v="0"/>
    <x v="85"/>
    <x v="2"/>
    <x v="0"/>
    <x v="0"/>
  </r>
  <r>
    <x v="1"/>
    <x v="31"/>
    <x v="26"/>
    <x v="371"/>
    <x v="371"/>
    <x v="126"/>
    <x v="0"/>
    <x v="370"/>
    <x v="359"/>
    <x v="0"/>
    <x v="361"/>
    <x v="2"/>
    <x v="0"/>
    <x v="0"/>
  </r>
  <r>
    <x v="1"/>
    <x v="31"/>
    <x v="28"/>
    <x v="372"/>
    <x v="372"/>
    <x v="4"/>
    <x v="0"/>
    <x v="371"/>
    <x v="360"/>
    <x v="2"/>
    <x v="362"/>
    <x v="2"/>
    <x v="0"/>
    <x v="0"/>
  </r>
  <r>
    <x v="1"/>
    <x v="31"/>
    <x v="8"/>
    <x v="373"/>
    <x v="373"/>
    <x v="88"/>
    <x v="0"/>
    <x v="372"/>
    <x v="361"/>
    <x v="4"/>
    <x v="363"/>
    <x v="4"/>
    <x v="1"/>
    <x v="0"/>
  </r>
  <r>
    <x v="0"/>
    <x v="29"/>
    <x v="18"/>
    <x v="374"/>
    <x v="374"/>
    <x v="53"/>
    <x v="0"/>
    <x v="373"/>
    <x v="362"/>
    <x v="0"/>
    <x v="364"/>
    <x v="2"/>
    <x v="0"/>
    <x v="1"/>
  </r>
  <r>
    <x v="1"/>
    <x v="31"/>
    <x v="20"/>
    <x v="375"/>
    <x v="375"/>
    <x v="9"/>
    <x v="0"/>
    <x v="374"/>
    <x v="363"/>
    <x v="4"/>
    <x v="365"/>
    <x v="2"/>
    <x v="1"/>
    <x v="0"/>
  </r>
  <r>
    <x v="1"/>
    <x v="31"/>
    <x v="20"/>
    <x v="376"/>
    <x v="376"/>
    <x v="20"/>
    <x v="0"/>
    <x v="375"/>
    <x v="364"/>
    <x v="4"/>
    <x v="366"/>
    <x v="2"/>
    <x v="1"/>
    <x v="0"/>
  </r>
  <r>
    <x v="1"/>
    <x v="31"/>
    <x v="14"/>
    <x v="377"/>
    <x v="377"/>
    <x v="47"/>
    <x v="0"/>
    <x v="376"/>
    <x v="365"/>
    <x v="4"/>
    <x v="367"/>
    <x v="1"/>
    <x v="1"/>
    <x v="0"/>
  </r>
  <r>
    <x v="1"/>
    <x v="31"/>
    <x v="16"/>
    <x v="378"/>
    <x v="378"/>
    <x v="90"/>
    <x v="0"/>
    <x v="377"/>
    <x v="366"/>
    <x v="0"/>
    <x v="368"/>
    <x v="1"/>
    <x v="0"/>
    <x v="0"/>
  </r>
  <r>
    <x v="1"/>
    <x v="31"/>
    <x v="15"/>
    <x v="379"/>
    <x v="379"/>
    <x v="53"/>
    <x v="0"/>
    <x v="378"/>
    <x v="367"/>
    <x v="0"/>
    <x v="369"/>
    <x v="1"/>
    <x v="0"/>
    <x v="0"/>
  </r>
  <r>
    <x v="1"/>
    <x v="31"/>
    <x v="26"/>
    <x v="380"/>
    <x v="380"/>
    <x v="22"/>
    <x v="0"/>
    <x v="379"/>
    <x v="368"/>
    <x v="0"/>
    <x v="370"/>
    <x v="1"/>
    <x v="0"/>
    <x v="0"/>
  </r>
  <r>
    <x v="1"/>
    <x v="31"/>
    <x v="6"/>
    <x v="381"/>
    <x v="381"/>
    <x v="28"/>
    <x v="0"/>
    <x v="380"/>
    <x v="369"/>
    <x v="4"/>
    <x v="371"/>
    <x v="1"/>
    <x v="2"/>
    <x v="0"/>
  </r>
  <r>
    <x v="0"/>
    <x v="31"/>
    <x v="29"/>
    <x v="382"/>
    <x v="382"/>
    <x v="110"/>
    <x v="0"/>
    <x v="381"/>
    <x v="370"/>
    <x v="0"/>
    <x v="372"/>
    <x v="1"/>
    <x v="0"/>
    <x v="0"/>
  </r>
  <r>
    <x v="3"/>
    <x v="31"/>
    <x v="11"/>
    <x v="383"/>
    <x v="383"/>
    <x v="127"/>
    <x v="0"/>
    <x v="382"/>
    <x v="371"/>
    <x v="8"/>
    <x v="373"/>
    <x v="0"/>
    <x v="0"/>
    <x v="0"/>
  </r>
  <r>
    <x v="0"/>
    <x v="31"/>
    <x v="10"/>
    <x v="384"/>
    <x v="384"/>
    <x v="61"/>
    <x v="0"/>
    <x v="383"/>
    <x v="372"/>
    <x v="0"/>
    <x v="374"/>
    <x v="0"/>
    <x v="0"/>
    <x v="0"/>
  </r>
  <r>
    <x v="15"/>
    <x v="31"/>
    <x v="22"/>
    <x v="385"/>
    <x v="385"/>
    <x v="12"/>
    <x v="0"/>
    <x v="384"/>
    <x v="373"/>
    <x v="4"/>
    <x v="375"/>
    <x v="0"/>
    <x v="1"/>
    <x v="0"/>
  </r>
  <r>
    <x v="3"/>
    <x v="31"/>
    <x v="19"/>
    <x v="386"/>
    <x v="386"/>
    <x v="59"/>
    <x v="0"/>
    <x v="385"/>
    <x v="374"/>
    <x v="0"/>
    <x v="376"/>
    <x v="0"/>
    <x v="0"/>
    <x v="0"/>
  </r>
  <r>
    <x v="1"/>
    <x v="31"/>
    <x v="29"/>
    <x v="387"/>
    <x v="387"/>
    <x v="10"/>
    <x v="0"/>
    <x v="386"/>
    <x v="375"/>
    <x v="1"/>
    <x v="377"/>
    <x v="0"/>
    <x v="1"/>
    <x v="0"/>
  </r>
  <r>
    <x v="1"/>
    <x v="31"/>
    <x v="13"/>
    <x v="388"/>
    <x v="388"/>
    <x v="93"/>
    <x v="0"/>
    <x v="387"/>
    <x v="376"/>
    <x v="0"/>
    <x v="378"/>
    <x v="0"/>
    <x v="0"/>
    <x v="0"/>
  </r>
  <r>
    <x v="8"/>
    <x v="31"/>
    <x v="12"/>
    <x v="389"/>
    <x v="389"/>
    <x v="30"/>
    <x v="0"/>
    <x v="388"/>
    <x v="377"/>
    <x v="4"/>
    <x v="379"/>
    <x v="0"/>
    <x v="0"/>
    <x v="0"/>
  </r>
  <r>
    <x v="2"/>
    <x v="31"/>
    <x v="15"/>
    <x v="390"/>
    <x v="390"/>
    <x v="100"/>
    <x v="0"/>
    <x v="389"/>
    <x v="378"/>
    <x v="0"/>
    <x v="380"/>
    <x v="2"/>
    <x v="0"/>
    <x v="0"/>
  </r>
  <r>
    <x v="7"/>
    <x v="31"/>
    <x v="6"/>
    <x v="391"/>
    <x v="391"/>
    <x v="0"/>
    <x v="0"/>
    <x v="390"/>
    <x v="379"/>
    <x v="2"/>
    <x v="381"/>
    <x v="2"/>
    <x v="2"/>
    <x v="0"/>
  </r>
  <r>
    <x v="0"/>
    <x v="26"/>
    <x v="0"/>
    <x v="392"/>
    <x v="392"/>
    <x v="4"/>
    <x v="0"/>
    <x v="391"/>
    <x v="380"/>
    <x v="10"/>
    <x v="382"/>
    <x v="5"/>
    <x v="0"/>
    <x v="0"/>
  </r>
  <r>
    <x v="9"/>
    <x v="28"/>
    <x v="3"/>
    <x v="393"/>
    <x v="393"/>
    <x v="128"/>
    <x v="0"/>
    <x v="392"/>
    <x v="381"/>
    <x v="0"/>
    <x v="383"/>
    <x v="5"/>
    <x v="0"/>
    <x v="0"/>
  </r>
  <r>
    <x v="1"/>
    <x v="28"/>
    <x v="4"/>
    <x v="394"/>
    <x v="394"/>
    <x v="20"/>
    <x v="0"/>
    <x v="393"/>
    <x v="382"/>
    <x v="4"/>
    <x v="384"/>
    <x v="5"/>
    <x v="1"/>
    <x v="0"/>
  </r>
  <r>
    <x v="1"/>
    <x v="30"/>
    <x v="12"/>
    <x v="395"/>
    <x v="395"/>
    <x v="13"/>
    <x v="0"/>
    <x v="394"/>
    <x v="383"/>
    <x v="4"/>
    <x v="385"/>
    <x v="5"/>
    <x v="1"/>
    <x v="0"/>
  </r>
  <r>
    <x v="1"/>
    <x v="30"/>
    <x v="12"/>
    <x v="396"/>
    <x v="396"/>
    <x v="23"/>
    <x v="0"/>
    <x v="395"/>
    <x v="384"/>
    <x v="0"/>
    <x v="386"/>
    <x v="5"/>
    <x v="2"/>
    <x v="0"/>
  </r>
  <r>
    <x v="1"/>
    <x v="30"/>
    <x v="28"/>
    <x v="397"/>
    <x v="397"/>
    <x v="11"/>
    <x v="0"/>
    <x v="396"/>
    <x v="385"/>
    <x v="4"/>
    <x v="387"/>
    <x v="5"/>
    <x v="1"/>
    <x v="0"/>
  </r>
  <r>
    <x v="0"/>
    <x v="30"/>
    <x v="9"/>
    <x v="398"/>
    <x v="398"/>
    <x v="98"/>
    <x v="0"/>
    <x v="397"/>
    <x v="386"/>
    <x v="0"/>
    <x v="388"/>
    <x v="5"/>
    <x v="2"/>
    <x v="0"/>
  </r>
  <r>
    <x v="1"/>
    <x v="31"/>
    <x v="13"/>
    <x v="399"/>
    <x v="399"/>
    <x v="39"/>
    <x v="0"/>
    <x v="398"/>
    <x v="387"/>
    <x v="0"/>
    <x v="389"/>
    <x v="5"/>
    <x v="0"/>
    <x v="0"/>
  </r>
  <r>
    <x v="1"/>
    <x v="31"/>
    <x v="6"/>
    <x v="400"/>
    <x v="400"/>
    <x v="10"/>
    <x v="0"/>
    <x v="399"/>
    <x v="388"/>
    <x v="4"/>
    <x v="390"/>
    <x v="5"/>
    <x v="1"/>
    <x v="0"/>
  </r>
  <r>
    <x v="0"/>
    <x v="31"/>
    <x v="6"/>
    <x v="401"/>
    <x v="401"/>
    <x v="45"/>
    <x v="0"/>
    <x v="400"/>
    <x v="389"/>
    <x v="1"/>
    <x v="391"/>
    <x v="0"/>
    <x v="0"/>
    <x v="0"/>
  </r>
  <r>
    <x v="0"/>
    <x v="31"/>
    <x v="11"/>
    <x v="402"/>
    <x v="402"/>
    <x v="11"/>
    <x v="0"/>
    <x v="401"/>
    <x v="390"/>
    <x v="2"/>
    <x v="392"/>
    <x v="5"/>
    <x v="0"/>
    <x v="0"/>
  </r>
  <r>
    <x v="0"/>
    <x v="32"/>
    <x v="15"/>
    <x v="403"/>
    <x v="403"/>
    <x v="12"/>
    <x v="0"/>
    <x v="402"/>
    <x v="391"/>
    <x v="4"/>
    <x v="393"/>
    <x v="4"/>
    <x v="0"/>
    <x v="0"/>
  </r>
  <r>
    <x v="1"/>
    <x v="32"/>
    <x v="27"/>
    <x v="404"/>
    <x v="404"/>
    <x v="28"/>
    <x v="0"/>
    <x v="403"/>
    <x v="392"/>
    <x v="2"/>
    <x v="394"/>
    <x v="4"/>
    <x v="0"/>
    <x v="0"/>
  </r>
  <r>
    <x v="1"/>
    <x v="32"/>
    <x v="13"/>
    <x v="405"/>
    <x v="405"/>
    <x v="12"/>
    <x v="0"/>
    <x v="404"/>
    <x v="393"/>
    <x v="4"/>
    <x v="395"/>
    <x v="4"/>
    <x v="1"/>
    <x v="0"/>
  </r>
  <r>
    <x v="1"/>
    <x v="32"/>
    <x v="30"/>
    <x v="406"/>
    <x v="406"/>
    <x v="14"/>
    <x v="0"/>
    <x v="405"/>
    <x v="394"/>
    <x v="4"/>
    <x v="396"/>
    <x v="4"/>
    <x v="0"/>
    <x v="0"/>
  </r>
  <r>
    <x v="6"/>
    <x v="31"/>
    <x v="8"/>
    <x v="407"/>
    <x v="407"/>
    <x v="11"/>
    <x v="0"/>
    <x v="406"/>
    <x v="395"/>
    <x v="4"/>
    <x v="397"/>
    <x v="2"/>
    <x v="1"/>
    <x v="0"/>
  </r>
  <r>
    <x v="8"/>
    <x v="32"/>
    <x v="30"/>
    <x v="408"/>
    <x v="408"/>
    <x v="98"/>
    <x v="0"/>
    <x v="407"/>
    <x v="396"/>
    <x v="0"/>
    <x v="398"/>
    <x v="2"/>
    <x v="0"/>
    <x v="0"/>
  </r>
  <r>
    <x v="1"/>
    <x v="32"/>
    <x v="28"/>
    <x v="409"/>
    <x v="409"/>
    <x v="81"/>
    <x v="0"/>
    <x v="316"/>
    <x v="397"/>
    <x v="4"/>
    <x v="399"/>
    <x v="2"/>
    <x v="1"/>
    <x v="0"/>
  </r>
  <r>
    <x v="0"/>
    <x v="32"/>
    <x v="20"/>
    <x v="410"/>
    <x v="410"/>
    <x v="129"/>
    <x v="0"/>
    <x v="408"/>
    <x v="398"/>
    <x v="0"/>
    <x v="400"/>
    <x v="2"/>
    <x v="2"/>
    <x v="0"/>
  </r>
  <r>
    <x v="7"/>
    <x v="32"/>
    <x v="28"/>
    <x v="411"/>
    <x v="411"/>
    <x v="0"/>
    <x v="0"/>
    <x v="409"/>
    <x v="399"/>
    <x v="0"/>
    <x v="401"/>
    <x v="2"/>
    <x v="0"/>
    <x v="0"/>
  </r>
  <r>
    <x v="7"/>
    <x v="32"/>
    <x v="14"/>
    <x v="412"/>
    <x v="412"/>
    <x v="130"/>
    <x v="0"/>
    <x v="410"/>
    <x v="400"/>
    <x v="0"/>
    <x v="402"/>
    <x v="2"/>
    <x v="0"/>
    <x v="0"/>
  </r>
  <r>
    <x v="1"/>
    <x v="32"/>
    <x v="25"/>
    <x v="413"/>
    <x v="413"/>
    <x v="11"/>
    <x v="0"/>
    <x v="411"/>
    <x v="401"/>
    <x v="1"/>
    <x v="403"/>
    <x v="1"/>
    <x v="0"/>
    <x v="0"/>
  </r>
  <r>
    <x v="0"/>
    <x v="32"/>
    <x v="18"/>
    <x v="414"/>
    <x v="414"/>
    <x v="72"/>
    <x v="0"/>
    <x v="412"/>
    <x v="402"/>
    <x v="1"/>
    <x v="404"/>
    <x v="1"/>
    <x v="1"/>
    <x v="0"/>
  </r>
  <r>
    <x v="1"/>
    <x v="32"/>
    <x v="20"/>
    <x v="415"/>
    <x v="415"/>
    <x v="120"/>
    <x v="0"/>
    <x v="413"/>
    <x v="403"/>
    <x v="0"/>
    <x v="405"/>
    <x v="1"/>
    <x v="0"/>
    <x v="0"/>
  </r>
  <r>
    <x v="12"/>
    <x v="32"/>
    <x v="17"/>
    <x v="416"/>
    <x v="416"/>
    <x v="106"/>
    <x v="0"/>
    <x v="414"/>
    <x v="404"/>
    <x v="0"/>
    <x v="406"/>
    <x v="1"/>
    <x v="0"/>
    <x v="0"/>
  </r>
  <r>
    <x v="0"/>
    <x v="32"/>
    <x v="14"/>
    <x v="417"/>
    <x v="417"/>
    <x v="131"/>
    <x v="0"/>
    <x v="415"/>
    <x v="405"/>
    <x v="0"/>
    <x v="407"/>
    <x v="1"/>
    <x v="0"/>
    <x v="0"/>
  </r>
  <r>
    <x v="0"/>
    <x v="32"/>
    <x v="16"/>
    <x v="418"/>
    <x v="418"/>
    <x v="29"/>
    <x v="0"/>
    <x v="416"/>
    <x v="406"/>
    <x v="4"/>
    <x v="408"/>
    <x v="1"/>
    <x v="0"/>
    <x v="0"/>
  </r>
  <r>
    <x v="0"/>
    <x v="32"/>
    <x v="11"/>
    <x v="419"/>
    <x v="419"/>
    <x v="45"/>
    <x v="0"/>
    <x v="417"/>
    <x v="407"/>
    <x v="4"/>
    <x v="409"/>
    <x v="1"/>
    <x v="0"/>
    <x v="0"/>
  </r>
  <r>
    <x v="1"/>
    <x v="32"/>
    <x v="23"/>
    <x v="420"/>
    <x v="420"/>
    <x v="39"/>
    <x v="0"/>
    <x v="418"/>
    <x v="408"/>
    <x v="4"/>
    <x v="410"/>
    <x v="1"/>
    <x v="1"/>
    <x v="0"/>
  </r>
  <r>
    <x v="4"/>
    <x v="32"/>
    <x v="17"/>
    <x v="421"/>
    <x v="421"/>
    <x v="132"/>
    <x v="0"/>
    <x v="419"/>
    <x v="409"/>
    <x v="8"/>
    <x v="411"/>
    <x v="1"/>
    <x v="0"/>
    <x v="0"/>
  </r>
  <r>
    <x v="0"/>
    <x v="32"/>
    <x v="20"/>
    <x v="422"/>
    <x v="422"/>
    <x v="21"/>
    <x v="0"/>
    <x v="420"/>
    <x v="410"/>
    <x v="4"/>
    <x v="412"/>
    <x v="2"/>
    <x v="1"/>
    <x v="0"/>
  </r>
  <r>
    <x v="2"/>
    <x v="32"/>
    <x v="8"/>
    <x v="423"/>
    <x v="423"/>
    <x v="19"/>
    <x v="0"/>
    <x v="421"/>
    <x v="411"/>
    <x v="4"/>
    <x v="413"/>
    <x v="0"/>
    <x v="0"/>
    <x v="0"/>
  </r>
  <r>
    <x v="5"/>
    <x v="32"/>
    <x v="14"/>
    <x v="424"/>
    <x v="424"/>
    <x v="19"/>
    <x v="0"/>
    <x v="422"/>
    <x v="412"/>
    <x v="0"/>
    <x v="414"/>
    <x v="0"/>
    <x v="0"/>
    <x v="0"/>
  </r>
  <r>
    <x v="0"/>
    <x v="32"/>
    <x v="19"/>
    <x v="425"/>
    <x v="425"/>
    <x v="133"/>
    <x v="0"/>
    <x v="423"/>
    <x v="413"/>
    <x v="10"/>
    <x v="415"/>
    <x v="0"/>
    <x v="0"/>
    <x v="0"/>
  </r>
  <r>
    <x v="1"/>
    <x v="32"/>
    <x v="8"/>
    <x v="426"/>
    <x v="426"/>
    <x v="134"/>
    <x v="0"/>
    <x v="172"/>
    <x v="414"/>
    <x v="0"/>
    <x v="416"/>
    <x v="0"/>
    <x v="0"/>
    <x v="0"/>
  </r>
  <r>
    <x v="0"/>
    <x v="32"/>
    <x v="17"/>
    <x v="427"/>
    <x v="427"/>
    <x v="56"/>
    <x v="0"/>
    <x v="424"/>
    <x v="415"/>
    <x v="10"/>
    <x v="417"/>
    <x v="0"/>
    <x v="0"/>
    <x v="0"/>
  </r>
  <r>
    <x v="0"/>
    <x v="32"/>
    <x v="20"/>
    <x v="428"/>
    <x v="428"/>
    <x v="23"/>
    <x v="0"/>
    <x v="425"/>
    <x v="310"/>
    <x v="0"/>
    <x v="311"/>
    <x v="0"/>
    <x v="0"/>
    <x v="0"/>
  </r>
  <r>
    <x v="3"/>
    <x v="32"/>
    <x v="7"/>
    <x v="429"/>
    <x v="429"/>
    <x v="19"/>
    <x v="0"/>
    <x v="426"/>
    <x v="416"/>
    <x v="0"/>
    <x v="418"/>
    <x v="0"/>
    <x v="0"/>
    <x v="0"/>
  </r>
  <r>
    <x v="0"/>
    <x v="32"/>
    <x v="17"/>
    <x v="430"/>
    <x v="430"/>
    <x v="133"/>
    <x v="0"/>
    <x v="427"/>
    <x v="417"/>
    <x v="0"/>
    <x v="419"/>
    <x v="0"/>
    <x v="0"/>
    <x v="0"/>
  </r>
  <r>
    <x v="1"/>
    <x v="32"/>
    <x v="28"/>
    <x v="431"/>
    <x v="431"/>
    <x v="31"/>
    <x v="0"/>
    <x v="428"/>
    <x v="418"/>
    <x v="4"/>
    <x v="420"/>
    <x v="0"/>
    <x v="1"/>
    <x v="0"/>
  </r>
  <r>
    <x v="0"/>
    <x v="32"/>
    <x v="20"/>
    <x v="432"/>
    <x v="432"/>
    <x v="36"/>
    <x v="0"/>
    <x v="429"/>
    <x v="419"/>
    <x v="11"/>
    <x v="421"/>
    <x v="0"/>
    <x v="1"/>
    <x v="0"/>
  </r>
  <r>
    <x v="5"/>
    <x v="32"/>
    <x v="19"/>
    <x v="433"/>
    <x v="433"/>
    <x v="101"/>
    <x v="0"/>
    <x v="430"/>
    <x v="420"/>
    <x v="0"/>
    <x v="422"/>
    <x v="0"/>
    <x v="0"/>
    <x v="0"/>
  </r>
  <r>
    <x v="4"/>
    <x v="32"/>
    <x v="9"/>
    <x v="434"/>
    <x v="434"/>
    <x v="112"/>
    <x v="0"/>
    <x v="431"/>
    <x v="421"/>
    <x v="8"/>
    <x v="423"/>
    <x v="0"/>
    <x v="0"/>
    <x v="0"/>
  </r>
  <r>
    <x v="1"/>
    <x v="32"/>
    <x v="27"/>
    <x v="435"/>
    <x v="435"/>
    <x v="9"/>
    <x v="0"/>
    <x v="432"/>
    <x v="422"/>
    <x v="1"/>
    <x v="424"/>
    <x v="0"/>
    <x v="1"/>
    <x v="0"/>
  </r>
  <r>
    <x v="9"/>
    <x v="32"/>
    <x v="26"/>
    <x v="436"/>
    <x v="436"/>
    <x v="109"/>
    <x v="0"/>
    <x v="433"/>
    <x v="423"/>
    <x v="3"/>
    <x v="425"/>
    <x v="0"/>
    <x v="0"/>
    <x v="0"/>
  </r>
  <r>
    <x v="1"/>
    <x v="32"/>
    <x v="6"/>
    <x v="437"/>
    <x v="437"/>
    <x v="54"/>
    <x v="0"/>
    <x v="434"/>
    <x v="424"/>
    <x v="0"/>
    <x v="426"/>
    <x v="5"/>
    <x v="0"/>
    <x v="0"/>
  </r>
  <r>
    <x v="0"/>
    <x v="29"/>
    <x v="25"/>
    <x v="438"/>
    <x v="438"/>
    <x v="135"/>
    <x v="0"/>
    <x v="435"/>
    <x v="425"/>
    <x v="2"/>
    <x v="427"/>
    <x v="5"/>
    <x v="0"/>
    <x v="1"/>
  </r>
  <r>
    <x v="0"/>
    <x v="30"/>
    <x v="6"/>
    <x v="439"/>
    <x v="439"/>
    <x v="13"/>
    <x v="0"/>
    <x v="436"/>
    <x v="426"/>
    <x v="1"/>
    <x v="428"/>
    <x v="5"/>
    <x v="0"/>
    <x v="1"/>
  </r>
  <r>
    <x v="12"/>
    <x v="32"/>
    <x v="12"/>
    <x v="440"/>
    <x v="440"/>
    <x v="62"/>
    <x v="0"/>
    <x v="437"/>
    <x v="427"/>
    <x v="2"/>
    <x v="429"/>
    <x v="5"/>
    <x v="0"/>
    <x v="0"/>
  </r>
  <r>
    <x v="8"/>
    <x v="32"/>
    <x v="25"/>
    <x v="441"/>
    <x v="441"/>
    <x v="136"/>
    <x v="0"/>
    <x v="438"/>
    <x v="428"/>
    <x v="0"/>
    <x v="430"/>
    <x v="1"/>
    <x v="0"/>
    <x v="0"/>
  </r>
  <r>
    <x v="1"/>
    <x v="32"/>
    <x v="24"/>
    <x v="442"/>
    <x v="442"/>
    <x v="58"/>
    <x v="0"/>
    <x v="439"/>
    <x v="429"/>
    <x v="0"/>
    <x v="431"/>
    <x v="1"/>
    <x v="0"/>
    <x v="0"/>
  </r>
  <r>
    <x v="6"/>
    <x v="32"/>
    <x v="11"/>
    <x v="443"/>
    <x v="443"/>
    <x v="0"/>
    <x v="0"/>
    <x v="440"/>
    <x v="430"/>
    <x v="2"/>
    <x v="432"/>
    <x v="4"/>
    <x v="0"/>
    <x v="0"/>
  </r>
  <r>
    <x v="0"/>
    <x v="33"/>
    <x v="19"/>
    <x v="444"/>
    <x v="444"/>
    <x v="1"/>
    <x v="0"/>
    <x v="441"/>
    <x v="431"/>
    <x v="1"/>
    <x v="433"/>
    <x v="2"/>
    <x v="0"/>
    <x v="0"/>
  </r>
  <r>
    <x v="0"/>
    <x v="33"/>
    <x v="9"/>
    <x v="445"/>
    <x v="445"/>
    <x v="34"/>
    <x v="0"/>
    <x v="442"/>
    <x v="432"/>
    <x v="4"/>
    <x v="434"/>
    <x v="4"/>
    <x v="0"/>
    <x v="0"/>
  </r>
  <r>
    <x v="8"/>
    <x v="33"/>
    <x v="13"/>
    <x v="446"/>
    <x v="446"/>
    <x v="55"/>
    <x v="0"/>
    <x v="443"/>
    <x v="433"/>
    <x v="0"/>
    <x v="435"/>
    <x v="4"/>
    <x v="2"/>
    <x v="0"/>
  </r>
  <r>
    <x v="0"/>
    <x v="33"/>
    <x v="21"/>
    <x v="447"/>
    <x v="447"/>
    <x v="107"/>
    <x v="0"/>
    <x v="444"/>
    <x v="434"/>
    <x v="0"/>
    <x v="436"/>
    <x v="2"/>
    <x v="0"/>
    <x v="1"/>
  </r>
  <r>
    <x v="0"/>
    <x v="33"/>
    <x v="14"/>
    <x v="448"/>
    <x v="448"/>
    <x v="50"/>
    <x v="0"/>
    <x v="445"/>
    <x v="435"/>
    <x v="0"/>
    <x v="437"/>
    <x v="4"/>
    <x v="0"/>
    <x v="0"/>
  </r>
  <r>
    <x v="8"/>
    <x v="33"/>
    <x v="14"/>
    <x v="449"/>
    <x v="449"/>
    <x v="77"/>
    <x v="0"/>
    <x v="446"/>
    <x v="436"/>
    <x v="0"/>
    <x v="438"/>
    <x v="1"/>
    <x v="0"/>
    <x v="0"/>
  </r>
  <r>
    <x v="0"/>
    <x v="33"/>
    <x v="18"/>
    <x v="450"/>
    <x v="450"/>
    <x v="60"/>
    <x v="0"/>
    <x v="447"/>
    <x v="437"/>
    <x v="0"/>
    <x v="439"/>
    <x v="1"/>
    <x v="0"/>
    <x v="0"/>
  </r>
  <r>
    <x v="0"/>
    <x v="33"/>
    <x v="20"/>
    <x v="451"/>
    <x v="451"/>
    <x v="20"/>
    <x v="0"/>
    <x v="448"/>
    <x v="438"/>
    <x v="4"/>
    <x v="440"/>
    <x v="1"/>
    <x v="1"/>
    <x v="0"/>
  </r>
  <r>
    <x v="0"/>
    <x v="33"/>
    <x v="12"/>
    <x v="452"/>
    <x v="452"/>
    <x v="45"/>
    <x v="0"/>
    <x v="449"/>
    <x v="439"/>
    <x v="0"/>
    <x v="441"/>
    <x v="0"/>
    <x v="0"/>
    <x v="0"/>
  </r>
  <r>
    <x v="8"/>
    <x v="33"/>
    <x v="23"/>
    <x v="453"/>
    <x v="453"/>
    <x v="61"/>
    <x v="0"/>
    <x v="450"/>
    <x v="440"/>
    <x v="0"/>
    <x v="442"/>
    <x v="0"/>
    <x v="0"/>
    <x v="0"/>
  </r>
  <r>
    <x v="4"/>
    <x v="33"/>
    <x v="14"/>
    <x v="454"/>
    <x v="454"/>
    <x v="137"/>
    <x v="0"/>
    <x v="451"/>
    <x v="441"/>
    <x v="0"/>
    <x v="443"/>
    <x v="0"/>
    <x v="0"/>
    <x v="0"/>
  </r>
  <r>
    <x v="1"/>
    <x v="33"/>
    <x v="8"/>
    <x v="455"/>
    <x v="455"/>
    <x v="138"/>
    <x v="0"/>
    <x v="452"/>
    <x v="442"/>
    <x v="1"/>
    <x v="444"/>
    <x v="0"/>
    <x v="1"/>
    <x v="0"/>
  </r>
  <r>
    <x v="0"/>
    <x v="33"/>
    <x v="8"/>
    <x v="456"/>
    <x v="456"/>
    <x v="28"/>
    <x v="0"/>
    <x v="453"/>
    <x v="443"/>
    <x v="1"/>
    <x v="445"/>
    <x v="0"/>
    <x v="1"/>
    <x v="0"/>
  </r>
  <r>
    <x v="0"/>
    <x v="33"/>
    <x v="25"/>
    <x v="457"/>
    <x v="457"/>
    <x v="10"/>
    <x v="0"/>
    <x v="454"/>
    <x v="444"/>
    <x v="4"/>
    <x v="446"/>
    <x v="0"/>
    <x v="1"/>
    <x v="1"/>
  </r>
  <r>
    <x v="4"/>
    <x v="33"/>
    <x v="8"/>
    <x v="458"/>
    <x v="458"/>
    <x v="28"/>
    <x v="0"/>
    <x v="264"/>
    <x v="445"/>
    <x v="1"/>
    <x v="447"/>
    <x v="0"/>
    <x v="2"/>
    <x v="0"/>
  </r>
  <r>
    <x v="1"/>
    <x v="33"/>
    <x v="21"/>
    <x v="459"/>
    <x v="459"/>
    <x v="23"/>
    <x v="0"/>
    <x v="455"/>
    <x v="446"/>
    <x v="0"/>
    <x v="448"/>
    <x v="0"/>
    <x v="0"/>
    <x v="0"/>
  </r>
  <r>
    <x v="8"/>
    <x v="33"/>
    <x v="28"/>
    <x v="460"/>
    <x v="460"/>
    <x v="63"/>
    <x v="0"/>
    <x v="456"/>
    <x v="447"/>
    <x v="3"/>
    <x v="449"/>
    <x v="2"/>
    <x v="0"/>
    <x v="0"/>
  </r>
  <r>
    <x v="0"/>
    <x v="33"/>
    <x v="13"/>
    <x v="461"/>
    <x v="461"/>
    <x v="88"/>
    <x v="0"/>
    <x v="457"/>
    <x v="448"/>
    <x v="4"/>
    <x v="450"/>
    <x v="2"/>
    <x v="1"/>
    <x v="0"/>
  </r>
  <r>
    <x v="1"/>
    <x v="33"/>
    <x v="7"/>
    <x v="462"/>
    <x v="462"/>
    <x v="11"/>
    <x v="0"/>
    <x v="458"/>
    <x v="401"/>
    <x v="2"/>
    <x v="451"/>
    <x v="5"/>
    <x v="2"/>
    <x v="0"/>
  </r>
  <r>
    <x v="1"/>
    <x v="33"/>
    <x v="10"/>
    <x v="463"/>
    <x v="463"/>
    <x v="13"/>
    <x v="0"/>
    <x v="459"/>
    <x v="449"/>
    <x v="0"/>
    <x v="452"/>
    <x v="5"/>
    <x v="0"/>
    <x v="0"/>
  </r>
  <r>
    <x v="1"/>
    <x v="33"/>
    <x v="27"/>
    <x v="464"/>
    <x v="464"/>
    <x v="0"/>
    <x v="0"/>
    <x v="460"/>
    <x v="450"/>
    <x v="2"/>
    <x v="453"/>
    <x v="5"/>
    <x v="0"/>
    <x v="0"/>
  </r>
  <r>
    <x v="0"/>
    <x v="33"/>
    <x v="30"/>
    <x v="465"/>
    <x v="465"/>
    <x v="14"/>
    <x v="0"/>
    <x v="461"/>
    <x v="451"/>
    <x v="2"/>
    <x v="454"/>
    <x v="5"/>
    <x v="0"/>
    <x v="1"/>
  </r>
  <r>
    <x v="15"/>
    <x v="33"/>
    <x v="28"/>
    <x v="466"/>
    <x v="466"/>
    <x v="13"/>
    <x v="0"/>
    <x v="462"/>
    <x v="452"/>
    <x v="1"/>
    <x v="455"/>
    <x v="0"/>
    <x v="1"/>
    <x v="0"/>
  </r>
  <r>
    <x v="1"/>
    <x v="33"/>
    <x v="16"/>
    <x v="467"/>
    <x v="467"/>
    <x v="57"/>
    <x v="0"/>
    <x v="463"/>
    <x v="453"/>
    <x v="0"/>
    <x v="456"/>
    <x v="0"/>
    <x v="0"/>
    <x v="0"/>
  </r>
  <r>
    <x v="1"/>
    <x v="33"/>
    <x v="19"/>
    <x v="468"/>
    <x v="468"/>
    <x v="2"/>
    <x v="0"/>
    <x v="464"/>
    <x v="454"/>
    <x v="2"/>
    <x v="457"/>
    <x v="5"/>
    <x v="0"/>
    <x v="0"/>
  </r>
  <r>
    <x v="5"/>
    <x v="34"/>
    <x v="16"/>
    <x v="469"/>
    <x v="469"/>
    <x v="139"/>
    <x v="0"/>
    <x v="465"/>
    <x v="455"/>
    <x v="0"/>
    <x v="458"/>
    <x v="2"/>
    <x v="0"/>
    <x v="0"/>
  </r>
  <r>
    <x v="0"/>
    <x v="34"/>
    <x v="24"/>
    <x v="470"/>
    <x v="470"/>
    <x v="24"/>
    <x v="0"/>
    <x v="466"/>
    <x v="456"/>
    <x v="0"/>
    <x v="459"/>
    <x v="4"/>
    <x v="0"/>
    <x v="0"/>
  </r>
  <r>
    <x v="1"/>
    <x v="34"/>
    <x v="17"/>
    <x v="471"/>
    <x v="471"/>
    <x v="56"/>
    <x v="0"/>
    <x v="467"/>
    <x v="457"/>
    <x v="1"/>
    <x v="460"/>
    <x v="4"/>
    <x v="0"/>
    <x v="0"/>
  </r>
  <r>
    <x v="1"/>
    <x v="34"/>
    <x v="25"/>
    <x v="472"/>
    <x v="472"/>
    <x v="68"/>
    <x v="0"/>
    <x v="468"/>
    <x v="458"/>
    <x v="0"/>
    <x v="461"/>
    <x v="0"/>
    <x v="0"/>
    <x v="0"/>
  </r>
  <r>
    <x v="0"/>
    <x v="34"/>
    <x v="24"/>
    <x v="473"/>
    <x v="473"/>
    <x v="30"/>
    <x v="0"/>
    <x v="469"/>
    <x v="459"/>
    <x v="0"/>
    <x v="462"/>
    <x v="0"/>
    <x v="0"/>
    <x v="0"/>
  </r>
  <r>
    <x v="0"/>
    <x v="34"/>
    <x v="24"/>
    <x v="474"/>
    <x v="474"/>
    <x v="54"/>
    <x v="0"/>
    <x v="470"/>
    <x v="460"/>
    <x v="10"/>
    <x v="463"/>
    <x v="0"/>
    <x v="0"/>
    <x v="0"/>
  </r>
  <r>
    <x v="0"/>
    <x v="34"/>
    <x v="26"/>
    <x v="475"/>
    <x v="475"/>
    <x v="12"/>
    <x v="0"/>
    <x v="471"/>
    <x v="461"/>
    <x v="4"/>
    <x v="464"/>
    <x v="0"/>
    <x v="1"/>
    <x v="0"/>
  </r>
  <r>
    <x v="0"/>
    <x v="34"/>
    <x v="9"/>
    <x v="476"/>
    <x v="476"/>
    <x v="11"/>
    <x v="0"/>
    <x v="472"/>
    <x v="462"/>
    <x v="4"/>
    <x v="465"/>
    <x v="0"/>
    <x v="1"/>
    <x v="0"/>
  </r>
  <r>
    <x v="0"/>
    <x v="34"/>
    <x v="25"/>
    <x v="477"/>
    <x v="477"/>
    <x v="9"/>
    <x v="0"/>
    <x v="473"/>
    <x v="463"/>
    <x v="4"/>
    <x v="466"/>
    <x v="0"/>
    <x v="1"/>
    <x v="0"/>
  </r>
  <r>
    <x v="4"/>
    <x v="34"/>
    <x v="26"/>
    <x v="478"/>
    <x v="478"/>
    <x v="13"/>
    <x v="0"/>
    <x v="474"/>
    <x v="464"/>
    <x v="2"/>
    <x v="467"/>
    <x v="0"/>
    <x v="0"/>
    <x v="0"/>
  </r>
  <r>
    <x v="0"/>
    <x v="34"/>
    <x v="23"/>
    <x v="479"/>
    <x v="479"/>
    <x v="54"/>
    <x v="0"/>
    <x v="475"/>
    <x v="465"/>
    <x v="10"/>
    <x v="468"/>
    <x v="0"/>
    <x v="0"/>
    <x v="0"/>
  </r>
  <r>
    <x v="0"/>
    <x v="34"/>
    <x v="20"/>
    <x v="480"/>
    <x v="480"/>
    <x v="21"/>
    <x v="0"/>
    <x v="476"/>
    <x v="466"/>
    <x v="4"/>
    <x v="469"/>
    <x v="0"/>
    <x v="1"/>
    <x v="0"/>
  </r>
  <r>
    <x v="9"/>
    <x v="34"/>
    <x v="29"/>
    <x v="481"/>
    <x v="481"/>
    <x v="41"/>
    <x v="0"/>
    <x v="477"/>
    <x v="467"/>
    <x v="0"/>
    <x v="470"/>
    <x v="0"/>
    <x v="0"/>
    <x v="0"/>
  </r>
  <r>
    <x v="0"/>
    <x v="34"/>
    <x v="24"/>
    <x v="482"/>
    <x v="482"/>
    <x v="55"/>
    <x v="0"/>
    <x v="478"/>
    <x v="468"/>
    <x v="0"/>
    <x v="471"/>
    <x v="1"/>
    <x v="0"/>
    <x v="0"/>
  </r>
  <r>
    <x v="0"/>
    <x v="34"/>
    <x v="14"/>
    <x v="483"/>
    <x v="483"/>
    <x v="62"/>
    <x v="0"/>
    <x v="479"/>
    <x v="469"/>
    <x v="4"/>
    <x v="472"/>
    <x v="1"/>
    <x v="0"/>
    <x v="0"/>
  </r>
  <r>
    <x v="1"/>
    <x v="34"/>
    <x v="26"/>
    <x v="484"/>
    <x v="484"/>
    <x v="19"/>
    <x v="0"/>
    <x v="480"/>
    <x v="470"/>
    <x v="4"/>
    <x v="473"/>
    <x v="1"/>
    <x v="0"/>
    <x v="0"/>
  </r>
  <r>
    <x v="0"/>
    <x v="34"/>
    <x v="24"/>
    <x v="485"/>
    <x v="485"/>
    <x v="81"/>
    <x v="0"/>
    <x v="481"/>
    <x v="471"/>
    <x v="4"/>
    <x v="474"/>
    <x v="1"/>
    <x v="1"/>
    <x v="0"/>
  </r>
  <r>
    <x v="0"/>
    <x v="34"/>
    <x v="24"/>
    <x v="486"/>
    <x v="486"/>
    <x v="9"/>
    <x v="0"/>
    <x v="482"/>
    <x v="472"/>
    <x v="4"/>
    <x v="475"/>
    <x v="2"/>
    <x v="1"/>
    <x v="0"/>
  </r>
  <r>
    <x v="0"/>
    <x v="34"/>
    <x v="20"/>
    <x v="487"/>
    <x v="487"/>
    <x v="140"/>
    <x v="0"/>
    <x v="483"/>
    <x v="473"/>
    <x v="0"/>
    <x v="476"/>
    <x v="2"/>
    <x v="0"/>
    <x v="0"/>
  </r>
  <r>
    <x v="0"/>
    <x v="34"/>
    <x v="10"/>
    <x v="488"/>
    <x v="488"/>
    <x v="41"/>
    <x v="0"/>
    <x v="484"/>
    <x v="474"/>
    <x v="0"/>
    <x v="477"/>
    <x v="2"/>
    <x v="2"/>
    <x v="0"/>
  </r>
  <r>
    <x v="0"/>
    <x v="34"/>
    <x v="22"/>
    <x v="489"/>
    <x v="489"/>
    <x v="47"/>
    <x v="0"/>
    <x v="485"/>
    <x v="475"/>
    <x v="4"/>
    <x v="478"/>
    <x v="2"/>
    <x v="1"/>
    <x v="0"/>
  </r>
  <r>
    <x v="12"/>
    <x v="34"/>
    <x v="12"/>
    <x v="490"/>
    <x v="490"/>
    <x v="10"/>
    <x v="0"/>
    <x v="486"/>
    <x v="476"/>
    <x v="4"/>
    <x v="479"/>
    <x v="5"/>
    <x v="1"/>
    <x v="0"/>
  </r>
  <r>
    <x v="0"/>
    <x v="34"/>
    <x v="23"/>
    <x v="491"/>
    <x v="491"/>
    <x v="90"/>
    <x v="0"/>
    <x v="487"/>
    <x v="477"/>
    <x v="1"/>
    <x v="480"/>
    <x v="5"/>
    <x v="0"/>
    <x v="0"/>
  </r>
  <r>
    <x v="0"/>
    <x v="34"/>
    <x v="18"/>
    <x v="492"/>
    <x v="492"/>
    <x v="11"/>
    <x v="0"/>
    <x v="488"/>
    <x v="478"/>
    <x v="4"/>
    <x v="481"/>
    <x v="5"/>
    <x v="1"/>
    <x v="0"/>
  </r>
  <r>
    <x v="3"/>
    <x v="34"/>
    <x v="29"/>
    <x v="493"/>
    <x v="493"/>
    <x v="90"/>
    <x v="0"/>
    <x v="489"/>
    <x v="479"/>
    <x v="0"/>
    <x v="482"/>
    <x v="2"/>
    <x v="0"/>
    <x v="0"/>
  </r>
  <r>
    <x v="1"/>
    <x v="35"/>
    <x v="20"/>
    <x v="494"/>
    <x v="494"/>
    <x v="47"/>
    <x v="0"/>
    <x v="490"/>
    <x v="480"/>
    <x v="4"/>
    <x v="483"/>
    <x v="2"/>
    <x v="1"/>
    <x v="0"/>
  </r>
  <r>
    <x v="0"/>
    <x v="34"/>
    <x v="12"/>
    <x v="495"/>
    <x v="495"/>
    <x v="21"/>
    <x v="0"/>
    <x v="491"/>
    <x v="481"/>
    <x v="4"/>
    <x v="484"/>
    <x v="4"/>
    <x v="1"/>
    <x v="0"/>
  </r>
  <r>
    <x v="11"/>
    <x v="35"/>
    <x v="19"/>
    <x v="496"/>
    <x v="496"/>
    <x v="141"/>
    <x v="0"/>
    <x v="492"/>
    <x v="482"/>
    <x v="4"/>
    <x v="485"/>
    <x v="4"/>
    <x v="1"/>
    <x v="0"/>
  </r>
  <r>
    <x v="1"/>
    <x v="35"/>
    <x v="30"/>
    <x v="497"/>
    <x v="497"/>
    <x v="28"/>
    <x v="0"/>
    <x v="493"/>
    <x v="483"/>
    <x v="2"/>
    <x v="486"/>
    <x v="4"/>
    <x v="0"/>
    <x v="0"/>
  </r>
  <r>
    <x v="0"/>
    <x v="34"/>
    <x v="16"/>
    <x v="498"/>
    <x v="498"/>
    <x v="51"/>
    <x v="0"/>
    <x v="494"/>
    <x v="484"/>
    <x v="0"/>
    <x v="487"/>
    <x v="0"/>
    <x v="0"/>
    <x v="1"/>
  </r>
  <r>
    <x v="6"/>
    <x v="35"/>
    <x v="10"/>
    <x v="499"/>
    <x v="499"/>
    <x v="30"/>
    <x v="0"/>
    <x v="495"/>
    <x v="485"/>
    <x v="0"/>
    <x v="488"/>
    <x v="0"/>
    <x v="0"/>
    <x v="0"/>
  </r>
  <r>
    <x v="0"/>
    <x v="36"/>
    <x v="24"/>
    <x v="500"/>
    <x v="500"/>
    <x v="20"/>
    <x v="0"/>
    <x v="496"/>
    <x v="486"/>
    <x v="4"/>
    <x v="489"/>
    <x v="1"/>
    <x v="1"/>
    <x v="1"/>
  </r>
  <r>
    <x v="0"/>
    <x v="36"/>
    <x v="25"/>
    <x v="501"/>
    <x v="501"/>
    <x v="16"/>
    <x v="0"/>
    <x v="497"/>
    <x v="487"/>
    <x v="4"/>
    <x v="490"/>
    <x v="4"/>
    <x v="1"/>
    <x v="0"/>
  </r>
  <r>
    <x v="3"/>
    <x v="36"/>
    <x v="28"/>
    <x v="502"/>
    <x v="502"/>
    <x v="21"/>
    <x v="0"/>
    <x v="498"/>
    <x v="488"/>
    <x v="4"/>
    <x v="491"/>
    <x v="4"/>
    <x v="1"/>
    <x v="0"/>
  </r>
  <r>
    <x v="0"/>
    <x v="36"/>
    <x v="15"/>
    <x v="503"/>
    <x v="503"/>
    <x v="55"/>
    <x v="0"/>
    <x v="499"/>
    <x v="489"/>
    <x v="0"/>
    <x v="492"/>
    <x v="1"/>
    <x v="0"/>
    <x v="0"/>
  </r>
  <r>
    <x v="0"/>
    <x v="36"/>
    <x v="21"/>
    <x v="504"/>
    <x v="504"/>
    <x v="64"/>
    <x v="0"/>
    <x v="500"/>
    <x v="490"/>
    <x v="0"/>
    <x v="493"/>
    <x v="1"/>
    <x v="0"/>
    <x v="0"/>
  </r>
  <r>
    <x v="12"/>
    <x v="36"/>
    <x v="11"/>
    <x v="505"/>
    <x v="505"/>
    <x v="41"/>
    <x v="0"/>
    <x v="501"/>
    <x v="491"/>
    <x v="0"/>
    <x v="494"/>
    <x v="1"/>
    <x v="0"/>
    <x v="0"/>
  </r>
  <r>
    <x v="4"/>
    <x v="36"/>
    <x v="23"/>
    <x v="506"/>
    <x v="506"/>
    <x v="76"/>
    <x v="0"/>
    <x v="502"/>
    <x v="492"/>
    <x v="0"/>
    <x v="495"/>
    <x v="0"/>
    <x v="0"/>
    <x v="0"/>
  </r>
  <r>
    <x v="4"/>
    <x v="36"/>
    <x v="21"/>
    <x v="507"/>
    <x v="507"/>
    <x v="106"/>
    <x v="0"/>
    <x v="503"/>
    <x v="493"/>
    <x v="0"/>
    <x v="496"/>
    <x v="0"/>
    <x v="0"/>
    <x v="0"/>
  </r>
  <r>
    <x v="4"/>
    <x v="36"/>
    <x v="23"/>
    <x v="508"/>
    <x v="508"/>
    <x v="133"/>
    <x v="0"/>
    <x v="504"/>
    <x v="494"/>
    <x v="0"/>
    <x v="497"/>
    <x v="0"/>
    <x v="0"/>
    <x v="0"/>
  </r>
  <r>
    <x v="0"/>
    <x v="36"/>
    <x v="26"/>
    <x v="509"/>
    <x v="509"/>
    <x v="42"/>
    <x v="0"/>
    <x v="505"/>
    <x v="495"/>
    <x v="1"/>
    <x v="498"/>
    <x v="0"/>
    <x v="0"/>
    <x v="0"/>
  </r>
  <r>
    <x v="0"/>
    <x v="36"/>
    <x v="26"/>
    <x v="510"/>
    <x v="510"/>
    <x v="142"/>
    <x v="0"/>
    <x v="506"/>
    <x v="496"/>
    <x v="0"/>
    <x v="499"/>
    <x v="2"/>
    <x v="0"/>
    <x v="0"/>
  </r>
  <r>
    <x v="0"/>
    <x v="36"/>
    <x v="16"/>
    <x v="511"/>
    <x v="511"/>
    <x v="22"/>
    <x v="0"/>
    <x v="507"/>
    <x v="497"/>
    <x v="2"/>
    <x v="500"/>
    <x v="2"/>
    <x v="0"/>
    <x v="0"/>
  </r>
  <r>
    <x v="4"/>
    <x v="36"/>
    <x v="11"/>
    <x v="512"/>
    <x v="512"/>
    <x v="83"/>
    <x v="0"/>
    <x v="508"/>
    <x v="498"/>
    <x v="0"/>
    <x v="501"/>
    <x v="5"/>
    <x v="0"/>
    <x v="0"/>
  </r>
  <r>
    <x v="15"/>
    <x v="36"/>
    <x v="26"/>
    <x v="513"/>
    <x v="513"/>
    <x v="21"/>
    <x v="0"/>
    <x v="509"/>
    <x v="499"/>
    <x v="4"/>
    <x v="502"/>
    <x v="5"/>
    <x v="1"/>
    <x v="0"/>
  </r>
  <r>
    <x v="1"/>
    <x v="36"/>
    <x v="26"/>
    <x v="514"/>
    <x v="514"/>
    <x v="143"/>
    <x v="0"/>
    <x v="510"/>
    <x v="500"/>
    <x v="2"/>
    <x v="503"/>
    <x v="5"/>
    <x v="0"/>
    <x v="0"/>
  </r>
  <r>
    <x v="0"/>
    <x v="37"/>
    <x v="26"/>
    <x v="515"/>
    <x v="515"/>
    <x v="19"/>
    <x v="0"/>
    <x v="511"/>
    <x v="501"/>
    <x v="4"/>
    <x v="504"/>
    <x v="2"/>
    <x v="0"/>
    <x v="0"/>
  </r>
  <r>
    <x v="4"/>
    <x v="37"/>
    <x v="19"/>
    <x v="516"/>
    <x v="516"/>
    <x v="106"/>
    <x v="0"/>
    <x v="512"/>
    <x v="502"/>
    <x v="0"/>
    <x v="505"/>
    <x v="1"/>
    <x v="0"/>
    <x v="0"/>
  </r>
  <r>
    <x v="11"/>
    <x v="37"/>
    <x v="18"/>
    <x v="517"/>
    <x v="517"/>
    <x v="141"/>
    <x v="0"/>
    <x v="513"/>
    <x v="503"/>
    <x v="4"/>
    <x v="506"/>
    <x v="1"/>
    <x v="1"/>
    <x v="0"/>
  </r>
  <r>
    <x v="0"/>
    <x v="37"/>
    <x v="19"/>
    <x v="518"/>
    <x v="518"/>
    <x v="121"/>
    <x v="0"/>
    <x v="514"/>
    <x v="504"/>
    <x v="0"/>
    <x v="507"/>
    <x v="1"/>
    <x v="0"/>
    <x v="0"/>
  </r>
  <r>
    <x v="12"/>
    <x v="37"/>
    <x v="15"/>
    <x v="519"/>
    <x v="519"/>
    <x v="63"/>
    <x v="0"/>
    <x v="515"/>
    <x v="505"/>
    <x v="0"/>
    <x v="508"/>
    <x v="2"/>
    <x v="0"/>
    <x v="0"/>
  </r>
  <r>
    <x v="0"/>
    <x v="37"/>
    <x v="28"/>
    <x v="520"/>
    <x v="520"/>
    <x v="92"/>
    <x v="0"/>
    <x v="516"/>
    <x v="506"/>
    <x v="4"/>
    <x v="509"/>
    <x v="0"/>
    <x v="0"/>
    <x v="0"/>
  </r>
  <r>
    <x v="0"/>
    <x v="37"/>
    <x v="29"/>
    <x v="521"/>
    <x v="521"/>
    <x v="144"/>
    <x v="0"/>
    <x v="517"/>
    <x v="507"/>
    <x v="1"/>
    <x v="510"/>
    <x v="0"/>
    <x v="1"/>
    <x v="0"/>
  </r>
  <r>
    <x v="0"/>
    <x v="37"/>
    <x v="12"/>
    <x v="522"/>
    <x v="522"/>
    <x v="1"/>
    <x v="0"/>
    <x v="518"/>
    <x v="508"/>
    <x v="0"/>
    <x v="511"/>
    <x v="5"/>
    <x v="0"/>
    <x v="0"/>
  </r>
  <r>
    <x v="1"/>
    <x v="37"/>
    <x v="13"/>
    <x v="523"/>
    <x v="523"/>
    <x v="7"/>
    <x v="0"/>
    <x v="519"/>
    <x v="509"/>
    <x v="1"/>
    <x v="512"/>
    <x v="0"/>
    <x v="0"/>
    <x v="0"/>
  </r>
  <r>
    <x v="9"/>
    <x v="37"/>
    <x v="13"/>
    <x v="524"/>
    <x v="524"/>
    <x v="27"/>
    <x v="0"/>
    <x v="520"/>
    <x v="510"/>
    <x v="0"/>
    <x v="513"/>
    <x v="2"/>
    <x v="0"/>
    <x v="0"/>
  </r>
  <r>
    <x v="1"/>
    <x v="38"/>
    <x v="20"/>
    <x v="525"/>
    <x v="525"/>
    <x v="123"/>
    <x v="0"/>
    <x v="521"/>
    <x v="511"/>
    <x v="0"/>
    <x v="514"/>
    <x v="2"/>
    <x v="2"/>
    <x v="0"/>
  </r>
  <r>
    <x v="9"/>
    <x v="38"/>
    <x v="13"/>
    <x v="526"/>
    <x v="526"/>
    <x v="145"/>
    <x v="0"/>
    <x v="522"/>
    <x v="512"/>
    <x v="12"/>
    <x v="515"/>
    <x v="0"/>
    <x v="0"/>
    <x v="0"/>
  </r>
  <r>
    <x v="1"/>
    <x v="38"/>
    <x v="18"/>
    <x v="527"/>
    <x v="527"/>
    <x v="17"/>
    <x v="0"/>
    <x v="523"/>
    <x v="513"/>
    <x v="0"/>
    <x v="516"/>
    <x v="0"/>
    <x v="0"/>
    <x v="0"/>
  </r>
  <r>
    <x v="1"/>
    <x v="38"/>
    <x v="20"/>
    <x v="528"/>
    <x v="528"/>
    <x v="0"/>
    <x v="0"/>
    <x v="524"/>
    <x v="450"/>
    <x v="2"/>
    <x v="453"/>
    <x v="1"/>
    <x v="0"/>
    <x v="0"/>
  </r>
  <r>
    <x v="1"/>
    <x v="38"/>
    <x v="13"/>
    <x v="529"/>
    <x v="529"/>
    <x v="146"/>
    <x v="0"/>
    <x v="525"/>
    <x v="514"/>
    <x v="4"/>
    <x v="517"/>
    <x v="1"/>
    <x v="0"/>
    <x v="0"/>
  </r>
  <r>
    <x v="15"/>
    <x v="38"/>
    <x v="26"/>
    <x v="530"/>
    <x v="530"/>
    <x v="21"/>
    <x v="0"/>
    <x v="526"/>
    <x v="515"/>
    <x v="4"/>
    <x v="518"/>
    <x v="1"/>
    <x v="1"/>
    <x v="0"/>
  </r>
  <r>
    <x v="1"/>
    <x v="37"/>
    <x v="27"/>
    <x v="531"/>
    <x v="531"/>
    <x v="13"/>
    <x v="0"/>
    <x v="527"/>
    <x v="516"/>
    <x v="2"/>
    <x v="519"/>
    <x v="4"/>
    <x v="0"/>
    <x v="0"/>
  </r>
  <r>
    <x v="6"/>
    <x v="38"/>
    <x v="20"/>
    <x v="532"/>
    <x v="532"/>
    <x v="57"/>
    <x v="0"/>
    <x v="528"/>
    <x v="517"/>
    <x v="0"/>
    <x v="520"/>
    <x v="4"/>
    <x v="0"/>
    <x v="0"/>
  </r>
  <r>
    <x v="0"/>
    <x v="39"/>
    <x v="24"/>
    <x v="533"/>
    <x v="533"/>
    <x v="31"/>
    <x v="0"/>
    <x v="529"/>
    <x v="518"/>
    <x v="1"/>
    <x v="521"/>
    <x v="4"/>
    <x v="1"/>
    <x v="0"/>
  </r>
  <r>
    <x v="15"/>
    <x v="39"/>
    <x v="29"/>
    <x v="534"/>
    <x v="534"/>
    <x v="11"/>
    <x v="0"/>
    <x v="530"/>
    <x v="519"/>
    <x v="4"/>
    <x v="522"/>
    <x v="4"/>
    <x v="1"/>
    <x v="0"/>
  </r>
  <r>
    <x v="1"/>
    <x v="39"/>
    <x v="18"/>
    <x v="535"/>
    <x v="535"/>
    <x v="59"/>
    <x v="0"/>
    <x v="531"/>
    <x v="520"/>
    <x v="4"/>
    <x v="523"/>
    <x v="0"/>
    <x v="0"/>
    <x v="0"/>
  </r>
  <r>
    <x v="1"/>
    <x v="39"/>
    <x v="29"/>
    <x v="536"/>
    <x v="536"/>
    <x v="147"/>
    <x v="0"/>
    <x v="532"/>
    <x v="521"/>
    <x v="4"/>
    <x v="524"/>
    <x v="0"/>
    <x v="1"/>
    <x v="0"/>
  </r>
  <r>
    <x v="1"/>
    <x v="39"/>
    <x v="24"/>
    <x v="537"/>
    <x v="537"/>
    <x v="108"/>
    <x v="0"/>
    <x v="533"/>
    <x v="522"/>
    <x v="0"/>
    <x v="525"/>
    <x v="1"/>
    <x v="0"/>
    <x v="0"/>
  </r>
  <r>
    <x v="1"/>
    <x v="39"/>
    <x v="20"/>
    <x v="538"/>
    <x v="538"/>
    <x v="147"/>
    <x v="0"/>
    <x v="534"/>
    <x v="521"/>
    <x v="1"/>
    <x v="526"/>
    <x v="1"/>
    <x v="1"/>
    <x v="0"/>
  </r>
  <r>
    <x v="0"/>
    <x v="39"/>
    <x v="15"/>
    <x v="539"/>
    <x v="539"/>
    <x v="42"/>
    <x v="0"/>
    <x v="535"/>
    <x v="523"/>
    <x v="4"/>
    <x v="527"/>
    <x v="5"/>
    <x v="0"/>
    <x v="0"/>
  </r>
  <r>
    <x v="16"/>
    <x v="39"/>
    <x v="29"/>
    <x v="540"/>
    <x v="540"/>
    <x v="141"/>
    <x v="0"/>
    <x v="536"/>
    <x v="524"/>
    <x v="2"/>
    <x v="528"/>
    <x v="5"/>
    <x v="0"/>
    <x v="0"/>
  </r>
  <r>
    <x v="8"/>
    <x v="39"/>
    <x v="20"/>
    <x v="541"/>
    <x v="541"/>
    <x v="148"/>
    <x v="0"/>
    <x v="537"/>
    <x v="525"/>
    <x v="13"/>
    <x v="529"/>
    <x v="2"/>
    <x v="0"/>
    <x v="0"/>
  </r>
  <r>
    <x v="4"/>
    <x v="39"/>
    <x v="30"/>
    <x v="542"/>
    <x v="542"/>
    <x v="45"/>
    <x v="0"/>
    <x v="538"/>
    <x v="526"/>
    <x v="0"/>
    <x v="530"/>
    <x v="2"/>
    <x v="0"/>
    <x v="0"/>
  </r>
  <r>
    <x v="1"/>
    <x v="39"/>
    <x v="27"/>
    <x v="543"/>
    <x v="543"/>
    <x v="149"/>
    <x v="0"/>
    <x v="539"/>
    <x v="527"/>
    <x v="0"/>
    <x v="531"/>
    <x v="2"/>
    <x v="0"/>
    <x v="0"/>
  </r>
  <r>
    <x v="8"/>
    <x v="39"/>
    <x v="18"/>
    <x v="544"/>
    <x v="544"/>
    <x v="150"/>
    <x v="1"/>
    <x v="540"/>
    <x v="528"/>
    <x v="0"/>
    <x v="532"/>
    <x v="0"/>
    <x v="3"/>
    <x v="0"/>
  </r>
  <r>
    <x v="4"/>
    <x v="39"/>
    <x v="13"/>
    <x v="545"/>
    <x v="545"/>
    <x v="21"/>
    <x v="0"/>
    <x v="541"/>
    <x v="529"/>
    <x v="4"/>
    <x v="533"/>
    <x v="5"/>
    <x v="1"/>
    <x v="0"/>
  </r>
  <r>
    <x v="1"/>
    <x v="40"/>
    <x v="22"/>
    <x v="546"/>
    <x v="546"/>
    <x v="84"/>
    <x v="0"/>
    <x v="542"/>
    <x v="530"/>
    <x v="0"/>
    <x v="534"/>
    <x v="2"/>
    <x v="0"/>
    <x v="0"/>
  </r>
  <r>
    <x v="15"/>
    <x v="40"/>
    <x v="20"/>
    <x v="547"/>
    <x v="547"/>
    <x v="36"/>
    <x v="0"/>
    <x v="543"/>
    <x v="531"/>
    <x v="11"/>
    <x v="535"/>
    <x v="2"/>
    <x v="1"/>
    <x v="0"/>
  </r>
  <r>
    <x v="1"/>
    <x v="40"/>
    <x v="28"/>
    <x v="548"/>
    <x v="548"/>
    <x v="20"/>
    <x v="0"/>
    <x v="544"/>
    <x v="532"/>
    <x v="4"/>
    <x v="536"/>
    <x v="4"/>
    <x v="1"/>
    <x v="0"/>
  </r>
  <r>
    <x v="6"/>
    <x v="40"/>
    <x v="29"/>
    <x v="549"/>
    <x v="549"/>
    <x v="11"/>
    <x v="0"/>
    <x v="545"/>
    <x v="533"/>
    <x v="2"/>
    <x v="537"/>
    <x v="4"/>
    <x v="0"/>
    <x v="0"/>
  </r>
  <r>
    <x v="1"/>
    <x v="40"/>
    <x v="25"/>
    <x v="550"/>
    <x v="550"/>
    <x v="12"/>
    <x v="0"/>
    <x v="546"/>
    <x v="534"/>
    <x v="1"/>
    <x v="538"/>
    <x v="1"/>
    <x v="0"/>
    <x v="0"/>
  </r>
  <r>
    <x v="2"/>
    <x v="40"/>
    <x v="16"/>
    <x v="551"/>
    <x v="551"/>
    <x v="76"/>
    <x v="0"/>
    <x v="547"/>
    <x v="535"/>
    <x v="7"/>
    <x v="539"/>
    <x v="0"/>
    <x v="0"/>
    <x v="0"/>
  </r>
  <r>
    <x v="3"/>
    <x v="40"/>
    <x v="24"/>
    <x v="552"/>
    <x v="552"/>
    <x v="53"/>
    <x v="0"/>
    <x v="548"/>
    <x v="536"/>
    <x v="0"/>
    <x v="540"/>
    <x v="0"/>
    <x v="0"/>
    <x v="0"/>
  </r>
  <r>
    <x v="1"/>
    <x v="40"/>
    <x v="20"/>
    <x v="553"/>
    <x v="553"/>
    <x v="23"/>
    <x v="0"/>
    <x v="549"/>
    <x v="537"/>
    <x v="2"/>
    <x v="541"/>
    <x v="0"/>
    <x v="0"/>
    <x v="0"/>
  </r>
  <r>
    <x v="1"/>
    <x v="40"/>
    <x v="24"/>
    <x v="554"/>
    <x v="554"/>
    <x v="90"/>
    <x v="0"/>
    <x v="550"/>
    <x v="538"/>
    <x v="0"/>
    <x v="542"/>
    <x v="0"/>
    <x v="0"/>
    <x v="0"/>
  </r>
  <r>
    <x v="1"/>
    <x v="40"/>
    <x v="21"/>
    <x v="555"/>
    <x v="555"/>
    <x v="9"/>
    <x v="0"/>
    <x v="551"/>
    <x v="539"/>
    <x v="4"/>
    <x v="543"/>
    <x v="2"/>
    <x v="1"/>
    <x v="0"/>
  </r>
  <r>
    <x v="1"/>
    <x v="41"/>
    <x v="26"/>
    <x v="556"/>
    <x v="556"/>
    <x v="118"/>
    <x v="0"/>
    <x v="552"/>
    <x v="540"/>
    <x v="2"/>
    <x v="544"/>
    <x v="0"/>
    <x v="0"/>
    <x v="0"/>
  </r>
  <r>
    <x v="1"/>
    <x v="40"/>
    <x v="30"/>
    <x v="557"/>
    <x v="557"/>
    <x v="13"/>
    <x v="0"/>
    <x v="553"/>
    <x v="541"/>
    <x v="0"/>
    <x v="545"/>
    <x v="1"/>
    <x v="0"/>
    <x v="0"/>
  </r>
  <r>
    <x v="0"/>
    <x v="41"/>
    <x v="22"/>
    <x v="558"/>
    <x v="558"/>
    <x v="45"/>
    <x v="0"/>
    <x v="554"/>
    <x v="542"/>
    <x v="0"/>
    <x v="546"/>
    <x v="1"/>
    <x v="0"/>
    <x v="1"/>
  </r>
  <r>
    <x v="0"/>
    <x v="42"/>
    <x v="20"/>
    <x v="559"/>
    <x v="559"/>
    <x v="53"/>
    <x v="0"/>
    <x v="555"/>
    <x v="543"/>
    <x v="2"/>
    <x v="547"/>
    <x v="0"/>
    <x v="0"/>
    <x v="0"/>
  </r>
  <r>
    <x v="3"/>
    <x v="42"/>
    <x v="17"/>
    <x v="560"/>
    <x v="560"/>
    <x v="13"/>
    <x v="0"/>
    <x v="556"/>
    <x v="544"/>
    <x v="2"/>
    <x v="548"/>
    <x v="1"/>
    <x v="0"/>
    <x v="0"/>
  </r>
  <r>
    <x v="0"/>
    <x v="41"/>
    <x v="25"/>
    <x v="561"/>
    <x v="561"/>
    <x v="36"/>
    <x v="0"/>
    <x v="557"/>
    <x v="545"/>
    <x v="5"/>
    <x v="549"/>
    <x v="5"/>
    <x v="0"/>
    <x v="1"/>
  </r>
  <r>
    <x v="6"/>
    <x v="42"/>
    <x v="26"/>
    <x v="562"/>
    <x v="562"/>
    <x v="151"/>
    <x v="0"/>
    <x v="558"/>
    <x v="546"/>
    <x v="2"/>
    <x v="550"/>
    <x v="5"/>
    <x v="0"/>
    <x v="0"/>
  </r>
  <r>
    <x v="1"/>
    <x v="42"/>
    <x v="17"/>
    <x v="563"/>
    <x v="563"/>
    <x v="74"/>
    <x v="0"/>
    <x v="559"/>
    <x v="547"/>
    <x v="8"/>
    <x v="551"/>
    <x v="2"/>
    <x v="0"/>
    <x v="0"/>
  </r>
  <r>
    <x v="0"/>
    <x v="43"/>
    <x v="29"/>
    <x v="564"/>
    <x v="564"/>
    <x v="9"/>
    <x v="0"/>
    <x v="560"/>
    <x v="548"/>
    <x v="1"/>
    <x v="552"/>
    <x v="4"/>
    <x v="1"/>
    <x v="0"/>
  </r>
  <r>
    <x v="8"/>
    <x v="43"/>
    <x v="27"/>
    <x v="565"/>
    <x v="565"/>
    <x v="30"/>
    <x v="0"/>
    <x v="561"/>
    <x v="549"/>
    <x v="0"/>
    <x v="553"/>
    <x v="2"/>
    <x v="0"/>
    <x v="0"/>
  </r>
  <r>
    <x v="0"/>
    <x v="43"/>
    <x v="30"/>
    <x v="566"/>
    <x v="566"/>
    <x v="143"/>
    <x v="0"/>
    <x v="562"/>
    <x v="550"/>
    <x v="2"/>
    <x v="554"/>
    <x v="2"/>
    <x v="0"/>
    <x v="0"/>
  </r>
  <r>
    <x v="1"/>
    <x v="43"/>
    <x v="26"/>
    <x v="567"/>
    <x v="567"/>
    <x v="11"/>
    <x v="0"/>
    <x v="563"/>
    <x v="551"/>
    <x v="1"/>
    <x v="555"/>
    <x v="1"/>
    <x v="2"/>
    <x v="0"/>
  </r>
  <r>
    <x v="3"/>
    <x v="43"/>
    <x v="24"/>
    <x v="568"/>
    <x v="568"/>
    <x v="53"/>
    <x v="0"/>
    <x v="175"/>
    <x v="552"/>
    <x v="0"/>
    <x v="556"/>
    <x v="1"/>
    <x v="0"/>
    <x v="0"/>
  </r>
  <r>
    <x v="1"/>
    <x v="43"/>
    <x v="19"/>
    <x v="569"/>
    <x v="569"/>
    <x v="152"/>
    <x v="0"/>
    <x v="564"/>
    <x v="553"/>
    <x v="6"/>
    <x v="557"/>
    <x v="0"/>
    <x v="0"/>
    <x v="0"/>
  </r>
  <r>
    <x v="6"/>
    <x v="43"/>
    <x v="26"/>
    <x v="570"/>
    <x v="570"/>
    <x v="13"/>
    <x v="0"/>
    <x v="565"/>
    <x v="554"/>
    <x v="2"/>
    <x v="558"/>
    <x v="0"/>
    <x v="0"/>
    <x v="0"/>
  </r>
  <r>
    <x v="1"/>
    <x v="43"/>
    <x v="18"/>
    <x v="571"/>
    <x v="571"/>
    <x v="4"/>
    <x v="0"/>
    <x v="566"/>
    <x v="123"/>
    <x v="2"/>
    <x v="123"/>
    <x v="0"/>
    <x v="0"/>
    <x v="0"/>
  </r>
  <r>
    <x v="4"/>
    <x v="43"/>
    <x v="18"/>
    <x v="572"/>
    <x v="572"/>
    <x v="51"/>
    <x v="0"/>
    <x v="567"/>
    <x v="555"/>
    <x v="0"/>
    <x v="559"/>
    <x v="0"/>
    <x v="0"/>
    <x v="0"/>
  </r>
  <r>
    <x v="0"/>
    <x v="43"/>
    <x v="29"/>
    <x v="573"/>
    <x v="573"/>
    <x v="63"/>
    <x v="0"/>
    <x v="568"/>
    <x v="556"/>
    <x v="3"/>
    <x v="560"/>
    <x v="0"/>
    <x v="0"/>
    <x v="0"/>
  </r>
  <r>
    <x v="0"/>
    <x v="43"/>
    <x v="18"/>
    <x v="574"/>
    <x v="574"/>
    <x v="58"/>
    <x v="0"/>
    <x v="569"/>
    <x v="557"/>
    <x v="2"/>
    <x v="561"/>
    <x v="0"/>
    <x v="0"/>
    <x v="0"/>
  </r>
  <r>
    <x v="1"/>
    <x v="43"/>
    <x v="26"/>
    <x v="575"/>
    <x v="575"/>
    <x v="9"/>
    <x v="0"/>
    <x v="570"/>
    <x v="558"/>
    <x v="4"/>
    <x v="562"/>
    <x v="0"/>
    <x v="1"/>
    <x v="0"/>
  </r>
  <r>
    <x v="0"/>
    <x v="43"/>
    <x v="30"/>
    <x v="576"/>
    <x v="576"/>
    <x v="39"/>
    <x v="0"/>
    <x v="571"/>
    <x v="559"/>
    <x v="0"/>
    <x v="563"/>
    <x v="5"/>
    <x v="0"/>
    <x v="0"/>
  </r>
  <r>
    <x v="5"/>
    <x v="43"/>
    <x v="20"/>
    <x v="577"/>
    <x v="577"/>
    <x v="53"/>
    <x v="0"/>
    <x v="572"/>
    <x v="560"/>
    <x v="1"/>
    <x v="564"/>
    <x v="5"/>
    <x v="0"/>
    <x v="0"/>
  </r>
  <r>
    <x v="0"/>
    <x v="43"/>
    <x v="28"/>
    <x v="578"/>
    <x v="578"/>
    <x v="76"/>
    <x v="0"/>
    <x v="573"/>
    <x v="561"/>
    <x v="0"/>
    <x v="565"/>
    <x v="5"/>
    <x v="0"/>
    <x v="0"/>
  </r>
  <r>
    <x v="0"/>
    <x v="43"/>
    <x v="30"/>
    <x v="579"/>
    <x v="579"/>
    <x v="153"/>
    <x v="0"/>
    <x v="574"/>
    <x v="562"/>
    <x v="1"/>
    <x v="566"/>
    <x v="5"/>
    <x v="0"/>
    <x v="0"/>
  </r>
  <r>
    <x v="0"/>
    <x v="44"/>
    <x v="29"/>
    <x v="580"/>
    <x v="580"/>
    <x v="54"/>
    <x v="0"/>
    <x v="575"/>
    <x v="563"/>
    <x v="0"/>
    <x v="567"/>
    <x v="2"/>
    <x v="0"/>
    <x v="0"/>
  </r>
  <r>
    <x v="3"/>
    <x v="44"/>
    <x v="24"/>
    <x v="581"/>
    <x v="581"/>
    <x v="19"/>
    <x v="0"/>
    <x v="576"/>
    <x v="564"/>
    <x v="0"/>
    <x v="568"/>
    <x v="1"/>
    <x v="0"/>
    <x v="0"/>
  </r>
  <r>
    <x v="0"/>
    <x v="44"/>
    <x v="30"/>
    <x v="582"/>
    <x v="582"/>
    <x v="68"/>
    <x v="0"/>
    <x v="577"/>
    <x v="565"/>
    <x v="0"/>
    <x v="569"/>
    <x v="0"/>
    <x v="0"/>
    <x v="0"/>
  </r>
  <r>
    <x v="1"/>
    <x v="44"/>
    <x v="24"/>
    <x v="583"/>
    <x v="583"/>
    <x v="50"/>
    <x v="0"/>
    <x v="578"/>
    <x v="566"/>
    <x v="0"/>
    <x v="570"/>
    <x v="0"/>
    <x v="0"/>
    <x v="0"/>
  </r>
  <r>
    <x v="0"/>
    <x v="44"/>
    <x v="25"/>
    <x v="584"/>
    <x v="584"/>
    <x v="17"/>
    <x v="0"/>
    <x v="579"/>
    <x v="567"/>
    <x v="0"/>
    <x v="571"/>
    <x v="0"/>
    <x v="0"/>
    <x v="0"/>
  </r>
  <r>
    <x v="1"/>
    <x v="44"/>
    <x v="25"/>
    <x v="585"/>
    <x v="585"/>
    <x v="10"/>
    <x v="0"/>
    <x v="580"/>
    <x v="568"/>
    <x v="4"/>
    <x v="572"/>
    <x v="0"/>
    <x v="1"/>
    <x v="0"/>
  </r>
  <r>
    <x v="0"/>
    <x v="44"/>
    <x v="29"/>
    <x v="586"/>
    <x v="586"/>
    <x v="63"/>
    <x v="0"/>
    <x v="581"/>
    <x v="569"/>
    <x v="3"/>
    <x v="573"/>
    <x v="0"/>
    <x v="0"/>
    <x v="0"/>
  </r>
  <r>
    <x v="0"/>
    <x v="44"/>
    <x v="23"/>
    <x v="587"/>
    <x v="587"/>
    <x v="19"/>
    <x v="0"/>
    <x v="582"/>
    <x v="570"/>
    <x v="0"/>
    <x v="574"/>
    <x v="0"/>
    <x v="0"/>
    <x v="1"/>
  </r>
  <r>
    <x v="10"/>
    <x v="44"/>
    <x v="26"/>
    <x v="588"/>
    <x v="588"/>
    <x v="13"/>
    <x v="0"/>
    <x v="583"/>
    <x v="571"/>
    <x v="1"/>
    <x v="575"/>
    <x v="0"/>
    <x v="1"/>
    <x v="0"/>
  </r>
  <r>
    <x v="7"/>
    <x v="44"/>
    <x v="20"/>
    <x v="589"/>
    <x v="589"/>
    <x v="1"/>
    <x v="0"/>
    <x v="584"/>
    <x v="572"/>
    <x v="0"/>
    <x v="576"/>
    <x v="2"/>
    <x v="0"/>
    <x v="0"/>
  </r>
  <r>
    <x v="0"/>
    <x v="44"/>
    <x v="28"/>
    <x v="590"/>
    <x v="590"/>
    <x v="12"/>
    <x v="0"/>
    <x v="585"/>
    <x v="573"/>
    <x v="4"/>
    <x v="577"/>
    <x v="5"/>
    <x v="0"/>
    <x v="0"/>
  </r>
  <r>
    <x v="0"/>
    <x v="44"/>
    <x v="22"/>
    <x v="591"/>
    <x v="591"/>
    <x v="96"/>
    <x v="0"/>
    <x v="586"/>
    <x v="574"/>
    <x v="0"/>
    <x v="578"/>
    <x v="4"/>
    <x v="0"/>
    <x v="0"/>
  </r>
  <r>
    <x v="1"/>
    <x v="44"/>
    <x v="20"/>
    <x v="592"/>
    <x v="592"/>
    <x v="14"/>
    <x v="0"/>
    <x v="587"/>
    <x v="575"/>
    <x v="4"/>
    <x v="579"/>
    <x v="4"/>
    <x v="1"/>
    <x v="0"/>
  </r>
  <r>
    <x v="5"/>
    <x v="44"/>
    <x v="21"/>
    <x v="593"/>
    <x v="593"/>
    <x v="61"/>
    <x v="0"/>
    <x v="588"/>
    <x v="576"/>
    <x v="8"/>
    <x v="580"/>
    <x v="0"/>
    <x v="0"/>
    <x v="0"/>
  </r>
  <r>
    <x v="0"/>
    <x v="45"/>
    <x v="21"/>
    <x v="594"/>
    <x v="594"/>
    <x v="49"/>
    <x v="0"/>
    <x v="589"/>
    <x v="577"/>
    <x v="0"/>
    <x v="581"/>
    <x v="1"/>
    <x v="0"/>
    <x v="0"/>
  </r>
  <r>
    <x v="0"/>
    <x v="45"/>
    <x v="28"/>
    <x v="595"/>
    <x v="595"/>
    <x v="53"/>
    <x v="0"/>
    <x v="590"/>
    <x v="578"/>
    <x v="0"/>
    <x v="582"/>
    <x v="1"/>
    <x v="0"/>
    <x v="0"/>
  </r>
  <r>
    <x v="0"/>
    <x v="45"/>
    <x v="23"/>
    <x v="596"/>
    <x v="596"/>
    <x v="55"/>
    <x v="0"/>
    <x v="591"/>
    <x v="579"/>
    <x v="0"/>
    <x v="583"/>
    <x v="2"/>
    <x v="0"/>
    <x v="0"/>
  </r>
  <r>
    <x v="1"/>
    <x v="45"/>
    <x v="20"/>
    <x v="597"/>
    <x v="597"/>
    <x v="29"/>
    <x v="0"/>
    <x v="592"/>
    <x v="580"/>
    <x v="2"/>
    <x v="584"/>
    <x v="2"/>
    <x v="0"/>
    <x v="0"/>
  </r>
  <r>
    <x v="3"/>
    <x v="45"/>
    <x v="22"/>
    <x v="598"/>
    <x v="598"/>
    <x v="34"/>
    <x v="0"/>
    <x v="593"/>
    <x v="581"/>
    <x v="8"/>
    <x v="585"/>
    <x v="0"/>
    <x v="0"/>
    <x v="0"/>
  </r>
  <r>
    <x v="2"/>
    <x v="45"/>
    <x v="20"/>
    <x v="599"/>
    <x v="599"/>
    <x v="154"/>
    <x v="0"/>
    <x v="594"/>
    <x v="582"/>
    <x v="1"/>
    <x v="586"/>
    <x v="0"/>
    <x v="0"/>
    <x v="0"/>
  </r>
  <r>
    <x v="0"/>
    <x v="45"/>
    <x v="25"/>
    <x v="600"/>
    <x v="600"/>
    <x v="47"/>
    <x v="0"/>
    <x v="595"/>
    <x v="583"/>
    <x v="1"/>
    <x v="587"/>
    <x v="0"/>
    <x v="1"/>
    <x v="0"/>
  </r>
  <r>
    <x v="1"/>
    <x v="45"/>
    <x v="21"/>
    <x v="601"/>
    <x v="601"/>
    <x v="147"/>
    <x v="0"/>
    <x v="596"/>
    <x v="584"/>
    <x v="4"/>
    <x v="588"/>
    <x v="5"/>
    <x v="1"/>
    <x v="0"/>
  </r>
  <r>
    <x v="0"/>
    <x v="45"/>
    <x v="23"/>
    <x v="602"/>
    <x v="602"/>
    <x v="45"/>
    <x v="0"/>
    <x v="597"/>
    <x v="585"/>
    <x v="0"/>
    <x v="589"/>
    <x v="5"/>
    <x v="0"/>
    <x v="0"/>
  </r>
  <r>
    <x v="9"/>
    <x v="45"/>
    <x v="27"/>
    <x v="603"/>
    <x v="603"/>
    <x v="155"/>
    <x v="0"/>
    <x v="598"/>
    <x v="586"/>
    <x v="0"/>
    <x v="590"/>
    <x v="5"/>
    <x v="0"/>
    <x v="0"/>
  </r>
  <r>
    <x v="4"/>
    <x v="46"/>
    <x v="28"/>
    <x v="604"/>
    <x v="604"/>
    <x v="30"/>
    <x v="0"/>
    <x v="599"/>
    <x v="587"/>
    <x v="0"/>
    <x v="591"/>
    <x v="2"/>
    <x v="2"/>
    <x v="0"/>
  </r>
  <r>
    <x v="9"/>
    <x v="46"/>
    <x v="27"/>
    <x v="605"/>
    <x v="605"/>
    <x v="156"/>
    <x v="0"/>
    <x v="600"/>
    <x v="588"/>
    <x v="2"/>
    <x v="592"/>
    <x v="2"/>
    <x v="0"/>
    <x v="0"/>
  </r>
  <r>
    <x v="1"/>
    <x v="46"/>
    <x v="26"/>
    <x v="606"/>
    <x v="606"/>
    <x v="19"/>
    <x v="0"/>
    <x v="601"/>
    <x v="589"/>
    <x v="0"/>
    <x v="593"/>
    <x v="0"/>
    <x v="0"/>
    <x v="0"/>
  </r>
  <r>
    <x v="0"/>
    <x v="46"/>
    <x v="26"/>
    <x v="607"/>
    <x v="607"/>
    <x v="61"/>
    <x v="0"/>
    <x v="602"/>
    <x v="590"/>
    <x v="0"/>
    <x v="594"/>
    <x v="0"/>
    <x v="0"/>
    <x v="0"/>
  </r>
  <r>
    <x v="0"/>
    <x v="46"/>
    <x v="23"/>
    <x v="608"/>
    <x v="608"/>
    <x v="157"/>
    <x v="0"/>
    <x v="603"/>
    <x v="591"/>
    <x v="0"/>
    <x v="595"/>
    <x v="1"/>
    <x v="0"/>
    <x v="0"/>
  </r>
  <r>
    <x v="5"/>
    <x v="47"/>
    <x v="25"/>
    <x v="609"/>
    <x v="609"/>
    <x v="39"/>
    <x v="0"/>
    <x v="604"/>
    <x v="592"/>
    <x v="0"/>
    <x v="596"/>
    <x v="0"/>
    <x v="0"/>
    <x v="0"/>
  </r>
  <r>
    <x v="12"/>
    <x v="47"/>
    <x v="22"/>
    <x v="610"/>
    <x v="610"/>
    <x v="10"/>
    <x v="0"/>
    <x v="605"/>
    <x v="593"/>
    <x v="4"/>
    <x v="597"/>
    <x v="5"/>
    <x v="1"/>
    <x v="0"/>
  </r>
  <r>
    <x v="0"/>
    <x v="48"/>
    <x v="24"/>
    <x v="611"/>
    <x v="611"/>
    <x v="158"/>
    <x v="0"/>
    <x v="606"/>
    <x v="594"/>
    <x v="2"/>
    <x v="598"/>
    <x v="2"/>
    <x v="0"/>
    <x v="0"/>
  </r>
  <r>
    <x v="7"/>
    <x v="48"/>
    <x v="24"/>
    <x v="612"/>
    <x v="612"/>
    <x v="100"/>
    <x v="0"/>
    <x v="607"/>
    <x v="595"/>
    <x v="0"/>
    <x v="599"/>
    <x v="5"/>
    <x v="0"/>
    <x v="0"/>
  </r>
  <r>
    <x v="3"/>
    <x v="49"/>
    <x v="28"/>
    <x v="613"/>
    <x v="613"/>
    <x v="73"/>
    <x v="0"/>
    <x v="608"/>
    <x v="596"/>
    <x v="1"/>
    <x v="600"/>
    <x v="0"/>
    <x v="0"/>
    <x v="0"/>
  </r>
  <r>
    <x v="13"/>
    <x v="49"/>
    <x v="26"/>
    <x v="614"/>
    <x v="614"/>
    <x v="19"/>
    <x v="0"/>
    <x v="609"/>
    <x v="597"/>
    <x v="0"/>
    <x v="601"/>
    <x v="0"/>
    <x v="0"/>
    <x v="0"/>
  </r>
  <r>
    <x v="0"/>
    <x v="49"/>
    <x v="25"/>
    <x v="615"/>
    <x v="615"/>
    <x v="34"/>
    <x v="0"/>
    <x v="610"/>
    <x v="598"/>
    <x v="0"/>
    <x v="602"/>
    <x v="2"/>
    <x v="0"/>
    <x v="1"/>
  </r>
  <r>
    <x v="0"/>
    <x v="49"/>
    <x v="24"/>
    <x v="616"/>
    <x v="616"/>
    <x v="13"/>
    <x v="0"/>
    <x v="611"/>
    <x v="599"/>
    <x v="0"/>
    <x v="603"/>
    <x v="1"/>
    <x v="0"/>
    <x v="1"/>
  </r>
  <r>
    <x v="0"/>
    <x v="50"/>
    <x v="26"/>
    <x v="617"/>
    <x v="617"/>
    <x v="12"/>
    <x v="0"/>
    <x v="612"/>
    <x v="600"/>
    <x v="4"/>
    <x v="604"/>
    <x v="2"/>
    <x v="1"/>
    <x v="0"/>
  </r>
  <r>
    <x v="1"/>
    <x v="50"/>
    <x v="27"/>
    <x v="618"/>
    <x v="618"/>
    <x v="4"/>
    <x v="0"/>
    <x v="613"/>
    <x v="601"/>
    <x v="2"/>
    <x v="605"/>
    <x v="2"/>
    <x v="2"/>
    <x v="0"/>
  </r>
  <r>
    <x v="9"/>
    <x v="50"/>
    <x v="30"/>
    <x v="619"/>
    <x v="619"/>
    <x v="55"/>
    <x v="0"/>
    <x v="614"/>
    <x v="602"/>
    <x v="8"/>
    <x v="606"/>
    <x v="2"/>
    <x v="0"/>
    <x v="0"/>
  </r>
  <r>
    <x v="3"/>
    <x v="50"/>
    <x v="29"/>
    <x v="620"/>
    <x v="620"/>
    <x v="159"/>
    <x v="1"/>
    <x v="615"/>
    <x v="603"/>
    <x v="2"/>
    <x v="607"/>
    <x v="5"/>
    <x v="3"/>
    <x v="0"/>
  </r>
  <r>
    <x v="5"/>
    <x v="50"/>
    <x v="24"/>
    <x v="621"/>
    <x v="621"/>
    <x v="0"/>
    <x v="0"/>
    <x v="616"/>
    <x v="604"/>
    <x v="2"/>
    <x v="608"/>
    <x v="0"/>
    <x v="0"/>
    <x v="0"/>
  </r>
  <r>
    <x v="9"/>
    <x v="50"/>
    <x v="30"/>
    <x v="622"/>
    <x v="622"/>
    <x v="90"/>
    <x v="0"/>
    <x v="617"/>
    <x v="605"/>
    <x v="0"/>
    <x v="609"/>
    <x v="0"/>
    <x v="0"/>
    <x v="0"/>
  </r>
  <r>
    <x v="5"/>
    <x v="50"/>
    <x v="26"/>
    <x v="623"/>
    <x v="623"/>
    <x v="41"/>
    <x v="0"/>
    <x v="618"/>
    <x v="606"/>
    <x v="4"/>
    <x v="610"/>
    <x v="0"/>
    <x v="0"/>
    <x v="0"/>
  </r>
  <r>
    <x v="8"/>
    <x v="50"/>
    <x v="26"/>
    <x v="624"/>
    <x v="624"/>
    <x v="19"/>
    <x v="0"/>
    <x v="619"/>
    <x v="607"/>
    <x v="4"/>
    <x v="611"/>
    <x v="2"/>
    <x v="0"/>
    <x v="0"/>
  </r>
  <r>
    <x v="12"/>
    <x v="50"/>
    <x v="26"/>
    <x v="625"/>
    <x v="625"/>
    <x v="120"/>
    <x v="0"/>
    <x v="620"/>
    <x v="608"/>
    <x v="0"/>
    <x v="612"/>
    <x v="1"/>
    <x v="0"/>
    <x v="0"/>
  </r>
  <r>
    <x v="1"/>
    <x v="50"/>
    <x v="27"/>
    <x v="626"/>
    <x v="626"/>
    <x v="9"/>
    <x v="0"/>
    <x v="621"/>
    <x v="609"/>
    <x v="4"/>
    <x v="613"/>
    <x v="5"/>
    <x v="1"/>
    <x v="0"/>
  </r>
  <r>
    <x v="1"/>
    <x v="51"/>
    <x v="26"/>
    <x v="627"/>
    <x v="627"/>
    <x v="11"/>
    <x v="0"/>
    <x v="622"/>
    <x v="509"/>
    <x v="2"/>
    <x v="614"/>
    <x v="5"/>
    <x v="0"/>
    <x v="0"/>
  </r>
  <r>
    <x v="0"/>
    <x v="51"/>
    <x v="27"/>
    <x v="628"/>
    <x v="628"/>
    <x v="133"/>
    <x v="0"/>
    <x v="623"/>
    <x v="610"/>
    <x v="0"/>
    <x v="615"/>
    <x v="2"/>
    <x v="0"/>
    <x v="0"/>
  </r>
  <r>
    <x v="0"/>
    <x v="51"/>
    <x v="30"/>
    <x v="629"/>
    <x v="629"/>
    <x v="39"/>
    <x v="0"/>
    <x v="624"/>
    <x v="611"/>
    <x v="1"/>
    <x v="616"/>
    <x v="2"/>
    <x v="2"/>
    <x v="0"/>
  </r>
  <r>
    <x v="1"/>
    <x v="50"/>
    <x v="27"/>
    <x v="630"/>
    <x v="630"/>
    <x v="47"/>
    <x v="0"/>
    <x v="625"/>
    <x v="480"/>
    <x v="4"/>
    <x v="483"/>
    <x v="1"/>
    <x v="1"/>
    <x v="0"/>
  </r>
  <r>
    <x v="0"/>
    <x v="51"/>
    <x v="26"/>
    <x v="631"/>
    <x v="631"/>
    <x v="58"/>
    <x v="0"/>
    <x v="626"/>
    <x v="612"/>
    <x v="0"/>
    <x v="617"/>
    <x v="0"/>
    <x v="0"/>
    <x v="0"/>
  </r>
  <r>
    <x v="8"/>
    <x v="51"/>
    <x v="26"/>
    <x v="632"/>
    <x v="632"/>
    <x v="118"/>
    <x v="0"/>
    <x v="627"/>
    <x v="613"/>
    <x v="2"/>
    <x v="618"/>
    <x v="0"/>
    <x v="0"/>
    <x v="0"/>
  </r>
  <r>
    <x v="3"/>
    <x v="51"/>
    <x v="30"/>
    <x v="633"/>
    <x v="633"/>
    <x v="19"/>
    <x v="0"/>
    <x v="628"/>
    <x v="614"/>
    <x v="0"/>
    <x v="619"/>
    <x v="1"/>
    <x v="0"/>
    <x v="0"/>
  </r>
  <r>
    <x v="1"/>
    <x v="52"/>
    <x v="29"/>
    <x v="634"/>
    <x v="634"/>
    <x v="0"/>
    <x v="0"/>
    <x v="629"/>
    <x v="615"/>
    <x v="0"/>
    <x v="620"/>
    <x v="4"/>
    <x v="0"/>
    <x v="0"/>
  </r>
  <r>
    <x v="7"/>
    <x v="52"/>
    <x v="28"/>
    <x v="635"/>
    <x v="635"/>
    <x v="39"/>
    <x v="0"/>
    <x v="630"/>
    <x v="616"/>
    <x v="0"/>
    <x v="621"/>
    <x v="4"/>
    <x v="0"/>
    <x v="0"/>
  </r>
  <r>
    <x v="1"/>
    <x v="52"/>
    <x v="30"/>
    <x v="636"/>
    <x v="636"/>
    <x v="11"/>
    <x v="0"/>
    <x v="631"/>
    <x v="617"/>
    <x v="4"/>
    <x v="622"/>
    <x v="4"/>
    <x v="0"/>
    <x v="0"/>
  </r>
  <r>
    <x v="0"/>
    <x v="52"/>
    <x v="27"/>
    <x v="637"/>
    <x v="637"/>
    <x v="9"/>
    <x v="0"/>
    <x v="632"/>
    <x v="618"/>
    <x v="4"/>
    <x v="623"/>
    <x v="5"/>
    <x v="1"/>
    <x v="0"/>
  </r>
  <r>
    <x v="4"/>
    <x v="52"/>
    <x v="29"/>
    <x v="638"/>
    <x v="638"/>
    <x v="160"/>
    <x v="0"/>
    <x v="633"/>
    <x v="502"/>
    <x v="4"/>
    <x v="624"/>
    <x v="5"/>
    <x v="0"/>
    <x v="0"/>
  </r>
  <r>
    <x v="3"/>
    <x v="52"/>
    <x v="28"/>
    <x v="639"/>
    <x v="639"/>
    <x v="156"/>
    <x v="0"/>
    <x v="634"/>
    <x v="619"/>
    <x v="0"/>
    <x v="625"/>
    <x v="1"/>
    <x v="0"/>
    <x v="0"/>
  </r>
  <r>
    <x v="1"/>
    <x v="52"/>
    <x v="27"/>
    <x v="640"/>
    <x v="640"/>
    <x v="112"/>
    <x v="0"/>
    <x v="635"/>
    <x v="620"/>
    <x v="8"/>
    <x v="626"/>
    <x v="1"/>
    <x v="0"/>
    <x v="0"/>
  </r>
  <r>
    <x v="17"/>
    <x v="53"/>
    <x v="30"/>
    <x v="641"/>
    <x v="641"/>
    <x v="53"/>
    <x v="0"/>
    <x v="636"/>
    <x v="621"/>
    <x v="0"/>
    <x v="627"/>
    <x v="0"/>
    <x v="0"/>
    <x v="0"/>
  </r>
  <r>
    <x v="10"/>
    <x v="54"/>
    <x v="30"/>
    <x v="642"/>
    <x v="642"/>
    <x v="99"/>
    <x v="0"/>
    <x v="637"/>
    <x v="622"/>
    <x v="7"/>
    <x v="628"/>
    <x v="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数据透视表1" cacheId="1"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W23:AB31" firstHeaderRow="1" firstDataRow="2" firstDataCol="1" rowPageCount="1" colPageCount="1"/>
  <pivotFields count="14">
    <pivotField compact="0" showAll="0">
      <items count="19">
        <item x="2"/>
        <item x="11"/>
        <item x="15"/>
        <item x="7"/>
        <item x="13"/>
        <item x="14"/>
        <item x="10"/>
        <item x="17"/>
        <item x="12"/>
        <item x="8"/>
        <item x="5"/>
        <item x="16"/>
        <item x="0"/>
        <item x="1"/>
        <item x="6"/>
        <item x="4"/>
        <item x="3"/>
        <item x="9"/>
        <item t="default"/>
      </items>
    </pivotField>
    <pivotField compact="0" numFmtId="19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numFmtId="19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compact="0" showAll="0">
      <items count="644">
        <item x="162"/>
        <item x="181"/>
        <item x="54"/>
        <item x="320"/>
        <item x="98"/>
        <item x="451"/>
        <item x="297"/>
        <item x="376"/>
        <item x="339"/>
        <item x="65"/>
        <item x="500"/>
        <item x="548"/>
        <item x="26"/>
        <item x="77"/>
        <item x="239"/>
        <item x="331"/>
        <item x="161"/>
        <item x="90"/>
        <item x="394"/>
        <item x="258"/>
        <item x="63"/>
        <item x="126"/>
        <item x="368"/>
        <item x="336"/>
        <item x="177"/>
        <item x="438"/>
        <item x="471"/>
        <item x="427"/>
        <item x="62"/>
        <item x="467"/>
        <item x="86"/>
        <item x="355"/>
        <item x="511"/>
        <item x="102"/>
        <item x="532"/>
        <item x="380"/>
        <item x="103"/>
        <item x="130"/>
        <item x="210"/>
        <item x="29"/>
        <item x="166"/>
        <item x="623"/>
        <item x="481"/>
        <item x="249"/>
        <item x="66"/>
        <item x="408"/>
        <item x="182"/>
        <item x="505"/>
        <item x="84"/>
        <item x="488"/>
        <item x="398"/>
        <item x="518"/>
        <item x="352"/>
        <item x="291"/>
        <item x="261"/>
        <item x="436"/>
        <item x="121"/>
        <item x="318"/>
        <item x="231"/>
        <item x="426"/>
        <item x="639"/>
        <item x="516"/>
        <item x="195"/>
        <item x="158"/>
        <item x="371"/>
        <item x="416"/>
        <item x="605"/>
        <item x="507"/>
        <item x="449"/>
        <item x="273"/>
        <item x="638"/>
        <item x="122"/>
        <item x="572"/>
        <item x="89"/>
        <item x="49"/>
        <item x="28"/>
        <item x="36"/>
        <item x="617"/>
        <item x="295"/>
        <item x="613"/>
        <item x="242"/>
        <item x="348"/>
        <item x="405"/>
        <item x="299"/>
        <item x="551"/>
        <item x="178"/>
        <item x="590"/>
        <item x="88"/>
        <item x="146"/>
        <item x="506"/>
        <item x="475"/>
        <item x="172"/>
        <item x="389"/>
        <item x="473"/>
        <item x="550"/>
        <item x="168"/>
        <item x="281"/>
        <item x="499"/>
        <item x="105"/>
        <item x="157"/>
        <item x="156"/>
        <item x="243"/>
        <item x="385"/>
        <item x="44"/>
        <item x="50"/>
        <item x="565"/>
        <item x="604"/>
        <item x="403"/>
        <item x="335"/>
        <item x="193"/>
        <item x="578"/>
        <item x="222"/>
        <item x="347"/>
        <item x="498"/>
        <item x="302"/>
        <item x="131"/>
        <item x="345"/>
        <item x="13"/>
        <item x="78"/>
        <item x="298"/>
        <item x="526"/>
        <item x="8"/>
        <item x="433"/>
        <item x="256"/>
        <item x="327"/>
        <item x="153"/>
        <item x="537"/>
        <item x="563"/>
        <item x="334"/>
        <item x="290"/>
        <item x="60"/>
        <item x="25"/>
        <item x="248"/>
        <item x="264"/>
        <item x="213"/>
        <item x="284"/>
        <item x="372"/>
        <item x="205"/>
        <item x="152"/>
        <item x="606"/>
        <item x="125"/>
        <item x="14"/>
        <item x="58"/>
        <item x="484"/>
        <item x="633"/>
        <item x="80"/>
        <item x="39"/>
        <item x="392"/>
        <item x="83"/>
        <item x="581"/>
        <item x="571"/>
        <item x="272"/>
        <item x="24"/>
        <item x="207"/>
        <item x="423"/>
        <item x="614"/>
        <item x="424"/>
        <item x="515"/>
        <item x="128"/>
        <item x="276"/>
        <item x="367"/>
        <item x="123"/>
        <item x="429"/>
        <item x="624"/>
        <item x="100"/>
        <item x="79"/>
        <item x="138"/>
        <item x="4"/>
        <item x="587"/>
        <item x="127"/>
        <item x="183"/>
        <item x="17"/>
        <item x="218"/>
        <item x="618"/>
        <item x="119"/>
        <item x="74"/>
        <item x="270"/>
        <item x="521"/>
        <item x="229"/>
        <item x="165"/>
        <item x="294"/>
        <item x="220"/>
        <item x="409"/>
        <item x="485"/>
        <item x="175"/>
        <item x="543"/>
        <item x="321"/>
        <item x="573"/>
        <item x="460"/>
        <item x="519"/>
        <item x="118"/>
        <item x="180"/>
        <item x="586"/>
        <item x="55"/>
        <item x="603"/>
        <item x="445"/>
        <item x="598"/>
        <item x="615"/>
        <item x="561"/>
        <item x="286"/>
        <item x="547"/>
        <item x="57"/>
        <item x="432"/>
        <item x="441"/>
        <item x="359"/>
        <item x="163"/>
        <item x="601"/>
        <item x="538"/>
        <item x="536"/>
        <item x="514"/>
        <item x="566"/>
        <item x="562"/>
        <item x="377"/>
        <item x="306"/>
        <item x="489"/>
        <item x="494"/>
        <item x="600"/>
        <item x="228"/>
        <item x="630"/>
        <item x="208"/>
        <item x="75"/>
        <item x="396"/>
        <item x="31"/>
        <item x="192"/>
        <item x="317"/>
        <item x="455"/>
        <item x="428"/>
        <item x="277"/>
        <item x="319"/>
        <item x="459"/>
        <item x="199"/>
        <item x="296"/>
        <item x="349"/>
        <item x="509"/>
        <item x="415"/>
        <item x="67"/>
        <item x="625"/>
        <item x="553"/>
        <item x="338"/>
        <item x="70"/>
        <item x="539"/>
        <item x="140"/>
        <item x="252"/>
        <item x="612"/>
        <item x="56"/>
        <item x="254"/>
        <item x="234"/>
        <item x="3"/>
        <item x="390"/>
        <item x="382"/>
        <item x="582"/>
        <item x="305"/>
        <item x="114"/>
        <item x="450"/>
        <item x="136"/>
        <item x="472"/>
        <item x="257"/>
        <item x="11"/>
        <item x="585"/>
        <item x="387"/>
        <item x="51"/>
        <item x="307"/>
        <item x="149"/>
        <item x="324"/>
        <item x="141"/>
        <item x="150"/>
        <item x="610"/>
        <item x="117"/>
        <item x="400"/>
        <item x="206"/>
        <item x="490"/>
        <item x="457"/>
        <item x="262"/>
        <item x="94"/>
        <item x="594"/>
        <item x="344"/>
        <item x="69"/>
        <item x="365"/>
        <item x="576"/>
        <item x="629"/>
        <item x="209"/>
        <item x="323"/>
        <item x="202"/>
        <item x="61"/>
        <item x="420"/>
        <item x="491"/>
        <item x="609"/>
        <item x="357"/>
        <item x="5"/>
        <item x="82"/>
        <item x="554"/>
        <item x="378"/>
        <item x="250"/>
        <item x="635"/>
        <item x="214"/>
        <item x="87"/>
        <item x="520"/>
        <item x="92"/>
        <item x="132"/>
        <item x="282"/>
        <item x="110"/>
        <item x="493"/>
        <item x="622"/>
        <item x="399"/>
        <item x="151"/>
        <item x="388"/>
        <item x="215"/>
        <item x="267"/>
        <item x="164"/>
        <item x="308"/>
        <item x="280"/>
        <item x="608"/>
        <item x="447"/>
        <item x="223"/>
        <item x="599"/>
        <item x="196"/>
        <item x="111"/>
        <item x="522"/>
        <item x="525"/>
        <item x="300"/>
        <item x="527"/>
        <item x="453"/>
        <item x="384"/>
        <item x="310"/>
        <item x="232"/>
        <item x="21"/>
        <item x="584"/>
        <item x="444"/>
        <item x="412"/>
        <item x="363"/>
        <item x="22"/>
        <item x="72"/>
        <item x="115"/>
        <item x="356"/>
        <item x="188"/>
        <item x="133"/>
        <item x="354"/>
        <item x="501"/>
        <item x="1"/>
        <item x="589"/>
        <item x="197"/>
        <item x="607"/>
        <item x="512"/>
        <item x="393"/>
        <item x="245"/>
        <item x="226"/>
        <item x="169"/>
        <item x="361"/>
        <item x="535"/>
        <item x="383"/>
        <item x="386"/>
        <item x="106"/>
        <item x="246"/>
        <item x="139"/>
        <item x="269"/>
        <item x="120"/>
        <item x="425"/>
        <item x="529"/>
        <item x="430"/>
        <item x="216"/>
        <item x="628"/>
        <item x="504"/>
        <item x="176"/>
        <item x="53"/>
        <item x="487"/>
        <item x="508"/>
        <item x="593"/>
        <item x="314"/>
        <item x="217"/>
        <item x="446"/>
        <item x="283"/>
        <item x="442"/>
        <item x="503"/>
        <item x="219"/>
        <item x="268"/>
        <item x="568"/>
        <item x="641"/>
        <item x="379"/>
        <item x="147"/>
        <item x="552"/>
        <item x="559"/>
        <item x="596"/>
        <item x="274"/>
        <item x="129"/>
        <item x="97"/>
        <item x="351"/>
        <item x="574"/>
        <item x="482"/>
        <item x="577"/>
        <item x="135"/>
        <item x="95"/>
        <item x="595"/>
        <item x="619"/>
        <item x="104"/>
        <item x="275"/>
        <item x="510"/>
        <item x="374"/>
        <item x="293"/>
        <item x="333"/>
        <item x="235"/>
        <item x="260"/>
        <item x="341"/>
        <item x="631"/>
        <item x="434"/>
        <item x="640"/>
        <item x="316"/>
        <item x="23"/>
        <item x="611"/>
        <item x="421"/>
        <item x="569"/>
        <item x="480"/>
        <item x="288"/>
        <item x="545"/>
        <item x="0"/>
        <item x="159"/>
        <item x="107"/>
        <item x="101"/>
        <item x="68"/>
        <item x="27"/>
        <item x="411"/>
        <item x="340"/>
        <item x="194"/>
        <item x="278"/>
        <item x="391"/>
        <item x="189"/>
        <item x="530"/>
        <item x="513"/>
        <item x="346"/>
        <item x="634"/>
        <item x="148"/>
        <item x="443"/>
        <item x="342"/>
        <item x="464"/>
        <item x="502"/>
        <item x="313"/>
        <item x="621"/>
        <item x="528"/>
        <item x="46"/>
        <item x="422"/>
        <item x="495"/>
        <item x="540"/>
        <item x="517"/>
        <item x="496"/>
        <item x="259"/>
        <item x="37"/>
        <item x="134"/>
        <item x="470"/>
        <item x="309"/>
        <item x="171"/>
        <item x="469"/>
        <item x="401"/>
        <item x="81"/>
        <item x="144"/>
        <item x="325"/>
        <item x="315"/>
        <item x="452"/>
        <item x="225"/>
        <item x="112"/>
        <item x="174"/>
        <item x="524"/>
        <item x="542"/>
        <item x="47"/>
        <item x="440"/>
        <item x="137"/>
        <item x="558"/>
        <item x="41"/>
        <item x="419"/>
        <item x="6"/>
        <item x="212"/>
        <item x="461"/>
        <item x="303"/>
        <item x="185"/>
        <item x="483"/>
        <item x="251"/>
        <item x="247"/>
        <item x="71"/>
        <item x="20"/>
        <item x="468"/>
        <item x="204"/>
        <item x="417"/>
        <item x="591"/>
        <item x="32"/>
        <item x="2"/>
        <item x="642"/>
        <item x="602"/>
        <item x="253"/>
        <item x="211"/>
        <item x="116"/>
        <item x="155"/>
        <item x="350"/>
        <item x="191"/>
        <item x="227"/>
        <item x="311"/>
        <item x="233"/>
        <item x="373"/>
        <item x="454"/>
        <item x="59"/>
        <item x="583"/>
        <item x="263"/>
        <item x="38"/>
        <item x="85"/>
        <item x="369"/>
        <item x="154"/>
        <item x="448"/>
        <item x="96"/>
        <item x="301"/>
        <item x="33"/>
        <item x="271"/>
        <item x="366"/>
        <item x="570"/>
        <item x="221"/>
        <item x="34"/>
        <item x="304"/>
        <item x="531"/>
        <item x="534"/>
        <item x="99"/>
        <item x="523"/>
        <item x="463"/>
        <item x="627"/>
        <item x="353"/>
        <item x="236"/>
        <item x="616"/>
        <item x="201"/>
        <item x="244"/>
        <item x="413"/>
        <item x="12"/>
        <item x="292"/>
        <item x="397"/>
        <item x="474"/>
        <item x="557"/>
        <item x="7"/>
        <item x="179"/>
        <item x="224"/>
        <item x="240"/>
        <item x="462"/>
        <item x="402"/>
        <item x="230"/>
        <item x="113"/>
        <item x="93"/>
        <item x="18"/>
        <item x="439"/>
        <item x="337"/>
        <item x="360"/>
        <item x="549"/>
        <item x="395"/>
        <item x="328"/>
        <item x="108"/>
        <item x="35"/>
        <item x="567"/>
        <item x="203"/>
        <item x="478"/>
        <item x="48"/>
        <item x="73"/>
        <item x="330"/>
        <item x="476"/>
        <item x="479"/>
        <item x="580"/>
        <item x="287"/>
        <item x="326"/>
        <item x="30"/>
        <item x="200"/>
        <item x="124"/>
        <item x="407"/>
        <item x="466"/>
        <item x="492"/>
        <item x="437"/>
        <item x="266"/>
        <item x="19"/>
        <item x="636"/>
        <item x="15"/>
        <item x="560"/>
        <item x="167"/>
        <item x="588"/>
        <item x="142"/>
        <item x="370"/>
        <item x="410"/>
        <item x="184"/>
        <item x="10"/>
        <item x="375"/>
        <item x="486"/>
        <item x="109"/>
        <item x="637"/>
        <item x="237"/>
        <item x="9"/>
        <item x="289"/>
        <item x="160"/>
        <item x="435"/>
        <item x="575"/>
        <item x="91"/>
        <item x="186"/>
        <item x="477"/>
        <item x="626"/>
        <item x="564"/>
        <item x="555"/>
        <item x="42"/>
        <item x="329"/>
        <item x="190"/>
        <item x="64"/>
        <item x="265"/>
        <item x="414"/>
        <item x="431"/>
        <item x="533"/>
        <item x="52"/>
        <item x="145"/>
        <item x="358"/>
        <item x="406"/>
        <item x="362"/>
        <item x="343"/>
        <item x="465"/>
        <item x="173"/>
        <item x="592"/>
        <item x="143"/>
        <item x="279"/>
        <item x="16"/>
        <item x="322"/>
        <item x="241"/>
        <item x="458"/>
        <item x="404"/>
        <item x="497"/>
        <item x="198"/>
        <item x="418"/>
        <item x="187"/>
        <item x="332"/>
        <item x="43"/>
        <item x="632"/>
        <item x="597"/>
        <item x="45"/>
        <item x="255"/>
        <item x="456"/>
        <item x="381"/>
        <item x="556"/>
        <item x="238"/>
        <item x="541"/>
        <item x="76"/>
        <item x="40"/>
        <item x="285"/>
        <item x="579"/>
        <item x="546"/>
        <item x="170"/>
        <item x="312"/>
        <item x="544"/>
        <item x="620"/>
        <item x="364"/>
        <item t="default"/>
      </items>
    </pivotField>
    <pivotField compact="0"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compact="0" showAl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compact="0" showAll="0">
      <items count="3">
        <item x="0"/>
        <item x="1"/>
        <item t="default"/>
      </items>
    </pivotField>
    <pivotField compact="0" showAll="0">
      <items count="6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compact="0" showAll="0">
      <items count="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t="default"/>
      </items>
    </pivotField>
    <pivotField compact="0" showAll="0">
      <items count="15">
        <item x="0"/>
        <item x="1"/>
        <item x="2"/>
        <item x="3"/>
        <item x="4"/>
        <item x="5"/>
        <item x="6"/>
        <item x="7"/>
        <item x="8"/>
        <item x="9"/>
        <item x="10"/>
        <item x="11"/>
        <item x="12"/>
        <item x="13"/>
        <item t="default"/>
      </items>
    </pivotField>
    <pivotField compact="0" showAll="0">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axis="axisRow" compact="0" showAll="0">
      <items count="8">
        <item x="5"/>
        <item m="1" x="6"/>
        <item x="2"/>
        <item x="1"/>
        <item x="0"/>
        <item x="4"/>
        <item x="3"/>
        <item t="default"/>
      </items>
    </pivotField>
    <pivotField axis="axisCol" compact="0" showAll="0">
      <items count="8">
        <item m="1" x="6"/>
        <item m="1" x="5"/>
        <item x="3"/>
        <item x="1"/>
        <item x="0"/>
        <item m="1" x="4"/>
        <item x="2"/>
        <item t="default"/>
      </items>
    </pivotField>
    <pivotField axis="axisPage" compact="0" multipleItemSelectionAllowed="1" showAll="0">
      <items count="3">
        <item h="1" x="1"/>
        <item x="0"/>
        <item t="default"/>
      </items>
    </pivotField>
  </pivotFields>
  <rowFields count="1">
    <field x="11"/>
  </rowFields>
  <rowItems count="7">
    <i>
      <x/>
    </i>
    <i>
      <x v="2"/>
    </i>
    <i>
      <x v="3"/>
    </i>
    <i>
      <x v="4"/>
    </i>
    <i>
      <x v="5"/>
    </i>
    <i>
      <x v="6"/>
    </i>
    <i t="grand">
      <x/>
    </i>
  </rowItems>
  <colFields count="1">
    <field x="12"/>
  </colFields>
  <colItems count="5">
    <i>
      <x v="2"/>
    </i>
    <i>
      <x v="3"/>
    </i>
    <i>
      <x v="4"/>
    </i>
    <i>
      <x v="6"/>
    </i>
    <i t="grand">
      <x/>
    </i>
  </colItems>
  <pageFields count="1">
    <pageField fld="13" hier="0"/>
  </pageFields>
  <dataFields count="1">
    <dataField name="计数项:车架号" fld="3" subtotal="count"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C218"/>
  <sheetViews>
    <sheetView showZeros="0" tabSelected="1" workbookViewId="0">
      <pane xSplit="3" ySplit="4" topLeftCell="D113" activePane="bottomRight" state="frozen"/>
      <selection pane="topRight"/>
      <selection pane="bottomLeft"/>
      <selection pane="bottomRight" activeCell="AO113" sqref="AO113"/>
    </sheetView>
  </sheetViews>
  <sheetFormatPr defaultColWidth="9" defaultRowHeight="14.4"/>
  <cols>
    <col min="1" max="1" width="5.44140625" style="1515" customWidth="1"/>
    <col min="2" max="2" width="7.44140625" style="1607" customWidth="1"/>
    <col min="3" max="3" width="9" style="1517" customWidth="1"/>
    <col min="4" max="4" width="7.21875" style="1518" customWidth="1"/>
    <col min="5" max="5" width="12.77734375" style="1518" customWidth="1"/>
    <col min="6" max="7" width="11" style="1518" customWidth="1"/>
    <col min="8" max="8" width="7.88671875" style="1518" customWidth="1"/>
    <col min="9" max="9" width="11.6640625" style="1518" customWidth="1"/>
    <col min="10" max="10" width="6.6640625" style="1518" customWidth="1"/>
    <col min="11" max="11" width="10.44140625" style="1518" customWidth="1"/>
    <col min="12" max="12" width="10.6640625" style="1518" customWidth="1"/>
    <col min="13" max="13" width="9.21875" style="1518" customWidth="1"/>
    <col min="14" max="14" width="7.33203125" style="1518" customWidth="1"/>
    <col min="15" max="15" width="9.21875" style="1518" customWidth="1"/>
    <col min="16" max="16" width="9.6640625" style="1518" hidden="1" customWidth="1"/>
    <col min="17" max="17" width="6.109375" style="1518" customWidth="1"/>
    <col min="18" max="18" width="8.88671875" style="1518" customWidth="1"/>
    <col min="19" max="19" width="8.44140625" style="1518" customWidth="1"/>
    <col min="20" max="20" width="7.33203125" style="1518" hidden="1" customWidth="1"/>
    <col min="21" max="21" width="8" style="1518" customWidth="1"/>
    <col min="22" max="22" width="10" style="1518" hidden="1" customWidth="1"/>
    <col min="23" max="23" width="10.6640625" style="1518" customWidth="1"/>
    <col min="24" max="24" width="4.21875" style="1518" customWidth="1"/>
    <col min="25" max="25" width="10" style="1517" hidden="1" customWidth="1"/>
    <col min="26" max="27" width="10" style="1518" hidden="1" customWidth="1"/>
    <col min="28" max="28" width="13.33203125" style="1519" hidden="1" customWidth="1"/>
    <col min="29" max="29" width="19.33203125" style="1518" hidden="1" customWidth="1"/>
    <col min="30" max="30" width="13.88671875" style="1518" hidden="1" customWidth="1"/>
    <col min="31" max="31" width="15" style="1520" hidden="1" customWidth="1"/>
    <col min="32" max="32" width="15.77734375" style="1518" hidden="1" customWidth="1"/>
    <col min="33" max="33" width="13" style="1518" hidden="1" customWidth="1"/>
    <col min="34" max="34" width="12" style="1520" hidden="1" customWidth="1"/>
    <col min="35" max="35" width="12.6640625" style="1520" hidden="1" customWidth="1"/>
    <col min="36" max="36" width="17" style="1518" hidden="1" customWidth="1"/>
    <col min="37" max="37" width="13.21875" hidden="1" customWidth="1"/>
    <col min="38" max="38" width="11.6640625" hidden="1" customWidth="1"/>
    <col min="39" max="39" width="9" hidden="1" customWidth="1"/>
    <col min="40" max="53" width="9" customWidth="1"/>
    <col min="16384" max="16384" width="9" style="1518"/>
  </cols>
  <sheetData>
    <row r="1" spans="1:41" s="1518" customFormat="1" ht="18" customHeight="1">
      <c r="A1" s="1649" t="s">
        <v>0</v>
      </c>
      <c r="B1" s="1649"/>
      <c r="C1" s="1649"/>
      <c r="D1" s="1649"/>
      <c r="E1" s="1649"/>
      <c r="F1" s="1649"/>
      <c r="G1" s="1649"/>
      <c r="H1" s="1649"/>
      <c r="I1" s="1649"/>
      <c r="J1" s="1649"/>
      <c r="K1" s="1649"/>
      <c r="L1" s="1649"/>
      <c r="M1" s="1649"/>
      <c r="N1" s="1649"/>
      <c r="O1" s="1649"/>
      <c r="P1" s="1649"/>
      <c r="Q1" s="1649"/>
      <c r="R1" s="1649"/>
      <c r="S1" s="1649"/>
      <c r="T1" s="1649"/>
      <c r="U1" s="1649"/>
      <c r="V1" s="1649"/>
      <c r="W1" s="1649"/>
      <c r="X1" s="1649"/>
      <c r="Y1" s="1649"/>
      <c r="Z1" s="1649"/>
      <c r="AB1" s="1519"/>
      <c r="AE1" s="1520"/>
      <c r="AH1" s="1520"/>
      <c r="AI1" s="1520"/>
      <c r="AK1"/>
    </row>
    <row r="2" spans="1:41" s="1518" customFormat="1" ht="15.75" customHeight="1">
      <c r="A2" s="1650" t="s">
        <v>1</v>
      </c>
      <c r="B2" s="1650"/>
      <c r="C2" s="1651"/>
      <c r="D2" s="1521"/>
      <c r="E2" s="1521"/>
      <c r="F2" s="1521"/>
      <c r="G2" s="1521"/>
      <c r="H2" s="1521"/>
      <c r="I2" s="1521"/>
      <c r="J2" s="1521"/>
      <c r="K2" s="1521"/>
      <c r="L2" s="1521"/>
      <c r="M2" s="1522"/>
      <c r="N2" s="1522"/>
      <c r="O2" s="1522"/>
      <c r="P2" s="1522"/>
      <c r="Q2" s="1522"/>
      <c r="R2" s="1522"/>
      <c r="S2" s="1523"/>
      <c r="T2" s="1523"/>
      <c r="U2" s="1524"/>
      <c r="V2" s="1521"/>
      <c r="W2" s="1521"/>
      <c r="X2" s="1525"/>
      <c r="Y2" s="1526"/>
      <c r="Z2" s="1521"/>
      <c r="AA2" s="1521"/>
      <c r="AB2" s="1519"/>
      <c r="AE2" s="1520"/>
      <c r="AH2" s="1520"/>
      <c r="AI2" s="1520"/>
      <c r="AK2"/>
    </row>
    <row r="3" spans="1:41" s="1518" customFormat="1" ht="23.25" customHeight="1">
      <c r="A3" s="1653" t="s">
        <v>2</v>
      </c>
      <c r="B3" s="1655" t="s">
        <v>3</v>
      </c>
      <c r="C3" s="1668" t="s">
        <v>4</v>
      </c>
      <c r="D3" s="1670" t="s">
        <v>5</v>
      </c>
      <c r="E3" s="1652" t="s">
        <v>6</v>
      </c>
      <c r="F3" s="1652" t="s">
        <v>7</v>
      </c>
      <c r="G3" s="1672" t="s">
        <v>8</v>
      </c>
      <c r="H3" s="1670" t="s">
        <v>9</v>
      </c>
      <c r="I3" s="1652" t="s">
        <v>10</v>
      </c>
      <c r="J3" s="1652" t="s">
        <v>11</v>
      </c>
      <c r="K3" s="1673" t="s">
        <v>12</v>
      </c>
      <c r="L3" s="1675" t="s">
        <v>13</v>
      </c>
      <c r="M3" s="1670" t="s">
        <v>14</v>
      </c>
      <c r="N3" s="1677" t="s">
        <v>15</v>
      </c>
      <c r="O3" s="1679" t="s">
        <v>16</v>
      </c>
      <c r="P3" s="1681" t="s">
        <v>9</v>
      </c>
      <c r="Q3" s="1677" t="s">
        <v>17</v>
      </c>
      <c r="R3" s="1652" t="s">
        <v>18</v>
      </c>
      <c r="S3" s="1652" t="s">
        <v>19</v>
      </c>
      <c r="T3" s="1652"/>
      <c r="U3" s="1652"/>
      <c r="V3" s="1670" t="s">
        <v>20</v>
      </c>
      <c r="W3" s="1652" t="s">
        <v>21</v>
      </c>
      <c r="X3" s="1683" t="s">
        <v>22</v>
      </c>
      <c r="Y3" s="1685" t="s">
        <v>23</v>
      </c>
      <c r="Z3" s="1670" t="s">
        <v>24</v>
      </c>
      <c r="AA3" s="1687" t="s">
        <v>25</v>
      </c>
      <c r="AB3" s="1519"/>
      <c r="AE3" s="1520"/>
      <c r="AF3" s="1518" t="s">
        <v>26</v>
      </c>
      <c r="AG3" s="1518" t="s">
        <v>27</v>
      </c>
      <c r="AH3" s="1520" t="s">
        <v>28</v>
      </c>
      <c r="AI3" s="1520"/>
      <c r="AK3"/>
    </row>
    <row r="4" spans="1:41" s="1518" customFormat="1" ht="25.5" customHeight="1">
      <c r="A4" s="1654"/>
      <c r="B4" s="1656"/>
      <c r="C4" s="1669"/>
      <c r="D4" s="1671"/>
      <c r="E4" s="1671"/>
      <c r="F4" s="1671"/>
      <c r="G4" s="1671"/>
      <c r="H4" s="1671"/>
      <c r="I4" s="1671"/>
      <c r="J4" s="1671"/>
      <c r="K4" s="1674"/>
      <c r="L4" s="1676"/>
      <c r="M4" s="1671"/>
      <c r="N4" s="1678"/>
      <c r="O4" s="1680"/>
      <c r="P4" s="1682"/>
      <c r="Q4" s="1678"/>
      <c r="R4" s="1671"/>
      <c r="S4" s="1527" t="s">
        <v>29</v>
      </c>
      <c r="T4" s="1527" t="s">
        <v>30</v>
      </c>
      <c r="U4" s="1528" t="s">
        <v>31</v>
      </c>
      <c r="V4" s="1671"/>
      <c r="W4" s="1671"/>
      <c r="X4" s="1684"/>
      <c r="Y4" s="1686" t="s">
        <v>32</v>
      </c>
      <c r="Z4" s="1671" t="s">
        <v>32</v>
      </c>
      <c r="AA4" s="1688" t="s">
        <v>32</v>
      </c>
      <c r="AB4" s="1519" t="s">
        <v>33</v>
      </c>
      <c r="AC4" s="1518" t="s">
        <v>34</v>
      </c>
      <c r="AE4" s="1520"/>
      <c r="AF4" s="1529">
        <f>SUMIF('05月其他部门提成'!C:C,'05月提成-武侯售后'!C4,'05月其他部门提成'!Q:Q)</f>
        <v>0</v>
      </c>
      <c r="AH4" s="1530">
        <f>SUMIF('05月业务提成'!B:B,'05月提成-武侯售后'!C4,'05月业务提成'!BO:BO)</f>
        <v>0</v>
      </c>
      <c r="AI4" s="1520"/>
      <c r="AK4"/>
    </row>
    <row r="5" spans="1:41" s="1518" customFormat="1" ht="14.1" customHeight="1">
      <c r="A5" s="1531">
        <v>1</v>
      </c>
      <c r="B5" s="1657" t="s">
        <v>35</v>
      </c>
      <c r="C5" s="1507" t="s">
        <v>36</v>
      </c>
      <c r="D5" s="1533">
        <f>INDEX('05基本'!I:I,MATCH(C5,'05基本'!C:C,0))+INDEX('05基本'!J:J,MATCH(C5,'05基本'!C:C,0))</f>
        <v>0</v>
      </c>
      <c r="E5" s="1534">
        <f>INDEX('05基本'!AA:AA,MATCH(C5,'05基本'!C:C,0))</f>
        <v>1497.5</v>
      </c>
      <c r="F5" s="1534">
        <f>INDEX('05基本'!AB:AB,MATCH(C5,'05基本'!C:C,0))</f>
        <v>572</v>
      </c>
      <c r="G5" s="1534">
        <f>INDEX('05基本'!AC:AC,MATCH(C5,'05基本'!C:C,0))</f>
        <v>117</v>
      </c>
      <c r="H5" s="1534">
        <f>INDEX('05基本'!K:K,MATCH(C5,'05基本'!C:C,0))+INDEX('05基本'!L:L,MATCH(C5,'05基本'!C:C,0))</f>
        <v>1000</v>
      </c>
      <c r="I5" s="1534">
        <f>INDEX('05基本'!P:P,MATCH(C5,'05基本'!C:C,0))</f>
        <v>8000</v>
      </c>
      <c r="J5" s="1534">
        <f>INDEX('05基本'!M:M,MATCH(C5,'05基本'!C:C,0))</f>
        <v>1000</v>
      </c>
      <c r="K5" s="1535">
        <f>INDEX('05月其他部门提成'!Q:Q,MATCH(C5,'05月其他部门提成'!C:C,0))</f>
        <v>8666.6666666666697</v>
      </c>
      <c r="L5" s="1533">
        <f>SUMIF(综合考核!A:A,'05月提成-武侯售后'!C5,综合考核!M:M)</f>
        <v>0</v>
      </c>
      <c r="M5" s="1535">
        <f>SUM(K5:L5)</f>
        <v>8666.6666666666697</v>
      </c>
      <c r="N5" s="1535">
        <f>SUMIF(服装扣款!C:C,C5,服装扣款!N:N)</f>
        <v>0</v>
      </c>
      <c r="O5" s="1536">
        <f>M5-N5</f>
        <v>8666.6666666666697</v>
      </c>
      <c r="P5" s="1537">
        <f>SUMIF(超市公积金!C:C,'05月提成-武侯售后'!C5,超市公积金!I:I)</f>
        <v>0</v>
      </c>
      <c r="Q5" s="1535">
        <f>SUMIF(综合考核!A:A,'05月提成-武侯售后'!C5,综合考核!N:N)</f>
        <v>0</v>
      </c>
      <c r="R5" s="1535">
        <f>M5+I5+Q5</f>
        <v>16666.666666666701</v>
      </c>
      <c r="S5" s="1535">
        <f>INDEX(AC:AC,MATCH(C5,AB:AB,0))</f>
        <v>797.76</v>
      </c>
      <c r="T5" s="1538"/>
      <c r="U5" s="1535">
        <f>S5-T5</f>
        <v>797.76</v>
      </c>
      <c r="V5" s="1535">
        <f>INDEX('05基本'!AF:AF,MATCH(C5,'05基本'!C:C,0))</f>
        <v>0</v>
      </c>
      <c r="W5" s="1535">
        <f>O5-P5-U5</f>
        <v>7868.9066666666704</v>
      </c>
      <c r="X5" s="1542"/>
      <c r="Y5" s="1540"/>
      <c r="Z5" s="1541">
        <v>3566.67</v>
      </c>
      <c r="AA5" s="1542"/>
      <c r="AB5" s="1519" t="s">
        <v>36</v>
      </c>
      <c r="AC5" s="291">
        <v>797.76</v>
      </c>
      <c r="AD5" s="1518">
        <f t="shared" ref="AD5:AD24" si="0">COUNTIF(C:C,C5)</f>
        <v>1</v>
      </c>
      <c r="AE5" s="1530">
        <f>INDEX('05基本'!P:P,MATCH(C5,'05基本'!C:C,0))-I5</f>
        <v>0</v>
      </c>
      <c r="AF5" s="1529">
        <f>SUMIF('05月其他部门提成'!C:C,'05月提成-武侯售后'!C5,'05月其他部门提成'!Q:Q)</f>
        <v>8666.6666666666697</v>
      </c>
      <c r="AG5" s="1544">
        <f>SUMIF('05月车间提成'!C:C,'05月提成-武侯售后'!C5,'05月车间提成'!W:W)</f>
        <v>0</v>
      </c>
      <c r="AH5" s="1530">
        <f>SUMIF('05月业务提成'!B:B,'05月提成-武侯售后'!C5,'05月业务提成'!BO:BO)</f>
        <v>0</v>
      </c>
      <c r="AI5" s="1530">
        <f>AF5+AG5+AH5</f>
        <v>8666.6666666666697</v>
      </c>
      <c r="AJ5" s="1530">
        <f>AI5-K5</f>
        <v>0</v>
      </c>
      <c r="AK5"/>
    </row>
    <row r="6" spans="1:41" s="1518" customFormat="1" ht="15.75" customHeight="1">
      <c r="A6" s="1531">
        <v>2</v>
      </c>
      <c r="B6" s="1657"/>
      <c r="C6" s="1507" t="s">
        <v>37</v>
      </c>
      <c r="D6" s="1533">
        <f>INDEX('05基本'!I:I,MATCH(C6,'05基本'!C:C,0))+INDEX('05基本'!J:J,MATCH(C6,'05基本'!C:C,0))</f>
        <v>0</v>
      </c>
      <c r="E6" s="1534">
        <f>INDEX('05基本'!AA:AA,MATCH(C6,'05基本'!C:C,0))</f>
        <v>1748.5</v>
      </c>
      <c r="F6" s="1534">
        <f>INDEX('05基本'!AB:AB,MATCH(C6,'05基本'!C:C,0))</f>
        <v>676</v>
      </c>
      <c r="G6" s="1534">
        <f>INDEX('05基本'!AC:AC,MATCH(C6,'05基本'!C:C,0))</f>
        <v>117</v>
      </c>
      <c r="H6" s="1534">
        <f>INDEX('05基本'!K:K,MATCH(C6,'05基本'!C:C,0))+INDEX('05基本'!L:L,MATCH(C6,'05基本'!C:C,0))</f>
        <v>1000</v>
      </c>
      <c r="I6" s="1534">
        <f>INDEX('05基本'!P:P,MATCH(C6,'05基本'!C:C,0))</f>
        <v>10000</v>
      </c>
      <c r="J6" s="1534">
        <f>INDEX('05基本'!M:M,MATCH(C6,'05基本'!C:C,0))</f>
        <v>1000</v>
      </c>
      <c r="K6" s="1535">
        <f>INDEX('05月其他部门提成'!Q:Q,MATCH(C6,'05月其他部门提成'!C:C,0))</f>
        <v>10833.33</v>
      </c>
      <c r="L6" s="1533">
        <f>SUMIF(综合考核!A:A,'05月提成-武侯售后'!C6,综合考核!M:M)</f>
        <v>0</v>
      </c>
      <c r="M6" s="1535">
        <f>SUM(K6:L6)</f>
        <v>10833.33</v>
      </c>
      <c r="N6" s="1535">
        <f>SUMIF(服装扣款!C:C,C6,服装扣款!N:N)</f>
        <v>0</v>
      </c>
      <c r="O6" s="1536">
        <f>M6-N6</f>
        <v>10833.33</v>
      </c>
      <c r="P6" s="1537">
        <f>SUMIF(超市公积金!C:C,'05月提成-武侯售后'!C6,超市公积金!I:I)</f>
        <v>0</v>
      </c>
      <c r="Q6" s="1535">
        <f>SUMIF(综合考核!A:A,'05月提成-武侯售后'!C6,综合考核!N:N)</f>
        <v>0</v>
      </c>
      <c r="R6" s="1535">
        <f>M6+I6+Q6</f>
        <v>20833.330000000002</v>
      </c>
      <c r="S6" s="1535">
        <f>INDEX(AC:AC,MATCH(C6,AB:AB,0))</f>
        <v>1504.03</v>
      </c>
      <c r="T6" s="1538"/>
      <c r="U6" s="1535">
        <f>S6-T6</f>
        <v>1504.03</v>
      </c>
      <c r="V6" s="1535">
        <f>INDEX('05基本'!AF:AF,MATCH(C6,'05基本'!C:C,0))</f>
        <v>0</v>
      </c>
      <c r="W6" s="1535">
        <f>O6-P6-U6</f>
        <v>9329.2999999999993</v>
      </c>
      <c r="X6" s="1542"/>
      <c r="Y6" s="1540"/>
      <c r="Z6" s="1541"/>
      <c r="AA6" s="1542"/>
      <c r="AB6" s="1519" t="s">
        <v>37</v>
      </c>
      <c r="AC6" s="291">
        <v>1504.03</v>
      </c>
      <c r="AD6" s="1518">
        <f t="shared" si="0"/>
        <v>1</v>
      </c>
      <c r="AE6" s="1530">
        <f>INDEX('05基本'!P:P,MATCH(C6,'05基本'!C:C,0))-I6</f>
        <v>0</v>
      </c>
      <c r="AF6" s="1529">
        <f>SUMIF('05月其他部门提成'!C:C,'05月提成-武侯售后'!C6,'05月其他部门提成'!Q:Q)</f>
        <v>10833.33</v>
      </c>
      <c r="AG6" s="1544">
        <f>SUMIF('05月车间提成'!C:C,'05月提成-武侯售后'!C6,'05月车间提成'!W:W)</f>
        <v>0</v>
      </c>
      <c r="AH6" s="1530">
        <f>SUMIF('05月业务提成'!B:B,'05月提成-武侯售后'!C6,'05月业务提成'!BO:BO)</f>
        <v>0</v>
      </c>
      <c r="AI6" s="1530">
        <f>AF6+AG6+AH6</f>
        <v>10833.33</v>
      </c>
      <c r="AJ6" s="1530">
        <f>AI6-K6</f>
        <v>0</v>
      </c>
      <c r="AK6"/>
    </row>
    <row r="7" spans="1:41" s="1518" customFormat="1" ht="15.75" customHeight="1">
      <c r="A7" s="1531">
        <v>3</v>
      </c>
      <c r="B7" s="1657"/>
      <c r="C7" s="1507" t="s">
        <v>38</v>
      </c>
      <c r="D7" s="1533">
        <f>INDEX('05基本'!I:I,MATCH(C7,'05基本'!C:C,0))+INDEX('05基本'!J:J,MATCH(C7,'05基本'!C:C,0))</f>
        <v>0</v>
      </c>
      <c r="E7" s="1534">
        <f>INDEX('05基本'!AA:AA,MATCH(C7,'05基本'!C:C,0))</f>
        <v>1372</v>
      </c>
      <c r="F7" s="1534">
        <f>INDEX('05基本'!AB:AB,MATCH(C7,'05基本'!C:C,0))</f>
        <v>520</v>
      </c>
      <c r="G7" s="1534">
        <f>INDEX('05基本'!AC:AC,MATCH(C7,'05基本'!C:C,0))</f>
        <v>117</v>
      </c>
      <c r="H7" s="1534">
        <f>INDEX('05基本'!K:K,MATCH(C7,'05基本'!C:C,0))+INDEX('05基本'!L:L,MATCH(C7,'05基本'!C:C,0))</f>
        <v>100</v>
      </c>
      <c r="I7" s="1534">
        <f>INDEX('05基本'!P:P,MATCH(C7,'05基本'!C:C,0))</f>
        <v>1700</v>
      </c>
      <c r="J7" s="1534">
        <f>INDEX('05基本'!M:M,MATCH(C7,'05基本'!C:C,0))</f>
        <v>0</v>
      </c>
      <c r="K7" s="1535">
        <f>INDEX('05月其他部门提成'!Q:Q,MATCH(C7,'05月其他部门提成'!C:C,0))</f>
        <v>11763.000980418101</v>
      </c>
      <c r="L7" s="1533">
        <f>SUMIF(综合考核!A:A,'05月提成-武侯售后'!C7,综合考核!M:M)</f>
        <v>0</v>
      </c>
      <c r="M7" s="1535">
        <f>SUM(K7:L7)</f>
        <v>11763.000980418101</v>
      </c>
      <c r="N7" s="1535">
        <f>SUMIF(服装扣款!C:C,C7,服装扣款!N:N)</f>
        <v>0</v>
      </c>
      <c r="O7" s="1536">
        <f>M7-N7</f>
        <v>11763.000980418101</v>
      </c>
      <c r="P7" s="1537">
        <f>SUMIF(超市公积金!C:C,'05月提成-武侯售后'!C7,超市公积金!I:I)</f>
        <v>0</v>
      </c>
      <c r="Q7" s="1535">
        <f>SUMIF(综合考核!A:A,'05月提成-武侯售后'!C7,综合考核!N:N)</f>
        <v>0</v>
      </c>
      <c r="R7" s="1535">
        <f>M7+I7+Q7</f>
        <v>13463.000980418101</v>
      </c>
      <c r="S7" s="1535">
        <f>INDEX(AC:AC,MATCH(C7,AB:AB,0))</f>
        <v>782.6</v>
      </c>
      <c r="T7" s="1538"/>
      <c r="U7" s="1535">
        <f>S7-T7</f>
        <v>782.6</v>
      </c>
      <c r="V7" s="1535">
        <f>INDEX('05基本'!AF:AF,MATCH(C7,'05基本'!C:C,0))</f>
        <v>0</v>
      </c>
      <c r="W7" s="1535">
        <f>O7-P7-U7</f>
        <v>10980.400980418101</v>
      </c>
      <c r="X7" s="1542"/>
      <c r="Y7" s="1540"/>
      <c r="Z7" s="1541">
        <f>'05月其他部门提成'!R9</f>
        <v>116.09791740765</v>
      </c>
      <c r="AA7" s="1542"/>
      <c r="AB7" s="1519" t="s">
        <v>38</v>
      </c>
      <c r="AC7" s="291">
        <v>782.6</v>
      </c>
      <c r="AD7" s="1518">
        <f t="shared" si="0"/>
        <v>1</v>
      </c>
      <c r="AE7" s="1530">
        <f>INDEX('05基本'!P:P,MATCH(C7,'05基本'!C:C,0))-I7</f>
        <v>0</v>
      </c>
      <c r="AF7" s="1529">
        <f>SUMIF('05月其他部门提成'!C:C,'05月提成-武侯售后'!C7,'05月其他部门提成'!Q:Q)</f>
        <v>11763.000980418101</v>
      </c>
      <c r="AG7" s="1544">
        <f>SUMIF('05月车间提成'!C:C,'05月提成-武侯售后'!C7,'05月车间提成'!W:W)</f>
        <v>0</v>
      </c>
      <c r="AH7" s="1530">
        <f>SUMIF('05月业务提成'!B:B,'05月提成-武侯售后'!C7,'05月业务提成'!BO:BO)</f>
        <v>0</v>
      </c>
      <c r="AI7" s="1530">
        <f>AF7+AG7+AH7</f>
        <v>11763.000980418101</v>
      </c>
      <c r="AJ7" s="1530">
        <f>AI7-K7</f>
        <v>0</v>
      </c>
      <c r="AK7"/>
    </row>
    <row r="8" spans="1:41" s="1518" customFormat="1" ht="14.1" customHeight="1">
      <c r="A8" s="1531" t="s">
        <v>39</v>
      </c>
      <c r="B8" s="1658"/>
      <c r="C8" s="1609" t="s">
        <v>40</v>
      </c>
      <c r="D8" s="1554">
        <f t="shared" ref="D8:I8" si="1">SUM(D5:D7)</f>
        <v>0</v>
      </c>
      <c r="E8" s="1554">
        <f t="shared" si="1"/>
        <v>4618</v>
      </c>
      <c r="F8" s="1554">
        <f t="shared" si="1"/>
        <v>1768</v>
      </c>
      <c r="G8" s="1554">
        <f t="shared" si="1"/>
        <v>351</v>
      </c>
      <c r="H8" s="1554">
        <f t="shared" si="1"/>
        <v>2100</v>
      </c>
      <c r="I8" s="1554">
        <f t="shared" si="1"/>
        <v>19700</v>
      </c>
      <c r="J8" s="1554">
        <f t="shared" ref="J8:AA8" si="2">SUM(J5:J7)</f>
        <v>2000</v>
      </c>
      <c r="K8" s="1554">
        <f t="shared" si="2"/>
        <v>31262.997647084801</v>
      </c>
      <c r="L8" s="1554">
        <f t="shared" si="2"/>
        <v>0</v>
      </c>
      <c r="M8" s="1554">
        <f t="shared" si="2"/>
        <v>31262.997647084801</v>
      </c>
      <c r="N8" s="1554">
        <f t="shared" si="2"/>
        <v>0</v>
      </c>
      <c r="O8" s="1555">
        <f t="shared" si="2"/>
        <v>31262.997647084801</v>
      </c>
      <c r="P8" s="1556">
        <f t="shared" si="2"/>
        <v>0</v>
      </c>
      <c r="Q8" s="1554">
        <f t="shared" si="2"/>
        <v>0</v>
      </c>
      <c r="R8" s="1554">
        <f t="shared" si="2"/>
        <v>50962.997647084798</v>
      </c>
      <c r="S8" s="1554">
        <f t="shared" si="2"/>
        <v>3084.39</v>
      </c>
      <c r="T8" s="1554">
        <f t="shared" si="2"/>
        <v>0</v>
      </c>
      <c r="U8" s="1554">
        <f t="shared" si="2"/>
        <v>3084.39</v>
      </c>
      <c r="V8" s="1554">
        <f t="shared" si="2"/>
        <v>0</v>
      </c>
      <c r="W8" s="1554">
        <f t="shared" si="2"/>
        <v>28178.607647084798</v>
      </c>
      <c r="X8" s="1568">
        <f t="shared" si="2"/>
        <v>0</v>
      </c>
      <c r="Y8" s="1556">
        <f t="shared" si="2"/>
        <v>0</v>
      </c>
      <c r="Z8" s="1554">
        <f t="shared" si="2"/>
        <v>3682.7679174076502</v>
      </c>
      <c r="AA8" s="1568">
        <f t="shared" si="2"/>
        <v>0</v>
      </c>
      <c r="AB8" s="1519" t="s">
        <v>41</v>
      </c>
      <c r="AC8" s="291">
        <v>0</v>
      </c>
      <c r="AD8" s="1518">
        <f t="shared" si="0"/>
        <v>11</v>
      </c>
      <c r="AE8" s="1530" t="e">
        <f>INDEX('05基本'!P:P,MATCH(C8,'05基本'!C:C,0))-I8</f>
        <v>#N/A</v>
      </c>
      <c r="AF8" s="1558"/>
      <c r="AG8" s="1559"/>
      <c r="AH8" s="1560"/>
      <c r="AI8" s="1560"/>
      <c r="AJ8" s="1560"/>
      <c r="AK8" s="1530"/>
    </row>
    <row r="9" spans="1:41" s="1518" customFormat="1" ht="18" customHeight="1">
      <c r="A9" s="1531">
        <f>A7+1</f>
        <v>4</v>
      </c>
      <c r="B9" s="1659" t="s">
        <v>42</v>
      </c>
      <c r="C9" s="1507" t="s">
        <v>41</v>
      </c>
      <c r="D9" s="1533">
        <f>INDEX('05基本'!I:I,MATCH(C9,'05基本'!C:C,0))+INDEX('05基本'!J:J,MATCH(C9,'05基本'!C:C,0))</f>
        <v>200</v>
      </c>
      <c r="E9" s="1534">
        <f>INDEX('05基本'!AA:AA,MATCH(C9,'05基本'!C:C,0))</f>
        <v>1268.5899999999999</v>
      </c>
      <c r="F9" s="1534">
        <f>INDEX('05基本'!AB:AB,MATCH(C9,'05基本'!C:C,0))</f>
        <v>477.15</v>
      </c>
      <c r="G9" s="1534">
        <f>INDEX('05基本'!AC:AC,MATCH(C9,'05基本'!C:C,0))</f>
        <v>117</v>
      </c>
      <c r="H9" s="1534">
        <f>INDEX('05基本'!K:K,MATCH(C9,'05基本'!C:C,0))+INDEX('05基本'!L:L,MATCH(C9,'05基本'!C:C,0))</f>
        <v>0</v>
      </c>
      <c r="I9" s="1534">
        <f>INDEX('05基本'!P:P,MATCH(C9,'05基本'!C:C,0))</f>
        <v>2200</v>
      </c>
      <c r="J9" s="1534">
        <f>INDEX('05基本'!M:M,MATCH(C9,'05基本'!C:C,0))</f>
        <v>0</v>
      </c>
      <c r="K9" s="1535">
        <f>INDEX('05月其他部门提成'!Q:Q,MATCH(C9,'05月其他部门提成'!C:C,0))</f>
        <v>6328.2846343020001</v>
      </c>
      <c r="L9" s="1533">
        <f>SUMIF(综合考核!A:A,'05月提成-武侯售后'!C9,综合考核!M:M)</f>
        <v>0</v>
      </c>
      <c r="M9" s="1535">
        <f>SUM(K9:L9)</f>
        <v>6328.2846343020001</v>
      </c>
      <c r="N9" s="1535">
        <f>SUMIF(服装扣款!C:C,C9,服装扣款!N:N)</f>
        <v>0</v>
      </c>
      <c r="O9" s="1536">
        <f>M9-N9</f>
        <v>6328.2846343020001</v>
      </c>
      <c r="P9" s="1537">
        <f>SUMIF(超市公积金!C:C,'05月提成-武侯售后'!C9,超市公积金!I:I)</f>
        <v>0</v>
      </c>
      <c r="Q9" s="1535">
        <f>SUMIF(综合考核!A:A,'05月提成-武侯售后'!C9,综合考核!N:N)</f>
        <v>0</v>
      </c>
      <c r="R9" s="1535">
        <f>M9+I9+Q9</f>
        <v>8528.2846343019992</v>
      </c>
      <c r="S9" s="1535">
        <f>INDEX(AC:AC,MATCH(C9,AB:AB,0))</f>
        <v>0</v>
      </c>
      <c r="T9" s="1538"/>
      <c r="U9" s="1535">
        <f>S9-T9</f>
        <v>0</v>
      </c>
      <c r="V9" s="1535">
        <f>INDEX('05基本'!AF:AF,MATCH(C9,'05基本'!C:C,0))</f>
        <v>0</v>
      </c>
      <c r="W9" s="1535">
        <f>O9-P9-U9</f>
        <v>6328.2846343020001</v>
      </c>
      <c r="X9" s="1542"/>
      <c r="Y9" s="1540">
        <f>SUM(Z9:AA9)</f>
        <v>416.66666666666703</v>
      </c>
      <c r="Z9" s="1541">
        <f>INDEX('05月其他部门提成'!S:S,MATCH(C9,'05月其他部门提成'!C:C,0))</f>
        <v>416.66666666666703</v>
      </c>
      <c r="AA9" s="1542"/>
      <c r="AB9" s="1519" t="s">
        <v>43</v>
      </c>
      <c r="AC9" s="291">
        <v>26.11</v>
      </c>
      <c r="AD9" s="1518">
        <f t="shared" si="0"/>
        <v>1</v>
      </c>
      <c r="AE9" s="1530">
        <f>INDEX('05基本'!P:P,MATCH(C9,'05基本'!C:C,0))-I9</f>
        <v>0</v>
      </c>
      <c r="AF9" s="1529">
        <f>SUMIF('05月其他部门提成'!C:C,'05月提成-武侯售后'!C9,'05月其他部门提成'!Q:Q)</f>
        <v>6328.2846343020001</v>
      </c>
      <c r="AG9" s="1544">
        <f>SUMIF('05月车间提成'!C:C,'05月提成-武侯售后'!C9,'05月车间提成'!W:W)</f>
        <v>0</v>
      </c>
      <c r="AH9" s="1530">
        <f>SUMIF('05月业务提成'!B:B,'05月提成-武侯售后'!C9,'05月业务提成'!BO:BO)</f>
        <v>0</v>
      </c>
      <c r="AI9" s="1530">
        <f>AF9+AG9+AH9</f>
        <v>6328.2846343020001</v>
      </c>
      <c r="AJ9" s="1530">
        <f>AI9-K9</f>
        <v>0</v>
      </c>
      <c r="AK9"/>
    </row>
    <row r="10" spans="1:41" s="1518" customFormat="1" ht="14.1" customHeight="1">
      <c r="A10" s="1531">
        <f>A9+1</f>
        <v>5</v>
      </c>
      <c r="B10" s="1660"/>
      <c r="C10" s="1507" t="s">
        <v>43</v>
      </c>
      <c r="D10" s="1533">
        <f>INDEX('05基本'!I:I,MATCH(C10,'05基本'!C:C,0))+INDEX('05基本'!J:J,MATCH(C10,'05基本'!C:C,0))</f>
        <v>0</v>
      </c>
      <c r="E10" s="1534">
        <f>INDEX('05基本'!AA:AA,MATCH(C10,'05基本'!C:C,0))</f>
        <v>1268.5899999999999</v>
      </c>
      <c r="F10" s="1534">
        <f>INDEX('05基本'!AB:AB,MATCH(C10,'05基本'!C:C,0))</f>
        <v>477.15</v>
      </c>
      <c r="G10" s="1534">
        <f>INDEX('05基本'!AC:AC,MATCH(C10,'05基本'!C:C,0))</f>
        <v>117</v>
      </c>
      <c r="H10" s="1610">
        <f>INDEX('05基本'!K:K,MATCH(C10,'05基本'!C:C,0))+INDEX('05基本'!L:L,MATCH(C10,'05基本'!C:C,0))</f>
        <v>0</v>
      </c>
      <c r="I10" s="1534">
        <f>INDEX('05基本'!P:P,MATCH(C10,'05基本'!C:C,0))</f>
        <v>2000</v>
      </c>
      <c r="J10" s="1534">
        <f>INDEX('05基本'!M:M,MATCH(C10,'05基本'!C:C,0))</f>
        <v>0</v>
      </c>
      <c r="K10" s="1535">
        <f>INDEX('05月其他部门提成'!Q:Q,MATCH(C10,'05月其他部门提成'!C:C,0))</f>
        <v>4464.7607047800002</v>
      </c>
      <c r="L10" s="1533">
        <f>SUMIF(综合考核!A:A,'05月提成-武侯售后'!C10,综合考核!M:M)</f>
        <v>0</v>
      </c>
      <c r="M10" s="1535">
        <f>SUM(K10:L10)</f>
        <v>4464.7607047800002</v>
      </c>
      <c r="N10" s="1535">
        <f>SUMIF(服装扣款!C:C,C10,服装扣款!N:N)</f>
        <v>0</v>
      </c>
      <c r="O10" s="1536">
        <f>M10-N10</f>
        <v>4464.7607047800002</v>
      </c>
      <c r="P10" s="1537">
        <f>SUMIF(超市公积金!C:C,'05月提成-武侯售后'!C10,超市公积金!I:I)</f>
        <v>0</v>
      </c>
      <c r="Q10" s="1535">
        <f>SUMIF(综合考核!A:A,'05月提成-武侯售后'!C10,综合考核!N:N)</f>
        <v>0</v>
      </c>
      <c r="R10" s="1535">
        <f>M10+I10+Q10</f>
        <v>6464.7607047800002</v>
      </c>
      <c r="S10" s="1535">
        <f>INDEX(AC:AC,MATCH(C10,AB:AB,0))</f>
        <v>26.11</v>
      </c>
      <c r="T10" s="1538"/>
      <c r="U10" s="1535">
        <f>S10-T10</f>
        <v>26.11</v>
      </c>
      <c r="V10" s="1535">
        <f>INDEX('05基本'!AF:AF,MATCH(C10,'05基本'!C:C,0))</f>
        <v>0</v>
      </c>
      <c r="W10" s="1535">
        <f>O10-P10-U10</f>
        <v>4438.6507047799996</v>
      </c>
      <c r="X10" s="1542"/>
      <c r="Y10" s="1540">
        <f>SUM(Z10:AA10)</f>
        <v>216.666666666667</v>
      </c>
      <c r="Z10" s="1541">
        <f>INDEX('05月其他部门提成'!S:S,MATCH(C10,'05月其他部门提成'!C:C,0))</f>
        <v>216.666666666667</v>
      </c>
      <c r="AA10" s="1542"/>
      <c r="AB10" s="1519" t="s">
        <v>44</v>
      </c>
      <c r="AC10" s="291">
        <v>18.71</v>
      </c>
      <c r="AD10" s="1518">
        <f t="shared" si="0"/>
        <v>1</v>
      </c>
      <c r="AE10" s="1530">
        <f>INDEX('05基本'!P:P,MATCH(C10,'05基本'!C:C,0))-I10</f>
        <v>0</v>
      </c>
      <c r="AF10" s="1529">
        <f>SUMIF('05月其他部门提成'!C:C,'05月提成-武侯售后'!C10,'05月其他部门提成'!Q:Q)</f>
        <v>4464.7607047800002</v>
      </c>
      <c r="AG10" s="1544">
        <f>SUMIF('05月车间提成'!C:C,'05月提成-武侯售后'!C10,'05月车间提成'!W:W)</f>
        <v>0</v>
      </c>
      <c r="AH10" s="1530">
        <f>SUMIF('05月业务提成'!B:B,'05月提成-武侯售后'!C10,'05月业务提成'!BO:BO)</f>
        <v>0</v>
      </c>
      <c r="AI10" s="1530">
        <f>AF10+AG10+AH10</f>
        <v>4464.7607047800002</v>
      </c>
      <c r="AJ10" s="1530">
        <f>AI10-K10</f>
        <v>0</v>
      </c>
      <c r="AK10"/>
    </row>
    <row r="11" spans="1:41" s="1518" customFormat="1" ht="14.1" customHeight="1">
      <c r="A11" s="1531">
        <f>A10+1</f>
        <v>6</v>
      </c>
      <c r="B11" s="1660"/>
      <c r="C11" s="1507" t="s">
        <v>44</v>
      </c>
      <c r="D11" s="1533">
        <f>INDEX('05基本'!I:I,MATCH(C11,'05基本'!C:C,0))+INDEX('05基本'!J:J,MATCH(C11,'05基本'!C:C,0))</f>
        <v>0</v>
      </c>
      <c r="E11" s="1534">
        <f>INDEX('05基本'!AA:AA,MATCH(C11,'05基本'!C:C,0))</f>
        <v>1268.5899999999999</v>
      </c>
      <c r="F11" s="1534">
        <f>INDEX('05基本'!AB:AB,MATCH(C11,'05基本'!C:C,0))</f>
        <v>477.15</v>
      </c>
      <c r="G11" s="1534">
        <f>INDEX('05基本'!AC:AC,MATCH(C11,'05基本'!C:C,0))</f>
        <v>117</v>
      </c>
      <c r="H11" s="1610">
        <f>INDEX('05基本'!K:K,MATCH(C11,'05基本'!C:C,0))+INDEX('05基本'!L:L,MATCH(C11,'05基本'!C:C,0))</f>
        <v>0</v>
      </c>
      <c r="I11" s="1534">
        <f>INDEX('05基本'!P:P,MATCH(C11,'05基本'!C:C,0))</f>
        <v>2000</v>
      </c>
      <c r="J11" s="1534">
        <f>INDEX('05基本'!M:M,MATCH(C11,'05基本'!C:C,0))</f>
        <v>0</v>
      </c>
      <c r="K11" s="1535">
        <f>INDEX('05月其他部门提成'!Q:Q,MATCH(C11,'05月其他部门提成'!C:C,0))</f>
        <v>4217.8873009749996</v>
      </c>
      <c r="L11" s="1533">
        <f>SUMIF(综合考核!A:A,'05月提成-武侯售后'!C11,综合考核!M:M)</f>
        <v>0</v>
      </c>
      <c r="M11" s="1535">
        <f t="shared" ref="M11:M18" si="3">SUM(K11:L11)</f>
        <v>4217.8873009749996</v>
      </c>
      <c r="N11" s="1535">
        <f>SUMIF(服装扣款!C:C,C11,服装扣款!N:N)</f>
        <v>0</v>
      </c>
      <c r="O11" s="1536">
        <f t="shared" ref="O11:O18" si="4">M11-N11</f>
        <v>4217.8873009749996</v>
      </c>
      <c r="P11" s="1537">
        <f>SUMIF(超市公积金!C:C,'05月提成-武侯售后'!C11,超市公积金!I:I)</f>
        <v>0</v>
      </c>
      <c r="Q11" s="1535">
        <f>SUMIF(综合考核!A:A,'05月提成-武侯售后'!C11,综合考核!N:N)</f>
        <v>0</v>
      </c>
      <c r="R11" s="1535">
        <f t="shared" ref="R11:R18" si="5">M11+I11+Q11</f>
        <v>6217.8873009749996</v>
      </c>
      <c r="S11" s="1535">
        <f>INDEX(AC:AC,MATCH(C11,AB:AB,0))</f>
        <v>18.71</v>
      </c>
      <c r="T11" s="1538"/>
      <c r="U11" s="1535">
        <f t="shared" ref="U11:U18" si="6">S11-T11</f>
        <v>18.71</v>
      </c>
      <c r="V11" s="1535">
        <f>INDEX('05基本'!AF:AF,MATCH(C11,'05基本'!C:C,0))</f>
        <v>0</v>
      </c>
      <c r="W11" s="1535">
        <f t="shared" ref="W11:W18" si="7">O11-P11-U11</f>
        <v>4199.1773009750004</v>
      </c>
      <c r="X11" s="1542"/>
      <c r="Y11" s="1540">
        <f t="shared" ref="Y11:Y18" si="8">SUM(Z11:AA11)</f>
        <v>216.666666666667</v>
      </c>
      <c r="Z11" s="1541">
        <f>INDEX('05月其他部门提成'!S:S,MATCH(C11,'05月其他部门提成'!C:C,0))</f>
        <v>216.666666666667</v>
      </c>
      <c r="AA11" s="1542"/>
      <c r="AB11" s="1519" t="s">
        <v>45</v>
      </c>
      <c r="AC11" s="291">
        <v>28.46</v>
      </c>
      <c r="AD11" s="1518">
        <f t="shared" si="0"/>
        <v>1</v>
      </c>
      <c r="AE11" s="1530">
        <f>INDEX('05基本'!P:P,MATCH(C11,'05基本'!C:C,0))-I11</f>
        <v>0</v>
      </c>
      <c r="AF11" s="1529">
        <f>SUMIF('05月其他部门提成'!C:C,'05月提成-武侯售后'!C11,'05月其他部门提成'!Q:Q)</f>
        <v>4217.8873009749996</v>
      </c>
      <c r="AG11" s="1544">
        <f>SUMIF('05月车间提成'!C:C,'05月提成-武侯售后'!C11,'05月车间提成'!W:W)</f>
        <v>0</v>
      </c>
      <c r="AH11" s="1530">
        <f>SUMIF('05月业务提成'!B:B,'05月提成-武侯售后'!C11,'05月业务提成'!BO:BO)</f>
        <v>0</v>
      </c>
      <c r="AI11" s="1530">
        <f>AF11+AG11+AH11</f>
        <v>4217.8873009749996</v>
      </c>
      <c r="AJ11" s="1530">
        <f t="shared" ref="AJ11:AJ18" si="9">AI11-K11</f>
        <v>0</v>
      </c>
      <c r="AK11"/>
    </row>
    <row r="12" spans="1:41" s="1607" customFormat="1" ht="14.1" customHeight="1">
      <c r="A12" s="1531">
        <f>A11+1</f>
        <v>7</v>
      </c>
      <c r="B12" s="1661" t="s">
        <v>46</v>
      </c>
      <c r="C12" s="1507" t="s">
        <v>45</v>
      </c>
      <c r="D12" s="1533">
        <f>INDEX('05基本'!I:I,MATCH(C12,'05基本'!C:C,0))+INDEX('05基本'!J:J,MATCH(C12,'05基本'!C:C,0))</f>
        <v>0</v>
      </c>
      <c r="E12" s="1534">
        <f>INDEX('05基本'!AA:AA,MATCH(C12,'05基本'!C:C,0))</f>
        <v>1268.5899999999999</v>
      </c>
      <c r="F12" s="1534">
        <f>INDEX('05基本'!AB:AB,MATCH(C12,'05基本'!C:C,0))</f>
        <v>477.15</v>
      </c>
      <c r="G12" s="1534">
        <f>INDEX('05基本'!AC:AC,MATCH(C12,'05基本'!C:C,0))</f>
        <v>117</v>
      </c>
      <c r="H12" s="1534">
        <f>INDEX('05基本'!K:K,MATCH(C12,'05基本'!C:C,0))+INDEX('05基本'!L:L,MATCH(C12,'05基本'!C:C,0))</f>
        <v>0</v>
      </c>
      <c r="I12" s="1534">
        <f>INDEX('05基本'!P:P,MATCH(C12,'05基本'!C:C,0))</f>
        <v>1200</v>
      </c>
      <c r="J12" s="1534">
        <f>INDEX('05基本'!M:M,MATCH(C12,'05基本'!C:C,0))</f>
        <v>0</v>
      </c>
      <c r="K12" s="1535">
        <f>INDEX('05月其他部门提成'!Q:Q,MATCH(C12,'05月其他部门提成'!C:C,0))</f>
        <v>5342.8</v>
      </c>
      <c r="L12" s="1533">
        <f>SUMIF(综合考核!A:A,'05月提成-武侯售后'!C12,综合考核!M:M)</f>
        <v>0</v>
      </c>
      <c r="M12" s="1535">
        <f t="shared" si="3"/>
        <v>5342.8</v>
      </c>
      <c r="N12" s="1535">
        <f>SUMIF(服装扣款!C:C,C12,服装扣款!N:N)</f>
        <v>0</v>
      </c>
      <c r="O12" s="1536">
        <f t="shared" si="4"/>
        <v>5342.8</v>
      </c>
      <c r="P12" s="1537">
        <f>SUMIF(超市公积金!C:C,'05月提成-武侯售后'!C12,超市公积金!I:I)</f>
        <v>0</v>
      </c>
      <c r="Q12" s="1535">
        <f>SUMIF(综合考核!A:A,'05月提成-武侯售后'!C12,综合考核!N:N)</f>
        <v>0</v>
      </c>
      <c r="R12" s="1535">
        <f t="shared" si="5"/>
        <v>6542.8</v>
      </c>
      <c r="S12" s="1535">
        <f>INDEX(AC:AC,MATCH(C12,AB:AB,0))</f>
        <v>28.46</v>
      </c>
      <c r="T12" s="1538"/>
      <c r="U12" s="1611">
        <f t="shared" si="6"/>
        <v>28.46</v>
      </c>
      <c r="V12" s="1535">
        <f>INDEX('05基本'!AF:AF,MATCH(C12,'05基本'!C:C,0))</f>
        <v>0</v>
      </c>
      <c r="W12" s="1535">
        <f t="shared" si="7"/>
        <v>5314.34</v>
      </c>
      <c r="X12" s="1612"/>
      <c r="Y12" s="1540">
        <f t="shared" si="8"/>
        <v>281.2</v>
      </c>
      <c r="Z12" s="1541">
        <f>INDEX('05月其他部门提成'!S:S,MATCH(C12,'05月其他部门提成'!C:C,0))</f>
        <v>281.2</v>
      </c>
      <c r="AA12" s="1542"/>
      <c r="AB12" s="1519" t="s">
        <v>47</v>
      </c>
      <c r="AC12" s="291">
        <v>62.65</v>
      </c>
      <c r="AD12" s="1518">
        <f t="shared" si="0"/>
        <v>1</v>
      </c>
      <c r="AE12" s="1530">
        <f>INDEX('05基本'!P:P,MATCH(C12,'05基本'!C:C,0))-I12</f>
        <v>0</v>
      </c>
      <c r="AF12" s="1529">
        <f>SUMIF('05月其他部门提成'!C:C,'05月提成-武侯售后'!C12,'05月其他部门提成'!Q:Q)</f>
        <v>5342.8</v>
      </c>
      <c r="AG12" s="1544">
        <f>SUMIF('05月车间提成'!C:C,'05月提成-武侯售后'!C12,'05月车间提成'!W:W)</f>
        <v>0</v>
      </c>
      <c r="AH12" s="1530">
        <f>SUMIF('05月业务提成'!B:B,'05月提成-武侯售后'!C12,'05月业务提成'!BO:BO)</f>
        <v>0</v>
      </c>
      <c r="AI12" s="1530">
        <f>AF12+AG12+AH12</f>
        <v>5342.8</v>
      </c>
      <c r="AJ12" s="1530">
        <f t="shared" si="9"/>
        <v>0</v>
      </c>
      <c r="AK12"/>
    </row>
    <row r="13" spans="1:41" s="1607" customFormat="1" ht="14.1" customHeight="1">
      <c r="A13" s="1531">
        <f>A12+1</f>
        <v>8</v>
      </c>
      <c r="B13" s="1661"/>
      <c r="C13" s="1507" t="s">
        <v>47</v>
      </c>
      <c r="D13" s="1533">
        <f>INDEX('05基本'!I:I,MATCH(C13,'05基本'!C:C,0))+INDEX('05基本'!J:J,MATCH(C13,'05基本'!C:C,0))</f>
        <v>0</v>
      </c>
      <c r="E13" s="1534">
        <f>INDEX('05基本'!AA:AA,MATCH(C13,'05基本'!C:C,0))</f>
        <v>1268.5899999999999</v>
      </c>
      <c r="F13" s="1534">
        <f>INDEX('05基本'!AB:AB,MATCH(C13,'05基本'!C:C,0))</f>
        <v>477.15</v>
      </c>
      <c r="G13" s="1534">
        <f>INDEX('05基本'!AC:AC,MATCH(C13,'05基本'!C:C,0))</f>
        <v>117</v>
      </c>
      <c r="H13" s="1534">
        <f>INDEX('05基本'!K:K,MATCH(C13,'05基本'!C:C,0))+INDEX('05基本'!L:L,MATCH(C13,'05基本'!C:C,0))</f>
        <v>0</v>
      </c>
      <c r="I13" s="1534">
        <f>INDEX('05基本'!P:P,MATCH(C13,'05基本'!C:C,0))</f>
        <v>1200</v>
      </c>
      <c r="J13" s="1534">
        <f>INDEX('05基本'!M:M,MATCH(C13,'05基本'!C:C,0))</f>
        <v>0</v>
      </c>
      <c r="K13" s="1535">
        <f>INDEX('05月其他部门提成'!Q:Q,MATCH(C13,'05月其他部门提成'!C:C,0))</f>
        <v>6482.6133477049898</v>
      </c>
      <c r="L13" s="1533">
        <f>SUMIF(综合考核!A:A,'05月提成-武侯售后'!C13,综合考核!M:M)</f>
        <v>0</v>
      </c>
      <c r="M13" s="1535">
        <f t="shared" si="3"/>
        <v>6482.6133477049898</v>
      </c>
      <c r="N13" s="1535">
        <f>SUMIF(服装扣款!C:C,C13,服装扣款!N:N)</f>
        <v>0</v>
      </c>
      <c r="O13" s="1536">
        <f t="shared" si="4"/>
        <v>6482.6133477049898</v>
      </c>
      <c r="P13" s="1537">
        <f>SUMIF(超市公积金!C:C,'05月提成-武侯售后'!C13,超市公积金!I:I)</f>
        <v>0</v>
      </c>
      <c r="Q13" s="1535">
        <f>SUMIF(综合考核!A:A,'05月提成-武侯售后'!C13,综合考核!N:N)</f>
        <v>0</v>
      </c>
      <c r="R13" s="1535">
        <f t="shared" si="5"/>
        <v>7682.6133477049898</v>
      </c>
      <c r="S13" s="1535">
        <f>INDEX(AC:AC,MATCH(C13,AB:AB,0))</f>
        <v>62.65</v>
      </c>
      <c r="T13" s="1538"/>
      <c r="U13" s="1611">
        <f t="shared" si="6"/>
        <v>62.65</v>
      </c>
      <c r="V13" s="1535">
        <f>INDEX('05基本'!AF:AF,MATCH(C13,'05基本'!C:C,0))</f>
        <v>0</v>
      </c>
      <c r="W13" s="1535">
        <f t="shared" si="7"/>
        <v>6419.9633477049902</v>
      </c>
      <c r="X13" s="1612"/>
      <c r="Y13" s="1540">
        <f t="shared" si="8"/>
        <v>86.414326500000101</v>
      </c>
      <c r="Z13" s="1541">
        <f>INDEX('05月其他部门提成'!S:S,MATCH(C13,'05月其他部门提成'!C:C,0))</f>
        <v>86.414326500000101</v>
      </c>
      <c r="AA13" s="1542"/>
      <c r="AB13" s="1519" t="s">
        <v>48</v>
      </c>
      <c r="AC13" s="291">
        <v>0</v>
      </c>
      <c r="AD13" s="1518">
        <f t="shared" si="0"/>
        <v>1</v>
      </c>
      <c r="AE13" s="1530">
        <f>INDEX('05基本'!P:P,MATCH(C13,'05基本'!C:C,0))-I13</f>
        <v>0</v>
      </c>
      <c r="AF13" s="1529">
        <f>SUMIF('05月其他部门提成'!C:C,'05月提成-武侯售后'!C13,'05月其他部门提成'!Q:Q)</f>
        <v>6482.6133477049898</v>
      </c>
      <c r="AG13" s="1544">
        <f>SUMIF('05月车间提成'!C:C,'05月提成-武侯售后'!C13,'05月车间提成'!W:W)</f>
        <v>0</v>
      </c>
      <c r="AH13" s="1530">
        <f>SUMIF('05月业务提成'!B:B,'05月提成-武侯售后'!C13,'05月业务提成'!BO:BO)</f>
        <v>0</v>
      </c>
      <c r="AI13" s="1530">
        <f>AF13+AG13+AH13</f>
        <v>6482.6133477049898</v>
      </c>
      <c r="AJ13" s="1530">
        <f t="shared" si="9"/>
        <v>0</v>
      </c>
      <c r="AK13"/>
    </row>
    <row r="14" spans="1:41" s="1518" customFormat="1" ht="14.1" customHeight="1">
      <c r="A14" s="1531"/>
      <c r="B14" s="1660"/>
      <c r="C14" s="1553" t="s">
        <v>40</v>
      </c>
      <c r="D14" s="1554">
        <f t="shared" ref="D14:G14" si="10">SUM(D9:D13)</f>
        <v>200</v>
      </c>
      <c r="E14" s="1554">
        <f t="shared" si="10"/>
        <v>6342.95</v>
      </c>
      <c r="F14" s="1554">
        <f t="shared" si="10"/>
        <v>2385.75</v>
      </c>
      <c r="G14" s="1554">
        <f t="shared" si="10"/>
        <v>585</v>
      </c>
      <c r="H14" s="1554">
        <f t="shared" ref="H14:AA14" si="11">SUM(H9:H13)</f>
        <v>0</v>
      </c>
      <c r="I14" s="1554">
        <f t="shared" si="11"/>
        <v>8600</v>
      </c>
      <c r="J14" s="1554">
        <f t="shared" si="11"/>
        <v>0</v>
      </c>
      <c r="K14" s="1554">
        <f t="shared" si="11"/>
        <v>26836.345987762001</v>
      </c>
      <c r="L14" s="1554">
        <f t="shared" si="11"/>
        <v>0</v>
      </c>
      <c r="M14" s="1554">
        <f t="shared" si="11"/>
        <v>26836.345987762001</v>
      </c>
      <c r="N14" s="1554">
        <f t="shared" si="11"/>
        <v>0</v>
      </c>
      <c r="O14" s="1555">
        <f t="shared" si="11"/>
        <v>26836.345987762001</v>
      </c>
      <c r="P14" s="1556">
        <f t="shared" si="11"/>
        <v>0</v>
      </c>
      <c r="Q14" s="1554">
        <f t="shared" si="11"/>
        <v>0</v>
      </c>
      <c r="R14" s="1554">
        <f t="shared" si="11"/>
        <v>35436.345987761997</v>
      </c>
      <c r="S14" s="1554">
        <f t="shared" si="11"/>
        <v>135.93</v>
      </c>
      <c r="T14" s="1554">
        <f t="shared" si="11"/>
        <v>0</v>
      </c>
      <c r="U14" s="1554">
        <f t="shared" si="11"/>
        <v>135.93</v>
      </c>
      <c r="V14" s="1554">
        <f t="shared" si="11"/>
        <v>0</v>
      </c>
      <c r="W14" s="1554">
        <f t="shared" si="11"/>
        <v>26700.415987762</v>
      </c>
      <c r="X14" s="1568">
        <f t="shared" si="11"/>
        <v>0</v>
      </c>
      <c r="Y14" s="1556">
        <f t="shared" si="11"/>
        <v>1217.6143265000001</v>
      </c>
      <c r="Z14" s="1554">
        <f t="shared" si="11"/>
        <v>1217.6143265000001</v>
      </c>
      <c r="AA14" s="1568">
        <f t="shared" si="11"/>
        <v>0</v>
      </c>
      <c r="AB14" s="1519" t="s">
        <v>49</v>
      </c>
      <c r="AC14" s="291">
        <v>0</v>
      </c>
      <c r="AD14" s="1518">
        <f t="shared" si="0"/>
        <v>11</v>
      </c>
      <c r="AE14" s="1530" t="e">
        <f>INDEX('05基本'!P:P,MATCH(C14,'05基本'!C:C,0))-I14</f>
        <v>#N/A</v>
      </c>
      <c r="AF14" s="1558"/>
      <c r="AG14" s="1559"/>
      <c r="AH14" s="1560"/>
      <c r="AI14" s="1560"/>
      <c r="AJ14" s="1560"/>
      <c r="AK14" s="1530"/>
    </row>
    <row r="15" spans="1:41" s="1518" customFormat="1" ht="14.1" customHeight="1">
      <c r="A15" s="1531">
        <f>A13+1</f>
        <v>9</v>
      </c>
      <c r="B15" s="1659" t="s">
        <v>50</v>
      </c>
      <c r="C15" s="1507" t="s">
        <v>48</v>
      </c>
      <c r="D15" s="1533">
        <f>INDEX('05基本'!I:I,MATCH(C15,'05基本'!C:C,0))+INDEX('05基本'!J:J,MATCH(C15,'05基本'!C:C,0))</f>
        <v>0</v>
      </c>
      <c r="E15" s="1534">
        <f>INDEX('05基本'!AA:AA,MATCH(C15,'05基本'!C:C,0))</f>
        <v>1268.5899999999999</v>
      </c>
      <c r="F15" s="1534">
        <f>INDEX('05基本'!AB:AB,MATCH(C15,'05基本'!C:C,0))</f>
        <v>477.15</v>
      </c>
      <c r="G15" s="1534">
        <f>INDEX('05基本'!AC:AC,MATCH(C15,'05基本'!C:C,0))</f>
        <v>117</v>
      </c>
      <c r="H15" s="1534">
        <f>INDEX('05基本'!K:K,MATCH(C15,'05基本'!C:C,0))+INDEX('05基本'!L:L,MATCH(C15,'05基本'!C:C,0))</f>
        <v>312</v>
      </c>
      <c r="I15" s="1534">
        <f>INDEX('05基本'!P:P,MATCH(C15,'05基本'!C:C,0))</f>
        <v>1812</v>
      </c>
      <c r="J15" s="1534">
        <f>INDEX('05基本'!M:M,MATCH(C15,'05基本'!C:C,0))</f>
        <v>0</v>
      </c>
      <c r="K15" s="1535">
        <f>INDEX(吧台提成!M:M,MATCH(C15,吧台提成!B:B,0))</f>
        <v>3632.94</v>
      </c>
      <c r="L15" s="1533">
        <f>SUMIF(综合考核!A:A,'05月提成-武侯售后'!C15,综合考核!M:M)</f>
        <v>0</v>
      </c>
      <c r="M15" s="1535">
        <f t="shared" si="3"/>
        <v>3632.94</v>
      </c>
      <c r="N15" s="1535">
        <f>SUMIF(服装扣款!C:C,C15,服装扣款!N:N)</f>
        <v>0</v>
      </c>
      <c r="O15" s="1536">
        <f t="shared" si="4"/>
        <v>3632.94</v>
      </c>
      <c r="P15" s="1537">
        <f>SUMIF(超市公积金!C:C,'05月提成-武侯售后'!C15,超市公积金!I:I)</f>
        <v>0</v>
      </c>
      <c r="Q15" s="1535">
        <f>SUMIF(综合考核!A:A,'05月提成-武侯售后'!C15,综合考核!N:N)</f>
        <v>0</v>
      </c>
      <c r="R15" s="1535">
        <f t="shared" si="5"/>
        <v>5444.94</v>
      </c>
      <c r="S15" s="1535">
        <f>INDEX(AC:AC,MATCH(C15,AB:AB,0))</f>
        <v>0</v>
      </c>
      <c r="T15" s="1538"/>
      <c r="U15" s="1611">
        <f t="shared" si="6"/>
        <v>0</v>
      </c>
      <c r="V15" s="1535">
        <f>INDEX('05基本'!AF:AF,MATCH(C15,'05基本'!C:C,0))</f>
        <v>0</v>
      </c>
      <c r="W15" s="1535">
        <f t="shared" si="7"/>
        <v>3632.94</v>
      </c>
      <c r="X15" s="1612"/>
      <c r="Y15" s="1540">
        <f t="shared" si="8"/>
        <v>83.33</v>
      </c>
      <c r="Z15" s="1541">
        <v>83.33</v>
      </c>
      <c r="AA15" s="1612"/>
      <c r="AB15" s="1519" t="s">
        <v>51</v>
      </c>
      <c r="AC15" s="291">
        <v>0</v>
      </c>
      <c r="AD15" s="1518">
        <f t="shared" si="0"/>
        <v>1</v>
      </c>
      <c r="AE15" s="1530">
        <f>INDEX('05基本'!P:P,MATCH(C15,'05基本'!C:C,0))-I15</f>
        <v>0</v>
      </c>
      <c r="AF15" s="1529">
        <f>SUMIF('05月其他部门提成'!C:C,'05月提成-武侯售后'!C15,'05月其他部门提成'!Q:Q)</f>
        <v>0</v>
      </c>
      <c r="AG15" s="1544">
        <f>SUMIF('05月车间提成'!C:C,'05月提成-武侯售后'!C15,'05月车间提成'!W:W)</f>
        <v>0</v>
      </c>
      <c r="AH15" s="1530">
        <f>SUMIF('05月业务提成'!B:B,'05月提成-武侯售后'!C15,'05月业务提成'!BO:BO)</f>
        <v>0</v>
      </c>
      <c r="AI15" s="1613">
        <f>K15</f>
        <v>3632.94</v>
      </c>
      <c r="AJ15" s="1530">
        <f t="shared" si="9"/>
        <v>0</v>
      </c>
      <c r="AK15"/>
    </row>
    <row r="16" spans="1:41" s="1518" customFormat="1" ht="14.1" customHeight="1">
      <c r="A16" s="1531">
        <f>A15+1</f>
        <v>10</v>
      </c>
      <c r="B16" s="1661"/>
      <c r="C16" s="1507" t="s">
        <v>49</v>
      </c>
      <c r="D16" s="1533">
        <f>INDEX('05基本'!I:I,MATCH(C16,'05基本'!C:C,0))+INDEX('05基本'!J:J,MATCH(C16,'05基本'!C:C,0))</f>
        <v>0</v>
      </c>
      <c r="E16" s="1534">
        <f>INDEX('05基本'!AA:AA,MATCH(C16,'05基本'!C:C,0))</f>
        <v>0</v>
      </c>
      <c r="F16" s="1534">
        <f>INDEX('05基本'!AB:AB,MATCH(C16,'05基本'!C:C,0))</f>
        <v>0</v>
      </c>
      <c r="G16" s="1534">
        <f>INDEX('05基本'!AC:AC,MATCH(C16,'05基本'!C:C,0))</f>
        <v>0</v>
      </c>
      <c r="H16" s="1534">
        <f>INDEX('05基本'!K:K,MATCH(C16,'05基本'!C:C,0))+INDEX('05基本'!L:L,MATCH(C16,'05基本'!C:C,0))</f>
        <v>0</v>
      </c>
      <c r="I16" s="1534">
        <f>INDEX('05基本'!P:P,MATCH(C16,'05基本'!C:C,0))</f>
        <v>500</v>
      </c>
      <c r="J16" s="1534">
        <f>INDEX('05基本'!M:M,MATCH(C16,'05基本'!C:C,0))</f>
        <v>0</v>
      </c>
      <c r="K16" s="1535">
        <f>INDEX(吧台提成!M:M,MATCH(C16,吧台提成!B:B,0))</f>
        <v>1210.98</v>
      </c>
      <c r="L16" s="1533">
        <f>SUMIF(综合考核!A:A,'05月提成-武侯售后'!C16,综合考核!M:M)</f>
        <v>0</v>
      </c>
      <c r="M16" s="1535">
        <f t="shared" si="3"/>
        <v>1210.98</v>
      </c>
      <c r="N16" s="1535">
        <f>SUMIF(服装扣款!C:C,C16,服装扣款!N:N)</f>
        <v>0</v>
      </c>
      <c r="O16" s="1536">
        <f t="shared" si="4"/>
        <v>1210.98</v>
      </c>
      <c r="P16" s="1537">
        <f>SUMIF(超市公积金!C:C,'05月提成-武侯售后'!C16,超市公积金!I:I)</f>
        <v>0</v>
      </c>
      <c r="Q16" s="1535">
        <f>SUMIF(综合考核!A:A,'05月提成-武侯售后'!C16,综合考核!N:N)</f>
        <v>0</v>
      </c>
      <c r="R16" s="1535">
        <f t="shared" si="5"/>
        <v>1710.98</v>
      </c>
      <c r="S16" s="1535">
        <f>INDEX(AC:AC,MATCH(C16,AB:AB,0))</f>
        <v>0</v>
      </c>
      <c r="T16" s="1538"/>
      <c r="U16" s="1535">
        <f t="shared" si="6"/>
        <v>0</v>
      </c>
      <c r="V16" s="1535">
        <f>INDEX('05基本'!AF:AF,MATCH(C16,'05基本'!C:C,0))</f>
        <v>0</v>
      </c>
      <c r="W16" s="1535">
        <f t="shared" si="7"/>
        <v>1210.98</v>
      </c>
      <c r="X16" s="1539"/>
      <c r="Y16" s="1540">
        <f t="shared" si="8"/>
        <v>83.33</v>
      </c>
      <c r="Z16" s="1541">
        <v>83.33</v>
      </c>
      <c r="AA16" s="1612"/>
      <c r="AB16" s="1519" t="s">
        <v>52</v>
      </c>
      <c r="AC16" s="291">
        <v>0</v>
      </c>
      <c r="AD16" s="1518">
        <f t="shared" si="0"/>
        <v>1</v>
      </c>
      <c r="AE16" s="1530">
        <f>INDEX('05基本'!P:P,MATCH(C16,'05基本'!C:C,0))-I16</f>
        <v>0</v>
      </c>
      <c r="AF16" s="1529">
        <f>SUMIF('05月其他部门提成'!C:C,'05月提成-武侯售后'!C16,'05月其他部门提成'!Q:Q)</f>
        <v>0</v>
      </c>
      <c r="AG16" s="1544">
        <f>SUMIF('05月车间提成'!C:C,'05月提成-武侯售后'!C16,'05月车间提成'!W:W)</f>
        <v>0</v>
      </c>
      <c r="AH16" s="1530">
        <f>SUMIF('05月业务提成'!B:B,'05月提成-武侯售后'!C16,'05月业务提成'!BO:BO)</f>
        <v>0</v>
      </c>
      <c r="AI16" s="1613">
        <f>K16</f>
        <v>1210.98</v>
      </c>
      <c r="AJ16" s="1530">
        <f t="shared" si="9"/>
        <v>0</v>
      </c>
      <c r="AK16"/>
      <c r="AL16"/>
      <c r="AM16"/>
      <c r="AN16"/>
      <c r="AO16"/>
    </row>
    <row r="17" spans="1:41" s="1518" customFormat="1" ht="14.1" customHeight="1">
      <c r="A17" s="1531">
        <f>A16+1</f>
        <v>11</v>
      </c>
      <c r="B17" s="1661"/>
      <c r="C17" s="1507" t="s">
        <v>51</v>
      </c>
      <c r="D17" s="1533">
        <f>INDEX('05基本'!I:I,MATCH(C17,'05基本'!C:C,0))+INDEX('05基本'!J:J,MATCH(C17,'05基本'!C:C,0))</f>
        <v>0</v>
      </c>
      <c r="E17" s="1534">
        <f>INDEX('05基本'!AA:AA,MATCH(C17,'05基本'!C:C,0))</f>
        <v>1268.5899999999999</v>
      </c>
      <c r="F17" s="1534">
        <f>INDEX('05基本'!AB:AB,MATCH(C17,'05基本'!C:C,0))</f>
        <v>477.15</v>
      </c>
      <c r="G17" s="1534">
        <f>INDEX('05基本'!AC:AC,MATCH(C17,'05基本'!C:C,0))</f>
        <v>117</v>
      </c>
      <c r="H17" s="1534">
        <f>INDEX('05基本'!K:K,MATCH(C17,'05基本'!C:C,0))+INDEX('05基本'!L:L,MATCH(C17,'05基本'!C:C,0))</f>
        <v>0</v>
      </c>
      <c r="I17" s="1534">
        <f>INDEX('05基本'!P:P,MATCH(C17,'05基本'!C:C,0))</f>
        <v>1500</v>
      </c>
      <c r="J17" s="1534">
        <f>INDEX('05基本'!M:M,MATCH(C17,'05基本'!C:C,0))</f>
        <v>0</v>
      </c>
      <c r="K17" s="1535">
        <f>INDEX(吧台提成!M:M,MATCH(C17,吧台提成!B:B,0))</f>
        <v>1695.3720000000001</v>
      </c>
      <c r="L17" s="1533">
        <f>SUMIF(综合考核!A:A,'05月提成-武侯售后'!C17,综合考核!M:M)</f>
        <v>0</v>
      </c>
      <c r="M17" s="1535">
        <f t="shared" si="3"/>
        <v>1695.3720000000001</v>
      </c>
      <c r="N17" s="1535">
        <f>SUMIF(服装扣款!C:C,C17,服装扣款!N:N)</f>
        <v>0</v>
      </c>
      <c r="O17" s="1536">
        <f t="shared" si="4"/>
        <v>1695.3720000000001</v>
      </c>
      <c r="P17" s="1537">
        <f>SUMIF(超市公积金!C:C,'05月提成-武侯售后'!C17,超市公积金!I:I)</f>
        <v>0</v>
      </c>
      <c r="Q17" s="1535">
        <f>SUMIF(综合考核!A:A,'05月提成-武侯售后'!C17,综合考核!N:N)</f>
        <v>0</v>
      </c>
      <c r="R17" s="1535">
        <f t="shared" si="5"/>
        <v>3195.3719999999998</v>
      </c>
      <c r="S17" s="1535">
        <f>INDEX(AC:AC,MATCH(C17,AB:AB,0))</f>
        <v>0</v>
      </c>
      <c r="T17" s="1538"/>
      <c r="U17" s="1535">
        <f t="shared" si="6"/>
        <v>0</v>
      </c>
      <c r="V17" s="1535">
        <f>INDEX('05基本'!AF:AF,MATCH(C17,'05基本'!C:C,0))</f>
        <v>0</v>
      </c>
      <c r="W17" s="1535">
        <f t="shared" si="7"/>
        <v>1695.3720000000001</v>
      </c>
      <c r="X17" s="1539"/>
      <c r="Y17" s="1540">
        <f t="shared" si="8"/>
        <v>83.33</v>
      </c>
      <c r="Z17" s="1541">
        <v>83.33</v>
      </c>
      <c r="AA17" s="1612"/>
      <c r="AB17" s="1519" t="s">
        <v>53</v>
      </c>
      <c r="AC17" s="291">
        <v>0</v>
      </c>
      <c r="AD17" s="1518">
        <f t="shared" si="0"/>
        <v>1</v>
      </c>
      <c r="AE17" s="1530">
        <f>INDEX('05基本'!P:P,MATCH(C17,'05基本'!C:C,0))-I17</f>
        <v>0</v>
      </c>
      <c r="AF17" s="1529">
        <f>SUMIF('05月其他部门提成'!C:C,'05月提成-武侯售后'!C17,'05月其他部门提成'!Q:Q)</f>
        <v>0</v>
      </c>
      <c r="AG17" s="1544">
        <f>SUMIF('05月车间提成'!C:C,'05月提成-武侯售后'!C17,'05月车间提成'!W:W)</f>
        <v>0</v>
      </c>
      <c r="AH17" s="1530">
        <f>SUMIF('05月业务提成'!B:B,'05月提成-武侯售后'!C17,'05月业务提成'!BO:BO)</f>
        <v>0</v>
      </c>
      <c r="AI17" s="1613">
        <f>K17</f>
        <v>1695.3720000000001</v>
      </c>
      <c r="AJ17" s="1530">
        <f t="shared" si="9"/>
        <v>0</v>
      </c>
      <c r="AK17"/>
      <c r="AL17"/>
      <c r="AM17"/>
      <c r="AN17"/>
      <c r="AO17"/>
    </row>
    <row r="18" spans="1:41" s="1518" customFormat="1" ht="14.1" customHeight="1">
      <c r="A18" s="1531">
        <f>A17+1</f>
        <v>12</v>
      </c>
      <c r="B18" s="1661"/>
      <c r="C18" s="1507" t="s">
        <v>52</v>
      </c>
      <c r="D18" s="1533">
        <f>INDEX('05基本'!I:I,MATCH(C18,'05基本'!C:C,0))+INDEX('05基本'!J:J,MATCH(C18,'05基本'!C:C,0))</f>
        <v>0</v>
      </c>
      <c r="E18" s="1534">
        <f>INDEX('05基本'!AA:AA,MATCH(C18,'05基本'!C:C,0))</f>
        <v>1268.5899999999999</v>
      </c>
      <c r="F18" s="1534">
        <f>INDEX('05基本'!AB:AB,MATCH(C18,'05基本'!C:C,0))</f>
        <v>477.15</v>
      </c>
      <c r="G18" s="1534">
        <f>INDEX('05基本'!AC:AC,MATCH(C18,'05基本'!C:C,0))</f>
        <v>117</v>
      </c>
      <c r="H18" s="1534">
        <f>INDEX('05基本'!K:K,MATCH(C18,'05基本'!C:C,0))+INDEX('05基本'!L:L,MATCH(C18,'05基本'!C:C,0))</f>
        <v>312</v>
      </c>
      <c r="I18" s="1534">
        <f>INDEX('05基本'!P:P,MATCH(C18,'05基本'!C:C,0))</f>
        <v>1812</v>
      </c>
      <c r="J18" s="1534">
        <f>INDEX('05基本'!M:M,MATCH(C18,'05基本'!C:C,0))</f>
        <v>0</v>
      </c>
      <c r="K18" s="1535">
        <f>INDEX(吧台提成!M:M,MATCH(C18,吧台提成!B:B,0))</f>
        <v>2664.1559999999999</v>
      </c>
      <c r="L18" s="1533">
        <f>SUMIF(综合考核!A:A,'05月提成-武侯售后'!C18,综合考核!M:M)</f>
        <v>0</v>
      </c>
      <c r="M18" s="1535">
        <f t="shared" si="3"/>
        <v>2664.1559999999999</v>
      </c>
      <c r="N18" s="1535">
        <f>SUMIF(服装扣款!C:C,C18,服装扣款!N:N)</f>
        <v>0</v>
      </c>
      <c r="O18" s="1536">
        <f t="shared" si="4"/>
        <v>2664.1559999999999</v>
      </c>
      <c r="P18" s="1537">
        <f>SUMIF(超市公积金!C:C,'05月提成-武侯售后'!C18,超市公积金!I:I)</f>
        <v>0</v>
      </c>
      <c r="Q18" s="1535">
        <f>SUMIF(综合考核!A:A,'05月提成-武侯售后'!C18,综合考核!N:N)</f>
        <v>0</v>
      </c>
      <c r="R18" s="1535">
        <f t="shared" si="5"/>
        <v>4476.1559999999999</v>
      </c>
      <c r="S18" s="1535">
        <f>INDEX(AC:AC,MATCH(C18,AB:AB,0))</f>
        <v>0</v>
      </c>
      <c r="T18" s="1538"/>
      <c r="U18" s="1535">
        <f t="shared" si="6"/>
        <v>0</v>
      </c>
      <c r="V18" s="1535">
        <f>INDEX('05基本'!AF:AF,MATCH(C18,'05基本'!C:C,0))</f>
        <v>0</v>
      </c>
      <c r="W18" s="1535">
        <f t="shared" si="7"/>
        <v>2664.1559999999999</v>
      </c>
      <c r="X18" s="1539"/>
      <c r="Y18" s="1540">
        <f t="shared" si="8"/>
        <v>83.33</v>
      </c>
      <c r="Z18" s="1541">
        <v>83.33</v>
      </c>
      <c r="AA18" s="1612"/>
      <c r="AB18" s="1519" t="s">
        <v>54</v>
      </c>
      <c r="AC18" s="291">
        <v>0</v>
      </c>
      <c r="AD18" s="1518">
        <f t="shared" si="0"/>
        <v>1</v>
      </c>
      <c r="AE18" s="1530">
        <f>INDEX('05基本'!P:P,MATCH(C18,'05基本'!C:C,0))-I18</f>
        <v>0</v>
      </c>
      <c r="AF18" s="1529">
        <f>SUMIF('05月其他部门提成'!C:C,'05月提成-武侯售后'!C18,'05月其他部门提成'!Q:Q)</f>
        <v>0</v>
      </c>
      <c r="AG18" s="1544">
        <f>SUMIF('05月车间提成'!C:C,'05月提成-武侯售后'!C18,'05月车间提成'!W:W)</f>
        <v>0</v>
      </c>
      <c r="AH18" s="1530">
        <f>SUMIF('05月业务提成'!B:B,'05月提成-武侯售后'!C18,'05月业务提成'!BO:BO)</f>
        <v>0</v>
      </c>
      <c r="AI18" s="1613">
        <f>K18</f>
        <v>2664.1559999999999</v>
      </c>
      <c r="AJ18" s="1530">
        <f t="shared" si="9"/>
        <v>0</v>
      </c>
      <c r="AK18"/>
      <c r="AL18"/>
      <c r="AM18"/>
      <c r="AN18"/>
      <c r="AO18"/>
    </row>
    <row r="19" spans="1:41" s="1518" customFormat="1" ht="14.1" customHeight="1">
      <c r="A19" s="1531"/>
      <c r="B19" s="1660"/>
      <c r="C19" s="1553" t="s">
        <v>40</v>
      </c>
      <c r="D19" s="1554">
        <f>SUM(D15:D18)</f>
        <v>0</v>
      </c>
      <c r="E19" s="1554">
        <f>SUM(E15:E18)</f>
        <v>3805.77</v>
      </c>
      <c r="F19" s="1554">
        <f>SUM(F15:F18)</f>
        <v>1431.45</v>
      </c>
      <c r="G19" s="1554">
        <f>SUM(G15:G18)</f>
        <v>351</v>
      </c>
      <c r="H19" s="1554">
        <f t="shared" ref="H19:R19" si="12">SUM(H15:H18)</f>
        <v>624</v>
      </c>
      <c r="I19" s="1554">
        <f t="shared" si="12"/>
        <v>5624</v>
      </c>
      <c r="J19" s="1554">
        <f t="shared" si="12"/>
        <v>0</v>
      </c>
      <c r="K19" s="1554">
        <f t="shared" si="12"/>
        <v>9203.4480000000003</v>
      </c>
      <c r="L19" s="1554">
        <f t="shared" si="12"/>
        <v>0</v>
      </c>
      <c r="M19" s="1554">
        <f t="shared" si="12"/>
        <v>9203.4480000000003</v>
      </c>
      <c r="N19" s="1554">
        <f t="shared" si="12"/>
        <v>0</v>
      </c>
      <c r="O19" s="1555">
        <f t="shared" si="12"/>
        <v>9203.4480000000003</v>
      </c>
      <c r="P19" s="1556">
        <f t="shared" si="12"/>
        <v>0</v>
      </c>
      <c r="Q19" s="1554">
        <f t="shared" si="12"/>
        <v>0</v>
      </c>
      <c r="R19" s="1554">
        <f t="shared" si="12"/>
        <v>14827.448</v>
      </c>
      <c r="S19" s="1554">
        <f t="shared" ref="S19:AA19" si="13">SUM(S15:S18)</f>
        <v>0</v>
      </c>
      <c r="T19" s="1554">
        <f t="shared" si="13"/>
        <v>0</v>
      </c>
      <c r="U19" s="1554">
        <f t="shared" si="13"/>
        <v>0</v>
      </c>
      <c r="V19" s="1554">
        <f t="shared" si="13"/>
        <v>0</v>
      </c>
      <c r="W19" s="1554">
        <f t="shared" si="13"/>
        <v>9203.4480000000003</v>
      </c>
      <c r="X19" s="1568">
        <f t="shared" si="13"/>
        <v>0</v>
      </c>
      <c r="Y19" s="1556">
        <f t="shared" si="13"/>
        <v>333.32</v>
      </c>
      <c r="Z19" s="1554">
        <f t="shared" si="13"/>
        <v>333.32</v>
      </c>
      <c r="AA19" s="1568">
        <f t="shared" si="13"/>
        <v>0</v>
      </c>
      <c r="AB19" s="1519" t="s">
        <v>55</v>
      </c>
      <c r="AC19" s="291">
        <v>25.49</v>
      </c>
      <c r="AD19" s="1518">
        <f t="shared" si="0"/>
        <v>11</v>
      </c>
      <c r="AE19" s="1530" t="e">
        <f>INDEX('05基本'!P:P,MATCH(C19,'05基本'!C:C,0))-I19</f>
        <v>#N/A</v>
      </c>
      <c r="AF19" s="1558"/>
      <c r="AG19" s="1559"/>
      <c r="AH19" s="1560"/>
      <c r="AI19" s="1560"/>
      <c r="AJ19" s="1560"/>
      <c r="AK19" s="1530"/>
    </row>
    <row r="20" spans="1:41" s="1518" customFormat="1" ht="14.1" customHeight="1">
      <c r="A20" s="1531">
        <f>A18+1</f>
        <v>13</v>
      </c>
      <c r="B20" s="1661" t="s">
        <v>56</v>
      </c>
      <c r="C20" s="1507" t="s">
        <v>53</v>
      </c>
      <c r="D20" s="1533">
        <f>INDEX('05基本'!I:I,MATCH(C20,'05基本'!C:C,0))+INDEX('05基本'!J:J,MATCH(C20,'05基本'!C:C,0))</f>
        <v>0</v>
      </c>
      <c r="E20" s="1534">
        <f>INDEX('05基本'!AA:AA,MATCH(C20,'05基本'!C:C,0))</f>
        <v>1268.5899999999999</v>
      </c>
      <c r="F20" s="1534">
        <f>INDEX('05基本'!AB:AB,MATCH(C20,'05基本'!C:C,0))</f>
        <v>477.15</v>
      </c>
      <c r="G20" s="1534">
        <f>INDEX('05基本'!AC:AC,MATCH(C20,'05基本'!C:C,0))</f>
        <v>117</v>
      </c>
      <c r="H20" s="1534">
        <f>INDEX('05基本'!K:K,MATCH(C20,'05基本'!C:C,0))+INDEX('05基本'!L:L,MATCH(C20,'05基本'!C:C,0))</f>
        <v>0</v>
      </c>
      <c r="I20" s="1534">
        <f>INDEX('05基本'!P:P,MATCH(C20,'05基本'!C:C,0))</f>
        <v>1200</v>
      </c>
      <c r="J20" s="1534">
        <f>INDEX('05基本'!M:M,MATCH(C20,'05基本'!C:C,0))</f>
        <v>0</v>
      </c>
      <c r="K20" s="1535">
        <f>INDEX('05月其他部门提成'!Q:Q,MATCH(C20,'05月其他部门提成'!C:C,0))</f>
        <v>4387</v>
      </c>
      <c r="L20" s="1533">
        <f>SUMIF(综合考核!A:A,'05月提成-武侯售后'!C20,综合考核!M:M)</f>
        <v>0</v>
      </c>
      <c r="M20" s="1535">
        <f>SUM(K20:L20)</f>
        <v>4387</v>
      </c>
      <c r="N20" s="1535">
        <f>SUMIF(服装扣款!C:C,C20,服装扣款!N:N)</f>
        <v>0</v>
      </c>
      <c r="O20" s="1536">
        <f>M20-N20</f>
        <v>4387</v>
      </c>
      <c r="P20" s="1537">
        <f>SUMIF(超市公积金!C:C,'05月提成-武侯售后'!C20,超市公积金!I:I)</f>
        <v>0</v>
      </c>
      <c r="Q20" s="1535">
        <f>SUMIF(综合考核!A:A,'05月提成-武侯售后'!C20,综合考核!N:N)</f>
        <v>0</v>
      </c>
      <c r="R20" s="1535">
        <f>M20+I20+Q20</f>
        <v>5587</v>
      </c>
      <c r="S20" s="1535">
        <f t="shared" ref="S20:S25" si="14">INDEX(AC:AC,MATCH(C20,AB:AB,0))</f>
        <v>0</v>
      </c>
      <c r="T20" s="1538"/>
      <c r="U20" s="1535">
        <f>S20-T20</f>
        <v>0</v>
      </c>
      <c r="V20" s="1535">
        <f>INDEX('05基本'!AF:AF,MATCH(C20,'05基本'!C:C,0))</f>
        <v>0</v>
      </c>
      <c r="W20" s="1535">
        <f>O20-P20-U20</f>
        <v>4387</v>
      </c>
      <c r="X20" s="1542"/>
      <c r="Y20" s="1540">
        <f>SUM(Z20:AA20)</f>
        <v>83.3333333333333</v>
      </c>
      <c r="Z20" s="1541">
        <f t="shared" ref="Z20:Z25" si="15">1000/12</f>
        <v>83.3333333333333</v>
      </c>
      <c r="AA20" s="1542"/>
      <c r="AB20" s="1519" t="s">
        <v>57</v>
      </c>
      <c r="AC20" s="291">
        <v>19.91</v>
      </c>
      <c r="AD20" s="1518">
        <f t="shared" si="0"/>
        <v>1</v>
      </c>
      <c r="AE20" s="1530">
        <f>INDEX('05基本'!P:P,MATCH(C20,'05基本'!C:C,0))-I20</f>
        <v>0</v>
      </c>
      <c r="AF20" s="1529">
        <f>SUMIF('05月其他部门提成'!C:C,'05月提成-武侯售后'!C20,'05月其他部门提成'!Q:Q)</f>
        <v>4387</v>
      </c>
      <c r="AG20" s="1544">
        <f>SUMIF('05月车间提成'!C:C,'05月提成-武侯售后'!C20,'05月车间提成'!W:W)</f>
        <v>0</v>
      </c>
      <c r="AH20" s="1530">
        <f>SUMIF('05月业务提成'!B:B,'05月提成-武侯售后'!C20,'05月业务提成'!BO:BO)</f>
        <v>0</v>
      </c>
      <c r="AI20" s="1530">
        <f>AF20+AG20+AH20</f>
        <v>4387</v>
      </c>
      <c r="AJ20" s="1530">
        <f>AI20-K20</f>
        <v>0</v>
      </c>
      <c r="AK20"/>
      <c r="AL20"/>
      <c r="AM20"/>
      <c r="AN20"/>
      <c r="AO20"/>
    </row>
    <row r="21" spans="1:41" s="1518" customFormat="1" ht="14.1" customHeight="1">
      <c r="A21" s="1531">
        <f>A20+1</f>
        <v>14</v>
      </c>
      <c r="B21" s="1661"/>
      <c r="C21" s="1507" t="s">
        <v>54</v>
      </c>
      <c r="D21" s="1533">
        <f>INDEX('05基本'!I:I,MATCH(C21,'05基本'!C:C,0))+INDEX('05基本'!J:J,MATCH(C21,'05基本'!C:C,0))</f>
        <v>0</v>
      </c>
      <c r="E21" s="1534">
        <f>INDEX('05基本'!AA:AA,MATCH(C21,'05基本'!C:C,0))</f>
        <v>1268.5899999999999</v>
      </c>
      <c r="F21" s="1534">
        <f>INDEX('05基本'!AB:AB,MATCH(C21,'05基本'!C:C,0))</f>
        <v>477.15</v>
      </c>
      <c r="G21" s="1534">
        <f>INDEX('05基本'!AC:AC,MATCH(C21,'05基本'!C:C,0))</f>
        <v>117</v>
      </c>
      <c r="H21" s="1534">
        <f>INDEX('05基本'!K:K,MATCH(C21,'05基本'!C:C,0))+INDEX('05基本'!L:L,MATCH(C21,'05基本'!C:C,0))</f>
        <v>0</v>
      </c>
      <c r="I21" s="1534">
        <f>INDEX('05基本'!P:P,MATCH(C21,'05基本'!C:C,0))</f>
        <v>1200</v>
      </c>
      <c r="J21" s="1534">
        <f>INDEX('05基本'!M:M,MATCH(C21,'05基本'!C:C,0))</f>
        <v>0</v>
      </c>
      <c r="K21" s="1535">
        <f>INDEX('05月其他部门提成'!Q:Q,MATCH(C21,'05月其他部门提成'!C:C,0))</f>
        <v>3868</v>
      </c>
      <c r="L21" s="1533">
        <f>SUMIF(综合考核!A:A,'05月提成-武侯售后'!C21,综合考核!M:M)</f>
        <v>0</v>
      </c>
      <c r="M21" s="1535">
        <f>SUM(K21:L21)</f>
        <v>3868</v>
      </c>
      <c r="N21" s="1535">
        <f>SUMIF(服装扣款!C:C,C21,服装扣款!N:N)</f>
        <v>0</v>
      </c>
      <c r="O21" s="1536">
        <f>M21-N21</f>
        <v>3868</v>
      </c>
      <c r="P21" s="1537">
        <f>SUMIF(超市公积金!C:C,'05月提成-武侯售后'!C21,超市公积金!I:I)</f>
        <v>0</v>
      </c>
      <c r="Q21" s="1535">
        <f>SUMIF(综合考核!A:A,'05月提成-武侯售后'!C21,综合考核!N:N)</f>
        <v>0</v>
      </c>
      <c r="R21" s="1535">
        <f>M21+I21+Q21</f>
        <v>5068</v>
      </c>
      <c r="S21" s="1535">
        <f t="shared" si="14"/>
        <v>0</v>
      </c>
      <c r="T21" s="1538"/>
      <c r="U21" s="1535">
        <f>S21-T21</f>
        <v>0</v>
      </c>
      <c r="V21" s="1535">
        <f>INDEX('05基本'!AF:AF,MATCH(C21,'05基本'!C:C,0))</f>
        <v>0</v>
      </c>
      <c r="W21" s="1535">
        <f>O21-P21-U21</f>
        <v>3868</v>
      </c>
      <c r="X21" s="1542"/>
      <c r="Y21" s="1540">
        <f>SUM(Z21:AA21)</f>
        <v>83.3333333333333</v>
      </c>
      <c r="Z21" s="1541">
        <f t="shared" si="15"/>
        <v>83.3333333333333</v>
      </c>
      <c r="AA21" s="1542"/>
      <c r="AB21" s="1519" t="s">
        <v>58</v>
      </c>
      <c r="AC21" s="291">
        <v>11.36</v>
      </c>
      <c r="AD21" s="1518">
        <f t="shared" si="0"/>
        <v>1</v>
      </c>
      <c r="AE21" s="1530">
        <f>INDEX('05基本'!P:P,MATCH(C21,'05基本'!C:C,0))-I21</f>
        <v>0</v>
      </c>
      <c r="AF21" s="1529">
        <f>SUMIF('05月其他部门提成'!C:C,'05月提成-武侯售后'!C21,'05月其他部门提成'!Q:Q)</f>
        <v>3868</v>
      </c>
      <c r="AG21" s="1544">
        <f>SUMIF('05月车间提成'!C:C,'05月提成-武侯售后'!C21,'05月车间提成'!W:W)</f>
        <v>0</v>
      </c>
      <c r="AH21" s="1530">
        <f>SUMIF('05月业务提成'!B:B,'05月提成-武侯售后'!C21,'05月业务提成'!BO:BO)</f>
        <v>0</v>
      </c>
      <c r="AI21" s="1530">
        <f>AF21+AG21+AH21</f>
        <v>3868</v>
      </c>
      <c r="AJ21" s="1530">
        <f>AI21-K21</f>
        <v>0</v>
      </c>
      <c r="AK21"/>
      <c r="AL21"/>
      <c r="AM21"/>
      <c r="AN21"/>
      <c r="AO21"/>
    </row>
    <row r="22" spans="1:41" s="1518" customFormat="1" ht="14.1" customHeight="1">
      <c r="A22" s="1531">
        <f>A21+1</f>
        <v>15</v>
      </c>
      <c r="B22" s="1661"/>
      <c r="C22" s="1507" t="s">
        <v>55</v>
      </c>
      <c r="D22" s="1533">
        <f>INDEX('05基本'!I:I,MATCH(C22,'05基本'!C:C,0))+INDEX('05基本'!J:J,MATCH(C22,'05基本'!C:C,0))</f>
        <v>0</v>
      </c>
      <c r="E22" s="1534">
        <f>INDEX('05基本'!AA:AA,MATCH(C22,'05基本'!C:C,0))</f>
        <v>1268.5899999999999</v>
      </c>
      <c r="F22" s="1534">
        <f>INDEX('05基本'!AB:AB,MATCH(C22,'05基本'!C:C,0))</f>
        <v>477.15</v>
      </c>
      <c r="G22" s="1534">
        <f>INDEX('05基本'!AC:AC,MATCH(C22,'05基本'!C:C,0))</f>
        <v>117</v>
      </c>
      <c r="H22" s="1534">
        <f>INDEX('05基本'!K:K,MATCH(C22,'05基本'!C:C,0))+INDEX('05基本'!L:L,MATCH(C22,'05基本'!C:C,0))</f>
        <v>0</v>
      </c>
      <c r="I22" s="1534">
        <f>INDEX('05基本'!P:P,MATCH(C22,'05基本'!C:C,0))</f>
        <v>1200</v>
      </c>
      <c r="J22" s="1534">
        <f>INDEX('05基本'!M:M,MATCH(C22,'05基本'!C:C,0))</f>
        <v>0</v>
      </c>
      <c r="K22" s="1535">
        <f>INDEX('05月其他部门提成'!Q:Q,MATCH(C22,'05月其他部门提成'!C:C,0))</f>
        <v>5244</v>
      </c>
      <c r="L22" s="1533">
        <f>SUMIF(综合考核!A:A,'05月提成-武侯售后'!C22,综合考核!M:M)</f>
        <v>0</v>
      </c>
      <c r="M22" s="1535">
        <f>SUM(K22:L22)</f>
        <v>5244</v>
      </c>
      <c r="N22" s="1535">
        <f>SUMIF(服装扣款!C:C,C22,服装扣款!N:N)</f>
        <v>0</v>
      </c>
      <c r="O22" s="1536">
        <f>M22-N22</f>
        <v>5244</v>
      </c>
      <c r="P22" s="1537">
        <f>SUMIF(超市公积金!C:C,'05月提成-武侯售后'!C22,超市公积金!I:I)</f>
        <v>0</v>
      </c>
      <c r="Q22" s="1535">
        <f>SUMIF(综合考核!A:A,'05月提成-武侯售后'!C22,综合考核!N:N)</f>
        <v>0</v>
      </c>
      <c r="R22" s="1535">
        <f>M22+I22+Q22</f>
        <v>6444</v>
      </c>
      <c r="S22" s="1535">
        <f t="shared" si="14"/>
        <v>25.49</v>
      </c>
      <c r="T22" s="1538"/>
      <c r="U22" s="1535">
        <f>S22-T22</f>
        <v>25.49</v>
      </c>
      <c r="V22" s="1535">
        <f>INDEX('05基本'!AF:AF,MATCH(C22,'05基本'!C:C,0))</f>
        <v>0</v>
      </c>
      <c r="W22" s="1535">
        <f>O22-P22-U22</f>
        <v>5218.51</v>
      </c>
      <c r="X22" s="1542"/>
      <c r="Y22" s="1540">
        <f>SUM(Z22:AA22)</f>
        <v>83.3333333333333</v>
      </c>
      <c r="Z22" s="1541">
        <f t="shared" si="15"/>
        <v>83.3333333333333</v>
      </c>
      <c r="AA22" s="1542"/>
      <c r="AB22" s="1519" t="s">
        <v>59</v>
      </c>
      <c r="AC22" s="291">
        <v>0</v>
      </c>
      <c r="AD22" s="1518">
        <f t="shared" si="0"/>
        <v>1</v>
      </c>
      <c r="AE22" s="1530">
        <f>INDEX('05基本'!P:P,MATCH(C22,'05基本'!C:C,0))-I22</f>
        <v>0</v>
      </c>
      <c r="AF22" s="1529">
        <f>SUMIF('05月其他部门提成'!C:C,'05月提成-武侯售后'!C22,'05月其他部门提成'!Q:Q)</f>
        <v>5244</v>
      </c>
      <c r="AG22" s="1544">
        <f>SUMIF('05月车间提成'!C:C,'05月提成-武侯售后'!C22,'05月车间提成'!W:W)</f>
        <v>0</v>
      </c>
      <c r="AH22" s="1530">
        <f>SUMIF('05月业务提成'!B:B,'05月提成-武侯售后'!C22,'05月业务提成'!BO:BO)</f>
        <v>0</v>
      </c>
      <c r="AI22" s="1530">
        <f>AF22+AG22+AH22</f>
        <v>5244</v>
      </c>
      <c r="AJ22" s="1530">
        <f>AI22-K22</f>
        <v>0</v>
      </c>
      <c r="AK22"/>
      <c r="AL22"/>
      <c r="AM22"/>
      <c r="AN22"/>
      <c r="AO22"/>
    </row>
    <row r="23" spans="1:41" s="1518" customFormat="1" ht="14.1" customHeight="1">
      <c r="A23" s="1531">
        <f>A22+1</f>
        <v>16</v>
      </c>
      <c r="B23" s="1661"/>
      <c r="C23" s="1507" t="s">
        <v>57</v>
      </c>
      <c r="D23" s="1533">
        <f>INDEX('05基本'!I:I,MATCH(C23,'05基本'!C:C,0))+INDEX('05基本'!J:J,MATCH(C23,'05基本'!C:C,0))</f>
        <v>0</v>
      </c>
      <c r="E23" s="1534">
        <f>INDEX('05基本'!AA:AA,MATCH(C23,'05基本'!C:C,0))</f>
        <v>1268.5899999999999</v>
      </c>
      <c r="F23" s="1534">
        <f>INDEX('05基本'!AB:AB,MATCH(C23,'05基本'!C:C,0))</f>
        <v>477.15</v>
      </c>
      <c r="G23" s="1534">
        <f>INDEX('05基本'!AC:AC,MATCH(C23,'05基本'!C:C,0))</f>
        <v>117</v>
      </c>
      <c r="H23" s="1534">
        <f>INDEX('05基本'!K:K,MATCH(C23,'05基本'!C:C,0))+INDEX('05基本'!L:L,MATCH(C23,'05基本'!C:C,0))</f>
        <v>0</v>
      </c>
      <c r="I23" s="1534">
        <f>INDEX('05基本'!P:P,MATCH(C23,'05基本'!C:C,0))</f>
        <v>1200</v>
      </c>
      <c r="J23" s="1534">
        <f>INDEX('05基本'!M:M,MATCH(C23,'05基本'!C:C,0))</f>
        <v>0</v>
      </c>
      <c r="K23" s="1535">
        <f>INDEX('05月其他部门提成'!Q:Q,MATCH(C23,'05月其他部门提成'!C:C,0))</f>
        <v>5058</v>
      </c>
      <c r="L23" s="1533">
        <f>SUMIF(综合考核!A:A,'05月提成-武侯售后'!C23,综合考核!M:M)</f>
        <v>0</v>
      </c>
      <c r="M23" s="1535">
        <f>SUM(K23:L23)</f>
        <v>5058</v>
      </c>
      <c r="N23" s="1535">
        <f>SUMIF(服装扣款!C:C,C23,服装扣款!N:N)</f>
        <v>0</v>
      </c>
      <c r="O23" s="1536">
        <f>M23-N23</f>
        <v>5058</v>
      </c>
      <c r="P23" s="1537">
        <f>SUMIF(超市公积金!C:C,'05月提成-武侯售后'!C23,超市公积金!I:I)</f>
        <v>0</v>
      </c>
      <c r="Q23" s="1535">
        <f>SUMIF(综合考核!A:A,'05月提成-武侯售后'!C23,综合考核!N:N)</f>
        <v>0</v>
      </c>
      <c r="R23" s="1535">
        <f>M23+I23+Q23</f>
        <v>6258</v>
      </c>
      <c r="S23" s="1535">
        <f t="shared" si="14"/>
        <v>19.91</v>
      </c>
      <c r="T23" s="1538"/>
      <c r="U23" s="1535">
        <f>S23-T23</f>
        <v>19.91</v>
      </c>
      <c r="V23" s="1535">
        <f>INDEX('05基本'!AF:AF,MATCH(C23,'05基本'!C:C,0))</f>
        <v>0</v>
      </c>
      <c r="W23" s="1535">
        <f>O23-P23-U23</f>
        <v>5038.09</v>
      </c>
      <c r="X23" s="1542"/>
      <c r="Y23" s="1540">
        <f>SUM(Z23:AA23)</f>
        <v>83.3333333333333</v>
      </c>
      <c r="Z23" s="1541">
        <f t="shared" si="15"/>
        <v>83.3333333333333</v>
      </c>
      <c r="AA23" s="1542"/>
      <c r="AB23" s="1519" t="s">
        <v>60</v>
      </c>
      <c r="AC23" s="291">
        <v>709.53</v>
      </c>
      <c r="AD23" s="1518">
        <f t="shared" si="0"/>
        <v>1</v>
      </c>
      <c r="AE23" s="1530">
        <f>INDEX('05基本'!P:P,MATCH(C23,'05基本'!C:C,0))-I23</f>
        <v>0</v>
      </c>
      <c r="AF23" s="1529">
        <f>SUMIF('05月其他部门提成'!C:C,'05月提成-武侯售后'!C23,'05月其他部门提成'!Q:Q)</f>
        <v>5058</v>
      </c>
      <c r="AG23" s="1544">
        <f>SUMIF('05月车间提成'!C:C,'05月提成-武侯售后'!C23,'05月车间提成'!W:W)</f>
        <v>0</v>
      </c>
      <c r="AH23" s="1530">
        <f>SUMIF('05月业务提成'!B:B,'05月提成-武侯售后'!C23,'05月业务提成'!BO:BO)</f>
        <v>0</v>
      </c>
      <c r="AI23" s="1530">
        <f>AF23+AG23+AH23</f>
        <v>5058</v>
      </c>
      <c r="AJ23" s="1530">
        <f>AI23-K23</f>
        <v>0</v>
      </c>
      <c r="AK23"/>
      <c r="AL23"/>
      <c r="AM23"/>
      <c r="AN23"/>
      <c r="AO23"/>
    </row>
    <row r="24" spans="1:41" s="1518" customFormat="1" ht="14.1" customHeight="1">
      <c r="A24" s="1531">
        <f>A23+1</f>
        <v>17</v>
      </c>
      <c r="B24" s="1661"/>
      <c r="C24" s="1507" t="s">
        <v>58</v>
      </c>
      <c r="D24" s="1533">
        <f>INDEX('05基本'!I:I,MATCH(C24,'05基本'!C:C,0))+INDEX('05基本'!J:J,MATCH(C24,'05基本'!C:C,0))</f>
        <v>0</v>
      </c>
      <c r="E24" s="1534">
        <f>INDEX('05基本'!AA:AA,MATCH(C24,'05基本'!C:C,0))</f>
        <v>1268.5899999999999</v>
      </c>
      <c r="F24" s="1534">
        <f>INDEX('05基本'!AB:AB,MATCH(C24,'05基本'!C:C,0))</f>
        <v>477.15</v>
      </c>
      <c r="G24" s="1534">
        <f>INDEX('05基本'!AC:AC,MATCH(C24,'05基本'!C:C,0))</f>
        <v>117</v>
      </c>
      <c r="H24" s="1534">
        <f>INDEX('05基本'!K:K,MATCH(C24,'05基本'!C:C,0))+INDEX('05基本'!L:L,MATCH(C24,'05基本'!C:C,0))</f>
        <v>0</v>
      </c>
      <c r="I24" s="1534">
        <f>INDEX('05基本'!P:P,MATCH(C24,'05基本'!C:C,0))</f>
        <v>1200</v>
      </c>
      <c r="J24" s="1534">
        <f>INDEX('05基本'!M:M,MATCH(C24,'05基本'!C:C,0))</f>
        <v>0</v>
      </c>
      <c r="K24" s="1535">
        <f>INDEX('05月其他部门提成'!Q:Q,MATCH(C24,'05月其他部门提成'!C:C,0))</f>
        <v>4773</v>
      </c>
      <c r="L24" s="1533">
        <f>SUMIF(综合考核!A:A,'05月提成-武侯售后'!C24,综合考核!M:M)</f>
        <v>0</v>
      </c>
      <c r="M24" s="1535">
        <f>SUM(K24:L24)</f>
        <v>4773</v>
      </c>
      <c r="N24" s="1535">
        <f>SUMIF(服装扣款!C:C,C24,服装扣款!N:N)</f>
        <v>0</v>
      </c>
      <c r="O24" s="1536">
        <f>M24-N24</f>
        <v>4773</v>
      </c>
      <c r="P24" s="1537">
        <f>SUMIF(超市公积金!C:C,'05月提成-武侯售后'!C24,超市公积金!I:I)</f>
        <v>0</v>
      </c>
      <c r="Q24" s="1535">
        <f>SUMIF(综合考核!A:A,'05月提成-武侯售后'!C24,综合考核!N:N)</f>
        <v>0</v>
      </c>
      <c r="R24" s="1535">
        <f>M24+I24+Q24</f>
        <v>5973</v>
      </c>
      <c r="S24" s="1535">
        <f t="shared" si="14"/>
        <v>11.36</v>
      </c>
      <c r="T24" s="1538"/>
      <c r="U24" s="1535">
        <f>S24-T24</f>
        <v>11.36</v>
      </c>
      <c r="V24" s="1535">
        <f>INDEX('05基本'!AF:AF,MATCH(C24,'05基本'!C:C,0))</f>
        <v>0</v>
      </c>
      <c r="W24" s="1535">
        <f>O24-P24-U24</f>
        <v>4761.6400000000003</v>
      </c>
      <c r="X24" s="1542"/>
      <c r="Y24" s="1540">
        <f>SUM(Z24:AA24)</f>
        <v>83.3333333333333</v>
      </c>
      <c r="Z24" s="1541">
        <f t="shared" si="15"/>
        <v>83.3333333333333</v>
      </c>
      <c r="AA24" s="1542"/>
      <c r="AB24" s="1519" t="s">
        <v>61</v>
      </c>
      <c r="AC24" s="291">
        <v>56.79</v>
      </c>
      <c r="AD24" s="1518">
        <f t="shared" si="0"/>
        <v>1</v>
      </c>
      <c r="AE24" s="1530">
        <f>INDEX('05基本'!P:P,MATCH(C24,'05基本'!C:C,0))-I24</f>
        <v>0</v>
      </c>
      <c r="AF24" s="1529">
        <f>SUMIF('05月其他部门提成'!C:C,'05月提成-武侯售后'!C24,'05月其他部门提成'!Q:Q)</f>
        <v>4773</v>
      </c>
      <c r="AG24" s="1544">
        <f>SUMIF('05月车间提成'!C:C,'05月提成-武侯售后'!C24,'05月车间提成'!W:W)</f>
        <v>0</v>
      </c>
      <c r="AH24" s="1530">
        <f>SUMIF('05月业务提成'!B:B,'05月提成-武侯售后'!C24,'05月业务提成'!BO:BO)</f>
        <v>0</v>
      </c>
      <c r="AI24" s="1530">
        <f>AF24+AG24+AH24</f>
        <v>4773</v>
      </c>
      <c r="AJ24" s="1530">
        <f>AI24-K24</f>
        <v>0</v>
      </c>
      <c r="AK24"/>
      <c r="AL24"/>
      <c r="AM24"/>
      <c r="AN24"/>
      <c r="AO24"/>
    </row>
    <row r="25" spans="1:41" s="1518" customFormat="1" ht="14.1" customHeight="1">
      <c r="A25" s="1531">
        <f>A24+1</f>
        <v>18</v>
      </c>
      <c r="B25" s="1661"/>
      <c r="C25" s="1507" t="s">
        <v>59</v>
      </c>
      <c r="D25" s="1533">
        <f>INDEX('05基本'!I:I,MATCH(C25,'05基本'!C:C,0))+INDEX('05基本'!J:J,MATCH(C25,'05基本'!C:C,0))</f>
        <v>0</v>
      </c>
      <c r="E25" s="1534">
        <f>INDEX('05基本'!AA:AA,MATCH(C25,'05基本'!C:C,0))</f>
        <v>1268.5899999999999</v>
      </c>
      <c r="F25" s="1534">
        <f>INDEX('05基本'!AB:AB,MATCH(C25,'05基本'!C:C,0))</f>
        <v>477.15</v>
      </c>
      <c r="G25" s="1534">
        <f>INDEX('05基本'!AC:AC,MATCH(C25,'05基本'!C:C,0))</f>
        <v>117</v>
      </c>
      <c r="H25" s="1534">
        <f>INDEX('05基本'!K:K,MATCH(C25,'05基本'!C:C,0))+INDEX('05基本'!L:L,MATCH(C25,'05基本'!C:C,0))</f>
        <v>0</v>
      </c>
      <c r="I25" s="1534">
        <f>INDEX('05基本'!P:P,MATCH(C25,'05基本'!C:C,0))</f>
        <v>1200</v>
      </c>
      <c r="J25" s="1534"/>
      <c r="K25" s="1535">
        <f>INDEX('05月其他部门提成'!Q:Q,MATCH(C25,'05月其他部门提成'!C:C,0))</f>
        <v>4010</v>
      </c>
      <c r="L25" s="1533">
        <f>SUMIF(综合考核!A:A,'05月提成-武侯售后'!C25,综合考核!M:M)</f>
        <v>0</v>
      </c>
      <c r="M25" s="1535">
        <f t="shared" ref="M25" si="16">SUM(K25:L25)</f>
        <v>4010</v>
      </c>
      <c r="N25" s="1535">
        <f>SUMIF(服装扣款!C:C,C25,服装扣款!N:N)</f>
        <v>0</v>
      </c>
      <c r="O25" s="1536">
        <f t="shared" ref="O25" si="17">M25-N25</f>
        <v>4010</v>
      </c>
      <c r="P25" s="1537">
        <f>SUMIF(超市公积金!C:C,'05月提成-武侯售后'!C25,超市公积金!I:I)</f>
        <v>0</v>
      </c>
      <c r="Q25" s="1535">
        <f>SUMIF(综合考核!A:A,'05月提成-武侯售后'!C25,综合考核!N:N)</f>
        <v>0</v>
      </c>
      <c r="R25" s="1535">
        <f t="shared" ref="R25" si="18">M25+I25+Q25</f>
        <v>5210</v>
      </c>
      <c r="S25" s="1535">
        <f t="shared" si="14"/>
        <v>0</v>
      </c>
      <c r="T25" s="1538"/>
      <c r="U25" s="1535">
        <f t="shared" ref="U25" si="19">S25-T25</f>
        <v>0</v>
      </c>
      <c r="V25" s="1535">
        <f>INDEX('05基本'!AF:AF,MATCH(C25,'05基本'!C:C,0))</f>
        <v>0</v>
      </c>
      <c r="W25" s="1535">
        <f t="shared" ref="W25" si="20">O25-P25-U25</f>
        <v>4010</v>
      </c>
      <c r="X25" s="1542"/>
      <c r="Y25" s="1540">
        <f t="shared" ref="Y25" si="21">SUM(Z25:AA25)</f>
        <v>83.3333333333333</v>
      </c>
      <c r="Z25" s="1541">
        <f t="shared" si="15"/>
        <v>83.3333333333333</v>
      </c>
      <c r="AA25" s="1542"/>
      <c r="AB25" s="1519" t="s">
        <v>62</v>
      </c>
      <c r="AC25" s="291">
        <v>0</v>
      </c>
      <c r="AE25" s="1530">
        <f>INDEX('05基本'!P:P,MATCH(C25,'05基本'!C:C,0))-I25</f>
        <v>0</v>
      </c>
      <c r="AF25" s="1529"/>
      <c r="AG25" s="1544"/>
      <c r="AH25" s="1530"/>
      <c r="AI25" s="1530"/>
      <c r="AJ25" s="1530"/>
      <c r="AK25"/>
      <c r="AL25"/>
      <c r="AM25"/>
      <c r="AN25"/>
      <c r="AO25"/>
    </row>
    <row r="26" spans="1:41" s="1518" customFormat="1" ht="14.1" customHeight="1">
      <c r="A26" s="1531" t="s">
        <v>39</v>
      </c>
      <c r="B26" s="1662"/>
      <c r="C26" s="1553" t="s">
        <v>40</v>
      </c>
      <c r="D26" s="1554">
        <f t="shared" ref="D26:G26" si="22">SUM(D20:D25)</f>
        <v>0</v>
      </c>
      <c r="E26" s="1554">
        <f t="shared" si="22"/>
        <v>7611.54</v>
      </c>
      <c r="F26" s="1554">
        <f t="shared" si="22"/>
        <v>2862.9</v>
      </c>
      <c r="G26" s="1554">
        <f t="shared" si="22"/>
        <v>702</v>
      </c>
      <c r="H26" s="1554">
        <f t="shared" ref="H26:AA26" si="23">SUM(H20:H25)</f>
        <v>0</v>
      </c>
      <c r="I26" s="1554">
        <f t="shared" si="23"/>
        <v>7200</v>
      </c>
      <c r="J26" s="1554">
        <f t="shared" si="23"/>
        <v>0</v>
      </c>
      <c r="K26" s="1554">
        <f t="shared" si="23"/>
        <v>27340</v>
      </c>
      <c r="L26" s="1554">
        <f t="shared" si="23"/>
        <v>0</v>
      </c>
      <c r="M26" s="1554">
        <f t="shared" si="23"/>
        <v>27340</v>
      </c>
      <c r="N26" s="1554">
        <f t="shared" si="23"/>
        <v>0</v>
      </c>
      <c r="O26" s="1555">
        <f t="shared" si="23"/>
        <v>27340</v>
      </c>
      <c r="P26" s="1556">
        <f t="shared" si="23"/>
        <v>0</v>
      </c>
      <c r="Q26" s="1554">
        <f t="shared" si="23"/>
        <v>0</v>
      </c>
      <c r="R26" s="1554">
        <f t="shared" si="23"/>
        <v>34540</v>
      </c>
      <c r="S26" s="1554">
        <f t="shared" si="23"/>
        <v>56.76</v>
      </c>
      <c r="T26" s="1554">
        <f t="shared" si="23"/>
        <v>0</v>
      </c>
      <c r="U26" s="1554">
        <f t="shared" si="23"/>
        <v>56.76</v>
      </c>
      <c r="V26" s="1554">
        <f t="shared" si="23"/>
        <v>0</v>
      </c>
      <c r="W26" s="1554">
        <f t="shared" si="23"/>
        <v>27283.24</v>
      </c>
      <c r="X26" s="1568">
        <f t="shared" si="23"/>
        <v>0</v>
      </c>
      <c r="Y26" s="1556">
        <f t="shared" si="23"/>
        <v>500</v>
      </c>
      <c r="Z26" s="1554">
        <f t="shared" si="23"/>
        <v>500</v>
      </c>
      <c r="AA26" s="1568">
        <f t="shared" si="23"/>
        <v>0</v>
      </c>
      <c r="AB26" s="1519" t="s">
        <v>63</v>
      </c>
      <c r="AC26" s="291">
        <v>81.260000000000005</v>
      </c>
      <c r="AD26" s="1518">
        <f t="shared" ref="AD26:AD61" si="24">COUNTIF(C:C,C26)</f>
        <v>11</v>
      </c>
      <c r="AE26" s="1530" t="e">
        <f>INDEX('05基本'!P:P,MATCH(C26,'05基本'!C:C,0))-I26</f>
        <v>#N/A</v>
      </c>
      <c r="AF26" s="1558"/>
      <c r="AG26" s="1559"/>
      <c r="AH26" s="1560"/>
      <c r="AI26" s="1560"/>
      <c r="AJ26" s="1560"/>
      <c r="AK26" s="1530"/>
    </row>
    <row r="27" spans="1:41" s="1518" customFormat="1" ht="14.1" customHeight="1">
      <c r="A27" s="1531">
        <f>A25+1</f>
        <v>19</v>
      </c>
      <c r="B27" s="1614"/>
      <c r="C27" s="1507" t="s">
        <v>60</v>
      </c>
      <c r="D27" s="1533">
        <f>INDEX('05基本'!I:I,MATCH(C27,'05基本'!C:C,0))+INDEX('05基本'!J:J,MATCH(C27,'05基本'!C:C,0))</f>
        <v>0</v>
      </c>
      <c r="E27" s="1534">
        <f>INDEX('05基本'!AA:AA,MATCH(C27,'05基本'!C:C,0))</f>
        <v>1268.5899999999999</v>
      </c>
      <c r="F27" s="1534">
        <f>INDEX('05基本'!AB:AB,MATCH(C27,'05基本'!C:C,0))</f>
        <v>477.15</v>
      </c>
      <c r="G27" s="1534">
        <f>INDEX('05基本'!AC:AC,MATCH(C27,'05基本'!C:C,0))</f>
        <v>117</v>
      </c>
      <c r="H27" s="1534">
        <f>INDEX('05基本'!K:K,MATCH(C27,'05基本'!C:C,0))+INDEX('05基本'!L:L,MATCH(C27,'05基本'!C:C,0))</f>
        <v>100</v>
      </c>
      <c r="I27" s="1534">
        <f>INDEX('05基本'!P:P,MATCH(C27,'05基本'!C:C,0))</f>
        <v>1700</v>
      </c>
      <c r="J27" s="1534">
        <f>INDEX('05基本'!M:M,MATCH(C27,'05基本'!C:C,0))</f>
        <v>0</v>
      </c>
      <c r="K27" s="1533">
        <f>INDEX('05月其他部门提成'!Q:Q,MATCH(C27,'05月其他部门提成'!C:C,0))</f>
        <v>10989.415206</v>
      </c>
      <c r="L27" s="1533">
        <f>SUMIF(综合考核!A:A,'05月提成-武侯售后'!C27,综合考核!M:M)</f>
        <v>0</v>
      </c>
      <c r="M27" s="1535">
        <f>SUM(K27:L27)</f>
        <v>10989.415206</v>
      </c>
      <c r="N27" s="1535">
        <f>SUMIF(服装扣款!C:C,C27,服装扣款!N:N)</f>
        <v>0</v>
      </c>
      <c r="O27" s="1536">
        <f>M27-N27</f>
        <v>10989.415206</v>
      </c>
      <c r="P27" s="1537">
        <f>SUMIF(超市公积金!C:C,'05月提成-武侯售后'!C27,超市公积金!I:I)</f>
        <v>0</v>
      </c>
      <c r="Q27" s="1535">
        <f>SUMIF(综合考核!A:A,'05月提成-武侯售后'!C27,综合考核!N:N)</f>
        <v>0</v>
      </c>
      <c r="R27" s="1535">
        <f>M27+I27+Q27</f>
        <v>12689.415206</v>
      </c>
      <c r="S27" s="1535">
        <f t="shared" ref="S27:S41" si="25">INDEX(AC:AC,MATCH(C27,AB:AB,0))</f>
        <v>709.53</v>
      </c>
      <c r="T27" s="1538"/>
      <c r="U27" s="1535">
        <f>S27-T27</f>
        <v>709.53</v>
      </c>
      <c r="V27" s="1535">
        <f>INDEX('05基本'!AF:AF,MATCH(C27,'05基本'!C:C,0))</f>
        <v>0</v>
      </c>
      <c r="W27" s="1535">
        <f>O27-P27-U27</f>
        <v>10279.885206000001</v>
      </c>
      <c r="X27" s="1539"/>
      <c r="Y27" s="1540">
        <f>SUM(Z27:AA27)</f>
        <v>830.08647399999995</v>
      </c>
      <c r="Z27" s="1541">
        <f>'05月其他部门提成'!R8</f>
        <v>830.08647399999995</v>
      </c>
      <c r="AA27" s="1542"/>
      <c r="AB27" s="1519" t="s">
        <v>64</v>
      </c>
      <c r="AC27" s="291">
        <v>68.180000000000007</v>
      </c>
      <c r="AD27" s="1518">
        <f t="shared" si="24"/>
        <v>1</v>
      </c>
      <c r="AE27" s="1530">
        <f>INDEX('05基本'!P:P,MATCH(C27,'05基本'!C:C,0))-I27</f>
        <v>0</v>
      </c>
      <c r="AF27" s="1529">
        <f>SUMIF('05月其他部门提成'!C:C,'05月提成-武侯售后'!C27,'05月其他部门提成'!Q:Q)</f>
        <v>10989.415206</v>
      </c>
      <c r="AG27" s="1544">
        <f>SUMIF('05月车间提成'!C:C,'05月提成-武侯售后'!C27,'05月车间提成'!W:W)</f>
        <v>0</v>
      </c>
      <c r="AH27" s="1530">
        <f>SUMIF('05月业务提成'!B:B,'05月提成-武侯售后'!C27,'05月业务提成'!BO:BO)</f>
        <v>0</v>
      </c>
      <c r="AI27" s="1530">
        <f>AF27+AG27+AH27</f>
        <v>10989.415206</v>
      </c>
      <c r="AJ27" s="1530">
        <f>AI27-K27</f>
        <v>0</v>
      </c>
      <c r="AK27"/>
      <c r="AL27"/>
      <c r="AM27"/>
      <c r="AN27"/>
      <c r="AO27"/>
    </row>
    <row r="28" spans="1:41" s="1518" customFormat="1" ht="14.25" customHeight="1">
      <c r="A28" s="1531">
        <f t="shared" ref="A28:A29" si="26">A27+1</f>
        <v>20</v>
      </c>
      <c r="B28" s="1661" t="s">
        <v>46</v>
      </c>
      <c r="C28" s="1507" t="s">
        <v>61</v>
      </c>
      <c r="D28" s="1533">
        <f>INDEX('05基本'!I:I,MATCH(C28,'05基本'!C:C,0))+INDEX('05基本'!J:J,MATCH(C28,'05基本'!C:C,0))</f>
        <v>32</v>
      </c>
      <c r="E28" s="1534">
        <f>INDEX('05基本'!AA:AA,MATCH(C28,'05基本'!C:C,0))</f>
        <v>1268.5899999999999</v>
      </c>
      <c r="F28" s="1534">
        <f>INDEX('05基本'!AB:AB,MATCH(C28,'05基本'!C:C,0))</f>
        <v>477.15</v>
      </c>
      <c r="G28" s="1534">
        <f>INDEX('05基本'!AC:AC,MATCH(C28,'05基本'!C:C,0))</f>
        <v>117</v>
      </c>
      <c r="H28" s="1534">
        <f>INDEX('05基本'!K:K,MATCH(C28,'05基本'!C:C,0))+INDEX('05基本'!L:L,MATCH(C28,'05基本'!C:C,0))</f>
        <v>0</v>
      </c>
      <c r="I28" s="1534">
        <f>INDEX('05基本'!P:P,MATCH(C28,'05基本'!C:C,0))</f>
        <v>932</v>
      </c>
      <c r="J28" s="1534">
        <f>INDEX('05基本'!M:M,MATCH(C28,'05基本'!C:C,0))</f>
        <v>0</v>
      </c>
      <c r="K28" s="1533">
        <f>INDEX('05月业务提成'!BO:BO,MATCH(C28,'05月业务提成'!B:B,0))</f>
        <v>6555.1645175000003</v>
      </c>
      <c r="L28" s="1533">
        <f>SUMIF(综合考核!A:A,'05月提成-武侯售后'!C28,综合考核!M:M)</f>
        <v>0</v>
      </c>
      <c r="M28" s="1535">
        <f>SUM(K28:L28)</f>
        <v>6555.1645175000003</v>
      </c>
      <c r="N28" s="1535">
        <f>SUMIF(服装扣款!C:C,C28,服装扣款!N:N)</f>
        <v>0</v>
      </c>
      <c r="O28" s="1536">
        <f>M28-N28</f>
        <v>6555.1645175000003</v>
      </c>
      <c r="P28" s="1537">
        <f>SUMIF(超市公积金!C:C,'05月提成-武侯售后'!C28,超市公积金!I:I)</f>
        <v>0</v>
      </c>
      <c r="Q28" s="1535">
        <f>SUMIF(综合考核!A:A,'05月提成-武侯售后'!C28,综合考核!N:N)</f>
        <v>0</v>
      </c>
      <c r="R28" s="1535">
        <f>M28+I28+Q28</f>
        <v>7487.1645175000003</v>
      </c>
      <c r="S28" s="1535">
        <f t="shared" si="25"/>
        <v>56.79</v>
      </c>
      <c r="T28" s="1538"/>
      <c r="U28" s="1535">
        <f>S28-T28</f>
        <v>56.79</v>
      </c>
      <c r="V28" s="1535">
        <f>INDEX('05基本'!AF:AF,MATCH(C28,'05基本'!C:C,0))</f>
        <v>0</v>
      </c>
      <c r="W28" s="1535">
        <f>O28-P28-U28</f>
        <v>6498.3745175000004</v>
      </c>
      <c r="X28" s="1539"/>
      <c r="Y28" s="1540">
        <f>SUM(Z28:AA28)</f>
        <v>479.10813250000001</v>
      </c>
      <c r="Z28" s="1541">
        <f>INDEX('05月业务提成'!C:C,MATCH(C28,'05月业务提成'!B:B,0))*1</f>
        <v>288</v>
      </c>
      <c r="AA28" s="1542">
        <f>INDEX('05月业务提成'!F:F,MATCH(C28,'05月业务提成'!B:B,0))*0.05*2%+INDEX('05月业务提成'!J:J,MATCH(C28,'05月业务提成'!B:B,0))*0.05*1.6%+(INDEX('05月业务提成'!P:P,MATCH(C28,'05月业务提成'!B:B,0))/0.95)*0.05++(INDEX('05月业务提成'!V:V,MATCH(C28,'05月业务提成'!B:B,0))/0.95)*0.05+(INDEX('05月业务提成'!Z:Z,MATCH(C28,'05月业务提成'!B:B,0))/0.95)*0.05</f>
        <v>191.10813250000001</v>
      </c>
      <c r="AB28" s="1519" t="s">
        <v>65</v>
      </c>
      <c r="AC28" s="291">
        <v>33.700000000000003</v>
      </c>
      <c r="AD28" s="1518">
        <f t="shared" si="24"/>
        <v>1</v>
      </c>
      <c r="AE28" s="1530">
        <f>INDEX('05基本'!P:P,MATCH(C28,'05基本'!C:C,0))-I28</f>
        <v>0</v>
      </c>
      <c r="AF28" s="1529">
        <f>SUMIF('05月其他部门提成'!C:C,'05月提成-武侯售后'!C28,'05月其他部门提成'!Q:Q)</f>
        <v>0</v>
      </c>
      <c r="AG28" s="1544">
        <f>SUMIF('05月车间提成'!C:C,'05月提成-武侯售后'!C28,'05月车间提成'!W:W)</f>
        <v>0</v>
      </c>
      <c r="AH28" s="1530">
        <f>SUMIF('05月业务提成'!B:B,'05月提成-武侯售后'!C28,'05月业务提成'!BO:BO)</f>
        <v>6555.1645175000003</v>
      </c>
      <c r="AI28" s="1530">
        <f>AF28+AG28+AH28</f>
        <v>6555.1645175000003</v>
      </c>
      <c r="AJ28" s="1530">
        <f>AI28-K28</f>
        <v>0</v>
      </c>
      <c r="AK28"/>
      <c r="AL28"/>
      <c r="AM28"/>
      <c r="AN28"/>
      <c r="AO28"/>
    </row>
    <row r="29" spans="1:41" s="1518" customFormat="1" ht="14.1" customHeight="1">
      <c r="A29" s="1531">
        <f t="shared" si="26"/>
        <v>21</v>
      </c>
      <c r="B29" s="1661"/>
      <c r="C29" s="1507" t="s">
        <v>62</v>
      </c>
      <c r="D29" s="1533">
        <f>INDEX('05基本'!I:I,MATCH(C29,'05基本'!C:C,0))+INDEX('05基本'!J:J,MATCH(C29,'05基本'!C:C,0))</f>
        <v>32</v>
      </c>
      <c r="E29" s="1534">
        <f>INDEX('05基本'!AA:AA,MATCH(C29,'05基本'!C:C,0))</f>
        <v>1268.5899999999999</v>
      </c>
      <c r="F29" s="1534">
        <f>INDEX('05基本'!AB:AB,MATCH(C29,'05基本'!C:C,0))</f>
        <v>477.15</v>
      </c>
      <c r="G29" s="1534">
        <f>INDEX('05基本'!AC:AC,MATCH(C29,'05基本'!C:C,0))</f>
        <v>117</v>
      </c>
      <c r="H29" s="1534">
        <f>INDEX('05基本'!K:K,MATCH(C29,'05基本'!C:C,0))+INDEX('05基本'!L:L,MATCH(C29,'05基本'!C:C,0))</f>
        <v>0</v>
      </c>
      <c r="I29" s="1534">
        <f>INDEX('05基本'!P:P,MATCH(C29,'05基本'!C:C,0))</f>
        <v>932</v>
      </c>
      <c r="J29" s="1534">
        <f>INDEX('05基本'!M:M,MATCH(C29,'05基本'!C:C,0))</f>
        <v>0</v>
      </c>
      <c r="K29" s="1533">
        <f>INDEX('05月业务提成'!BO:BO,MATCH(C29,'05月业务提成'!B:B,0))</f>
        <v>4175.6566174999998</v>
      </c>
      <c r="L29" s="1533">
        <f>SUMIF(综合考核!A:A,'05月提成-武侯售后'!C29,综合考核!M:M)</f>
        <v>0</v>
      </c>
      <c r="M29" s="1535">
        <f>SUM(K29:L29)</f>
        <v>4175.6566174999998</v>
      </c>
      <c r="N29" s="1535">
        <f>SUMIF(服装扣款!C:C,C29,服装扣款!N:N)</f>
        <v>0</v>
      </c>
      <c r="O29" s="1536">
        <f>M29-N29</f>
        <v>4175.6566174999998</v>
      </c>
      <c r="P29" s="1537">
        <f>SUMIF(超市公积金!C:C,'05月提成-武侯售后'!C29,超市公积金!I:I)</f>
        <v>0</v>
      </c>
      <c r="Q29" s="1535">
        <f>SUMIF(综合考核!A:A,'05月提成-武侯售后'!C29,综合考核!N:N)</f>
        <v>0</v>
      </c>
      <c r="R29" s="1535">
        <f>M29+I29+Q29</f>
        <v>5107.6566174999998</v>
      </c>
      <c r="S29" s="1535">
        <f t="shared" si="25"/>
        <v>0</v>
      </c>
      <c r="T29" s="1538"/>
      <c r="U29" s="1535">
        <f>S29-T29</f>
        <v>0</v>
      </c>
      <c r="V29" s="1535">
        <f>INDEX('05基本'!AF:AF,MATCH(C29,'05基本'!C:C,0))</f>
        <v>0</v>
      </c>
      <c r="W29" s="1535">
        <f>O29-P29-U29</f>
        <v>4175.6566174999998</v>
      </c>
      <c r="X29" s="1539"/>
      <c r="Y29" s="1540">
        <f>SUM(Z29:AA29)</f>
        <v>294.04403250000001</v>
      </c>
      <c r="Z29" s="1541">
        <f>INDEX('05月业务提成'!C:C,MATCH(C29,'05月业务提成'!B:B,0))*1</f>
        <v>159</v>
      </c>
      <c r="AA29" s="1542">
        <f>INDEX('05月业务提成'!F:F,MATCH(C29,'05月业务提成'!B:B,0))*0.05*2%+INDEX('05月业务提成'!J:J,MATCH(C29,'05月业务提成'!B:B,0))*0.05*1.6%+(INDEX('05月业务提成'!P:P,MATCH(C29,'05月业务提成'!B:B,0))/0.95)*0.05++(INDEX('05月业务提成'!V:V,MATCH(C29,'05月业务提成'!B:B,0))/0.95)*0.05+(INDEX('05月业务提成'!Z:Z,MATCH(C29,'05月业务提成'!B:B,0))/0.95)*0.05</f>
        <v>135.04403249999999</v>
      </c>
      <c r="AB29" s="1519" t="s">
        <v>66</v>
      </c>
      <c r="AC29" s="291">
        <v>22.15</v>
      </c>
      <c r="AD29" s="1518">
        <f t="shared" si="24"/>
        <v>1</v>
      </c>
      <c r="AE29" s="1530">
        <f>INDEX('05基本'!P:P,MATCH(C29,'05基本'!C:C,0))-I29</f>
        <v>0</v>
      </c>
      <c r="AF29" s="1529">
        <f>SUMIF('05月其他部门提成'!C:C,'05月提成-武侯售后'!C29,'05月其他部门提成'!Q:Q)</f>
        <v>0</v>
      </c>
      <c r="AG29" s="1544">
        <f>SUMIF('05月车间提成'!C:C,'05月提成-武侯售后'!C29,'05月车间提成'!W:W)</f>
        <v>0</v>
      </c>
      <c r="AH29" s="1530">
        <f>SUMIF('05月业务提成'!B:B,'05月提成-武侯售后'!C29,'05月业务提成'!BO:BO)</f>
        <v>4175.6566174999998</v>
      </c>
      <c r="AI29" s="1530">
        <f>AF29+AG29+AH29</f>
        <v>4175.6566174999998</v>
      </c>
      <c r="AJ29" s="1530">
        <f>AI29-K29</f>
        <v>0</v>
      </c>
      <c r="AK29"/>
      <c r="AL29"/>
      <c r="AM29"/>
      <c r="AN29"/>
      <c r="AO29"/>
    </row>
    <row r="30" spans="1:41" s="1607" customFormat="1" ht="14.1" customHeight="1">
      <c r="A30" s="1531">
        <f t="shared" ref="A30:A41" si="27">A29+1</f>
        <v>22</v>
      </c>
      <c r="B30" s="1661"/>
      <c r="C30" s="1507" t="s">
        <v>63</v>
      </c>
      <c r="D30" s="1533">
        <f>INDEX('05基本'!I:I,MATCH(C30,'05基本'!C:C,0))+INDEX('05基本'!J:J,MATCH(C30,'05基本'!C:C,0))</f>
        <v>0</v>
      </c>
      <c r="E30" s="1534">
        <f>INDEX('05基本'!AA:AA,MATCH(C30,'05基本'!C:C,0))</f>
        <v>1268.5899999999999</v>
      </c>
      <c r="F30" s="1534">
        <f>INDEX('05基本'!AB:AB,MATCH(C30,'05基本'!C:C,0))</f>
        <v>477.15</v>
      </c>
      <c r="G30" s="1534">
        <f>INDEX('05基本'!AC:AC,MATCH(C30,'05基本'!C:C,0))</f>
        <v>117</v>
      </c>
      <c r="H30" s="1534">
        <f>INDEX('05基本'!K:K,MATCH(C30,'05基本'!C:C,0))+INDEX('05基本'!L:L,MATCH(C30,'05基本'!C:C,0))</f>
        <v>0</v>
      </c>
      <c r="I30" s="1534">
        <f>INDEX('05基本'!P:P,MATCH(C30,'05基本'!C:C,0))</f>
        <v>900</v>
      </c>
      <c r="J30" s="1534">
        <f>INDEX('05基本'!M:M,MATCH(C30,'05基本'!C:C,0))</f>
        <v>0</v>
      </c>
      <c r="K30" s="1533">
        <f>INDEX('05月业务提成'!BO:BO,MATCH(C30,'05月业务提成'!B:B,0))</f>
        <v>7182.7026125000002</v>
      </c>
      <c r="L30" s="1533">
        <f>SUMIF(综合考核!A:A,'05月提成-武侯售后'!C30,综合考核!M:M)</f>
        <v>220</v>
      </c>
      <c r="M30" s="1535">
        <f t="shared" ref="M30:M41" si="28">SUM(K30:L30)</f>
        <v>7402.7026125000002</v>
      </c>
      <c r="N30" s="1535">
        <f>SUMIF(服装扣款!C:C,C30,服装扣款!N:N)</f>
        <v>0</v>
      </c>
      <c r="O30" s="1536">
        <f t="shared" ref="O30:O41" si="29">M30-N30</f>
        <v>7402.7026125000002</v>
      </c>
      <c r="P30" s="1537">
        <f>SUMIF(超市公积金!C:C,'05月提成-武侯售后'!C30,超市公积金!I:I)</f>
        <v>0</v>
      </c>
      <c r="Q30" s="1535">
        <f>SUMIF(综合考核!A:A,'05月提成-武侯售后'!C30,综合考核!N:N)</f>
        <v>0</v>
      </c>
      <c r="R30" s="1535">
        <f t="shared" ref="R30:R41" si="30">M30+I30+Q30</f>
        <v>8302.7026124999993</v>
      </c>
      <c r="S30" s="1535">
        <f t="shared" si="25"/>
        <v>81.260000000000005</v>
      </c>
      <c r="T30" s="1538"/>
      <c r="U30" s="1535">
        <f t="shared" ref="U30:U41" si="31">S30-T30</f>
        <v>81.260000000000005</v>
      </c>
      <c r="V30" s="1535">
        <f>INDEX('05基本'!AF:AF,MATCH(C30,'05基本'!C:C,0))</f>
        <v>0</v>
      </c>
      <c r="W30" s="1535">
        <f t="shared" ref="W30:W41" si="32">O30-P30-U30</f>
        <v>7321.4426125</v>
      </c>
      <c r="X30" s="1539"/>
      <c r="Y30" s="1540">
        <f t="shared" ref="Y30:Y41" si="33">SUM(Z30:AA30)</f>
        <v>461.30013750000001</v>
      </c>
      <c r="Z30" s="1541">
        <f>INDEX('05月业务提成'!C:C,MATCH(C30,'05月业务提成'!B:B,0))*1</f>
        <v>62</v>
      </c>
      <c r="AA30" s="1542">
        <f>INDEX('05月业务提成'!F:F,MATCH(C30,'05月业务提成'!B:B,0))*0.05*2%+INDEX('05月业务提成'!J:J,MATCH(C30,'05月业务提成'!B:B,0))*0.05*1.6%+(INDEX('05月业务提成'!P:P,MATCH(C30,'05月业务提成'!B:B,0))/0.95)*0.05++(INDEX('05月业务提成'!V:V,MATCH(C30,'05月业务提成'!B:B,0))/0.95)*0.05+(INDEX('05月业务提成'!Z:Z,MATCH(C30,'05月业务提成'!B:B,0))/0.95)*0.05</f>
        <v>399.30013750000001</v>
      </c>
      <c r="AB30" s="1519" t="s">
        <v>67</v>
      </c>
      <c r="AC30" s="291">
        <v>50.13</v>
      </c>
      <c r="AD30" s="1518">
        <f t="shared" si="24"/>
        <v>1</v>
      </c>
      <c r="AE30" s="1530">
        <f>INDEX('05基本'!P:P,MATCH(C30,'05基本'!C:C,0))-I30</f>
        <v>0</v>
      </c>
      <c r="AF30" s="1529">
        <f>SUMIF('05月其他部门提成'!C:C,'05月提成-武侯售后'!C30,'05月其他部门提成'!Q:Q)</f>
        <v>0</v>
      </c>
      <c r="AG30" s="1544">
        <f>SUMIF('05月车间提成'!C:C,'05月提成-武侯售后'!C30,'05月车间提成'!W:W)</f>
        <v>0</v>
      </c>
      <c r="AH30" s="1530">
        <f>SUMIF('05月业务提成'!B:B,'05月提成-武侯售后'!C30,'05月业务提成'!BO:BO)</f>
        <v>7182.7026125000002</v>
      </c>
      <c r="AI30" s="1530">
        <f t="shared" ref="AI30:AI41" si="34">AF30+AG30+AH30</f>
        <v>7182.7026125000002</v>
      </c>
      <c r="AJ30" s="1530">
        <f t="shared" ref="AJ30:AJ41" si="35">AI30-K30</f>
        <v>0</v>
      </c>
      <c r="AK30"/>
      <c r="AL30"/>
      <c r="AM30"/>
      <c r="AN30"/>
      <c r="AO30"/>
    </row>
    <row r="31" spans="1:41" s="1607" customFormat="1" ht="14.1" customHeight="1">
      <c r="A31" s="1531">
        <f t="shared" si="27"/>
        <v>23</v>
      </c>
      <c r="B31" s="1661"/>
      <c r="C31" s="1507" t="s">
        <v>64</v>
      </c>
      <c r="D31" s="1533">
        <f>INDEX('05基本'!I:I,MATCH(C31,'05基本'!C:C,0))+INDEX('05基本'!J:J,MATCH(C31,'05基本'!C:C,0))</f>
        <v>32</v>
      </c>
      <c r="E31" s="1534">
        <f>INDEX('05基本'!AA:AA,MATCH(C31,'05基本'!C:C,0))</f>
        <v>1268.5899999999999</v>
      </c>
      <c r="F31" s="1534">
        <f>INDEX('05基本'!AB:AB,MATCH(C31,'05基本'!C:C,0))</f>
        <v>477.15</v>
      </c>
      <c r="G31" s="1534">
        <f>INDEX('05基本'!AC:AC,MATCH(C31,'05基本'!C:C,0))</f>
        <v>117</v>
      </c>
      <c r="H31" s="1534">
        <f>INDEX('05基本'!K:K,MATCH(C31,'05基本'!C:C,0))+INDEX('05基本'!L:L,MATCH(C31,'05基本'!C:C,0))</f>
        <v>0</v>
      </c>
      <c r="I31" s="1534">
        <f>INDEX('05基本'!P:P,MATCH(C31,'05基本'!C:C,0))</f>
        <v>932</v>
      </c>
      <c r="J31" s="1534">
        <f>INDEX('05基本'!M:M,MATCH(C31,'05基本'!C:C,0))</f>
        <v>0</v>
      </c>
      <c r="K31" s="1533">
        <f>INDEX('05月业务提成'!BO:BO,MATCH(C31,'05月业务提成'!B:B,0))</f>
        <v>6934.8283950000005</v>
      </c>
      <c r="L31" s="1533">
        <f>SUMIF(综合考核!A:A,'05月提成-武侯售后'!C31,综合考核!M:M)</f>
        <v>0</v>
      </c>
      <c r="M31" s="1535">
        <f t="shared" si="28"/>
        <v>6934.8283950000005</v>
      </c>
      <c r="N31" s="1535">
        <f>SUMIF(服装扣款!C:C,C31,服装扣款!N:N)</f>
        <v>0</v>
      </c>
      <c r="O31" s="1536">
        <f t="shared" si="29"/>
        <v>6934.8283950000005</v>
      </c>
      <c r="P31" s="1537">
        <f>SUMIF(超市公积金!C:C,'05月提成-武侯售后'!C31,超市公积金!I:I)</f>
        <v>0</v>
      </c>
      <c r="Q31" s="1535">
        <f>SUMIF(综合考核!A:A,'05月提成-武侯售后'!C31,综合考核!N:N)</f>
        <v>0</v>
      </c>
      <c r="R31" s="1535">
        <f t="shared" si="30"/>
        <v>7866.8283950000005</v>
      </c>
      <c r="S31" s="1535">
        <f t="shared" si="25"/>
        <v>68.180000000000007</v>
      </c>
      <c r="T31" s="1538"/>
      <c r="U31" s="1535">
        <f t="shared" si="31"/>
        <v>68.180000000000007</v>
      </c>
      <c r="V31" s="1535">
        <f>INDEX('05基本'!AF:AF,MATCH(C31,'05基本'!C:C,0))</f>
        <v>0</v>
      </c>
      <c r="W31" s="1535">
        <f t="shared" si="32"/>
        <v>6866.6483950000002</v>
      </c>
      <c r="X31" s="1539"/>
      <c r="Y31" s="1540">
        <f t="shared" si="33"/>
        <v>441.89570500000002</v>
      </c>
      <c r="Z31" s="1541">
        <f>INDEX('05月业务提成'!C:C,MATCH(C31,'05月业务提成'!B:B,0))*1</f>
        <v>235</v>
      </c>
      <c r="AA31" s="1542">
        <f>INDEX('05月业务提成'!F:F,MATCH(C31,'05月业务提成'!B:B,0))*0.05*2%+INDEX('05月业务提成'!J:J,MATCH(C31,'05月业务提成'!B:B,0))*0.05*1.6%+(INDEX('05月业务提成'!P:P,MATCH(C31,'05月业务提成'!B:B,0))/0.95)*0.05++(INDEX('05月业务提成'!V:V,MATCH(C31,'05月业务提成'!B:B,0))/0.95)*0.05+(INDEX('05月业务提成'!Z:Z,MATCH(C31,'05月业务提成'!B:B,0))/0.95)*0.05</f>
        <v>206.89570499999999</v>
      </c>
      <c r="AB31" s="1519" t="s">
        <v>68</v>
      </c>
      <c r="AC31" s="291">
        <v>66.88</v>
      </c>
      <c r="AD31" s="1518">
        <f t="shared" si="24"/>
        <v>1</v>
      </c>
      <c r="AE31" s="1530">
        <f>INDEX('05基本'!P:P,MATCH(C31,'05基本'!C:C,0))-I31</f>
        <v>0</v>
      </c>
      <c r="AF31" s="1529">
        <f>SUMIF('05月其他部门提成'!C:C,'05月提成-武侯售后'!C31,'05月其他部门提成'!Q:Q)</f>
        <v>0</v>
      </c>
      <c r="AG31" s="1544">
        <f>SUMIF('05月车间提成'!C:C,'05月提成-武侯售后'!C31,'05月车间提成'!W:W)</f>
        <v>0</v>
      </c>
      <c r="AH31" s="1530">
        <f>SUMIF('05月业务提成'!B:B,'05月提成-武侯售后'!C31,'05月业务提成'!BO:BO)</f>
        <v>6934.8283950000005</v>
      </c>
      <c r="AI31" s="1530">
        <f t="shared" si="34"/>
        <v>6934.8283950000005</v>
      </c>
      <c r="AJ31" s="1530">
        <f t="shared" si="35"/>
        <v>0</v>
      </c>
      <c r="AK31"/>
      <c r="AL31"/>
      <c r="AM31"/>
      <c r="AN31"/>
      <c r="AO31"/>
    </row>
    <row r="32" spans="1:41" s="1607" customFormat="1" ht="14.1" customHeight="1">
      <c r="A32" s="1531">
        <f t="shared" si="27"/>
        <v>24</v>
      </c>
      <c r="B32" s="1661"/>
      <c r="C32" s="1507" t="s">
        <v>65</v>
      </c>
      <c r="D32" s="1533">
        <f>INDEX('05基本'!I:I,MATCH(C32,'05基本'!C:C,0))+INDEX('05基本'!J:J,MATCH(C32,'05基本'!C:C,0))</f>
        <v>32</v>
      </c>
      <c r="E32" s="1534">
        <f>INDEX('05基本'!AA:AA,MATCH(C32,'05基本'!C:C,0))</f>
        <v>1268.5899999999999</v>
      </c>
      <c r="F32" s="1534">
        <f>INDEX('05基本'!AB:AB,MATCH(C32,'05基本'!C:C,0))</f>
        <v>477.15</v>
      </c>
      <c r="G32" s="1534">
        <f>INDEX('05基本'!AC:AC,MATCH(C32,'05基本'!C:C,0))</f>
        <v>117</v>
      </c>
      <c r="H32" s="1534">
        <f>INDEX('05基本'!K:K,MATCH(C32,'05基本'!C:C,0))+INDEX('05基本'!L:L,MATCH(C32,'05基本'!C:C,0))</f>
        <v>0</v>
      </c>
      <c r="I32" s="1534">
        <f>INDEX('05基本'!P:P,MATCH(C32,'05基本'!C:C,0))</f>
        <v>932</v>
      </c>
      <c r="J32" s="1534">
        <f>INDEX('05基本'!M:M,MATCH(C32,'05基本'!C:C,0))</f>
        <v>0</v>
      </c>
      <c r="K32" s="1533">
        <f>INDEX('05月业务提成'!BO:BO,MATCH(C32,'05月业务提成'!B:B,0))</f>
        <v>5785.5860775000001</v>
      </c>
      <c r="L32" s="1533">
        <f>SUMIF(综合考核!A:A,'05月提成-武侯售后'!C32,综合考核!M:M)</f>
        <v>0</v>
      </c>
      <c r="M32" s="1535">
        <f t="shared" si="28"/>
        <v>5785.5860775000001</v>
      </c>
      <c r="N32" s="1535">
        <f>SUMIF(服装扣款!C:C,C32,服装扣款!N:N)</f>
        <v>0</v>
      </c>
      <c r="O32" s="1536">
        <f t="shared" si="29"/>
        <v>5785.5860775000001</v>
      </c>
      <c r="P32" s="1537">
        <f>SUMIF(超市公积金!C:C,'05月提成-武侯售后'!C32,超市公积金!I:I)</f>
        <v>0</v>
      </c>
      <c r="Q32" s="1535">
        <f>SUMIF(综合考核!A:A,'05月提成-武侯售后'!C32,综合考核!N:N)</f>
        <v>0</v>
      </c>
      <c r="R32" s="1535">
        <f t="shared" si="30"/>
        <v>6717.5860775000001</v>
      </c>
      <c r="S32" s="1535">
        <f t="shared" si="25"/>
        <v>33.700000000000003</v>
      </c>
      <c r="T32" s="1538"/>
      <c r="U32" s="1535">
        <f t="shared" si="31"/>
        <v>33.700000000000003</v>
      </c>
      <c r="V32" s="1535">
        <f>INDEX('05基本'!AF:AF,MATCH(C32,'05基本'!C:C,0))</f>
        <v>0</v>
      </c>
      <c r="W32" s="1535">
        <f t="shared" si="32"/>
        <v>5751.8860775000003</v>
      </c>
      <c r="X32" s="1539"/>
      <c r="Y32" s="1540">
        <f t="shared" si="33"/>
        <v>385.18137250000001</v>
      </c>
      <c r="Z32" s="1541">
        <f>INDEX('05月业务提成'!C:C,MATCH(C32,'05月业务提成'!B:B,0))*1</f>
        <v>219</v>
      </c>
      <c r="AA32" s="1542">
        <f>INDEX('05月业务提成'!F:F,MATCH(C32,'05月业务提成'!B:B,0))*0.05*2%+INDEX('05月业务提成'!J:J,MATCH(C32,'05月业务提成'!B:B,0))*0.05*1.6%+(INDEX('05月业务提成'!P:P,MATCH(C32,'05月业务提成'!B:B,0))/0.95)*0.05++(INDEX('05月业务提成'!V:V,MATCH(C32,'05月业务提成'!B:B,0))/0.95)*0.05+(INDEX('05月业务提成'!Z:Z,MATCH(C32,'05月业务提成'!B:B,0))/0.95)*0.05</f>
        <v>166.18137250000001</v>
      </c>
      <c r="AB32" s="1519" t="s">
        <v>69</v>
      </c>
      <c r="AC32" s="291">
        <v>125.15</v>
      </c>
      <c r="AD32" s="1518">
        <f t="shared" si="24"/>
        <v>1</v>
      </c>
      <c r="AE32" s="1530">
        <f>INDEX('05基本'!P:P,MATCH(C32,'05基本'!C:C,0))-I32</f>
        <v>0</v>
      </c>
      <c r="AF32" s="1529">
        <f>SUMIF('05月其他部门提成'!C:C,'05月提成-武侯售后'!C32,'05月其他部门提成'!Q:Q)</f>
        <v>0</v>
      </c>
      <c r="AG32" s="1544">
        <f>SUMIF('05月车间提成'!C:C,'05月提成-武侯售后'!C32,'05月车间提成'!W:W)</f>
        <v>0</v>
      </c>
      <c r="AH32" s="1530">
        <f>SUMIF('05月业务提成'!B:B,'05月提成-武侯售后'!C32,'05月业务提成'!BO:BO)</f>
        <v>5785.5860775000001</v>
      </c>
      <c r="AI32" s="1530">
        <f t="shared" si="34"/>
        <v>5785.5860775000001</v>
      </c>
      <c r="AJ32" s="1530">
        <f t="shared" si="35"/>
        <v>0</v>
      </c>
      <c r="AK32"/>
      <c r="AL32"/>
      <c r="AM32"/>
      <c r="AN32"/>
      <c r="AO32"/>
    </row>
    <row r="33" spans="1:41" s="1607" customFormat="1" ht="14.1" customHeight="1">
      <c r="A33" s="1531">
        <f t="shared" si="27"/>
        <v>25</v>
      </c>
      <c r="B33" s="1661"/>
      <c r="C33" s="1507" t="s">
        <v>66</v>
      </c>
      <c r="D33" s="1533">
        <f>INDEX('05基本'!I:I,MATCH(C33,'05基本'!C:C,0))+INDEX('05基本'!J:J,MATCH(C33,'05基本'!C:C,0))</f>
        <v>32</v>
      </c>
      <c r="E33" s="1534">
        <f>INDEX('05基本'!AA:AA,MATCH(C33,'05基本'!C:C,0))</f>
        <v>1268.5899999999999</v>
      </c>
      <c r="F33" s="1534">
        <f>INDEX('05基本'!AB:AB,MATCH(C33,'05基本'!C:C,0))</f>
        <v>477.15</v>
      </c>
      <c r="G33" s="1534">
        <f>INDEX('05基本'!AC:AC,MATCH(C33,'05基本'!C:C,0))</f>
        <v>117</v>
      </c>
      <c r="H33" s="1534">
        <f>INDEX('05基本'!K:K,MATCH(C33,'05基本'!C:C,0))+INDEX('05基本'!L:L,MATCH(C33,'05基本'!C:C,0))</f>
        <v>0</v>
      </c>
      <c r="I33" s="1534">
        <f>INDEX('05基本'!P:P,MATCH(C33,'05基本'!C:C,0))</f>
        <v>932</v>
      </c>
      <c r="J33" s="1534">
        <f>INDEX('05基本'!M:M,MATCH(C33,'05基本'!C:C,0))</f>
        <v>0</v>
      </c>
      <c r="K33" s="1533">
        <f>INDEX('05月业务提成'!BO:BO,MATCH(C33,'05月业务提成'!B:B,0))</f>
        <v>8400.5975225000002</v>
      </c>
      <c r="L33" s="1533">
        <f>SUMIF(综合考核!A:A,'05月提成-武侯售后'!C33,综合考核!M:M)</f>
        <v>0</v>
      </c>
      <c r="M33" s="1535">
        <f t="shared" si="28"/>
        <v>8400.5975225000002</v>
      </c>
      <c r="N33" s="1535">
        <f>SUMIF(服装扣款!C:C,C33,服装扣款!N:N)</f>
        <v>0</v>
      </c>
      <c r="O33" s="1536">
        <f t="shared" si="29"/>
        <v>8400.5975225000002</v>
      </c>
      <c r="P33" s="1537">
        <f>SUMIF(超市公积金!C:C,'05月提成-武侯售后'!C33,超市公积金!I:I)</f>
        <v>0</v>
      </c>
      <c r="Q33" s="1535">
        <f>SUMIF(综合考核!A:A,'05月提成-武侯售后'!C33,综合考核!N:N)</f>
        <v>0</v>
      </c>
      <c r="R33" s="1535">
        <f t="shared" si="30"/>
        <v>9332.5975225000002</v>
      </c>
      <c r="S33" s="1535">
        <f t="shared" si="25"/>
        <v>22.15</v>
      </c>
      <c r="T33" s="1538"/>
      <c r="U33" s="1535">
        <f t="shared" si="31"/>
        <v>22.15</v>
      </c>
      <c r="V33" s="1535">
        <f>INDEX('05基本'!AF:AF,MATCH(C33,'05基本'!C:C,0))</f>
        <v>0</v>
      </c>
      <c r="W33" s="1535">
        <f t="shared" si="32"/>
        <v>8378.4475225000006</v>
      </c>
      <c r="X33" s="1539"/>
      <c r="Y33" s="1540">
        <f t="shared" si="33"/>
        <v>509.2830275</v>
      </c>
      <c r="Z33" s="1541">
        <f>INDEX('05月业务提成'!C:C,MATCH(C33,'05月业务提成'!B:B,0))*1</f>
        <v>292</v>
      </c>
      <c r="AA33" s="1542">
        <f>INDEX('05月业务提成'!F:F,MATCH(C33,'05月业务提成'!B:B,0))*0.05*2%+INDEX('05月业务提成'!J:J,MATCH(C33,'05月业务提成'!B:B,0))*0.05*1.6%+(INDEX('05月业务提成'!P:P,MATCH(C33,'05月业务提成'!B:B,0))/0.95)*0.05++(INDEX('05月业务提成'!V:V,MATCH(C33,'05月业务提成'!B:B,0))/0.95)*0.05+(INDEX('05月业务提成'!Z:Z,MATCH(C33,'05月业务提成'!B:B,0))/0.95)*0.05</f>
        <v>217.2830275</v>
      </c>
      <c r="AB33" s="1519" t="s">
        <v>70</v>
      </c>
      <c r="AC33" s="291">
        <v>0</v>
      </c>
      <c r="AD33" s="1518">
        <f t="shared" si="24"/>
        <v>1</v>
      </c>
      <c r="AE33" s="1530">
        <f>INDEX('05基本'!P:P,MATCH(C33,'05基本'!C:C,0))-I33</f>
        <v>0</v>
      </c>
      <c r="AF33" s="1529">
        <f>SUMIF('05月其他部门提成'!C:C,'05月提成-武侯售后'!C33,'05月其他部门提成'!Q:Q)</f>
        <v>0</v>
      </c>
      <c r="AG33" s="1544">
        <f>SUMIF('05月车间提成'!C:C,'05月提成-武侯售后'!C33,'05月车间提成'!W:W)</f>
        <v>0</v>
      </c>
      <c r="AH33" s="1530">
        <f>SUMIF('05月业务提成'!B:B,'05月提成-武侯售后'!C33,'05月业务提成'!BO:BO)</f>
        <v>8400.5975225000002</v>
      </c>
      <c r="AI33" s="1530">
        <f t="shared" si="34"/>
        <v>8400.5975225000002</v>
      </c>
      <c r="AJ33" s="1530">
        <f t="shared" si="35"/>
        <v>0</v>
      </c>
      <c r="AK33"/>
      <c r="AL33"/>
      <c r="AM33"/>
      <c r="AN33"/>
      <c r="AO33"/>
    </row>
    <row r="34" spans="1:41" s="1518" customFormat="1" ht="14.1" customHeight="1">
      <c r="A34" s="1531">
        <f t="shared" si="27"/>
        <v>26</v>
      </c>
      <c r="B34" s="1661"/>
      <c r="C34" s="1507" t="s">
        <v>67</v>
      </c>
      <c r="D34" s="1533">
        <f>INDEX('05基本'!I:I,MATCH(C34,'05基本'!C:C,0))+INDEX('05基本'!J:J,MATCH(C34,'05基本'!C:C,0))</f>
        <v>0</v>
      </c>
      <c r="E34" s="1534">
        <f>INDEX('05基本'!AA:AA,MATCH(C34,'05基本'!C:C,0))</f>
        <v>1268.5899999999999</v>
      </c>
      <c r="F34" s="1534">
        <f>INDEX('05基本'!AB:AB,MATCH(C34,'05基本'!C:C,0))</f>
        <v>477.15</v>
      </c>
      <c r="G34" s="1534">
        <f>INDEX('05基本'!AC:AC,MATCH(C34,'05基本'!C:C,0))</f>
        <v>117</v>
      </c>
      <c r="H34" s="1534">
        <f>INDEX('05基本'!K:K,MATCH(C34,'05基本'!C:C,0))+INDEX('05基本'!L:L,MATCH(C34,'05基本'!C:C,0))</f>
        <v>0</v>
      </c>
      <c r="I34" s="1534">
        <f>INDEX('05基本'!P:P,MATCH(C34,'05基本'!C:C,0))</f>
        <v>900</v>
      </c>
      <c r="J34" s="1534">
        <f>INDEX('05基本'!M:M,MATCH(C34,'05基本'!C:C,0))</f>
        <v>0</v>
      </c>
      <c r="K34" s="1533">
        <f>INDEX('05月业务提成'!BO:BO,MATCH(C34,'05月业务提成'!B:B,0))</f>
        <v>6015.3248590000003</v>
      </c>
      <c r="L34" s="1533">
        <f>SUMIF(综合考核!A:A,'05月提成-武侯售后'!C34,综合考核!M:M)</f>
        <v>350</v>
      </c>
      <c r="M34" s="1535">
        <f t="shared" si="28"/>
        <v>6365.3248590000003</v>
      </c>
      <c r="N34" s="1535">
        <f>SUMIF(服装扣款!C:C,C34,服装扣款!N:N)</f>
        <v>0</v>
      </c>
      <c r="O34" s="1536">
        <f t="shared" si="29"/>
        <v>6365.3248590000003</v>
      </c>
      <c r="P34" s="1537">
        <f>SUMIF(超市公积金!C:C,'05月提成-武侯售后'!C34,超市公积金!I:I)</f>
        <v>0</v>
      </c>
      <c r="Q34" s="1535">
        <f>SUMIF(综合考核!A:A,'05月提成-武侯售后'!C34,综合考核!N:N)</f>
        <v>0</v>
      </c>
      <c r="R34" s="1535">
        <f t="shared" si="30"/>
        <v>7265.3248590000003</v>
      </c>
      <c r="S34" s="1535">
        <f t="shared" si="25"/>
        <v>50.13</v>
      </c>
      <c r="T34" s="1538"/>
      <c r="U34" s="1535">
        <f t="shared" si="31"/>
        <v>50.13</v>
      </c>
      <c r="V34" s="1535">
        <f>INDEX('05基本'!AF:AF,MATCH(C34,'05基本'!C:C,0))</f>
        <v>0</v>
      </c>
      <c r="W34" s="1535">
        <f t="shared" si="32"/>
        <v>6315.1948590000002</v>
      </c>
      <c r="X34" s="1539"/>
      <c r="Y34" s="1540">
        <f t="shared" si="33"/>
        <v>409.12236100000001</v>
      </c>
      <c r="Z34" s="1541">
        <f>INDEX('05月业务提成'!C:C,MATCH(C34,'05月业务提成'!B:B,0))*1</f>
        <v>78</v>
      </c>
      <c r="AA34" s="1542">
        <f>INDEX('05月业务提成'!F:F,MATCH(C34,'05月业务提成'!B:B,0))*0.05*2%+INDEX('05月业务提成'!J:J,MATCH(C34,'05月业务提成'!B:B,0))*0.05*1.6%+(INDEX('05月业务提成'!P:P,MATCH(C34,'05月业务提成'!B:B,0))/0.95)*0.05++(INDEX('05月业务提成'!V:V,MATCH(C34,'05月业务提成'!B:B,0))/0.95)*0.05+(INDEX('05月业务提成'!Z:Z,MATCH(C34,'05月业务提成'!B:B,0))/0.95)*0.05</f>
        <v>331.12236100000001</v>
      </c>
      <c r="AB34" s="1519" t="s">
        <v>71</v>
      </c>
      <c r="AC34" s="291">
        <v>1024.74</v>
      </c>
      <c r="AD34" s="1518">
        <f t="shared" si="24"/>
        <v>1</v>
      </c>
      <c r="AE34" s="1530">
        <f>INDEX('05基本'!P:P,MATCH(C34,'05基本'!C:C,0))-I34</f>
        <v>0</v>
      </c>
      <c r="AF34" s="1529">
        <f>SUMIF('05月其他部门提成'!C:C,'05月提成-武侯售后'!C34,'05月其他部门提成'!Q:Q)</f>
        <v>0</v>
      </c>
      <c r="AG34" s="1544">
        <f>SUMIF('05月车间提成'!C:C,'05月提成-武侯售后'!C34,'05月车间提成'!W:W)</f>
        <v>0</v>
      </c>
      <c r="AH34" s="1530">
        <f>SUMIF('05月业务提成'!B:B,'05月提成-武侯售后'!C34,'05月业务提成'!BO:BO)</f>
        <v>6015.3248590000003</v>
      </c>
      <c r="AI34" s="1530">
        <f t="shared" si="34"/>
        <v>6015.3248590000003</v>
      </c>
      <c r="AJ34" s="1530">
        <f t="shared" si="35"/>
        <v>0</v>
      </c>
      <c r="AK34"/>
      <c r="AL34"/>
      <c r="AM34"/>
      <c r="AN34"/>
      <c r="AO34"/>
    </row>
    <row r="35" spans="1:41" s="1518" customFormat="1" ht="14.1" customHeight="1">
      <c r="A35" s="1531">
        <f t="shared" si="27"/>
        <v>27</v>
      </c>
      <c r="B35" s="1661"/>
      <c r="C35" s="1507" t="s">
        <v>68</v>
      </c>
      <c r="D35" s="1533">
        <f>INDEX('05基本'!I:I,MATCH(C35,'05基本'!C:C,0))+INDEX('05基本'!J:J,MATCH(C35,'05基本'!C:C,0))</f>
        <v>32</v>
      </c>
      <c r="E35" s="1534">
        <f>INDEX('05基本'!AA:AA,MATCH(C35,'05基本'!C:C,0))</f>
        <v>1268.5899999999999</v>
      </c>
      <c r="F35" s="1534">
        <f>INDEX('05基本'!AB:AB,MATCH(C35,'05基本'!C:C,0))</f>
        <v>477.15</v>
      </c>
      <c r="G35" s="1534">
        <f>INDEX('05基本'!AC:AC,MATCH(C35,'05基本'!C:C,0))</f>
        <v>117</v>
      </c>
      <c r="H35" s="1534">
        <f>INDEX('05基本'!K:K,MATCH(C35,'05基本'!C:C,0))+INDEX('05基本'!L:L,MATCH(C35,'05基本'!C:C,0))</f>
        <v>0</v>
      </c>
      <c r="I35" s="1534">
        <f>INDEX('05基本'!P:P,MATCH(C35,'05基本'!C:C,0))</f>
        <v>932</v>
      </c>
      <c r="J35" s="1534">
        <f>INDEX('05基本'!M:M,MATCH(C35,'05基本'!C:C,0))</f>
        <v>0</v>
      </c>
      <c r="K35" s="1533">
        <f>INDEX('05月业务提成'!BO:BO,MATCH(C35,'05月业务提成'!B:B,0))</f>
        <v>6591.5185149999998</v>
      </c>
      <c r="L35" s="1533">
        <f>SUMIF(综合考核!A:A,'05月提成-武侯售后'!C35,综合考核!M:M)</f>
        <v>0</v>
      </c>
      <c r="M35" s="1535">
        <f t="shared" si="28"/>
        <v>6591.5185149999998</v>
      </c>
      <c r="N35" s="1535">
        <f>SUMIF(服装扣款!C:C,C35,服装扣款!N:N)</f>
        <v>0</v>
      </c>
      <c r="O35" s="1536">
        <f t="shared" si="29"/>
        <v>6591.5185149999998</v>
      </c>
      <c r="P35" s="1537">
        <f>SUMIF(超市公积金!C:C,'05月提成-武侯售后'!C35,超市公积金!I:I)</f>
        <v>0</v>
      </c>
      <c r="Q35" s="1535">
        <f>SUMIF(综合考核!A:A,'05月提成-武侯售后'!C35,综合考核!N:N)</f>
        <v>300</v>
      </c>
      <c r="R35" s="1535">
        <f t="shared" si="30"/>
        <v>7823.5185149999998</v>
      </c>
      <c r="S35" s="1535">
        <f t="shared" si="25"/>
        <v>66.88</v>
      </c>
      <c r="T35" s="1538"/>
      <c r="U35" s="1535">
        <f t="shared" si="31"/>
        <v>66.88</v>
      </c>
      <c r="V35" s="1535">
        <f>INDEX('05基本'!AF:AF,MATCH(C35,'05基本'!C:C,0))</f>
        <v>0</v>
      </c>
      <c r="W35" s="1535">
        <f t="shared" si="32"/>
        <v>6524.6385149999996</v>
      </c>
      <c r="X35" s="1539"/>
      <c r="Y35" s="1540">
        <f t="shared" si="33"/>
        <v>439.35518500000001</v>
      </c>
      <c r="Z35" s="1541">
        <f>INDEX('05月业务提成'!C:C,MATCH(C35,'05月业务提成'!B:B,0))*1</f>
        <v>250</v>
      </c>
      <c r="AA35" s="1542">
        <f>INDEX('05月业务提成'!F:F,MATCH(C35,'05月业务提成'!B:B,0))*0.05*2%+INDEX('05月业务提成'!J:J,MATCH(C35,'05月业务提成'!B:B,0))*0.05*1.6%+(INDEX('05月业务提成'!P:P,MATCH(C35,'05月业务提成'!B:B,0))/0.95)*0.05++(INDEX('05月业务提成'!V:V,MATCH(C35,'05月业务提成'!B:B,0))/0.95)*0.05+(INDEX('05月业务提成'!Z:Z,MATCH(C35,'05月业务提成'!B:B,0))/0.95)*0.05</f>
        <v>189.35518500000001</v>
      </c>
      <c r="AB35" s="1519" t="s">
        <v>72</v>
      </c>
      <c r="AC35" s="291">
        <v>55.55</v>
      </c>
      <c r="AD35" s="1518">
        <f t="shared" si="24"/>
        <v>1</v>
      </c>
      <c r="AE35" s="1530">
        <f>INDEX('05基本'!P:P,MATCH(C35,'05基本'!C:C,0))-I35</f>
        <v>0</v>
      </c>
      <c r="AF35" s="1529">
        <f>SUMIF('05月其他部门提成'!C:C,'05月提成-武侯售后'!C35,'05月其他部门提成'!Q:Q)</f>
        <v>0</v>
      </c>
      <c r="AG35" s="1544">
        <f>SUMIF('05月车间提成'!C:C,'05月提成-武侯售后'!C35,'05月车间提成'!W:W)</f>
        <v>0</v>
      </c>
      <c r="AH35" s="1530">
        <f>SUMIF('05月业务提成'!B:B,'05月提成-武侯售后'!C35,'05月业务提成'!BO:BO)</f>
        <v>6591.5185149999998</v>
      </c>
      <c r="AI35" s="1530">
        <f t="shared" si="34"/>
        <v>6591.5185149999998</v>
      </c>
      <c r="AJ35" s="1530">
        <f t="shared" si="35"/>
        <v>0</v>
      </c>
      <c r="AK35"/>
      <c r="AL35"/>
      <c r="AM35"/>
      <c r="AN35"/>
      <c r="AO35"/>
    </row>
    <row r="36" spans="1:41" s="1518" customFormat="1" ht="14.1" customHeight="1">
      <c r="A36" s="1531">
        <f t="shared" si="27"/>
        <v>28</v>
      </c>
      <c r="B36" s="1661"/>
      <c r="C36" s="1507" t="s">
        <v>69</v>
      </c>
      <c r="D36" s="1533">
        <f>INDEX('05基本'!I:I,MATCH(C36,'05基本'!C:C,0))+INDEX('05基本'!J:J,MATCH(C36,'05基本'!C:C,0))</f>
        <v>24</v>
      </c>
      <c r="E36" s="1534">
        <f>INDEX('05基本'!AA:AA,MATCH(C36,'05基本'!C:C,0))</f>
        <v>1268.5899999999999</v>
      </c>
      <c r="F36" s="1534">
        <f>INDEX('05基本'!AB:AB,MATCH(C36,'05基本'!C:C,0))</f>
        <v>477.15</v>
      </c>
      <c r="G36" s="1534">
        <f>INDEX('05基本'!AC:AC,MATCH(C36,'05基本'!C:C,0))</f>
        <v>117</v>
      </c>
      <c r="H36" s="1534">
        <f>INDEX('05基本'!K:K,MATCH(C36,'05基本'!C:C,0))+INDEX('05基本'!L:L,MATCH(C36,'05基本'!C:C,0))</f>
        <v>0</v>
      </c>
      <c r="I36" s="1534">
        <f>INDEX('05基本'!P:P,MATCH(C36,'05基本'!C:C,0))</f>
        <v>924</v>
      </c>
      <c r="J36" s="1534">
        <f>INDEX('05基本'!M:M,MATCH(C36,'05基本'!C:C,0))</f>
        <v>0</v>
      </c>
      <c r="K36" s="1533">
        <f>INDEX('05月业务提成'!BO:BO,MATCH(C36,'05月业务提成'!B:B,0))</f>
        <v>8841.9309224999997</v>
      </c>
      <c r="L36" s="1533">
        <f>SUMIF(综合考核!A:A,'05月提成-武侯售后'!C36,综合考核!M:M)</f>
        <v>0</v>
      </c>
      <c r="M36" s="1535">
        <f t="shared" si="28"/>
        <v>8841.9309224999997</v>
      </c>
      <c r="N36" s="1535">
        <f>SUMIF(服装扣款!C:C,C36,服装扣款!N:N)</f>
        <v>0</v>
      </c>
      <c r="O36" s="1536">
        <f t="shared" si="29"/>
        <v>8841.9309224999997</v>
      </c>
      <c r="P36" s="1537">
        <f>SUMIF(超市公积金!C:C,'05月提成-武侯售后'!C36,超市公积金!I:I)</f>
        <v>0</v>
      </c>
      <c r="Q36" s="1535">
        <f>SUMIF(综合考核!A:A,'05月提成-武侯售后'!C36,综合考核!N:N)</f>
        <v>0</v>
      </c>
      <c r="R36" s="1535">
        <f t="shared" si="30"/>
        <v>9765.9309224999997</v>
      </c>
      <c r="S36" s="1535">
        <f t="shared" si="25"/>
        <v>125.15</v>
      </c>
      <c r="T36" s="1538"/>
      <c r="U36" s="1535">
        <f t="shared" si="31"/>
        <v>125.15</v>
      </c>
      <c r="V36" s="1535">
        <f>INDEX('05基本'!AF:AF,MATCH(C36,'05基本'!C:C,0))</f>
        <v>0</v>
      </c>
      <c r="W36" s="1535">
        <f t="shared" si="32"/>
        <v>8716.7809225000001</v>
      </c>
      <c r="X36" s="1539"/>
      <c r="Y36" s="1540">
        <f t="shared" si="33"/>
        <v>577.93162749999999</v>
      </c>
      <c r="Z36" s="1541">
        <f>INDEX('05月业务提成'!C:C,MATCH(C36,'05月业务提成'!B:B,0))*1</f>
        <v>319</v>
      </c>
      <c r="AA36" s="1542">
        <f>INDEX('05月业务提成'!F:F,MATCH(C36,'05月业务提成'!B:B,0))*0.05*2%+INDEX('05月业务提成'!J:J,MATCH(C36,'05月业务提成'!B:B,0))*0.05*1.6%+(INDEX('05月业务提成'!P:P,MATCH(C36,'05月业务提成'!B:B,0))/0.95)*0.05++(INDEX('05月业务提成'!V:V,MATCH(C36,'05月业务提成'!B:B,0))/0.95)*0.05+(INDEX('05月业务提成'!Z:Z,MATCH(C36,'05月业务提成'!B:B,0))/0.95)*0.05</f>
        <v>258.93162749999999</v>
      </c>
      <c r="AB36" s="1519" t="s">
        <v>73</v>
      </c>
      <c r="AC36" s="291">
        <v>145.59</v>
      </c>
      <c r="AD36" s="1518">
        <f t="shared" si="24"/>
        <v>1</v>
      </c>
      <c r="AE36" s="1530">
        <f>INDEX('05基本'!P:P,MATCH(C36,'05基本'!C:C,0))-I36</f>
        <v>0</v>
      </c>
      <c r="AF36" s="1529">
        <f>SUMIF('05月其他部门提成'!C:C,'05月提成-武侯售后'!C36,'05月其他部门提成'!Q:Q)</f>
        <v>0</v>
      </c>
      <c r="AG36" s="1544">
        <f>SUMIF('05月车间提成'!C:C,'05月提成-武侯售后'!C36,'05月车间提成'!W:W)</f>
        <v>0</v>
      </c>
      <c r="AH36" s="1530">
        <f>SUMIF('05月业务提成'!B:B,'05月提成-武侯售后'!C36,'05月业务提成'!BO:BO)</f>
        <v>8841.9309224999997</v>
      </c>
      <c r="AI36" s="1530">
        <f t="shared" si="34"/>
        <v>8841.9309224999997</v>
      </c>
      <c r="AJ36" s="1530">
        <f t="shared" si="35"/>
        <v>0</v>
      </c>
      <c r="AK36"/>
      <c r="AL36"/>
      <c r="AM36"/>
      <c r="AN36"/>
      <c r="AO36"/>
    </row>
    <row r="37" spans="1:41" s="1518" customFormat="1" ht="14.1" customHeight="1">
      <c r="A37" s="1531">
        <f t="shared" si="27"/>
        <v>29</v>
      </c>
      <c r="B37" s="1661"/>
      <c r="C37" s="1507" t="s">
        <v>70</v>
      </c>
      <c r="D37" s="1533">
        <f>INDEX('05基本'!I:I,MATCH(C37,'05基本'!C:C,0))+INDEX('05基本'!J:J,MATCH(C37,'05基本'!C:C,0))</f>
        <v>0</v>
      </c>
      <c r="E37" s="1534">
        <f>INDEX('05基本'!AA:AA,MATCH(C37,'05基本'!C:C,0))</f>
        <v>1268.5899999999999</v>
      </c>
      <c r="F37" s="1534">
        <f>INDEX('05基本'!AB:AB,MATCH(C37,'05基本'!C:C,0))</f>
        <v>477.15</v>
      </c>
      <c r="G37" s="1534">
        <f>INDEX('05基本'!AC:AC,MATCH(C37,'05基本'!C:C,0))</f>
        <v>117</v>
      </c>
      <c r="H37" s="1534">
        <f>INDEX('05基本'!K:K,MATCH(C37,'05基本'!C:C,0))+INDEX('05基本'!L:L,MATCH(C37,'05基本'!C:C,0))</f>
        <v>0</v>
      </c>
      <c r="I37" s="1534">
        <f>INDEX('05基本'!P:P,MATCH(C37,'05基本'!C:C,0))</f>
        <v>900</v>
      </c>
      <c r="J37" s="1534">
        <f>INDEX('05基本'!M:M,MATCH(C37,'05基本'!C:C,0))</f>
        <v>0</v>
      </c>
      <c r="K37" s="1533">
        <f>INDEX('05月业务提成'!BO:BO,MATCH(C37,'05月业务提成'!B:B,0))</f>
        <v>3393.3366350000001</v>
      </c>
      <c r="L37" s="1533">
        <f>SUMIF(综合考核!A:A,'05月提成-武侯售后'!C37,综合考核!M:M)</f>
        <v>190</v>
      </c>
      <c r="M37" s="1535">
        <f t="shared" si="28"/>
        <v>3583.3366350000001</v>
      </c>
      <c r="N37" s="1535">
        <f>SUMIF(服装扣款!C:C,C37,服装扣款!N:N)</f>
        <v>0</v>
      </c>
      <c r="O37" s="1536">
        <f t="shared" si="29"/>
        <v>3583.3366350000001</v>
      </c>
      <c r="P37" s="1537">
        <f>SUMIF(超市公积金!C:C,'05月提成-武侯售后'!C37,超市公积金!I:I)</f>
        <v>0</v>
      </c>
      <c r="Q37" s="1535">
        <f>SUMIF(综合考核!A:A,'05月提成-武侯售后'!C37,综合考核!N:N)</f>
        <v>0</v>
      </c>
      <c r="R37" s="1535">
        <f t="shared" si="30"/>
        <v>4483.3366349999997</v>
      </c>
      <c r="S37" s="1535">
        <f t="shared" si="25"/>
        <v>0</v>
      </c>
      <c r="T37" s="1538"/>
      <c r="U37" s="1535">
        <f t="shared" si="31"/>
        <v>0</v>
      </c>
      <c r="V37" s="1535">
        <f>INDEX('05基本'!AF:AF,MATCH(C37,'05基本'!C:C,0))</f>
        <v>0</v>
      </c>
      <c r="W37" s="1535">
        <f t="shared" si="32"/>
        <v>3583.3366350000001</v>
      </c>
      <c r="X37" s="1539"/>
      <c r="Y37" s="1540">
        <f t="shared" si="33"/>
        <v>252.596665</v>
      </c>
      <c r="Z37" s="1541">
        <f>INDEX('05月业务提成'!C:C,MATCH(C37,'05月业务提成'!B:B,0))*1</f>
        <v>46</v>
      </c>
      <c r="AA37" s="1542">
        <f>INDEX('05月业务提成'!F:F,MATCH(C37,'05月业务提成'!B:B,0))*0.05*2%+INDEX('05月业务提成'!J:J,MATCH(C37,'05月业务提成'!B:B,0))*0.05*1.6%+(INDEX('05月业务提成'!P:P,MATCH(C37,'05月业务提成'!B:B,0))/0.95)*0.05++(INDEX('05月业务提成'!V:V,MATCH(C37,'05月业务提成'!B:B,0))/0.95)*0.05+(INDEX('05月业务提成'!Z:Z,MATCH(C37,'05月业务提成'!B:B,0))/0.95)*0.05</f>
        <v>206.596665</v>
      </c>
      <c r="AB37" s="1519" t="s">
        <v>74</v>
      </c>
      <c r="AC37" s="291">
        <v>64.78</v>
      </c>
      <c r="AD37" s="1518">
        <f t="shared" si="24"/>
        <v>1</v>
      </c>
      <c r="AE37" s="1530">
        <f>INDEX('05基本'!P:P,MATCH(C37,'05基本'!C:C,0))-I37</f>
        <v>0</v>
      </c>
      <c r="AF37" s="1529">
        <f>SUMIF('05月其他部门提成'!C:C,'05月提成-武侯售后'!C37,'05月其他部门提成'!Q:Q)</f>
        <v>0</v>
      </c>
      <c r="AG37" s="1544">
        <f>SUMIF('05月车间提成'!C:C,'05月提成-武侯售后'!C37,'05月车间提成'!W:W)</f>
        <v>0</v>
      </c>
      <c r="AH37" s="1530">
        <f>SUMIF('05月业务提成'!B:B,'05月提成-武侯售后'!C37,'05月业务提成'!BO:BO)</f>
        <v>3393.3366350000001</v>
      </c>
      <c r="AI37" s="1530">
        <f t="shared" si="34"/>
        <v>3393.3366350000001</v>
      </c>
      <c r="AJ37" s="1530">
        <f t="shared" si="35"/>
        <v>0</v>
      </c>
      <c r="AK37"/>
      <c r="AL37"/>
      <c r="AM37"/>
      <c r="AN37"/>
      <c r="AO37"/>
    </row>
    <row r="38" spans="1:41" s="1518" customFormat="1" ht="14.1" customHeight="1">
      <c r="A38" s="1531">
        <f t="shared" si="27"/>
        <v>30</v>
      </c>
      <c r="B38" s="1661"/>
      <c r="C38" s="1507" t="s">
        <v>71</v>
      </c>
      <c r="D38" s="1533">
        <f>INDEX('05基本'!I:I,MATCH(C38,'05基本'!C:C,0))+INDEX('05基本'!J:J,MATCH(C38,'05基本'!C:C,0))</f>
        <v>0</v>
      </c>
      <c r="E38" s="1534">
        <f>INDEX('05基本'!AA:AA,MATCH(C38,'05基本'!C:C,0))</f>
        <v>1268.5899999999999</v>
      </c>
      <c r="F38" s="1534">
        <f>INDEX('05基本'!AB:AB,MATCH(C38,'05基本'!C:C,0))</f>
        <v>477.15</v>
      </c>
      <c r="G38" s="1534">
        <f>INDEX('05基本'!AC:AC,MATCH(C38,'05基本'!C:C,0))</f>
        <v>117</v>
      </c>
      <c r="H38" s="1534">
        <f>INDEX('05基本'!K:K,MATCH(C38,'05基本'!C:C,0))+INDEX('05基本'!L:L,MATCH(C38,'05基本'!C:C,0))</f>
        <v>0</v>
      </c>
      <c r="I38" s="1534">
        <f>INDEX('05基本'!P:P,MATCH(C38,'05基本'!C:C,0))</f>
        <v>900</v>
      </c>
      <c r="J38" s="1534">
        <f>INDEX('05基本'!M:M,MATCH(C38,'05基本'!C:C,0))</f>
        <v>0</v>
      </c>
      <c r="K38" s="1533">
        <f>INDEX('05月业务提成'!BO:BO,MATCH(C38,'05月业务提成'!B:B,0))</f>
        <v>14651.612402500001</v>
      </c>
      <c r="L38" s="1533">
        <f>SUMIF(综合考核!A:A,'05月提成-武侯售后'!C38,综合考核!M:M)</f>
        <v>290</v>
      </c>
      <c r="M38" s="1535">
        <f t="shared" si="28"/>
        <v>14941.612402500001</v>
      </c>
      <c r="N38" s="1535">
        <f>SUMIF(服装扣款!C:C,C38,服装扣款!N:N)</f>
        <v>0</v>
      </c>
      <c r="O38" s="1536">
        <f t="shared" si="29"/>
        <v>14941.612402500001</v>
      </c>
      <c r="P38" s="1537">
        <f>SUMIF(超市公积金!C:C,'05月提成-武侯售后'!C38,超市公积金!I:I)</f>
        <v>0</v>
      </c>
      <c r="Q38" s="1535">
        <f>SUMIF(综合考核!A:A,'05月提成-武侯售后'!C38,综合考核!N:N)</f>
        <v>0</v>
      </c>
      <c r="R38" s="1535">
        <f t="shared" si="30"/>
        <v>15841.612402500001</v>
      </c>
      <c r="S38" s="1535">
        <f t="shared" si="25"/>
        <v>1024.74</v>
      </c>
      <c r="T38" s="1538"/>
      <c r="U38" s="1535">
        <f t="shared" si="31"/>
        <v>1024.74</v>
      </c>
      <c r="V38" s="1535">
        <f>INDEX('05基本'!AF:AF,MATCH(C38,'05基本'!C:C,0))</f>
        <v>0</v>
      </c>
      <c r="W38" s="1535">
        <f t="shared" si="32"/>
        <v>13916.872402499999</v>
      </c>
      <c r="X38" s="1539"/>
      <c r="Y38" s="1540">
        <f t="shared" si="33"/>
        <v>864.15854750000005</v>
      </c>
      <c r="Z38" s="1541">
        <f>INDEX('05月业务提成'!C:C,MATCH(C38,'05月业务提成'!B:B,0))*1</f>
        <v>83</v>
      </c>
      <c r="AA38" s="1542">
        <f>INDEX('05月业务提成'!F:F,MATCH(C38,'05月业务提成'!B:B,0))*0.05*2%+INDEX('05月业务提成'!J:J,MATCH(C38,'05月业务提成'!B:B,0))*0.05*1.6%+(INDEX('05月业务提成'!P:P,MATCH(C38,'05月业务提成'!B:B,0))/0.95)*0.05++(INDEX('05月业务提成'!V:V,MATCH(C38,'05月业务提成'!B:B,0))/0.95)*0.05+(INDEX('05月业务提成'!Z:Z,MATCH(C38,'05月业务提成'!B:B,0))/0.95)*0.05</f>
        <v>781.15854750000005</v>
      </c>
      <c r="AB38" s="1519" t="s">
        <v>75</v>
      </c>
      <c r="AC38" s="291">
        <v>214.65</v>
      </c>
      <c r="AD38" s="1518">
        <f t="shared" si="24"/>
        <v>1</v>
      </c>
      <c r="AE38" s="1530">
        <f>INDEX('05基本'!P:P,MATCH(C38,'05基本'!C:C,0))-I38</f>
        <v>0</v>
      </c>
      <c r="AF38" s="1529">
        <f>SUMIF('05月其他部门提成'!C:C,'05月提成-武侯售后'!C38,'05月其他部门提成'!Q:Q)</f>
        <v>0</v>
      </c>
      <c r="AG38" s="1544">
        <f>SUMIF('05月车间提成'!C:C,'05月提成-武侯售后'!C38,'05月车间提成'!W:W)</f>
        <v>0</v>
      </c>
      <c r="AH38" s="1530">
        <f>SUMIF('05月业务提成'!B:B,'05月提成-武侯售后'!C38,'05月业务提成'!BO:BO)</f>
        <v>14651.612402500001</v>
      </c>
      <c r="AI38" s="1530">
        <f t="shared" si="34"/>
        <v>14651.612402500001</v>
      </c>
      <c r="AJ38" s="1530">
        <f t="shared" si="35"/>
        <v>0</v>
      </c>
      <c r="AK38"/>
      <c r="AL38"/>
      <c r="AM38"/>
      <c r="AN38"/>
      <c r="AO38"/>
    </row>
    <row r="39" spans="1:41" s="1518" customFormat="1" ht="14.1" customHeight="1">
      <c r="A39" s="1531">
        <f t="shared" si="27"/>
        <v>31</v>
      </c>
      <c r="B39" s="1661"/>
      <c r="C39" s="1507" t="s">
        <v>72</v>
      </c>
      <c r="D39" s="1533">
        <f>INDEX('05基本'!I:I,MATCH(C39,'05基本'!C:C,0))+INDEX('05基本'!J:J,MATCH(C39,'05基本'!C:C,0))</f>
        <v>0</v>
      </c>
      <c r="E39" s="1534">
        <f>INDEX('05基本'!AA:AA,MATCH(C39,'05基本'!C:C,0))</f>
        <v>1268.5899999999999</v>
      </c>
      <c r="F39" s="1534">
        <f>INDEX('05基本'!AB:AB,MATCH(C39,'05基本'!C:C,0))</f>
        <v>477.15</v>
      </c>
      <c r="G39" s="1534">
        <f>INDEX('05基本'!AC:AC,MATCH(C39,'05基本'!C:C,0))</f>
        <v>117</v>
      </c>
      <c r="H39" s="1534">
        <f>INDEX('05基本'!K:K,MATCH(C39,'05基本'!C:C,0))+INDEX('05基本'!L:L,MATCH(C39,'05基本'!C:C,0))</f>
        <v>0</v>
      </c>
      <c r="I39" s="1534">
        <f>INDEX('05基本'!P:P,MATCH(C39,'05基本'!C:C,0))</f>
        <v>900</v>
      </c>
      <c r="J39" s="1534">
        <f>INDEX('05基本'!M:M,MATCH(C39,'05基本'!C:C,0))</f>
        <v>0</v>
      </c>
      <c r="K39" s="1533">
        <f>INDEX('05月业务提成'!BO:BO,MATCH(C39,'05月业务提成'!B:B,0))</f>
        <v>6275.8370500000001</v>
      </c>
      <c r="L39" s="1533">
        <f>SUMIF(综合考核!A:A,'05月提成-武侯售后'!C39,综合考核!M:M)</f>
        <v>270</v>
      </c>
      <c r="M39" s="1535">
        <f t="shared" si="28"/>
        <v>6545.8370500000001</v>
      </c>
      <c r="N39" s="1535">
        <f>SUMIF(服装扣款!C:C,C39,服装扣款!N:N)</f>
        <v>0</v>
      </c>
      <c r="O39" s="1536">
        <f t="shared" si="29"/>
        <v>6545.8370500000001</v>
      </c>
      <c r="P39" s="1537">
        <f>SUMIF(超市公积金!C:C,'05月提成-武侯售后'!C39,超市公积金!I:I)</f>
        <v>0</v>
      </c>
      <c r="Q39" s="1535">
        <f>SUMIF(综合考核!A:A,'05月提成-武侯售后'!C39,综合考核!N:N)</f>
        <v>0</v>
      </c>
      <c r="R39" s="1535">
        <f t="shared" si="30"/>
        <v>7445.8370500000001</v>
      </c>
      <c r="S39" s="1535">
        <f t="shared" si="25"/>
        <v>55.55</v>
      </c>
      <c r="T39" s="1538"/>
      <c r="U39" s="1535">
        <f t="shared" si="31"/>
        <v>55.55</v>
      </c>
      <c r="V39" s="1535">
        <f>INDEX('05基本'!AF:AF,MATCH(C39,'05基本'!C:C,0))</f>
        <v>0</v>
      </c>
      <c r="W39" s="1535">
        <f t="shared" si="32"/>
        <v>6490.2870499999999</v>
      </c>
      <c r="X39" s="1539"/>
      <c r="Y39" s="1540">
        <f t="shared" si="33"/>
        <v>366.20195000000001</v>
      </c>
      <c r="Z39" s="1541">
        <f>INDEX('05月业务提成'!C:C,MATCH(C39,'05月业务提成'!B:B,0))*1</f>
        <v>62</v>
      </c>
      <c r="AA39" s="1542">
        <f>INDEX('05月业务提成'!F:F,MATCH(C39,'05月业务提成'!B:B,0))*0.05*2%+INDEX('05月业务提成'!J:J,MATCH(C39,'05月业务提成'!B:B,0))*0.05*1.6%+(INDEX('05月业务提成'!P:P,MATCH(C39,'05月业务提成'!B:B,0))/0.95)*0.05++(INDEX('05月业务提成'!V:V,MATCH(C39,'05月业务提成'!B:B,0))/0.95)*0.05+(INDEX('05月业务提成'!Z:Z,MATCH(C39,'05月业务提成'!B:B,0))/0.95)*0.05</f>
        <v>304.20195000000001</v>
      </c>
      <c r="AB39" s="1519" t="s">
        <v>76</v>
      </c>
      <c r="AC39" s="291">
        <v>1566.17</v>
      </c>
      <c r="AD39" s="1518">
        <f t="shared" si="24"/>
        <v>1</v>
      </c>
      <c r="AE39" s="1530">
        <f>INDEX('05基本'!P:P,MATCH(C39,'05基本'!C:C,0))-I39</f>
        <v>0</v>
      </c>
      <c r="AF39" s="1529">
        <f>SUMIF('05月其他部门提成'!C:C,'05月提成-武侯售后'!C39,'05月其他部门提成'!Q:Q)</f>
        <v>0</v>
      </c>
      <c r="AG39" s="1544">
        <f>SUMIF('05月车间提成'!C:C,'05月提成-武侯售后'!C39,'05月车间提成'!W:W)</f>
        <v>0</v>
      </c>
      <c r="AH39" s="1530">
        <f>SUMIF('05月业务提成'!B:B,'05月提成-武侯售后'!C39,'05月业务提成'!BO:BO)</f>
        <v>6275.8370500000001</v>
      </c>
      <c r="AI39" s="1530">
        <f t="shared" si="34"/>
        <v>6275.8370500000001</v>
      </c>
      <c r="AJ39" s="1530">
        <f t="shared" si="35"/>
        <v>0</v>
      </c>
      <c r="AK39"/>
      <c r="AL39"/>
      <c r="AM39"/>
      <c r="AN39"/>
      <c r="AO39"/>
    </row>
    <row r="40" spans="1:41" s="1518" customFormat="1" ht="14.1" customHeight="1">
      <c r="A40" s="1531">
        <f t="shared" si="27"/>
        <v>32</v>
      </c>
      <c r="B40" s="1661"/>
      <c r="C40" s="1507" t="s">
        <v>73</v>
      </c>
      <c r="D40" s="1533">
        <f>INDEX('05基本'!I:I,MATCH(C40,'05基本'!C:C,0))+INDEX('05基本'!J:J,MATCH(C40,'05基本'!C:C,0))</f>
        <v>0</v>
      </c>
      <c r="E40" s="1534">
        <f>INDEX('05基本'!AA:AA,MATCH(C40,'05基本'!C:C,0))</f>
        <v>1268.5899999999999</v>
      </c>
      <c r="F40" s="1534">
        <f>INDEX('05基本'!AB:AB,MATCH(C40,'05基本'!C:C,0))</f>
        <v>477.15</v>
      </c>
      <c r="G40" s="1534">
        <f>INDEX('05基本'!AC:AC,MATCH(C40,'05基本'!C:C,0))</f>
        <v>117</v>
      </c>
      <c r="H40" s="1534">
        <f>INDEX('05基本'!K:K,MATCH(C40,'05基本'!C:C,0))+INDEX('05基本'!L:L,MATCH(C40,'05基本'!C:C,0))</f>
        <v>0</v>
      </c>
      <c r="I40" s="1534">
        <f>INDEX('05基本'!P:P,MATCH(C40,'05基本'!C:C,0))</f>
        <v>900</v>
      </c>
      <c r="J40" s="1534">
        <f>INDEX('05基本'!M:M,MATCH(C40,'05基本'!C:C,0))</f>
        <v>0</v>
      </c>
      <c r="K40" s="1533">
        <f>INDEX('05月业务提成'!BO:BO,MATCH(C40,'05月业务提成'!B:B,0))</f>
        <v>9277.3472000000002</v>
      </c>
      <c r="L40" s="1533">
        <f>SUMIF(综合考核!A:A,'05月提成-武侯售后'!C40,综合考核!M:M)</f>
        <v>270</v>
      </c>
      <c r="M40" s="1535">
        <f t="shared" si="28"/>
        <v>9547.3472000000002</v>
      </c>
      <c r="N40" s="1535">
        <f>SUMIF(服装扣款!C:C,C40,服装扣款!N:N)</f>
        <v>0</v>
      </c>
      <c r="O40" s="1536">
        <f t="shared" si="29"/>
        <v>9547.3472000000002</v>
      </c>
      <c r="P40" s="1537">
        <f>SUMIF(超市公积金!C:C,'05月提成-武侯售后'!C40,超市公积金!I:I)</f>
        <v>0</v>
      </c>
      <c r="Q40" s="1535">
        <f>SUMIF(综合考核!A:A,'05月提成-武侯售后'!C40,综合考核!N:N)</f>
        <v>0</v>
      </c>
      <c r="R40" s="1535">
        <f t="shared" si="30"/>
        <v>10447.3472</v>
      </c>
      <c r="S40" s="1535">
        <f t="shared" si="25"/>
        <v>145.59</v>
      </c>
      <c r="T40" s="1538"/>
      <c r="U40" s="1535">
        <f t="shared" si="31"/>
        <v>145.59</v>
      </c>
      <c r="V40" s="1535">
        <f>INDEX('05基本'!AF:AF,MATCH(C40,'05基本'!C:C,0))</f>
        <v>0</v>
      </c>
      <c r="W40" s="1535">
        <f t="shared" si="32"/>
        <v>9401.7572</v>
      </c>
      <c r="X40" s="1539"/>
      <c r="Y40" s="1540">
        <f t="shared" si="33"/>
        <v>591.22879999999998</v>
      </c>
      <c r="Z40" s="1541">
        <f>INDEX('05月业务提成'!C:C,MATCH(C40,'05月业务提成'!B:B,0))*1</f>
        <v>96</v>
      </c>
      <c r="AA40" s="1542">
        <f>INDEX('05月业务提成'!F:F,MATCH(C40,'05月业务提成'!B:B,0))*0.05*2%+INDEX('05月业务提成'!J:J,MATCH(C40,'05月业务提成'!B:B,0))*0.05*1.6%+(INDEX('05月业务提成'!P:P,MATCH(C40,'05月业务提成'!B:B,0))/0.95)*0.05++(INDEX('05月业务提成'!V:V,MATCH(C40,'05月业务提成'!B:B,0))/0.95)*0.05+(INDEX('05月业务提成'!Z:Z,MATCH(C40,'05月业务提成'!B:B,0))/0.95)*0.05</f>
        <v>495.22879999999998</v>
      </c>
      <c r="AB40" s="1519" t="s">
        <v>77</v>
      </c>
      <c r="AC40" s="291">
        <v>188.28</v>
      </c>
      <c r="AD40" s="1518">
        <f t="shared" si="24"/>
        <v>1</v>
      </c>
      <c r="AE40" s="1530">
        <f>INDEX('05基本'!P:P,MATCH(C40,'05基本'!C:C,0))-I40</f>
        <v>0</v>
      </c>
      <c r="AF40" s="1529">
        <f>SUMIF('05月其他部门提成'!C:C,'05月提成-武侯售后'!C40,'05月其他部门提成'!Q:Q)</f>
        <v>0</v>
      </c>
      <c r="AG40" s="1544">
        <f>SUMIF('05月车间提成'!C:C,'05月提成-武侯售后'!C40,'05月车间提成'!W:W)</f>
        <v>0</v>
      </c>
      <c r="AH40" s="1530">
        <f>SUMIF('05月业务提成'!B:B,'05月提成-武侯售后'!C40,'05月业务提成'!BO:BO)</f>
        <v>9277.3472000000002</v>
      </c>
      <c r="AI40" s="1530">
        <f t="shared" si="34"/>
        <v>9277.3472000000002</v>
      </c>
      <c r="AJ40" s="1530">
        <f t="shared" si="35"/>
        <v>0</v>
      </c>
      <c r="AK40"/>
      <c r="AL40"/>
      <c r="AM40"/>
      <c r="AN40"/>
      <c r="AO40"/>
    </row>
    <row r="41" spans="1:41" s="1518" customFormat="1" ht="14.1" customHeight="1">
      <c r="A41" s="1531">
        <f t="shared" si="27"/>
        <v>33</v>
      </c>
      <c r="B41" s="1661"/>
      <c r="C41" s="1507" t="s">
        <v>74</v>
      </c>
      <c r="D41" s="1533">
        <f>INDEX('05基本'!I:I,MATCH(C41,'05基本'!C:C,0))+INDEX('05基本'!J:J,MATCH(C41,'05基本'!C:C,0))</f>
        <v>32</v>
      </c>
      <c r="E41" s="1534">
        <f>INDEX('05基本'!AA:AA,MATCH(C41,'05基本'!C:C,0))</f>
        <v>1268.5899999999999</v>
      </c>
      <c r="F41" s="1534">
        <f>INDEX('05基本'!AB:AB,MATCH(C41,'05基本'!C:C,0))</f>
        <v>477.15</v>
      </c>
      <c r="G41" s="1534">
        <f>INDEX('05基本'!AC:AC,MATCH(C41,'05基本'!C:C,0))</f>
        <v>117</v>
      </c>
      <c r="H41" s="1534">
        <f>INDEX('05基本'!K:K,MATCH(C41,'05基本'!C:C,0))+INDEX('05基本'!L:L,MATCH(C41,'05基本'!C:C,0))</f>
        <v>0</v>
      </c>
      <c r="I41" s="1534">
        <f>INDEX('05基本'!P:P,MATCH(C41,'05基本'!C:C,0))</f>
        <v>932</v>
      </c>
      <c r="J41" s="1534">
        <f>INDEX('05基本'!M:M,MATCH(C41,'05基本'!C:C,0))</f>
        <v>0</v>
      </c>
      <c r="K41" s="1533">
        <f>INDEX('05月业务提成'!BO:BO,MATCH(C41,'05月业务提成'!B:B,0))</f>
        <v>6821.4486150000002</v>
      </c>
      <c r="L41" s="1533">
        <f>SUMIF(综合考核!A:A,'05月提成-武侯售后'!C41,综合考核!M:M)</f>
        <v>0</v>
      </c>
      <c r="M41" s="1535">
        <f t="shared" si="28"/>
        <v>6821.4486150000002</v>
      </c>
      <c r="N41" s="1535">
        <f>SUMIF(服装扣款!C:C,C41,服装扣款!N:N)</f>
        <v>0</v>
      </c>
      <c r="O41" s="1536">
        <f t="shared" si="29"/>
        <v>6821.4486150000002</v>
      </c>
      <c r="P41" s="1537">
        <f>SUMIF(超市公积金!C:C,'05月提成-武侯售后'!C41,超市公积金!I:I)</f>
        <v>0</v>
      </c>
      <c r="Q41" s="1535">
        <f>SUMIF(综合考核!A:A,'05月提成-武侯售后'!C41,综合考核!N:N)</f>
        <v>0</v>
      </c>
      <c r="R41" s="1535">
        <f t="shared" si="30"/>
        <v>7753.4486150000002</v>
      </c>
      <c r="S41" s="1535">
        <f t="shared" si="25"/>
        <v>64.78</v>
      </c>
      <c r="T41" s="1538"/>
      <c r="U41" s="1535">
        <f t="shared" si="31"/>
        <v>64.78</v>
      </c>
      <c r="V41" s="1535">
        <f>INDEX('05基本'!AF:AF,MATCH(C41,'05基本'!C:C,0))</f>
        <v>0</v>
      </c>
      <c r="W41" s="1535">
        <f t="shared" si="32"/>
        <v>6756.6686149999996</v>
      </c>
      <c r="X41" s="1539"/>
      <c r="Y41" s="1540">
        <f t="shared" si="33"/>
        <v>435.41308500000002</v>
      </c>
      <c r="Z41" s="1541">
        <f>INDEX('05月业务提成'!C:C,MATCH(C41,'05月业务提成'!B:B,0))*1</f>
        <v>264</v>
      </c>
      <c r="AA41" s="1542">
        <f>INDEX('05月业务提成'!F:F,MATCH(C41,'05月业务提成'!B:B,0))*0.05*2%+INDEX('05月业务提成'!J:J,MATCH(C41,'05月业务提成'!B:B,0))*0.05*1.6%+(INDEX('05月业务提成'!P:P,MATCH(C41,'05月业务提成'!B:B,0))/0.95)*0.05++(INDEX('05月业务提成'!V:V,MATCH(C41,'05月业务提成'!B:B,0))/0.95)*0.05+(INDEX('05月业务提成'!Z:Z,MATCH(C41,'05月业务提成'!B:B,0))/0.95)*0.05</f>
        <v>171.413085</v>
      </c>
      <c r="AB41" s="1519" t="s">
        <v>78</v>
      </c>
      <c r="AC41" s="291">
        <v>83.72</v>
      </c>
      <c r="AD41" s="1518">
        <f t="shared" si="24"/>
        <v>1</v>
      </c>
      <c r="AE41" s="1530">
        <f>INDEX('05基本'!P:P,MATCH(C41,'05基本'!C:C,0))-I41</f>
        <v>0</v>
      </c>
      <c r="AF41" s="1529">
        <f>SUMIF('05月其他部门提成'!C:C,'05月提成-武侯售后'!C41,'05月其他部门提成'!Q:Q)</f>
        <v>0</v>
      </c>
      <c r="AG41" s="1544">
        <f>SUMIF('05月车间提成'!C:C,'05月提成-武侯售后'!C41,'05月车间提成'!W:W)</f>
        <v>0</v>
      </c>
      <c r="AH41" s="1530">
        <f>SUMIF('05月业务提成'!B:B,'05月提成-武侯售后'!C41,'05月业务提成'!BO:BO)</f>
        <v>6821.4486150000002</v>
      </c>
      <c r="AI41" s="1530">
        <f t="shared" si="34"/>
        <v>6821.4486150000002</v>
      </c>
      <c r="AJ41" s="1530">
        <f t="shared" si="35"/>
        <v>0</v>
      </c>
      <c r="AK41"/>
      <c r="AL41"/>
      <c r="AM41"/>
      <c r="AN41"/>
      <c r="AO41"/>
    </row>
    <row r="42" spans="1:41" s="1518" customFormat="1" ht="14.1" customHeight="1">
      <c r="A42" s="1531"/>
      <c r="B42" s="1661"/>
      <c r="C42" s="1553" t="s">
        <v>40</v>
      </c>
      <c r="D42" s="1554">
        <f t="shared" ref="D42:G42" si="36">SUM(D27:D41)</f>
        <v>248</v>
      </c>
      <c r="E42" s="1554">
        <f t="shared" si="36"/>
        <v>19028.849999999999</v>
      </c>
      <c r="F42" s="1554">
        <f t="shared" si="36"/>
        <v>7157.25</v>
      </c>
      <c r="G42" s="1554">
        <f t="shared" si="36"/>
        <v>1755</v>
      </c>
      <c r="H42" s="1554">
        <f t="shared" ref="H42:AA42" si="37">SUM(H27:H41)</f>
        <v>100</v>
      </c>
      <c r="I42" s="1554">
        <f t="shared" si="37"/>
        <v>14548</v>
      </c>
      <c r="J42" s="1554">
        <f t="shared" si="37"/>
        <v>0</v>
      </c>
      <c r="K42" s="1554">
        <f t="shared" si="37"/>
        <v>111892.3071475</v>
      </c>
      <c r="L42" s="1554">
        <f t="shared" si="37"/>
        <v>1590</v>
      </c>
      <c r="M42" s="1554">
        <f t="shared" si="37"/>
        <v>113482.3071475</v>
      </c>
      <c r="N42" s="1554">
        <f t="shared" si="37"/>
        <v>0</v>
      </c>
      <c r="O42" s="1555">
        <f t="shared" si="37"/>
        <v>113482.3071475</v>
      </c>
      <c r="P42" s="1556">
        <f t="shared" si="37"/>
        <v>0</v>
      </c>
      <c r="Q42" s="1554">
        <f t="shared" si="37"/>
        <v>300</v>
      </c>
      <c r="R42" s="1554">
        <f t="shared" si="37"/>
        <v>128330.3071475</v>
      </c>
      <c r="S42" s="1554">
        <f t="shared" si="37"/>
        <v>2504.4299999999998</v>
      </c>
      <c r="T42" s="1554">
        <f t="shared" si="37"/>
        <v>0</v>
      </c>
      <c r="U42" s="1554">
        <f t="shared" si="37"/>
        <v>2504.4299999999998</v>
      </c>
      <c r="V42" s="1554">
        <f t="shared" si="37"/>
        <v>0</v>
      </c>
      <c r="W42" s="1554">
        <f t="shared" si="37"/>
        <v>110977.8771475</v>
      </c>
      <c r="X42" s="1568">
        <f t="shared" si="37"/>
        <v>0</v>
      </c>
      <c r="Y42" s="1556">
        <f t="shared" si="37"/>
        <v>7336.9071025000003</v>
      </c>
      <c r="Z42" s="1554">
        <f t="shared" si="37"/>
        <v>3283.0864740000002</v>
      </c>
      <c r="AA42" s="1568">
        <f t="shared" si="37"/>
        <v>4053.8206285000001</v>
      </c>
      <c r="AB42" s="1519" t="s">
        <v>79</v>
      </c>
      <c r="AC42" s="291">
        <v>0</v>
      </c>
      <c r="AD42" s="1518">
        <f t="shared" si="24"/>
        <v>11</v>
      </c>
      <c r="AE42" s="1530" t="e">
        <f>INDEX('05基本'!P:P,MATCH(C42,'05基本'!C:C,0))-I42</f>
        <v>#N/A</v>
      </c>
      <c r="AF42" s="1558"/>
      <c r="AG42" s="1559"/>
      <c r="AH42" s="1560"/>
      <c r="AI42" s="1560"/>
      <c r="AJ42" s="1560"/>
      <c r="AK42" s="1530"/>
      <c r="AO42" s="1615"/>
    </row>
    <row r="43" spans="1:41" s="1518" customFormat="1" ht="14.1" customHeight="1">
      <c r="A43" s="1531">
        <f>A41+1</f>
        <v>34</v>
      </c>
      <c r="B43" s="1661"/>
      <c r="C43" s="1507" t="s">
        <v>75</v>
      </c>
      <c r="D43" s="1533">
        <f>INDEX('05基本'!I:I,MATCH(C43,'05基本'!C:C,0))+INDEX('05基本'!J:J,MATCH(C43,'05基本'!C:C,0))</f>
        <v>0</v>
      </c>
      <c r="E43" s="1534">
        <f>INDEX('05基本'!AA:AA,MATCH(C43,'05基本'!C:C,0))</f>
        <v>1268.5899999999999</v>
      </c>
      <c r="F43" s="1534">
        <f>INDEX('05基本'!AB:AB,MATCH(C43,'05基本'!C:C,0))</f>
        <v>477.15</v>
      </c>
      <c r="G43" s="1534">
        <f>INDEX('05基本'!AC:AC,MATCH(C43,'05基本'!C:C,0))</f>
        <v>117</v>
      </c>
      <c r="H43" s="1534">
        <f>INDEX('05基本'!K:K,MATCH(C43,'05基本'!C:C,0))+INDEX('05基本'!L:L,MATCH(C43,'05基本'!C:C,0))</f>
        <v>0</v>
      </c>
      <c r="I43" s="1534">
        <f>INDEX('05基本'!P:P,MATCH(C43,'05基本'!C:C,0))</f>
        <v>825</v>
      </c>
      <c r="J43" s="1534">
        <f>INDEX('05基本'!M:M,MATCH(C43,'05基本'!C:C,0))</f>
        <v>0</v>
      </c>
      <c r="K43" s="1533">
        <f>INDEX(保险专员5月外拓!I:I,MATCH(C43,保险专员5月外拓!A:A,0))</f>
        <v>11924.2204</v>
      </c>
      <c r="L43" s="1533">
        <f>SUMIF(综合考核!A:A,'05月提成-武侯售后'!C43,综合考核!M:M)</f>
        <v>0</v>
      </c>
      <c r="M43" s="1535">
        <f>SUM(K43:L43)</f>
        <v>11924.2204</v>
      </c>
      <c r="N43" s="1535">
        <f>SUMIF(服装扣款!C:C,C43,服装扣款!N:N)</f>
        <v>0</v>
      </c>
      <c r="O43" s="1536">
        <f>M43-N43</f>
        <v>11924.2204</v>
      </c>
      <c r="P43" s="1537">
        <f>SUMIF(超市公积金!C:C,'05月提成-武侯售后'!C43,超市公积金!I:I)</f>
        <v>0</v>
      </c>
      <c r="Q43" s="1535">
        <f>SUMIF(综合考核!A:A,'05月提成-武侯售后'!C43,综合考核!N:N)</f>
        <v>0</v>
      </c>
      <c r="R43" s="1535">
        <f>M43+I43+Q43</f>
        <v>12749.2204</v>
      </c>
      <c r="S43" s="1535">
        <f>INDEX(AC:AC,MATCH(C43,AB:AB,0))</f>
        <v>214.65</v>
      </c>
      <c r="T43" s="1538"/>
      <c r="U43" s="1535">
        <f>S43-T43</f>
        <v>214.65</v>
      </c>
      <c r="V43" s="1535">
        <f>INDEX('05基本'!AF:AF,MATCH(C43,'05基本'!C:C,0))</f>
        <v>0</v>
      </c>
      <c r="W43" s="1535">
        <f>O43-P43-U43</f>
        <v>11709.570400000001</v>
      </c>
      <c r="X43" s="1539"/>
      <c r="Y43" s="1540">
        <f>SUM(Z43:AA43)</f>
        <v>671.01160000000004</v>
      </c>
      <c r="Z43" s="1541">
        <f>保险专员5月外拓!J22</f>
        <v>671.01160000000004</v>
      </c>
      <c r="AA43" s="1542"/>
      <c r="AB43" s="1519" t="s">
        <v>80</v>
      </c>
      <c r="AC43" s="291">
        <v>1077.9000000000001</v>
      </c>
      <c r="AD43" s="1518">
        <f t="shared" si="24"/>
        <v>1</v>
      </c>
      <c r="AE43" s="1530">
        <f>INDEX('05基本'!P:P,MATCH(C43,'05基本'!C:C,0))-I43</f>
        <v>0</v>
      </c>
      <c r="AF43" s="1529">
        <f>SUMIF('05月其他部门提成'!C:C,'05月提成-武侯售后'!C43,'05月其他部门提成'!Q:Q)</f>
        <v>0</v>
      </c>
      <c r="AG43" s="1544">
        <f>SUMIF('05月车间提成'!C:C,'05月提成-武侯售后'!C43,'05月车间提成'!W:W)</f>
        <v>0</v>
      </c>
      <c r="AH43" s="1530">
        <f>SUMIF('05月业务提成'!B:B,'05月提成-武侯售后'!C43,'05月业务提成'!BO:BO)</f>
        <v>0</v>
      </c>
      <c r="AI43" s="1613">
        <f>K43</f>
        <v>11924.2204</v>
      </c>
      <c r="AJ43" s="1530">
        <f>AI43-K43</f>
        <v>0</v>
      </c>
      <c r="AK43"/>
      <c r="AL43"/>
      <c r="AM43"/>
      <c r="AN43"/>
      <c r="AO43"/>
    </row>
    <row r="44" spans="1:41" s="1518" customFormat="1" ht="14.1" customHeight="1">
      <c r="A44" s="1531">
        <f>A43+1</f>
        <v>35</v>
      </c>
      <c r="B44" s="1661"/>
      <c r="C44" s="1507" t="s">
        <v>76</v>
      </c>
      <c r="D44" s="1533">
        <f>INDEX('05基本'!I:I,MATCH(C44,'05基本'!C:C,0))+INDEX('05基本'!J:J,MATCH(C44,'05基本'!C:C,0))</f>
        <v>0</v>
      </c>
      <c r="E44" s="1534">
        <f>INDEX('05基本'!AA:AA,MATCH(C44,'05基本'!C:C,0))</f>
        <v>1268.5899999999999</v>
      </c>
      <c r="F44" s="1534">
        <f>INDEX('05基本'!AB:AB,MATCH(C44,'05基本'!C:C,0))</f>
        <v>477.15</v>
      </c>
      <c r="G44" s="1534">
        <f>INDEX('05基本'!AC:AC,MATCH(C44,'05基本'!C:C,0))</f>
        <v>117</v>
      </c>
      <c r="H44" s="1534">
        <f>INDEX('05基本'!K:K,MATCH(C44,'05基本'!C:C,0))+INDEX('05基本'!L:L,MATCH(C44,'05基本'!C:C,0))</f>
        <v>0</v>
      </c>
      <c r="I44" s="1534">
        <f>INDEX('05基本'!P:P,MATCH(C44,'05基本'!C:C,0))</f>
        <v>900</v>
      </c>
      <c r="J44" s="1534">
        <f>INDEX('05基本'!M:M,MATCH(C44,'05基本'!C:C,0))</f>
        <v>0</v>
      </c>
      <c r="K44" s="1533">
        <f>INDEX(保险专员5月外拓!I:I,MATCH(C44,保险专员5月外拓!A:A,0))</f>
        <v>20355.839599999999</v>
      </c>
      <c r="L44" s="1533">
        <f>SUMIF(综合考核!A:A,'05月提成-武侯售后'!C44,综合考核!M:M)</f>
        <v>0</v>
      </c>
      <c r="M44" s="1535">
        <f>SUM(K44:L44)</f>
        <v>20355.839599999999</v>
      </c>
      <c r="N44" s="1535">
        <f>SUMIF(服装扣款!C:C,C44,服装扣款!N:N)</f>
        <v>0</v>
      </c>
      <c r="O44" s="1536">
        <f>M44-N44</f>
        <v>20355.839599999999</v>
      </c>
      <c r="P44" s="1537">
        <f>SUMIF(超市公积金!C:C,'05月提成-武侯售后'!C44,超市公积金!I:I)</f>
        <v>0</v>
      </c>
      <c r="Q44" s="1535">
        <f>SUMIF(综合考核!A:A,'05月提成-武侯售后'!C44,综合考核!N:N)</f>
        <v>0</v>
      </c>
      <c r="R44" s="1535">
        <f>M44+I44+Q44</f>
        <v>21255.839599999999</v>
      </c>
      <c r="S44" s="1535">
        <f>INDEX(AC:AC,MATCH(C44,AB:AB,0))</f>
        <v>1566.17</v>
      </c>
      <c r="T44" s="1538"/>
      <c r="U44" s="1535">
        <f>S44-T44</f>
        <v>1566.17</v>
      </c>
      <c r="V44" s="1535">
        <f>INDEX('05基本'!AF:AF,MATCH(C44,'05基本'!C:C,0))</f>
        <v>0</v>
      </c>
      <c r="W44" s="1535">
        <f>O44-P44-U44</f>
        <v>18789.669600000001</v>
      </c>
      <c r="X44" s="1539"/>
      <c r="Y44" s="1540">
        <f>SUM(Z44:AA44)</f>
        <v>1118.7284</v>
      </c>
      <c r="Z44" s="1541">
        <f>保险专员5月外拓!J20</f>
        <v>1118.7284</v>
      </c>
      <c r="AA44" s="1542"/>
      <c r="AB44" s="1519" t="s">
        <v>81</v>
      </c>
      <c r="AC44" s="291">
        <v>0</v>
      </c>
      <c r="AD44" s="1518">
        <f t="shared" si="24"/>
        <v>1</v>
      </c>
      <c r="AE44" s="1530">
        <f>INDEX('05基本'!P:P,MATCH(C44,'05基本'!C:C,0))-I44</f>
        <v>0</v>
      </c>
      <c r="AF44" s="1529">
        <f>SUMIF('05月其他部门提成'!C:C,'05月提成-武侯售后'!C44,'05月其他部门提成'!Q:Q)</f>
        <v>0</v>
      </c>
      <c r="AG44" s="1544">
        <f>SUMIF('05月车间提成'!C:C,'05月提成-武侯售后'!C44,'05月车间提成'!W:W)</f>
        <v>0</v>
      </c>
      <c r="AH44" s="1530">
        <f>SUMIF('05月业务提成'!B:B,'05月提成-武侯售后'!C44,'05月业务提成'!BO:BO)</f>
        <v>0</v>
      </c>
      <c r="AI44" s="1613">
        <f>K44</f>
        <v>20355.839599999999</v>
      </c>
      <c r="AJ44" s="1530">
        <f>AI44-K44</f>
        <v>0</v>
      </c>
      <c r="AK44"/>
      <c r="AL44"/>
      <c r="AM44"/>
      <c r="AN44"/>
      <c r="AO44"/>
    </row>
    <row r="45" spans="1:41" s="1518" customFormat="1" ht="14.1" customHeight="1">
      <c r="A45" s="1531"/>
      <c r="B45" s="1660"/>
      <c r="C45" s="1553" t="s">
        <v>40</v>
      </c>
      <c r="D45" s="1554">
        <f t="shared" ref="D45:G45" si="38">SUM(D43:D44)</f>
        <v>0</v>
      </c>
      <c r="E45" s="1554">
        <f t="shared" si="38"/>
        <v>2537.1799999999998</v>
      </c>
      <c r="F45" s="1554">
        <f t="shared" si="38"/>
        <v>954.3</v>
      </c>
      <c r="G45" s="1554">
        <f t="shared" si="38"/>
        <v>234</v>
      </c>
      <c r="H45" s="1554">
        <f t="shared" ref="H45:AA45" si="39">SUM(H43:H44)</f>
        <v>0</v>
      </c>
      <c r="I45" s="1554">
        <f t="shared" si="39"/>
        <v>1725</v>
      </c>
      <c r="J45" s="1554">
        <f t="shared" si="39"/>
        <v>0</v>
      </c>
      <c r="K45" s="1554">
        <f t="shared" si="39"/>
        <v>32280.06</v>
      </c>
      <c r="L45" s="1554">
        <f t="shared" si="39"/>
        <v>0</v>
      </c>
      <c r="M45" s="1554">
        <f t="shared" si="39"/>
        <v>32280.06</v>
      </c>
      <c r="N45" s="1554">
        <f t="shared" si="39"/>
        <v>0</v>
      </c>
      <c r="O45" s="1555">
        <f t="shared" si="39"/>
        <v>32280.06</v>
      </c>
      <c r="P45" s="1556">
        <f t="shared" si="39"/>
        <v>0</v>
      </c>
      <c r="Q45" s="1554">
        <f t="shared" si="39"/>
        <v>0</v>
      </c>
      <c r="R45" s="1554">
        <f t="shared" si="39"/>
        <v>34005.06</v>
      </c>
      <c r="S45" s="1554">
        <f t="shared" si="39"/>
        <v>1780.82</v>
      </c>
      <c r="T45" s="1554">
        <f t="shared" si="39"/>
        <v>0</v>
      </c>
      <c r="U45" s="1554">
        <f t="shared" si="39"/>
        <v>1780.82</v>
      </c>
      <c r="V45" s="1554">
        <f t="shared" si="39"/>
        <v>0</v>
      </c>
      <c r="W45" s="1554">
        <f t="shared" si="39"/>
        <v>30499.24</v>
      </c>
      <c r="X45" s="1568">
        <f t="shared" si="39"/>
        <v>0</v>
      </c>
      <c r="Y45" s="1556">
        <f t="shared" si="39"/>
        <v>1789.74</v>
      </c>
      <c r="Z45" s="1554">
        <f t="shared" si="39"/>
        <v>1789.74</v>
      </c>
      <c r="AA45" s="1568">
        <f t="shared" si="39"/>
        <v>0</v>
      </c>
      <c r="AB45" s="1519" t="s">
        <v>82</v>
      </c>
      <c r="AC45" s="291">
        <v>0</v>
      </c>
      <c r="AD45" s="1518">
        <f t="shared" si="24"/>
        <v>11</v>
      </c>
      <c r="AE45" s="1530" t="e">
        <f>INDEX('05基本'!P:P,MATCH(C45,'05基本'!C:C,0))-I45</f>
        <v>#N/A</v>
      </c>
      <c r="AF45" s="1558"/>
      <c r="AG45" s="1559"/>
      <c r="AH45" s="1560"/>
      <c r="AI45" s="1560"/>
      <c r="AJ45" s="1560"/>
      <c r="AK45" s="1530"/>
    </row>
    <row r="46" spans="1:41" s="1518" customFormat="1" ht="15.9" customHeight="1">
      <c r="A46" s="1531">
        <f>A44+1</f>
        <v>36</v>
      </c>
      <c r="B46" s="1661" t="s">
        <v>83</v>
      </c>
      <c r="C46" s="1507" t="s">
        <v>77</v>
      </c>
      <c r="D46" s="1533">
        <f>INDEX('05基本'!I:I,MATCH(C46,'05基本'!C:C,0))+INDEX('05基本'!J:J,MATCH(C46,'05基本'!C:C,0))</f>
        <v>0</v>
      </c>
      <c r="E46" s="1616">
        <f>INDEX('05基本'!AA:AA,MATCH(C46,'05基本'!C:C,0))</f>
        <v>1268.5899999999999</v>
      </c>
      <c r="F46" s="1616">
        <f>INDEX('05基本'!AB:AB,MATCH(C46,'05基本'!C:C,0))</f>
        <v>477.15</v>
      </c>
      <c r="G46" s="1616">
        <f>INDEX('05基本'!AC:AC,MATCH(C46,'05基本'!C:C,0))</f>
        <v>117</v>
      </c>
      <c r="H46" s="1616">
        <f>INDEX('05基本'!K:K,MATCH(C46,'05基本'!C:C,0))+INDEX('05基本'!L:L,MATCH(C46,'05基本'!C:C,0))</f>
        <v>0</v>
      </c>
      <c r="I46" s="1616">
        <f>INDEX('05基本'!P:P,MATCH(C46,'05基本'!C:C,0))</f>
        <v>2000</v>
      </c>
      <c r="J46" s="1616">
        <f>INDEX('05基本'!M:M,MATCH(C46,'05基本'!C:C,0))</f>
        <v>0</v>
      </c>
      <c r="K46" s="1617">
        <f>INDEX('05月其他部门提成'!Q:Q,MATCH(C46,'05月其他部门提成'!C:C,0))</f>
        <v>9870</v>
      </c>
      <c r="L46" s="1533">
        <f>SUMIF(综合考核!A:A,'05月提成-武侯售后'!C46,综合考核!M:M)</f>
        <v>0</v>
      </c>
      <c r="M46" s="1535">
        <f t="shared" ref="M46:M57" si="40">SUM(K46:L46)</f>
        <v>9870</v>
      </c>
      <c r="N46" s="1535">
        <f>SUMIF(服装扣款!C:C,C46,服装扣款!N:N)</f>
        <v>0</v>
      </c>
      <c r="O46" s="1536">
        <f t="shared" ref="O46:O57" si="41">M46-N46</f>
        <v>9870</v>
      </c>
      <c r="P46" s="1537">
        <f>SUMIF(超市公积金!C:C,'05月提成-武侯售后'!C46,超市公积金!I:I)</f>
        <v>0</v>
      </c>
      <c r="Q46" s="1535">
        <f>SUMIF(综合考核!A:A,'05月提成-武侯售后'!C46,综合考核!N:N)</f>
        <v>0</v>
      </c>
      <c r="R46" s="1535">
        <f t="shared" ref="R46:R57" si="42">M46+I46+Q46</f>
        <v>11870</v>
      </c>
      <c r="S46" s="1535">
        <f t="shared" ref="S46:S57" si="43">INDEX(AC:AC,MATCH(C46,AB:AB,0))</f>
        <v>188.28</v>
      </c>
      <c r="T46" s="1538"/>
      <c r="U46" s="1535">
        <f t="shared" ref="U46:U57" si="44">S46-T46</f>
        <v>188.28</v>
      </c>
      <c r="V46" s="1535">
        <f>INDEX('05基本'!AF:AF,MATCH(C46,'05基本'!C:C,0))</f>
        <v>0</v>
      </c>
      <c r="W46" s="1535">
        <f t="shared" ref="W46:W57" si="45">O46-P46-U46</f>
        <v>9681.7199999999993</v>
      </c>
      <c r="X46" s="1542"/>
      <c r="Y46" s="1540">
        <f t="shared" ref="Y46:Y57" si="46">SUM(Z46:AA46)</f>
        <v>333.33</v>
      </c>
      <c r="Z46" s="1541">
        <v>333.33</v>
      </c>
      <c r="AA46" s="1542"/>
      <c r="AB46" s="1519" t="s">
        <v>84</v>
      </c>
      <c r="AC46" s="291">
        <v>0</v>
      </c>
      <c r="AD46" s="1518">
        <f t="shared" si="24"/>
        <v>1</v>
      </c>
      <c r="AE46" s="1530">
        <f>INDEX('05基本'!P:P,MATCH(C46,'05基本'!C:C,0))-I46</f>
        <v>0</v>
      </c>
      <c r="AF46" s="1529">
        <f>SUMIF('05月其他部门提成'!C:C,'05月提成-武侯售后'!C46,'05月其他部门提成'!Q:Q)</f>
        <v>9870</v>
      </c>
      <c r="AG46" s="1544">
        <f>SUMIF('05月车间提成'!C:C,'05月提成-武侯售后'!C46,'05月车间提成'!W:W)</f>
        <v>0</v>
      </c>
      <c r="AH46" s="1530">
        <f>SUMIF('05月业务提成'!B:B,'05月提成-武侯售后'!C46,'05月业务提成'!BO:BO)</f>
        <v>0</v>
      </c>
      <c r="AI46" s="1530">
        <f t="shared" ref="AI46:AI57" si="47">AF46+AG46+AH46</f>
        <v>9870</v>
      </c>
      <c r="AJ46" s="1530">
        <f t="shared" ref="AJ46:AJ57" si="48">AI46-K46</f>
        <v>0</v>
      </c>
      <c r="AK46"/>
      <c r="AL46"/>
      <c r="AM46"/>
      <c r="AN46"/>
      <c r="AO46"/>
    </row>
    <row r="47" spans="1:41" s="1518" customFormat="1" ht="12.9" customHeight="1">
      <c r="A47" s="1531">
        <f t="shared" ref="A47:A50" si="49">A46+1</f>
        <v>37</v>
      </c>
      <c r="B47" s="1661"/>
      <c r="C47" s="1618" t="s">
        <v>78</v>
      </c>
      <c r="D47" s="1533">
        <f>INDEX('05基本'!I:I,MATCH(C47,'05基本'!C:C,0))+INDEX('05基本'!J:J,MATCH(C47,'05基本'!C:C,0))</f>
        <v>0</v>
      </c>
      <c r="E47" s="1616">
        <f>INDEX('05基本'!AA:AA,MATCH(C47,'05基本'!C:C,0))</f>
        <v>1268.5899999999999</v>
      </c>
      <c r="F47" s="1616">
        <f>INDEX('05基本'!AB:AB,MATCH(C47,'05基本'!C:C,0))</f>
        <v>477.15</v>
      </c>
      <c r="G47" s="1616">
        <f>INDEX('05基本'!AC:AC,MATCH(C47,'05基本'!C:C,0))</f>
        <v>117</v>
      </c>
      <c r="H47" s="1616">
        <f>INDEX('05基本'!K:K,MATCH(C47,'05基本'!C:C,0))+INDEX('05基本'!L:L,MATCH(C47,'05基本'!C:C,0))</f>
        <v>0</v>
      </c>
      <c r="I47" s="1616">
        <f>INDEX('05基本'!P:P,MATCH(C47,'05基本'!C:C,0))</f>
        <v>900</v>
      </c>
      <c r="J47" s="1616">
        <f>INDEX('05基本'!M:M,MATCH(C47,'05基本'!C:C,0))</f>
        <v>0</v>
      </c>
      <c r="K47" s="1617">
        <f>INDEX('05月其他部门提成'!Q:Q,MATCH(C47,'05月其他部门提成'!C:C,0))</f>
        <v>7485</v>
      </c>
      <c r="L47" s="1533">
        <f>SUMIF(综合考核!A:A,'05月提成-武侯售后'!C47,综合考核!M:M)</f>
        <v>0</v>
      </c>
      <c r="M47" s="1535">
        <f t="shared" si="40"/>
        <v>7485</v>
      </c>
      <c r="N47" s="1535">
        <f>SUMIF(服装扣款!C:C,C47,服装扣款!N:N)</f>
        <v>0</v>
      </c>
      <c r="O47" s="1536">
        <f t="shared" si="41"/>
        <v>7485</v>
      </c>
      <c r="P47" s="1537">
        <f>SUMIF(超市公积金!C:C,'05月提成-武侯售后'!C47,超市公积金!I:I)</f>
        <v>0</v>
      </c>
      <c r="Q47" s="1535">
        <f>SUMIF(综合考核!A:A,'05月提成-武侯售后'!C47,综合考核!N:N)</f>
        <v>0</v>
      </c>
      <c r="R47" s="1535">
        <f t="shared" si="42"/>
        <v>8385</v>
      </c>
      <c r="S47" s="1535">
        <f t="shared" si="43"/>
        <v>83.72</v>
      </c>
      <c r="T47" s="1538"/>
      <c r="U47" s="1535">
        <f t="shared" si="44"/>
        <v>83.72</v>
      </c>
      <c r="V47" s="1535">
        <f>INDEX('05基本'!AF:AF,MATCH(C47,'05基本'!C:C,0))</f>
        <v>0</v>
      </c>
      <c r="W47" s="1535">
        <f t="shared" si="45"/>
        <v>7401.28</v>
      </c>
      <c r="X47" s="1542"/>
      <c r="Y47" s="1540">
        <f t="shared" si="46"/>
        <v>83.34</v>
      </c>
      <c r="Z47" s="1541">
        <v>83.34</v>
      </c>
      <c r="AA47" s="1542"/>
      <c r="AB47" s="1519" t="s">
        <v>85</v>
      </c>
      <c r="AC47" s="291">
        <v>0</v>
      </c>
      <c r="AD47" s="1518">
        <f t="shared" si="24"/>
        <v>1</v>
      </c>
      <c r="AE47" s="1530">
        <f>INDEX('05基本'!P:P,MATCH(C47,'05基本'!C:C,0))-I47</f>
        <v>0</v>
      </c>
      <c r="AF47" s="1529">
        <f>SUMIF('05月其他部门提成'!C:C,'05月提成-武侯售后'!C47,'05月其他部门提成'!Q:Q)</f>
        <v>7485</v>
      </c>
      <c r="AG47" s="1544">
        <f>SUMIF('05月车间提成'!C:C,'05月提成-武侯售后'!C47,'05月车间提成'!W:W)</f>
        <v>0</v>
      </c>
      <c r="AH47" s="1530">
        <f>SUMIF('05月业务提成'!B:B,'05月提成-武侯售后'!C47,'05月业务提成'!BO:BO)</f>
        <v>0</v>
      </c>
      <c r="AI47" s="1530">
        <f t="shared" si="47"/>
        <v>7485</v>
      </c>
      <c r="AJ47" s="1530">
        <f t="shared" si="48"/>
        <v>0</v>
      </c>
      <c r="AK47"/>
      <c r="AL47"/>
      <c r="AM47"/>
      <c r="AN47"/>
      <c r="AO47"/>
    </row>
    <row r="48" spans="1:41" s="1518" customFormat="1" ht="14.1" customHeight="1">
      <c r="A48" s="1531">
        <f t="shared" si="49"/>
        <v>38</v>
      </c>
      <c r="B48" s="1661"/>
      <c r="C48" s="1507" t="s">
        <v>79</v>
      </c>
      <c r="D48" s="1533">
        <f>INDEX('05基本'!I:I,MATCH(C48,'05基本'!C:C,0))+INDEX('05基本'!J:J,MATCH(C48,'05基本'!C:C,0))</f>
        <v>0</v>
      </c>
      <c r="E48" s="1534">
        <f>INDEX('05基本'!AA:AA,MATCH(C48,'05基本'!C:C,0))</f>
        <v>1268.5899999999999</v>
      </c>
      <c r="F48" s="1534">
        <f>INDEX('05基本'!AB:AB,MATCH(C48,'05基本'!C:C,0))</f>
        <v>477.15</v>
      </c>
      <c r="G48" s="1534">
        <f>INDEX('05基本'!AC:AC,MATCH(C48,'05基本'!C:C,0))</f>
        <v>117</v>
      </c>
      <c r="H48" s="1534">
        <f>INDEX('05基本'!K:K,MATCH(C48,'05基本'!C:C,0))+INDEX('05基本'!L:L,MATCH(C48,'05基本'!C:C,0))</f>
        <v>0</v>
      </c>
      <c r="I48" s="1534">
        <f>INDEX('05基本'!P:P,MATCH(C48,'05基本'!C:C,0))</f>
        <v>885</v>
      </c>
      <c r="J48" s="1534">
        <f>INDEX('05基本'!M:M,MATCH(C48,'05基本'!C:C,0))</f>
        <v>0</v>
      </c>
      <c r="K48" s="1617">
        <f>INDEX('05月其他部门提成'!Q:Q,MATCH(C48,'05月其他部门提成'!C:C,0))</f>
        <v>5820</v>
      </c>
      <c r="L48" s="1533">
        <f>SUMIF(综合考核!A:A,'05月提成-武侯售后'!C48,综合考核!M:M)</f>
        <v>0</v>
      </c>
      <c r="M48" s="1535">
        <f t="shared" si="40"/>
        <v>5820</v>
      </c>
      <c r="N48" s="1535">
        <f>SUMIF(服装扣款!C:C,C48,服装扣款!N:N)</f>
        <v>0</v>
      </c>
      <c r="O48" s="1536">
        <f t="shared" si="41"/>
        <v>5820</v>
      </c>
      <c r="P48" s="1537">
        <f>SUMIF(超市公积金!C:C,'05月提成-武侯售后'!C48,超市公积金!I:I)</f>
        <v>0</v>
      </c>
      <c r="Q48" s="1535">
        <f>SUMIF(综合考核!A:A,'05月提成-武侯售后'!C48,综合考核!N:N)</f>
        <v>0</v>
      </c>
      <c r="R48" s="1535">
        <f t="shared" si="42"/>
        <v>6705</v>
      </c>
      <c r="S48" s="1535">
        <f t="shared" si="43"/>
        <v>0</v>
      </c>
      <c r="T48" s="1538"/>
      <c r="U48" s="1535">
        <f t="shared" si="44"/>
        <v>0</v>
      </c>
      <c r="V48" s="1535">
        <f>INDEX('05基本'!AF:AF,MATCH(C48,'05基本'!C:C,0))</f>
        <v>0</v>
      </c>
      <c r="W48" s="1535">
        <f t="shared" si="45"/>
        <v>5820</v>
      </c>
      <c r="X48" s="1542"/>
      <c r="Y48" s="1540">
        <f t="shared" si="46"/>
        <v>83.34</v>
      </c>
      <c r="Z48" s="1541">
        <v>83.34</v>
      </c>
      <c r="AA48" s="1542"/>
      <c r="AB48" s="1519" t="s">
        <v>86</v>
      </c>
      <c r="AC48" s="291">
        <v>0</v>
      </c>
      <c r="AD48" s="1518">
        <f t="shared" si="24"/>
        <v>1</v>
      </c>
      <c r="AE48" s="1530">
        <f>INDEX('05基本'!P:P,MATCH(C48,'05基本'!C:C,0))-I48</f>
        <v>0</v>
      </c>
      <c r="AF48" s="1529">
        <f>SUMIF('05月其他部门提成'!C:C,'05月提成-武侯售后'!C48,'05月其他部门提成'!Q:Q)</f>
        <v>5820</v>
      </c>
      <c r="AG48" s="1544">
        <f>SUMIF('05月车间提成'!C:C,'05月提成-武侯售后'!C48,'05月车间提成'!W:W)</f>
        <v>0</v>
      </c>
      <c r="AH48" s="1530">
        <f>SUMIF('05月业务提成'!B:B,'05月提成-武侯售后'!C48,'05月业务提成'!BO:BO)</f>
        <v>0</v>
      </c>
      <c r="AI48" s="1530">
        <f t="shared" si="47"/>
        <v>5820</v>
      </c>
      <c r="AJ48" s="1530">
        <f t="shared" si="48"/>
        <v>0</v>
      </c>
      <c r="AK48"/>
    </row>
    <row r="49" spans="1:37" s="1518" customFormat="1" ht="14.1" customHeight="1">
      <c r="A49" s="1531">
        <f t="shared" si="49"/>
        <v>39</v>
      </c>
      <c r="B49" s="1661"/>
      <c r="C49" s="1507" t="s">
        <v>80</v>
      </c>
      <c r="D49" s="1533">
        <f>INDEX('05基本'!I:I,MATCH(C49,'05基本'!C:C,0))+INDEX('05基本'!J:J,MATCH(C49,'05基本'!C:C,0))</f>
        <v>0</v>
      </c>
      <c r="E49" s="1534">
        <f>INDEX('05基本'!AA:AA,MATCH(C49,'05基本'!C:C,0))</f>
        <v>1268.5899999999999</v>
      </c>
      <c r="F49" s="1534">
        <f>INDEX('05基本'!AB:AB,MATCH(C49,'05基本'!C:C,0))</f>
        <v>477.15</v>
      </c>
      <c r="G49" s="1534">
        <f>INDEX('05基本'!AC:AC,MATCH(C49,'05基本'!C:C,0))</f>
        <v>117</v>
      </c>
      <c r="H49" s="1534">
        <f>INDEX('05基本'!K:K,MATCH(C49,'05基本'!C:C,0))+INDEX('05基本'!L:L,MATCH(C49,'05基本'!C:C,0))</f>
        <v>0</v>
      </c>
      <c r="I49" s="1534">
        <f>INDEX('05基本'!P:P,MATCH(C49,'05基本'!C:C,0))</f>
        <v>900</v>
      </c>
      <c r="J49" s="1534">
        <f>INDEX('05基本'!M:M,MATCH(C49,'05基本'!C:C,0))</f>
        <v>0</v>
      </c>
      <c r="K49" s="1617">
        <f>INDEX('05月其他部门提成'!Q:Q,MATCH(C49,'05月其他部门提成'!C:C,0))</f>
        <v>18235</v>
      </c>
      <c r="L49" s="1533">
        <f>SUMIF(综合考核!A:A,'05月提成-武侯售后'!C49,综合考核!M:M)</f>
        <v>0</v>
      </c>
      <c r="M49" s="1535">
        <f t="shared" si="40"/>
        <v>18235</v>
      </c>
      <c r="N49" s="1535">
        <f>SUMIF(服装扣款!C:C,C49,服装扣款!N:N)</f>
        <v>0</v>
      </c>
      <c r="O49" s="1536">
        <f t="shared" si="41"/>
        <v>18235</v>
      </c>
      <c r="P49" s="1537">
        <f>SUMIF(超市公积金!C:C,'05月提成-武侯售后'!C49,超市公积金!I:I)</f>
        <v>0</v>
      </c>
      <c r="Q49" s="1535">
        <f>SUMIF(综合考核!A:A,'05月提成-武侯售后'!C49,综合考核!N:N)</f>
        <v>0</v>
      </c>
      <c r="R49" s="1535">
        <f t="shared" si="42"/>
        <v>19135</v>
      </c>
      <c r="S49" s="1535">
        <f t="shared" si="43"/>
        <v>1077.9000000000001</v>
      </c>
      <c r="T49" s="1538"/>
      <c r="U49" s="1535">
        <f t="shared" si="44"/>
        <v>1077.9000000000001</v>
      </c>
      <c r="V49" s="1535">
        <f>INDEX('05基本'!AF:AF,MATCH(C49,'05基本'!C:C,0))</f>
        <v>0</v>
      </c>
      <c r="W49" s="1535">
        <f t="shared" si="45"/>
        <v>17157.099999999999</v>
      </c>
      <c r="X49" s="1542"/>
      <c r="Y49" s="1540">
        <f t="shared" si="46"/>
        <v>83.34</v>
      </c>
      <c r="Z49" s="1541">
        <v>83.34</v>
      </c>
      <c r="AA49" s="1542"/>
      <c r="AB49" s="1519" t="s">
        <v>87</v>
      </c>
      <c r="AC49" s="291">
        <v>0</v>
      </c>
      <c r="AD49" s="1518">
        <f t="shared" si="24"/>
        <v>1</v>
      </c>
      <c r="AE49" s="1530">
        <f>INDEX('05基本'!P:P,MATCH(C49,'05基本'!C:C,0))-I49</f>
        <v>0</v>
      </c>
      <c r="AF49" s="1529">
        <f>SUMIF('05月其他部门提成'!C:C,'05月提成-武侯售后'!C49,'05月其他部门提成'!Q:Q)</f>
        <v>18235</v>
      </c>
      <c r="AG49" s="1544">
        <f>SUMIF('05月车间提成'!C:C,'05月提成-武侯售后'!C49,'05月车间提成'!W:W)</f>
        <v>0</v>
      </c>
      <c r="AH49" s="1530">
        <f>SUMIF('05月业务提成'!B:B,'05月提成-武侯售后'!C49,'05月业务提成'!BO:BO)</f>
        <v>0</v>
      </c>
      <c r="AI49" s="1530">
        <f t="shared" si="47"/>
        <v>18235</v>
      </c>
      <c r="AJ49" s="1530">
        <f t="shared" si="48"/>
        <v>0</v>
      </c>
      <c r="AK49"/>
    </row>
    <row r="50" spans="1:37" s="1518" customFormat="1" ht="14.1" customHeight="1">
      <c r="A50" s="1531">
        <f t="shared" si="49"/>
        <v>40</v>
      </c>
      <c r="B50" s="1661"/>
      <c r="C50" s="1507" t="s">
        <v>81</v>
      </c>
      <c r="D50" s="1533"/>
      <c r="E50" s="1534"/>
      <c r="F50" s="1534"/>
      <c r="G50" s="1534"/>
      <c r="H50" s="1534"/>
      <c r="I50" s="1534"/>
      <c r="J50" s="1534"/>
      <c r="K50" s="1617">
        <f>INDEX('05月其他部门提成'!Q:Q,MATCH(C50,'05月其他部门提成'!C:C,0))</f>
        <v>1980</v>
      </c>
      <c r="L50" s="1533">
        <f>SUMIF(综合考核!A:A,'05月提成-武侯售后'!C50,综合考核!M:M)</f>
        <v>0</v>
      </c>
      <c r="M50" s="1535">
        <f t="shared" si="40"/>
        <v>1980</v>
      </c>
      <c r="N50" s="1535">
        <f>SUMIF(服装扣款!C:C,C50,服装扣款!N:N)</f>
        <v>0</v>
      </c>
      <c r="O50" s="1536">
        <f t="shared" si="41"/>
        <v>1980</v>
      </c>
      <c r="P50" s="1537">
        <f>SUMIF(超市公积金!C:C,'05月提成-武侯售后'!C50,超市公积金!I:I)</f>
        <v>0</v>
      </c>
      <c r="Q50" s="1535">
        <f>SUMIF(综合考核!A:A,'05月提成-武侯售后'!C50,综合考核!N:N)</f>
        <v>0</v>
      </c>
      <c r="R50" s="1535">
        <f t="shared" si="42"/>
        <v>1980</v>
      </c>
      <c r="S50" s="1535">
        <f t="shared" si="43"/>
        <v>0</v>
      </c>
      <c r="T50" s="1538"/>
      <c r="U50" s="1535">
        <f t="shared" si="44"/>
        <v>0</v>
      </c>
      <c r="V50" s="1535"/>
      <c r="W50" s="1535">
        <f t="shared" si="45"/>
        <v>1980</v>
      </c>
      <c r="X50" s="1542"/>
      <c r="Y50" s="1540">
        <f t="shared" si="46"/>
        <v>0</v>
      </c>
      <c r="Z50" s="1541"/>
      <c r="AA50" s="1542"/>
      <c r="AB50" s="1519" t="s">
        <v>88</v>
      </c>
      <c r="AC50" s="291">
        <v>0</v>
      </c>
      <c r="AD50" s="1518">
        <f t="shared" si="24"/>
        <v>1</v>
      </c>
      <c r="AE50" s="1530" t="e">
        <f>INDEX('05基本'!P:P,MATCH(C50,'05基本'!C:C,0))-I50</f>
        <v>#N/A</v>
      </c>
      <c r="AF50" s="1529">
        <f>SUMIF('05月其他部门提成'!C:C,'05月提成-武侯售后'!C50,'05月其他部门提成'!Q:Q)</f>
        <v>1980</v>
      </c>
      <c r="AG50" s="1544">
        <f>SUMIF('05月车间提成'!C:C,'05月提成-武侯售后'!C50,'05月车间提成'!W:W)</f>
        <v>0</v>
      </c>
      <c r="AH50" s="1530">
        <f>SUMIF('05月业务提成'!B:B,'05月提成-武侯售后'!C50,'05月业务提成'!BO:BO)</f>
        <v>0</v>
      </c>
      <c r="AI50" s="1530">
        <f t="shared" si="47"/>
        <v>1980</v>
      </c>
      <c r="AJ50" s="1530">
        <f t="shared" si="48"/>
        <v>0</v>
      </c>
      <c r="AK50"/>
    </row>
    <row r="51" spans="1:37" s="1518" customFormat="1" ht="14.1" customHeight="1">
      <c r="A51" s="1531">
        <f t="shared" ref="A51:A57" si="50">A50+1</f>
        <v>41</v>
      </c>
      <c r="B51" s="1661"/>
      <c r="C51" s="1507" t="s">
        <v>82</v>
      </c>
      <c r="D51" s="1533"/>
      <c r="E51" s="1534"/>
      <c r="F51" s="1534"/>
      <c r="G51" s="1534"/>
      <c r="H51" s="1534"/>
      <c r="I51" s="1534"/>
      <c r="J51" s="1534"/>
      <c r="K51" s="1617">
        <f>INDEX('05月其他部门提成'!Q:Q,MATCH(C51,'05月其他部门提成'!C:C,0))</f>
        <v>615</v>
      </c>
      <c r="L51" s="1533">
        <f>SUMIF(综合考核!A:A,'05月提成-武侯售后'!C51,综合考核!M:M)</f>
        <v>0</v>
      </c>
      <c r="M51" s="1535">
        <f t="shared" si="40"/>
        <v>615</v>
      </c>
      <c r="N51" s="1535">
        <f>SUMIF(服装扣款!C:C,C51,服装扣款!N:N)</f>
        <v>0</v>
      </c>
      <c r="O51" s="1536">
        <f t="shared" si="41"/>
        <v>615</v>
      </c>
      <c r="P51" s="1537">
        <f>SUMIF(超市公积金!C:C,'05月提成-武侯售后'!C51,超市公积金!I:I)</f>
        <v>0</v>
      </c>
      <c r="Q51" s="1535">
        <f>SUMIF(综合考核!A:A,'05月提成-武侯售后'!C51,综合考核!N:N)</f>
        <v>0</v>
      </c>
      <c r="R51" s="1535">
        <f t="shared" si="42"/>
        <v>615</v>
      </c>
      <c r="S51" s="1535">
        <f t="shared" si="43"/>
        <v>0</v>
      </c>
      <c r="T51" s="1538"/>
      <c r="U51" s="1535">
        <f t="shared" si="44"/>
        <v>0</v>
      </c>
      <c r="V51" s="1535"/>
      <c r="W51" s="1535">
        <f t="shared" si="45"/>
        <v>615</v>
      </c>
      <c r="X51" s="1542"/>
      <c r="Y51" s="1540">
        <f t="shared" si="46"/>
        <v>0</v>
      </c>
      <c r="Z51" s="1541"/>
      <c r="AA51" s="1542"/>
      <c r="AB51" s="1519" t="s">
        <v>89</v>
      </c>
      <c r="AC51" s="291">
        <v>0</v>
      </c>
      <c r="AD51" s="1518">
        <f t="shared" si="24"/>
        <v>1</v>
      </c>
      <c r="AE51" s="1530" t="e">
        <f>INDEX('05基本'!P:P,MATCH(C51,'05基本'!C:C,0))-I51</f>
        <v>#N/A</v>
      </c>
      <c r="AF51" s="1529">
        <f>SUMIF('05月其他部门提成'!C:C,'05月提成-武侯售后'!C51,'05月其他部门提成'!Q:Q)</f>
        <v>615</v>
      </c>
      <c r="AG51" s="1544">
        <f>SUMIF('05月车间提成'!C:C,'05月提成-武侯售后'!C51,'05月车间提成'!W:W)</f>
        <v>0</v>
      </c>
      <c r="AH51" s="1530">
        <f>SUMIF('05月业务提成'!B:B,'05月提成-武侯售后'!C51,'05月业务提成'!BO:BO)</f>
        <v>0</v>
      </c>
      <c r="AI51" s="1530">
        <f t="shared" si="47"/>
        <v>615</v>
      </c>
      <c r="AJ51" s="1530">
        <f t="shared" si="48"/>
        <v>0</v>
      </c>
      <c r="AK51"/>
    </row>
    <row r="52" spans="1:37" s="1518" customFormat="1" ht="14.1" customHeight="1">
      <c r="A52" s="1531">
        <f t="shared" si="50"/>
        <v>42</v>
      </c>
      <c r="B52" s="1661"/>
      <c r="C52" s="1507" t="s">
        <v>84</v>
      </c>
      <c r="D52" s="1533"/>
      <c r="E52" s="1534"/>
      <c r="F52" s="1534"/>
      <c r="G52" s="1534"/>
      <c r="H52" s="1534"/>
      <c r="I52" s="1534"/>
      <c r="J52" s="1534"/>
      <c r="K52" s="1617">
        <f>INDEX('05月其他部门提成'!Q:Q,MATCH(C52,'05月其他部门提成'!C:C,0))</f>
        <v>1913.3333333333301</v>
      </c>
      <c r="L52" s="1533">
        <f>SUMIF(综合考核!A:A,'05月提成-武侯售后'!C52,综合考核!M:M)</f>
        <v>0</v>
      </c>
      <c r="M52" s="1535">
        <f t="shared" si="40"/>
        <v>1913.3333333333301</v>
      </c>
      <c r="N52" s="1535">
        <f>SUMIF(服装扣款!C:C,C52,服装扣款!N:N)</f>
        <v>0</v>
      </c>
      <c r="O52" s="1536">
        <f t="shared" si="41"/>
        <v>1913.3333333333301</v>
      </c>
      <c r="P52" s="1537">
        <f>SUMIF(超市公积金!C:C,'05月提成-武侯售后'!C52,超市公积金!I:I)</f>
        <v>0</v>
      </c>
      <c r="Q52" s="1535">
        <f>SUMIF(综合考核!A:A,'05月提成-武侯售后'!C52,综合考核!N:N)</f>
        <v>0</v>
      </c>
      <c r="R52" s="1535">
        <f t="shared" si="42"/>
        <v>1913.3333333333301</v>
      </c>
      <c r="S52" s="1535">
        <f t="shared" si="43"/>
        <v>0</v>
      </c>
      <c r="T52" s="1538"/>
      <c r="U52" s="1535">
        <f t="shared" si="44"/>
        <v>0</v>
      </c>
      <c r="V52" s="1535">
        <f>INDEX('05基本'!AF:AF,MATCH(C52,'05基本'!C:C,0))</f>
        <v>0</v>
      </c>
      <c r="W52" s="1535">
        <f t="shared" si="45"/>
        <v>1913.3333333333301</v>
      </c>
      <c r="X52" s="1542"/>
      <c r="Y52" s="1540">
        <f t="shared" si="46"/>
        <v>0</v>
      </c>
      <c r="Z52" s="1541"/>
      <c r="AA52" s="1542"/>
      <c r="AB52" s="1519" t="s">
        <v>90</v>
      </c>
      <c r="AC52" s="291">
        <v>0</v>
      </c>
      <c r="AD52" s="1518">
        <f t="shared" si="24"/>
        <v>1</v>
      </c>
      <c r="AE52" s="1530">
        <f>INDEX('05基本'!P:P,MATCH(C52,'05基本'!C:C,0))-I52</f>
        <v>420</v>
      </c>
      <c r="AF52" s="1529">
        <f>SUMIF('05月其他部门提成'!C:C,'05月提成-武侯售后'!C52,'05月其他部门提成'!Q:Q)</f>
        <v>1913.3333333333301</v>
      </c>
      <c r="AG52" s="1544">
        <f>SUMIF('05月车间提成'!C:C,'05月提成-武侯售后'!C52,'05月车间提成'!W:W)</f>
        <v>0</v>
      </c>
      <c r="AH52" s="1530">
        <f>SUMIF('05月业务提成'!B:B,'05月提成-武侯售后'!C52,'05月业务提成'!BO:BO)</f>
        <v>0</v>
      </c>
      <c r="AI52" s="1530">
        <f t="shared" si="47"/>
        <v>1913.3333333333301</v>
      </c>
      <c r="AJ52" s="1530">
        <f t="shared" si="48"/>
        <v>0</v>
      </c>
      <c r="AK52"/>
    </row>
    <row r="53" spans="1:37" s="1518" customFormat="1" ht="14.1" customHeight="1">
      <c r="A53" s="1531">
        <f t="shared" si="50"/>
        <v>43</v>
      </c>
      <c r="B53" s="1661"/>
      <c r="C53" s="1507" t="s">
        <v>85</v>
      </c>
      <c r="D53" s="1533"/>
      <c r="E53" s="1534"/>
      <c r="F53" s="1534"/>
      <c r="G53" s="1534"/>
      <c r="H53" s="1534"/>
      <c r="I53" s="1534"/>
      <c r="J53" s="1534"/>
      <c r="K53" s="1617">
        <f>INDEX('05月其他部门提成'!Q:Q,MATCH(C53,'05月其他部门提成'!C:C,0))</f>
        <v>956.66666666666697</v>
      </c>
      <c r="L53" s="1533">
        <f>SUMIF(综合考核!A:A,'05月提成-武侯售后'!C53,综合考核!M:M)</f>
        <v>0</v>
      </c>
      <c r="M53" s="1535">
        <f t="shared" si="40"/>
        <v>956.66666666666697</v>
      </c>
      <c r="N53" s="1535">
        <f>SUMIF(服装扣款!C:C,C53,服装扣款!N:N)</f>
        <v>0</v>
      </c>
      <c r="O53" s="1536">
        <f t="shared" si="41"/>
        <v>956.66666666666697</v>
      </c>
      <c r="P53" s="1537">
        <f>SUMIF(超市公积金!C:C,'05月提成-武侯售后'!C53,超市公积金!I:I)</f>
        <v>0</v>
      </c>
      <c r="Q53" s="1535">
        <f>SUMIF(综合考核!A:A,'05月提成-武侯售后'!C53,综合考核!N:N)</f>
        <v>0</v>
      </c>
      <c r="R53" s="1535">
        <f t="shared" si="42"/>
        <v>956.66666666666697</v>
      </c>
      <c r="S53" s="1535">
        <f t="shared" si="43"/>
        <v>0</v>
      </c>
      <c r="T53" s="1538"/>
      <c r="U53" s="1535">
        <f t="shared" si="44"/>
        <v>0</v>
      </c>
      <c r="V53" s="1535">
        <f>INDEX('05基本'!AF:AF,MATCH(C53,'05基本'!C:C,0))</f>
        <v>0</v>
      </c>
      <c r="W53" s="1535">
        <f t="shared" si="45"/>
        <v>956.66666666666697</v>
      </c>
      <c r="X53" s="1542"/>
      <c r="Y53" s="1540">
        <f t="shared" si="46"/>
        <v>0</v>
      </c>
      <c r="Z53" s="1541"/>
      <c r="AA53" s="1542"/>
      <c r="AB53" s="1519" t="s">
        <v>91</v>
      </c>
      <c r="AC53" s="291">
        <v>56.93</v>
      </c>
      <c r="AD53" s="1518">
        <f t="shared" si="24"/>
        <v>1</v>
      </c>
      <c r="AE53" s="1530">
        <f>INDEX('05基本'!P:P,MATCH(C53,'05基本'!C:C,0))-I53</f>
        <v>180</v>
      </c>
      <c r="AF53" s="1529">
        <f>SUMIF('05月其他部门提成'!C:C,'05月提成-武侯售后'!C53,'05月其他部门提成'!Q:Q)</f>
        <v>956.66666666666697</v>
      </c>
      <c r="AG53" s="1544">
        <f>SUMIF('05月车间提成'!C:C,'05月提成-武侯售后'!C53,'05月车间提成'!W:W)</f>
        <v>0</v>
      </c>
      <c r="AH53" s="1530">
        <f>SUMIF('05月业务提成'!B:B,'05月提成-武侯售后'!C53,'05月业务提成'!BO:BO)</f>
        <v>0</v>
      </c>
      <c r="AI53" s="1530">
        <f t="shared" si="47"/>
        <v>956.66666666666697</v>
      </c>
      <c r="AJ53" s="1530">
        <f t="shared" si="48"/>
        <v>0</v>
      </c>
      <c r="AK53"/>
    </row>
    <row r="54" spans="1:37" s="1518" customFormat="1" ht="14.1" customHeight="1">
      <c r="A54" s="1531">
        <f t="shared" si="50"/>
        <v>44</v>
      </c>
      <c r="B54" s="1661"/>
      <c r="C54" s="1507" t="s">
        <v>86</v>
      </c>
      <c r="D54" s="1533">
        <f>INDEX('05基本'!I:I,MATCH(C54,'05基本'!C:C,0))+INDEX('05基本'!J:J,MATCH(C54,'05基本'!C:C,0))</f>
        <v>0</v>
      </c>
      <c r="E54" s="1534">
        <f>INDEX('05基本'!AA:AA,MATCH(C54,'05基本'!C:C,0))</f>
        <v>1268.5899999999999</v>
      </c>
      <c r="F54" s="1534">
        <f>INDEX('05基本'!AB:AB,MATCH(C54,'05基本'!C:C,0))</f>
        <v>477.15</v>
      </c>
      <c r="G54" s="1534">
        <f>INDEX('05基本'!AC:AC,MATCH(C54,'05基本'!C:C,0))</f>
        <v>117</v>
      </c>
      <c r="H54" s="1534">
        <f>INDEX('05基本'!K:K,MATCH(C54,'05基本'!C:C,0))+INDEX('05基本'!L:L,MATCH(C54,'05基本'!C:C,0))</f>
        <v>0</v>
      </c>
      <c r="I54" s="1534">
        <f>INDEX('05基本'!P:P,MATCH(C54,'05基本'!C:C,0))</f>
        <v>900</v>
      </c>
      <c r="J54" s="1534">
        <f>INDEX('05基本'!M:M,MATCH(C54,'05基本'!C:C,0))</f>
        <v>0</v>
      </c>
      <c r="K54" s="1617">
        <f>INDEX('05月其他部门提成'!Q:Q,MATCH(C54,'05月其他部门提成'!C:C,0))</f>
        <v>4010</v>
      </c>
      <c r="L54" s="1533">
        <f>SUMIF(综合考核!A:A,'05月提成-武侯售后'!C54,综合考核!M:M)</f>
        <v>0</v>
      </c>
      <c r="M54" s="1535">
        <f t="shared" si="40"/>
        <v>4010</v>
      </c>
      <c r="N54" s="1535">
        <f>SUMIF(服装扣款!C:C,C54,服装扣款!N:N)</f>
        <v>0</v>
      </c>
      <c r="O54" s="1536">
        <f t="shared" si="41"/>
        <v>4010</v>
      </c>
      <c r="P54" s="1537">
        <f>SUMIF(超市公积金!C:C,'05月提成-武侯售后'!C54,超市公积金!I:I)</f>
        <v>0</v>
      </c>
      <c r="Q54" s="1535">
        <f>SUMIF(综合考核!A:A,'05月提成-武侯售后'!C54,综合考核!N:N)</f>
        <v>0</v>
      </c>
      <c r="R54" s="1535">
        <f t="shared" si="42"/>
        <v>4910</v>
      </c>
      <c r="S54" s="1535">
        <f t="shared" si="43"/>
        <v>0</v>
      </c>
      <c r="T54" s="1538"/>
      <c r="U54" s="1535">
        <f t="shared" si="44"/>
        <v>0</v>
      </c>
      <c r="V54" s="1535">
        <f>INDEX('05基本'!AF:AF,MATCH(C54,'05基本'!C:C,0))</f>
        <v>0</v>
      </c>
      <c r="W54" s="1535">
        <f t="shared" si="45"/>
        <v>4010</v>
      </c>
      <c r="X54" s="1542"/>
      <c r="Y54" s="1540">
        <f t="shared" si="46"/>
        <v>0</v>
      </c>
      <c r="Z54" s="1541"/>
      <c r="AA54" s="1542"/>
      <c r="AB54" s="1519" t="s">
        <v>92</v>
      </c>
      <c r="AC54" s="291">
        <v>46.94</v>
      </c>
      <c r="AD54" s="1518">
        <f t="shared" si="24"/>
        <v>1</v>
      </c>
      <c r="AE54" s="1530">
        <f>INDEX('05基本'!P:P,MATCH(C54,'05基本'!C:C,0))-I54</f>
        <v>0</v>
      </c>
      <c r="AF54" s="1529">
        <f>SUMIF('05月其他部门提成'!C:C,'05月提成-武侯售后'!C54,'05月其他部门提成'!Q:Q)</f>
        <v>4010</v>
      </c>
      <c r="AG54" s="1544">
        <f>SUMIF('05月车间提成'!C:C,'05月提成-武侯售后'!C54,'05月车间提成'!W:W)</f>
        <v>0</v>
      </c>
      <c r="AH54" s="1530">
        <f>SUMIF('05月业务提成'!B:B,'05月提成-武侯售后'!C54,'05月业务提成'!BO:BO)</f>
        <v>0</v>
      </c>
      <c r="AI54" s="1530">
        <f t="shared" si="47"/>
        <v>4010</v>
      </c>
      <c r="AJ54" s="1530">
        <f t="shared" si="48"/>
        <v>0</v>
      </c>
      <c r="AK54"/>
    </row>
    <row r="55" spans="1:37" s="1518" customFormat="1" ht="14.1" customHeight="1">
      <c r="A55" s="1531">
        <f t="shared" si="50"/>
        <v>45</v>
      </c>
      <c r="B55" s="1661"/>
      <c r="C55" s="1507" t="s">
        <v>87</v>
      </c>
      <c r="D55" s="1533">
        <f>INDEX('05基本'!I:I,MATCH(C55,'05基本'!C:C,0))+INDEX('05基本'!J:J,MATCH(C55,'05基本'!C:C,0))</f>
        <v>0</v>
      </c>
      <c r="E55" s="1534">
        <f>INDEX('05基本'!AA:AA,MATCH(C55,'05基本'!C:C,0))</f>
        <v>1268.5899999999999</v>
      </c>
      <c r="F55" s="1534">
        <f>INDEX('05基本'!AB:AB,MATCH(C55,'05基本'!C:C,0))</f>
        <v>477.15</v>
      </c>
      <c r="G55" s="1534">
        <f>INDEX('05基本'!AC:AC,MATCH(C55,'05基本'!C:C,0))</f>
        <v>117</v>
      </c>
      <c r="H55" s="1534">
        <f>INDEX('05基本'!K:K,MATCH(C55,'05基本'!C:C,0))+INDEX('05基本'!L:L,MATCH(C55,'05基本'!C:C,0))</f>
        <v>0</v>
      </c>
      <c r="I55" s="1534">
        <f>INDEX('05基本'!P:P,MATCH(C55,'05基本'!C:C,0))</f>
        <v>900</v>
      </c>
      <c r="J55" s="1534">
        <f>INDEX('05基本'!M:M,MATCH(C55,'05基本'!C:C,0))</f>
        <v>0</v>
      </c>
      <c r="K55" s="1617">
        <f>INDEX('05月其他部门提成'!Q:Q,MATCH(C55,'05月其他部门提成'!C:C,0))</f>
        <v>3770</v>
      </c>
      <c r="L55" s="1533">
        <f>SUMIF(综合考核!A:A,'05月提成-武侯售后'!C55,综合考核!M:M)</f>
        <v>0</v>
      </c>
      <c r="M55" s="1535">
        <f t="shared" si="40"/>
        <v>3770</v>
      </c>
      <c r="N55" s="1535">
        <f>SUMIF(服装扣款!C:C,C55,服装扣款!N:N)</f>
        <v>0</v>
      </c>
      <c r="O55" s="1536">
        <f t="shared" si="41"/>
        <v>3770</v>
      </c>
      <c r="P55" s="1537">
        <f>SUMIF(超市公积金!C:C,'05月提成-武侯售后'!C55,超市公积金!I:I)</f>
        <v>0</v>
      </c>
      <c r="Q55" s="1535">
        <f>SUMIF(综合考核!A:A,'05月提成-武侯售后'!C55,综合考核!N:N)</f>
        <v>0</v>
      </c>
      <c r="R55" s="1535">
        <f t="shared" si="42"/>
        <v>4670</v>
      </c>
      <c r="S55" s="1535">
        <f t="shared" si="43"/>
        <v>0</v>
      </c>
      <c r="T55" s="1538"/>
      <c r="U55" s="1535">
        <f t="shared" si="44"/>
        <v>0</v>
      </c>
      <c r="V55" s="1535">
        <f>INDEX('05基本'!AF:AF,MATCH(C55,'05基本'!C:C,0))</f>
        <v>0</v>
      </c>
      <c r="W55" s="1535">
        <f t="shared" si="45"/>
        <v>3770</v>
      </c>
      <c r="X55" s="1542"/>
      <c r="Y55" s="1540">
        <f t="shared" si="46"/>
        <v>83.34</v>
      </c>
      <c r="Z55" s="1541">
        <v>83.34</v>
      </c>
      <c r="AA55" s="1542"/>
      <c r="AB55" s="1519" t="s">
        <v>93</v>
      </c>
      <c r="AC55" s="291">
        <v>832.23</v>
      </c>
      <c r="AD55" s="1518">
        <f t="shared" si="24"/>
        <v>1</v>
      </c>
      <c r="AE55" s="1530">
        <f>INDEX('05基本'!P:P,MATCH(C55,'05基本'!C:C,0))-I55</f>
        <v>0</v>
      </c>
      <c r="AF55" s="1529">
        <f>SUMIF('05月其他部门提成'!C:C,'05月提成-武侯售后'!C55,'05月其他部门提成'!Q:Q)</f>
        <v>3770</v>
      </c>
      <c r="AG55" s="1544">
        <f>SUMIF('05月车间提成'!C:C,'05月提成-武侯售后'!C55,'05月车间提成'!W:W)</f>
        <v>0</v>
      </c>
      <c r="AH55" s="1530">
        <f>SUMIF('05月业务提成'!B:B,'05月提成-武侯售后'!C55,'05月业务提成'!BO:BO)</f>
        <v>0</v>
      </c>
      <c r="AI55" s="1530">
        <f t="shared" si="47"/>
        <v>3770</v>
      </c>
      <c r="AJ55" s="1530">
        <f t="shared" si="48"/>
        <v>0</v>
      </c>
      <c r="AK55"/>
    </row>
    <row r="56" spans="1:37" s="1518" customFormat="1" ht="14.1" customHeight="1">
      <c r="A56" s="1531">
        <f t="shared" si="50"/>
        <v>46</v>
      </c>
      <c r="B56" s="1661"/>
      <c r="C56" s="1507" t="s">
        <v>88</v>
      </c>
      <c r="D56" s="1533"/>
      <c r="E56" s="1534"/>
      <c r="F56" s="1534"/>
      <c r="G56" s="1534"/>
      <c r="H56" s="1534"/>
      <c r="I56" s="1534"/>
      <c r="J56" s="1534"/>
      <c r="K56" s="1617">
        <f>INDEX('05月其他部门提成'!Q:Q,MATCH(C56,'05月其他部门提成'!C:C,0))</f>
        <v>2490</v>
      </c>
      <c r="L56" s="1533">
        <f>SUMIF(综合考核!A:A,'05月提成-武侯售后'!C56,综合考核!M:M)</f>
        <v>0</v>
      </c>
      <c r="M56" s="1535">
        <f t="shared" si="40"/>
        <v>2490</v>
      </c>
      <c r="N56" s="1535">
        <f>SUMIF(服装扣款!C:C,C56,服装扣款!N:N)</f>
        <v>0</v>
      </c>
      <c r="O56" s="1536">
        <f t="shared" si="41"/>
        <v>2490</v>
      </c>
      <c r="P56" s="1537">
        <f>SUMIF(超市公积金!C:C,'05月提成-武侯售后'!C56,超市公积金!I:I)</f>
        <v>0</v>
      </c>
      <c r="Q56" s="1535">
        <f>SUMIF(综合考核!A:A,'05月提成-武侯售后'!C56,综合考核!N:N)</f>
        <v>0</v>
      </c>
      <c r="R56" s="1535">
        <f t="shared" si="42"/>
        <v>2490</v>
      </c>
      <c r="S56" s="1535">
        <f t="shared" si="43"/>
        <v>0</v>
      </c>
      <c r="T56" s="1538"/>
      <c r="U56" s="1535">
        <f t="shared" si="44"/>
        <v>0</v>
      </c>
      <c r="V56" s="1535"/>
      <c r="W56" s="1535">
        <f t="shared" si="45"/>
        <v>2490</v>
      </c>
      <c r="X56" s="1542"/>
      <c r="Y56" s="1540">
        <f t="shared" si="46"/>
        <v>83.34</v>
      </c>
      <c r="Z56" s="1541">
        <v>83.34</v>
      </c>
      <c r="AA56" s="1542"/>
      <c r="AB56" s="1519" t="s">
        <v>94</v>
      </c>
      <c r="AC56" s="291">
        <v>0</v>
      </c>
      <c r="AD56" s="1518">
        <f t="shared" si="24"/>
        <v>1</v>
      </c>
      <c r="AE56" s="1530" t="e">
        <f>INDEX('05基本'!P:P,MATCH(C56,'05基本'!C:C,0))-I56</f>
        <v>#N/A</v>
      </c>
      <c r="AF56" s="1529">
        <f>SUMIF('05月其他部门提成'!C:C,'05月提成-武侯售后'!C56,'05月其他部门提成'!Q:Q)</f>
        <v>2490</v>
      </c>
      <c r="AG56" s="1544">
        <f>SUMIF('05月车间提成'!C:C,'05月提成-武侯售后'!C56,'05月车间提成'!W:W)</f>
        <v>0</v>
      </c>
      <c r="AH56" s="1530">
        <f>SUMIF('05月业务提成'!B:B,'05月提成-武侯售后'!C56,'05月业务提成'!BO:BO)</f>
        <v>0</v>
      </c>
      <c r="AI56" s="1530">
        <f t="shared" si="47"/>
        <v>2490</v>
      </c>
      <c r="AJ56" s="1530">
        <f t="shared" si="48"/>
        <v>0</v>
      </c>
      <c r="AK56"/>
    </row>
    <row r="57" spans="1:37" s="1518" customFormat="1" ht="14.1" customHeight="1">
      <c r="A57" s="1531">
        <f t="shared" si="50"/>
        <v>47</v>
      </c>
      <c r="B57" s="1661"/>
      <c r="C57" s="1507" t="s">
        <v>89</v>
      </c>
      <c r="D57" s="1533">
        <f>INDEX('05基本'!I:I,MATCH(C57,'05基本'!C:C,0))+INDEX('05基本'!J:J,MATCH(C57,'05基本'!C:C,0))</f>
        <v>0</v>
      </c>
      <c r="E57" s="1534">
        <f>INDEX('05基本'!AA:AA,MATCH(C57,'05基本'!C:C,0))</f>
        <v>0</v>
      </c>
      <c r="F57" s="1534">
        <f>INDEX('05基本'!AB:AB,MATCH(C57,'05基本'!C:C,0))</f>
        <v>0</v>
      </c>
      <c r="G57" s="1534">
        <f>INDEX('05基本'!AC:AC,MATCH(C57,'05基本'!C:C,0))</f>
        <v>0</v>
      </c>
      <c r="H57" s="1534">
        <f>INDEX('05基本'!K:K,MATCH(C57,'05基本'!C:C,0))+INDEX('05基本'!L:L,MATCH(C57,'05基本'!C:C,0))</f>
        <v>0</v>
      </c>
      <c r="I57" s="1534">
        <f>INDEX('05基本'!P:P,MATCH(C57,'05基本'!C:C,0))</f>
        <v>500</v>
      </c>
      <c r="J57" s="1534">
        <f>INDEX('05基本'!M:M,MATCH(C57,'05基本'!C:C,0))</f>
        <v>0</v>
      </c>
      <c r="K57" s="1617">
        <f>INDEX('05月其他部门提成'!Q:Q,MATCH(C57,'05月其他部门提成'!C:C,0))</f>
        <v>0</v>
      </c>
      <c r="L57" s="1533">
        <f>SUMIF(综合考核!A:A,'05月提成-武侯售后'!C57,综合考核!M:M)</f>
        <v>0</v>
      </c>
      <c r="M57" s="1535">
        <f t="shared" si="40"/>
        <v>0</v>
      </c>
      <c r="N57" s="1535">
        <f>SUMIF(服装扣款!C:C,C57,服装扣款!N:N)</f>
        <v>0</v>
      </c>
      <c r="O57" s="1536">
        <f t="shared" si="41"/>
        <v>0</v>
      </c>
      <c r="P57" s="1537">
        <f>SUMIF(超市公积金!C:C,'05月提成-武侯售后'!C57,超市公积金!I:I)</f>
        <v>0</v>
      </c>
      <c r="Q57" s="1535">
        <f>SUMIF(综合考核!A:A,'05月提成-武侯售后'!C57,综合考核!N:N)</f>
        <v>0</v>
      </c>
      <c r="R57" s="1535">
        <f t="shared" si="42"/>
        <v>500</v>
      </c>
      <c r="S57" s="1535">
        <f t="shared" si="43"/>
        <v>0</v>
      </c>
      <c r="T57" s="1538"/>
      <c r="U57" s="1535">
        <f t="shared" si="44"/>
        <v>0</v>
      </c>
      <c r="V57" s="1535">
        <f>INDEX('05基本'!AF:AF,MATCH(C57,'05基本'!C:C,0))</f>
        <v>0</v>
      </c>
      <c r="W57" s="1535">
        <f t="shared" si="45"/>
        <v>0</v>
      </c>
      <c r="X57" s="1542"/>
      <c r="Y57" s="1540">
        <f t="shared" si="46"/>
        <v>83.34</v>
      </c>
      <c r="Z57" s="1541">
        <v>83.34</v>
      </c>
      <c r="AA57" s="1542"/>
      <c r="AB57" s="1519" t="s">
        <v>95</v>
      </c>
      <c r="AC57" s="291">
        <v>49.98</v>
      </c>
      <c r="AD57" s="1518">
        <f t="shared" si="24"/>
        <v>1</v>
      </c>
      <c r="AE57" s="1530">
        <f>INDEX('05基本'!P:P,MATCH(C57,'05基本'!C:C,0))-I57</f>
        <v>0</v>
      </c>
      <c r="AF57" s="1529">
        <f>SUMIF('05月其他部门提成'!C:C,'05月提成-武侯售后'!C57,'05月其他部门提成'!Q:Q)</f>
        <v>0</v>
      </c>
      <c r="AG57" s="1544">
        <f>SUMIF('05月车间提成'!C:C,'05月提成-武侯售后'!C57,'05月车间提成'!W:W)</f>
        <v>0</v>
      </c>
      <c r="AH57" s="1530">
        <f>SUMIF('05月业务提成'!B:B,'05月提成-武侯售后'!C57,'05月业务提成'!BO:BO)</f>
        <v>0</v>
      </c>
      <c r="AI57" s="1530">
        <f t="shared" si="47"/>
        <v>0</v>
      </c>
      <c r="AJ57" s="1530">
        <f t="shared" si="48"/>
        <v>0</v>
      </c>
      <c r="AK57"/>
    </row>
    <row r="58" spans="1:37" s="1518" customFormat="1" ht="14.1" customHeight="1">
      <c r="A58" s="1531" t="s">
        <v>39</v>
      </c>
      <c r="B58" s="1660"/>
      <c r="C58" s="1553" t="s">
        <v>40</v>
      </c>
      <c r="D58" s="1554">
        <f>SUM(D46:D57)</f>
        <v>0</v>
      </c>
      <c r="E58" s="1554">
        <f>SUM(E46:E57)</f>
        <v>7611.54</v>
      </c>
      <c r="F58" s="1554">
        <f>SUM(F46:F57)</f>
        <v>2862.9</v>
      </c>
      <c r="G58" s="1554">
        <f>SUM(G46:G57)</f>
        <v>702</v>
      </c>
      <c r="H58" s="1554">
        <f t="shared" ref="H58:AA58" si="51">SUM(H46:H57)</f>
        <v>0</v>
      </c>
      <c r="I58" s="1554">
        <f t="shared" si="51"/>
        <v>6985</v>
      </c>
      <c r="J58" s="1554">
        <f t="shared" si="51"/>
        <v>0</v>
      </c>
      <c r="K58" s="1554">
        <f t="shared" si="51"/>
        <v>57145</v>
      </c>
      <c r="L58" s="1554">
        <f t="shared" si="51"/>
        <v>0</v>
      </c>
      <c r="M58" s="1554">
        <f t="shared" si="51"/>
        <v>57145</v>
      </c>
      <c r="N58" s="1554">
        <f t="shared" si="51"/>
        <v>0</v>
      </c>
      <c r="O58" s="1555">
        <f t="shared" si="51"/>
        <v>57145</v>
      </c>
      <c r="P58" s="1554">
        <f t="shared" si="51"/>
        <v>0</v>
      </c>
      <c r="Q58" s="1554">
        <f t="shared" si="51"/>
        <v>0</v>
      </c>
      <c r="R58" s="1554">
        <f t="shared" si="51"/>
        <v>64130</v>
      </c>
      <c r="S58" s="1554">
        <f t="shared" si="51"/>
        <v>1349.9</v>
      </c>
      <c r="T58" s="1554">
        <f t="shared" si="51"/>
        <v>0</v>
      </c>
      <c r="U58" s="1554">
        <f t="shared" si="51"/>
        <v>1349.9</v>
      </c>
      <c r="V58" s="1554">
        <f t="shared" si="51"/>
        <v>0</v>
      </c>
      <c r="W58" s="1554">
        <f t="shared" si="51"/>
        <v>55795.1</v>
      </c>
      <c r="X58" s="1568">
        <f t="shared" si="51"/>
        <v>0</v>
      </c>
      <c r="Y58" s="1556">
        <f t="shared" si="51"/>
        <v>833.37</v>
      </c>
      <c r="Z58" s="1554">
        <f t="shared" si="51"/>
        <v>833.37</v>
      </c>
      <c r="AA58" s="1568">
        <f t="shared" si="51"/>
        <v>0</v>
      </c>
      <c r="AB58" s="1519" t="s">
        <v>96</v>
      </c>
      <c r="AC58" s="291">
        <v>66.819999999999993</v>
      </c>
      <c r="AD58" s="1518">
        <f t="shared" si="24"/>
        <v>11</v>
      </c>
      <c r="AE58" s="1530" t="e">
        <f>INDEX('05基本'!P:P,MATCH(C58,'05基本'!C:C,0))-I58</f>
        <v>#N/A</v>
      </c>
      <c r="AF58" s="1558"/>
      <c r="AG58" s="1559"/>
      <c r="AH58" s="1560"/>
      <c r="AI58" s="1560"/>
      <c r="AJ58" s="1560"/>
      <c r="AK58" s="1530"/>
    </row>
    <row r="59" spans="1:37" s="1518" customFormat="1" ht="14.1" customHeight="1">
      <c r="A59" s="1531">
        <f>A57+1</f>
        <v>48</v>
      </c>
      <c r="B59" s="1657" t="s">
        <v>97</v>
      </c>
      <c r="C59" s="1619" t="s">
        <v>98</v>
      </c>
      <c r="D59" s="1533">
        <f>INDEX('05基本'!I:I,MATCH(C59,'05基本'!C:C,0))+INDEX('05基本'!J:J,MATCH(C59,'05基本'!C:C,0))</f>
        <v>0</v>
      </c>
      <c r="E59" s="1534">
        <f>INDEX('05基本'!AA:AA,MATCH(C59,'05基本'!C:C,0))</f>
        <v>1268.5899999999999</v>
      </c>
      <c r="F59" s="1534">
        <f>INDEX('05基本'!AB:AB,MATCH(C59,'05基本'!C:C,0))</f>
        <v>477.15</v>
      </c>
      <c r="G59" s="1534">
        <f>INDEX('05基本'!AC:AC,MATCH(C59,'05基本'!C:C,0))</f>
        <v>117</v>
      </c>
      <c r="H59" s="1534">
        <f>INDEX('05基本'!K:K,MATCH(C59,'05基本'!C:C,0))+INDEX('05基本'!L:L,MATCH(C59,'05基本'!C:C,0))</f>
        <v>0</v>
      </c>
      <c r="I59" s="1534">
        <f>INDEX('05基本'!P:P,MATCH(C59,'05基本'!C:C,0))</f>
        <v>1700</v>
      </c>
      <c r="J59" s="1534">
        <f>INDEX('05基本'!M:M,MATCH(C59,'05基本'!C:C,0))</f>
        <v>0</v>
      </c>
      <c r="K59" s="1535">
        <f>INDEX('05月其他部门提成'!Q:Q,MATCH(C59,'05月其他部门提成'!C:C,0))</f>
        <v>9914.2024584671708</v>
      </c>
      <c r="L59" s="1533">
        <f>SUMIF(综合考核!A:A,'05月提成-武侯售后'!C59,综合考核!M:M)</f>
        <v>0</v>
      </c>
      <c r="M59" s="1535">
        <f>SUM(K59:L59)</f>
        <v>9914.2024584671708</v>
      </c>
      <c r="N59" s="1535">
        <f>SUMIF(服装扣款!C:C,C59,服装扣款!N:N)</f>
        <v>0</v>
      </c>
      <c r="O59" s="1536">
        <f>M59-N59</f>
        <v>9914.2024584671708</v>
      </c>
      <c r="P59" s="1537">
        <f>SUMIF(超市公积金!C:C,'05月提成-武侯售后'!C59,超市公积金!I:I)</f>
        <v>0</v>
      </c>
      <c r="Q59" s="1535">
        <f>SUMIF(综合考核!A:A,'05月提成-武侯售后'!C59,综合考核!N:N)</f>
        <v>0</v>
      </c>
      <c r="R59" s="1535">
        <f>M59+I59+Q59</f>
        <v>11614.2024584672</v>
      </c>
      <c r="S59" s="1535">
        <f>INDEX(AC:AC,MATCH(C59,AB:AB,0))</f>
        <v>0</v>
      </c>
      <c r="T59" s="1538">
        <v>0</v>
      </c>
      <c r="U59" s="1535">
        <f>S59-T59</f>
        <v>0</v>
      </c>
      <c r="V59" s="1535">
        <f>INDEX('05基本'!AF:AF,MATCH(C59,'05基本'!C:C,0))</f>
        <v>0</v>
      </c>
      <c r="W59" s="1535">
        <f>O59-P59-U59</f>
        <v>9914.2024584671708</v>
      </c>
      <c r="X59" s="1542"/>
      <c r="Y59" s="1540">
        <f>SUM(Z59:AA59)</f>
        <v>593.76019779999694</v>
      </c>
      <c r="Z59" s="1541">
        <f>INDEX('05月其他部门提成'!S:S,MATCH(C59,'05月其他部门提成'!C:C,0))</f>
        <v>593.76019779999694</v>
      </c>
      <c r="AA59" s="1542"/>
      <c r="AB59" s="1519" t="s">
        <v>99</v>
      </c>
      <c r="AC59" s="291">
        <v>66.819999999999993</v>
      </c>
      <c r="AD59" s="1518">
        <f t="shared" si="24"/>
        <v>1</v>
      </c>
      <c r="AE59" s="1530">
        <f>INDEX('05基本'!P:P,MATCH(C59,'05基本'!C:C,0))-I59</f>
        <v>0</v>
      </c>
      <c r="AF59" s="1529">
        <f>SUMIF('05月其他部门提成'!C:C,'05月提成-武侯售后'!C59,'05月其他部门提成'!Q:Q)</f>
        <v>9914.2024584671708</v>
      </c>
      <c r="AG59" s="1544">
        <f>SUMIF('05月车间提成'!C:C,'05月提成-武侯售后'!C59,'05月车间提成'!W:W)</f>
        <v>0</v>
      </c>
      <c r="AH59" s="1530">
        <f>SUMIF('05月业务提成'!B:B,'05月提成-武侯售后'!C59,'05月业务提成'!BO:BO)</f>
        <v>0</v>
      </c>
      <c r="AI59" s="1530">
        <f t="shared" ref="AI59:AI61" si="52">AF59+AG59+AH59</f>
        <v>9914.2024584671708</v>
      </c>
      <c r="AJ59" s="1530">
        <f t="shared" ref="AJ59:AJ61" si="53">AI59-K59</f>
        <v>0</v>
      </c>
      <c r="AK59"/>
    </row>
    <row r="60" spans="1:37" s="1518" customFormat="1" ht="14.1" customHeight="1">
      <c r="A60" s="1531">
        <f>A59+1</f>
        <v>49</v>
      </c>
      <c r="B60" s="1657"/>
      <c r="C60" s="1507" t="s">
        <v>91</v>
      </c>
      <c r="D60" s="1533">
        <f>INDEX('05基本'!I:I,MATCH(C60,'05基本'!C:C,0))+INDEX('05基本'!J:J,MATCH(C60,'05基本'!C:C,0))</f>
        <v>0</v>
      </c>
      <c r="E60" s="1534">
        <f>INDEX('05基本'!AA:AA,MATCH(C60,'05基本'!C:C,0))</f>
        <v>9.18</v>
      </c>
      <c r="F60" s="1534">
        <f>INDEX('05基本'!AB:AB,MATCH(C60,'05基本'!C:C,0))</f>
        <v>0</v>
      </c>
      <c r="G60" s="1534">
        <f>INDEX('05基本'!AC:AC,MATCH(C60,'05基本'!C:C,0))</f>
        <v>0</v>
      </c>
      <c r="H60" s="1534">
        <f>INDEX('05基本'!K:K,MATCH(C60,'05基本'!C:C,0))+INDEX('05基本'!L:L,MATCH(C60,'05基本'!C:C,0))</f>
        <v>0</v>
      </c>
      <c r="I60" s="1534">
        <f>INDEX('05基本'!P:P,MATCH(C60,'05基本'!C:C,0))</f>
        <v>1700</v>
      </c>
      <c r="J60" s="1534">
        <f>INDEX('05基本'!M:M,MATCH(C60,'05基本'!C:C,0))</f>
        <v>0</v>
      </c>
      <c r="K60" s="1535">
        <f>INDEX('05月其他部门提成'!Q:Q,MATCH(C60,'05月其他部门提成'!C:C,0))</f>
        <v>5197.6570000000002</v>
      </c>
      <c r="L60" s="1533">
        <f>SUMIF(综合考核!A:A,'05月提成-武侯售后'!C60,综合考核!M:M)</f>
        <v>0</v>
      </c>
      <c r="M60" s="1535">
        <f>SUM(K60:L60)</f>
        <v>5197.6570000000002</v>
      </c>
      <c r="N60" s="1535">
        <f>SUMIF(服装扣款!C:C,C60,服装扣款!N:N)</f>
        <v>0</v>
      </c>
      <c r="O60" s="1536">
        <f>M60-N60</f>
        <v>5197.6570000000002</v>
      </c>
      <c r="P60" s="1537">
        <f>SUMIF(超市公积金!C:C,'05月提成-武侯售后'!C60,超市公积金!I:I)</f>
        <v>0</v>
      </c>
      <c r="Q60" s="1535">
        <f>SUMIF(综合考核!A:A,'05月提成-武侯售后'!C60,综合考核!N:N)</f>
        <v>0</v>
      </c>
      <c r="R60" s="1535">
        <f>M60+I60+Q60</f>
        <v>6897.6570000000002</v>
      </c>
      <c r="S60" s="1535">
        <f>INDEX(AC:AC,MATCH(C60,AB:AB,0))</f>
        <v>56.93</v>
      </c>
      <c r="T60" s="1538">
        <v>0</v>
      </c>
      <c r="U60" s="1535">
        <f>S60-T60</f>
        <v>56.93</v>
      </c>
      <c r="V60" s="1535">
        <f>INDEX('05基本'!AF:AF,MATCH(C60,'05基本'!C:C,0))</f>
        <v>0</v>
      </c>
      <c r="W60" s="1535">
        <f>O60-P60-U60</f>
        <v>5140.7269999999999</v>
      </c>
      <c r="X60" s="1542"/>
      <c r="Y60" s="1540">
        <f>SUM(Z60:AA60)</f>
        <v>166.666666666667</v>
      </c>
      <c r="Z60" s="1541">
        <f>INDEX('05月其他部门提成'!S:S,MATCH(C60,'05月其他部门提成'!C:C,0))</f>
        <v>166.666666666667</v>
      </c>
      <c r="AA60" s="1542"/>
      <c r="AB60" s="1519" t="s">
        <v>100</v>
      </c>
      <c r="AC60" s="291">
        <v>65.98</v>
      </c>
      <c r="AD60" s="1518">
        <f t="shared" si="24"/>
        <v>1</v>
      </c>
      <c r="AE60" s="1530">
        <f>INDEX('05基本'!P:P,MATCH(C60,'05基本'!C:C,0))-I60</f>
        <v>0</v>
      </c>
      <c r="AF60" s="1529">
        <f>SUMIF('05月其他部门提成'!C:C,'05月提成-武侯售后'!C60,'05月其他部门提成'!Q:Q)</f>
        <v>5197.6570000000002</v>
      </c>
      <c r="AG60" s="1544">
        <f>SUMIF('05月车间提成'!C:C,'05月提成-武侯售后'!C60,'05月车间提成'!W:W)</f>
        <v>0</v>
      </c>
      <c r="AH60" s="1530">
        <f>SUMIF('05月业务提成'!B:B,'05月提成-武侯售后'!C60,'05月业务提成'!BO:BO)</f>
        <v>0</v>
      </c>
      <c r="AI60" s="1530">
        <f t="shared" si="52"/>
        <v>5197.6570000000002</v>
      </c>
      <c r="AJ60" s="1530">
        <f t="shared" si="53"/>
        <v>0</v>
      </c>
      <c r="AK60"/>
    </row>
    <row r="61" spans="1:37" s="1518" customFormat="1" ht="14.1" customHeight="1">
      <c r="A61" s="1531">
        <f>A60+1</f>
        <v>50</v>
      </c>
      <c r="B61" s="1657"/>
      <c r="C61" s="1507" t="s">
        <v>92</v>
      </c>
      <c r="D61" s="1533">
        <f>INDEX('05基本'!I:I,MATCH(C61,'05基本'!C:C,0))+INDEX('05基本'!J:J,MATCH(C61,'05基本'!C:C,0))</f>
        <v>0</v>
      </c>
      <c r="E61" s="1534">
        <f>INDEX('05基本'!AA:AA,MATCH(C61,'05基本'!C:C,0))</f>
        <v>1268.5899999999999</v>
      </c>
      <c r="F61" s="1534">
        <f>INDEX('05基本'!AB:AB,MATCH(C61,'05基本'!C:C,0))</f>
        <v>477.15</v>
      </c>
      <c r="G61" s="1534">
        <f>INDEX('05基本'!AC:AC,MATCH(C61,'05基本'!C:C,0))</f>
        <v>117</v>
      </c>
      <c r="H61" s="1534">
        <f>INDEX('05基本'!K:K,MATCH(C61,'05基本'!C:C,0))+INDEX('05基本'!L:L,MATCH(C61,'05基本'!C:C,0))</f>
        <v>0</v>
      </c>
      <c r="I61" s="1534">
        <f>INDEX('05基本'!P:P,MATCH(C61,'05基本'!C:C,0))</f>
        <v>850</v>
      </c>
      <c r="J61" s="1534">
        <f>INDEX('05基本'!M:M,MATCH(C61,'05基本'!C:C,0))</f>
        <v>0</v>
      </c>
      <c r="K61" s="1535">
        <f>INDEX('05月其他部门提成'!Q:Q,MATCH(C61,'05月其他部门提成'!C:C,0))</f>
        <v>6309.0379281154701</v>
      </c>
      <c r="L61" s="1533">
        <f>SUMIF(综合考核!A:A,'05月提成-武侯售后'!C61,综合考核!M:M)</f>
        <v>0</v>
      </c>
      <c r="M61" s="1535">
        <f>SUM(K61:L61)</f>
        <v>6309.0379281154701</v>
      </c>
      <c r="N61" s="1535">
        <f>SUMIF(服装扣款!C:C,C61,服装扣款!N:N)</f>
        <v>0</v>
      </c>
      <c r="O61" s="1536">
        <f>M61-N61</f>
        <v>6309.0379281154701</v>
      </c>
      <c r="P61" s="1537">
        <f>SUMIF(超市公积金!C:C,'05月提成-武侯售后'!C61,超市公积金!I:I)</f>
        <v>0</v>
      </c>
      <c r="Q61" s="1535">
        <f>SUMIF(综合考核!A:A,'05月提成-武侯售后'!C61,综合考核!N:N)</f>
        <v>0</v>
      </c>
      <c r="R61" s="1535">
        <f>M61+I61+Q61</f>
        <v>7159.0379281154701</v>
      </c>
      <c r="S61" s="1535">
        <f>INDEX(AC:AC,MATCH(C61,AB:AB,0))</f>
        <v>46.94</v>
      </c>
      <c r="T61" s="1538">
        <v>0</v>
      </c>
      <c r="U61" s="1535">
        <f>S61-T61</f>
        <v>46.94</v>
      </c>
      <c r="V61" s="1535">
        <f>INDEX('05基本'!AF:AF,MATCH(C61,'05基本'!C:C,0))</f>
        <v>0</v>
      </c>
      <c r="W61" s="1535">
        <f>O61-P61-U61</f>
        <v>6262.0979281154696</v>
      </c>
      <c r="X61" s="1542"/>
      <c r="Y61" s="1540">
        <f>SUM(Z61:AA61)</f>
        <v>485.80379819999803</v>
      </c>
      <c r="Z61" s="1541">
        <f>INDEX('05月其他部门提成'!S:S,MATCH(C61,'05月其他部门提成'!C:C,0))</f>
        <v>485.80379819999803</v>
      </c>
      <c r="AA61" s="1542"/>
      <c r="AB61" s="1519" t="s">
        <v>101</v>
      </c>
      <c r="AC61" s="291">
        <v>102.9</v>
      </c>
      <c r="AD61" s="1518">
        <f t="shared" si="24"/>
        <v>1</v>
      </c>
      <c r="AE61" s="1530">
        <f>INDEX('05基本'!P:P,MATCH(C61,'05基本'!C:C,0))-I61</f>
        <v>0</v>
      </c>
      <c r="AF61" s="1529">
        <f>SUMIF('05月其他部门提成'!C:C,'05月提成-武侯售后'!C61,'05月其他部门提成'!Q:Q)</f>
        <v>6309.0379281154701</v>
      </c>
      <c r="AG61" s="1544">
        <f>SUMIF('05月车间提成'!C:C,'05月提成-武侯售后'!C61,'05月车间提成'!W:W)</f>
        <v>0</v>
      </c>
      <c r="AH61" s="1530">
        <f>SUMIF('05月业务提成'!B:B,'05月提成-武侯售后'!C61,'05月业务提成'!BO:BO)</f>
        <v>0</v>
      </c>
      <c r="AI61" s="1530">
        <f t="shared" si="52"/>
        <v>6309.0379281154701</v>
      </c>
      <c r="AJ61" s="1530">
        <f t="shared" si="53"/>
        <v>0</v>
      </c>
      <c r="AK61"/>
    </row>
    <row r="62" spans="1:37" s="1518" customFormat="1" ht="14.1" customHeight="1">
      <c r="A62" s="1531" t="s">
        <v>39</v>
      </c>
      <c r="B62" s="1658"/>
      <c r="C62" s="1553" t="s">
        <v>40</v>
      </c>
      <c r="D62" s="1554">
        <f t="shared" ref="D62:G62" si="54">SUM(D59:D61)</f>
        <v>0</v>
      </c>
      <c r="E62" s="1554">
        <f t="shared" si="54"/>
        <v>2546.36</v>
      </c>
      <c r="F62" s="1554">
        <f t="shared" si="54"/>
        <v>954.3</v>
      </c>
      <c r="G62" s="1554">
        <f t="shared" si="54"/>
        <v>234</v>
      </c>
      <c r="H62" s="1554">
        <f t="shared" ref="H62:AA62" si="55">SUM(H59:H61)</f>
        <v>0</v>
      </c>
      <c r="I62" s="1554">
        <f t="shared" si="55"/>
        <v>4250</v>
      </c>
      <c r="J62" s="1554">
        <f t="shared" si="55"/>
        <v>0</v>
      </c>
      <c r="K62" s="1554">
        <f t="shared" si="55"/>
        <v>21420.897386582601</v>
      </c>
      <c r="L62" s="1554">
        <f t="shared" si="55"/>
        <v>0</v>
      </c>
      <c r="M62" s="1554">
        <f t="shared" si="55"/>
        <v>21420.897386582601</v>
      </c>
      <c r="N62" s="1554">
        <f t="shared" si="55"/>
        <v>0</v>
      </c>
      <c r="O62" s="1555">
        <f t="shared" si="55"/>
        <v>21420.897386582601</v>
      </c>
      <c r="P62" s="1556">
        <f t="shared" si="55"/>
        <v>0</v>
      </c>
      <c r="Q62" s="1554">
        <f t="shared" si="55"/>
        <v>0</v>
      </c>
      <c r="R62" s="1554">
        <f t="shared" si="55"/>
        <v>25670.897386582601</v>
      </c>
      <c r="S62" s="1554">
        <f t="shared" si="55"/>
        <v>103.87</v>
      </c>
      <c r="T62" s="1554">
        <f t="shared" si="55"/>
        <v>0</v>
      </c>
      <c r="U62" s="1554">
        <f t="shared" si="55"/>
        <v>103.87</v>
      </c>
      <c r="V62" s="1554">
        <f t="shared" si="55"/>
        <v>0</v>
      </c>
      <c r="W62" s="1554">
        <f t="shared" si="55"/>
        <v>21317.027386582598</v>
      </c>
      <c r="X62" s="1568">
        <f t="shared" si="55"/>
        <v>0</v>
      </c>
      <c r="Y62" s="1556">
        <f t="shared" si="55"/>
        <v>1246.23066266666</v>
      </c>
      <c r="Z62" s="1554">
        <f t="shared" si="55"/>
        <v>1246.23066266666</v>
      </c>
      <c r="AA62" s="1568">
        <f t="shared" si="55"/>
        <v>0</v>
      </c>
      <c r="AB62" s="1519" t="s">
        <v>102</v>
      </c>
      <c r="AC62" s="291">
        <v>102.91</v>
      </c>
      <c r="AD62" s="1518">
        <f t="shared" ref="AD62:AD90" si="56">COUNTIF(C:C,C62)</f>
        <v>11</v>
      </c>
      <c r="AE62" s="1530" t="e">
        <f>INDEX('05基本'!P:P,MATCH(C62,'05基本'!C:C,0))-I62</f>
        <v>#N/A</v>
      </c>
      <c r="AF62" s="1558"/>
      <c r="AG62" s="1559"/>
      <c r="AH62" s="1560"/>
      <c r="AI62" s="1560"/>
      <c r="AJ62" s="1560"/>
      <c r="AK62" s="1530"/>
    </row>
    <row r="63" spans="1:37" s="1518" customFormat="1" ht="14.1" customHeight="1">
      <c r="A63" s="1531">
        <f>A61+1</f>
        <v>51</v>
      </c>
      <c r="B63" s="1663" t="s">
        <v>103</v>
      </c>
      <c r="C63" s="1619" t="s">
        <v>104</v>
      </c>
      <c r="D63" s="1533">
        <f>INDEX('05基本'!I:I,MATCH(C63,'05基本'!C:C,0))+INDEX('05基本'!J:J,MATCH(C63,'05基本'!C:C,0))</f>
        <v>0</v>
      </c>
      <c r="E63" s="1534">
        <f>INDEX('05基本'!AA:AA,MATCH(C63,'05基本'!C:C,0))</f>
        <v>1372</v>
      </c>
      <c r="F63" s="1534">
        <f>INDEX('05基本'!AB:AB,MATCH(C63,'05基本'!C:C,0))</f>
        <v>520</v>
      </c>
      <c r="G63" s="1534">
        <f>INDEX('05基本'!AC:AC,MATCH(C63,'05基本'!C:C,0))</f>
        <v>117</v>
      </c>
      <c r="H63" s="1534">
        <f>INDEX('05基本'!K:K,MATCH(C63,'05基本'!C:C,0))+INDEX('05基本'!L:L,MATCH(C63,'05基本'!C:C,0))</f>
        <v>0</v>
      </c>
      <c r="I63" s="1534">
        <f>INDEX('05基本'!P:P,MATCH(C63,'05基本'!C:C,0))</f>
        <v>1700</v>
      </c>
      <c r="J63" s="1534">
        <f>INDEX('05基本'!M:M,MATCH(C63,'05基本'!C:C,0))</f>
        <v>0</v>
      </c>
      <c r="K63" s="1535">
        <f>INDEX('05月其他部门提成'!Q:Q,MATCH(C63,'05月其他部门提成'!C:C,0))</f>
        <v>12259.303331421501</v>
      </c>
      <c r="L63" s="1533">
        <f>SUMIF(综合考核!A:A,'05月提成-武侯售后'!C63,综合考核!M:M)</f>
        <v>0</v>
      </c>
      <c r="M63" s="1535">
        <f t="shared" ref="M63:M68" si="57">SUM(K63:L63)</f>
        <v>12259.303331421501</v>
      </c>
      <c r="N63" s="1535">
        <f>SUMIF(服装扣款!C:C,C63,服装扣款!N:N)</f>
        <v>0</v>
      </c>
      <c r="O63" s="1536">
        <f t="shared" ref="O63:O68" si="58">M63-N63</f>
        <v>12259.303331421501</v>
      </c>
      <c r="P63" s="1537">
        <f>SUMIF(超市公积金!C:C,'05月提成-武侯售后'!C63,超市公积金!I:I)</f>
        <v>0</v>
      </c>
      <c r="Q63" s="1535">
        <f>SUMIF(综合考核!A:A,'05月提成-武侯售后'!C63,综合考核!N:N)</f>
        <v>0</v>
      </c>
      <c r="R63" s="1535">
        <f t="shared" ref="R63:R68" si="59">M63+I63+Q63</f>
        <v>13959.303331421501</v>
      </c>
      <c r="S63" s="1535">
        <f t="shared" ref="S63:S68" si="60">INDEX(AC:AC,MATCH(C63,AB:AB,0))</f>
        <v>832.23</v>
      </c>
      <c r="T63" s="1538"/>
      <c r="U63" s="1535">
        <f t="shared" ref="U63:U68" si="61">S63-T63</f>
        <v>832.23</v>
      </c>
      <c r="V63" s="1535">
        <f>INDEX('05基本'!AF:AF,MATCH(C63,'05基本'!C:C,0))</f>
        <v>0</v>
      </c>
      <c r="W63" s="1535">
        <f t="shared" ref="W63:W68" si="62">O63-P63-U63</f>
        <v>11427.073331421499</v>
      </c>
      <c r="X63" s="1542"/>
      <c r="Y63" s="1540">
        <f t="shared" ref="Y63:Y68" si="63">SUM(Z63:AA63)</f>
        <v>426.13950539849901</v>
      </c>
      <c r="Z63" s="1541">
        <f>INDEX('05月其他部门提成'!S:S,MATCH(C63,'05月其他部门提成'!C:C,0))</f>
        <v>426.13950539849901</v>
      </c>
      <c r="AA63" s="1542"/>
      <c r="AB63" s="1519" t="s">
        <v>105</v>
      </c>
      <c r="AC63" s="291">
        <v>0</v>
      </c>
      <c r="AD63" s="1518">
        <f t="shared" si="56"/>
        <v>1</v>
      </c>
      <c r="AE63" s="1530">
        <f>INDEX('05基本'!P:P,MATCH(C63,'05基本'!C:C,0))-I63</f>
        <v>0</v>
      </c>
      <c r="AF63" s="1529">
        <f>SUMIF('05月其他部门提成'!C:C,'05月提成-武侯售后'!C63,'05月其他部门提成'!Q:Q)</f>
        <v>12259.303331421501</v>
      </c>
      <c r="AG63" s="1544">
        <f>SUMIF('05月车间提成'!C:C,'05月提成-武侯售后'!C63,'05月车间提成'!W:W)</f>
        <v>0</v>
      </c>
      <c r="AH63" s="1530">
        <f>SUMIF('05月业务提成'!B:B,'05月提成-武侯售后'!C63,'05月业务提成'!BO:BO)</f>
        <v>0</v>
      </c>
      <c r="AI63" s="1530">
        <f t="shared" ref="AI63:AI68" si="64">AF63+AG63+AH63</f>
        <v>12259.303331421501</v>
      </c>
      <c r="AJ63" s="1530">
        <f t="shared" ref="AJ63:AJ68" si="65">AI63-K63</f>
        <v>0</v>
      </c>
      <c r="AK63"/>
    </row>
    <row r="64" spans="1:37" s="1518" customFormat="1" ht="14.1" customHeight="1">
      <c r="A64" s="1531">
        <f>A63+1</f>
        <v>52</v>
      </c>
      <c r="B64" s="1664"/>
      <c r="C64" s="1619" t="s">
        <v>106</v>
      </c>
      <c r="D64" s="1533">
        <f>INDEX('05基本'!I:I,MATCH(C64,'05基本'!C:C,0))+INDEX('05基本'!J:J,MATCH(C64,'05基本'!C:C,0))</f>
        <v>0</v>
      </c>
      <c r="E64" s="1534">
        <f>INDEX('05基本'!AA:AA,MATCH(C64,'05基本'!C:C,0))</f>
        <v>1268.5899999999999</v>
      </c>
      <c r="F64" s="1534">
        <f>INDEX('05基本'!AB:AB,MATCH(C64,'05基本'!C:C,0))</f>
        <v>477.15</v>
      </c>
      <c r="G64" s="1534">
        <f>INDEX('05基本'!AC:AC,MATCH(C64,'05基本'!C:C,0))</f>
        <v>117</v>
      </c>
      <c r="H64" s="1534">
        <f>INDEX('05基本'!K:K,MATCH(C64,'05基本'!C:C,0))+INDEX('05基本'!L:L,MATCH(C64,'05基本'!C:C,0))</f>
        <v>0</v>
      </c>
      <c r="I64" s="1534">
        <f>INDEX('05基本'!P:P,MATCH(C64,'05基本'!C:C,0))</f>
        <v>900</v>
      </c>
      <c r="J64" s="1534">
        <f>INDEX('05基本'!M:M,MATCH(C64,'05基本'!C:C,0))</f>
        <v>0</v>
      </c>
      <c r="K64" s="1535">
        <f>INDEX('05月其他部门提成'!Q:Q,MATCH(C64,'05月其他部门提成'!C:C,0))</f>
        <v>6438.2434616058899</v>
      </c>
      <c r="L64" s="1533">
        <f>SUMIF(综合考核!A:A,'05月提成-武侯售后'!C64,综合考核!M:M)</f>
        <v>0</v>
      </c>
      <c r="M64" s="1535">
        <f t="shared" si="57"/>
        <v>6438.2434616058899</v>
      </c>
      <c r="N64" s="1535">
        <f>SUMIF(服装扣款!C:C,C64,服装扣款!N:N)</f>
        <v>0</v>
      </c>
      <c r="O64" s="1536">
        <f t="shared" si="58"/>
        <v>6438.2434616058899</v>
      </c>
      <c r="P64" s="1537">
        <f>SUMIF(超市公积金!C:C,'05月提成-武侯售后'!C64,超市公积金!I:I)</f>
        <v>0</v>
      </c>
      <c r="Q64" s="1535">
        <f>SUMIF(综合考核!A:A,'05月提成-武侯售后'!C64,综合考核!N:N)</f>
        <v>0</v>
      </c>
      <c r="R64" s="1535">
        <f t="shared" si="59"/>
        <v>7338.2434616058899</v>
      </c>
      <c r="S64" s="1535">
        <f t="shared" si="60"/>
        <v>0</v>
      </c>
      <c r="T64" s="1538"/>
      <c r="U64" s="1535">
        <f t="shared" si="61"/>
        <v>0</v>
      </c>
      <c r="V64" s="1535">
        <f>INDEX('05基本'!AF:AF,MATCH(C64,'05基本'!C:C,0))</f>
        <v>0</v>
      </c>
      <c r="W64" s="1535">
        <f t="shared" si="62"/>
        <v>6438.2434616058899</v>
      </c>
      <c r="X64" s="1542"/>
      <c r="Y64" s="1540">
        <f t="shared" si="63"/>
        <v>2493.9552628309998</v>
      </c>
      <c r="Z64" s="1541">
        <f>INDEX('05月其他部门提成'!S:S,MATCH(C64,'05月其他部门提成'!C:C,0))</f>
        <v>2493.9552628309998</v>
      </c>
      <c r="AA64" s="1542"/>
      <c r="AB64" s="1519" t="s">
        <v>107</v>
      </c>
      <c r="AC64" s="291">
        <v>84.58</v>
      </c>
      <c r="AD64" s="1518">
        <f t="shared" si="56"/>
        <v>1</v>
      </c>
      <c r="AE64" s="1530">
        <f>INDEX('05基本'!P:P,MATCH(C64,'05基本'!C:C,0))-I64</f>
        <v>0</v>
      </c>
      <c r="AF64" s="1529">
        <f>SUMIF('05月其他部门提成'!C:C,'05月提成-武侯售后'!C64,'05月其他部门提成'!Q:Q)</f>
        <v>6438.2434616058899</v>
      </c>
      <c r="AG64" s="1544">
        <f>SUMIF('05月车间提成'!C:C,'05月提成-武侯售后'!C64,'05月车间提成'!W:W)</f>
        <v>0</v>
      </c>
      <c r="AH64" s="1530">
        <f>SUMIF('05月业务提成'!B:B,'05月提成-武侯售后'!C64,'05月业务提成'!BO:BO)</f>
        <v>0</v>
      </c>
      <c r="AI64" s="1530">
        <f t="shared" si="64"/>
        <v>6438.2434616058899</v>
      </c>
      <c r="AJ64" s="1530">
        <f t="shared" si="65"/>
        <v>0</v>
      </c>
      <c r="AK64"/>
    </row>
    <row r="65" spans="1:41" s="1518" customFormat="1" ht="14.1" customHeight="1">
      <c r="A65" s="1531">
        <f>A64+1</f>
        <v>53</v>
      </c>
      <c r="B65" s="1664"/>
      <c r="C65" s="1507" t="s">
        <v>95</v>
      </c>
      <c r="D65" s="1533">
        <f>INDEX('05基本'!I:I,MATCH(C65,'05基本'!C:C,0))+INDEX('05基本'!J:J,MATCH(C65,'05基本'!C:C,0))</f>
        <v>0</v>
      </c>
      <c r="E65" s="1534">
        <f>INDEX('05基本'!AA:AA,MATCH(C65,'05基本'!C:C,0))</f>
        <v>1268.5899999999999</v>
      </c>
      <c r="F65" s="1534">
        <f>INDEX('05基本'!AB:AB,MATCH(C65,'05基本'!C:C,0))</f>
        <v>477.15</v>
      </c>
      <c r="G65" s="1534">
        <f>INDEX('05基本'!AC:AC,MATCH(C65,'05基本'!C:C,0))</f>
        <v>117</v>
      </c>
      <c r="H65" s="1534">
        <f>INDEX('05基本'!K:K,MATCH(C65,'05基本'!C:C,0))+INDEX('05基本'!L:L,MATCH(C65,'05基本'!C:C,0))</f>
        <v>0</v>
      </c>
      <c r="I65" s="1534">
        <f>INDEX('05基本'!P:P,MATCH(C65,'05基本'!C:C,0))</f>
        <v>900</v>
      </c>
      <c r="J65" s="1534">
        <f>INDEX('05基本'!M:M,MATCH(C65,'05基本'!C:C,0))</f>
        <v>0</v>
      </c>
      <c r="K65" s="1535">
        <f>INDEX('05月其他部门提成'!Q:Q,MATCH(C65,'05月其他部门提成'!C:C,0))</f>
        <v>6360.0566683358202</v>
      </c>
      <c r="L65" s="1533">
        <f>SUMIF(综合考核!A:A,'05月提成-武侯售后'!C65,综合考核!M:M)</f>
        <v>0</v>
      </c>
      <c r="M65" s="1535">
        <f t="shared" si="57"/>
        <v>6360.0566683358202</v>
      </c>
      <c r="N65" s="1535">
        <f>SUMIF(服装扣款!C:C,C65,服装扣款!N:N)</f>
        <v>0</v>
      </c>
      <c r="O65" s="1536">
        <f t="shared" si="58"/>
        <v>6360.0566683358202</v>
      </c>
      <c r="P65" s="1537">
        <f>SUMIF(超市公积金!C:C,'05月提成-武侯售后'!C65,超市公积金!I:I)</f>
        <v>0</v>
      </c>
      <c r="Q65" s="1535">
        <f>SUMIF(综合考核!A:A,'05月提成-武侯售后'!C65,综合考核!N:N)</f>
        <v>0</v>
      </c>
      <c r="R65" s="1535">
        <f t="shared" si="59"/>
        <v>7260.0566683358202</v>
      </c>
      <c r="S65" s="1535">
        <f t="shared" si="60"/>
        <v>49.98</v>
      </c>
      <c r="T65" s="1538"/>
      <c r="U65" s="1535">
        <f t="shared" si="61"/>
        <v>49.98</v>
      </c>
      <c r="V65" s="1535">
        <f>INDEX('05基本'!AF:AF,MATCH(C65,'05基本'!C:C,0))</f>
        <v>0</v>
      </c>
      <c r="W65" s="1535">
        <f t="shared" si="62"/>
        <v>6310.0766683358197</v>
      </c>
      <c r="X65" s="1539"/>
      <c r="Y65" s="1540">
        <f t="shared" si="63"/>
        <v>0</v>
      </c>
      <c r="Z65" s="1541">
        <f>INDEX('05月其他部门提成'!S:S,MATCH(C65,'05月其他部门提成'!C:C,0))</f>
        <v>0</v>
      </c>
      <c r="AA65" s="1542"/>
      <c r="AB65" s="1519" t="s">
        <v>108</v>
      </c>
      <c r="AC65" s="291">
        <v>189.61</v>
      </c>
      <c r="AD65" s="1518">
        <f t="shared" si="56"/>
        <v>1</v>
      </c>
      <c r="AE65" s="1530">
        <f>INDEX('05基本'!P:P,MATCH(C65,'05基本'!C:C,0))-I65</f>
        <v>0</v>
      </c>
      <c r="AF65" s="1529">
        <f>SUMIF('05月其他部门提成'!C:C,'05月提成-武侯售后'!C65,'05月其他部门提成'!Q:Q)</f>
        <v>6360.0566683358202</v>
      </c>
      <c r="AG65" s="1544">
        <f>SUMIF('05月车间提成'!C:C,'05月提成-武侯售后'!C65,'05月车间提成'!W:W)</f>
        <v>0</v>
      </c>
      <c r="AH65" s="1530">
        <f>SUMIF('05月业务提成'!B:B,'05月提成-武侯售后'!C65,'05月业务提成'!BO:BO)</f>
        <v>0</v>
      </c>
      <c r="AI65" s="1530">
        <f t="shared" si="64"/>
        <v>6360.0566683358202</v>
      </c>
      <c r="AJ65" s="1530">
        <f t="shared" si="65"/>
        <v>0</v>
      </c>
      <c r="AK65"/>
    </row>
    <row r="66" spans="1:41" s="1518" customFormat="1" ht="14.1" customHeight="1">
      <c r="A66" s="1531">
        <f>A65+1</f>
        <v>54</v>
      </c>
      <c r="B66" s="1664"/>
      <c r="C66" s="1507" t="s">
        <v>96</v>
      </c>
      <c r="D66" s="1533">
        <f>INDEX('05基本'!I:I,MATCH(C66,'05基本'!C:C,0))+INDEX('05基本'!J:J,MATCH(C66,'05基本'!C:C,0))</f>
        <v>0</v>
      </c>
      <c r="E66" s="1534">
        <f>INDEX('05基本'!AA:AA,MATCH(C66,'05基本'!C:C,0))</f>
        <v>1268.5899999999999</v>
      </c>
      <c r="F66" s="1534">
        <f>INDEX('05基本'!AB:AB,MATCH(C66,'05基本'!C:C,0))</f>
        <v>477.15</v>
      </c>
      <c r="G66" s="1534">
        <f>INDEX('05基本'!AC:AC,MATCH(C66,'05基本'!C:C,0))</f>
        <v>117</v>
      </c>
      <c r="H66" s="1534">
        <f>INDEX('05基本'!K:K,MATCH(C66,'05基本'!C:C,0))+INDEX('05基本'!L:L,MATCH(C66,'05基本'!C:C,0))</f>
        <v>0</v>
      </c>
      <c r="I66" s="1534">
        <f>INDEX('05基本'!P:P,MATCH(C66,'05基本'!C:C,0))</f>
        <v>900</v>
      </c>
      <c r="J66" s="1534">
        <f>INDEX('05基本'!M:M,MATCH(C66,'05基本'!C:C,0))</f>
        <v>0</v>
      </c>
      <c r="K66" s="1535">
        <f>INDEX('05月其他部门提成'!Q:Q,MATCH(C66,'05月其他部门提成'!C:C,0))</f>
        <v>6921.4642212263398</v>
      </c>
      <c r="L66" s="1533">
        <f>SUMIF(综合考核!A:A,'05月提成-武侯售后'!C66,综合考核!M:M)</f>
        <v>0</v>
      </c>
      <c r="M66" s="1535">
        <f t="shared" si="57"/>
        <v>6921.4642212263398</v>
      </c>
      <c r="N66" s="1535">
        <f>SUMIF(服装扣款!C:C,C66,服装扣款!N:N)</f>
        <v>0</v>
      </c>
      <c r="O66" s="1536">
        <f t="shared" si="58"/>
        <v>6921.4642212263398</v>
      </c>
      <c r="P66" s="1537">
        <f>SUMIF(超市公积金!C:C,'05月提成-武侯售后'!C66,超市公积金!I:I)</f>
        <v>0</v>
      </c>
      <c r="Q66" s="1535">
        <f>SUMIF(综合考核!A:A,'05月提成-武侯售后'!C66,综合考核!N:N)</f>
        <v>0</v>
      </c>
      <c r="R66" s="1535">
        <f t="shared" si="59"/>
        <v>7821.4642212263398</v>
      </c>
      <c r="S66" s="1535">
        <f t="shared" si="60"/>
        <v>66.819999999999993</v>
      </c>
      <c r="T66" s="1538"/>
      <c r="U66" s="1535">
        <f t="shared" si="61"/>
        <v>66.819999999999993</v>
      </c>
      <c r="V66" s="1535">
        <f>INDEX('05基本'!AF:AF,MATCH(C66,'05基本'!C:C,0))</f>
        <v>0</v>
      </c>
      <c r="W66" s="1535">
        <f t="shared" si="62"/>
        <v>6854.6442212263401</v>
      </c>
      <c r="X66" s="1539"/>
      <c r="Y66" s="1540">
        <f t="shared" si="63"/>
        <v>0</v>
      </c>
      <c r="Z66" s="1541">
        <f>INDEX('05月其他部门提成'!S:S,MATCH(C66,'05月其他部门提成'!C:C,0))</f>
        <v>0</v>
      </c>
      <c r="AA66" s="1542"/>
      <c r="AB66" s="1519" t="s">
        <v>109</v>
      </c>
      <c r="AC66" s="291">
        <v>48.08</v>
      </c>
      <c r="AD66" s="1518">
        <f t="shared" si="56"/>
        <v>1</v>
      </c>
      <c r="AE66" s="1530">
        <f>INDEX('05基本'!P:P,MATCH(C66,'05基本'!C:C,0))-I66</f>
        <v>0</v>
      </c>
      <c r="AF66" s="1529">
        <f>SUMIF('05月其他部门提成'!C:C,'05月提成-武侯售后'!C66,'05月其他部门提成'!Q:Q)</f>
        <v>6921.4642212263398</v>
      </c>
      <c r="AG66" s="1544">
        <f>SUMIF('05月车间提成'!C:C,'05月提成-武侯售后'!C66,'05月车间提成'!W:W)</f>
        <v>0</v>
      </c>
      <c r="AH66" s="1530">
        <f>SUMIF('05月业务提成'!B:B,'05月提成-武侯售后'!C66,'05月业务提成'!BO:BO)</f>
        <v>0</v>
      </c>
      <c r="AI66" s="1530">
        <f t="shared" si="64"/>
        <v>6921.4642212263398</v>
      </c>
      <c r="AJ66" s="1530">
        <f t="shared" si="65"/>
        <v>0</v>
      </c>
      <c r="AK66"/>
    </row>
    <row r="67" spans="1:41" s="1518" customFormat="1" ht="14.1" customHeight="1">
      <c r="A67" s="1531">
        <f>A66+1</f>
        <v>55</v>
      </c>
      <c r="B67" s="1664"/>
      <c r="C67" s="1507" t="s">
        <v>99</v>
      </c>
      <c r="D67" s="1533">
        <f>INDEX('05基本'!I:I,MATCH(C67,'05基本'!C:C,0))+INDEX('05基本'!J:J,MATCH(C67,'05基本'!C:C,0))</f>
        <v>0</v>
      </c>
      <c r="E67" s="1534">
        <f>INDEX('05基本'!AA:AA,MATCH(C67,'05基本'!C:C,0))</f>
        <v>1268.5899999999999</v>
      </c>
      <c r="F67" s="1534">
        <f>INDEX('05基本'!AB:AB,MATCH(C67,'05基本'!C:C,0))</f>
        <v>477.15</v>
      </c>
      <c r="G67" s="1534">
        <f>INDEX('05基本'!AC:AC,MATCH(C67,'05基本'!C:C,0))</f>
        <v>117</v>
      </c>
      <c r="H67" s="1534">
        <f>INDEX('05基本'!K:K,MATCH(C67,'05基本'!C:C,0))+INDEX('05基本'!L:L,MATCH(C67,'05基本'!C:C,0))</f>
        <v>0</v>
      </c>
      <c r="I67" s="1534">
        <f>INDEX('05基本'!P:P,MATCH(C67,'05基本'!C:C,0))</f>
        <v>900</v>
      </c>
      <c r="J67" s="1534">
        <f>INDEX('05基本'!M:M,MATCH(C67,'05基本'!C:C,0))</f>
        <v>0</v>
      </c>
      <c r="K67" s="1535">
        <f>INDEX('05月其他部门提成'!Q:Q,MATCH(C67,'05月其他部门提成'!C:C,0))</f>
        <v>6921.4642212263398</v>
      </c>
      <c r="L67" s="1533">
        <f>SUMIF(综合考核!A:A,'05月提成-武侯售后'!C67,综合考核!M:M)</f>
        <v>0</v>
      </c>
      <c r="M67" s="1535">
        <f t="shared" si="57"/>
        <v>6921.4642212263398</v>
      </c>
      <c r="N67" s="1535">
        <f>SUMIF(服装扣款!C:C,C67,服装扣款!N:N)</f>
        <v>0</v>
      </c>
      <c r="O67" s="1536">
        <f t="shared" si="58"/>
        <v>6921.4642212263398</v>
      </c>
      <c r="P67" s="1537">
        <f>SUMIF(超市公积金!C:C,'05月提成-武侯售后'!C67,超市公积金!I:I)</f>
        <v>0</v>
      </c>
      <c r="Q67" s="1535">
        <f>SUMIF(综合考核!A:A,'05月提成-武侯售后'!C67,综合考核!N:N)</f>
        <v>0</v>
      </c>
      <c r="R67" s="1535">
        <f t="shared" si="59"/>
        <v>7821.4642212263398</v>
      </c>
      <c r="S67" s="1535">
        <f t="shared" si="60"/>
        <v>66.819999999999993</v>
      </c>
      <c r="T67" s="1538"/>
      <c r="U67" s="1535">
        <f t="shared" si="61"/>
        <v>66.819999999999993</v>
      </c>
      <c r="V67" s="1535">
        <f>INDEX('05基本'!AF:AF,MATCH(C67,'05基本'!C:C,0))</f>
        <v>0</v>
      </c>
      <c r="W67" s="1535">
        <f t="shared" si="62"/>
        <v>6854.6442212263401</v>
      </c>
      <c r="X67" s="1539"/>
      <c r="Y67" s="1540">
        <f t="shared" si="63"/>
        <v>0</v>
      </c>
      <c r="Z67" s="1541">
        <f>INDEX('05月其他部门提成'!S:S,MATCH(C67,'05月其他部门提成'!C:C,0))</f>
        <v>0</v>
      </c>
      <c r="AA67" s="1542"/>
      <c r="AB67" s="1519" t="s">
        <v>110</v>
      </c>
      <c r="AC67" s="291">
        <v>0</v>
      </c>
      <c r="AD67" s="1518">
        <f t="shared" si="56"/>
        <v>1</v>
      </c>
      <c r="AE67" s="1530">
        <f>INDEX('05基本'!P:P,MATCH(C67,'05基本'!C:C,0))-I67</f>
        <v>0</v>
      </c>
      <c r="AF67" s="1529">
        <f>SUMIF('05月其他部门提成'!C:C,'05月提成-武侯售后'!C67,'05月其他部门提成'!Q:Q)</f>
        <v>6921.4642212263398</v>
      </c>
      <c r="AG67" s="1544">
        <f>SUMIF('05月车间提成'!C:C,'05月提成-武侯售后'!C67,'05月车间提成'!W:W)</f>
        <v>0</v>
      </c>
      <c r="AH67" s="1530">
        <f>SUMIF('05月业务提成'!B:B,'05月提成-武侯售后'!C67,'05月业务提成'!BO:BO)</f>
        <v>0</v>
      </c>
      <c r="AI67" s="1530">
        <f t="shared" si="64"/>
        <v>6921.4642212263398</v>
      </c>
      <c r="AJ67" s="1530">
        <f t="shared" si="65"/>
        <v>0</v>
      </c>
      <c r="AK67"/>
    </row>
    <row r="68" spans="1:41" s="1518" customFormat="1" ht="14.1" customHeight="1">
      <c r="A68" s="1531">
        <f>A67+1</f>
        <v>56</v>
      </c>
      <c r="B68" s="1664"/>
      <c r="C68" s="1507" t="s">
        <v>100</v>
      </c>
      <c r="D68" s="1533">
        <f>INDEX('05基本'!I:I,MATCH(C68,'05基本'!C:C,0))+INDEX('05基本'!J:J,MATCH(C68,'05基本'!C:C,0))</f>
        <v>0</v>
      </c>
      <c r="E68" s="1534">
        <f>INDEX('05基本'!AA:AA,MATCH(C68,'05基本'!C:C,0))</f>
        <v>1268.5899999999999</v>
      </c>
      <c r="F68" s="1534">
        <f>INDEX('05基本'!AB:AB,MATCH(C68,'05基本'!C:C,0))</f>
        <v>477.15</v>
      </c>
      <c r="G68" s="1534">
        <f>INDEX('05基本'!AC:AC,MATCH(C68,'05基本'!C:C,0))</f>
        <v>117</v>
      </c>
      <c r="H68" s="1534">
        <f>INDEX('05基本'!K:K,MATCH(C68,'05基本'!C:C,0))+INDEX('05基本'!L:L,MATCH(C68,'05基本'!C:C,0))</f>
        <v>0</v>
      </c>
      <c r="I68" s="1534">
        <f>INDEX('05基本'!P:P,MATCH(C68,'05基本'!C:C,0))</f>
        <v>900</v>
      </c>
      <c r="J68" s="1534">
        <f>INDEX('05基本'!M:M,MATCH(C68,'05基本'!C:C,0))</f>
        <v>0</v>
      </c>
      <c r="K68" s="1535">
        <f>INDEX('05月其他部门提成'!Q:Q,MATCH(C68,'05月其他部门提成'!C:C,0))</f>
        <v>6893.2642212263399</v>
      </c>
      <c r="L68" s="1533">
        <f>SUMIF(综合考核!A:A,'05月提成-武侯售后'!C68,综合考核!M:M)</f>
        <v>0</v>
      </c>
      <c r="M68" s="1535">
        <f t="shared" si="57"/>
        <v>6893.2642212263399</v>
      </c>
      <c r="N68" s="1535">
        <f>SUMIF(服装扣款!C:C,C68,服装扣款!N:N)</f>
        <v>0</v>
      </c>
      <c r="O68" s="1536">
        <f t="shared" si="58"/>
        <v>6893.2642212263399</v>
      </c>
      <c r="P68" s="1537">
        <f>SUMIF(超市公积金!C:C,'05月提成-武侯售后'!C68,超市公积金!I:I)</f>
        <v>0</v>
      </c>
      <c r="Q68" s="1535">
        <f>SUMIF(综合考核!A:A,'05月提成-武侯售后'!C68,综合考核!N:N)</f>
        <v>0</v>
      </c>
      <c r="R68" s="1535">
        <f t="shared" si="59"/>
        <v>7793.2642212263399</v>
      </c>
      <c r="S68" s="1535">
        <f t="shared" si="60"/>
        <v>65.98</v>
      </c>
      <c r="T68" s="1538"/>
      <c r="U68" s="1535">
        <f t="shared" si="61"/>
        <v>65.98</v>
      </c>
      <c r="V68" s="1535">
        <f>INDEX('05基本'!AF:AF,MATCH(C68,'05基本'!C:C,0))</f>
        <v>0</v>
      </c>
      <c r="W68" s="1535">
        <f t="shared" si="62"/>
        <v>6827.2842212263404</v>
      </c>
      <c r="X68" s="1539"/>
      <c r="Y68" s="1540">
        <f t="shared" si="63"/>
        <v>0</v>
      </c>
      <c r="Z68" s="1541">
        <f>INDEX('05月其他部门提成'!S:S,MATCH(C68,'05月其他部门提成'!C:C,0))</f>
        <v>0</v>
      </c>
      <c r="AA68" s="1542"/>
      <c r="AB68" s="1519" t="s">
        <v>111</v>
      </c>
      <c r="AC68" s="291">
        <v>53.38</v>
      </c>
      <c r="AD68" s="1518">
        <f t="shared" si="56"/>
        <v>1</v>
      </c>
      <c r="AE68" s="1530">
        <f>INDEX('05基本'!P:P,MATCH(C68,'05基本'!C:C,0))-I68</f>
        <v>0</v>
      </c>
      <c r="AF68" s="1529">
        <f>SUMIF('05月其他部门提成'!C:C,'05月提成-武侯售后'!C68,'05月其他部门提成'!Q:Q)</f>
        <v>6893.2642212263399</v>
      </c>
      <c r="AG68" s="1544">
        <f>SUMIF('05月车间提成'!C:C,'05月提成-武侯售后'!C68,'05月车间提成'!W:W)</f>
        <v>0</v>
      </c>
      <c r="AH68" s="1530">
        <f>SUMIF('05月业务提成'!B:B,'05月提成-武侯售后'!C68,'05月业务提成'!BO:BO)</f>
        <v>0</v>
      </c>
      <c r="AI68" s="1530">
        <f t="shared" si="64"/>
        <v>6893.2642212263399</v>
      </c>
      <c r="AJ68" s="1530">
        <f t="shared" si="65"/>
        <v>0</v>
      </c>
      <c r="AK68"/>
    </row>
    <row r="69" spans="1:41" s="1518" customFormat="1" ht="14.1" customHeight="1">
      <c r="A69" s="1531"/>
      <c r="B69" s="1662"/>
      <c r="C69" s="1553" t="s">
        <v>40</v>
      </c>
      <c r="D69" s="1554">
        <f t="shared" ref="D69:G69" si="66">SUM(D63:D68)</f>
        <v>0</v>
      </c>
      <c r="E69" s="1554">
        <f t="shared" si="66"/>
        <v>7714.95</v>
      </c>
      <c r="F69" s="1554">
        <f t="shared" si="66"/>
        <v>2905.75</v>
      </c>
      <c r="G69" s="1554">
        <f t="shared" si="66"/>
        <v>702</v>
      </c>
      <c r="H69" s="1554">
        <f t="shared" ref="H69:AA69" si="67">SUM(H63:H68)</f>
        <v>0</v>
      </c>
      <c r="I69" s="1554">
        <f t="shared" si="67"/>
        <v>6200</v>
      </c>
      <c r="J69" s="1554">
        <f t="shared" si="67"/>
        <v>0</v>
      </c>
      <c r="K69" s="1554">
        <f t="shared" si="67"/>
        <v>45793.796125042201</v>
      </c>
      <c r="L69" s="1554">
        <f t="shared" si="67"/>
        <v>0</v>
      </c>
      <c r="M69" s="1554">
        <f t="shared" si="67"/>
        <v>45793.796125042201</v>
      </c>
      <c r="N69" s="1554">
        <f t="shared" si="67"/>
        <v>0</v>
      </c>
      <c r="O69" s="1555">
        <f t="shared" si="67"/>
        <v>45793.796125042201</v>
      </c>
      <c r="P69" s="1556">
        <f t="shared" si="67"/>
        <v>0</v>
      </c>
      <c r="Q69" s="1554">
        <f t="shared" si="67"/>
        <v>0</v>
      </c>
      <c r="R69" s="1554">
        <f t="shared" si="67"/>
        <v>51993.796125042201</v>
      </c>
      <c r="S69" s="1554">
        <f t="shared" si="67"/>
        <v>1081.83</v>
      </c>
      <c r="T69" s="1554">
        <f t="shared" si="67"/>
        <v>0</v>
      </c>
      <c r="U69" s="1554">
        <f t="shared" si="67"/>
        <v>1081.83</v>
      </c>
      <c r="V69" s="1554">
        <f t="shared" si="67"/>
        <v>0</v>
      </c>
      <c r="W69" s="1554">
        <f t="shared" si="67"/>
        <v>44711.9661250422</v>
      </c>
      <c r="X69" s="1568">
        <f t="shared" si="67"/>
        <v>0</v>
      </c>
      <c r="Y69" s="1556">
        <f t="shared" si="67"/>
        <v>2920.0947682295</v>
      </c>
      <c r="Z69" s="1554">
        <f t="shared" si="67"/>
        <v>2920.0947682295</v>
      </c>
      <c r="AA69" s="1568">
        <f t="shared" si="67"/>
        <v>0</v>
      </c>
      <c r="AB69" s="1519" t="s">
        <v>112</v>
      </c>
      <c r="AC69" s="291">
        <v>0</v>
      </c>
      <c r="AD69" s="1518">
        <f t="shared" si="56"/>
        <v>11</v>
      </c>
      <c r="AE69" s="1530" t="e">
        <f>INDEX('05基本'!P:P,MATCH(C69,'05基本'!C:C,0))-I69</f>
        <v>#N/A</v>
      </c>
      <c r="AF69" s="1558"/>
      <c r="AG69" s="1559"/>
      <c r="AH69" s="1560"/>
      <c r="AI69" s="1560"/>
      <c r="AJ69" s="1560"/>
      <c r="AK69" s="1530"/>
    </row>
    <row r="70" spans="1:41" s="1512" customFormat="1" ht="14.1" customHeight="1">
      <c r="A70" s="1531"/>
      <c r="B70" s="1564" t="s">
        <v>113</v>
      </c>
      <c r="C70" s="1565"/>
      <c r="D70" s="1566">
        <f t="shared" ref="D70:G70" si="68">D8+D19+D45+D62+D69+D58+D26+D42+D14</f>
        <v>448</v>
      </c>
      <c r="E70" s="1566">
        <f t="shared" si="68"/>
        <v>61817.14</v>
      </c>
      <c r="F70" s="1566">
        <f t="shared" si="68"/>
        <v>23282.6</v>
      </c>
      <c r="G70" s="1566">
        <f t="shared" si="68"/>
        <v>5616</v>
      </c>
      <c r="H70" s="1566">
        <f t="shared" ref="H70:AA70" si="69">H8+H19+H45+H62+H69+H58+H26+H42+H14</f>
        <v>2824</v>
      </c>
      <c r="I70" s="1566">
        <f t="shared" si="69"/>
        <v>74832</v>
      </c>
      <c r="J70" s="1566">
        <f t="shared" si="69"/>
        <v>2000</v>
      </c>
      <c r="K70" s="1566">
        <f t="shared" si="69"/>
        <v>363174.85229397198</v>
      </c>
      <c r="L70" s="1566">
        <f t="shared" si="69"/>
        <v>1590</v>
      </c>
      <c r="M70" s="1566">
        <f t="shared" si="69"/>
        <v>364764.85229397198</v>
      </c>
      <c r="N70" s="1566">
        <f t="shared" si="69"/>
        <v>0</v>
      </c>
      <c r="O70" s="1566">
        <f t="shared" si="69"/>
        <v>364764.85229397198</v>
      </c>
      <c r="P70" s="1566">
        <f t="shared" si="69"/>
        <v>0</v>
      </c>
      <c r="Q70" s="1566">
        <f t="shared" si="69"/>
        <v>300</v>
      </c>
      <c r="R70" s="1566">
        <f t="shared" si="69"/>
        <v>439896.85229397198</v>
      </c>
      <c r="S70" s="1566">
        <f t="shared" si="69"/>
        <v>10097.93</v>
      </c>
      <c r="T70" s="1566">
        <f t="shared" si="69"/>
        <v>0</v>
      </c>
      <c r="U70" s="1566">
        <f t="shared" si="69"/>
        <v>10097.93</v>
      </c>
      <c r="V70" s="1566">
        <f t="shared" si="69"/>
        <v>0</v>
      </c>
      <c r="W70" s="1566">
        <f t="shared" si="69"/>
        <v>354666.92229397199</v>
      </c>
      <c r="X70" s="1566">
        <f t="shared" si="69"/>
        <v>0</v>
      </c>
      <c r="Y70" s="1566">
        <f t="shared" si="69"/>
        <v>16177.276859896199</v>
      </c>
      <c r="Z70" s="1566">
        <f t="shared" si="69"/>
        <v>15806.2241488038</v>
      </c>
      <c r="AA70" s="1566">
        <f t="shared" si="69"/>
        <v>4053.8206285000001</v>
      </c>
      <c r="AB70" s="1519" t="s">
        <v>114</v>
      </c>
      <c r="AC70" s="291">
        <v>72.39</v>
      </c>
      <c r="AD70" s="1518">
        <f t="shared" si="56"/>
        <v>0</v>
      </c>
      <c r="AE70" s="1530" t="e">
        <f>INDEX('05基本'!P:P,MATCH(C70,'05基本'!C:C,0))-I70</f>
        <v>#N/A</v>
      </c>
      <c r="AF70" s="1558"/>
      <c r="AG70" s="1559"/>
      <c r="AH70" s="1560"/>
      <c r="AI70" s="1560"/>
      <c r="AJ70" s="1560"/>
      <c r="AK70" s="1530"/>
    </row>
    <row r="71" spans="1:41" s="1518" customFormat="1" ht="15" customHeight="1">
      <c r="A71" s="1531">
        <f>A68+1</f>
        <v>57</v>
      </c>
      <c r="B71" s="1657" t="s">
        <v>115</v>
      </c>
      <c r="C71" s="1507" t="s">
        <v>101</v>
      </c>
      <c r="D71" s="1533">
        <f>INDEX('05基本'!I:I,MATCH(C71,'05基本'!C:C,0))+INDEX('05基本'!J:J,MATCH(C71,'05基本'!C:C,0))</f>
        <v>0</v>
      </c>
      <c r="E71" s="1534">
        <f>INDEX('05基本'!AA:AA,MATCH(C71,'05基本'!C:C,0))</f>
        <v>1268.5899999999999</v>
      </c>
      <c r="F71" s="1534">
        <f>INDEX('05基本'!AB:AB,MATCH(C71,'05基本'!C:C,0))</f>
        <v>477.15</v>
      </c>
      <c r="G71" s="1534">
        <f>INDEX('05基本'!AC:AC,MATCH(C71,'05基本'!C:C,0))</f>
        <v>117</v>
      </c>
      <c r="H71" s="1534">
        <f>INDEX('05基本'!K:K,MATCH(C71,'05基本'!C:C,0))+INDEX('05基本'!L:L,MATCH(C71,'05基本'!C:C,0))</f>
        <v>100</v>
      </c>
      <c r="I71" s="1534">
        <f>INDEX('05基本'!P:P,MATCH(C71,'05基本'!C:C,0))</f>
        <v>1700</v>
      </c>
      <c r="J71" s="1534">
        <f>INDEX('05基本'!M:M,MATCH(C71,'05基本'!C:C,0))</f>
        <v>0</v>
      </c>
      <c r="K71" s="1535">
        <f>INDEX('05月其他部门提成'!Q:Q,MATCH(C71,'05月其他部门提成'!C:C,0))</f>
        <v>12324.340391415</v>
      </c>
      <c r="L71" s="1533">
        <f>SUMIF(综合考核!A:A,'05月提成-武侯售后'!C71,综合考核!M:M)</f>
        <v>0</v>
      </c>
      <c r="M71" s="1535">
        <f>SUM(K71:L71)</f>
        <v>12324.340391415</v>
      </c>
      <c r="N71" s="1535">
        <f>SUMIF(服装扣款!C:C,C71,服装扣款!N:N)</f>
        <v>0</v>
      </c>
      <c r="O71" s="1536">
        <f>M71-N71</f>
        <v>12324.340391415</v>
      </c>
      <c r="P71" s="1537">
        <f>SUMIF(超市公积金!C:C,'05月提成-武侯售后'!C71,超市公积金!I:I)</f>
        <v>0</v>
      </c>
      <c r="Q71" s="1535">
        <f>SUMIF(综合考核!A:A,'05月提成-武侯售后'!C71,综合考核!N:N)</f>
        <v>0</v>
      </c>
      <c r="R71" s="1535">
        <f>M71+I71+Q71</f>
        <v>14024.340391415</v>
      </c>
      <c r="S71" s="1535">
        <f>INDEX(AC:AC,MATCH(C71,AB:AB,0))</f>
        <v>102.9</v>
      </c>
      <c r="T71" s="1538"/>
      <c r="U71" s="1535">
        <f>S71-T71</f>
        <v>102.9</v>
      </c>
      <c r="V71" s="1535">
        <f>INDEX('05基本'!AF:AF,MATCH(C71,'05基本'!C:C,0))</f>
        <v>0</v>
      </c>
      <c r="W71" s="1535">
        <f>O71-P71-U71</f>
        <v>12221.440391415001</v>
      </c>
      <c r="X71" s="1542"/>
      <c r="Y71" s="1540">
        <f>SUM(Z71:AA71)</f>
        <v>648.64949428499904</v>
      </c>
      <c r="Z71" s="1541">
        <f>INDEX('05月其他部门提成'!S:S,MATCH(C71,'05月其他部门提成'!C:C,0))</f>
        <v>648.64949428499904</v>
      </c>
      <c r="AA71" s="1542"/>
      <c r="AB71" s="1519" t="s">
        <v>116</v>
      </c>
      <c r="AC71" s="291">
        <v>0</v>
      </c>
      <c r="AD71" s="1518">
        <f t="shared" si="56"/>
        <v>1</v>
      </c>
      <c r="AE71" s="1530">
        <f>INDEX('05基本'!P:P,MATCH(C71,'05基本'!C:C,0))-I71</f>
        <v>0</v>
      </c>
      <c r="AF71" s="1529">
        <f>SUMIF('05月其他部门提成'!C:C,'05月提成-武侯售后'!C71,'05月其他部门提成'!Q:Q)</f>
        <v>12324.340391415</v>
      </c>
      <c r="AG71" s="1544">
        <f>SUMIF('05月车间提成'!C:C,'05月提成-武侯售后'!C71,'05月车间提成'!W:W)</f>
        <v>0</v>
      </c>
      <c r="AH71" s="1530">
        <f>SUMIF('05月业务提成'!B:B,'05月提成-武侯售后'!C71,'05月业务提成'!BO:BO)</f>
        <v>0</v>
      </c>
      <c r="AI71" s="1530">
        <f t="shared" ref="AI71:AI75" si="70">AF71+AG71+AH71</f>
        <v>12324.340391415</v>
      </c>
      <c r="AJ71" s="1530">
        <f t="shared" ref="AJ71:AJ75" si="71">AI71-K71</f>
        <v>0</v>
      </c>
      <c r="AK71"/>
      <c r="AL71"/>
      <c r="AM71"/>
      <c r="AN71"/>
      <c r="AO71"/>
    </row>
    <row r="72" spans="1:41" s="1518" customFormat="1" ht="15" customHeight="1">
      <c r="A72" s="1531">
        <f>A71+1</f>
        <v>58</v>
      </c>
      <c r="B72" s="1657"/>
      <c r="C72" s="1507" t="s">
        <v>102</v>
      </c>
      <c r="D72" s="1533">
        <f>INDEX('05基本'!I:I,MATCH(C72,'05基本'!C:C,0))+INDEX('05基本'!J:J,MATCH(C72,'05基本'!C:C,0))</f>
        <v>0</v>
      </c>
      <c r="E72" s="1534">
        <f>INDEX('05基本'!AA:AA,MATCH(C72,'05基本'!C:C,0))</f>
        <v>1268.5899999999999</v>
      </c>
      <c r="F72" s="1534">
        <f>INDEX('05基本'!AB:AB,MATCH(C72,'05基本'!C:C,0))</f>
        <v>477.15</v>
      </c>
      <c r="G72" s="1534">
        <f>INDEX('05基本'!AC:AC,MATCH(C72,'05基本'!C:C,0))</f>
        <v>117</v>
      </c>
      <c r="H72" s="1534">
        <f>INDEX('05基本'!K:K,MATCH(C72,'05基本'!C:C,0))+INDEX('05基本'!L:L,MATCH(C72,'05基本'!C:C,0))</f>
        <v>100</v>
      </c>
      <c r="I72" s="1534">
        <f>INDEX('05基本'!P:P,MATCH(C72,'05基本'!C:C,0))</f>
        <v>1700</v>
      </c>
      <c r="J72" s="1534">
        <f>INDEX('05基本'!M:M,MATCH(C72,'05基本'!C:C,0))</f>
        <v>0</v>
      </c>
      <c r="K72" s="1535">
        <f>INDEX('05月其他部门提成'!Q:Q,MATCH(C72,'05月其他部门提成'!C:C,0))</f>
        <v>12324.340391415</v>
      </c>
      <c r="L72" s="1533">
        <f>SUMIF(综合考核!A:A,'05月提成-武侯售后'!C72,综合考核!M:M)</f>
        <v>0</v>
      </c>
      <c r="M72" s="1535">
        <f>SUM(K72:L72)</f>
        <v>12324.340391415</v>
      </c>
      <c r="N72" s="1535">
        <f>SUMIF(服装扣款!C:C,C72,服装扣款!N:N)</f>
        <v>0</v>
      </c>
      <c r="O72" s="1536">
        <f>M72-N72</f>
        <v>12324.340391415</v>
      </c>
      <c r="P72" s="1537">
        <f>SUMIF(超市公积金!C:C,'05月提成-武侯售后'!C72,超市公积金!I:I)</f>
        <v>0</v>
      </c>
      <c r="Q72" s="1535">
        <f>SUMIF(综合考核!A:A,'05月提成-武侯售后'!C72,综合考核!N:N)</f>
        <v>0</v>
      </c>
      <c r="R72" s="1535">
        <f>M72+I72+Q72</f>
        <v>14024.340391415</v>
      </c>
      <c r="S72" s="1535">
        <f>INDEX(AC:AC,MATCH(C72,AB:AB,0))</f>
        <v>102.91</v>
      </c>
      <c r="T72" s="1538"/>
      <c r="U72" s="1535">
        <f>S72-T72</f>
        <v>102.91</v>
      </c>
      <c r="V72" s="1535">
        <f>INDEX('05基本'!AF:AF,MATCH(C72,'05基本'!C:C,0))</f>
        <v>0</v>
      </c>
      <c r="W72" s="1535">
        <f>O72-P72-U72</f>
        <v>12221.430391415</v>
      </c>
      <c r="X72" s="1542"/>
      <c r="Y72" s="1540">
        <f>SUM(Z72:AA72)</f>
        <v>648.64949428499904</v>
      </c>
      <c r="Z72" s="1541">
        <f>INDEX('05月其他部门提成'!S:S,MATCH(C72,'05月其他部门提成'!C:C,0))</f>
        <v>648.64949428499904</v>
      </c>
      <c r="AA72" s="1542"/>
      <c r="AB72" s="1519" t="s">
        <v>117</v>
      </c>
      <c r="AC72" s="291">
        <v>99.98</v>
      </c>
      <c r="AD72" s="1518">
        <f t="shared" si="56"/>
        <v>1</v>
      </c>
      <c r="AE72" s="1530">
        <f>INDEX('05基本'!P:P,MATCH(C72,'05基本'!C:C,0))-I72</f>
        <v>0</v>
      </c>
      <c r="AF72" s="1529">
        <f>SUMIF('05月其他部门提成'!C:C,'05月提成-武侯售后'!C72,'05月其他部门提成'!Q:Q)</f>
        <v>12324.340391415</v>
      </c>
      <c r="AG72" s="1544">
        <f>SUMIF('05月车间提成'!C:C,'05月提成-武侯售后'!C72,'05月车间提成'!W:W)</f>
        <v>0</v>
      </c>
      <c r="AH72" s="1530">
        <f>SUMIF('05月业务提成'!B:B,'05月提成-武侯售后'!C72,'05月业务提成'!BO:BO)</f>
        <v>0</v>
      </c>
      <c r="AI72" s="1530">
        <f t="shared" si="70"/>
        <v>12324.340391415</v>
      </c>
      <c r="AJ72" s="1530">
        <f t="shared" si="71"/>
        <v>0</v>
      </c>
      <c r="AK72"/>
      <c r="AL72"/>
      <c r="AM72"/>
      <c r="AN72"/>
      <c r="AO72"/>
    </row>
    <row r="73" spans="1:41" s="1518" customFormat="1" ht="15" customHeight="1">
      <c r="A73" s="1531">
        <f t="shared" ref="A73:A75" si="72">A72+1</f>
        <v>59</v>
      </c>
      <c r="B73" s="1658"/>
      <c r="C73" s="1507" t="s">
        <v>105</v>
      </c>
      <c r="D73" s="1533">
        <f>INDEX('05基本'!I:I,MATCH(C73,'05基本'!C:C,0))+INDEX('05基本'!J:J,MATCH(C73,'05基本'!C:C,0))</f>
        <v>0</v>
      </c>
      <c r="E73" s="1534">
        <f>INDEX('05基本'!AA:AA,MATCH(C73,'05基本'!C:C,0))</f>
        <v>1268.5899999999999</v>
      </c>
      <c r="F73" s="1534">
        <f>INDEX('05基本'!AB:AB,MATCH(C73,'05基本'!C:C,0))</f>
        <v>477.15</v>
      </c>
      <c r="G73" s="1534">
        <f>INDEX('05基本'!AC:AC,MATCH(C73,'05基本'!C:C,0))</f>
        <v>117</v>
      </c>
      <c r="H73" s="1534">
        <f>INDEX('05基本'!K:K,MATCH(C73,'05基本'!C:C,0))+INDEX('05基本'!L:L,MATCH(C73,'05基本'!C:C,0))</f>
        <v>0</v>
      </c>
      <c r="I73" s="1534">
        <f>INDEX('05基本'!P:P,MATCH(C73,'05基本'!C:C,0))</f>
        <v>1200</v>
      </c>
      <c r="J73" s="1534">
        <f>INDEX('05基本'!M:M,MATCH(C73,'05基本'!C:C,0))</f>
        <v>0</v>
      </c>
      <c r="K73" s="1535">
        <f>INDEX('05月其他部门提成'!Q:Q,MATCH(C73,'05月其他部门提成'!C:C,0))</f>
        <v>8713.3169595689797</v>
      </c>
      <c r="L73" s="1533">
        <f>SUMIF(综合考核!A:A,'05月提成-武侯售后'!C73,综合考核!M:M)</f>
        <v>0</v>
      </c>
      <c r="M73" s="1535">
        <f>SUM(K73:L73)</f>
        <v>8713.3169595689797</v>
      </c>
      <c r="N73" s="1535">
        <f>SUMIF(服装扣款!C:C,C73,服装扣款!N:N)</f>
        <v>0</v>
      </c>
      <c r="O73" s="1536">
        <f>M73-N73</f>
        <v>8713.3169595689797</v>
      </c>
      <c r="P73" s="1537">
        <f>SUMIF(超市公积金!C:C,'05月提成-武侯售后'!C73,超市公积金!I:I)</f>
        <v>0</v>
      </c>
      <c r="Q73" s="1535">
        <f>SUMIF(综合考核!A:A,'05月提成-武侯售后'!C73,综合考核!N:N)</f>
        <v>0</v>
      </c>
      <c r="R73" s="1535">
        <f>M73+I73+Q73</f>
        <v>9913.3169595689797</v>
      </c>
      <c r="S73" s="1535">
        <f>INDEX(AC:AC,MATCH(C73,AB:AB,0))</f>
        <v>0</v>
      </c>
      <c r="T73" s="1538"/>
      <c r="U73" s="1535">
        <f>S73-T73</f>
        <v>0</v>
      </c>
      <c r="V73" s="1535">
        <f>INDEX('05基本'!AF:AF,MATCH(C73,'05基本'!C:C,0))</f>
        <v>0</v>
      </c>
      <c r="W73" s="1535">
        <f>O73-P73-U73</f>
        <v>8713.3169595689797</v>
      </c>
      <c r="X73" s="1542"/>
      <c r="Y73" s="1540">
        <f>SUM(Z73:AA73)</f>
        <v>614.14231715099902</v>
      </c>
      <c r="Z73" s="1541">
        <f>INDEX('05月其他部门提成'!S:S,MATCH(C73,'05月其他部门提成'!C:C,0))</f>
        <v>614.14231715099902</v>
      </c>
      <c r="AA73" s="1542"/>
      <c r="AB73" s="1519" t="s">
        <v>118</v>
      </c>
      <c r="AC73" s="291">
        <v>51.33</v>
      </c>
      <c r="AD73" s="1518">
        <f t="shared" si="56"/>
        <v>1</v>
      </c>
      <c r="AE73" s="1530">
        <f>INDEX('05基本'!P:P,MATCH(C73,'05基本'!C:C,0))-I73</f>
        <v>0</v>
      </c>
      <c r="AF73" s="1529">
        <f>SUMIF('05月其他部门提成'!C:C,'05月提成-武侯售后'!C73,'05月其他部门提成'!Q:Q)</f>
        <v>8713.3169595689797</v>
      </c>
      <c r="AG73" s="1544">
        <f>SUMIF('05月车间提成'!C:C,'05月提成-武侯售后'!C73,'05月车间提成'!W:W)</f>
        <v>0</v>
      </c>
      <c r="AH73" s="1530">
        <f>SUMIF('05月业务提成'!B:B,'05月提成-武侯售后'!C73,'05月业务提成'!BO:BO)</f>
        <v>0</v>
      </c>
      <c r="AI73" s="1530">
        <f t="shared" si="70"/>
        <v>8713.3169595689797</v>
      </c>
      <c r="AJ73" s="1530">
        <f t="shared" si="71"/>
        <v>0</v>
      </c>
      <c r="AK73"/>
      <c r="AL73"/>
      <c r="AM73"/>
      <c r="AN73"/>
      <c r="AO73"/>
    </row>
    <row r="74" spans="1:41" s="1518" customFormat="1" ht="15" customHeight="1">
      <c r="A74" s="1531">
        <f t="shared" si="72"/>
        <v>60</v>
      </c>
      <c r="B74" s="1658"/>
      <c r="C74" s="1507" t="s">
        <v>107</v>
      </c>
      <c r="D74" s="1533">
        <f>INDEX('05基本'!I:I,MATCH(C74,'05基本'!C:C,0))+INDEX('05基本'!J:J,MATCH(C74,'05基本'!C:C,0))</f>
        <v>0</v>
      </c>
      <c r="E74" s="1534">
        <f>INDEX('05基本'!AA:AA,MATCH(C74,'05基本'!C:C,0))</f>
        <v>1268.5899999999999</v>
      </c>
      <c r="F74" s="1534">
        <f>INDEX('05基本'!AB:AB,MATCH(C74,'05基本'!C:C,0))</f>
        <v>477.15</v>
      </c>
      <c r="G74" s="1534">
        <f>INDEX('05基本'!AC:AC,MATCH(C74,'05基本'!C:C,0))</f>
        <v>117</v>
      </c>
      <c r="H74" s="1534">
        <f>INDEX('05基本'!K:K,MATCH(C74,'05基本'!C:C,0))+INDEX('05基本'!L:L,MATCH(C74,'05基本'!C:C,0))</f>
        <v>0</v>
      </c>
      <c r="I74" s="1534">
        <f>INDEX('05基本'!P:P,MATCH(C74,'05基本'!C:C,0))</f>
        <v>1200</v>
      </c>
      <c r="J74" s="1534">
        <f>INDEX('05基本'!M:M,MATCH(C74,'05基本'!C:C,0))</f>
        <v>0</v>
      </c>
      <c r="K74" s="1535">
        <f>INDEX('05月其他部门提成'!Q:Q,MATCH(C74,'05月其他部门提成'!C:C,0))</f>
        <v>8713.3169595689797</v>
      </c>
      <c r="L74" s="1533">
        <f>SUMIF(综合考核!A:A,'05月提成-武侯售后'!C74,综合考核!M:M)</f>
        <v>0</v>
      </c>
      <c r="M74" s="1535">
        <f>SUM(K74:L74)</f>
        <v>8713.3169595689797</v>
      </c>
      <c r="N74" s="1535">
        <f>SUMIF(服装扣款!C:C,C74,服装扣款!N:N)</f>
        <v>0</v>
      </c>
      <c r="O74" s="1536">
        <f>M74-N74</f>
        <v>8713.3169595689797</v>
      </c>
      <c r="P74" s="1537">
        <f>SUMIF(超市公积金!C:C,'05月提成-武侯售后'!C74,超市公积金!I:I)</f>
        <v>0</v>
      </c>
      <c r="Q74" s="1535">
        <f>SUMIF(综合考核!A:A,'05月提成-武侯售后'!C74,综合考核!N:N)</f>
        <v>0</v>
      </c>
      <c r="R74" s="1535">
        <f>M74+I74+Q74</f>
        <v>9913.3169595689797</v>
      </c>
      <c r="S74" s="1535">
        <f>INDEX(AC:AC,MATCH(C74,AB:AB,0))</f>
        <v>84.58</v>
      </c>
      <c r="T74" s="1538"/>
      <c r="U74" s="1535">
        <f>S74-T74</f>
        <v>84.58</v>
      </c>
      <c r="V74" s="1535">
        <f>INDEX('05基本'!AF:AF,MATCH(C74,'05基本'!C:C,0))</f>
        <v>0</v>
      </c>
      <c r="W74" s="1535">
        <f>O74-P74-U74</f>
        <v>8628.7369595689797</v>
      </c>
      <c r="X74" s="1542"/>
      <c r="Y74" s="1540">
        <f>SUM(Z74:AA74)</f>
        <v>614.14231715099902</v>
      </c>
      <c r="Z74" s="1541">
        <f>INDEX('05月其他部门提成'!S:S,MATCH(C74,'05月其他部门提成'!C:C,0))</f>
        <v>614.14231715099902</v>
      </c>
      <c r="AA74" s="1542"/>
      <c r="AB74" s="1519" t="s">
        <v>119</v>
      </c>
      <c r="AC74" s="291">
        <v>0</v>
      </c>
      <c r="AD74" s="1518">
        <f t="shared" si="56"/>
        <v>1</v>
      </c>
      <c r="AE74" s="1530">
        <f>INDEX('05基本'!P:P,MATCH(C74,'05基本'!C:C,0))-I74</f>
        <v>0</v>
      </c>
      <c r="AF74" s="1529">
        <f>SUMIF('05月其他部门提成'!C:C,'05月提成-武侯售后'!C74,'05月其他部门提成'!Q:Q)</f>
        <v>8713.3169595689797</v>
      </c>
      <c r="AG74" s="1544">
        <f>SUMIF('05月车间提成'!C:C,'05月提成-武侯售后'!C74,'05月车间提成'!W:W)</f>
        <v>0</v>
      </c>
      <c r="AH74" s="1530">
        <f>SUMIF('05月业务提成'!B:B,'05月提成-武侯售后'!C74,'05月业务提成'!BO:BO)</f>
        <v>0</v>
      </c>
      <c r="AI74" s="1530">
        <f t="shared" si="70"/>
        <v>8713.3169595689797</v>
      </c>
      <c r="AJ74" s="1530">
        <f t="shared" si="71"/>
        <v>0</v>
      </c>
      <c r="AK74"/>
      <c r="AL74"/>
      <c r="AM74"/>
      <c r="AN74"/>
      <c r="AO74"/>
    </row>
    <row r="75" spans="1:41" s="1518" customFormat="1" ht="15" customHeight="1">
      <c r="A75" s="1531">
        <f t="shared" si="72"/>
        <v>61</v>
      </c>
      <c r="B75" s="1658"/>
      <c r="C75" s="1507" t="s">
        <v>108</v>
      </c>
      <c r="D75" s="1533">
        <f>INDEX('05基本'!I:I,MATCH(C75,'05基本'!C:C,0))+INDEX('05基本'!J:J,MATCH(C75,'05基本'!C:C,0))</f>
        <v>0</v>
      </c>
      <c r="E75" s="1534">
        <f>INDEX('05基本'!AA:AA,MATCH(C75,'05基本'!C:C,0))</f>
        <v>1268.5899999999999</v>
      </c>
      <c r="F75" s="1534">
        <f>INDEX('05基本'!AB:AB,MATCH(C75,'05基本'!C:C,0))</f>
        <v>477.15</v>
      </c>
      <c r="G75" s="1534">
        <f>INDEX('05基本'!AC:AC,MATCH(C75,'05基本'!C:C,0))</f>
        <v>117</v>
      </c>
      <c r="H75" s="1534">
        <f>INDEX('05基本'!K:K,MATCH(C75,'05基本'!C:C,0))+INDEX('05基本'!L:L,MATCH(C75,'05基本'!C:C,0))</f>
        <v>0</v>
      </c>
      <c r="I75" s="1534">
        <f>INDEX('05基本'!P:P,MATCH(C75,'05基本'!C:C,0))</f>
        <v>1200</v>
      </c>
      <c r="J75" s="1534">
        <f>INDEX('05基本'!M:M,MATCH(C75,'05基本'!C:C,0))</f>
        <v>0</v>
      </c>
      <c r="K75" s="1535">
        <f>INDEX('05月其他部门提成'!Q:Q,MATCH(C75,'05月其他部门提成'!C:C,0))</f>
        <v>10714.67982585</v>
      </c>
      <c r="L75" s="1533">
        <f>SUMIF(综合考核!A:A,'05月提成-武侯售后'!C75,综合考核!M:M)</f>
        <v>0</v>
      </c>
      <c r="M75" s="1535">
        <f>SUM(K75:L75)</f>
        <v>10714.67982585</v>
      </c>
      <c r="N75" s="1535">
        <f>SUMIF(服装扣款!C:C,C75,服装扣款!N:N)</f>
        <v>0</v>
      </c>
      <c r="O75" s="1536">
        <f>M75-N75</f>
        <v>10714.67982585</v>
      </c>
      <c r="P75" s="1537">
        <f>SUMIF(超市公积金!C:C,'05月提成-武侯售后'!C75,超市公积金!I:I)</f>
        <v>0</v>
      </c>
      <c r="Q75" s="1535">
        <f>SUMIF(综合考核!A:A,'05月提成-武侯售后'!C75,综合考核!N:N)</f>
        <v>0</v>
      </c>
      <c r="R75" s="1535">
        <f>M75+I75+Q75</f>
        <v>11914.67982585</v>
      </c>
      <c r="S75" s="1535">
        <f>INDEX(AC:AC,MATCH(C75,AB:AB,0))</f>
        <v>189.61</v>
      </c>
      <c r="T75" s="1538"/>
      <c r="U75" s="1535">
        <f>S75-T75</f>
        <v>189.61</v>
      </c>
      <c r="V75" s="1535">
        <f>INDEX('05基本'!AF:AF,MATCH(C75,'05基本'!C:C,0))</f>
        <v>0</v>
      </c>
      <c r="W75" s="1535">
        <f>O75-P75-U75</f>
        <v>10525.06982585</v>
      </c>
      <c r="X75" s="1542"/>
      <c r="Y75" s="1540">
        <f>SUM(Z75:AA75)</f>
        <v>563.93051715000001</v>
      </c>
      <c r="Z75" s="1541">
        <f>INDEX('05月其他部门提成'!S:S,MATCH(C75,'05月其他部门提成'!C:C,0))</f>
        <v>563.93051715000001</v>
      </c>
      <c r="AA75" s="1542"/>
      <c r="AB75" s="1519" t="s">
        <v>120</v>
      </c>
      <c r="AC75" s="291">
        <v>0</v>
      </c>
      <c r="AD75" s="1518">
        <f t="shared" si="56"/>
        <v>1</v>
      </c>
      <c r="AE75" s="1530">
        <f>INDEX('05基本'!P:P,MATCH(C75,'05基本'!C:C,0))-I75</f>
        <v>0</v>
      </c>
      <c r="AF75" s="1529">
        <f>SUMIF('05月其他部门提成'!C:C,'05月提成-武侯售后'!C75,'05月其他部门提成'!Q:Q)</f>
        <v>10714.67982585</v>
      </c>
      <c r="AG75" s="1544">
        <f>SUMIF('05月车间提成'!C:C,'05月提成-武侯售后'!C75,'05月车间提成'!W:W)</f>
        <v>0</v>
      </c>
      <c r="AH75" s="1530">
        <f>SUMIF('05月业务提成'!B:B,'05月提成-武侯售后'!C75,'05月业务提成'!BO:BO)</f>
        <v>0</v>
      </c>
      <c r="AI75" s="1530">
        <f t="shared" si="70"/>
        <v>10714.67982585</v>
      </c>
      <c r="AJ75" s="1530">
        <f t="shared" si="71"/>
        <v>0</v>
      </c>
      <c r="AK75"/>
      <c r="AL75"/>
      <c r="AM75"/>
      <c r="AN75"/>
      <c r="AO75"/>
    </row>
    <row r="76" spans="1:41" s="1518" customFormat="1" ht="15" customHeight="1">
      <c r="A76" s="1531"/>
      <c r="B76" s="1658"/>
      <c r="C76" s="1609" t="s">
        <v>40</v>
      </c>
      <c r="D76" s="1554">
        <f t="shared" ref="D76:I76" si="73">SUM(D71:D75)</f>
        <v>0</v>
      </c>
      <c r="E76" s="1554">
        <f t="shared" si="73"/>
        <v>6342.95</v>
      </c>
      <c r="F76" s="1554">
        <f t="shared" si="73"/>
        <v>2385.75</v>
      </c>
      <c r="G76" s="1554">
        <f t="shared" si="73"/>
        <v>585</v>
      </c>
      <c r="H76" s="1554">
        <f t="shared" si="73"/>
        <v>200</v>
      </c>
      <c r="I76" s="1554">
        <f t="shared" si="73"/>
        <v>7000</v>
      </c>
      <c r="J76" s="1554">
        <f t="shared" ref="J76:AA76" si="74">SUM(J71:J75)</f>
        <v>0</v>
      </c>
      <c r="K76" s="1554">
        <f t="shared" si="74"/>
        <v>52789.994527818002</v>
      </c>
      <c r="L76" s="1554">
        <f t="shared" si="74"/>
        <v>0</v>
      </c>
      <c r="M76" s="1554">
        <f t="shared" si="74"/>
        <v>52789.994527818002</v>
      </c>
      <c r="N76" s="1554">
        <f t="shared" si="74"/>
        <v>0</v>
      </c>
      <c r="O76" s="1554">
        <f t="shared" si="74"/>
        <v>52789.994527818002</v>
      </c>
      <c r="P76" s="1554">
        <f t="shared" si="74"/>
        <v>0</v>
      </c>
      <c r="Q76" s="1554">
        <f t="shared" si="74"/>
        <v>0</v>
      </c>
      <c r="R76" s="1554">
        <f t="shared" si="74"/>
        <v>59789.994527818002</v>
      </c>
      <c r="S76" s="1554">
        <f t="shared" si="74"/>
        <v>480</v>
      </c>
      <c r="T76" s="1554">
        <f t="shared" si="74"/>
        <v>0</v>
      </c>
      <c r="U76" s="1554">
        <f t="shared" si="74"/>
        <v>480</v>
      </c>
      <c r="V76" s="1554">
        <f t="shared" si="74"/>
        <v>0</v>
      </c>
      <c r="W76" s="1554">
        <f t="shared" si="74"/>
        <v>52309.994527818002</v>
      </c>
      <c r="X76" s="1554">
        <f t="shared" si="74"/>
        <v>0</v>
      </c>
      <c r="Y76" s="1554">
        <f t="shared" si="74"/>
        <v>3089.514140022</v>
      </c>
      <c r="Z76" s="1554">
        <f t="shared" si="74"/>
        <v>3089.514140022</v>
      </c>
      <c r="AA76" s="1554">
        <f t="shared" si="74"/>
        <v>0</v>
      </c>
      <c r="AB76" s="1519" t="s">
        <v>121</v>
      </c>
      <c r="AC76" s="291">
        <v>38.590000000000003</v>
      </c>
      <c r="AD76" s="1518">
        <f t="shared" si="56"/>
        <v>11</v>
      </c>
      <c r="AE76" s="1530" t="e">
        <f>INDEX('05基本'!P:P,MATCH(C76,'05基本'!C:C,0))-I76</f>
        <v>#N/A</v>
      </c>
      <c r="AF76" s="1558"/>
      <c r="AG76" s="1559"/>
      <c r="AH76" s="1560"/>
      <c r="AI76" s="1560"/>
      <c r="AJ76" s="1560"/>
      <c r="AK76" s="1530"/>
      <c r="AO76" s="1507"/>
    </row>
    <row r="77" spans="1:41" s="1518" customFormat="1" ht="15" customHeight="1">
      <c r="A77" s="1531">
        <f>A75+1</f>
        <v>62</v>
      </c>
      <c r="B77" s="1657" t="s">
        <v>122</v>
      </c>
      <c r="C77" s="1615" t="s">
        <v>109</v>
      </c>
      <c r="D77" s="1533">
        <f>INDEX('05基本'!I:I,MATCH(C77,'05基本'!C:C,0))+INDEX('05基本'!J:J,MATCH(C77,'05基本'!C:C,0))</f>
        <v>40</v>
      </c>
      <c r="E77" s="1534">
        <f>INDEX('05基本'!AA:AA,MATCH(C77,'05基本'!C:C,0))</f>
        <v>1268.5899999999999</v>
      </c>
      <c r="F77" s="1534">
        <f>INDEX('05基本'!AB:AB,MATCH(C77,'05基本'!C:C,0))</f>
        <v>477.15</v>
      </c>
      <c r="G77" s="1534">
        <f>INDEX('05基本'!AC:AC,MATCH(C77,'05基本'!C:C,0))</f>
        <v>117</v>
      </c>
      <c r="H77" s="1534">
        <f>INDEX('05基本'!K:K,MATCH(C77,'05基本'!C:C,0))+INDEX('05基本'!L:L,MATCH(C77,'05基本'!C:C,0))</f>
        <v>0</v>
      </c>
      <c r="I77" s="1534">
        <f>INDEX('05基本'!P:P,MATCH(C77,'05基本'!C:C,0))</f>
        <v>1140</v>
      </c>
      <c r="J77" s="1534">
        <f>INDEX('05基本'!M:M,MATCH(C77,'05基本'!C:C,0))</f>
        <v>0</v>
      </c>
      <c r="K77" s="1535">
        <f>INDEX('05月车间提成'!W:W,MATCH(C77,'05月车间提成'!C:C,0))</f>
        <v>6056.6058571428603</v>
      </c>
      <c r="L77" s="1533">
        <f>SUMIF(综合考核!A:A,'05月提成-武侯售后'!C77,综合考核!M:M)</f>
        <v>0</v>
      </c>
      <c r="M77" s="1535">
        <f>SUM(K77:L77)</f>
        <v>6056.6058571428603</v>
      </c>
      <c r="N77" s="1535">
        <f>SUMIF(服装扣款!C:C,C77,服装扣款!N:N)</f>
        <v>0</v>
      </c>
      <c r="O77" s="1536">
        <f>M77-N77</f>
        <v>6056.6058571428603</v>
      </c>
      <c r="P77" s="1537">
        <f>SUMIF(超市公积金!C:C,'05月提成-武侯售后'!C77,超市公积金!I:I)</f>
        <v>0</v>
      </c>
      <c r="Q77" s="1535">
        <f>SUMIF(综合考核!A:A,'05月提成-武侯售后'!C77,综合考核!N:N)</f>
        <v>0</v>
      </c>
      <c r="R77" s="1535">
        <f>M77+I77+Q77</f>
        <v>7196.6058571428603</v>
      </c>
      <c r="S77" s="1535">
        <f>INDEX(AC:AC,MATCH(C77,AB:AB,0))</f>
        <v>48.08</v>
      </c>
      <c r="T77" s="1538"/>
      <c r="U77" s="1535">
        <f>S77-T77</f>
        <v>48.08</v>
      </c>
      <c r="V77" s="1535">
        <f>INDEX('05基本'!AF:AF,MATCH(C77,'05基本'!C:C,0))</f>
        <v>0</v>
      </c>
      <c r="W77" s="1535">
        <f>O77-P77-U77</f>
        <v>6008.5258571428603</v>
      </c>
      <c r="X77" s="1542"/>
      <c r="Y77" s="1540">
        <f>SUM(Z77:AA77)</f>
        <v>647.89475000000004</v>
      </c>
      <c r="Z77" s="1541">
        <f>(INDEX('05月车间提成'!D:D,MATCH(C79,'05月车间提成'!C:C,0))-INDEX('05月车间提成'!F:F,MATCH('05月车间提成'!C7,'05月车间提成'!C:C,0)))*0.29*0.05+INDEX('05月车间提成'!E:E,MATCH(C79,'05月车间提成'!C:C,0))*0.33*0.05</f>
        <v>590.80975000000001</v>
      </c>
      <c r="AA77" s="1542">
        <f>INDEX('05月车间提成'!J:J,MATCH(C79,'05月车间提成'!C:C,0))*0.05*INDEX('05月车间提成'!K:K,MATCH(C79,'05月车间提成'!C:C,0))</f>
        <v>57.085000000000001</v>
      </c>
      <c r="AB77" s="1519" t="s">
        <v>123</v>
      </c>
      <c r="AC77" s="291">
        <v>0</v>
      </c>
      <c r="AD77" s="1518">
        <f t="shared" si="56"/>
        <v>1</v>
      </c>
      <c r="AE77" s="1530">
        <f>INDEX('05基本'!P:P,MATCH(C77,'05基本'!C:C,0))-I77</f>
        <v>0</v>
      </c>
      <c r="AF77" s="1529">
        <f>SUMIF('05月其他部门提成'!C:C,'05月提成-武侯售后'!C77,'05月其他部门提成'!Q:Q)</f>
        <v>0</v>
      </c>
      <c r="AG77" s="1544">
        <f>SUMIF('05月车间提成'!C:C,'05月提成-武侯售后'!C77,'05月车间提成'!W:W)</f>
        <v>6056.6058571428603</v>
      </c>
      <c r="AH77" s="1530">
        <f>SUMIF('05月业务提成'!B:B,'05月提成-武侯售后'!C77,'05月业务提成'!BO:BO)</f>
        <v>0</v>
      </c>
      <c r="AI77" s="1530">
        <f>AF77+AG77+AH77</f>
        <v>6056.6058571428603</v>
      </c>
      <c r="AJ77" s="1530">
        <f>AI77-K77</f>
        <v>0</v>
      </c>
      <c r="AK77"/>
      <c r="AL77"/>
      <c r="AM77"/>
      <c r="AN77"/>
      <c r="AO77"/>
    </row>
    <row r="78" spans="1:41" s="1518" customFormat="1" ht="15" customHeight="1">
      <c r="A78" s="1531">
        <f>A77+1</f>
        <v>63</v>
      </c>
      <c r="B78" s="1657"/>
      <c r="C78" s="1615" t="s">
        <v>110</v>
      </c>
      <c r="D78" s="1533">
        <f>INDEX('05基本'!I:I,MATCH(C78,'05基本'!C:C,0))+INDEX('05基本'!J:J,MATCH(C78,'05基本'!C:C,0))</f>
        <v>40</v>
      </c>
      <c r="E78" s="1534">
        <f>INDEX('05基本'!AA:AA,MATCH(C78,'05基本'!C:C,0))</f>
        <v>1268.5899999999999</v>
      </c>
      <c r="F78" s="1534">
        <f>INDEX('05基本'!AB:AB,MATCH(C78,'05基本'!C:C,0))</f>
        <v>477.15</v>
      </c>
      <c r="G78" s="1534">
        <f>INDEX('05基本'!AC:AC,MATCH(C78,'05基本'!C:C,0))</f>
        <v>117</v>
      </c>
      <c r="H78" s="1534">
        <f>INDEX('05基本'!K:K,MATCH(C78,'05基本'!C:C,0))+INDEX('05基本'!L:L,MATCH(C78,'05基本'!C:C,0))</f>
        <v>0</v>
      </c>
      <c r="I78" s="1534">
        <f>INDEX('05基本'!P:P,MATCH(C78,'05基本'!C:C,0))</f>
        <v>940</v>
      </c>
      <c r="J78" s="1534">
        <f>INDEX('05基本'!M:M,MATCH(C78,'05基本'!C:C,0))</f>
        <v>0</v>
      </c>
      <c r="K78" s="1535">
        <f>INDEX('05月车间提成'!W:W,MATCH(C78,'05月车间提成'!C:C,0))</f>
        <v>4467.4543928571402</v>
      </c>
      <c r="L78" s="1533">
        <f>SUMIF(综合考核!A:A,'05月提成-武侯售后'!C78,综合考核!M:M)</f>
        <v>0</v>
      </c>
      <c r="M78" s="1535">
        <f>SUM(K78:L78)</f>
        <v>4467.4543928571402</v>
      </c>
      <c r="N78" s="1535">
        <f>SUMIF(服装扣款!C:C,C78,服装扣款!N:N)</f>
        <v>0</v>
      </c>
      <c r="O78" s="1536">
        <f>M78-N78</f>
        <v>4467.4543928571402</v>
      </c>
      <c r="P78" s="1537">
        <f>SUMIF(超市公积金!C:C,'05月提成-武侯售后'!C78,超市公积金!I:I)</f>
        <v>0</v>
      </c>
      <c r="Q78" s="1535">
        <f>SUMIF(综合考核!A:A,'05月提成-武侯售后'!C78,综合考核!N:N)</f>
        <v>0</v>
      </c>
      <c r="R78" s="1535">
        <f>M78+I78+Q78</f>
        <v>5407.4543928571402</v>
      </c>
      <c r="S78" s="1535">
        <f>INDEX(AC:AC,MATCH(C78,AB:AB,0))</f>
        <v>0</v>
      </c>
      <c r="T78" s="1538"/>
      <c r="U78" s="1535">
        <f>S78-T78</f>
        <v>0</v>
      </c>
      <c r="V78" s="1535">
        <f>INDEX('05基本'!AF:AF,MATCH(C78,'05基本'!C:C,0))</f>
        <v>0</v>
      </c>
      <c r="W78" s="1535">
        <f>O78-P78-U78</f>
        <v>4467.4543928571402</v>
      </c>
      <c r="X78" s="1542"/>
      <c r="Y78" s="1540">
        <f>SUM(Z78:AA78)</f>
        <v>647.89475000000004</v>
      </c>
      <c r="Z78" s="1541">
        <f>(INDEX('05月车间提成'!D:D,MATCH(C79,'05月车间提成'!C:C,0))-INDEX('05月车间提成'!F:F,MATCH('05月车间提成'!C7,'05月车间提成'!C:C,0)))*0.29*0.05+INDEX('05月车间提成'!E:E,MATCH(C79,'05月车间提成'!C:C,0))*0.33*0.05</f>
        <v>590.80975000000001</v>
      </c>
      <c r="AA78" s="1542">
        <f>INDEX('05月车间提成'!J:J,MATCH(C79,'05月车间提成'!C:C,0))*0.05*INDEX('05月车间提成'!K:K,MATCH(C79,'05月车间提成'!C:C,0))</f>
        <v>57.085000000000001</v>
      </c>
      <c r="AB78" s="1519" t="s">
        <v>124</v>
      </c>
      <c r="AC78" s="291">
        <v>0</v>
      </c>
      <c r="AD78" s="1518">
        <f t="shared" si="56"/>
        <v>1</v>
      </c>
      <c r="AE78" s="1530">
        <f>INDEX('05基本'!P:P,MATCH(C78,'05基本'!C:C,0))-I78</f>
        <v>0</v>
      </c>
      <c r="AF78" s="1529">
        <f>SUMIF('05月其他部门提成'!C:C,'05月提成-武侯售后'!C78,'05月其他部门提成'!Q:Q)</f>
        <v>0</v>
      </c>
      <c r="AG78" s="1544">
        <f>SUMIF('05月车间提成'!C:C,'05月提成-武侯售后'!C78,'05月车间提成'!W:W)</f>
        <v>4467.4543928571402</v>
      </c>
      <c r="AH78" s="1530">
        <f>SUMIF('05月业务提成'!B:B,'05月提成-武侯售后'!C78,'05月业务提成'!BO:BO)</f>
        <v>0</v>
      </c>
      <c r="AI78" s="1530">
        <f>AF78+AG78+AH78</f>
        <v>4467.4543928571402</v>
      </c>
      <c r="AJ78" s="1530">
        <f>AI78-K78</f>
        <v>0</v>
      </c>
      <c r="AK78"/>
      <c r="AL78"/>
      <c r="AM78"/>
      <c r="AN78"/>
      <c r="AO78"/>
    </row>
    <row r="79" spans="1:41" s="1518" customFormat="1" ht="15" customHeight="1">
      <c r="A79" s="1531"/>
      <c r="B79" s="1658"/>
      <c r="C79" s="1570" t="s">
        <v>125</v>
      </c>
      <c r="D79" s="1554">
        <f t="shared" ref="D79:G79" si="75">SUM(D77:D78)</f>
        <v>80</v>
      </c>
      <c r="E79" s="1554">
        <f t="shared" si="75"/>
        <v>2537.1799999999998</v>
      </c>
      <c r="F79" s="1554">
        <f t="shared" si="75"/>
        <v>954.3</v>
      </c>
      <c r="G79" s="1554">
        <f t="shared" si="75"/>
        <v>234</v>
      </c>
      <c r="H79" s="1554">
        <f t="shared" ref="H79:P79" si="76">SUM(H77:H78)</f>
        <v>0</v>
      </c>
      <c r="I79" s="1554">
        <f t="shared" si="76"/>
        <v>2080</v>
      </c>
      <c r="J79" s="1554">
        <f t="shared" si="76"/>
        <v>0</v>
      </c>
      <c r="K79" s="1554">
        <f t="shared" si="76"/>
        <v>10524.06025</v>
      </c>
      <c r="L79" s="1554">
        <f t="shared" si="76"/>
        <v>0</v>
      </c>
      <c r="M79" s="1554">
        <f t="shared" si="76"/>
        <v>10524.06025</v>
      </c>
      <c r="N79" s="1554">
        <f t="shared" si="76"/>
        <v>0</v>
      </c>
      <c r="O79" s="1554">
        <f t="shared" si="76"/>
        <v>10524.06025</v>
      </c>
      <c r="P79" s="1556">
        <f t="shared" si="76"/>
        <v>0</v>
      </c>
      <c r="Q79" s="1554">
        <f>SUM(Q77:Q77)</f>
        <v>0</v>
      </c>
      <c r="R79" s="1554">
        <f>SUM(R77:R78)</f>
        <v>12604.06025</v>
      </c>
      <c r="S79" s="1554">
        <f t="shared" ref="S79:AA79" si="77">SUM(S77:S78)</f>
        <v>48.08</v>
      </c>
      <c r="T79" s="1554">
        <f t="shared" si="77"/>
        <v>0</v>
      </c>
      <c r="U79" s="1554">
        <f t="shared" si="77"/>
        <v>48.08</v>
      </c>
      <c r="V79" s="1554">
        <f t="shared" si="77"/>
        <v>0</v>
      </c>
      <c r="W79" s="1554">
        <f t="shared" si="77"/>
        <v>10475.980250000001</v>
      </c>
      <c r="X79" s="1554">
        <f t="shared" si="77"/>
        <v>0</v>
      </c>
      <c r="Y79" s="1556">
        <f t="shared" si="77"/>
        <v>1295.7895000000001</v>
      </c>
      <c r="Z79" s="1556">
        <f t="shared" si="77"/>
        <v>1181.6195</v>
      </c>
      <c r="AA79" s="1556">
        <f t="shared" si="77"/>
        <v>114.17</v>
      </c>
      <c r="AB79" s="1519" t="s">
        <v>126</v>
      </c>
      <c r="AC79" s="291">
        <v>41.15</v>
      </c>
      <c r="AD79" s="1518">
        <f t="shared" si="56"/>
        <v>1</v>
      </c>
      <c r="AE79" s="1530" t="e">
        <f>INDEX('05基本'!P:P,MATCH(C79,'05基本'!C:C,0))-I79</f>
        <v>#N/A</v>
      </c>
      <c r="AF79" s="1558"/>
      <c r="AG79" s="1559"/>
      <c r="AH79" s="1560"/>
      <c r="AI79" s="1560"/>
      <c r="AJ79" s="1560"/>
      <c r="AK79" s="1530"/>
    </row>
    <row r="80" spans="1:41" s="1518" customFormat="1" ht="15" customHeight="1">
      <c r="A80" s="1531">
        <f>A78+1</f>
        <v>64</v>
      </c>
      <c r="B80" s="1658" t="s">
        <v>127</v>
      </c>
      <c r="C80" s="1615" t="s">
        <v>111</v>
      </c>
      <c r="D80" s="1533">
        <f>INDEX('05基本'!I:I,MATCH(C80,'05基本'!C:C,0))+INDEX('05基本'!J:J,MATCH(C80,'05基本'!C:C,0))</f>
        <v>30</v>
      </c>
      <c r="E80" s="1534">
        <f>INDEX('05基本'!AA:AA,MATCH(C80,'05基本'!C:C,0))</f>
        <v>1268.5899999999999</v>
      </c>
      <c r="F80" s="1534">
        <f>INDEX('05基本'!AB:AB,MATCH(C80,'05基本'!C:C,0))</f>
        <v>477.15</v>
      </c>
      <c r="G80" s="1534">
        <f>INDEX('05基本'!AC:AC,MATCH(C80,'05基本'!C:C,0))</f>
        <v>117</v>
      </c>
      <c r="H80" s="1534">
        <f>INDEX('05基本'!K:K,MATCH(C80,'05基本'!C:C,0))+INDEX('05基本'!L:L,MATCH(C80,'05基本'!C:C,0))</f>
        <v>0</v>
      </c>
      <c r="I80" s="1534">
        <f>INDEX('05基本'!P:P,MATCH(C80,'05基本'!C:C,0))</f>
        <v>1130</v>
      </c>
      <c r="J80" s="1534">
        <f>INDEX('05基本'!M:M,MATCH(C80,'05基本'!C:C,0))</f>
        <v>0</v>
      </c>
      <c r="K80" s="1535">
        <f>INDEX('05月车间提成'!W:W,MATCH(C80,'05月车间提成'!C:C,0))</f>
        <v>7243.5058461538501</v>
      </c>
      <c r="L80" s="1533">
        <f>SUMIF(综合考核!A:A,'05月提成-武侯售后'!C80,综合考核!M:M)</f>
        <v>0</v>
      </c>
      <c r="M80" s="1535">
        <f>SUM(K80:L80)</f>
        <v>7243.5058461538501</v>
      </c>
      <c r="N80" s="1535">
        <f>SUMIF(服装扣款!C:C,C80,服装扣款!N:N)</f>
        <v>0</v>
      </c>
      <c r="O80" s="1536">
        <f>M80-N80</f>
        <v>7243.5058461538501</v>
      </c>
      <c r="P80" s="1537">
        <f>SUMIF(超市公积金!C:C,'05月提成-武侯售后'!C80,超市公积金!I:I)</f>
        <v>0</v>
      </c>
      <c r="Q80" s="1535">
        <f>SUMIF(综合考核!A:A,'05月提成-武侯售后'!C80,综合考核!N:N)</f>
        <v>0</v>
      </c>
      <c r="R80" s="1535">
        <f>M80+I80+Q80</f>
        <v>8373.5058461538501</v>
      </c>
      <c r="S80" s="1535">
        <f>INDEX(AC:AC,MATCH(C80,AB:AB,0))</f>
        <v>53.38</v>
      </c>
      <c r="T80" s="1538"/>
      <c r="U80" s="1535">
        <f>S80-T80</f>
        <v>53.38</v>
      </c>
      <c r="V80" s="1535">
        <f>INDEX('05基本'!AF:AF,MATCH(C80,'05基本'!C:C,0))</f>
        <v>0</v>
      </c>
      <c r="W80" s="1535">
        <f>O80-P80-U80</f>
        <v>7190.12584615385</v>
      </c>
      <c r="X80" s="1542"/>
      <c r="Y80" s="1540">
        <f>SUM(Z80:AA80)</f>
        <v>704.23299999999995</v>
      </c>
      <c r="Z80" s="1541">
        <f>(INDEX('05月车间提成'!D:D,MATCH(C82,'05月车间提成'!C:C,0))-INDEX('05月车间提成'!F:F,MATCH('05月车间提成'!C10,'05月车间提成'!C:C,0)))*0.29*0.05+INDEX('05月车间提成'!E:E,MATCH(C82,'05月车间提成'!C:C,0))*0.33*0.05</f>
        <v>654.58799999999997</v>
      </c>
      <c r="AA80" s="1542">
        <f>INDEX('05月车间提成'!J:J,MATCH(C82,'05月车间提成'!C:C,0))*0.05*INDEX('05月车间提成'!K:K,MATCH(C82,'05月车间提成'!C:C,0))</f>
        <v>49.645000000000003</v>
      </c>
      <c r="AB80" s="1519" t="s">
        <v>128</v>
      </c>
      <c r="AC80" s="291">
        <v>0</v>
      </c>
      <c r="AD80" s="1518">
        <f t="shared" si="56"/>
        <v>1</v>
      </c>
      <c r="AE80" s="1530">
        <f>INDEX('05基本'!P:P,MATCH(C80,'05基本'!C:C,0))-I80</f>
        <v>0</v>
      </c>
      <c r="AF80" s="1529">
        <f>SUMIF('05月其他部门提成'!C:C,'05月提成-武侯售后'!C80,'05月其他部门提成'!Q:Q)</f>
        <v>0</v>
      </c>
      <c r="AG80" s="1544">
        <f>SUMIF('05月车间提成'!C:C,'05月提成-武侯售后'!C80,'05月车间提成'!W:W)</f>
        <v>7243.5058461538501</v>
      </c>
      <c r="AH80" s="1530">
        <f>SUMIF('05月业务提成'!B:B,'05月提成-武侯售后'!C80,'05月业务提成'!BO:BO)</f>
        <v>0</v>
      </c>
      <c r="AI80" s="1530">
        <f t="shared" ref="AI80:AI81" si="78">AF80+AG80+AH80</f>
        <v>7243.5058461538501</v>
      </c>
      <c r="AJ80" s="1530">
        <f t="shared" ref="AJ80:AJ81" si="79">AI80-K80</f>
        <v>0</v>
      </c>
      <c r="AK80"/>
      <c r="AL80"/>
      <c r="AM80"/>
      <c r="AN80"/>
      <c r="AO80"/>
    </row>
    <row r="81" spans="1:41" s="1518" customFormat="1" ht="15" customHeight="1">
      <c r="A81" s="1531">
        <f>A80+1</f>
        <v>65</v>
      </c>
      <c r="B81" s="1658"/>
      <c r="C81" s="1615" t="s">
        <v>112</v>
      </c>
      <c r="D81" s="1533">
        <f>INDEX('05基本'!I:I,MATCH(C81,'05基本'!C:C,0))+INDEX('05基本'!J:J,MATCH(C81,'05基本'!C:C,0))</f>
        <v>30</v>
      </c>
      <c r="E81" s="1534">
        <f>INDEX('05基本'!AA:AA,MATCH(C81,'05基本'!C:C,0))</f>
        <v>1268.5899999999999</v>
      </c>
      <c r="F81" s="1534">
        <f>INDEX('05基本'!AB:AB,MATCH(C81,'05基本'!C:C,0))</f>
        <v>477.15</v>
      </c>
      <c r="G81" s="1534">
        <f>INDEX('05基本'!AC:AC,MATCH(C81,'05基本'!C:C,0))</f>
        <v>117</v>
      </c>
      <c r="H81" s="1534">
        <f>INDEX('05基本'!K:K,MATCH(C81,'05基本'!C:C,0))+INDEX('05基本'!L:L,MATCH(C81,'05基本'!C:C,0))</f>
        <v>0</v>
      </c>
      <c r="I81" s="1534">
        <f>INDEX('05基本'!P:P,MATCH(C81,'05基本'!C:C,0))</f>
        <v>900</v>
      </c>
      <c r="J81" s="1534">
        <f>INDEX('05基本'!M:M,MATCH(C81,'05基本'!C:C,0))</f>
        <v>0</v>
      </c>
      <c r="K81" s="1535">
        <f>INDEX('05月车间提成'!W:W,MATCH(C81,'05月车间提成'!C:C,0))</f>
        <v>4303.44115384615</v>
      </c>
      <c r="L81" s="1533">
        <f>SUMIF(综合考核!A:A,'05月提成-武侯售后'!C81,综合考核!M:M)</f>
        <v>0</v>
      </c>
      <c r="M81" s="1535">
        <f>SUM(K81:L81)</f>
        <v>4303.44115384615</v>
      </c>
      <c r="N81" s="1535">
        <f>SUMIF(服装扣款!C:C,C81,服装扣款!N:N)</f>
        <v>0</v>
      </c>
      <c r="O81" s="1536">
        <f>M81-N81</f>
        <v>4303.44115384615</v>
      </c>
      <c r="P81" s="1537">
        <f>SUMIF(超市公积金!C:C,'05月提成-武侯售后'!C81,超市公积金!I:I)</f>
        <v>0</v>
      </c>
      <c r="Q81" s="1535">
        <f>SUMIF(综合考核!A:A,'05月提成-武侯售后'!C81,综合考核!N:N)</f>
        <v>0</v>
      </c>
      <c r="R81" s="1535">
        <f>M81+I81+Q81</f>
        <v>5203.44115384615</v>
      </c>
      <c r="S81" s="1535">
        <f>INDEX(AC:AC,MATCH(C81,AB:AB,0))</f>
        <v>0</v>
      </c>
      <c r="T81" s="1538"/>
      <c r="U81" s="1535">
        <f>S81-T81</f>
        <v>0</v>
      </c>
      <c r="V81" s="1535">
        <f>INDEX('05基本'!AF:AF,MATCH(C81,'05基本'!C:C,0))</f>
        <v>0</v>
      </c>
      <c r="W81" s="1535">
        <f>O81-P81-U81</f>
        <v>4303.44115384615</v>
      </c>
      <c r="X81" s="1542"/>
      <c r="Y81" s="1540">
        <f>SUM(Z81:AA81)</f>
        <v>0</v>
      </c>
      <c r="Z81" s="1541">
        <f>(INDEX('05月车间提成'!D:D,MATCH(C83,'05月车间提成'!C:C,0))-INDEX('05月车间提成'!F:F,MATCH('05月车间提成'!C11,'05月车间提成'!C:C,0)))*0.29*0.05+INDEX('05月车间提成'!E:E,MATCH(C83,'05月车间提成'!C:C,0))*0.33*0.05</f>
        <v>0</v>
      </c>
      <c r="AA81" s="1542">
        <f>INDEX('05月车间提成'!J:J,MATCH(C83,'05月车间提成'!C:C,0))*0.05*INDEX('05月车间提成'!K:K,MATCH(C83,'05月车间提成'!C:C,0))</f>
        <v>0</v>
      </c>
      <c r="AB81" s="1519" t="s">
        <v>129</v>
      </c>
      <c r="AC81" s="291">
        <v>80.06</v>
      </c>
      <c r="AD81" s="1518">
        <f t="shared" si="56"/>
        <v>1</v>
      </c>
      <c r="AE81" s="1530">
        <f>INDEX('05基本'!P:P,MATCH(C81,'05基本'!C:C,0))-I81</f>
        <v>0</v>
      </c>
      <c r="AF81" s="1529">
        <f>SUMIF('05月其他部门提成'!C:C,'05月提成-武侯售后'!C81,'05月其他部门提成'!Q:Q)</f>
        <v>0</v>
      </c>
      <c r="AG81" s="1544">
        <f>SUMIF('05月车间提成'!C:C,'05月提成-武侯售后'!C81,'05月车间提成'!W:W)</f>
        <v>4303.44115384615</v>
      </c>
      <c r="AH81" s="1530">
        <f>SUMIF('05月业务提成'!B:B,'05月提成-武侯售后'!C81,'05月业务提成'!BO:BO)</f>
        <v>0</v>
      </c>
      <c r="AI81" s="1530">
        <f t="shared" si="78"/>
        <v>4303.44115384615</v>
      </c>
      <c r="AJ81" s="1530">
        <f t="shared" si="79"/>
        <v>0</v>
      </c>
      <c r="AK81"/>
      <c r="AL81"/>
      <c r="AM81"/>
      <c r="AN81"/>
      <c r="AO81"/>
    </row>
    <row r="82" spans="1:41" s="1518" customFormat="1" ht="15" customHeight="1">
      <c r="A82" s="1531"/>
      <c r="B82" s="1658"/>
      <c r="C82" s="1570" t="s">
        <v>130</v>
      </c>
      <c r="D82" s="1554">
        <f t="shared" ref="D82:G82" si="80">SUM(D80:D81)</f>
        <v>60</v>
      </c>
      <c r="E82" s="1554">
        <f t="shared" si="80"/>
        <v>2537.1799999999998</v>
      </c>
      <c r="F82" s="1554">
        <f t="shared" si="80"/>
        <v>954.3</v>
      </c>
      <c r="G82" s="1554">
        <f t="shared" si="80"/>
        <v>234</v>
      </c>
      <c r="H82" s="1554">
        <f t="shared" ref="H82:J82" si="81">SUM(H80:H80)</f>
        <v>0</v>
      </c>
      <c r="I82" s="1554">
        <f>SUM(I80:I81)</f>
        <v>2030</v>
      </c>
      <c r="J82" s="1554">
        <f t="shared" si="81"/>
        <v>0</v>
      </c>
      <c r="K82" s="1554">
        <f>SUM(K80:K81)</f>
        <v>11546.947</v>
      </c>
      <c r="L82" s="1554">
        <f t="shared" ref="L82:AA82" si="82">SUM(L80:L81)</f>
        <v>0</v>
      </c>
      <c r="M82" s="1554">
        <f t="shared" si="82"/>
        <v>11546.947</v>
      </c>
      <c r="N82" s="1554">
        <f t="shared" si="82"/>
        <v>0</v>
      </c>
      <c r="O82" s="1555">
        <f t="shared" si="82"/>
        <v>11546.947</v>
      </c>
      <c r="P82" s="1556">
        <f t="shared" si="82"/>
        <v>0</v>
      </c>
      <c r="Q82" s="1554">
        <f t="shared" si="82"/>
        <v>0</v>
      </c>
      <c r="R82" s="1554">
        <f t="shared" si="82"/>
        <v>13576.947</v>
      </c>
      <c r="S82" s="1554">
        <f t="shared" si="82"/>
        <v>53.38</v>
      </c>
      <c r="T82" s="1554">
        <f t="shared" si="82"/>
        <v>0</v>
      </c>
      <c r="U82" s="1554">
        <f t="shared" si="82"/>
        <v>53.38</v>
      </c>
      <c r="V82" s="1554">
        <f t="shared" si="82"/>
        <v>0</v>
      </c>
      <c r="W82" s="1554">
        <f t="shared" si="82"/>
        <v>11493.566999999999</v>
      </c>
      <c r="X82" s="1568">
        <f t="shared" si="82"/>
        <v>0</v>
      </c>
      <c r="Y82" s="1556">
        <f t="shared" si="82"/>
        <v>704.23299999999995</v>
      </c>
      <c r="Z82" s="1554">
        <f t="shared" si="82"/>
        <v>654.58799999999997</v>
      </c>
      <c r="AA82" s="1568">
        <f t="shared" si="82"/>
        <v>49.645000000000003</v>
      </c>
      <c r="AB82" s="1519" t="s">
        <v>131</v>
      </c>
      <c r="AC82" s="291">
        <v>103.32</v>
      </c>
      <c r="AD82" s="1518">
        <f t="shared" si="56"/>
        <v>1</v>
      </c>
      <c r="AE82" s="1530" t="e">
        <f>INDEX('05基本'!P:P,MATCH(C82,'05基本'!C:C,0))-I82</f>
        <v>#N/A</v>
      </c>
      <c r="AF82" s="1558"/>
      <c r="AG82" s="1559"/>
      <c r="AH82" s="1560"/>
      <c r="AI82" s="1560"/>
      <c r="AJ82" s="1560"/>
      <c r="AK82" s="1530"/>
    </row>
    <row r="83" spans="1:41" s="1518" customFormat="1" ht="15" customHeight="1">
      <c r="A83" s="1531">
        <f t="shared" ref="A83:A86" si="83">A81+1</f>
        <v>66</v>
      </c>
      <c r="B83" s="1659" t="s">
        <v>132</v>
      </c>
      <c r="C83" s="1615" t="s">
        <v>114</v>
      </c>
      <c r="D83" s="1533">
        <f>INDEX('05基本'!I:I,MATCH(C83,'05基本'!C:C,0))+INDEX('05基本'!J:J,MATCH(C83,'05基本'!C:C,0))</f>
        <v>40</v>
      </c>
      <c r="E83" s="1534">
        <f>INDEX('05基本'!AA:AA,MATCH(C83,'05基本'!C:C,0))</f>
        <v>1268.5899999999999</v>
      </c>
      <c r="F83" s="1534">
        <f>INDEX('05基本'!AB:AB,MATCH(C83,'05基本'!C:C,0))</f>
        <v>477.15</v>
      </c>
      <c r="G83" s="1534">
        <f>INDEX('05基本'!AC:AC,MATCH(C83,'05基本'!C:C,0))</f>
        <v>117</v>
      </c>
      <c r="H83" s="1534">
        <f>INDEX('05基本'!K:K,MATCH(C83,'05基本'!C:C,0))+INDEX('05基本'!L:L,MATCH(C83,'05基本'!C:C,0))</f>
        <v>0</v>
      </c>
      <c r="I83" s="1534">
        <f>INDEX('05基本'!P:P,MATCH(C83,'05基本'!C:C,0))</f>
        <v>1140</v>
      </c>
      <c r="J83" s="1534">
        <f>INDEX('05基本'!M:M,MATCH(C83,'05基本'!C:C,0))</f>
        <v>0</v>
      </c>
      <c r="K83" s="1535">
        <f>INDEX('05月车间提成'!W:W,MATCH(C83,'05月车间提成'!C:C,0))</f>
        <v>6867.0913496932499</v>
      </c>
      <c r="L83" s="1533">
        <f>SUMIF(综合考核!A:A,'05月提成-武侯售后'!C83,综合考核!M:M)</f>
        <v>0</v>
      </c>
      <c r="M83" s="1535">
        <f>SUM(K83:L83)</f>
        <v>6867.0913496932499</v>
      </c>
      <c r="N83" s="1535">
        <f>SUMIF(服装扣款!C:C,C83,服装扣款!N:N)</f>
        <v>0</v>
      </c>
      <c r="O83" s="1536">
        <f>M83-N83</f>
        <v>6867.0913496932499</v>
      </c>
      <c r="P83" s="1537">
        <f>SUMIF(超市公积金!C:C,'05月提成-武侯售后'!C83,超市公积金!I:I)</f>
        <v>0</v>
      </c>
      <c r="Q83" s="1535">
        <f>SUMIF(综合考核!A:A,'05月提成-武侯售后'!C83,综合考核!N:N)</f>
        <v>0</v>
      </c>
      <c r="R83" s="1535">
        <f>M83+I83+Q83</f>
        <v>8007.0913496932499</v>
      </c>
      <c r="S83" s="1535">
        <f>INDEX(AC:AC,MATCH(C83,AB:AB,0))</f>
        <v>72.39</v>
      </c>
      <c r="T83" s="1538"/>
      <c r="U83" s="1535">
        <f>S83-T83</f>
        <v>72.39</v>
      </c>
      <c r="V83" s="1535">
        <f>INDEX('05基本'!AF:AF,MATCH(C83,'05基本'!C:C,0))</f>
        <v>0</v>
      </c>
      <c r="W83" s="1535">
        <f>O83-P83-U83</f>
        <v>6794.7013496932504</v>
      </c>
      <c r="X83" s="1542"/>
      <c r="Y83" s="1621">
        <f>SUM(Z83:AA83)</f>
        <v>675.34309999999994</v>
      </c>
      <c r="Z83" s="1541">
        <f>(INDEX('05月车间提成'!D:D,MATCH(C85,'05月车间提成'!C:C,0))-INDEX('05月车间提成'!F:F,MATCH('05月车间提成'!C13,'05月车间提成'!C:C,0)))*0.29*0.05+INDEX('05月车间提成'!E:E,MATCH(C85,'05月车间提成'!C:C,0))*0.33*0.05</f>
        <v>621.55409999999995</v>
      </c>
      <c r="AA83" s="1542">
        <f>INDEX('05月车间提成'!J:J,MATCH(C85,'05月车间提成'!C:C,0))*0.05*INDEX('05月车间提成'!K:K,MATCH(C85,'05月车间提成'!C:C,0))</f>
        <v>53.789000000000009</v>
      </c>
      <c r="AB83" s="1519" t="s">
        <v>133</v>
      </c>
      <c r="AC83" s="291">
        <v>0</v>
      </c>
      <c r="AD83" s="1518">
        <f t="shared" si="56"/>
        <v>1</v>
      </c>
      <c r="AE83" s="1530">
        <f>INDEX('05基本'!P:P,MATCH(C83,'05基本'!C:C,0))-I83</f>
        <v>0</v>
      </c>
      <c r="AF83" s="1529">
        <f>SUMIF('05月其他部门提成'!C:C,'05月提成-武侯售后'!C83,'05月其他部门提成'!Q:Q)</f>
        <v>0</v>
      </c>
      <c r="AG83" s="1544">
        <f>SUMIF('05月车间提成'!C:C,'05月提成-武侯售后'!C83,'05月车间提成'!W:W)</f>
        <v>6867.0913496932499</v>
      </c>
      <c r="AH83" s="1530">
        <f>SUMIF('05月业务提成'!B:B,'05月提成-武侯售后'!C83,'05月业务提成'!BO:BO)</f>
        <v>0</v>
      </c>
      <c r="AI83" s="1530">
        <f t="shared" ref="AI83:AI84" si="84">AF83+AG83+AH83</f>
        <v>6867.0913496932499</v>
      </c>
      <c r="AJ83" s="1530">
        <f t="shared" ref="AJ83:AJ84" si="85">AI83-K83</f>
        <v>0</v>
      </c>
      <c r="AK83"/>
      <c r="AL83"/>
      <c r="AM83"/>
      <c r="AN83"/>
      <c r="AO83"/>
    </row>
    <row r="84" spans="1:41" s="1518" customFormat="1" ht="15" customHeight="1">
      <c r="A84" s="1531">
        <f>A83+1</f>
        <v>67</v>
      </c>
      <c r="B84" s="1659"/>
      <c r="C84" s="1615" t="s">
        <v>116</v>
      </c>
      <c r="D84" s="1533">
        <f>INDEX('05基本'!I:I,MATCH(C84,'05基本'!C:C,0))+INDEX('05基本'!J:J,MATCH(C84,'05基本'!C:C,0))</f>
        <v>50</v>
      </c>
      <c r="E84" s="1534">
        <f>INDEX('05基本'!AA:AA,MATCH(C84,'05基本'!C:C,0))</f>
        <v>1268.5899999999999</v>
      </c>
      <c r="F84" s="1534">
        <f>INDEX('05基本'!AB:AB,MATCH(C84,'05基本'!C:C,0))</f>
        <v>477.15</v>
      </c>
      <c r="G84" s="1534">
        <f>INDEX('05基本'!AC:AC,MATCH(C84,'05基本'!C:C,0))</f>
        <v>117</v>
      </c>
      <c r="H84" s="1534">
        <f>INDEX('05基本'!K:K,MATCH(C84,'05基本'!C:C,0))+INDEX('05基本'!L:L,MATCH(C84,'05基本'!C:C,0))</f>
        <v>0</v>
      </c>
      <c r="I84" s="1534">
        <f>INDEX('05基本'!P:P,MATCH(C84,'05基本'!C:C,0))</f>
        <v>850</v>
      </c>
      <c r="J84" s="1534">
        <f>INDEX('05基本'!M:M,MATCH(C84,'05基本'!C:C,0))</f>
        <v>0</v>
      </c>
      <c r="K84" s="1535">
        <f>INDEX('05月车间提成'!W:W,MATCH(C84,'05月车间提成'!C:C,0))</f>
        <v>4119.2675503067503</v>
      </c>
      <c r="L84" s="1533">
        <f>SUMIF(综合考核!A:A,'05月提成-武侯售后'!C84,综合考核!M:M)</f>
        <v>0</v>
      </c>
      <c r="M84" s="1535">
        <f t="shared" ref="M84:M89" si="86">SUM(K84:L84)</f>
        <v>4119.2675503067503</v>
      </c>
      <c r="N84" s="1535">
        <f>SUMIF(服装扣款!C:C,C84,服装扣款!N:N)</f>
        <v>0</v>
      </c>
      <c r="O84" s="1536">
        <f t="shared" ref="O84:O89" si="87">M84-N84</f>
        <v>4119.2675503067503</v>
      </c>
      <c r="P84" s="1537">
        <f>SUMIF(超市公积金!C:C,'05月提成-武侯售后'!C84,超市公积金!I:I)</f>
        <v>0</v>
      </c>
      <c r="Q84" s="1535">
        <f>SUMIF(综合考核!A:A,'05月提成-武侯售后'!C84,综合考核!N:N)</f>
        <v>0</v>
      </c>
      <c r="R84" s="1535">
        <f t="shared" ref="R84:R89" si="88">M84+I84+Q84</f>
        <v>4969.2675503067503</v>
      </c>
      <c r="S84" s="1535">
        <f>INDEX(AC:AC,MATCH(C84,AB:AB,0))</f>
        <v>0</v>
      </c>
      <c r="T84" s="1538"/>
      <c r="U84" s="1535">
        <f t="shared" ref="U84:U89" si="89">S84-T84</f>
        <v>0</v>
      </c>
      <c r="V84" s="1535">
        <f>INDEX('05基本'!AF:AF,MATCH(C84,'05基本'!C:C,0))</f>
        <v>0</v>
      </c>
      <c r="W84" s="1535">
        <f t="shared" ref="W84:W89" si="90">O84-P84-U84</f>
        <v>4119.2675503067503</v>
      </c>
      <c r="X84" s="1542"/>
      <c r="Y84" s="1621">
        <f t="shared" ref="Y84:Y89" si="91">SUM(Z84:AA84)</f>
        <v>0</v>
      </c>
      <c r="Z84" s="1541"/>
      <c r="AA84" s="1542"/>
      <c r="AB84" s="1519" t="s">
        <v>134</v>
      </c>
      <c r="AC84" s="291">
        <v>0</v>
      </c>
      <c r="AD84" s="1518">
        <f t="shared" si="56"/>
        <v>1</v>
      </c>
      <c r="AE84" s="1530">
        <f>INDEX('05基本'!P:P,MATCH(C84,'05基本'!C:C,0))-I84</f>
        <v>0</v>
      </c>
      <c r="AF84" s="1529">
        <f>SUMIF('05月其他部门提成'!C:C,'05月提成-武侯售后'!C84,'05月其他部门提成'!Q:Q)</f>
        <v>0</v>
      </c>
      <c r="AG84" s="1544">
        <f>SUMIF('05月车间提成'!C:C,'05月提成-武侯售后'!C84,'05月车间提成'!W:W)</f>
        <v>4119.2675503067503</v>
      </c>
      <c r="AH84" s="1530">
        <f>SUMIF('05月业务提成'!B:B,'05月提成-武侯售后'!C84,'05月业务提成'!BO:BO)</f>
        <v>0</v>
      </c>
      <c r="AI84" s="1530">
        <f t="shared" si="84"/>
        <v>4119.2675503067503</v>
      </c>
      <c r="AJ84" s="1530">
        <f t="shared" si="85"/>
        <v>0</v>
      </c>
      <c r="AK84"/>
      <c r="AL84"/>
      <c r="AM84"/>
      <c r="AN84"/>
      <c r="AO84"/>
    </row>
    <row r="85" spans="1:41" s="1518" customFormat="1" ht="15" customHeight="1">
      <c r="A85" s="1531"/>
      <c r="B85" s="1662"/>
      <c r="C85" s="1570" t="s">
        <v>135</v>
      </c>
      <c r="D85" s="1554">
        <f t="shared" ref="D85:G85" si="92">SUM(D83:D84)</f>
        <v>90</v>
      </c>
      <c r="E85" s="1554">
        <f t="shared" si="92"/>
        <v>2537.1799999999998</v>
      </c>
      <c r="F85" s="1554">
        <f t="shared" si="92"/>
        <v>954.3</v>
      </c>
      <c r="G85" s="1554">
        <f t="shared" si="92"/>
        <v>234</v>
      </c>
      <c r="H85" s="1554">
        <f t="shared" ref="H85:AA85" si="93">SUM(H83:H84)</f>
        <v>0</v>
      </c>
      <c r="I85" s="1554">
        <f t="shared" si="93"/>
        <v>1990</v>
      </c>
      <c r="J85" s="1554">
        <f t="shared" si="93"/>
        <v>0</v>
      </c>
      <c r="K85" s="1554">
        <f t="shared" si="93"/>
        <v>10986.358899999999</v>
      </c>
      <c r="L85" s="1554">
        <f t="shared" si="93"/>
        <v>0</v>
      </c>
      <c r="M85" s="1554">
        <f t="shared" si="93"/>
        <v>10986.358899999999</v>
      </c>
      <c r="N85" s="1554">
        <f t="shared" si="93"/>
        <v>0</v>
      </c>
      <c r="O85" s="1555">
        <f t="shared" si="93"/>
        <v>10986.358899999999</v>
      </c>
      <c r="P85" s="1556">
        <f t="shared" si="93"/>
        <v>0</v>
      </c>
      <c r="Q85" s="1554">
        <f t="shared" si="93"/>
        <v>0</v>
      </c>
      <c r="R85" s="1554">
        <f t="shared" si="93"/>
        <v>12976.358899999999</v>
      </c>
      <c r="S85" s="1554">
        <f t="shared" si="93"/>
        <v>72.39</v>
      </c>
      <c r="T85" s="1554">
        <f t="shared" si="93"/>
        <v>0</v>
      </c>
      <c r="U85" s="1554">
        <f t="shared" si="93"/>
        <v>72.39</v>
      </c>
      <c r="V85" s="1554">
        <f t="shared" si="93"/>
        <v>0</v>
      </c>
      <c r="W85" s="1554">
        <f t="shared" si="93"/>
        <v>10913.9689</v>
      </c>
      <c r="X85" s="1568">
        <f t="shared" si="93"/>
        <v>0</v>
      </c>
      <c r="Y85" s="1556">
        <f t="shared" si="93"/>
        <v>675.34309999999994</v>
      </c>
      <c r="Z85" s="1554">
        <f t="shared" si="93"/>
        <v>621.55409999999995</v>
      </c>
      <c r="AA85" s="1568">
        <f t="shared" si="93"/>
        <v>53.789000000000009</v>
      </c>
      <c r="AB85" s="1519" t="s">
        <v>136</v>
      </c>
      <c r="AC85" s="291">
        <v>93.08</v>
      </c>
      <c r="AD85" s="1518">
        <f t="shared" si="56"/>
        <v>1</v>
      </c>
      <c r="AE85" s="1530" t="e">
        <f>INDEX('05基本'!P:P,MATCH(C85,'05基本'!C:C,0))-I85</f>
        <v>#N/A</v>
      </c>
      <c r="AF85" s="1558"/>
      <c r="AG85" s="1559"/>
      <c r="AH85" s="1560"/>
      <c r="AI85" s="1560"/>
      <c r="AJ85" s="1560"/>
      <c r="AK85" s="1530"/>
    </row>
    <row r="86" spans="1:41" s="1518" customFormat="1" ht="15" customHeight="1">
      <c r="A86" s="1531">
        <f t="shared" si="83"/>
        <v>68</v>
      </c>
      <c r="B86" s="1620" t="s">
        <v>137</v>
      </c>
      <c r="C86" s="1615" t="s">
        <v>117</v>
      </c>
      <c r="D86" s="1533">
        <f>INDEX('05基本'!I:I,MATCH(C86,'05基本'!C:C,0))+INDEX('05基本'!J:J,MATCH(C86,'05基本'!C:C,0))</f>
        <v>20</v>
      </c>
      <c r="E86" s="1534">
        <f>INDEX('05基本'!AA:AA,MATCH(C86,'05基本'!C:C,0))</f>
        <v>1268.5899999999999</v>
      </c>
      <c r="F86" s="1534">
        <f>INDEX('05基本'!AB:AB,MATCH(C86,'05基本'!C:C,0))</f>
        <v>477.15</v>
      </c>
      <c r="G86" s="1534">
        <f>INDEX('05基本'!AC:AC,MATCH(C86,'05基本'!C:C,0))</f>
        <v>117</v>
      </c>
      <c r="H86" s="1534">
        <f>INDEX('05基本'!K:K,MATCH(C86,'05基本'!C:C,0))+INDEX('05基本'!L:L,MATCH(C86,'05基本'!C:C,0))</f>
        <v>0</v>
      </c>
      <c r="I86" s="1534">
        <f>INDEX('05基本'!P:P,MATCH(C86,'05基本'!C:C,0))</f>
        <v>1120</v>
      </c>
      <c r="J86" s="1534">
        <f>INDEX('05基本'!M:M,MATCH(C86,'05基本'!C:C,0))</f>
        <v>0</v>
      </c>
      <c r="K86" s="1535">
        <f>INDEX('05月车间提成'!W:W,MATCH(C86,'05月车间提成'!C:C,0))</f>
        <v>7806.9898999999996</v>
      </c>
      <c r="L86" s="1533">
        <f>SUMIF(综合考核!A:A,'05月提成-武侯售后'!C86,综合考核!M:M)</f>
        <v>0</v>
      </c>
      <c r="M86" s="1535">
        <f t="shared" si="86"/>
        <v>7806.9898999999996</v>
      </c>
      <c r="N86" s="1535">
        <f>SUMIF(服装扣款!C:C,C86,服装扣款!N:N)</f>
        <v>0</v>
      </c>
      <c r="O86" s="1536">
        <f t="shared" si="87"/>
        <v>7806.9898999999996</v>
      </c>
      <c r="P86" s="1537">
        <f>SUMIF(超市公积金!C:C,'05月提成-武侯售后'!C86,超市公积金!I:I)</f>
        <v>0</v>
      </c>
      <c r="Q86" s="1535">
        <f>SUMIF(综合考核!A:A,'05月提成-武侯售后'!C86,综合考核!N:N)</f>
        <v>0</v>
      </c>
      <c r="R86" s="1535">
        <f t="shared" si="88"/>
        <v>8926.9899000000005</v>
      </c>
      <c r="S86" s="1535">
        <f>INDEX(AC:AC,MATCH(C86,AB:AB,0))</f>
        <v>99.98</v>
      </c>
      <c r="T86" s="1538"/>
      <c r="U86" s="1535">
        <f t="shared" si="89"/>
        <v>99.98</v>
      </c>
      <c r="V86" s="1535">
        <f>INDEX('05基本'!AF:AF,MATCH(C86,'05基本'!C:C,0))</f>
        <v>0</v>
      </c>
      <c r="W86" s="1535">
        <f t="shared" si="90"/>
        <v>7707.0099</v>
      </c>
      <c r="X86" s="1542"/>
      <c r="Y86" s="1540">
        <f t="shared" si="91"/>
        <v>457.83210000000003</v>
      </c>
      <c r="Z86" s="1541">
        <f>(INDEX('05月车间提成'!D:D,MATCH(C87,'05月车间提成'!C:C,0))-INDEX('05月车间提成'!F:F,MATCH('05月车间提成'!C15,'05月车间提成'!C:C,0)))*0.29*0.05+INDEX('05月车间提成'!E:E,MATCH(C87,'05月车间提成'!C:C,0))*0.33*0.05</f>
        <v>411.71010000000001</v>
      </c>
      <c r="AA86" s="1542">
        <f>INDEX('05月车间提成'!J:J,MATCH(C87,'05月车间提成'!C:C,0))*0.05*INDEX('05月车间提成'!K:K,MATCH(C87,'05月车间提成'!C:C,0))</f>
        <v>46.122</v>
      </c>
      <c r="AB86" s="1519" t="s">
        <v>138</v>
      </c>
      <c r="AC86" s="291">
        <v>121.16</v>
      </c>
      <c r="AD86" s="1518">
        <f t="shared" si="56"/>
        <v>1</v>
      </c>
      <c r="AE86" s="1530">
        <f>INDEX('05基本'!P:P,MATCH(C86,'05基本'!C:C,0))-I86</f>
        <v>0</v>
      </c>
      <c r="AF86" s="1529">
        <f>SUMIF('05月其他部门提成'!C:C,'05月提成-武侯售后'!C86,'05月其他部门提成'!Q:Q)</f>
        <v>0</v>
      </c>
      <c r="AG86" s="1544">
        <f>SUMIF('05月车间提成'!C:C,'05月提成-武侯售后'!C86,'05月车间提成'!W:W)</f>
        <v>7806.9898999999996</v>
      </c>
      <c r="AH86" s="1530">
        <f>SUMIF('05月业务提成'!B:B,'05月提成-武侯售后'!C86,'05月业务提成'!BO:BO)</f>
        <v>0</v>
      </c>
      <c r="AI86" s="1530">
        <f t="shared" ref="AI86:AI89" si="94">AF86+AG86+AH86</f>
        <v>7806.9898999999996</v>
      </c>
      <c r="AJ86" s="1530">
        <f t="shared" ref="AJ86:AJ89" si="95">AI86-K86</f>
        <v>0</v>
      </c>
      <c r="AK86"/>
    </row>
    <row r="87" spans="1:41" s="1518" customFormat="1" ht="15" customHeight="1">
      <c r="A87" s="1531"/>
      <c r="B87" s="1608"/>
      <c r="C87" s="1570" t="s">
        <v>139</v>
      </c>
      <c r="D87" s="1622">
        <f t="shared" ref="D87:G87" si="96">SUM(D86:D86)</f>
        <v>20</v>
      </c>
      <c r="E87" s="1622">
        <f t="shared" si="96"/>
        <v>1268.5899999999999</v>
      </c>
      <c r="F87" s="1622">
        <f t="shared" si="96"/>
        <v>477.15</v>
      </c>
      <c r="G87" s="1622">
        <f t="shared" si="96"/>
        <v>117</v>
      </c>
      <c r="H87" s="1622">
        <f t="shared" ref="H87:AA87" si="97">SUM(H86:H86)</f>
        <v>0</v>
      </c>
      <c r="I87" s="1622">
        <f t="shared" si="97"/>
        <v>1120</v>
      </c>
      <c r="J87" s="1622">
        <f t="shared" si="97"/>
        <v>0</v>
      </c>
      <c r="K87" s="1622">
        <f t="shared" si="97"/>
        <v>7806.9898999999996</v>
      </c>
      <c r="L87" s="1622">
        <f t="shared" si="97"/>
        <v>0</v>
      </c>
      <c r="M87" s="1622">
        <f t="shared" si="97"/>
        <v>7806.9898999999996</v>
      </c>
      <c r="N87" s="1622">
        <f t="shared" si="97"/>
        <v>0</v>
      </c>
      <c r="O87" s="1622">
        <f t="shared" si="97"/>
        <v>7806.9898999999996</v>
      </c>
      <c r="P87" s="1622">
        <f t="shared" si="97"/>
        <v>0</v>
      </c>
      <c r="Q87" s="1622">
        <f t="shared" si="97"/>
        <v>0</v>
      </c>
      <c r="R87" s="1622">
        <f t="shared" si="97"/>
        <v>8926.9899000000005</v>
      </c>
      <c r="S87" s="1622">
        <f t="shared" si="97"/>
        <v>99.98</v>
      </c>
      <c r="T87" s="1622">
        <f t="shared" si="97"/>
        <v>0</v>
      </c>
      <c r="U87" s="1622">
        <f t="shared" si="97"/>
        <v>99.98</v>
      </c>
      <c r="V87" s="1622">
        <f t="shared" si="97"/>
        <v>0</v>
      </c>
      <c r="W87" s="1622">
        <f t="shared" si="97"/>
        <v>7707.0099</v>
      </c>
      <c r="X87" s="1622">
        <f t="shared" si="97"/>
        <v>0</v>
      </c>
      <c r="Y87" s="1622">
        <f t="shared" si="97"/>
        <v>457.83210000000003</v>
      </c>
      <c r="Z87" s="1622">
        <f t="shared" si="97"/>
        <v>411.71010000000001</v>
      </c>
      <c r="AA87" s="1622">
        <f t="shared" si="97"/>
        <v>46.122</v>
      </c>
      <c r="AB87" s="1519" t="s">
        <v>140</v>
      </c>
      <c r="AC87" s="291">
        <v>5.32</v>
      </c>
      <c r="AD87" s="1518">
        <f t="shared" si="56"/>
        <v>1</v>
      </c>
      <c r="AE87" s="1530" t="e">
        <f>INDEX('05基本'!P:P,MATCH(C87,'05基本'!C:C,0))-I87</f>
        <v>#N/A</v>
      </c>
      <c r="AF87" s="1558"/>
      <c r="AG87" s="1559"/>
      <c r="AH87" s="1560"/>
      <c r="AI87" s="1560"/>
      <c r="AJ87" s="1560"/>
      <c r="AK87" s="1530"/>
    </row>
    <row r="88" spans="1:41" s="1518" customFormat="1" ht="14.1" customHeight="1">
      <c r="A88" s="1531">
        <f t="shared" ref="A88" si="98">A86+1</f>
        <v>69</v>
      </c>
      <c r="B88" s="1665" t="s">
        <v>141</v>
      </c>
      <c r="C88" s="1615" t="s">
        <v>118</v>
      </c>
      <c r="D88" s="1533">
        <f>INDEX('05基本'!I:I,MATCH(C88,'05基本'!C:C,0))+INDEX('05基本'!J:J,MATCH(C88,'05基本'!C:C,0))</f>
        <v>40</v>
      </c>
      <c r="E88" s="1534">
        <f>INDEX('05基本'!AA:AA,MATCH(C88,'05基本'!C:C,0))</f>
        <v>1268.5899999999999</v>
      </c>
      <c r="F88" s="1534">
        <f>INDEX('05基本'!AB:AB,MATCH(C88,'05基本'!C:C,0))</f>
        <v>477.15</v>
      </c>
      <c r="G88" s="1534">
        <f>INDEX('05基本'!AC:AC,MATCH(C88,'05基本'!C:C,0))</f>
        <v>117</v>
      </c>
      <c r="H88" s="1534">
        <f>INDEX('05基本'!K:K,MATCH(C88,'05基本'!C:C,0))+INDEX('05基本'!L:L,MATCH(C88,'05基本'!C:C,0))</f>
        <v>0</v>
      </c>
      <c r="I88" s="1534">
        <f>INDEX('05基本'!P:P,MATCH(C88,'05基本'!C:C,0))</f>
        <v>1140</v>
      </c>
      <c r="J88" s="1534">
        <f>INDEX('05基本'!M:M,MATCH(C88,'05基本'!C:C,0))</f>
        <v>0</v>
      </c>
      <c r="K88" s="1535">
        <f>INDEX('05月车间提成'!W:W,MATCH(C88,'05月车间提成'!C:C,0))</f>
        <v>6165.0449411764703</v>
      </c>
      <c r="L88" s="1533">
        <f>SUMIF(综合考核!A:A,'05月提成-武侯售后'!C88,综合考核!M:M)</f>
        <v>0</v>
      </c>
      <c r="M88" s="1535">
        <f t="shared" si="86"/>
        <v>6165.0449411764703</v>
      </c>
      <c r="N88" s="1535">
        <f>SUMIF(服装扣款!C:C,C88,服装扣款!N:N)</f>
        <v>0</v>
      </c>
      <c r="O88" s="1536">
        <f t="shared" si="87"/>
        <v>6165.0449411764703</v>
      </c>
      <c r="P88" s="1537">
        <f>SUMIF(超市公积金!C:C,'05月提成-武侯售后'!C88,超市公积金!I:I)</f>
        <v>0</v>
      </c>
      <c r="Q88" s="1535">
        <f>SUMIF(综合考核!A:A,'05月提成-武侯售后'!C88,综合考核!N:N)</f>
        <v>0</v>
      </c>
      <c r="R88" s="1535">
        <f t="shared" si="88"/>
        <v>7305.0449411764703</v>
      </c>
      <c r="S88" s="1535">
        <f>INDEX(AC:AC,MATCH(C88,AB:AB,0))</f>
        <v>51.33</v>
      </c>
      <c r="T88" s="1538"/>
      <c r="U88" s="1535">
        <f t="shared" si="89"/>
        <v>51.33</v>
      </c>
      <c r="V88" s="1535">
        <f>INDEX('05基本'!AF:AF,MATCH(C88,'05基本'!C:C,0))</f>
        <v>0</v>
      </c>
      <c r="W88" s="1535">
        <f t="shared" si="90"/>
        <v>6113.7149411764703</v>
      </c>
      <c r="X88" s="1542"/>
      <c r="Y88" s="1540">
        <f t="shared" si="91"/>
        <v>636.38059999999996</v>
      </c>
      <c r="Z88" s="1541">
        <f>(INDEX('05月车间提成'!D:D,MATCH(C90,'05月车间提成'!C:C,0))-INDEX('05月车间提成'!F:F,MATCH('05月车间提成'!C15,'05月车间提成'!C:C,0)))*0.29*0.05+INDEX('05月车间提成'!E:E,MATCH(C90,'05月车间提成'!C:C,0))*0.33*0.05</f>
        <v>584.94159999999999</v>
      </c>
      <c r="AA88" s="1542">
        <f>INDEX('05月车间提成'!J:J,MATCH(C90,'05月车间提成'!C:C,0))*0.05*INDEX('05月车间提成'!K:K,MATCH(C90,'05月车间提成'!C:C,0))</f>
        <v>51.439000000000007</v>
      </c>
      <c r="AB88" s="1519" t="s">
        <v>142</v>
      </c>
      <c r="AC88" s="291">
        <v>34.53</v>
      </c>
      <c r="AD88" s="1518">
        <f t="shared" si="56"/>
        <v>1</v>
      </c>
      <c r="AE88" s="1530">
        <f>INDEX('05基本'!P:P,MATCH(C88,'05基本'!C:C,0))-I88</f>
        <v>0</v>
      </c>
      <c r="AF88" s="1529">
        <f>SUMIF('05月其他部门提成'!C:C,'05月提成-武侯售后'!C88,'05月其他部门提成'!Q:Q)</f>
        <v>0</v>
      </c>
      <c r="AG88" s="1544">
        <f>SUMIF('05月车间提成'!C:C,'05月提成-武侯售后'!C88,'05月车间提成'!W:W)</f>
        <v>6165.0449411764703</v>
      </c>
      <c r="AH88" s="1530">
        <f>SUMIF('05月业务提成'!B:B,'05月提成-武侯售后'!C88,'05月业务提成'!BO:BO)</f>
        <v>0</v>
      </c>
      <c r="AI88" s="1530">
        <f t="shared" si="94"/>
        <v>6165.0449411764703</v>
      </c>
      <c r="AJ88" s="1530">
        <f t="shared" si="95"/>
        <v>0</v>
      </c>
      <c r="AK88"/>
    </row>
    <row r="89" spans="1:41" s="1518" customFormat="1" ht="14.1" customHeight="1">
      <c r="A89" s="1531">
        <f>A88+1</f>
        <v>70</v>
      </c>
      <c r="B89" s="1666"/>
      <c r="C89" s="1615" t="s">
        <v>119</v>
      </c>
      <c r="D89" s="1533">
        <f>INDEX('05基本'!I:I,MATCH(C89,'05基本'!C:C,0))+INDEX('05基本'!J:J,MATCH(C89,'05基本'!C:C,0))</f>
        <v>50</v>
      </c>
      <c r="E89" s="1534">
        <f>INDEX('05基本'!AA:AA,MATCH(C89,'05基本'!C:C,0))</f>
        <v>1268.5899999999999</v>
      </c>
      <c r="F89" s="1534">
        <f>INDEX('05基本'!AB:AB,MATCH(C89,'05基本'!C:C,0))</f>
        <v>477.15</v>
      </c>
      <c r="G89" s="1534">
        <f>INDEX('05基本'!AC:AC,MATCH(C89,'05基本'!C:C,0))</f>
        <v>117</v>
      </c>
      <c r="H89" s="1534">
        <f>INDEX('05基本'!K:K,MATCH(C89,'05基本'!C:C,0))+INDEX('05基本'!L:L,MATCH(C89,'05基本'!C:C,0))</f>
        <v>0</v>
      </c>
      <c r="I89" s="1534">
        <f>INDEX('05基本'!P:P,MATCH(C89,'05基本'!C:C,0))</f>
        <v>950</v>
      </c>
      <c r="J89" s="1534">
        <f>INDEX('05基本'!M:M,MATCH(C89,'05基本'!C:C,0))</f>
        <v>0</v>
      </c>
      <c r="K89" s="1535">
        <f>INDEX('05月车间提成'!W:W,MATCH(C89,'05月车间提成'!C:C,0))</f>
        <v>4185.5314588235296</v>
      </c>
      <c r="L89" s="1533">
        <f>SUMIF(综合考核!A:A,'05月提成-武侯售后'!C89,综合考核!M:M)</f>
        <v>0</v>
      </c>
      <c r="M89" s="1535">
        <f t="shared" si="86"/>
        <v>4185.5314588235296</v>
      </c>
      <c r="N89" s="1535">
        <f>SUMIF(服装扣款!C:C,C89,服装扣款!N:N)</f>
        <v>0</v>
      </c>
      <c r="O89" s="1536">
        <f t="shared" si="87"/>
        <v>4185.5314588235296</v>
      </c>
      <c r="P89" s="1537">
        <f>SUMIF(超市公积金!C:C,'05月提成-武侯售后'!C89,超市公积金!I:I)</f>
        <v>0</v>
      </c>
      <c r="Q89" s="1535">
        <f>SUMIF(综合考核!A:A,'05月提成-武侯售后'!C89,综合考核!N:N)</f>
        <v>0</v>
      </c>
      <c r="R89" s="1535">
        <f t="shared" si="88"/>
        <v>5135.5314588235296</v>
      </c>
      <c r="S89" s="1535">
        <f>INDEX(AC:AC,MATCH(C89,AB:AB,0))</f>
        <v>0</v>
      </c>
      <c r="T89" s="1538"/>
      <c r="U89" s="1535">
        <f t="shared" si="89"/>
        <v>0</v>
      </c>
      <c r="V89" s="1535">
        <f>INDEX('05基本'!AF:AF,MATCH(C89,'05基本'!C:C,0))</f>
        <v>0</v>
      </c>
      <c r="W89" s="1535">
        <f t="shared" si="90"/>
        <v>4185.5314588235296</v>
      </c>
      <c r="X89" s="1542"/>
      <c r="Y89" s="1540">
        <f t="shared" si="91"/>
        <v>0</v>
      </c>
      <c r="Z89" s="1541"/>
      <c r="AA89" s="1542"/>
      <c r="AB89" s="1519" t="s">
        <v>143</v>
      </c>
      <c r="AC89" s="291">
        <v>134.1</v>
      </c>
      <c r="AD89" s="1518">
        <f t="shared" si="56"/>
        <v>1</v>
      </c>
      <c r="AE89" s="1530">
        <f>INDEX('05基本'!P:P,MATCH(C89,'05基本'!C:C,0))-I89</f>
        <v>0</v>
      </c>
      <c r="AF89" s="1529">
        <f>SUMIF('05月其他部门提成'!C:C,'05月提成-武侯售后'!C89,'05月其他部门提成'!Q:Q)</f>
        <v>0</v>
      </c>
      <c r="AG89" s="1544">
        <f>SUMIF('05月车间提成'!C:C,'05月提成-武侯售后'!C89,'05月车间提成'!W:W)</f>
        <v>4185.5314588235296</v>
      </c>
      <c r="AH89" s="1530">
        <f>SUMIF('05月业务提成'!B:B,'05月提成-武侯售后'!C89,'05月业务提成'!BO:BO)</f>
        <v>0</v>
      </c>
      <c r="AI89" s="1530">
        <f t="shared" si="94"/>
        <v>4185.5314588235296</v>
      </c>
      <c r="AJ89" s="1530">
        <f t="shared" si="95"/>
        <v>0</v>
      </c>
      <c r="AK89"/>
    </row>
    <row r="90" spans="1:41" s="1518" customFormat="1" ht="14.1" customHeight="1">
      <c r="A90" s="1531"/>
      <c r="B90" s="1623"/>
      <c r="C90" s="1570" t="s">
        <v>144</v>
      </c>
      <c r="D90" s="1622">
        <f t="shared" ref="D90:G90" si="99">SUM(D88:D89)</f>
        <v>90</v>
      </c>
      <c r="E90" s="1622">
        <f t="shared" si="99"/>
        <v>2537.1799999999998</v>
      </c>
      <c r="F90" s="1622">
        <f t="shared" si="99"/>
        <v>954.3</v>
      </c>
      <c r="G90" s="1622">
        <f t="shared" si="99"/>
        <v>234</v>
      </c>
      <c r="H90" s="1622">
        <f t="shared" ref="H90:AA90" si="100">SUM(H88:H89)</f>
        <v>0</v>
      </c>
      <c r="I90" s="1622">
        <f t="shared" si="100"/>
        <v>2090</v>
      </c>
      <c r="J90" s="1622">
        <f t="shared" si="100"/>
        <v>0</v>
      </c>
      <c r="K90" s="1554">
        <f t="shared" si="100"/>
        <v>10350.5764</v>
      </c>
      <c r="L90" s="1622">
        <f t="shared" si="100"/>
        <v>0</v>
      </c>
      <c r="M90" s="1622">
        <f t="shared" si="100"/>
        <v>10350.5764</v>
      </c>
      <c r="N90" s="1622">
        <f t="shared" si="100"/>
        <v>0</v>
      </c>
      <c r="O90" s="1624">
        <f t="shared" si="100"/>
        <v>10350.5764</v>
      </c>
      <c r="P90" s="1625">
        <f t="shared" si="100"/>
        <v>0</v>
      </c>
      <c r="Q90" s="1622">
        <f t="shared" si="100"/>
        <v>0</v>
      </c>
      <c r="R90" s="1622">
        <f t="shared" si="100"/>
        <v>12440.5764</v>
      </c>
      <c r="S90" s="1622">
        <f t="shared" si="100"/>
        <v>51.33</v>
      </c>
      <c r="T90" s="1622">
        <f t="shared" si="100"/>
        <v>0</v>
      </c>
      <c r="U90" s="1622">
        <f t="shared" si="100"/>
        <v>51.33</v>
      </c>
      <c r="V90" s="1622">
        <f t="shared" si="100"/>
        <v>0</v>
      </c>
      <c r="W90" s="1622">
        <f t="shared" si="100"/>
        <v>10299.2464</v>
      </c>
      <c r="X90" s="1626">
        <f t="shared" si="100"/>
        <v>0</v>
      </c>
      <c r="Y90" s="1625">
        <f t="shared" si="100"/>
        <v>636.38059999999996</v>
      </c>
      <c r="Z90" s="1622">
        <f t="shared" si="100"/>
        <v>584.94159999999999</v>
      </c>
      <c r="AA90" s="1626">
        <f t="shared" si="100"/>
        <v>51.439000000000007</v>
      </c>
      <c r="AB90" s="1519" t="s">
        <v>145</v>
      </c>
      <c r="AC90" s="291">
        <v>0</v>
      </c>
      <c r="AD90" s="1518">
        <f t="shared" si="56"/>
        <v>1</v>
      </c>
      <c r="AE90" s="1530" t="e">
        <f>INDEX('05基本'!P:P,MATCH(C90,'05基本'!C:C,0))-I90</f>
        <v>#N/A</v>
      </c>
      <c r="AF90" s="1558"/>
      <c r="AG90" s="1559"/>
      <c r="AH90" s="1560"/>
      <c r="AI90" s="1560"/>
      <c r="AJ90" s="1560"/>
      <c r="AK90" s="1530"/>
    </row>
    <row r="91" spans="1:41" s="1518" customFormat="1" ht="14.1" customHeight="1">
      <c r="A91" s="1531">
        <f>A89+1</f>
        <v>71</v>
      </c>
      <c r="B91" s="1665" t="s">
        <v>146</v>
      </c>
      <c r="C91" s="1615" t="s">
        <v>120</v>
      </c>
      <c r="D91" s="1533">
        <f>INDEX('05基本'!I:I,MATCH(C91,'05基本'!C:C,0))+INDEX('05基本'!J:J,MATCH(C91,'05基本'!C:C,0))</f>
        <v>20</v>
      </c>
      <c r="E91" s="1534">
        <f>INDEX('05基本'!AA:AA,MATCH(C91,'05基本'!C:C,0))</f>
        <v>1268.5899999999999</v>
      </c>
      <c r="F91" s="1534">
        <f>INDEX('05基本'!AB:AB,MATCH(C91,'05基本'!C:C,0))</f>
        <v>477.15</v>
      </c>
      <c r="G91" s="1534">
        <f>INDEX('05基本'!AC:AC,MATCH(C91,'05基本'!C:C,0))</f>
        <v>117</v>
      </c>
      <c r="H91" s="1534">
        <f>INDEX('05基本'!K:K,MATCH(C91,'05基本'!C:C,0))+INDEX('05基本'!L:L,MATCH(C91,'05基本'!C:C,0))</f>
        <v>0</v>
      </c>
      <c r="I91" s="1534">
        <f>INDEX('05基本'!P:P,MATCH(C91,'05基本'!C:C,0))</f>
        <v>905</v>
      </c>
      <c r="J91" s="1534">
        <f>INDEX('05基本'!M:M,MATCH(C91,'05基本'!C:C,0))</f>
        <v>0</v>
      </c>
      <c r="K91" s="1535">
        <f>INDEX('05月车间提成'!W:W,MATCH(C91,'05月车间提成'!C:C,0))</f>
        <v>3373.3439806451602</v>
      </c>
      <c r="L91" s="1533">
        <f>SUMIF(综合考核!A:A,'05月提成-武侯售后'!C91,综合考核!M:M)</f>
        <v>0</v>
      </c>
      <c r="M91" s="1535">
        <f>SUM(K91:L91)</f>
        <v>3373.3439806451602</v>
      </c>
      <c r="N91" s="1535">
        <f>SUMIF(服装扣款!C:C,C91,服装扣款!N:N)</f>
        <v>0</v>
      </c>
      <c r="O91" s="1536">
        <f>M91-N91</f>
        <v>3373.3439806451602</v>
      </c>
      <c r="P91" s="1537">
        <f>SUMIF(超市公积金!C:C,'05月提成-武侯售后'!C91,超市公积金!I:I)</f>
        <v>0</v>
      </c>
      <c r="Q91" s="1535">
        <f>SUMIF(综合考核!A:A,'05月提成-武侯售后'!C91,综合考核!N:N)</f>
        <v>0</v>
      </c>
      <c r="R91" s="1535">
        <f>M91+I91+Q91</f>
        <v>4278.3439806451597</v>
      </c>
      <c r="S91" s="1535">
        <f>INDEX(AC:AC,MATCH(C91,AB:AB,0))</f>
        <v>0</v>
      </c>
      <c r="T91" s="1538"/>
      <c r="U91" s="1535">
        <f>S91-T91</f>
        <v>0</v>
      </c>
      <c r="V91" s="1535">
        <f>INDEX('05基本'!AF:AF,MATCH(C91,'05基本'!C:C,0))</f>
        <v>0</v>
      </c>
      <c r="W91" s="1535">
        <f>O91-P91-U91</f>
        <v>3373.3439806451602</v>
      </c>
      <c r="X91" s="1542"/>
      <c r="Y91" s="1627">
        <f>SUM(Z91:AA91)</f>
        <v>550.40260000000001</v>
      </c>
      <c r="Z91" s="1541">
        <f>(INDEX('05月车间提成'!D:D,MATCH(C93,'05月车间提成'!C:C,0))-INDEX('05月车间提成'!F:F,MATCH('05月车间提成'!C21,'05月车间提成'!C:C,0)))*0.29*0.05+INDEX('05月车间提成'!E:E,MATCH(C93,'05月车间提成'!C:C,0))*0.33*0.05</f>
        <v>503.50959999999998</v>
      </c>
      <c r="AA91" s="1542">
        <f>INDEX('05月车间提成'!J:J,MATCH(C93,'05月车间提成'!C:C,0))*0.05*INDEX('05月车间提成'!K:K,MATCH(C93,'05月车间提成'!C:C,0))</f>
        <v>46.893000000000001</v>
      </c>
      <c r="AB91" s="1519" t="s">
        <v>147</v>
      </c>
      <c r="AC91" s="291">
        <v>13.82</v>
      </c>
      <c r="AE91" s="1530">
        <f>INDEX('05基本'!P:P,MATCH(C91,'05基本'!C:C,0))-I91</f>
        <v>0</v>
      </c>
      <c r="AF91" s="1529"/>
      <c r="AG91" s="1544"/>
      <c r="AH91" s="1530"/>
      <c r="AI91" s="1530"/>
      <c r="AJ91" s="1530"/>
      <c r="AK91"/>
    </row>
    <row r="92" spans="1:41" s="1518" customFormat="1" ht="12.15" customHeight="1">
      <c r="A92" s="1531">
        <f>A91+1</f>
        <v>72</v>
      </c>
      <c r="B92" s="1657"/>
      <c r="C92" s="1615" t="s">
        <v>121</v>
      </c>
      <c r="D92" s="1533">
        <f>INDEX('05基本'!I:I,MATCH(C92,'05基本'!C:C,0))+INDEX('05基本'!J:J,MATCH(C92,'05基本'!C:C,0))</f>
        <v>20</v>
      </c>
      <c r="E92" s="1534">
        <f>INDEX('05基本'!AA:AA,MATCH(C92,'05基本'!C:C,0))</f>
        <v>1268.5899999999999</v>
      </c>
      <c r="F92" s="1534">
        <f>INDEX('05基本'!AB:AB,MATCH(C92,'05基本'!C:C,0))</f>
        <v>477.15</v>
      </c>
      <c r="G92" s="1534">
        <f>INDEX('05基本'!AC:AC,MATCH(C92,'05基本'!C:C,0))</f>
        <v>117</v>
      </c>
      <c r="H92" s="1534">
        <f>INDEX('05基本'!K:K,MATCH(C92,'05基本'!C:C,0))+INDEX('05基本'!L:L,MATCH(C92,'05基本'!C:C,0))</f>
        <v>0</v>
      </c>
      <c r="I92" s="1534">
        <f>INDEX('05基本'!P:P,MATCH(C92,'05基本'!C:C,0))</f>
        <v>1120</v>
      </c>
      <c r="J92" s="1534">
        <f>INDEX('05基本'!M:M,MATCH(C92,'05基本'!C:C,0))</f>
        <v>0</v>
      </c>
      <c r="K92" s="1535">
        <f>INDEX('05月车间提成'!W:W,MATCH(C92,'05月车间提成'!C:C,0))</f>
        <v>5760.6254193548402</v>
      </c>
      <c r="L92" s="1533">
        <f>SUMIF(综合考核!A:A,'05月提成-武侯售后'!C92,综合考核!M:M)</f>
        <v>0</v>
      </c>
      <c r="M92" s="1535">
        <f>SUM(K92:L92)</f>
        <v>5760.6254193548402</v>
      </c>
      <c r="N92" s="1535">
        <f>SUMIF(服装扣款!C:C,C92,服装扣款!N:N)</f>
        <v>0</v>
      </c>
      <c r="O92" s="1536">
        <f>M92-N92</f>
        <v>5760.6254193548402</v>
      </c>
      <c r="P92" s="1537">
        <f>SUMIF(超市公积金!C:C,'05月提成-武侯售后'!C92,超市公积金!I:I)</f>
        <v>0</v>
      </c>
      <c r="Q92" s="1535">
        <f>SUMIF(综合考核!A:A,'05月提成-武侯售后'!C92,综合考核!N:N)</f>
        <v>0</v>
      </c>
      <c r="R92" s="1535">
        <f>M92+I92+Q92</f>
        <v>6880.6254193548402</v>
      </c>
      <c r="S92" s="1535">
        <f>INDEX(AC:AC,MATCH(C92,AB:AB,0))</f>
        <v>38.590000000000003</v>
      </c>
      <c r="T92" s="1538"/>
      <c r="U92" s="1535">
        <f>S92-T92</f>
        <v>38.590000000000003</v>
      </c>
      <c r="V92" s="1535">
        <f>INDEX('05基本'!AF:AF,MATCH(C92,'05基本'!C:C,0))</f>
        <v>0</v>
      </c>
      <c r="W92" s="1535">
        <f>O92-P92-U92</f>
        <v>5722.0354193548401</v>
      </c>
      <c r="X92" s="1542"/>
      <c r="Y92" s="1627">
        <f>SUM(Z92:AA92)</f>
        <v>0</v>
      </c>
      <c r="Z92" s="1628"/>
      <c r="AA92" s="1629"/>
      <c r="AB92" s="1519" t="s">
        <v>148</v>
      </c>
      <c r="AC92" s="291">
        <v>0</v>
      </c>
      <c r="AD92" s="1518">
        <f>COUNTIF(C:C,C92)</f>
        <v>1</v>
      </c>
      <c r="AE92" s="1530">
        <f>INDEX('05基本'!P:P,MATCH(C92,'05基本'!C:C,0))-I92</f>
        <v>0</v>
      </c>
      <c r="AF92" s="1529">
        <f>SUMIF('05月其他部门提成'!C:C,'05月提成-武侯售后'!C92,'05月其他部门提成'!Q:Q)</f>
        <v>0</v>
      </c>
      <c r="AG92" s="1544">
        <f>SUMIF('05月车间提成'!C:C,'05月提成-武侯售后'!C92,'05月车间提成'!W:W)</f>
        <v>5760.6254193548402</v>
      </c>
      <c r="AH92" s="1530">
        <f>SUMIF('05月业务提成'!B:B,'05月提成-武侯售后'!C92,'05月业务提成'!BO:BO)</f>
        <v>0</v>
      </c>
      <c r="AI92" s="1530">
        <f>AF92+AG92+AH92</f>
        <v>5760.6254193548402</v>
      </c>
      <c r="AJ92" s="1530">
        <f>AI92-K92</f>
        <v>0</v>
      </c>
      <c r="AK92"/>
    </row>
    <row r="93" spans="1:41" s="1518" customFormat="1" ht="12.9" customHeight="1">
      <c r="A93" s="1531"/>
      <c r="B93" s="1666"/>
      <c r="C93" s="1570" t="s">
        <v>149</v>
      </c>
      <c r="D93" s="1622">
        <f t="shared" ref="D93:G93" si="101">SUM(D91:D92)</f>
        <v>40</v>
      </c>
      <c r="E93" s="1622">
        <f t="shared" si="101"/>
        <v>2537.1799999999998</v>
      </c>
      <c r="F93" s="1622">
        <f t="shared" si="101"/>
        <v>954.3</v>
      </c>
      <c r="G93" s="1622">
        <f t="shared" si="101"/>
        <v>234</v>
      </c>
      <c r="H93" s="1622">
        <f t="shared" ref="H93:AA93" si="102">SUM(H91:H92)</f>
        <v>0</v>
      </c>
      <c r="I93" s="1622">
        <f t="shared" si="102"/>
        <v>2025</v>
      </c>
      <c r="J93" s="1622">
        <f t="shared" si="102"/>
        <v>0</v>
      </c>
      <c r="K93" s="1622">
        <f t="shared" si="102"/>
        <v>9133.9694</v>
      </c>
      <c r="L93" s="1622">
        <f t="shared" si="102"/>
        <v>0</v>
      </c>
      <c r="M93" s="1622">
        <f t="shared" si="102"/>
        <v>9133.9694</v>
      </c>
      <c r="N93" s="1622">
        <f t="shared" si="102"/>
        <v>0</v>
      </c>
      <c r="O93" s="1624">
        <f t="shared" si="102"/>
        <v>9133.9694</v>
      </c>
      <c r="P93" s="1625">
        <f t="shared" si="102"/>
        <v>0</v>
      </c>
      <c r="Q93" s="1622">
        <f t="shared" si="102"/>
        <v>0</v>
      </c>
      <c r="R93" s="1622">
        <f t="shared" si="102"/>
        <v>11158.9694</v>
      </c>
      <c r="S93" s="1622">
        <f t="shared" si="102"/>
        <v>38.590000000000003</v>
      </c>
      <c r="T93" s="1622">
        <f t="shared" si="102"/>
        <v>0</v>
      </c>
      <c r="U93" s="1622">
        <f t="shared" si="102"/>
        <v>38.590000000000003</v>
      </c>
      <c r="V93" s="1622">
        <f t="shared" si="102"/>
        <v>0</v>
      </c>
      <c r="W93" s="1622">
        <f t="shared" si="102"/>
        <v>9095.3793999999998</v>
      </c>
      <c r="X93" s="1626">
        <f t="shared" si="102"/>
        <v>0</v>
      </c>
      <c r="Y93" s="1625">
        <f t="shared" si="102"/>
        <v>550.40260000000001</v>
      </c>
      <c r="Z93" s="1622">
        <f t="shared" si="102"/>
        <v>503.50959999999998</v>
      </c>
      <c r="AA93" s="1626">
        <f t="shared" si="102"/>
        <v>46.893000000000001</v>
      </c>
      <c r="AB93" s="1519" t="s">
        <v>150</v>
      </c>
      <c r="AC93" s="291">
        <v>79.64</v>
      </c>
      <c r="AE93" s="1530" t="e">
        <f>INDEX('05基本'!P:P,MATCH(C93,'05基本'!C:C,0))-I93</f>
        <v>#N/A</v>
      </c>
      <c r="AF93" s="1558"/>
      <c r="AG93" s="1559"/>
      <c r="AH93" s="1560"/>
      <c r="AI93" s="1560"/>
      <c r="AJ93" s="1560"/>
      <c r="AK93" s="1530"/>
    </row>
    <row r="94" spans="1:41" s="1518" customFormat="1" ht="14.1" customHeight="1">
      <c r="A94" s="1531">
        <f>A92+1</f>
        <v>73</v>
      </c>
      <c r="B94" s="1665" t="s">
        <v>151</v>
      </c>
      <c r="C94" s="1615" t="s">
        <v>123</v>
      </c>
      <c r="D94" s="1533">
        <f>INDEX('05基本'!I:I,MATCH(C94,'05基本'!C:C,0))+INDEX('05基本'!J:J,MATCH(C94,'05基本'!C:C,0))</f>
        <v>10</v>
      </c>
      <c r="E94" s="1534">
        <f>INDEX('05基本'!AA:AA,MATCH(C94,'05基本'!C:C,0))</f>
        <v>117</v>
      </c>
      <c r="F94" s="1534">
        <f>INDEX('05基本'!AB:AB,MATCH(C94,'05基本'!C:C,0))</f>
        <v>0</v>
      </c>
      <c r="G94" s="1534">
        <f>INDEX('05基本'!AC:AC,MATCH(C94,'05基本'!C:C,0))</f>
        <v>117</v>
      </c>
      <c r="H94" s="1534">
        <f>INDEX('05基本'!K:K,MATCH(C94,'05基本'!C:C,0))+INDEX('05基本'!L:L,MATCH(C94,'05基本'!C:C,0))</f>
        <v>0</v>
      </c>
      <c r="I94" s="1534">
        <f>INDEX('05基本'!P:P,MATCH(C94,'05基本'!C:C,0))</f>
        <v>1110</v>
      </c>
      <c r="J94" s="1534">
        <f>INDEX('05基本'!M:M,MATCH(C94,'05基本'!C:C,0))</f>
        <v>0</v>
      </c>
      <c r="K94" s="1535">
        <f>INDEX('05月车间提成'!W:W,MATCH(C94,'05月车间提成'!C:C,0))</f>
        <v>8315.9309333333294</v>
      </c>
      <c r="L94" s="1533">
        <f>SUMIF(综合考核!A:A,'05月提成-武侯售后'!C94,综合考核!M:M)</f>
        <v>0</v>
      </c>
      <c r="M94" s="1535">
        <f>SUM(K94:L94)</f>
        <v>8315.9309333333294</v>
      </c>
      <c r="N94" s="1535">
        <f>SUMIF(服装扣款!C:C,C94,服装扣款!N:N)</f>
        <v>0</v>
      </c>
      <c r="O94" s="1536">
        <f>M94-N94</f>
        <v>8315.9309333333294</v>
      </c>
      <c r="P94" s="1537">
        <f>SUMIF(超市公积金!C:C,'05月提成-武侯售后'!C94,超市公积金!I:I)</f>
        <v>0</v>
      </c>
      <c r="Q94" s="1535">
        <f>SUMIF(综合考核!A:A,'05月提成-武侯售后'!C94,综合考核!N:N)</f>
        <v>0</v>
      </c>
      <c r="R94" s="1535">
        <f>M94+I94+Q94</f>
        <v>9425.9309333333294</v>
      </c>
      <c r="S94" s="1535">
        <f>INDEX(AC:AC,MATCH(C94,AB:AB,0))</f>
        <v>0</v>
      </c>
      <c r="T94" s="1538"/>
      <c r="U94" s="1535">
        <f>S94-T94</f>
        <v>0</v>
      </c>
      <c r="V94" s="1535">
        <f>INDEX('05基本'!AF:AF,MATCH(C94,'05基本'!C:C,0))</f>
        <v>0</v>
      </c>
      <c r="W94" s="1535">
        <f>O94-P94-U94</f>
        <v>8315.9309333333294</v>
      </c>
      <c r="X94" s="1542"/>
      <c r="Y94" s="1627">
        <f>SUM(Z94:AA94)</f>
        <v>736.03399999999999</v>
      </c>
      <c r="Z94" s="1541">
        <f>(INDEX('05月车间提成'!D:D,MATCH(C96,'05月车间提成'!C:C,0))-INDEX('05月车间提成'!F:F,MATCH('05月车间提成'!C25,'05月车间提成'!C:C,0)))*0.29*0.05+INDEX('05月车间提成'!E:E,MATCH(C96,'05月车间提成'!C:C,0))*0.33*0.05</f>
        <v>669.23699999999997</v>
      </c>
      <c r="AA94" s="1542">
        <f>INDEX('05月车间提成'!J:J,MATCH(C96,'05月车间提成'!C:C,0))*0.05*INDEX('05月车间提成'!K:K,MATCH(C96,'05月车间提成'!C:C,0))</f>
        <v>66.797000000000011</v>
      </c>
      <c r="AB94" s="1519" t="s">
        <v>152</v>
      </c>
      <c r="AC94" s="291">
        <v>56.3</v>
      </c>
      <c r="AE94" s="1530">
        <f>INDEX('05基本'!P:P,MATCH(C94,'05基本'!C:C,0))-I94</f>
        <v>0</v>
      </c>
      <c r="AF94" s="1529"/>
      <c r="AG94" s="1544"/>
      <c r="AH94" s="1530"/>
      <c r="AI94" s="1530"/>
      <c r="AJ94" s="1530"/>
      <c r="AK94"/>
    </row>
    <row r="95" spans="1:41" s="1518" customFormat="1" ht="12.15" customHeight="1">
      <c r="A95" s="1531">
        <f>A94+1</f>
        <v>74</v>
      </c>
      <c r="B95" s="1657"/>
      <c r="C95" s="1615" t="s">
        <v>124</v>
      </c>
      <c r="D95" s="1533">
        <f>INDEX('05基本'!I:I,MATCH(C95,'05基本'!C:C,0))+INDEX('05基本'!J:J,MATCH(C95,'05基本'!C:C,0))</f>
        <v>10</v>
      </c>
      <c r="E95" s="1534">
        <f>INDEX('05基本'!AA:AA,MATCH(C95,'05基本'!C:C,0))</f>
        <v>0</v>
      </c>
      <c r="F95" s="1534">
        <f>INDEX('05基本'!AB:AB,MATCH(C95,'05基本'!C:C,0))</f>
        <v>0</v>
      </c>
      <c r="G95" s="1534">
        <f>INDEX('05基本'!AC:AC,MATCH(C95,'05基本'!C:C,0))</f>
        <v>0</v>
      </c>
      <c r="H95" s="1534">
        <f>INDEX('05基本'!K:K,MATCH(C95,'05基本'!C:C,0))+INDEX('05基本'!L:L,MATCH(C95,'05基本'!C:C,0))</f>
        <v>0</v>
      </c>
      <c r="I95" s="1534">
        <f>INDEX('05基本'!P:P,MATCH(C95,'05基本'!C:C,0))</f>
        <v>1010</v>
      </c>
      <c r="J95" s="1534">
        <f>INDEX('05基本'!M:M,MATCH(C95,'05基本'!C:C,0))</f>
        <v>0</v>
      </c>
      <c r="K95" s="1535">
        <f>INDEX('05月车间提成'!W:W,MATCH(C95,'05月车间提成'!C:C,0))</f>
        <v>4207.9654666666702</v>
      </c>
      <c r="L95" s="1533">
        <f>SUMIF(综合考核!A:A,'05月提成-武侯售后'!C95,综合考核!M:M)</f>
        <v>0</v>
      </c>
      <c r="M95" s="1535">
        <f>SUM(K95:L95)</f>
        <v>4207.9654666666702</v>
      </c>
      <c r="N95" s="1535">
        <f>SUMIF(服装扣款!C:C,C95,服装扣款!N:N)</f>
        <v>0</v>
      </c>
      <c r="O95" s="1536">
        <f>M95-N95</f>
        <v>4207.9654666666702</v>
      </c>
      <c r="P95" s="1537">
        <f>SUMIF(超市公积金!C:C,'05月提成-武侯售后'!C95,超市公积金!I:I)</f>
        <v>0</v>
      </c>
      <c r="Q95" s="1535">
        <f>SUMIF(综合考核!A:A,'05月提成-武侯售后'!C95,综合考核!N:N)</f>
        <v>0</v>
      </c>
      <c r="R95" s="1535">
        <f>M95+I95+Q95</f>
        <v>5217.9654666666702</v>
      </c>
      <c r="S95" s="1535">
        <f>INDEX(AC:AC,MATCH(C95,AB:AB,0))</f>
        <v>0</v>
      </c>
      <c r="T95" s="1538"/>
      <c r="U95" s="1535">
        <f>S95-T95</f>
        <v>0</v>
      </c>
      <c r="V95" s="1535">
        <f>INDEX('05基本'!AF:AF,MATCH(C95,'05基本'!C:C,0))</f>
        <v>0</v>
      </c>
      <c r="W95" s="1535">
        <f>O95-P95-U95</f>
        <v>4207.9654666666702</v>
      </c>
      <c r="X95" s="1542"/>
      <c r="Y95" s="1627">
        <f>SUM(Z95:AA95)</f>
        <v>0</v>
      </c>
      <c r="Z95" s="1628"/>
      <c r="AA95" s="1629"/>
      <c r="AB95" s="1519" t="s">
        <v>153</v>
      </c>
      <c r="AC95" s="291">
        <v>0</v>
      </c>
      <c r="AD95" s="1518">
        <f>COUNTIF(C:C,C95)</f>
        <v>1</v>
      </c>
      <c r="AE95" s="1530">
        <f>INDEX('05基本'!P:P,MATCH(C95,'05基本'!C:C,0))-I95</f>
        <v>0</v>
      </c>
      <c r="AF95" s="1529">
        <f>SUMIF('05月其他部门提成'!C:C,'05月提成-武侯售后'!C95,'05月其他部门提成'!Q:Q)</f>
        <v>0</v>
      </c>
      <c r="AG95" s="1544">
        <f>SUMIF('05月车间提成'!C:C,'05月提成-武侯售后'!C95,'05月车间提成'!W:W)</f>
        <v>4207.9654666666702</v>
      </c>
      <c r="AH95" s="1530">
        <f>SUMIF('05月业务提成'!B:B,'05月提成-武侯售后'!C95,'05月业务提成'!BO:BO)</f>
        <v>0</v>
      </c>
      <c r="AI95" s="1530">
        <f>AF95+AG95+AH95</f>
        <v>4207.9654666666702</v>
      </c>
      <c r="AJ95" s="1530">
        <f>AI95-K95</f>
        <v>0</v>
      </c>
      <c r="AK95"/>
    </row>
    <row r="96" spans="1:41" s="1518" customFormat="1" ht="12.9" customHeight="1">
      <c r="A96" s="1531"/>
      <c r="B96" s="1666"/>
      <c r="C96" s="1570" t="s">
        <v>154</v>
      </c>
      <c r="D96" s="1622">
        <f t="shared" ref="D96:G96" si="103">SUM(D94:D95)</f>
        <v>20</v>
      </c>
      <c r="E96" s="1622">
        <f t="shared" si="103"/>
        <v>117</v>
      </c>
      <c r="F96" s="1622">
        <f t="shared" si="103"/>
        <v>0</v>
      </c>
      <c r="G96" s="1622">
        <f t="shared" si="103"/>
        <v>117</v>
      </c>
      <c r="H96" s="1622">
        <f t="shared" ref="H96:AA96" si="104">SUM(H94:H95)</f>
        <v>0</v>
      </c>
      <c r="I96" s="1622">
        <f t="shared" si="104"/>
        <v>2120</v>
      </c>
      <c r="J96" s="1622">
        <f t="shared" si="104"/>
        <v>0</v>
      </c>
      <c r="K96" s="1622">
        <f t="shared" si="104"/>
        <v>12523.8964</v>
      </c>
      <c r="L96" s="1622">
        <f t="shared" si="104"/>
        <v>0</v>
      </c>
      <c r="M96" s="1622">
        <f t="shared" si="104"/>
        <v>12523.8964</v>
      </c>
      <c r="N96" s="1622">
        <f t="shared" si="104"/>
        <v>0</v>
      </c>
      <c r="O96" s="1624">
        <f t="shared" si="104"/>
        <v>12523.8964</v>
      </c>
      <c r="P96" s="1625">
        <f t="shared" si="104"/>
        <v>0</v>
      </c>
      <c r="Q96" s="1622">
        <f t="shared" si="104"/>
        <v>0</v>
      </c>
      <c r="R96" s="1622">
        <f t="shared" si="104"/>
        <v>14643.8964</v>
      </c>
      <c r="S96" s="1622">
        <f t="shared" si="104"/>
        <v>0</v>
      </c>
      <c r="T96" s="1622">
        <f t="shared" si="104"/>
        <v>0</v>
      </c>
      <c r="U96" s="1622">
        <f t="shared" si="104"/>
        <v>0</v>
      </c>
      <c r="V96" s="1622">
        <f t="shared" si="104"/>
        <v>0</v>
      </c>
      <c r="W96" s="1622">
        <f t="shared" si="104"/>
        <v>12523.8964</v>
      </c>
      <c r="X96" s="1626">
        <f t="shared" si="104"/>
        <v>0</v>
      </c>
      <c r="Y96" s="1625">
        <f t="shared" si="104"/>
        <v>736.03399999999999</v>
      </c>
      <c r="Z96" s="1622">
        <f t="shared" si="104"/>
        <v>669.23699999999997</v>
      </c>
      <c r="AA96" s="1626">
        <f t="shared" si="104"/>
        <v>66.797000000000011</v>
      </c>
      <c r="AB96" s="1519" t="s">
        <v>155</v>
      </c>
      <c r="AC96" s="291">
        <v>49.72</v>
      </c>
      <c r="AE96" s="1530" t="e">
        <f>INDEX('05基本'!P:P,MATCH(C96,'05基本'!C:C,0))-I96</f>
        <v>#N/A</v>
      </c>
      <c r="AF96" s="1558"/>
      <c r="AG96" s="1559"/>
      <c r="AH96" s="1560"/>
      <c r="AI96" s="1560"/>
      <c r="AJ96" s="1560"/>
      <c r="AK96" s="1530"/>
    </row>
    <row r="97" spans="1:37" s="1518" customFormat="1" ht="12.15" customHeight="1">
      <c r="A97" s="1531">
        <f>A95+1</f>
        <v>75</v>
      </c>
      <c r="B97" s="1659" t="s">
        <v>156</v>
      </c>
      <c r="C97" s="1615" t="s">
        <v>126</v>
      </c>
      <c r="D97" s="1533">
        <f>INDEX('05基本'!I:I,MATCH(C97,'05基本'!C:C,0))+INDEX('05基本'!J:J,MATCH(C97,'05基本'!C:C,0))</f>
        <v>20</v>
      </c>
      <c r="E97" s="1534">
        <f>INDEX('05基本'!AA:AA,MATCH(C97,'05基本'!C:C,0))</f>
        <v>1268.5899999999999</v>
      </c>
      <c r="F97" s="1534">
        <f>INDEX('05基本'!AB:AB,MATCH(C97,'05基本'!C:C,0))</f>
        <v>477.15</v>
      </c>
      <c r="G97" s="1534">
        <f>INDEX('05基本'!AC:AC,MATCH(C97,'05基本'!C:C,0))</f>
        <v>117</v>
      </c>
      <c r="H97" s="1534">
        <f>INDEX('05基本'!K:K,MATCH(C97,'05基本'!C:C,0))+INDEX('05基本'!L:L,MATCH(C97,'05基本'!C:C,0))</f>
        <v>0</v>
      </c>
      <c r="I97" s="1534">
        <f>INDEX('05基本'!P:P,MATCH(C97,'05基本'!C:C,0))</f>
        <v>1120</v>
      </c>
      <c r="J97" s="1534">
        <f>INDEX('05基本'!M:M,MATCH(C97,'05基本'!C:C,0))</f>
        <v>0</v>
      </c>
      <c r="K97" s="1535">
        <f>INDEX('05月车间提成'!W:W,MATCH(C97,'05月车间提成'!C:C,0))</f>
        <v>6845.9485161290304</v>
      </c>
      <c r="L97" s="1533">
        <f>SUMIF(综合考核!A:A,'05月提成-武侯售后'!C97,综合考核!M:M)</f>
        <v>0</v>
      </c>
      <c r="M97" s="1535">
        <f>SUM(K97:L97)</f>
        <v>6845.9485161290304</v>
      </c>
      <c r="N97" s="1535">
        <f>SUMIF(服装扣款!C:C,C97,服装扣款!N:N)</f>
        <v>0</v>
      </c>
      <c r="O97" s="1536">
        <f>M97-N97</f>
        <v>6845.9485161290304</v>
      </c>
      <c r="P97" s="1537">
        <f>SUMIF(超市公积金!C:C,'05月提成-武侯售后'!C97,超市公积金!I:I)</f>
        <v>0</v>
      </c>
      <c r="Q97" s="1535">
        <f>SUMIF(综合考核!A:A,'05月提成-武侯售后'!C97,综合考核!N:N)</f>
        <v>0</v>
      </c>
      <c r="R97" s="1535">
        <f>M97+I97+Q97</f>
        <v>7965.9485161290304</v>
      </c>
      <c r="S97" s="1535">
        <f>INDEX(AC:AC,MATCH(C97,AB:AB,0))</f>
        <v>41.15</v>
      </c>
      <c r="T97" s="1538"/>
      <c r="U97" s="1535">
        <f>S97-T97</f>
        <v>41.15</v>
      </c>
      <c r="V97" s="1535">
        <f>INDEX('05基本'!AF:AF,MATCH(C97,'05基本'!C:C,0))</f>
        <v>0</v>
      </c>
      <c r="W97" s="1535">
        <f>O97-P97-U97</f>
        <v>6804.7985161290298</v>
      </c>
      <c r="X97" s="1542"/>
      <c r="Y97" s="1627">
        <f>SUM(Z97:AA97)</f>
        <v>780.77019999999993</v>
      </c>
      <c r="Z97" s="1628">
        <f>(INDEX('05月车间提成'!D:D,MATCH(C99,'05月车间提成'!C:C,0))-INDEX('05月车间提成'!F:F,MATCH('05月车间提成'!C29,'05月车间提成'!C:C,0)))*0.29*0.05+INDEX('05月车间提成'!E:E,MATCH(C99,'05月车间提成'!C:C,0))*0.33*0.05</f>
        <v>728.53219999999999</v>
      </c>
      <c r="AA97" s="1629">
        <f>INDEX('05月车间提成'!J:J,MATCH(C99,'05月车间提成'!C:C,0))*0.05*INDEX('05月车间提成'!K:K,MATCH(C99,'05月车间提成'!C:C,0))</f>
        <v>52.238</v>
      </c>
      <c r="AB97" s="1519" t="s">
        <v>157</v>
      </c>
      <c r="AC97" s="291">
        <v>0</v>
      </c>
      <c r="AD97" s="1518">
        <f t="shared" ref="AD97:AD106" si="105">COUNTIF(C:C,C97)</f>
        <v>1</v>
      </c>
      <c r="AE97" s="1530">
        <f>INDEX('05基本'!P:P,MATCH(C97,'05基本'!C:C,0))-I97</f>
        <v>0</v>
      </c>
      <c r="AF97" s="1529">
        <f>SUMIF('05月其他部门提成'!C:C,'05月提成-武侯售后'!C97,'05月其他部门提成'!Q:Q)</f>
        <v>0</v>
      </c>
      <c r="AG97" s="1544">
        <f>SUMIF('05月车间提成'!C:C,'05月提成-武侯售后'!C97,'05月车间提成'!W:W)</f>
        <v>6845.9485161290304</v>
      </c>
      <c r="AH97" s="1530">
        <f>SUMIF('05月业务提成'!B:B,'05月提成-武侯售后'!C97,'05月业务提成'!BO:BO)</f>
        <v>0</v>
      </c>
      <c r="AI97" s="1530">
        <f>AF97+AG97+AH97</f>
        <v>6845.9485161290304</v>
      </c>
      <c r="AJ97" s="1530">
        <f>AI97-K97</f>
        <v>0</v>
      </c>
      <c r="AK97"/>
    </row>
    <row r="98" spans="1:37" s="1518" customFormat="1" ht="12.15" customHeight="1">
      <c r="A98" s="1531">
        <f>A97+1</f>
        <v>76</v>
      </c>
      <c r="B98" s="1660"/>
      <c r="C98" s="1615" t="s">
        <v>128</v>
      </c>
      <c r="D98" s="1533">
        <f>INDEX('05基本'!I:I,MATCH(C98,'05基本'!C:C,0))+INDEX('05基本'!J:J,MATCH(C98,'05基本'!C:C,0))</f>
        <v>20</v>
      </c>
      <c r="E98" s="1534">
        <f>INDEX('05基本'!AA:AA,MATCH(C98,'05基本'!C:C,0))</f>
        <v>1268.5899999999999</v>
      </c>
      <c r="F98" s="1534">
        <f>INDEX('05基本'!AB:AB,MATCH(C98,'05基本'!C:C,0))</f>
        <v>477.15</v>
      </c>
      <c r="G98" s="1534">
        <f>INDEX('05基本'!AC:AC,MATCH(C98,'05基本'!C:C,0))</f>
        <v>117</v>
      </c>
      <c r="H98" s="1534">
        <f>INDEX('05基本'!K:K,MATCH(C98,'05基本'!C:C,0))+INDEX('05基本'!L:L,MATCH(C98,'05基本'!C:C,0))</f>
        <v>0</v>
      </c>
      <c r="I98" s="1534">
        <f>INDEX('05基本'!P:P,MATCH(C98,'05基本'!C:C,0))</f>
        <v>920</v>
      </c>
      <c r="J98" s="1534">
        <f>INDEX('05基本'!M:M,MATCH(C98,'05基本'!C:C,0))</f>
        <v>0</v>
      </c>
      <c r="K98" s="1535">
        <f>INDEX('05月车间提成'!W:W,MATCH(C98,'05月车间提成'!C:C,0))</f>
        <v>3970.2716838709698</v>
      </c>
      <c r="L98" s="1533">
        <f>SUMIF(综合考核!A:A,'05月提成-武侯售后'!C98,综合考核!M:M)</f>
        <v>0</v>
      </c>
      <c r="M98" s="1535">
        <f>SUM(K98:L98)</f>
        <v>3970.2716838709698</v>
      </c>
      <c r="N98" s="1535">
        <f>SUMIF(服装扣款!C:C,C98,服装扣款!N:N)</f>
        <v>0</v>
      </c>
      <c r="O98" s="1536">
        <f>M98-N98</f>
        <v>3970.2716838709698</v>
      </c>
      <c r="P98" s="1537">
        <f>SUMIF(超市公积金!C:C,'05月提成-武侯售后'!C98,超市公积金!I:I)</f>
        <v>0</v>
      </c>
      <c r="Q98" s="1535">
        <f>SUMIF(综合考核!A:A,'05月提成-武侯售后'!C98,综合考核!N:N)</f>
        <v>0</v>
      </c>
      <c r="R98" s="1535">
        <f>M98+I98+Q98</f>
        <v>4890.2716838709703</v>
      </c>
      <c r="S98" s="1535">
        <f>INDEX(AC:AC,MATCH(C98,AB:AB,0))</f>
        <v>0</v>
      </c>
      <c r="T98" s="1538"/>
      <c r="U98" s="1535">
        <f>S98-T98</f>
        <v>0</v>
      </c>
      <c r="V98" s="1535">
        <f>INDEX('05基本'!AF:AF,MATCH(C98,'05基本'!C:C,0))</f>
        <v>0</v>
      </c>
      <c r="W98" s="1535">
        <f>O98-P98-U98</f>
        <v>3970.2716838709698</v>
      </c>
      <c r="X98" s="1542"/>
      <c r="Y98" s="1627">
        <f>SUM(Z98:AA98)</f>
        <v>0</v>
      </c>
      <c r="Z98" s="1628"/>
      <c r="AA98" s="1629"/>
      <c r="AB98" s="1519" t="s">
        <v>158</v>
      </c>
      <c r="AC98" s="291">
        <v>0</v>
      </c>
      <c r="AD98" s="1518">
        <f t="shared" si="105"/>
        <v>1</v>
      </c>
      <c r="AE98" s="1530">
        <f>INDEX('05基本'!P:P,MATCH(C98,'05基本'!C:C,0))-I98</f>
        <v>0</v>
      </c>
      <c r="AF98" s="1529">
        <f>SUMIF('05月其他部门提成'!C:C,'05月提成-武侯售后'!C98,'05月其他部门提成'!Q:Q)</f>
        <v>0</v>
      </c>
      <c r="AG98" s="1544">
        <f>SUMIF('05月车间提成'!C:C,'05月提成-武侯售后'!C98,'05月车间提成'!W:W)</f>
        <v>3970.2716838709698</v>
      </c>
      <c r="AH98" s="1530">
        <f>SUMIF('05月业务提成'!B:B,'05月提成-武侯售后'!C98,'05月业务提成'!BO:BO)</f>
        <v>0</v>
      </c>
      <c r="AI98" s="1530">
        <f>AF98+AG98+AH98</f>
        <v>3970.2716838709698</v>
      </c>
      <c r="AJ98" s="1530">
        <f>AI98-K98</f>
        <v>0</v>
      </c>
      <c r="AK98"/>
    </row>
    <row r="99" spans="1:37" s="1518" customFormat="1" ht="14.1" customHeight="1">
      <c r="A99" s="1531"/>
      <c r="B99" s="1630"/>
      <c r="C99" s="1570" t="s">
        <v>159</v>
      </c>
      <c r="D99" s="1554">
        <f t="shared" ref="D99:G99" si="106">SUM(D97:D98)</f>
        <v>40</v>
      </c>
      <c r="E99" s="1554">
        <f t="shared" si="106"/>
        <v>2537.1799999999998</v>
      </c>
      <c r="F99" s="1554">
        <f t="shared" si="106"/>
        <v>954.3</v>
      </c>
      <c r="G99" s="1554">
        <f t="shared" si="106"/>
        <v>234</v>
      </c>
      <c r="H99" s="1554">
        <f t="shared" ref="H99:AA99" si="107">SUM(H97:H98)</f>
        <v>0</v>
      </c>
      <c r="I99" s="1554">
        <f t="shared" si="107"/>
        <v>2040</v>
      </c>
      <c r="J99" s="1554">
        <f t="shared" si="107"/>
        <v>0</v>
      </c>
      <c r="K99" s="1554">
        <f t="shared" si="107"/>
        <v>10816.2202</v>
      </c>
      <c r="L99" s="1554">
        <f t="shared" si="107"/>
        <v>0</v>
      </c>
      <c r="M99" s="1554">
        <f t="shared" si="107"/>
        <v>10816.2202</v>
      </c>
      <c r="N99" s="1554">
        <f t="shared" si="107"/>
        <v>0</v>
      </c>
      <c r="O99" s="1554">
        <f t="shared" si="107"/>
        <v>10816.2202</v>
      </c>
      <c r="P99" s="1554">
        <f t="shared" si="107"/>
        <v>0</v>
      </c>
      <c r="Q99" s="1554">
        <f t="shared" si="107"/>
        <v>0</v>
      </c>
      <c r="R99" s="1554">
        <f t="shared" si="107"/>
        <v>12856.2202</v>
      </c>
      <c r="S99" s="1554">
        <f t="shared" si="107"/>
        <v>41.15</v>
      </c>
      <c r="T99" s="1554">
        <f t="shared" si="107"/>
        <v>0</v>
      </c>
      <c r="U99" s="1554">
        <f t="shared" si="107"/>
        <v>41.15</v>
      </c>
      <c r="V99" s="1554">
        <f t="shared" si="107"/>
        <v>0</v>
      </c>
      <c r="W99" s="1554">
        <f t="shared" si="107"/>
        <v>10775.0702</v>
      </c>
      <c r="X99" s="1554">
        <f t="shared" si="107"/>
        <v>0</v>
      </c>
      <c r="Y99" s="1554">
        <f t="shared" si="107"/>
        <v>780.77019999999993</v>
      </c>
      <c r="Z99" s="1554">
        <f t="shared" si="107"/>
        <v>728.53219999999999</v>
      </c>
      <c r="AA99" s="1554">
        <f t="shared" si="107"/>
        <v>52.238</v>
      </c>
      <c r="AB99" s="1519" t="s">
        <v>160</v>
      </c>
      <c r="AC99" s="291">
        <v>44.04</v>
      </c>
      <c r="AD99" s="1518">
        <f t="shared" si="105"/>
        <v>1</v>
      </c>
      <c r="AE99" s="1530" t="e">
        <f>INDEX('05基本'!P:P,MATCH(C99,'05基本'!C:C,0))-I99</f>
        <v>#N/A</v>
      </c>
      <c r="AF99" s="1558"/>
      <c r="AG99" s="1559"/>
      <c r="AH99" s="1560"/>
      <c r="AI99" s="1560"/>
      <c r="AJ99" s="1560"/>
      <c r="AK99" s="1530"/>
    </row>
    <row r="100" spans="1:37" s="1518" customFormat="1" ht="14.1" customHeight="1">
      <c r="A100" s="1531">
        <f>A98+1</f>
        <v>77</v>
      </c>
      <c r="B100" s="1550" t="s">
        <v>161</v>
      </c>
      <c r="C100" s="1615" t="s">
        <v>129</v>
      </c>
      <c r="D100" s="1533">
        <f>INDEX('05基本'!I:I,MATCH(C100,'05基本'!C:C,0))+INDEX('05基本'!J:J,MATCH(C100,'05基本'!C:C,0))</f>
        <v>10</v>
      </c>
      <c r="E100" s="1534">
        <f>INDEX('05基本'!AA:AA,MATCH(C100,'05基本'!C:C,0))</f>
        <v>1268.5899999999999</v>
      </c>
      <c r="F100" s="1534">
        <f>INDEX('05基本'!AB:AB,MATCH(C100,'05基本'!C:C,0))</f>
        <v>477.15</v>
      </c>
      <c r="G100" s="1534">
        <f>INDEX('05基本'!AC:AC,MATCH(C100,'05基本'!C:C,0))</f>
        <v>117</v>
      </c>
      <c r="H100" s="1534">
        <f>INDEX('05基本'!K:K,MATCH(C100,'05基本'!C:C,0))+INDEX('05基本'!L:L,MATCH(C100,'05基本'!C:C,0))</f>
        <v>0</v>
      </c>
      <c r="I100" s="1534">
        <f>INDEX('05基本'!P:P,MATCH(C100,'05基本'!C:C,0))</f>
        <v>1060</v>
      </c>
      <c r="J100" s="1534">
        <f>INDEX('05基本'!M:M,MATCH(C100,'05基本'!C:C,0))</f>
        <v>0</v>
      </c>
      <c r="K100" s="1535">
        <f>INDEX('05月车间提成'!W:W,MATCH(C100,'05月车间提成'!C:C,0))</f>
        <v>7203.0898999999999</v>
      </c>
      <c r="L100" s="1533">
        <f>SUMIF(综合考核!A:A,'05月提成-武侯售后'!C100,综合考核!M:M)</f>
        <v>0</v>
      </c>
      <c r="M100" s="1535">
        <f t="shared" ref="M100:M104" si="108">SUM(K100:L100)</f>
        <v>7203.0898999999999</v>
      </c>
      <c r="N100" s="1535">
        <f>SUMIF(服装扣款!C:C,C100,服装扣款!N:N)</f>
        <v>0</v>
      </c>
      <c r="O100" s="1536">
        <f t="shared" ref="O100:O104" si="109">M100-N100</f>
        <v>7203.0898999999999</v>
      </c>
      <c r="P100" s="1537">
        <f>SUMIF(超市公积金!C:C,'05月提成-武侯售后'!C100,超市公积金!I:I)</f>
        <v>0</v>
      </c>
      <c r="Q100" s="1535">
        <f>SUMIF(综合考核!A:A,'05月提成-武侯售后'!C100,综合考核!N:N)</f>
        <v>0</v>
      </c>
      <c r="R100" s="1535">
        <f t="shared" ref="R100:R104" si="110">M100+I100+Q100</f>
        <v>8263.0899000000009</v>
      </c>
      <c r="S100" s="1535">
        <f>INDEX(AC:AC,MATCH(C100,AB:AB,0))</f>
        <v>80.06</v>
      </c>
      <c r="T100" s="1538"/>
      <c r="U100" s="1535">
        <f t="shared" ref="U100:U104" si="111">S100-T100</f>
        <v>80.06</v>
      </c>
      <c r="V100" s="1535">
        <f>INDEX('05基本'!AF:AF,MATCH(C100,'05基本'!C:C,0))</f>
        <v>0</v>
      </c>
      <c r="W100" s="1535">
        <f t="shared" ref="W100:W104" si="112">O100-P100-U100</f>
        <v>7123.0299000000005</v>
      </c>
      <c r="X100" s="1542"/>
      <c r="Y100" s="1540">
        <f>SUM(Z100:AA100)</f>
        <v>428.13470000000001</v>
      </c>
      <c r="Z100" s="1541">
        <f>(INDEX('05月车间提成'!D:D,MATCH(C101,'05月车间提成'!C:C,0))-INDEX('05月车间提成'!F:F,MATCH('05月车间提成'!C29,'05月车间提成'!C:C,0)))*0.29*0.05+INDEX('05月车间提成'!E:E,MATCH(C101,'05月车间提成'!C:C,0))*0.33*0.05</f>
        <v>401.02670000000001</v>
      </c>
      <c r="AA100" s="1542">
        <f>INDEX('05月车间提成'!J:J,MATCH(C101,'05月车间提成'!C:C,0))*0.05*INDEX('05月车间提成'!K:K,MATCH(C101,'05月车间提成'!C:C,0))</f>
        <v>27.108000000000004</v>
      </c>
      <c r="AB100" s="1519" t="s">
        <v>162</v>
      </c>
      <c r="AC100" s="291">
        <v>3.63</v>
      </c>
      <c r="AD100" s="1518">
        <f t="shared" si="105"/>
        <v>1</v>
      </c>
      <c r="AE100" s="1530">
        <f>INDEX('05基本'!P:P,MATCH(C100,'05基本'!C:C,0))-I100</f>
        <v>0</v>
      </c>
      <c r="AF100" s="1529">
        <f>SUMIF('05月其他部门提成'!C:C,'05月提成-武侯售后'!C100,'05月其他部门提成'!Q:Q)</f>
        <v>0</v>
      </c>
      <c r="AG100" s="1544">
        <f>SUMIF('05月车间提成'!C:C,'05月提成-武侯售后'!C100,'05月车间提成'!W:W)</f>
        <v>7203.0898999999999</v>
      </c>
      <c r="AH100" s="1530">
        <f>SUMIF('05月业务提成'!B:B,'05月提成-武侯售后'!C100,'05月业务提成'!BO:BO)</f>
        <v>0</v>
      </c>
      <c r="AI100" s="1530">
        <f t="shared" ref="AI100:AI104" si="113">AF100+AG100+AH100</f>
        <v>7203.0898999999999</v>
      </c>
      <c r="AJ100" s="1530">
        <f t="shared" ref="AJ100:AJ104" si="114">AI100-K100</f>
        <v>0</v>
      </c>
      <c r="AK100"/>
    </row>
    <row r="101" spans="1:37" s="1518" customFormat="1" ht="14.25" customHeight="1">
      <c r="A101" s="1531"/>
      <c r="B101" s="1631"/>
      <c r="C101" s="1570" t="s">
        <v>161</v>
      </c>
      <c r="D101" s="1554">
        <f t="shared" ref="D101:G101" si="115">SUM(D100:D100)</f>
        <v>10</v>
      </c>
      <c r="E101" s="1554">
        <f t="shared" si="115"/>
        <v>1268.5899999999999</v>
      </c>
      <c r="F101" s="1554">
        <f t="shared" si="115"/>
        <v>477.15</v>
      </c>
      <c r="G101" s="1554">
        <f t="shared" si="115"/>
        <v>117</v>
      </c>
      <c r="H101" s="1554">
        <f t="shared" ref="H101:AA101" si="116">SUM(H100:H100)</f>
        <v>0</v>
      </c>
      <c r="I101" s="1554">
        <f t="shared" si="116"/>
        <v>1060</v>
      </c>
      <c r="J101" s="1554">
        <f t="shared" si="116"/>
        <v>0</v>
      </c>
      <c r="K101" s="1554">
        <f t="shared" si="116"/>
        <v>7203.0898999999999</v>
      </c>
      <c r="L101" s="1554">
        <f t="shared" si="116"/>
        <v>0</v>
      </c>
      <c r="M101" s="1554">
        <f t="shared" si="116"/>
        <v>7203.0898999999999</v>
      </c>
      <c r="N101" s="1554">
        <f t="shared" si="116"/>
        <v>0</v>
      </c>
      <c r="O101" s="1554">
        <f t="shared" si="116"/>
        <v>7203.0898999999999</v>
      </c>
      <c r="P101" s="1554">
        <f t="shared" si="116"/>
        <v>0</v>
      </c>
      <c r="Q101" s="1554">
        <f t="shared" si="116"/>
        <v>0</v>
      </c>
      <c r="R101" s="1554">
        <f t="shared" si="116"/>
        <v>8263.0899000000009</v>
      </c>
      <c r="S101" s="1554">
        <f t="shared" si="116"/>
        <v>80.06</v>
      </c>
      <c r="T101" s="1554">
        <f t="shared" si="116"/>
        <v>0</v>
      </c>
      <c r="U101" s="1554">
        <f t="shared" si="116"/>
        <v>80.06</v>
      </c>
      <c r="V101" s="1554">
        <f t="shared" si="116"/>
        <v>0</v>
      </c>
      <c r="W101" s="1554">
        <f t="shared" si="116"/>
        <v>7123.0299000000005</v>
      </c>
      <c r="X101" s="1554">
        <f t="shared" si="116"/>
        <v>0</v>
      </c>
      <c r="Y101" s="1554">
        <f t="shared" si="116"/>
        <v>428.13470000000001</v>
      </c>
      <c r="Z101" s="1554">
        <f t="shared" si="116"/>
        <v>401.02670000000001</v>
      </c>
      <c r="AA101" s="1554">
        <f t="shared" si="116"/>
        <v>27.108000000000004</v>
      </c>
      <c r="AB101" s="1519" t="s">
        <v>163</v>
      </c>
      <c r="AC101" s="291">
        <v>49.54</v>
      </c>
      <c r="AD101" s="1518">
        <f t="shared" si="105"/>
        <v>1</v>
      </c>
      <c r="AE101" s="1530" t="e">
        <f>INDEX('05基本'!P:P,MATCH(C101,'05基本'!C:C,0))-I101</f>
        <v>#N/A</v>
      </c>
      <c r="AF101" s="1558"/>
      <c r="AG101" s="1559"/>
      <c r="AH101" s="1560"/>
      <c r="AI101" s="1560"/>
      <c r="AJ101" s="1560"/>
      <c r="AK101" s="1530"/>
    </row>
    <row r="102" spans="1:37" s="1518" customFormat="1" ht="14.1" customHeight="1">
      <c r="A102" s="1531">
        <f>A100+1</f>
        <v>78</v>
      </c>
      <c r="B102" s="1657" t="s">
        <v>164</v>
      </c>
      <c r="C102" s="1615" t="s">
        <v>131</v>
      </c>
      <c r="D102" s="1533">
        <f>INDEX('05基本'!I:I,MATCH(C102,'05基本'!C:C,0))+INDEX('05基本'!J:J,MATCH(C102,'05基本'!C:C,0))</f>
        <v>20</v>
      </c>
      <c r="E102" s="1534">
        <f>INDEX('05基本'!AA:AA,MATCH(C102,'05基本'!C:C,0))</f>
        <v>1268.5899999999999</v>
      </c>
      <c r="F102" s="1534">
        <f>INDEX('05基本'!AB:AB,MATCH(C102,'05基本'!C:C,0))</f>
        <v>477.15</v>
      </c>
      <c r="G102" s="1534">
        <f>INDEX('05基本'!AC:AC,MATCH(C102,'05基本'!C:C,0))</f>
        <v>117</v>
      </c>
      <c r="H102" s="1534">
        <f>INDEX('05基本'!K:K,MATCH(C102,'05基本'!C:C,0))+INDEX('05基本'!L:L,MATCH(C102,'05基本'!C:C,0))</f>
        <v>0</v>
      </c>
      <c r="I102" s="1534">
        <f>INDEX('05基本'!P:P,MATCH(C102,'05基本'!C:C,0))</f>
        <v>1120</v>
      </c>
      <c r="J102" s="1534">
        <f>INDEX('05基本'!M:M,MATCH(C102,'05基本'!C:C,0))</f>
        <v>0</v>
      </c>
      <c r="K102" s="1535">
        <f>INDEX('05月车间提成'!W:W,MATCH(C102,'05月车间提成'!C:C,0))</f>
        <v>7918.1032500000001</v>
      </c>
      <c r="L102" s="1533">
        <f>SUMIF(综合考核!A:A,'05月提成-武侯售后'!C102,综合考核!M:M)</f>
        <v>0</v>
      </c>
      <c r="M102" s="1535">
        <f t="shared" si="108"/>
        <v>7918.1032500000001</v>
      </c>
      <c r="N102" s="1535">
        <f>SUMIF(服装扣款!C:C,C102,服装扣款!N:N)</f>
        <v>0</v>
      </c>
      <c r="O102" s="1536">
        <f t="shared" si="109"/>
        <v>7918.1032500000001</v>
      </c>
      <c r="P102" s="1537">
        <f>SUMIF(超市公积金!C:C,'05月提成-武侯售后'!C102,超市公积金!I:I)</f>
        <v>0</v>
      </c>
      <c r="Q102" s="1535">
        <f>SUMIF(综合考核!A:A,'05月提成-武侯售后'!C102,综合考核!N:N)</f>
        <v>0</v>
      </c>
      <c r="R102" s="1535">
        <f t="shared" si="110"/>
        <v>9038.1032500000001</v>
      </c>
      <c r="S102" s="1535">
        <f>INDEX(AC:AC,MATCH(C102,AB:AB,0))</f>
        <v>103.32</v>
      </c>
      <c r="T102" s="1538"/>
      <c r="U102" s="1535">
        <f t="shared" si="111"/>
        <v>103.32</v>
      </c>
      <c r="V102" s="1535">
        <f>INDEX('05基本'!AF:AF,MATCH(C102,'05基本'!C:C,0))</f>
        <v>0</v>
      </c>
      <c r="W102" s="1535">
        <f t="shared" si="112"/>
        <v>7814.7832500000004</v>
      </c>
      <c r="X102" s="1542"/>
      <c r="Y102" s="1627">
        <f>SUM(Z102:AA102)</f>
        <v>646.36445000000003</v>
      </c>
      <c r="Z102" s="1541">
        <f>(INDEX('05月车间提成'!D:D,MATCH(C105,'05月车间提成'!C:C,0))-INDEX('05月车间提成'!F:F,MATCH('05月车间提成'!C34,'05月车间提成'!C:C,0)))*0.29*0.05+INDEX('05月车间提成'!E:E,MATCH(C105,'05月车间提成'!C:C,0))*0.33*0.05</f>
        <v>581.48045000000002</v>
      </c>
      <c r="AA102" s="1542">
        <f>INDEX('05月车间提成'!J:J,MATCH(C105,'05月车间提成'!C:C,0))*0.05*INDEX('05月车间提成'!K:K,MATCH(C105,'05月车间提成'!C:C,0))</f>
        <v>64.884</v>
      </c>
      <c r="AB102" s="1519" t="s">
        <v>165</v>
      </c>
      <c r="AC102" s="291">
        <v>46.95</v>
      </c>
      <c r="AD102" s="1518">
        <f t="shared" si="105"/>
        <v>1</v>
      </c>
      <c r="AE102" s="1530">
        <f>INDEX('05基本'!P:P,MATCH(C102,'05基本'!C:C,0))-I102</f>
        <v>0</v>
      </c>
      <c r="AF102" s="1529">
        <f>SUMIF('05月其他部门提成'!C:C,'05月提成-武侯售后'!C102,'05月其他部门提成'!Q:Q)</f>
        <v>0</v>
      </c>
      <c r="AG102" s="1544">
        <f>SUMIF('05月车间提成'!C:C,'05月提成-武侯售后'!C102,'05月车间提成'!W:W)</f>
        <v>7918.1032500000001</v>
      </c>
      <c r="AH102" s="1530">
        <f>SUMIF('05月业务提成'!B:B,'05月提成-武侯售后'!C102,'05月业务提成'!BO:BO)</f>
        <v>0</v>
      </c>
      <c r="AI102" s="1530">
        <f t="shared" si="113"/>
        <v>7918.1032500000001</v>
      </c>
      <c r="AJ102" s="1530">
        <f t="shared" si="114"/>
        <v>0</v>
      </c>
      <c r="AK102"/>
    </row>
    <row r="103" spans="1:37" s="1518" customFormat="1" ht="14.1" customHeight="1">
      <c r="A103" s="1531">
        <f>A102+1</f>
        <v>79</v>
      </c>
      <c r="B103" s="1657" t="s">
        <v>166</v>
      </c>
      <c r="C103" s="1615" t="s">
        <v>133</v>
      </c>
      <c r="D103" s="1533">
        <f>INDEX('05基本'!I:I,MATCH(C103,'05基本'!C:C,0))+INDEX('05基本'!J:J,MATCH(C103,'05基本'!C:C,0))</f>
        <v>20</v>
      </c>
      <c r="E103" s="1534">
        <f>INDEX('05基本'!AA:AA,MATCH(C103,'05基本'!C:C,0))</f>
        <v>1268.5899999999999</v>
      </c>
      <c r="F103" s="1534">
        <f>INDEX('05基本'!AB:AB,MATCH(C103,'05基本'!C:C,0))</f>
        <v>477.15</v>
      </c>
      <c r="G103" s="1534">
        <f>INDEX('05基本'!AC:AC,MATCH(C103,'05基本'!C:C,0))</f>
        <v>117</v>
      </c>
      <c r="H103" s="1534">
        <f>INDEX('05基本'!K:K,MATCH(C103,'05基本'!C:C,0))+INDEX('05基本'!L:L,MATCH(C103,'05基本'!C:C,0))</f>
        <v>0</v>
      </c>
      <c r="I103" s="1534">
        <f>INDEX('05基本'!P:P,MATCH(C103,'05基本'!C:C,0))</f>
        <v>920</v>
      </c>
      <c r="J103" s="1534">
        <f>INDEX('05基本'!M:M,MATCH(C103,'05基本'!C:C,0))</f>
        <v>0</v>
      </c>
      <c r="K103" s="1535">
        <f>INDEX('05月车间提成'!W:W,MATCH(C103,'05月车间提成'!C:C,0))</f>
        <v>3058.7397857142901</v>
      </c>
      <c r="L103" s="1533">
        <f>SUMIF(综合考核!A:A,'05月提成-武侯售后'!C103,综合考核!M:M)</f>
        <v>0</v>
      </c>
      <c r="M103" s="1535">
        <f t="shared" si="108"/>
        <v>3058.7397857142901</v>
      </c>
      <c r="N103" s="1535">
        <f>SUMIF(服装扣款!C:C,C103,服装扣款!N:N)</f>
        <v>0</v>
      </c>
      <c r="O103" s="1536">
        <f t="shared" si="109"/>
        <v>3058.7397857142901</v>
      </c>
      <c r="P103" s="1537">
        <f>SUMIF(超市公积金!C:C,'05月提成-武侯售后'!C103,超市公积金!I:I)</f>
        <v>0</v>
      </c>
      <c r="Q103" s="1535">
        <f>SUMIF(综合考核!A:A,'05月提成-武侯售后'!C103,综合考核!N:N)</f>
        <v>0</v>
      </c>
      <c r="R103" s="1535">
        <f t="shared" si="110"/>
        <v>3978.7397857142901</v>
      </c>
      <c r="S103" s="1535">
        <f>INDEX(AC:AC,MATCH(C103,AB:AB,0))</f>
        <v>0</v>
      </c>
      <c r="T103" s="1538"/>
      <c r="U103" s="1535">
        <f t="shared" si="111"/>
        <v>0</v>
      </c>
      <c r="V103" s="1535">
        <f>INDEX('05基本'!AF:AF,MATCH(C103,'05基本'!C:C,0))</f>
        <v>0</v>
      </c>
      <c r="W103" s="1535">
        <f t="shared" si="112"/>
        <v>3058.7397857142901</v>
      </c>
      <c r="X103" s="1542"/>
      <c r="Y103" s="1627"/>
      <c r="Z103" s="1541"/>
      <c r="AA103" s="1542"/>
      <c r="AB103" s="1519" t="s">
        <v>167</v>
      </c>
      <c r="AC103" s="291">
        <v>72.88</v>
      </c>
      <c r="AD103" s="1518">
        <f t="shared" si="105"/>
        <v>1</v>
      </c>
      <c r="AE103" s="1530">
        <f>INDEX('05基本'!P:P,MATCH(C103,'05基本'!C:C,0))-I103</f>
        <v>0</v>
      </c>
      <c r="AF103" s="1529">
        <f>SUMIF('05月其他部门提成'!C:C,'05月提成-武侯售后'!C103,'05月其他部门提成'!Q:Q)</f>
        <v>0</v>
      </c>
      <c r="AG103" s="1544">
        <f>SUMIF('05月车间提成'!C:C,'05月提成-武侯售后'!C103,'05月车间提成'!W:W)</f>
        <v>3058.7397857142901</v>
      </c>
      <c r="AH103" s="1530">
        <f>SUMIF('05月业务提成'!B:B,'05月提成-武侯售后'!C103,'05月业务提成'!BO:BO)</f>
        <v>0</v>
      </c>
      <c r="AI103" s="1530">
        <f t="shared" si="113"/>
        <v>3058.7397857142901</v>
      </c>
      <c r="AJ103" s="1530">
        <f t="shared" si="114"/>
        <v>0</v>
      </c>
      <c r="AK103"/>
    </row>
    <row r="104" spans="1:37" s="1518" customFormat="1" ht="14.1" customHeight="1">
      <c r="A104" s="1531">
        <f>A103+1</f>
        <v>80</v>
      </c>
      <c r="B104" s="1657" t="s">
        <v>166</v>
      </c>
      <c r="C104" s="1615" t="s">
        <v>134</v>
      </c>
      <c r="D104" s="1533">
        <f>INDEX('05基本'!I:I,MATCH(C104,'05基本'!C:C,0))+INDEX('05基本'!J:J,MATCH(C104,'05基本'!C:C,0))</f>
        <v>20</v>
      </c>
      <c r="E104" s="1534">
        <f>INDEX('05基本'!AA:AA,MATCH(C104,'05基本'!C:C,0))</f>
        <v>1268.5899999999999</v>
      </c>
      <c r="F104" s="1534">
        <f>INDEX('05基本'!AB:AB,MATCH(C104,'05基本'!C:C,0))</f>
        <v>477.15</v>
      </c>
      <c r="G104" s="1534">
        <f>INDEX('05基本'!AC:AC,MATCH(C104,'05基本'!C:C,0))</f>
        <v>117</v>
      </c>
      <c r="H104" s="1534">
        <f>INDEX('05基本'!K:K,MATCH(C104,'05基本'!C:C,0))+INDEX('05基本'!L:L,MATCH(C104,'05基本'!C:C,0))</f>
        <v>0</v>
      </c>
      <c r="I104" s="1534">
        <f>INDEX('05基本'!P:P,MATCH(C104,'05基本'!C:C,0))</f>
        <v>820</v>
      </c>
      <c r="J104" s="1534">
        <f>INDEX('05基本'!M:M,MATCH(C104,'05基本'!C:C,0))</f>
        <v>0</v>
      </c>
      <c r="K104" s="1535">
        <f>INDEX('05月车间提成'!W:W,MATCH(C104,'05月车间提成'!C:C,0))</f>
        <v>3219.2413000000001</v>
      </c>
      <c r="L104" s="1533">
        <f>SUMIF(综合考核!A:A,'05月提成-武侯售后'!C104,综合考核!M:M)</f>
        <v>0</v>
      </c>
      <c r="M104" s="1535">
        <f t="shared" si="108"/>
        <v>3219.2413000000001</v>
      </c>
      <c r="N104" s="1535">
        <f>SUMIF(服装扣款!C:C,C104,服装扣款!N:N)</f>
        <v>0</v>
      </c>
      <c r="O104" s="1536">
        <f t="shared" si="109"/>
        <v>3219.2413000000001</v>
      </c>
      <c r="P104" s="1537">
        <f>SUMIF(超市公积金!C:C,'05月提成-武侯售后'!C104,超市公积金!I:I)</f>
        <v>0</v>
      </c>
      <c r="Q104" s="1535">
        <f>SUMIF(综合考核!A:A,'05月提成-武侯售后'!C104,综合考核!N:N)</f>
        <v>0</v>
      </c>
      <c r="R104" s="1535">
        <f t="shared" si="110"/>
        <v>4039.2413000000001</v>
      </c>
      <c r="S104" s="1535">
        <f>INDEX(AC:AC,MATCH(C104,AB:AB,0))</f>
        <v>0</v>
      </c>
      <c r="T104" s="1538"/>
      <c r="U104" s="1535">
        <f t="shared" si="111"/>
        <v>0</v>
      </c>
      <c r="V104" s="1535">
        <f>INDEX('05基本'!AF:AF,MATCH(C104,'05基本'!C:C,0))</f>
        <v>0</v>
      </c>
      <c r="W104" s="1535">
        <f t="shared" si="112"/>
        <v>3219.2413000000001</v>
      </c>
      <c r="X104" s="1542"/>
      <c r="Y104" s="1627"/>
      <c r="Z104" s="1541"/>
      <c r="AA104" s="1542"/>
      <c r="AB104" s="1519" t="s">
        <v>168</v>
      </c>
      <c r="AC104" s="291">
        <v>7.39</v>
      </c>
      <c r="AD104" s="1518">
        <f t="shared" si="105"/>
        <v>1</v>
      </c>
      <c r="AE104" s="1530">
        <f>INDEX('05基本'!P:P,MATCH(C104,'05基本'!C:C,0))-I104</f>
        <v>0</v>
      </c>
      <c r="AF104" s="1529">
        <f>SUMIF('05月其他部门提成'!C:C,'05月提成-武侯售后'!C104,'05月其他部门提成'!Q:Q)</f>
        <v>0</v>
      </c>
      <c r="AG104" s="1544">
        <f>SUMIF('05月车间提成'!C:C,'05月提成-武侯售后'!C104,'05月车间提成'!W:W)</f>
        <v>3219.2413000000001</v>
      </c>
      <c r="AH104" s="1530">
        <f>SUMIF('05月业务提成'!B:B,'05月提成-武侯售后'!C104,'05月业务提成'!BO:BO)</f>
        <v>0</v>
      </c>
      <c r="AI104" s="1530">
        <f t="shared" si="113"/>
        <v>3219.2413000000001</v>
      </c>
      <c r="AJ104" s="1530">
        <f t="shared" si="114"/>
        <v>0</v>
      </c>
      <c r="AK104"/>
    </row>
    <row r="105" spans="1:37" s="1518" customFormat="1" ht="14.1" customHeight="1">
      <c r="A105" s="1531"/>
      <c r="B105" s="1657"/>
      <c r="C105" s="1570" t="s">
        <v>169</v>
      </c>
      <c r="D105" s="1554">
        <f t="shared" ref="D105:I105" si="117">SUM(D102:D104)</f>
        <v>60</v>
      </c>
      <c r="E105" s="1554">
        <f t="shared" si="117"/>
        <v>3805.77</v>
      </c>
      <c r="F105" s="1554">
        <f t="shared" si="117"/>
        <v>1431.45</v>
      </c>
      <c r="G105" s="1554">
        <f t="shared" si="117"/>
        <v>351</v>
      </c>
      <c r="H105" s="1554">
        <f t="shared" si="117"/>
        <v>0</v>
      </c>
      <c r="I105" s="1554">
        <f t="shared" si="117"/>
        <v>2860</v>
      </c>
      <c r="J105" s="1554">
        <f t="shared" ref="J105:AA105" si="118">SUM(J102:J104)</f>
        <v>0</v>
      </c>
      <c r="K105" s="1554">
        <f t="shared" si="118"/>
        <v>14196.0843357143</v>
      </c>
      <c r="L105" s="1554">
        <f t="shared" si="118"/>
        <v>0</v>
      </c>
      <c r="M105" s="1554">
        <f t="shared" si="118"/>
        <v>14196.0843357143</v>
      </c>
      <c r="N105" s="1554">
        <f t="shared" si="118"/>
        <v>0</v>
      </c>
      <c r="O105" s="1554">
        <f t="shared" si="118"/>
        <v>14196.0843357143</v>
      </c>
      <c r="P105" s="1554">
        <f t="shared" si="118"/>
        <v>0</v>
      </c>
      <c r="Q105" s="1554">
        <f t="shared" si="118"/>
        <v>0</v>
      </c>
      <c r="R105" s="1554">
        <f t="shared" si="118"/>
        <v>17056.084335714299</v>
      </c>
      <c r="S105" s="1554">
        <f t="shared" si="118"/>
        <v>103.32</v>
      </c>
      <c r="T105" s="1554">
        <f t="shared" si="118"/>
        <v>0</v>
      </c>
      <c r="U105" s="1554">
        <f t="shared" si="118"/>
        <v>103.32</v>
      </c>
      <c r="V105" s="1554">
        <f t="shared" si="118"/>
        <v>0</v>
      </c>
      <c r="W105" s="1554">
        <f t="shared" si="118"/>
        <v>14092.764335714301</v>
      </c>
      <c r="X105" s="1554">
        <f t="shared" si="118"/>
        <v>0</v>
      </c>
      <c r="Y105" s="1554">
        <f t="shared" si="118"/>
        <v>646.36445000000003</v>
      </c>
      <c r="Z105" s="1554">
        <f t="shared" si="118"/>
        <v>581.48045000000002</v>
      </c>
      <c r="AA105" s="1554">
        <f t="shared" si="118"/>
        <v>64.884</v>
      </c>
      <c r="AB105" s="1519" t="s">
        <v>170</v>
      </c>
      <c r="AC105" s="291">
        <v>0</v>
      </c>
      <c r="AD105" s="1518">
        <f t="shared" si="105"/>
        <v>1</v>
      </c>
      <c r="AE105" s="1530" t="e">
        <f>INDEX('05基本'!P:P,MATCH(C105,'05基本'!C:C,0))-I105</f>
        <v>#N/A</v>
      </c>
      <c r="AF105" s="1558"/>
      <c r="AG105" s="1559"/>
      <c r="AH105" s="1560"/>
      <c r="AI105" s="1560"/>
      <c r="AJ105" s="1560"/>
      <c r="AK105" s="1530"/>
    </row>
    <row r="106" spans="1:37" s="1518" customFormat="1" ht="14.1" customHeight="1">
      <c r="A106" s="1531">
        <f>A104+1</f>
        <v>81</v>
      </c>
      <c r="B106" s="1657" t="s">
        <v>166</v>
      </c>
      <c r="C106" s="1615" t="s">
        <v>136</v>
      </c>
      <c r="D106" s="1533">
        <f>INDEX('05基本'!I:I,MATCH(C106,'05基本'!C:C,0))+INDEX('05基本'!J:J,MATCH(C106,'05基本'!C:C,0))</f>
        <v>50</v>
      </c>
      <c r="E106" s="1534">
        <f>INDEX('05基本'!AA:AA,MATCH(C106,'05基本'!C:C,0))</f>
        <v>1268.5899999999999</v>
      </c>
      <c r="F106" s="1534">
        <f>INDEX('05基本'!AB:AB,MATCH(C106,'05基本'!C:C,0))</f>
        <v>477.15</v>
      </c>
      <c r="G106" s="1534">
        <f>INDEX('05基本'!AC:AC,MATCH(C106,'05基本'!C:C,0))</f>
        <v>117</v>
      </c>
      <c r="H106" s="1534">
        <f>INDEX('05基本'!K:K,MATCH(C106,'05基本'!C:C,0))+INDEX('05基本'!L:L,MATCH(C106,'05基本'!C:C,0))</f>
        <v>0</v>
      </c>
      <c r="I106" s="1534">
        <f>INDEX('05基本'!P:P,MATCH(C106,'05基本'!C:C,0))</f>
        <v>1150</v>
      </c>
      <c r="J106" s="1534">
        <f>INDEX('05基本'!M:M,MATCH(C106,'05基本'!C:C,0))</f>
        <v>0</v>
      </c>
      <c r="K106" s="1535">
        <f>INDEX('05月车间提成'!W:W,MATCH(C106,'05月车间提成'!C:C,0))</f>
        <v>7546.8494642857104</v>
      </c>
      <c r="L106" s="1533">
        <f>SUMIF(综合考核!A:A,'05月提成-武侯售后'!C106,综合考核!M:M)</f>
        <v>0</v>
      </c>
      <c r="M106" s="1535">
        <f>SUM(K106:L106)</f>
        <v>7546.8494642857104</v>
      </c>
      <c r="N106" s="1535">
        <f>SUMIF(服装扣款!C:C,C106,服装扣款!N:N)</f>
        <v>0</v>
      </c>
      <c r="O106" s="1536">
        <f>M106-N106</f>
        <v>7546.8494642857104</v>
      </c>
      <c r="P106" s="1537">
        <f>SUMIF(超市公积金!C:C,'05月提成-武侯售后'!C106,超市公积金!I:I)</f>
        <v>0</v>
      </c>
      <c r="Q106" s="1535">
        <f>SUMIF(综合考核!A:A,'05月提成-武侯售后'!C106,综合考核!N:N)</f>
        <v>0</v>
      </c>
      <c r="R106" s="1535">
        <f>M106+I106+Q106</f>
        <v>8696.8494642857095</v>
      </c>
      <c r="S106" s="1535">
        <f>INDEX(AC:AC,MATCH(C106,AB:AB,0))</f>
        <v>93.08</v>
      </c>
      <c r="T106" s="1538"/>
      <c r="U106" s="1535">
        <f>S106-T106</f>
        <v>93.08</v>
      </c>
      <c r="V106" s="1535">
        <f>INDEX('05基本'!AF:AF,MATCH(C106,'05基本'!C:C,0))</f>
        <v>0</v>
      </c>
      <c r="W106" s="1535">
        <f>O106-P106-U106</f>
        <v>7453.7694642857196</v>
      </c>
      <c r="X106" s="1542"/>
      <c r="Y106" s="1627">
        <f>SUM(Z106:AA106)</f>
        <v>616.79575</v>
      </c>
      <c r="Z106" s="1541">
        <f>(INDEX('05月车间提成'!D:D,MATCH(C107,'05月车间提成'!C:C,0))-INDEX('05月车间提成'!F:F,MATCH('05月车间提成'!C37,'05月车间提成'!C:C,0)))*0.29*0.05+INDEX('05月车间提成'!E:E,MATCH(C107,'05月车间提成'!C:C,0))*0.33*0.05</f>
        <v>565.81174999999996</v>
      </c>
      <c r="AA106" s="1542">
        <f>INDEX('05月车间提成'!J:J,MATCH(C107,'05月车间提成'!C:C,0))*0.05*INDEX('05月车间提成'!K:K,MATCH(C107,'05月车间提成'!C:C,0))</f>
        <v>50.984000000000009</v>
      </c>
      <c r="AB106" s="1519" t="s">
        <v>171</v>
      </c>
      <c r="AC106" s="291">
        <v>43.75</v>
      </c>
      <c r="AD106" s="1518">
        <f t="shared" si="105"/>
        <v>1</v>
      </c>
      <c r="AE106" s="1530">
        <f>INDEX('05基本'!P:P,MATCH(C106,'05基本'!C:C,0))-I106</f>
        <v>0</v>
      </c>
      <c r="AF106" s="1529">
        <f>SUMIF('05月其他部门提成'!C:C,'05月提成-武侯售后'!C106,'05月其他部门提成'!Q:Q)</f>
        <v>0</v>
      </c>
      <c r="AG106" s="1544">
        <f>SUMIF('05月车间提成'!C:C,'05月提成-武侯售后'!C106,'05月车间提成'!W:W)</f>
        <v>7546.8494642857104</v>
      </c>
      <c r="AH106" s="1530">
        <f>SUMIF('05月业务提成'!B:B,'05月提成-武侯售后'!C106,'05月业务提成'!BO:BO)</f>
        <v>0</v>
      </c>
      <c r="AI106" s="1530">
        <f>AF106+AG106+AH106</f>
        <v>7546.8494642857104</v>
      </c>
      <c r="AJ106" s="1530">
        <f>AI106-K106</f>
        <v>0</v>
      </c>
      <c r="AK106"/>
    </row>
    <row r="107" spans="1:37" s="1518" customFormat="1" ht="14.1" customHeight="1">
      <c r="A107" s="1531"/>
      <c r="B107" s="1657"/>
      <c r="C107" s="1570" t="s">
        <v>172</v>
      </c>
      <c r="D107" s="1554">
        <f>SUM(D106:D106)</f>
        <v>50</v>
      </c>
      <c r="E107" s="1554">
        <f>SUM(E106:E106)</f>
        <v>1268.5899999999999</v>
      </c>
      <c r="F107" s="1554">
        <f>SUM(F106:F106)</f>
        <v>477.15</v>
      </c>
      <c r="G107" s="1554">
        <f>SUM(G106:G106)</f>
        <v>117</v>
      </c>
      <c r="H107" s="1554">
        <f t="shared" ref="H107:AA107" si="119">SUM(H106:H106)</f>
        <v>0</v>
      </c>
      <c r="I107" s="1554">
        <f t="shared" si="119"/>
        <v>1150</v>
      </c>
      <c r="J107" s="1554">
        <f t="shared" si="119"/>
        <v>0</v>
      </c>
      <c r="K107" s="1554">
        <f t="shared" si="119"/>
        <v>7546.8494642857104</v>
      </c>
      <c r="L107" s="1554">
        <f t="shared" si="119"/>
        <v>0</v>
      </c>
      <c r="M107" s="1554">
        <f t="shared" si="119"/>
        <v>7546.8494642857104</v>
      </c>
      <c r="N107" s="1554">
        <f t="shared" si="119"/>
        <v>0</v>
      </c>
      <c r="O107" s="1554">
        <f t="shared" si="119"/>
        <v>7546.8494642857104</v>
      </c>
      <c r="P107" s="1554">
        <f t="shared" si="119"/>
        <v>0</v>
      </c>
      <c r="Q107" s="1554">
        <f t="shared" si="119"/>
        <v>0</v>
      </c>
      <c r="R107" s="1554">
        <f t="shared" si="119"/>
        <v>8696.8494642857095</v>
      </c>
      <c r="S107" s="1554">
        <f t="shared" si="119"/>
        <v>93.08</v>
      </c>
      <c r="T107" s="1554">
        <f t="shared" si="119"/>
        <v>0</v>
      </c>
      <c r="U107" s="1554">
        <f t="shared" si="119"/>
        <v>93.08</v>
      </c>
      <c r="V107" s="1554">
        <f t="shared" si="119"/>
        <v>0</v>
      </c>
      <c r="W107" s="1554">
        <f t="shared" si="119"/>
        <v>7453.7694642857196</v>
      </c>
      <c r="X107" s="1554">
        <f t="shared" si="119"/>
        <v>0</v>
      </c>
      <c r="Y107" s="1554">
        <f t="shared" si="119"/>
        <v>616.79575</v>
      </c>
      <c r="Z107" s="1554">
        <f t="shared" si="119"/>
        <v>565.81174999999996</v>
      </c>
      <c r="AA107" s="1554">
        <f t="shared" si="119"/>
        <v>50.984000000000009</v>
      </c>
      <c r="AB107" s="1519" t="s">
        <v>173</v>
      </c>
      <c r="AC107" s="291">
        <v>0</v>
      </c>
      <c r="AD107" s="1518">
        <f t="shared" ref="AD107:AD131" si="120">COUNTIF(C:C,C107)</f>
        <v>1</v>
      </c>
      <c r="AE107" s="1530" t="e">
        <f>INDEX('05基本'!P:P,MATCH(C107,'05基本'!C:C,0))-I107</f>
        <v>#N/A</v>
      </c>
      <c r="AF107" s="1558"/>
      <c r="AG107" s="1559"/>
      <c r="AH107" s="1560"/>
      <c r="AI107" s="1560"/>
      <c r="AJ107" s="1560"/>
      <c r="AK107" s="1530"/>
    </row>
    <row r="108" spans="1:37" s="1518" customFormat="1" ht="14.1" customHeight="1">
      <c r="A108" s="1531">
        <f>A106+1</f>
        <v>82</v>
      </c>
      <c r="B108" s="1657" t="s">
        <v>174</v>
      </c>
      <c r="C108" s="1615" t="s">
        <v>138</v>
      </c>
      <c r="D108" s="1533">
        <f>INDEX('05基本'!I:I,MATCH(C108,'05基本'!C:C,0))+INDEX('05基本'!J:J,MATCH(C108,'05基本'!C:C,0))</f>
        <v>50</v>
      </c>
      <c r="E108" s="1534">
        <f>INDEX('05基本'!AA:AA,MATCH(C108,'05基本'!C:C,0))</f>
        <v>1268.5899999999999</v>
      </c>
      <c r="F108" s="1534">
        <f>INDEX('05基本'!AB:AB,MATCH(C108,'05基本'!C:C,0))</f>
        <v>477.15</v>
      </c>
      <c r="G108" s="1534">
        <f>INDEX('05基本'!AC:AC,MATCH(C108,'05基本'!C:C,0))</f>
        <v>117</v>
      </c>
      <c r="H108" s="1534">
        <f>INDEX('05基本'!K:K,MATCH(C108,'05基本'!C:C,0))+INDEX('05基本'!L:L,MATCH(C108,'05基本'!C:C,0))</f>
        <v>0</v>
      </c>
      <c r="I108" s="1534">
        <f>INDEX('05基本'!P:P,MATCH(C108,'05基本'!C:C,0))</f>
        <v>950</v>
      </c>
      <c r="J108" s="1534">
        <f>INDEX('05基本'!M:M,MATCH(C108,'05基本'!C:C,0))</f>
        <v>0</v>
      </c>
      <c r="K108" s="1535">
        <f>INDEX('05月车间提成'!W:W,MATCH(C108,'05月车间提成'!C:C,0))</f>
        <v>8682.6772393364899</v>
      </c>
      <c r="L108" s="1533"/>
      <c r="M108" s="1535">
        <f>SUM(K108:L108)</f>
        <v>8682.6772393364899</v>
      </c>
      <c r="N108" s="1535">
        <f>SUMIF(服装扣款!C:C,C108,服装扣款!N:N)</f>
        <v>0</v>
      </c>
      <c r="O108" s="1536">
        <f>M108-N108</f>
        <v>8682.6772393364899</v>
      </c>
      <c r="P108" s="1537">
        <f>SUMIF(超市公积金!C:C,'05月提成-武侯售后'!C108,超市公积金!I:I)</f>
        <v>0</v>
      </c>
      <c r="Q108" s="1535">
        <f>SUMIF(综合考核!A:A,'05月提成-武侯售后'!C108,综合考核!N:N)</f>
        <v>0</v>
      </c>
      <c r="R108" s="1535">
        <f>M108+I108+Q108</f>
        <v>9632.6772393364899</v>
      </c>
      <c r="S108" s="1535">
        <f>INDEX(AC:AC,MATCH(C108,AB:AB,0))</f>
        <v>121.16</v>
      </c>
      <c r="T108" s="1538"/>
      <c r="U108" s="1535">
        <f>S108-T108</f>
        <v>121.16</v>
      </c>
      <c r="V108" s="1535">
        <f>INDEX('05基本'!AF:AF,MATCH(C108,'05基本'!C:C,0))</f>
        <v>0</v>
      </c>
      <c r="W108" s="1535">
        <f>O108-P108-U108</f>
        <v>8561.5172393364901</v>
      </c>
      <c r="X108" s="1542"/>
      <c r="Y108" s="1627">
        <f>Z108</f>
        <v>1107.6388999999999</v>
      </c>
      <c r="Z108" s="1541">
        <f>(INDEX('05月车间提成'!D:D,MATCH(C111,'05月车间提成'!C:C,0))-INDEX('05月车间提成'!F:F,MATCH('05月车间提成'!C40,'05月车间提成'!C:C,0)))*0.29*0.05+INDEX('05月车间提成'!E:E,MATCH(C111,'05月车间提成'!C:C,0))*0.33*0.05</f>
        <v>1107.6388999999999</v>
      </c>
      <c r="AA108" s="1542">
        <f>INDEX('05月车间提成'!J:J,MATCH(C111,'05月车间提成'!C:C,0))*0.05*INDEX('05月车间提成'!K:K,MATCH(C111,'05月车间提成'!C:C,0))</f>
        <v>0</v>
      </c>
      <c r="AB108" s="1519" t="s">
        <v>175</v>
      </c>
      <c r="AC108" s="291">
        <v>36.57</v>
      </c>
      <c r="AD108" s="1518">
        <f t="shared" si="120"/>
        <v>1</v>
      </c>
      <c r="AE108" s="1530">
        <f>INDEX('05基本'!P:P,MATCH(C108,'05基本'!C:C,0))-I108</f>
        <v>0</v>
      </c>
      <c r="AF108" s="1529">
        <f>SUMIF('05月其他部门提成'!C:C,'05月提成-武侯售后'!C108,'05月其他部门提成'!Q:Q)</f>
        <v>0</v>
      </c>
      <c r="AG108" s="1544">
        <f>SUMIF('05月车间提成'!C:C,'05月提成-武侯售后'!C108,'05月车间提成'!W:W)</f>
        <v>8682.6772393364899</v>
      </c>
      <c r="AH108" s="1530">
        <f>SUMIF('05月业务提成'!B:B,'05月提成-武侯售后'!C108,'05月业务提成'!BO:BO)</f>
        <v>0</v>
      </c>
      <c r="AI108" s="1530">
        <f>AF108+AG108+AH108</f>
        <v>8682.6772393364899</v>
      </c>
      <c r="AJ108" s="1530">
        <f>AI108-K108</f>
        <v>0</v>
      </c>
      <c r="AK108"/>
    </row>
    <row r="109" spans="1:37" s="1518" customFormat="1" ht="14.1" customHeight="1">
      <c r="A109" s="1531">
        <f>A108+1</f>
        <v>83</v>
      </c>
      <c r="B109" s="1657"/>
      <c r="C109" s="1615" t="s">
        <v>140</v>
      </c>
      <c r="D109" s="1533">
        <f>INDEX('05基本'!I:I,MATCH(C109,'05基本'!C:C,0))+INDEX('05基本'!J:J,MATCH(C109,'05基本'!C:C,0))</f>
        <v>40</v>
      </c>
      <c r="E109" s="1534">
        <f>INDEX('05基本'!AA:AA,MATCH(C109,'05基本'!C:C,0))</f>
        <v>1268.5899999999999</v>
      </c>
      <c r="F109" s="1534">
        <f>INDEX('05基本'!AB:AB,MATCH(C109,'05基本'!C:C,0))</f>
        <v>477.15</v>
      </c>
      <c r="G109" s="1534">
        <f>INDEX('05基本'!AC:AC,MATCH(C109,'05基本'!C:C,0))</f>
        <v>117</v>
      </c>
      <c r="H109" s="1534">
        <f>INDEX('05基本'!K:K,MATCH(C109,'05基本'!C:C,0))+INDEX('05基本'!L:L,MATCH(C109,'05基本'!C:C,0))</f>
        <v>0</v>
      </c>
      <c r="I109" s="1534">
        <f>INDEX('05基本'!P:P,MATCH(C109,'05基本'!C:C,0))</f>
        <v>940</v>
      </c>
      <c r="J109" s="1534">
        <f>INDEX('05基本'!M:M,MATCH(C109,'05基本'!C:C,0))</f>
        <v>0</v>
      </c>
      <c r="K109" s="1535">
        <f>INDEX('05月车间提成'!W:W,MATCH(C109,'05月车间提成'!C:C,0))</f>
        <v>4831.3386196682504</v>
      </c>
      <c r="L109" s="1533"/>
      <c r="M109" s="1535">
        <f>SUM(K109:L109)</f>
        <v>4831.3386196682504</v>
      </c>
      <c r="N109" s="1535">
        <f>SUMIF(服装扣款!C:C,C109,服装扣款!N:N)</f>
        <v>0</v>
      </c>
      <c r="O109" s="1536">
        <f>M109-N109</f>
        <v>4831.3386196682504</v>
      </c>
      <c r="P109" s="1537">
        <f>SUMIF(超市公积金!C:C,'05月提成-武侯售后'!C109,超市公积金!I:I)</f>
        <v>0</v>
      </c>
      <c r="Q109" s="1535">
        <f>SUMIF(综合考核!A:A,'05月提成-武侯售后'!C109,综合考核!N:N)</f>
        <v>0</v>
      </c>
      <c r="R109" s="1535">
        <f>M109+I109+Q109</f>
        <v>5771.3386196682504</v>
      </c>
      <c r="S109" s="1535">
        <f>INDEX(AC:AC,MATCH(C109,AB:AB,0))</f>
        <v>5.32</v>
      </c>
      <c r="T109" s="1538"/>
      <c r="U109" s="1535">
        <f>S109-T109</f>
        <v>5.32</v>
      </c>
      <c r="V109" s="1535">
        <f>INDEX('05基本'!AF:AF,MATCH(C109,'05基本'!C:C,0))</f>
        <v>0</v>
      </c>
      <c r="W109" s="1535">
        <f>O109-P109-U109</f>
        <v>4826.0186196682498</v>
      </c>
      <c r="X109" s="1542"/>
      <c r="Y109" s="1627"/>
      <c r="Z109" s="1541"/>
      <c r="AA109" s="1542"/>
      <c r="AB109" s="1519" t="s">
        <v>176</v>
      </c>
      <c r="AC109" s="291">
        <v>0</v>
      </c>
      <c r="AD109" s="1518">
        <f t="shared" si="120"/>
        <v>1</v>
      </c>
      <c r="AE109" s="1530">
        <f>INDEX('05基本'!P:P,MATCH(C109,'05基本'!C:C,0))-I109</f>
        <v>0</v>
      </c>
      <c r="AF109" s="1529">
        <f>SUMIF('05月其他部门提成'!C:C,'05月提成-武侯售后'!C109,'05月其他部门提成'!Q:Q)</f>
        <v>0</v>
      </c>
      <c r="AG109" s="1544">
        <f>SUMIF('05月车间提成'!C:C,'05月提成-武侯售后'!C109,'05月车间提成'!W:W)</f>
        <v>4831.3386196682504</v>
      </c>
      <c r="AH109" s="1530">
        <f>SUMIF('05月业务提成'!B:B,'05月提成-武侯售后'!C109,'05月业务提成'!BO:BO)</f>
        <v>0</v>
      </c>
      <c r="AI109" s="1530">
        <f>AF109+AG109+AH109</f>
        <v>4831.3386196682504</v>
      </c>
      <c r="AJ109" s="1530">
        <f>AI109-K109</f>
        <v>0</v>
      </c>
      <c r="AK109"/>
    </row>
    <row r="110" spans="1:37" s="1518" customFormat="1" ht="14.1" customHeight="1">
      <c r="A110" s="1531">
        <f>A109+1</f>
        <v>84</v>
      </c>
      <c r="B110" s="1657"/>
      <c r="C110" s="1615" t="s">
        <v>142</v>
      </c>
      <c r="D110" s="1533">
        <f>INDEX('05基本'!I:I,MATCH(C110,'05基本'!C:C,0))+INDEX('05基本'!J:J,MATCH(C110,'05基本'!C:C,0))</f>
        <v>0</v>
      </c>
      <c r="E110" s="1534">
        <f>INDEX('05基本'!AA:AA,MATCH(C110,'05基本'!C:C,0))</f>
        <v>1268.5899999999999</v>
      </c>
      <c r="F110" s="1534">
        <f>INDEX('05基本'!AB:AB,MATCH(C110,'05基本'!C:C,0))</f>
        <v>477.15</v>
      </c>
      <c r="G110" s="1534">
        <f>INDEX('05基本'!AC:AC,MATCH(C110,'05基本'!C:C,0))</f>
        <v>117</v>
      </c>
      <c r="H110" s="1534">
        <f>INDEX('05基本'!K:K,MATCH(C110,'05基本'!C:C,0))+INDEX('05基本'!L:L,MATCH(C110,'05基本'!C:C,0))</f>
        <v>0</v>
      </c>
      <c r="I110" s="1534">
        <f>INDEX('05基本'!P:P,MATCH(C110,'05基本'!C:C,0))</f>
        <v>900</v>
      </c>
      <c r="J110" s="1534">
        <f>INDEX('05基本'!M:M,MATCH(C110,'05基本'!C:C,0))</f>
        <v>0</v>
      </c>
      <c r="K110" s="1535">
        <f>INDEX('05月车间提成'!W:W,MATCH(C110,'05月车间提成'!C:C,0))</f>
        <v>5845.4331159952599</v>
      </c>
      <c r="L110" s="1533"/>
      <c r="M110" s="1535">
        <f>SUM(K110:L110)</f>
        <v>5845.4331159952599</v>
      </c>
      <c r="N110" s="1535">
        <f>SUMIF(服装扣款!C:C,C110,服装扣款!N:N)</f>
        <v>0</v>
      </c>
      <c r="O110" s="1536">
        <f>M110-N110</f>
        <v>5845.4331159952599</v>
      </c>
      <c r="P110" s="1537">
        <f>SUMIF(超市公积金!C:C,'05月提成-武侯售后'!C110,超市公积金!I:I)</f>
        <v>0</v>
      </c>
      <c r="Q110" s="1535">
        <f>SUMIF(综合考核!A:A,'05月提成-武侯售后'!C110,综合考核!N:N)</f>
        <v>0</v>
      </c>
      <c r="R110" s="1535">
        <f>M110+I110+Q110</f>
        <v>6745.4331159952599</v>
      </c>
      <c r="S110" s="1535">
        <f>INDEX(AC:AC,MATCH(C110,AB:AB,0))</f>
        <v>34.53</v>
      </c>
      <c r="T110" s="1538"/>
      <c r="U110" s="1535">
        <f>S110-T110</f>
        <v>34.53</v>
      </c>
      <c r="V110" s="1535">
        <f>INDEX('05基本'!AF:AF,MATCH(C110,'05基本'!C:C,0))</f>
        <v>0</v>
      </c>
      <c r="W110" s="1535">
        <f>O110-P110-U110</f>
        <v>5810.9031159952601</v>
      </c>
      <c r="X110" s="1542"/>
      <c r="Y110" s="1627"/>
      <c r="Z110" s="1541"/>
      <c r="AA110" s="1542"/>
      <c r="AB110" s="1519" t="s">
        <v>177</v>
      </c>
      <c r="AC110" s="291">
        <v>0</v>
      </c>
      <c r="AD110" s="1518">
        <f t="shared" si="120"/>
        <v>1</v>
      </c>
      <c r="AE110" s="1530">
        <f>INDEX('05基本'!P:P,MATCH(C110,'05基本'!C:C,0))-I110</f>
        <v>0</v>
      </c>
      <c r="AF110" s="1529">
        <f>SUMIF('05月其他部门提成'!C:C,'05月提成-武侯售后'!C110,'05月其他部门提成'!Q:Q)</f>
        <v>0</v>
      </c>
      <c r="AG110" s="1544">
        <f>SUMIF('05月车间提成'!C:C,'05月提成-武侯售后'!C110,'05月车间提成'!W:W)</f>
        <v>5845.4331159952599</v>
      </c>
      <c r="AH110" s="1530">
        <f>SUMIF('05月业务提成'!B:B,'05月提成-武侯售后'!C110,'05月业务提成'!BO:BO)</f>
        <v>0</v>
      </c>
      <c r="AI110" s="1530">
        <f>AF110+AG110+AH110</f>
        <v>5845.4331159952599</v>
      </c>
      <c r="AJ110" s="1530">
        <f>AI110-K110</f>
        <v>0</v>
      </c>
      <c r="AK110"/>
    </row>
    <row r="111" spans="1:37" s="1518" customFormat="1" ht="14.1" customHeight="1">
      <c r="A111" s="1531"/>
      <c r="B111" s="1657"/>
      <c r="C111" s="1570" t="s">
        <v>174</v>
      </c>
      <c r="D111" s="1554">
        <f t="shared" ref="D111:G111" si="121">SUM(D108:D110)</f>
        <v>90</v>
      </c>
      <c r="E111" s="1554">
        <f t="shared" si="121"/>
        <v>3805.77</v>
      </c>
      <c r="F111" s="1554">
        <f t="shared" si="121"/>
        <v>1431.45</v>
      </c>
      <c r="G111" s="1554">
        <f t="shared" si="121"/>
        <v>351</v>
      </c>
      <c r="H111" s="1554">
        <f t="shared" ref="H111:AA111" si="122">SUM(H108:H110)</f>
        <v>0</v>
      </c>
      <c r="I111" s="1554">
        <f t="shared" si="122"/>
        <v>2790</v>
      </c>
      <c r="J111" s="1554">
        <f t="shared" si="122"/>
        <v>0</v>
      </c>
      <c r="K111" s="1554">
        <f t="shared" si="122"/>
        <v>19359.448974999999</v>
      </c>
      <c r="L111" s="1554">
        <f t="shared" si="122"/>
        <v>0</v>
      </c>
      <c r="M111" s="1554">
        <f t="shared" si="122"/>
        <v>19359.448974999999</v>
      </c>
      <c r="N111" s="1554">
        <f t="shared" si="122"/>
        <v>0</v>
      </c>
      <c r="O111" s="1555">
        <f t="shared" si="122"/>
        <v>19359.448974999999</v>
      </c>
      <c r="P111" s="1556">
        <f t="shared" si="122"/>
        <v>0</v>
      </c>
      <c r="Q111" s="1554">
        <f t="shared" si="122"/>
        <v>0</v>
      </c>
      <c r="R111" s="1554">
        <f t="shared" si="122"/>
        <v>22149.448974999999</v>
      </c>
      <c r="S111" s="1554">
        <f t="shared" si="122"/>
        <v>161.01</v>
      </c>
      <c r="T111" s="1554">
        <f t="shared" si="122"/>
        <v>0</v>
      </c>
      <c r="U111" s="1554">
        <f t="shared" si="122"/>
        <v>161.01</v>
      </c>
      <c r="V111" s="1554">
        <f t="shared" si="122"/>
        <v>0</v>
      </c>
      <c r="W111" s="1554">
        <f t="shared" si="122"/>
        <v>19198.438975000001</v>
      </c>
      <c r="X111" s="1568">
        <f t="shared" si="122"/>
        <v>0</v>
      </c>
      <c r="Y111" s="1556">
        <f t="shared" si="122"/>
        <v>1107.6388999999999</v>
      </c>
      <c r="Z111" s="1554">
        <f t="shared" si="122"/>
        <v>1107.6388999999999</v>
      </c>
      <c r="AA111" s="1568">
        <f t="shared" si="122"/>
        <v>0</v>
      </c>
      <c r="AB111" s="1519" t="s">
        <v>178</v>
      </c>
      <c r="AC111" s="291">
        <v>0</v>
      </c>
      <c r="AD111" s="1518">
        <f t="shared" si="120"/>
        <v>1</v>
      </c>
      <c r="AE111" s="1530" t="e">
        <f>INDEX('05基本'!P:P,MATCH(C111,'05基本'!C:C,0))-I111</f>
        <v>#N/A</v>
      </c>
      <c r="AF111" s="1558"/>
      <c r="AG111" s="1559"/>
      <c r="AH111" s="1560"/>
      <c r="AI111" s="1560"/>
      <c r="AJ111" s="1560"/>
      <c r="AK111" s="1530"/>
    </row>
    <row r="112" spans="1:37" s="1518" customFormat="1" ht="13.65" customHeight="1">
      <c r="A112" s="1531">
        <f>A110+1</f>
        <v>85</v>
      </c>
      <c r="B112" s="1661" t="s">
        <v>179</v>
      </c>
      <c r="C112" s="1507" t="s">
        <v>143</v>
      </c>
      <c r="D112" s="1533">
        <f>INDEX('05基本'!I:I,MATCH(C112,'05基本'!C:C,0))+INDEX('05基本'!J:J,MATCH(C112,'05基本'!C:C,0))</f>
        <v>90</v>
      </c>
      <c r="E112" s="1534">
        <f>INDEX('05基本'!AA:AA,MATCH(C112,'05基本'!C:C,0))</f>
        <v>1268.5899999999999</v>
      </c>
      <c r="F112" s="1534">
        <f>INDEX('05基本'!AB:AB,MATCH(C112,'05基本'!C:C,0))</f>
        <v>477.15</v>
      </c>
      <c r="G112" s="1534">
        <f>INDEX('05基本'!AC:AC,MATCH(C112,'05基本'!C:C,0))</f>
        <v>117</v>
      </c>
      <c r="H112" s="1534">
        <f>INDEX('05基本'!K:K,MATCH(C112,'05基本'!C:C,0))+INDEX('05基本'!L:L,MATCH(C112,'05基本'!C:C,0))</f>
        <v>0</v>
      </c>
      <c r="I112" s="1534">
        <f>INDEX('05基本'!P:P,MATCH(C112,'05基本'!C:C,0))</f>
        <v>1190</v>
      </c>
      <c r="J112" s="1534">
        <f>INDEX('05基本'!M:M,MATCH(C112,'05基本'!C:C,0))</f>
        <v>0</v>
      </c>
      <c r="K112" s="1535">
        <f>INDEX('05月车间提成'!W:W,MATCH(C112,'05月车间提成'!C:C,0))</f>
        <v>8874.2031874999993</v>
      </c>
      <c r="L112" s="1533">
        <f>SUMIF(综合考核!A:A,'05月提成-武侯售后'!C112,综合考核!M:M)</f>
        <v>0</v>
      </c>
      <c r="M112" s="1535">
        <f t="shared" ref="M112:M122" si="123">SUM(K112:L112)</f>
        <v>8874.2031874999993</v>
      </c>
      <c r="N112" s="1535">
        <f>SUMIF(服装扣款!C:C,C112,服装扣款!N:N)</f>
        <v>0</v>
      </c>
      <c r="O112" s="1536">
        <f t="shared" ref="O112:O122" si="124">M112-N112</f>
        <v>8874.2031874999993</v>
      </c>
      <c r="P112" s="1537">
        <f>SUMIF(超市公积金!C:C,'05月提成-武侯售后'!C112,超市公积金!I:I)</f>
        <v>0</v>
      </c>
      <c r="Q112" s="1535">
        <f>SUMIF(综合考核!A:A,'05月提成-武侯售后'!C112,综合考核!N:N)</f>
        <v>0</v>
      </c>
      <c r="R112" s="1535">
        <f t="shared" ref="R112:R122" si="125">M112+I112+Q112</f>
        <v>10064.203187499999</v>
      </c>
      <c r="S112" s="1535">
        <f t="shared" ref="S112:S122" si="126">INDEX(AC:AC,MATCH(C112,AB:AB,0))</f>
        <v>134.1</v>
      </c>
      <c r="T112" s="1538"/>
      <c r="U112" s="1535">
        <f t="shared" ref="U112:U122" si="127">S112-T112</f>
        <v>134.1</v>
      </c>
      <c r="V112" s="1535">
        <f>INDEX('05基本'!AF:AF,MATCH(C112,'05基本'!C:C,0))</f>
        <v>0</v>
      </c>
      <c r="W112" s="1535">
        <f t="shared" ref="W112:W122" si="128">O112-P112-U112</f>
        <v>8740.1031875000008</v>
      </c>
      <c r="X112" s="1542"/>
      <c r="Y112" s="1540">
        <f t="shared" ref="Y112:Y118" si="129">SUM(Z112:AA112)</f>
        <v>4233.526605</v>
      </c>
      <c r="Z112" s="1541">
        <f>(INDEX('05月车间提成'!D:D,MATCH(C123,'05月车间提成'!C:C,0))-INDEX('05月车间提成'!F:F,MATCH('05月车间提成'!C45,'05月车间提成'!C:C,0)))*0.33*0.05+INDEX('05月车间提成'!E:E,MATCH(C123,'05月车间提成'!C:C,0))*0.33*0.05</f>
        <v>4233.526605</v>
      </c>
      <c r="AA112" s="1542">
        <f>INDEX('05月车间提成'!J:J,MATCH(C123,'05月车间提成'!C:C,0))*0.05*INDEX('05月车间提成'!K:K,MATCH(C123,'05月车间提成'!C:C,0))</f>
        <v>0</v>
      </c>
      <c r="AB112" s="1519"/>
      <c r="AC112" s="291"/>
      <c r="AD112" s="1518">
        <f t="shared" si="120"/>
        <v>1</v>
      </c>
      <c r="AE112" s="1530">
        <f>INDEX('05基本'!P:P,MATCH(C112,'05基本'!C:C,0))-I112</f>
        <v>0</v>
      </c>
      <c r="AF112" s="1529">
        <f>SUMIF('05月其他部门提成'!C:C,'05月提成-武侯售后'!C112,'05月其他部门提成'!Q:Q)</f>
        <v>0</v>
      </c>
      <c r="AG112" s="1544">
        <f>SUMIF('05月车间提成'!C:C,'05月提成-武侯售后'!C112,'05月车间提成'!W:W)</f>
        <v>8874.2031874999993</v>
      </c>
      <c r="AH112" s="1530">
        <f>SUMIF('05月业务提成'!B:B,'05月提成-武侯售后'!C112,'05月业务提成'!BO:BO)</f>
        <v>0</v>
      </c>
      <c r="AI112" s="1530">
        <f t="shared" ref="AI112:AI122" si="130">AF112+AG112+AH112</f>
        <v>8874.2031874999993</v>
      </c>
      <c r="AJ112" s="1530">
        <f t="shared" ref="AJ112:AJ122" si="131">AI112-K112</f>
        <v>0</v>
      </c>
      <c r="AK112"/>
    </row>
    <row r="113" spans="1:37" s="1518" customFormat="1" ht="14.1" customHeight="1">
      <c r="A113" s="1531">
        <f t="shared" ref="A113:A122" si="132">A112+1</f>
        <v>86</v>
      </c>
      <c r="B113" s="1661"/>
      <c r="C113" s="1507" t="s">
        <v>145</v>
      </c>
      <c r="D113" s="1533">
        <f>INDEX('05基本'!I:I,MATCH(C113,'05基本'!C:C,0))+INDEX('05基本'!J:J,MATCH(C113,'05基本'!C:C,0))</f>
        <v>80</v>
      </c>
      <c r="E113" s="1534">
        <f>INDEX('05基本'!AA:AA,MATCH(C113,'05基本'!C:C,0))</f>
        <v>1268.5899999999999</v>
      </c>
      <c r="F113" s="1534">
        <f>INDEX('05基本'!AB:AB,MATCH(C113,'05基本'!C:C,0))</f>
        <v>477.15</v>
      </c>
      <c r="G113" s="1534">
        <f>INDEX('05基本'!AC:AC,MATCH(C113,'05基本'!C:C,0))</f>
        <v>117</v>
      </c>
      <c r="H113" s="1534">
        <f>INDEX('05基本'!K:K,MATCH(C113,'05基本'!C:C,0))+INDEX('05基本'!L:L,MATCH(C113,'05基本'!C:C,0))</f>
        <v>0</v>
      </c>
      <c r="I113" s="1534">
        <f>INDEX('05基本'!P:P,MATCH(C113,'05基本'!C:C,0))</f>
        <v>980</v>
      </c>
      <c r="J113" s="1534">
        <f>INDEX('05基本'!M:M,MATCH(C113,'05基本'!C:C,0))</f>
        <v>0</v>
      </c>
      <c r="K113" s="1535">
        <f>INDEX('05月车间提成'!W:W,MATCH(C113,'05月车间提成'!C:C,0))</f>
        <v>6879.8784862499997</v>
      </c>
      <c r="L113" s="1533">
        <f>SUMIF(综合考核!A:A,'05月提成-武侯售后'!C113,综合考核!M:M)</f>
        <v>0</v>
      </c>
      <c r="M113" s="1535">
        <f t="shared" si="123"/>
        <v>6879.8784862499997</v>
      </c>
      <c r="N113" s="1535">
        <f>SUMIF(服装扣款!C:C,C113,服装扣款!N:N)</f>
        <v>0</v>
      </c>
      <c r="O113" s="1536">
        <f t="shared" si="124"/>
        <v>6879.8784862499997</v>
      </c>
      <c r="P113" s="1537">
        <f>SUMIF(超市公积金!C:C,'05月提成-武侯售后'!C113,超市公积金!I:I)</f>
        <v>0</v>
      </c>
      <c r="Q113" s="1535">
        <f>SUMIF(综合考核!A:A,'05月提成-武侯售后'!C113,综合考核!N:N)</f>
        <v>0</v>
      </c>
      <c r="R113" s="1535">
        <f t="shared" si="125"/>
        <v>7859.8784862499997</v>
      </c>
      <c r="S113" s="1535">
        <f t="shared" si="126"/>
        <v>0</v>
      </c>
      <c r="T113" s="1538"/>
      <c r="U113" s="1535">
        <f t="shared" si="127"/>
        <v>0</v>
      </c>
      <c r="V113" s="1535">
        <f>INDEX('05基本'!AF:AF,MATCH(C113,'05基本'!C:C,0))</f>
        <v>0</v>
      </c>
      <c r="W113" s="1535">
        <f t="shared" si="128"/>
        <v>6879.8784862499997</v>
      </c>
      <c r="X113" s="1542"/>
      <c r="Y113" s="1540">
        <f t="shared" si="129"/>
        <v>0</v>
      </c>
      <c r="Z113" s="1541"/>
      <c r="AA113" s="1542"/>
      <c r="AB113" s="1519"/>
      <c r="AC113" s="291"/>
      <c r="AD113" s="1518">
        <f t="shared" si="120"/>
        <v>1</v>
      </c>
      <c r="AE113" s="1530">
        <f>INDEX('05基本'!P:P,MATCH(C113,'05基本'!C:C,0))-I113</f>
        <v>0</v>
      </c>
      <c r="AF113" s="1529">
        <f>SUMIF('05月其他部门提成'!C:C,'05月提成-武侯售后'!C113,'05月其他部门提成'!Q:Q)</f>
        <v>0</v>
      </c>
      <c r="AG113" s="1544">
        <f>SUMIF('05月车间提成'!C:C,'05月提成-武侯售后'!C113,'05月车间提成'!W:W)</f>
        <v>6879.8784862499997</v>
      </c>
      <c r="AH113" s="1530">
        <f>SUMIF('05月业务提成'!B:B,'05月提成-武侯售后'!C113,'05月业务提成'!BO:BO)</f>
        <v>0</v>
      </c>
      <c r="AI113" s="1530">
        <f t="shared" si="130"/>
        <v>6879.8784862499997</v>
      </c>
      <c r="AJ113" s="1530">
        <f t="shared" si="131"/>
        <v>0</v>
      </c>
      <c r="AK113"/>
    </row>
    <row r="114" spans="1:37" s="1518" customFormat="1" ht="14.1" customHeight="1">
      <c r="A114" s="1531">
        <f t="shared" si="132"/>
        <v>87</v>
      </c>
      <c r="B114" s="1661"/>
      <c r="C114" s="1507" t="s">
        <v>147</v>
      </c>
      <c r="D114" s="1533">
        <f>INDEX('05基本'!I:I,MATCH(C114,'05基本'!C:C,0))+INDEX('05基本'!J:J,MATCH(C114,'05基本'!C:C,0))</f>
        <v>70</v>
      </c>
      <c r="E114" s="1534">
        <f>INDEX('05基本'!AA:AA,MATCH(C114,'05基本'!C:C,0))</f>
        <v>1268.5899999999999</v>
      </c>
      <c r="F114" s="1534">
        <f>INDEX('05基本'!AB:AB,MATCH(C114,'05基本'!C:C,0))</f>
        <v>477.15</v>
      </c>
      <c r="G114" s="1534">
        <f>INDEX('05基本'!AC:AC,MATCH(C114,'05基本'!C:C,0))</f>
        <v>117</v>
      </c>
      <c r="H114" s="1534">
        <f>INDEX('05基本'!K:K,MATCH(C114,'05基本'!C:C,0))+INDEX('05基本'!L:L,MATCH(C114,'05基本'!C:C,0))</f>
        <v>0</v>
      </c>
      <c r="I114" s="1534">
        <f>INDEX('05基本'!P:P,MATCH(C114,'05基本'!C:C,0))</f>
        <v>970</v>
      </c>
      <c r="J114" s="1534">
        <f>INDEX('05基本'!M:M,MATCH(C114,'05基本'!C:C,0))</f>
        <v>0</v>
      </c>
      <c r="K114" s="1535">
        <f>INDEX('05月车间提成'!W:W,MATCH(C114,'05月车间提成'!C:C,0))</f>
        <v>5084.5219125000003</v>
      </c>
      <c r="L114" s="1533">
        <f>SUMIF(综合考核!A:A,'05月提成-武侯售后'!C114,综合考核!M:M)</f>
        <v>0</v>
      </c>
      <c r="M114" s="1535">
        <f t="shared" si="123"/>
        <v>5084.5219125000003</v>
      </c>
      <c r="N114" s="1535">
        <f>SUMIF(服装扣款!C:C,C114,服装扣款!N:N)</f>
        <v>0</v>
      </c>
      <c r="O114" s="1536">
        <f t="shared" si="124"/>
        <v>5084.5219125000003</v>
      </c>
      <c r="P114" s="1537">
        <f>SUMIF(超市公积金!C:C,'05月提成-武侯售后'!C114,超市公积金!I:I)</f>
        <v>0</v>
      </c>
      <c r="Q114" s="1535">
        <f>SUMIF(综合考核!A:A,'05月提成-武侯售后'!C114,综合考核!N:N)</f>
        <v>0</v>
      </c>
      <c r="R114" s="1535">
        <f t="shared" si="125"/>
        <v>6054.5219125000003</v>
      </c>
      <c r="S114" s="1535">
        <f t="shared" si="126"/>
        <v>13.82</v>
      </c>
      <c r="T114" s="1538"/>
      <c r="U114" s="1535">
        <f t="shared" si="127"/>
        <v>13.82</v>
      </c>
      <c r="V114" s="1535">
        <f>INDEX('05基本'!AF:AF,MATCH(C114,'05基本'!C:C,0))</f>
        <v>0</v>
      </c>
      <c r="W114" s="1535">
        <f t="shared" si="128"/>
        <v>5070.7019124999997</v>
      </c>
      <c r="X114" s="1542"/>
      <c r="Y114" s="1540">
        <f t="shared" si="129"/>
        <v>0</v>
      </c>
      <c r="Z114" s="1628"/>
      <c r="AA114" s="1629"/>
      <c r="AB114" s="1519"/>
      <c r="AC114" s="1543"/>
      <c r="AD114" s="1518">
        <f t="shared" si="120"/>
        <v>1</v>
      </c>
      <c r="AE114" s="1530">
        <f>INDEX('05基本'!P:P,MATCH(C114,'05基本'!C:C,0))-I114</f>
        <v>0</v>
      </c>
      <c r="AF114" s="1529">
        <f>SUMIF('05月其他部门提成'!C:C,'05月提成-武侯售后'!C114,'05月其他部门提成'!Q:Q)</f>
        <v>0</v>
      </c>
      <c r="AG114" s="1544">
        <f>SUMIF('05月车间提成'!C:C,'05月提成-武侯售后'!C114,'05月车间提成'!W:W)</f>
        <v>5084.5219125000003</v>
      </c>
      <c r="AH114" s="1530">
        <f>SUMIF('05月业务提成'!B:B,'05月提成-武侯售后'!C114,'05月业务提成'!BO:BO)</f>
        <v>0</v>
      </c>
      <c r="AI114" s="1530">
        <f t="shared" si="130"/>
        <v>5084.5219125000003</v>
      </c>
      <c r="AJ114" s="1530">
        <f t="shared" si="131"/>
        <v>0</v>
      </c>
      <c r="AK114"/>
    </row>
    <row r="115" spans="1:37" s="1518" customFormat="1" ht="14.1" customHeight="1">
      <c r="A115" s="1531">
        <f t="shared" si="132"/>
        <v>88</v>
      </c>
      <c r="B115" s="1661"/>
      <c r="C115" s="1507" t="s">
        <v>148</v>
      </c>
      <c r="D115" s="1533">
        <f>INDEX('05基本'!I:I,MATCH(C115,'05基本'!C:C,0))+INDEX('05基本'!J:J,MATCH(C115,'05基本'!C:C,0))</f>
        <v>70</v>
      </c>
      <c r="E115" s="1534">
        <f>INDEX('05基本'!AA:AA,MATCH(C115,'05基本'!C:C,0))</f>
        <v>1268.5899999999999</v>
      </c>
      <c r="F115" s="1534">
        <f>INDEX('05基本'!AB:AB,MATCH(C115,'05基本'!C:C,0))</f>
        <v>477.15</v>
      </c>
      <c r="G115" s="1534">
        <f>INDEX('05基本'!AC:AC,MATCH(C115,'05基本'!C:C,0))</f>
        <v>117</v>
      </c>
      <c r="H115" s="1534">
        <f>INDEX('05基本'!K:K,MATCH(C115,'05基本'!C:C,0))+INDEX('05基本'!L:L,MATCH(C115,'05基本'!C:C,0))</f>
        <v>0</v>
      </c>
      <c r="I115" s="1534">
        <f>INDEX('05基本'!P:P,MATCH(C115,'05基本'!C:C,0))</f>
        <v>870</v>
      </c>
      <c r="J115" s="1534">
        <f>INDEX('05基本'!M:M,MATCH(C115,'05基本'!C:C,0))</f>
        <v>0</v>
      </c>
      <c r="K115" s="1535">
        <f>INDEX('05月车间提成'!W:W,MATCH(C115,'05月车间提成'!C:C,0))</f>
        <v>3588.3914343749998</v>
      </c>
      <c r="L115" s="1533">
        <f>SUMIF(综合考核!A:A,'05月提成-武侯售后'!C115,综合考核!M:M)</f>
        <v>0</v>
      </c>
      <c r="M115" s="1535">
        <f t="shared" si="123"/>
        <v>3588.3914343749998</v>
      </c>
      <c r="N115" s="1535">
        <f>SUMIF(服装扣款!C:C,C115,服装扣款!N:N)</f>
        <v>0</v>
      </c>
      <c r="O115" s="1536">
        <f t="shared" si="124"/>
        <v>3588.3914343749998</v>
      </c>
      <c r="P115" s="1537">
        <f>SUMIF(超市公积金!C:C,'05月提成-武侯售后'!C115,超市公积金!I:I)</f>
        <v>0</v>
      </c>
      <c r="Q115" s="1535">
        <f>SUMIF(综合考核!A:A,'05月提成-武侯售后'!C115,综合考核!N:N)</f>
        <v>0</v>
      </c>
      <c r="R115" s="1535">
        <f t="shared" si="125"/>
        <v>4458.3914343750002</v>
      </c>
      <c r="S115" s="1535">
        <f t="shared" si="126"/>
        <v>0</v>
      </c>
      <c r="T115" s="1538"/>
      <c r="U115" s="1535">
        <f t="shared" si="127"/>
        <v>0</v>
      </c>
      <c r="V115" s="1535">
        <f>INDEX('05基本'!AF:AF,MATCH(C115,'05基本'!C:C,0))</f>
        <v>0</v>
      </c>
      <c r="W115" s="1535">
        <f t="shared" si="128"/>
        <v>3588.3914343749998</v>
      </c>
      <c r="X115" s="1542"/>
      <c r="Y115" s="1540">
        <f t="shared" si="129"/>
        <v>0</v>
      </c>
      <c r="Z115" s="1541"/>
      <c r="AA115" s="1542"/>
      <c r="AB115" s="1519"/>
      <c r="AC115" s="1543"/>
      <c r="AD115" s="1518">
        <f t="shared" si="120"/>
        <v>1</v>
      </c>
      <c r="AE115" s="1530">
        <f>INDEX('05基本'!P:P,MATCH(C115,'05基本'!C:C,0))-I115</f>
        <v>0</v>
      </c>
      <c r="AF115" s="1529">
        <f>SUMIF('05月其他部门提成'!C:C,'05月提成-武侯售后'!C115,'05月其他部门提成'!Q:Q)</f>
        <v>0</v>
      </c>
      <c r="AG115" s="1544">
        <f>SUMIF('05月车间提成'!C:C,'05月提成-武侯售后'!C115,'05月车间提成'!W:W)</f>
        <v>3588.3914343749998</v>
      </c>
      <c r="AH115" s="1530">
        <f>SUMIF('05月业务提成'!B:B,'05月提成-武侯售后'!C115,'05月业务提成'!BO:BO)</f>
        <v>0</v>
      </c>
      <c r="AI115" s="1530">
        <f t="shared" si="130"/>
        <v>3588.3914343749998</v>
      </c>
      <c r="AJ115" s="1530">
        <f t="shared" si="131"/>
        <v>0</v>
      </c>
      <c r="AK115"/>
    </row>
    <row r="116" spans="1:37" s="1518" customFormat="1" ht="14.1" customHeight="1">
      <c r="A116" s="1531">
        <f t="shared" si="132"/>
        <v>89</v>
      </c>
      <c r="B116" s="1661"/>
      <c r="C116" s="1507" t="s">
        <v>150</v>
      </c>
      <c r="D116" s="1533">
        <f>INDEX('05基本'!I:I,MATCH(C116,'05基本'!C:C,0))+INDEX('05基本'!J:J,MATCH(C116,'05基本'!C:C,0))</f>
        <v>70</v>
      </c>
      <c r="E116" s="1534">
        <f>INDEX('05基本'!AA:AA,MATCH(C116,'05基本'!C:C,0))</f>
        <v>1268.5899999999999</v>
      </c>
      <c r="F116" s="1534">
        <f>INDEX('05基本'!AB:AB,MATCH(C116,'05基本'!C:C,0))</f>
        <v>477.15</v>
      </c>
      <c r="G116" s="1534">
        <f>INDEX('05基本'!AC:AC,MATCH(C116,'05基本'!C:C,0))</f>
        <v>117</v>
      </c>
      <c r="H116" s="1534">
        <f>INDEX('05基本'!K:K,MATCH(C116,'05基本'!C:C,0))+INDEX('05基本'!L:L,MATCH(C116,'05基本'!C:C,0))</f>
        <v>0</v>
      </c>
      <c r="I116" s="1534">
        <f>INDEX('05基本'!P:P,MATCH(C116,'05基本'!C:C,0))</f>
        <v>970</v>
      </c>
      <c r="J116" s="1534">
        <f>INDEX('05基本'!M:M,MATCH(C116,'05基本'!C:C,0))</f>
        <v>0</v>
      </c>
      <c r="K116" s="1535">
        <f>INDEX('05月车间提成'!W:W,MATCH(C116,'05月车间提成'!C:C,0))</f>
        <v>7278.84661375</v>
      </c>
      <c r="L116" s="1533">
        <f>SUMIF(综合考核!A:A,'05月提成-武侯售后'!C116,综合考核!M:M)</f>
        <v>0</v>
      </c>
      <c r="M116" s="1535">
        <f t="shared" si="123"/>
        <v>7278.84661375</v>
      </c>
      <c r="N116" s="1535">
        <f>SUMIF(服装扣款!C:C,C116,服装扣款!N:N)</f>
        <v>0</v>
      </c>
      <c r="O116" s="1536">
        <f t="shared" si="124"/>
        <v>7278.84661375</v>
      </c>
      <c r="P116" s="1537">
        <f>SUMIF(超市公积金!C:C,'05月提成-武侯售后'!C116,超市公积金!I:I)</f>
        <v>0</v>
      </c>
      <c r="Q116" s="1535">
        <f>SUMIF(综合考核!A:A,'05月提成-武侯售后'!C116,综合考核!N:N)</f>
        <v>0</v>
      </c>
      <c r="R116" s="1535">
        <f t="shared" si="125"/>
        <v>8248.84661375</v>
      </c>
      <c r="S116" s="1535">
        <f t="shared" si="126"/>
        <v>79.64</v>
      </c>
      <c r="T116" s="1538"/>
      <c r="U116" s="1535">
        <f t="shared" si="127"/>
        <v>79.64</v>
      </c>
      <c r="V116" s="1535">
        <f>INDEX('05基本'!AF:AF,MATCH(C116,'05基本'!C:C,0))</f>
        <v>0</v>
      </c>
      <c r="W116" s="1535">
        <f t="shared" si="128"/>
        <v>7199.2066137499996</v>
      </c>
      <c r="X116" s="1542"/>
      <c r="Y116" s="1540">
        <f t="shared" si="129"/>
        <v>0</v>
      </c>
      <c r="Z116" s="1541"/>
      <c r="AA116" s="1542"/>
      <c r="AB116" s="1519"/>
      <c r="AC116" s="291"/>
      <c r="AD116" s="1518">
        <f t="shared" si="120"/>
        <v>1</v>
      </c>
      <c r="AE116" s="1530">
        <f>INDEX('05基本'!P:P,MATCH(C116,'05基本'!C:C,0))-I116</f>
        <v>0</v>
      </c>
      <c r="AF116" s="1529">
        <f>SUMIF('05月其他部门提成'!C:C,'05月提成-武侯售后'!C116,'05月其他部门提成'!Q:Q)</f>
        <v>0</v>
      </c>
      <c r="AG116" s="1544">
        <f>SUMIF('05月车间提成'!C:C,'05月提成-武侯售后'!C116,'05月车间提成'!W:W)</f>
        <v>7278.84661375</v>
      </c>
      <c r="AH116" s="1530">
        <f>SUMIF('05月业务提成'!B:B,'05月提成-武侯售后'!C116,'05月业务提成'!BO:BO)</f>
        <v>0</v>
      </c>
      <c r="AI116" s="1530">
        <f t="shared" si="130"/>
        <v>7278.84661375</v>
      </c>
      <c r="AJ116" s="1530">
        <f t="shared" si="131"/>
        <v>0</v>
      </c>
      <c r="AK116"/>
    </row>
    <row r="117" spans="1:37" s="1518" customFormat="1" ht="14.1" customHeight="1">
      <c r="A117" s="1531">
        <f t="shared" si="132"/>
        <v>90</v>
      </c>
      <c r="B117" s="1661"/>
      <c r="C117" s="1507" t="s">
        <v>152</v>
      </c>
      <c r="D117" s="1533">
        <f>INDEX('05基本'!I:I,MATCH(C117,'05基本'!C:C,0))+INDEX('05基本'!J:J,MATCH(C117,'05基本'!C:C,0))</f>
        <v>90</v>
      </c>
      <c r="E117" s="1534">
        <f>INDEX('05基本'!AA:AA,MATCH(C117,'05基本'!C:C,0))</f>
        <v>1268.5899999999999</v>
      </c>
      <c r="F117" s="1534">
        <f>INDEX('05基本'!AB:AB,MATCH(C117,'05基本'!C:C,0))</f>
        <v>477.15</v>
      </c>
      <c r="G117" s="1534">
        <f>INDEX('05基本'!AC:AC,MATCH(C117,'05基本'!C:C,0))</f>
        <v>117</v>
      </c>
      <c r="H117" s="1534">
        <f>INDEX('05基本'!K:K,MATCH(C117,'05基本'!C:C,0))+INDEX('05基本'!L:L,MATCH(C117,'05基本'!C:C,0))</f>
        <v>0</v>
      </c>
      <c r="I117" s="1534">
        <f>INDEX('05基本'!P:P,MATCH(C117,'05基本'!C:C,0))</f>
        <v>990</v>
      </c>
      <c r="J117" s="1534">
        <f>INDEX('05基本'!M:M,MATCH(C117,'05基本'!C:C,0))</f>
        <v>0</v>
      </c>
      <c r="K117" s="1535">
        <f>INDEX('05月车间提成'!W:W,MATCH(C117,'05月车间提成'!C:C,0))</f>
        <v>6480.9103587500003</v>
      </c>
      <c r="L117" s="1533">
        <f>SUMIF(综合考核!A:A,'05月提成-武侯售后'!C117,综合考核!M:M)</f>
        <v>0</v>
      </c>
      <c r="M117" s="1535">
        <f t="shared" si="123"/>
        <v>6480.9103587500003</v>
      </c>
      <c r="N117" s="1535">
        <f>SUMIF(服装扣款!C:C,C117,服装扣款!N:N)</f>
        <v>0</v>
      </c>
      <c r="O117" s="1536">
        <f t="shared" si="124"/>
        <v>6480.9103587500003</v>
      </c>
      <c r="P117" s="1537">
        <f>SUMIF(超市公积金!C:C,'05月提成-武侯售后'!C117,超市公积金!I:I)</f>
        <v>0</v>
      </c>
      <c r="Q117" s="1535">
        <f>SUMIF(综合考核!A:A,'05月提成-武侯售后'!C117,综合考核!N:N)</f>
        <v>0</v>
      </c>
      <c r="R117" s="1535">
        <f t="shared" si="125"/>
        <v>7470.9103587500003</v>
      </c>
      <c r="S117" s="1535">
        <f t="shared" si="126"/>
        <v>56.3</v>
      </c>
      <c r="T117" s="1538"/>
      <c r="U117" s="1535">
        <f t="shared" si="127"/>
        <v>56.3</v>
      </c>
      <c r="V117" s="1535">
        <f>INDEX('05基本'!AF:AF,MATCH(C117,'05基本'!C:C,0))</f>
        <v>0</v>
      </c>
      <c r="W117" s="1535">
        <f t="shared" si="128"/>
        <v>6424.6103587500002</v>
      </c>
      <c r="X117" s="1542"/>
      <c r="Y117" s="1540">
        <f t="shared" si="129"/>
        <v>0</v>
      </c>
      <c r="Z117" s="1628"/>
      <c r="AA117" s="1629"/>
      <c r="AB117" s="1519"/>
      <c r="AC117" s="1543"/>
      <c r="AD117" s="1518">
        <f t="shared" si="120"/>
        <v>1</v>
      </c>
      <c r="AE117" s="1530">
        <f>INDEX('05基本'!P:P,MATCH(C117,'05基本'!C:C,0))-I117</f>
        <v>0</v>
      </c>
      <c r="AF117" s="1529">
        <f>SUMIF('05月其他部门提成'!C:C,'05月提成-武侯售后'!C117,'05月其他部门提成'!Q:Q)</f>
        <v>0</v>
      </c>
      <c r="AG117" s="1544">
        <f>SUMIF('05月车间提成'!C:C,'05月提成-武侯售后'!C117,'05月车间提成'!W:W)</f>
        <v>6480.9103587500003</v>
      </c>
      <c r="AH117" s="1530">
        <f>SUMIF('05月业务提成'!B:B,'05月提成-武侯售后'!C117,'05月业务提成'!BO:BO)</f>
        <v>0</v>
      </c>
      <c r="AI117" s="1530">
        <f t="shared" si="130"/>
        <v>6480.9103587500003</v>
      </c>
      <c r="AJ117" s="1530">
        <f t="shared" si="131"/>
        <v>0</v>
      </c>
      <c r="AK117"/>
    </row>
    <row r="118" spans="1:37" s="1518" customFormat="1" ht="14.1" customHeight="1">
      <c r="A118" s="1531">
        <f t="shared" si="132"/>
        <v>91</v>
      </c>
      <c r="B118" s="1661"/>
      <c r="C118" s="1507" t="s">
        <v>153</v>
      </c>
      <c r="D118" s="1533">
        <f>INDEX('05基本'!I:I,MATCH(C118,'05基本'!C:C,0))+INDEX('05基本'!J:J,MATCH(C118,'05基本'!C:C,0))</f>
        <v>80</v>
      </c>
      <c r="E118" s="1534">
        <f>INDEX('05基本'!AA:AA,MATCH(C118,'05基本'!C:C,0))</f>
        <v>1268.5899999999999</v>
      </c>
      <c r="F118" s="1534">
        <f>INDEX('05基本'!AB:AB,MATCH(C118,'05基本'!C:C,0))</f>
        <v>477.15</v>
      </c>
      <c r="G118" s="1534">
        <f>INDEX('05基本'!AC:AC,MATCH(C118,'05基本'!C:C,0))</f>
        <v>117</v>
      </c>
      <c r="H118" s="1534">
        <f>INDEX('05基本'!K:K,MATCH(C118,'05基本'!C:C,0))+INDEX('05基本'!L:L,MATCH(C118,'05基本'!C:C,0))</f>
        <v>0</v>
      </c>
      <c r="I118" s="1534">
        <f>INDEX('05基本'!P:P,MATCH(C118,'05基本'!C:C,0))</f>
        <v>980</v>
      </c>
      <c r="J118" s="1534">
        <f>INDEX('05基本'!M:M,MATCH(C118,'05基本'!C:C,0))</f>
        <v>0</v>
      </c>
      <c r="K118" s="1535">
        <f>INDEX('05月车间提成'!W:W,MATCH(C118,'05月车间提成'!C:C,0))</f>
        <v>3089.6812749999999</v>
      </c>
      <c r="L118" s="1533">
        <f>SUMIF(综合考核!A:A,'05月提成-武侯售后'!C118,综合考核!M:M)</f>
        <v>0</v>
      </c>
      <c r="M118" s="1535">
        <f t="shared" si="123"/>
        <v>3089.6812749999999</v>
      </c>
      <c r="N118" s="1535">
        <f>SUMIF(服装扣款!C:C,C118,服装扣款!N:N)</f>
        <v>0</v>
      </c>
      <c r="O118" s="1536">
        <f t="shared" si="124"/>
        <v>3089.6812749999999</v>
      </c>
      <c r="P118" s="1537">
        <f>SUMIF(超市公积金!C:C,'05月提成-武侯售后'!C118,超市公积金!I:I)</f>
        <v>0</v>
      </c>
      <c r="Q118" s="1535">
        <f>SUMIF(综合考核!A:A,'05月提成-武侯售后'!C118,综合考核!N:N)</f>
        <v>0</v>
      </c>
      <c r="R118" s="1535">
        <f t="shared" si="125"/>
        <v>4069.6812749999999</v>
      </c>
      <c r="S118" s="1535">
        <f t="shared" si="126"/>
        <v>0</v>
      </c>
      <c r="T118" s="1538"/>
      <c r="U118" s="1535">
        <f t="shared" si="127"/>
        <v>0</v>
      </c>
      <c r="V118" s="1535">
        <f>INDEX('05基本'!AF:AF,MATCH(C118,'05基本'!C:C,0))</f>
        <v>0</v>
      </c>
      <c r="W118" s="1535">
        <f t="shared" si="128"/>
        <v>3089.6812749999999</v>
      </c>
      <c r="X118" s="1542"/>
      <c r="Y118" s="1540">
        <f t="shared" si="129"/>
        <v>0</v>
      </c>
      <c r="Z118" s="1541"/>
      <c r="AA118" s="1542"/>
      <c r="AB118" s="1519"/>
      <c r="AC118" s="1543"/>
      <c r="AD118" s="1518">
        <f t="shared" si="120"/>
        <v>1</v>
      </c>
      <c r="AE118" s="1530">
        <f>INDEX('05基本'!P:P,MATCH(C118,'05基本'!C:C,0))-I118</f>
        <v>0</v>
      </c>
      <c r="AF118" s="1529">
        <f>SUMIF('05月其他部门提成'!C:C,'05月提成-武侯售后'!C118,'05月其他部门提成'!Q:Q)</f>
        <v>0</v>
      </c>
      <c r="AG118" s="1544">
        <f>SUMIF('05月车间提成'!C:C,'05月提成-武侯售后'!C118,'05月车间提成'!W:W)</f>
        <v>3089.6812749999999</v>
      </c>
      <c r="AH118" s="1530">
        <f>SUMIF('05月业务提成'!B:B,'05月提成-武侯售后'!C118,'05月业务提成'!BO:BO)</f>
        <v>0</v>
      </c>
      <c r="AI118" s="1530">
        <f t="shared" si="130"/>
        <v>3089.6812749999999</v>
      </c>
      <c r="AJ118" s="1530">
        <f t="shared" si="131"/>
        <v>0</v>
      </c>
      <c r="AK118"/>
    </row>
    <row r="119" spans="1:37" s="1518" customFormat="1" ht="14.1" customHeight="1">
      <c r="A119" s="1531">
        <f t="shared" si="132"/>
        <v>92</v>
      </c>
      <c r="B119" s="1661"/>
      <c r="C119" s="1507" t="s">
        <v>155</v>
      </c>
      <c r="D119" s="1533">
        <f>INDEX('05基本'!I:I,MATCH(C119,'05基本'!C:C,0))+INDEX('05基本'!J:J,MATCH(C119,'05基本'!C:C,0))</f>
        <v>70</v>
      </c>
      <c r="E119" s="1534">
        <f>INDEX('05基本'!AA:AA,MATCH(C119,'05基本'!C:C,0))</f>
        <v>1268.5899999999999</v>
      </c>
      <c r="F119" s="1534">
        <f>INDEX('05基本'!AB:AB,MATCH(C119,'05基本'!C:C,0))</f>
        <v>477.15</v>
      </c>
      <c r="G119" s="1534">
        <f>INDEX('05基本'!AC:AC,MATCH(C119,'05基本'!C:C,0))</f>
        <v>117</v>
      </c>
      <c r="H119" s="1534">
        <f>INDEX('05基本'!K:K,MATCH(C119,'05基本'!C:C,0))+INDEX('05基本'!L:L,MATCH(C119,'05基本'!C:C,0))</f>
        <v>0</v>
      </c>
      <c r="I119" s="1534">
        <f>INDEX('05基本'!P:P,MATCH(C119,'05基本'!C:C,0))</f>
        <v>970</v>
      </c>
      <c r="J119" s="1534">
        <f>INDEX('05基本'!M:M,MATCH(C119,'05基本'!C:C,0))</f>
        <v>0</v>
      </c>
      <c r="K119" s="1535">
        <f>INDEX('05月车间提成'!W:W,MATCH(C119,'05月车间提成'!C:C,0))</f>
        <v>6281.4262950000002</v>
      </c>
      <c r="L119" s="1533">
        <f>SUMIF(综合考核!A:A,'05月提成-武侯售后'!C119,综合考核!M:M)</f>
        <v>0</v>
      </c>
      <c r="M119" s="1535">
        <f t="shared" si="123"/>
        <v>6281.4262950000002</v>
      </c>
      <c r="N119" s="1535">
        <f>SUMIF(服装扣款!C:C,C119,服装扣款!N:N)</f>
        <v>0</v>
      </c>
      <c r="O119" s="1536">
        <f t="shared" si="124"/>
        <v>6281.4262950000002</v>
      </c>
      <c r="P119" s="1537">
        <f>SUMIF(超市公积金!C:C,'05月提成-武侯售后'!C119,超市公积金!I:I)</f>
        <v>0</v>
      </c>
      <c r="Q119" s="1535">
        <f>SUMIF(综合考核!A:A,'05月提成-武侯售后'!C119,综合考核!N:N)</f>
        <v>0</v>
      </c>
      <c r="R119" s="1535">
        <f t="shared" si="125"/>
        <v>7251.4262950000002</v>
      </c>
      <c r="S119" s="1535">
        <f t="shared" si="126"/>
        <v>49.72</v>
      </c>
      <c r="T119" s="1538"/>
      <c r="U119" s="1535">
        <f t="shared" si="127"/>
        <v>49.72</v>
      </c>
      <c r="V119" s="1535">
        <f>INDEX('05基本'!AF:AF,MATCH(C119,'05基本'!C:C,0))</f>
        <v>0</v>
      </c>
      <c r="W119" s="1535">
        <f t="shared" si="128"/>
        <v>6231.706295</v>
      </c>
      <c r="X119" s="1539"/>
      <c r="Y119" s="1621"/>
      <c r="Z119" s="1541"/>
      <c r="AA119" s="1542"/>
      <c r="AB119" s="1519"/>
      <c r="AC119" s="1543"/>
      <c r="AD119" s="1518">
        <f t="shared" si="120"/>
        <v>1</v>
      </c>
      <c r="AE119" s="1530">
        <f>INDEX('05基本'!P:P,MATCH(C119,'05基本'!C:C,0))-I119</f>
        <v>0</v>
      </c>
      <c r="AF119" s="1529">
        <f>SUMIF('05月其他部门提成'!C:C,'05月提成-武侯售后'!C119,'05月其他部门提成'!Q:Q)</f>
        <v>0</v>
      </c>
      <c r="AG119" s="1544">
        <f>SUMIF('05月车间提成'!C:C,'05月提成-武侯售后'!C119,'05月车间提成'!W:W)</f>
        <v>6281.4262950000002</v>
      </c>
      <c r="AH119" s="1530">
        <f>SUMIF('05月业务提成'!B:B,'05月提成-武侯售后'!C119,'05月业务提成'!BO:BO)</f>
        <v>0</v>
      </c>
      <c r="AI119" s="1530">
        <f t="shared" si="130"/>
        <v>6281.4262950000002</v>
      </c>
      <c r="AJ119" s="1530">
        <f t="shared" si="131"/>
        <v>0</v>
      </c>
      <c r="AK119"/>
    </row>
    <row r="120" spans="1:37" s="1518" customFormat="1" ht="14.1" customHeight="1">
      <c r="A120" s="1531">
        <f t="shared" si="132"/>
        <v>93</v>
      </c>
      <c r="B120" s="1661"/>
      <c r="C120" s="1507" t="s">
        <v>157</v>
      </c>
      <c r="D120" s="1533">
        <f>INDEX('05基本'!I:I,MATCH(C120,'05基本'!C:C,0))+INDEX('05基本'!J:J,MATCH(C120,'05基本'!C:C,0))</f>
        <v>90</v>
      </c>
      <c r="E120" s="1534">
        <f>INDEX('05基本'!AA:AA,MATCH(C120,'05基本'!C:C,0))</f>
        <v>1268.5899999999999</v>
      </c>
      <c r="F120" s="1534">
        <f>INDEX('05基本'!AB:AB,MATCH(C120,'05基本'!C:C,0))</f>
        <v>477.15</v>
      </c>
      <c r="G120" s="1534">
        <f>INDEX('05基本'!AC:AC,MATCH(C120,'05基本'!C:C,0))</f>
        <v>117</v>
      </c>
      <c r="H120" s="1534">
        <f>INDEX('05基本'!K:K,MATCH(C120,'05基本'!C:C,0))+INDEX('05基本'!L:L,MATCH(C120,'05基本'!C:C,0))</f>
        <v>0</v>
      </c>
      <c r="I120" s="1534">
        <f>INDEX('05基本'!P:P,MATCH(C120,'05基本'!C:C,0))</f>
        <v>960</v>
      </c>
      <c r="J120" s="1534">
        <f>INDEX('05基本'!M:M,MATCH(C120,'05基本'!C:C,0))</f>
        <v>0</v>
      </c>
      <c r="K120" s="1535">
        <f>INDEX('05月车间提成'!W:W,MATCH(C120,'05月车间提成'!C:C,0))</f>
        <v>2092.2609562500002</v>
      </c>
      <c r="L120" s="1533">
        <f>SUMIF(综合考核!A:A,'05月提成-武侯售后'!C120,综合考核!M:M)</f>
        <v>0</v>
      </c>
      <c r="M120" s="1535">
        <f t="shared" si="123"/>
        <v>2092.2609562500002</v>
      </c>
      <c r="N120" s="1535">
        <f>SUMIF(服装扣款!C:C,C120,服装扣款!N:N)</f>
        <v>0</v>
      </c>
      <c r="O120" s="1536">
        <f t="shared" si="124"/>
        <v>2092.2609562500002</v>
      </c>
      <c r="P120" s="1537">
        <f>SUMIF(超市公积金!C:C,'05月提成-武侯售后'!C120,超市公积金!I:I)</f>
        <v>0</v>
      </c>
      <c r="Q120" s="1535">
        <f>SUMIF(综合考核!A:A,'05月提成-武侯售后'!C120,综合考核!N:N)</f>
        <v>0</v>
      </c>
      <c r="R120" s="1535">
        <f t="shared" si="125"/>
        <v>3052.2609562500002</v>
      </c>
      <c r="S120" s="1535">
        <f t="shared" si="126"/>
        <v>0</v>
      </c>
      <c r="T120" s="1538"/>
      <c r="U120" s="1535">
        <f t="shared" si="127"/>
        <v>0</v>
      </c>
      <c r="V120" s="1535">
        <f>INDEX('05基本'!AF:AF,MATCH(C120,'05基本'!C:C,0))</f>
        <v>0</v>
      </c>
      <c r="W120" s="1535">
        <f t="shared" si="128"/>
        <v>2092.2609562500002</v>
      </c>
      <c r="X120" s="1539"/>
      <c r="Y120" s="1621"/>
      <c r="Z120" s="1541"/>
      <c r="AA120" s="1542"/>
      <c r="AB120" s="1519"/>
      <c r="AC120" s="1543"/>
      <c r="AD120" s="1518">
        <f t="shared" si="120"/>
        <v>1</v>
      </c>
      <c r="AE120" s="1530">
        <f>INDEX('05基本'!P:P,MATCH(C120,'05基本'!C:C,0))-I120</f>
        <v>0</v>
      </c>
      <c r="AF120" s="1529">
        <f>SUMIF('05月其他部门提成'!C:C,'05月提成-武侯售后'!C120,'05月其他部门提成'!Q:Q)</f>
        <v>0</v>
      </c>
      <c r="AG120" s="1544">
        <f>SUMIF('05月车间提成'!C:C,'05月提成-武侯售后'!C120,'05月车间提成'!W:W)</f>
        <v>2092.2609562500002</v>
      </c>
      <c r="AH120" s="1530">
        <f>SUMIF('05月业务提成'!B:B,'05月提成-武侯售后'!C120,'05月业务提成'!BO:BO)</f>
        <v>0</v>
      </c>
      <c r="AI120" s="1530">
        <f t="shared" si="130"/>
        <v>2092.2609562500002</v>
      </c>
      <c r="AJ120" s="1530">
        <f t="shared" si="131"/>
        <v>0</v>
      </c>
      <c r="AK120"/>
    </row>
    <row r="121" spans="1:37" s="1518" customFormat="1" ht="14.1" customHeight="1">
      <c r="A121" s="1531">
        <f t="shared" si="132"/>
        <v>94</v>
      </c>
      <c r="B121" s="1661"/>
      <c r="C121" s="1507" t="s">
        <v>158</v>
      </c>
      <c r="D121" s="1533">
        <f>INDEX('05基本'!I:I,MATCH(C121,'05基本'!C:C,0))+INDEX('05基本'!J:J,MATCH(C121,'05基本'!C:C,0))</f>
        <v>80</v>
      </c>
      <c r="E121" s="1534">
        <f>INDEX('05基本'!AA:AA,MATCH(C121,'05基本'!C:C,0))</f>
        <v>1268.5899999999999</v>
      </c>
      <c r="F121" s="1534">
        <f>INDEX('05基本'!AB:AB,MATCH(C121,'05基本'!C:C,0))</f>
        <v>477.15</v>
      </c>
      <c r="G121" s="1534">
        <f>INDEX('05基本'!AC:AC,MATCH(C121,'05基本'!C:C,0))</f>
        <v>117</v>
      </c>
      <c r="H121" s="1534">
        <f>INDEX('05基本'!K:K,MATCH(C121,'05基本'!C:C,0))+INDEX('05基本'!L:L,MATCH(C121,'05基本'!C:C,0))</f>
        <v>0</v>
      </c>
      <c r="I121" s="1534">
        <f>INDEX('05基本'!P:P,MATCH(C121,'05基本'!C:C,0))</f>
        <v>980</v>
      </c>
      <c r="J121" s="1534">
        <f>INDEX('05基本'!M:M,MATCH(C121,'05基本'!C:C,0))</f>
        <v>0</v>
      </c>
      <c r="K121" s="1535">
        <f>INDEX('05月车间提成'!W:W,MATCH(C121,'05月车间提成'!C:C,0))</f>
        <v>3588.3914343749998</v>
      </c>
      <c r="L121" s="1533">
        <f>SUMIF(综合考核!A:A,'05月提成-武侯售后'!C121,综合考核!M:M)</f>
        <v>0</v>
      </c>
      <c r="M121" s="1535">
        <f t="shared" si="123"/>
        <v>3588.3914343749998</v>
      </c>
      <c r="N121" s="1535">
        <f>SUMIF(服装扣款!C:C,C121,服装扣款!N:N)</f>
        <v>0</v>
      </c>
      <c r="O121" s="1536">
        <f t="shared" si="124"/>
        <v>3588.3914343749998</v>
      </c>
      <c r="P121" s="1537">
        <f>SUMIF(超市公积金!C:C,'05月提成-武侯售后'!C121,超市公积金!I:I)</f>
        <v>0</v>
      </c>
      <c r="Q121" s="1535">
        <f>SUMIF(综合考核!A:A,'05月提成-武侯售后'!C121,综合考核!N:N)</f>
        <v>0</v>
      </c>
      <c r="R121" s="1535">
        <f t="shared" si="125"/>
        <v>4568.3914343750002</v>
      </c>
      <c r="S121" s="1535">
        <f t="shared" si="126"/>
        <v>0</v>
      </c>
      <c r="T121" s="1538"/>
      <c r="U121" s="1535">
        <f t="shared" si="127"/>
        <v>0</v>
      </c>
      <c r="V121" s="1535">
        <f>INDEX('05基本'!AF:AF,MATCH(C121,'05基本'!C:C,0))</f>
        <v>0</v>
      </c>
      <c r="W121" s="1535">
        <f t="shared" si="128"/>
        <v>3588.3914343749998</v>
      </c>
      <c r="X121" s="1542"/>
      <c r="Y121" s="1540">
        <f>SUM(Z121:AA121)</f>
        <v>0</v>
      </c>
      <c r="Z121" s="1541"/>
      <c r="AA121" s="1542"/>
      <c r="AB121" s="1519"/>
      <c r="AC121" s="1543"/>
      <c r="AD121" s="1518">
        <f t="shared" si="120"/>
        <v>1</v>
      </c>
      <c r="AE121" s="1530">
        <f>INDEX('05基本'!P:P,MATCH(C121,'05基本'!C:C,0))-I121</f>
        <v>0</v>
      </c>
      <c r="AF121" s="1529">
        <f>SUMIF('05月其他部门提成'!C:C,'05月提成-武侯售后'!C121,'05月其他部门提成'!Q:Q)</f>
        <v>0</v>
      </c>
      <c r="AG121" s="1544">
        <f>SUMIF('05月车间提成'!C:C,'05月提成-武侯售后'!C121,'05月车间提成'!W:W)</f>
        <v>3588.3914343749998</v>
      </c>
      <c r="AH121" s="1530">
        <f>SUMIF('05月业务提成'!B:B,'05月提成-武侯售后'!C121,'05月业务提成'!BO:BO)</f>
        <v>0</v>
      </c>
      <c r="AI121" s="1530">
        <f t="shared" si="130"/>
        <v>3588.3914343749998</v>
      </c>
      <c r="AJ121" s="1530">
        <f t="shared" si="131"/>
        <v>0</v>
      </c>
      <c r="AK121"/>
    </row>
    <row r="122" spans="1:37" s="1518" customFormat="1" ht="14.1" customHeight="1">
      <c r="A122" s="1531">
        <f t="shared" si="132"/>
        <v>95</v>
      </c>
      <c r="B122" s="1661"/>
      <c r="C122" s="1507" t="s">
        <v>160</v>
      </c>
      <c r="D122" s="1533">
        <f>INDEX('05基本'!I:I,MATCH(C122,'05基本'!C:C,0))+INDEX('05基本'!J:J,MATCH(C122,'05基本'!C:C,0))</f>
        <v>80</v>
      </c>
      <c r="E122" s="1534">
        <f>INDEX('05基本'!AA:AA,MATCH(C122,'05基本'!C:C,0))</f>
        <v>1268.5899999999999</v>
      </c>
      <c r="F122" s="1534">
        <f>INDEX('05基本'!AB:AB,MATCH(C122,'05基本'!C:C,0))</f>
        <v>477.15</v>
      </c>
      <c r="G122" s="1534">
        <f>INDEX('05基本'!AC:AC,MATCH(C122,'05基本'!C:C,0))</f>
        <v>117</v>
      </c>
      <c r="H122" s="1534">
        <f>INDEX('05基本'!K:K,MATCH(C122,'05基本'!C:C,0))+INDEX('05基本'!L:L,MATCH(C122,'05基本'!C:C,0))</f>
        <v>0</v>
      </c>
      <c r="I122" s="1534">
        <f>INDEX('05基本'!P:P,MATCH(C122,'05基本'!C:C,0))</f>
        <v>980</v>
      </c>
      <c r="J122" s="1534">
        <f>INDEX('05基本'!M:M,MATCH(C122,'05基本'!C:C,0))</f>
        <v>0</v>
      </c>
      <c r="K122" s="1535">
        <f>INDEX('05月车间提成'!W:W,MATCH(C122,'05月车间提成'!C:C,0))</f>
        <v>6081.9422312500001</v>
      </c>
      <c r="L122" s="1533">
        <f>SUMIF(综合考核!A:A,'05月提成-武侯售后'!C122,综合考核!M:M)</f>
        <v>0</v>
      </c>
      <c r="M122" s="1535">
        <f t="shared" si="123"/>
        <v>6081.9422312500001</v>
      </c>
      <c r="N122" s="1535">
        <f>SUMIF(服装扣款!C:C,C122,服装扣款!N:N)</f>
        <v>0</v>
      </c>
      <c r="O122" s="1536">
        <f t="shared" si="124"/>
        <v>6081.9422312500001</v>
      </c>
      <c r="P122" s="1537">
        <f>SUMIF(超市公积金!C:C,'05月提成-武侯售后'!C122,超市公积金!I:I)</f>
        <v>0</v>
      </c>
      <c r="Q122" s="1535">
        <f>SUMIF(综合考核!A:A,'05月提成-武侯售后'!C122,综合考核!N:N)</f>
        <v>0</v>
      </c>
      <c r="R122" s="1535">
        <f t="shared" si="125"/>
        <v>7061.9422312500001</v>
      </c>
      <c r="S122" s="1535">
        <f t="shared" si="126"/>
        <v>44.04</v>
      </c>
      <c r="T122" s="1538"/>
      <c r="U122" s="1535">
        <f t="shared" si="127"/>
        <v>44.04</v>
      </c>
      <c r="V122" s="1535">
        <f>INDEX('05基本'!AF:AF,MATCH(C122,'05基本'!C:C,0))</f>
        <v>0</v>
      </c>
      <c r="W122" s="1535">
        <f t="shared" si="128"/>
        <v>6037.9022312500001</v>
      </c>
      <c r="X122" s="1542"/>
      <c r="Y122" s="1540">
        <f>SUM(Z122:AA122)</f>
        <v>0</v>
      </c>
      <c r="Z122" s="1541"/>
      <c r="AA122" s="1542"/>
      <c r="AB122" s="1519"/>
      <c r="AC122" s="1543"/>
      <c r="AD122" s="1518">
        <f t="shared" si="120"/>
        <v>1</v>
      </c>
      <c r="AE122" s="1530">
        <f>INDEX('05基本'!P:P,MATCH(C122,'05基本'!C:C,0))-I122</f>
        <v>0</v>
      </c>
      <c r="AF122" s="1529">
        <f>SUMIF('05月其他部门提成'!C:C,'05月提成-武侯售后'!C122,'05月其他部门提成'!Q:Q)</f>
        <v>0</v>
      </c>
      <c r="AG122" s="1544">
        <f>SUMIF('05月车间提成'!C:C,'05月提成-武侯售后'!C122,'05月车间提成'!W:W)</f>
        <v>6081.9422312500001</v>
      </c>
      <c r="AH122" s="1530">
        <f>SUMIF('05月业务提成'!B:B,'05月提成-武侯售后'!C122,'05月业务提成'!BO:BO)</f>
        <v>0</v>
      </c>
      <c r="AI122" s="1530">
        <f t="shared" si="130"/>
        <v>6081.9422312500001</v>
      </c>
      <c r="AJ122" s="1530">
        <f t="shared" si="131"/>
        <v>0</v>
      </c>
      <c r="AK122"/>
    </row>
    <row r="123" spans="1:37" s="1518" customFormat="1" ht="14.1" customHeight="1">
      <c r="A123" s="1531"/>
      <c r="B123" s="1660"/>
      <c r="C123" s="1632" t="s">
        <v>179</v>
      </c>
      <c r="D123" s="1554">
        <f t="shared" ref="D123:G123" si="133">SUM(D112:D122)</f>
        <v>870</v>
      </c>
      <c r="E123" s="1554">
        <f t="shared" si="133"/>
        <v>13954.49</v>
      </c>
      <c r="F123" s="1554">
        <f t="shared" si="133"/>
        <v>5248.65</v>
      </c>
      <c r="G123" s="1554">
        <f t="shared" si="133"/>
        <v>1287</v>
      </c>
      <c r="H123" s="1554">
        <f t="shared" ref="H123:AA123" si="134">SUM(H112:H122)</f>
        <v>0</v>
      </c>
      <c r="I123" s="1554">
        <f t="shared" si="134"/>
        <v>10840</v>
      </c>
      <c r="J123" s="1554">
        <f t="shared" si="134"/>
        <v>0</v>
      </c>
      <c r="K123" s="1554">
        <f t="shared" si="134"/>
        <v>59320.454185000002</v>
      </c>
      <c r="L123" s="1554">
        <f t="shared" si="134"/>
        <v>0</v>
      </c>
      <c r="M123" s="1554">
        <f t="shared" si="134"/>
        <v>59320.454185000002</v>
      </c>
      <c r="N123" s="1554">
        <f t="shared" si="134"/>
        <v>0</v>
      </c>
      <c r="O123" s="1555">
        <f t="shared" si="134"/>
        <v>59320.454185000002</v>
      </c>
      <c r="P123" s="1556">
        <f t="shared" si="134"/>
        <v>0</v>
      </c>
      <c r="Q123" s="1554">
        <f t="shared" si="134"/>
        <v>0</v>
      </c>
      <c r="R123" s="1554">
        <f t="shared" si="134"/>
        <v>70160.454184999995</v>
      </c>
      <c r="S123" s="1554">
        <f t="shared" si="134"/>
        <v>377.62</v>
      </c>
      <c r="T123" s="1554">
        <f t="shared" si="134"/>
        <v>0</v>
      </c>
      <c r="U123" s="1554">
        <f t="shared" si="134"/>
        <v>377.62</v>
      </c>
      <c r="V123" s="1554">
        <f t="shared" si="134"/>
        <v>0</v>
      </c>
      <c r="W123" s="1554">
        <f t="shared" si="134"/>
        <v>58942.834185</v>
      </c>
      <c r="X123" s="1568">
        <f t="shared" si="134"/>
        <v>0</v>
      </c>
      <c r="Y123" s="1556">
        <f t="shared" si="134"/>
        <v>4233.526605</v>
      </c>
      <c r="Z123" s="1554">
        <f t="shared" si="134"/>
        <v>4233.526605</v>
      </c>
      <c r="AA123" s="1568">
        <f t="shared" si="134"/>
        <v>0</v>
      </c>
      <c r="AB123" s="1546"/>
      <c r="AC123" s="1543"/>
      <c r="AD123" s="1518">
        <f t="shared" si="120"/>
        <v>1</v>
      </c>
      <c r="AE123" s="1530" t="e">
        <f>INDEX('05基本'!P:P,MATCH(C123,'05基本'!C:C,0))-I123</f>
        <v>#N/A</v>
      </c>
      <c r="AF123" s="1558"/>
      <c r="AG123" s="1559"/>
      <c r="AH123" s="1560"/>
      <c r="AI123" s="1560"/>
      <c r="AJ123" s="1560"/>
      <c r="AK123" s="1530"/>
    </row>
    <row r="124" spans="1:37" s="1518" customFormat="1" ht="13.65" customHeight="1">
      <c r="A124" s="1531">
        <f>A122+1</f>
        <v>96</v>
      </c>
      <c r="B124" s="1661" t="s">
        <v>180</v>
      </c>
      <c r="C124" s="1507" t="s">
        <v>162</v>
      </c>
      <c r="D124" s="1533">
        <f>INDEX('05基本'!I:I,MATCH(C124,'05基本'!C:C,0))+INDEX('05基本'!J:J,MATCH(C124,'05基本'!C:C,0))</f>
        <v>70</v>
      </c>
      <c r="E124" s="1534">
        <f>INDEX('05基本'!AA:AA,MATCH(C124,'05基本'!C:C,0))</f>
        <v>1268.5899999999999</v>
      </c>
      <c r="F124" s="1534">
        <f>INDEX('05基本'!AB:AB,MATCH(C124,'05基本'!C:C,0))</f>
        <v>477.15</v>
      </c>
      <c r="G124" s="1534">
        <f>INDEX('05基本'!AC:AC,MATCH(C124,'05基本'!C:C,0))</f>
        <v>117</v>
      </c>
      <c r="H124" s="1534">
        <f>INDEX('05基本'!K:K,MATCH(C124,'05基本'!C:C,0))+INDEX('05基本'!L:L,MATCH(C124,'05基本'!C:C,0))</f>
        <v>0</v>
      </c>
      <c r="I124" s="1534">
        <f>INDEX('05基本'!P:P,MATCH(C124,'05基本'!C:C,0))</f>
        <v>1170</v>
      </c>
      <c r="J124" s="1534">
        <f>INDEX('05基本'!M:M,MATCH(C124,'05基本'!C:C,0))</f>
        <v>0</v>
      </c>
      <c r="K124" s="1535">
        <f>INDEX('05月车间提成'!W:W,MATCH(C124,'05月车间提成'!C:C,0))</f>
        <v>7545.2453195610096</v>
      </c>
      <c r="L124" s="1533">
        <f>SUMIF(综合考核!A:A,'05月提成-武侯售后'!C124,综合考核!M:M)</f>
        <v>0</v>
      </c>
      <c r="M124" s="1535">
        <f t="shared" ref="M124:M131" si="135">SUM(K124:L124)</f>
        <v>7545.2453195610096</v>
      </c>
      <c r="N124" s="1535">
        <f>SUMIF(服装扣款!C:C,C124,服装扣款!N:N)</f>
        <v>0</v>
      </c>
      <c r="O124" s="1536">
        <f t="shared" ref="O124:O131" si="136">M124-N124</f>
        <v>7545.2453195610096</v>
      </c>
      <c r="P124" s="1537">
        <f>SUMIF(超市公积金!C:C,'05月提成-武侯售后'!C124,超市公积金!I:I)</f>
        <v>0</v>
      </c>
      <c r="Q124" s="1535">
        <f>SUMIF(综合考核!A:A,'05月提成-武侯售后'!C124,综合考核!N:N)</f>
        <v>0</v>
      </c>
      <c r="R124" s="1535">
        <f t="shared" ref="R124:R131" si="137">M124+I124+Q124</f>
        <v>8715.2453195610105</v>
      </c>
      <c r="S124" s="1535">
        <f t="shared" ref="S124:S132" si="138">INDEX(AC:AC,MATCH(C124,AB:AB,0))</f>
        <v>3.63</v>
      </c>
      <c r="T124" s="1538"/>
      <c r="U124" s="1535">
        <f t="shared" ref="U124:U131" si="139">S124-T124</f>
        <v>3.63</v>
      </c>
      <c r="V124" s="1535">
        <f>INDEX('05基本'!AF:AF,MATCH(C124,'05基本'!C:C,0))</f>
        <v>0</v>
      </c>
      <c r="W124" s="1535">
        <f t="shared" ref="W124:W131" si="140">O124-P124-U124</f>
        <v>7541.6153195610104</v>
      </c>
      <c r="X124" s="1539"/>
      <c r="Y124" s="1621">
        <f>SUM(Z124:AA124)</f>
        <v>3524.0749999999998</v>
      </c>
      <c r="Z124" s="1541">
        <f>'05月车间提成'!F63*'05月车间提成'!G63*0.05</f>
        <v>3524.0749999999998</v>
      </c>
      <c r="AA124" s="1542"/>
      <c r="AB124" s="1519"/>
      <c r="AC124" s="1543"/>
      <c r="AD124" s="1518">
        <f t="shared" si="120"/>
        <v>1</v>
      </c>
      <c r="AE124" s="1530">
        <f>INDEX('05基本'!P:P,MATCH(C124,'05基本'!C:C,0))-I124</f>
        <v>0</v>
      </c>
      <c r="AF124" s="1529">
        <f>SUMIF('05月其他部门提成'!C:C,'05月提成-武侯售后'!C124,'05月其他部门提成'!Q:Q)</f>
        <v>0</v>
      </c>
      <c r="AG124" s="1544">
        <f>SUMIF('05月车间提成'!C:C,'05月提成-武侯售后'!C124,'05月车间提成'!W:W)</f>
        <v>7545.2453195610096</v>
      </c>
      <c r="AH124" s="1530">
        <f>SUMIF('05月业务提成'!B:B,'05月提成-武侯售后'!C124,'05月业务提成'!BO:BO)</f>
        <v>0</v>
      </c>
      <c r="AI124" s="1530">
        <f t="shared" ref="AI124:AI131" si="141">AF124+AG124+AH124</f>
        <v>7545.2453195610096</v>
      </c>
      <c r="AJ124" s="1530">
        <f t="shared" ref="AJ124:AJ131" si="142">AI124-K124</f>
        <v>0</v>
      </c>
      <c r="AK124"/>
    </row>
    <row r="125" spans="1:37" s="1518" customFormat="1" ht="14.1" customHeight="1">
      <c r="A125" s="1531">
        <f>A124+1</f>
        <v>97</v>
      </c>
      <c r="B125" s="1661"/>
      <c r="C125" s="1507" t="s">
        <v>163</v>
      </c>
      <c r="D125" s="1533">
        <f>INDEX('05基本'!I:I,MATCH(C125,'05基本'!C:C,0))+INDEX('05基本'!J:J,MATCH(C125,'05基本'!C:C,0))</f>
        <v>70</v>
      </c>
      <c r="E125" s="1534">
        <f>INDEX('05基本'!AA:AA,MATCH(C125,'05基本'!C:C,0))</f>
        <v>1268.5899999999999</v>
      </c>
      <c r="F125" s="1534">
        <f>INDEX('05基本'!AB:AB,MATCH(C125,'05基本'!C:C,0))</f>
        <v>477.15</v>
      </c>
      <c r="G125" s="1534">
        <f>INDEX('05基本'!AC:AC,MATCH(C125,'05基本'!C:C,0))</f>
        <v>117</v>
      </c>
      <c r="H125" s="1534">
        <f>INDEX('05基本'!K:K,MATCH(C125,'05基本'!C:C,0))+INDEX('05基本'!L:L,MATCH(C125,'05基本'!C:C,0))</f>
        <v>0</v>
      </c>
      <c r="I125" s="1534">
        <f>INDEX('05基本'!P:P,MATCH(C125,'05基本'!C:C,0))</f>
        <v>970</v>
      </c>
      <c r="J125" s="1534">
        <f>INDEX('05基本'!M:M,MATCH(C125,'05基本'!C:C,0))</f>
        <v>0</v>
      </c>
      <c r="K125" s="1535">
        <f>INDEX('05月车间提成'!W:W,MATCH(C125,'05月车间提成'!C:C,0))</f>
        <v>6275.5536152356399</v>
      </c>
      <c r="L125" s="1533">
        <f>SUMIF(综合考核!A:A,'05月提成-武侯售后'!C125,综合考核!M:M)</f>
        <v>0</v>
      </c>
      <c r="M125" s="1535">
        <f t="shared" si="135"/>
        <v>6275.5536152356399</v>
      </c>
      <c r="N125" s="1535">
        <f>SUMIF(服装扣款!C:C,C125,服装扣款!N:N)</f>
        <v>0</v>
      </c>
      <c r="O125" s="1536">
        <f t="shared" si="136"/>
        <v>6275.5536152356399</v>
      </c>
      <c r="P125" s="1537">
        <f>SUMIF(超市公积金!C:C,'05月提成-武侯售后'!C125,超市公积金!I:I)</f>
        <v>0</v>
      </c>
      <c r="Q125" s="1535">
        <f>SUMIF(综合考核!A:A,'05月提成-武侯售后'!C125,综合考核!N:N)</f>
        <v>0</v>
      </c>
      <c r="R125" s="1535">
        <f t="shared" si="137"/>
        <v>7245.5536152356399</v>
      </c>
      <c r="S125" s="1535">
        <f t="shared" si="138"/>
        <v>49.54</v>
      </c>
      <c r="T125" s="1538"/>
      <c r="U125" s="1535">
        <f t="shared" si="139"/>
        <v>49.54</v>
      </c>
      <c r="V125" s="1535">
        <f>INDEX('05基本'!AF:AF,MATCH(C125,'05基本'!C:C,0))</f>
        <v>0</v>
      </c>
      <c r="W125" s="1535">
        <f t="shared" si="140"/>
        <v>6226.0136152356399</v>
      </c>
      <c r="X125" s="1539"/>
      <c r="Y125" s="1621"/>
      <c r="Z125" s="1541"/>
      <c r="AA125" s="1542"/>
      <c r="AB125" s="1546"/>
      <c r="AC125" s="1543"/>
      <c r="AD125" s="1518">
        <f t="shared" si="120"/>
        <v>1</v>
      </c>
      <c r="AE125" s="1530">
        <f>INDEX('05基本'!P:P,MATCH(C125,'05基本'!C:C,0))-I125</f>
        <v>0</v>
      </c>
      <c r="AF125" s="1529">
        <f>SUMIF('05月其他部门提成'!C:C,'05月提成-武侯售后'!C125,'05月其他部门提成'!Q:Q)</f>
        <v>0</v>
      </c>
      <c r="AG125" s="1544">
        <f>SUMIF('05月车间提成'!C:C,'05月提成-武侯售后'!C125,'05月车间提成'!W:W)</f>
        <v>6275.5536152356399</v>
      </c>
      <c r="AH125" s="1530">
        <f>SUMIF('05月业务提成'!B:B,'05月提成-武侯售后'!C125,'05月业务提成'!BO:BO)</f>
        <v>0</v>
      </c>
      <c r="AI125" s="1530">
        <f t="shared" si="141"/>
        <v>6275.5536152356399</v>
      </c>
      <c r="AJ125" s="1530">
        <f t="shared" si="142"/>
        <v>0</v>
      </c>
      <c r="AK125"/>
    </row>
    <row r="126" spans="1:37" s="1518" customFormat="1" ht="14.1" customHeight="1">
      <c r="A126" s="1531">
        <f t="shared" ref="A126:A132" si="143">A125+1</f>
        <v>98</v>
      </c>
      <c r="B126" s="1661"/>
      <c r="C126" s="1507" t="s">
        <v>165</v>
      </c>
      <c r="D126" s="1533">
        <f>INDEX('05基本'!I:I,MATCH(C126,'05基本'!C:C,0))+INDEX('05基本'!J:J,MATCH(C126,'05基本'!C:C,0))</f>
        <v>70</v>
      </c>
      <c r="E126" s="1534">
        <f>INDEX('05基本'!AA:AA,MATCH(C126,'05基本'!C:C,0))</f>
        <v>1268.5899999999999</v>
      </c>
      <c r="F126" s="1534">
        <f>INDEX('05基本'!AB:AB,MATCH(C126,'05基本'!C:C,0))</f>
        <v>477.15</v>
      </c>
      <c r="G126" s="1534">
        <f>INDEX('05基本'!AC:AC,MATCH(C126,'05基本'!C:C,0))</f>
        <v>117</v>
      </c>
      <c r="H126" s="1534">
        <f>INDEX('05基本'!K:K,MATCH(C126,'05基本'!C:C,0))+INDEX('05基本'!L:L,MATCH(C126,'05基本'!C:C,0))</f>
        <v>0</v>
      </c>
      <c r="I126" s="1534">
        <f>INDEX('05基本'!P:P,MATCH(C126,'05基本'!C:C,0))</f>
        <v>970</v>
      </c>
      <c r="J126" s="1534">
        <f>INDEX('05基本'!M:M,MATCH(C126,'05基本'!C:C,0))</f>
        <v>0</v>
      </c>
      <c r="K126" s="1535">
        <f>INDEX('05月车间提成'!W:W,MATCH(C126,'05月车间提成'!C:C,0))</f>
        <v>6189.1011620400204</v>
      </c>
      <c r="L126" s="1533">
        <f>SUMIF(综合考核!A:A,'05月提成-武侯售后'!C126,综合考核!M:M)</f>
        <v>0</v>
      </c>
      <c r="M126" s="1535">
        <f t="shared" si="135"/>
        <v>6189.1011620400204</v>
      </c>
      <c r="N126" s="1535">
        <f>SUMIF(服装扣款!C:C,C126,服装扣款!N:N)</f>
        <v>0</v>
      </c>
      <c r="O126" s="1536">
        <f t="shared" si="136"/>
        <v>6189.1011620400204</v>
      </c>
      <c r="P126" s="1537">
        <f>SUMIF(超市公积金!C:C,'05月提成-武侯售后'!C126,超市公积金!I:I)</f>
        <v>0</v>
      </c>
      <c r="Q126" s="1535">
        <f>SUMIF(综合考核!A:A,'05月提成-武侯售后'!C126,综合考核!N:N)</f>
        <v>0</v>
      </c>
      <c r="R126" s="1535">
        <f t="shared" si="137"/>
        <v>7159.1011620400204</v>
      </c>
      <c r="S126" s="1535">
        <f t="shared" si="138"/>
        <v>46.95</v>
      </c>
      <c r="T126" s="1538"/>
      <c r="U126" s="1535">
        <f t="shared" si="139"/>
        <v>46.95</v>
      </c>
      <c r="V126" s="1535">
        <f>INDEX('05基本'!AF:AF,MATCH(C126,'05基本'!C:C,0))</f>
        <v>0</v>
      </c>
      <c r="W126" s="1535">
        <f t="shared" si="140"/>
        <v>6142.1511620400297</v>
      </c>
      <c r="X126" s="1539"/>
      <c r="Y126" s="1621"/>
      <c r="Z126" s="1541"/>
      <c r="AA126" s="1542"/>
      <c r="AB126" s="1519"/>
      <c r="AC126" s="1543"/>
      <c r="AD126" s="1518">
        <f t="shared" si="120"/>
        <v>1</v>
      </c>
      <c r="AE126" s="1530">
        <f>INDEX('05基本'!P:P,MATCH(C126,'05基本'!C:C,0))-I126</f>
        <v>0</v>
      </c>
      <c r="AF126" s="1529">
        <f>SUMIF('05月其他部门提成'!C:C,'05月提成-武侯售后'!C126,'05月其他部门提成'!Q:Q)</f>
        <v>0</v>
      </c>
      <c r="AG126" s="1544">
        <f>SUMIF('05月车间提成'!C:C,'05月提成-武侯售后'!C126,'05月车间提成'!W:W)</f>
        <v>6189.1011620400204</v>
      </c>
      <c r="AH126" s="1530">
        <f>SUMIF('05月业务提成'!B:B,'05月提成-武侯售后'!C126,'05月业务提成'!BO:BO)</f>
        <v>0</v>
      </c>
      <c r="AI126" s="1530">
        <f t="shared" si="141"/>
        <v>6189.1011620400204</v>
      </c>
      <c r="AJ126" s="1530">
        <f t="shared" si="142"/>
        <v>0</v>
      </c>
      <c r="AK126"/>
    </row>
    <row r="127" spans="1:37" s="1518" customFormat="1" ht="14.1" customHeight="1">
      <c r="A127" s="1531">
        <f t="shared" si="143"/>
        <v>99</v>
      </c>
      <c r="B127" s="1661"/>
      <c r="C127" s="1507" t="s">
        <v>167</v>
      </c>
      <c r="D127" s="1533">
        <f>INDEX('05基本'!I:I,MATCH(C127,'05基本'!C:C,0))+INDEX('05基本'!J:J,MATCH(C127,'05基本'!C:C,0))</f>
        <v>70</v>
      </c>
      <c r="E127" s="1534">
        <f>INDEX('05基本'!AA:AA,MATCH(C127,'05基本'!C:C,0))</f>
        <v>1268.5899999999999</v>
      </c>
      <c r="F127" s="1534">
        <f>INDEX('05基本'!AB:AB,MATCH(C127,'05基本'!C:C,0))</f>
        <v>477.15</v>
      </c>
      <c r="G127" s="1534">
        <f>INDEX('05基本'!AC:AC,MATCH(C127,'05基本'!C:C,0))</f>
        <v>117</v>
      </c>
      <c r="H127" s="1534">
        <f>INDEX('05基本'!K:K,MATCH(C127,'05基本'!C:C,0))+INDEX('05基本'!L:L,MATCH(C127,'05基本'!C:C,0))</f>
        <v>0</v>
      </c>
      <c r="I127" s="1534">
        <f>INDEX('05基本'!P:P,MATCH(C127,'05基本'!C:C,0))</f>
        <v>970</v>
      </c>
      <c r="J127" s="1534">
        <f>INDEX('05基本'!M:M,MATCH(C127,'05基本'!C:C,0))</f>
        <v>0</v>
      </c>
      <c r="K127" s="1535">
        <f>INDEX('05月车间提成'!W:W,MATCH(C127,'05月车间提成'!C:C,0))</f>
        <v>7053.6256939961304</v>
      </c>
      <c r="L127" s="1533">
        <f>SUMIF(综合考核!A:A,'05月提成-武侯售后'!C127,综合考核!M:M)</f>
        <v>0</v>
      </c>
      <c r="M127" s="1535">
        <f t="shared" si="135"/>
        <v>7053.6256939961304</v>
      </c>
      <c r="N127" s="1535">
        <f>SUMIF(服装扣款!C:C,C127,服装扣款!N:N)</f>
        <v>0</v>
      </c>
      <c r="O127" s="1536">
        <f t="shared" si="136"/>
        <v>7053.6256939961304</v>
      </c>
      <c r="P127" s="1537">
        <f>SUMIF(超市公积金!C:C,'05月提成-武侯售后'!C127,超市公积金!I:I)</f>
        <v>0</v>
      </c>
      <c r="Q127" s="1535">
        <f>SUMIF(综合考核!A:A,'05月提成-武侯售后'!C127,综合考核!N:N)</f>
        <v>0</v>
      </c>
      <c r="R127" s="1535">
        <f t="shared" si="137"/>
        <v>8023.6256939961304</v>
      </c>
      <c r="S127" s="1535">
        <f t="shared" si="138"/>
        <v>72.88</v>
      </c>
      <c r="T127" s="1538"/>
      <c r="U127" s="1535">
        <f t="shared" si="139"/>
        <v>72.88</v>
      </c>
      <c r="V127" s="1535">
        <f>INDEX('05基本'!AF:AF,MATCH(C127,'05基本'!C:C,0))</f>
        <v>0</v>
      </c>
      <c r="W127" s="1535">
        <f t="shared" si="140"/>
        <v>6980.7456939961303</v>
      </c>
      <c r="X127" s="1539"/>
      <c r="Y127" s="1621"/>
      <c r="Z127" s="1541"/>
      <c r="AA127" s="1542"/>
      <c r="AB127" s="1519"/>
      <c r="AC127" s="1543"/>
      <c r="AD127" s="1518">
        <f t="shared" si="120"/>
        <v>1</v>
      </c>
      <c r="AE127" s="1530">
        <f>INDEX('05基本'!P:P,MATCH(C127,'05基本'!C:C,0))-I127</f>
        <v>0</v>
      </c>
      <c r="AF127" s="1529">
        <f>SUMIF('05月其他部门提成'!C:C,'05月提成-武侯售后'!C127,'05月其他部门提成'!Q:Q)</f>
        <v>0</v>
      </c>
      <c r="AG127" s="1544">
        <f>SUMIF('05月车间提成'!C:C,'05月提成-武侯售后'!C127,'05月车间提成'!W:W)</f>
        <v>7053.6256939961304</v>
      </c>
      <c r="AH127" s="1530">
        <f>SUMIF('05月业务提成'!B:B,'05月提成-武侯售后'!C127,'05月业务提成'!BO:BO)</f>
        <v>0</v>
      </c>
      <c r="AI127" s="1530">
        <f t="shared" si="141"/>
        <v>7053.6256939961304</v>
      </c>
      <c r="AJ127" s="1530">
        <f t="shared" si="142"/>
        <v>0</v>
      </c>
      <c r="AK127"/>
    </row>
    <row r="128" spans="1:37" s="1518" customFormat="1" ht="14.1" customHeight="1">
      <c r="A128" s="1531">
        <f t="shared" si="143"/>
        <v>100</v>
      </c>
      <c r="B128" s="1661"/>
      <c r="C128" s="1507" t="s">
        <v>168</v>
      </c>
      <c r="D128" s="1533">
        <f>INDEX('05基本'!I:I,MATCH(C128,'05基本'!C:C,0))+INDEX('05基本'!J:J,MATCH(C128,'05基本'!C:C,0))</f>
        <v>60</v>
      </c>
      <c r="E128" s="1534">
        <f>INDEX('05基本'!AA:AA,MATCH(C128,'05基本'!C:C,0))</f>
        <v>1268.5899999999999</v>
      </c>
      <c r="F128" s="1534">
        <f>INDEX('05基本'!AB:AB,MATCH(C128,'05基本'!C:C,0))</f>
        <v>477.15</v>
      </c>
      <c r="G128" s="1534">
        <f>INDEX('05基本'!AC:AC,MATCH(C128,'05基本'!C:C,0))</f>
        <v>117</v>
      </c>
      <c r="H128" s="1534">
        <f>INDEX('05基本'!K:K,MATCH(C128,'05基本'!C:C,0))+INDEX('05基本'!L:L,MATCH(C128,'05基本'!C:C,0))</f>
        <v>0</v>
      </c>
      <c r="I128" s="1534">
        <f>INDEX('05基本'!P:P,MATCH(C128,'05基本'!C:C,0))</f>
        <v>960</v>
      </c>
      <c r="J128" s="1534">
        <f>INDEX('05基本'!M:M,MATCH(C128,'05基本'!C:C,0))</f>
        <v>0</v>
      </c>
      <c r="K128" s="1535">
        <f>INDEX('05月车间提成'!W:W,MATCH(C128,'05月车间提成'!C:C,0))</f>
        <v>6880.7207876049097</v>
      </c>
      <c r="L128" s="1533">
        <f>SUMIF(综合考核!A:A,'05月提成-武侯售后'!C128,综合考核!M:M)</f>
        <v>0</v>
      </c>
      <c r="M128" s="1535">
        <f t="shared" si="135"/>
        <v>6880.7207876049097</v>
      </c>
      <c r="N128" s="1535">
        <f>SUMIF(服装扣款!C:C,C128,服装扣款!N:N)</f>
        <v>0</v>
      </c>
      <c r="O128" s="1536">
        <f t="shared" si="136"/>
        <v>6880.7207876049097</v>
      </c>
      <c r="P128" s="1537">
        <f>SUMIF(超市公积金!C:C,'05月提成-武侯售后'!C128,超市公积金!I:I)</f>
        <v>0</v>
      </c>
      <c r="Q128" s="1535">
        <f>SUMIF(综合考核!A:A,'05月提成-武侯售后'!C128,综合考核!N:N)</f>
        <v>0</v>
      </c>
      <c r="R128" s="1535">
        <f t="shared" si="137"/>
        <v>7840.7207876049097</v>
      </c>
      <c r="S128" s="1535">
        <f t="shared" si="138"/>
        <v>7.39</v>
      </c>
      <c r="T128" s="1538"/>
      <c r="U128" s="1535">
        <f t="shared" si="139"/>
        <v>7.39</v>
      </c>
      <c r="V128" s="1535">
        <f>INDEX('05基本'!AF:AF,MATCH(C128,'05基本'!C:C,0))</f>
        <v>0</v>
      </c>
      <c r="W128" s="1535">
        <f t="shared" si="140"/>
        <v>6873.3307876049103</v>
      </c>
      <c r="X128" s="1539"/>
      <c r="Y128" s="1621"/>
      <c r="Z128" s="1541"/>
      <c r="AA128" s="1542"/>
      <c r="AB128" s="1519"/>
      <c r="AC128" s="1543"/>
      <c r="AD128" s="1518">
        <f t="shared" si="120"/>
        <v>1</v>
      </c>
      <c r="AE128" s="1530">
        <f>INDEX('05基本'!P:P,MATCH(C128,'05基本'!C:C,0))-I128</f>
        <v>0</v>
      </c>
      <c r="AF128" s="1529">
        <f>SUMIF('05月其他部门提成'!C:C,'05月提成-武侯售后'!C128,'05月其他部门提成'!Q:Q)</f>
        <v>0</v>
      </c>
      <c r="AG128" s="1544">
        <f>SUMIF('05月车间提成'!C:C,'05月提成-武侯售后'!C128,'05月车间提成'!W:W)</f>
        <v>6880.7207876049097</v>
      </c>
      <c r="AH128" s="1530">
        <f>SUMIF('05月业务提成'!B:B,'05月提成-武侯售后'!C128,'05月业务提成'!BO:BO)</f>
        <v>0</v>
      </c>
      <c r="AI128" s="1530">
        <f t="shared" si="141"/>
        <v>6880.7207876049097</v>
      </c>
      <c r="AJ128" s="1530">
        <f t="shared" si="142"/>
        <v>0</v>
      </c>
      <c r="AK128"/>
    </row>
    <row r="129" spans="1:37" s="1518" customFormat="1" ht="14.1" customHeight="1">
      <c r="A129" s="1531">
        <f t="shared" si="143"/>
        <v>101</v>
      </c>
      <c r="B129" s="1661"/>
      <c r="C129" s="1507" t="s">
        <v>170</v>
      </c>
      <c r="D129" s="1533">
        <f>INDEX('05基本'!I:I,MATCH(C129,'05基本'!C:C,0))+INDEX('05基本'!J:J,MATCH(C129,'05基本'!C:C,0))</f>
        <v>70</v>
      </c>
      <c r="E129" s="1534">
        <f>INDEX('05基本'!AA:AA,MATCH(C129,'05基本'!C:C,0))</f>
        <v>1268.5899999999999</v>
      </c>
      <c r="F129" s="1534">
        <f>INDEX('05基本'!AB:AB,MATCH(C129,'05基本'!C:C,0))</f>
        <v>477.15</v>
      </c>
      <c r="G129" s="1534">
        <f>INDEX('05基本'!AC:AC,MATCH(C129,'05基本'!C:C,0))</f>
        <v>117</v>
      </c>
      <c r="H129" s="1534">
        <f>INDEX('05基本'!K:K,MATCH(C129,'05基本'!C:C,0))+INDEX('05基本'!L:L,MATCH(C129,'05基本'!C:C,0))</f>
        <v>0</v>
      </c>
      <c r="I129" s="1534">
        <f>INDEX('05基本'!P:P,MATCH(C129,'05基本'!C:C,0))</f>
        <v>970</v>
      </c>
      <c r="J129" s="1534">
        <f>INDEX('05基本'!M:M,MATCH(C129,'05基本'!C:C,0))</f>
        <v>0</v>
      </c>
      <c r="K129" s="1535">
        <f>INDEX('05月车间提成'!W:W,MATCH(C129,'05月车间提成'!C:C,0))</f>
        <v>6534.9109748224701</v>
      </c>
      <c r="L129" s="1533">
        <f>SUMIF(综合考核!A:A,'05月提成-武侯售后'!C129,综合考核!M:M)</f>
        <v>0</v>
      </c>
      <c r="M129" s="1535">
        <f t="shared" si="135"/>
        <v>6534.9109748224701</v>
      </c>
      <c r="N129" s="1535">
        <f>SUMIF(服装扣款!C:C,C129,服装扣款!N:N)</f>
        <v>0</v>
      </c>
      <c r="O129" s="1536">
        <f t="shared" si="136"/>
        <v>6534.9109748224701</v>
      </c>
      <c r="P129" s="1537">
        <f>SUMIF(超市公积金!C:C,'05月提成-武侯售后'!C129,超市公积金!I:I)</f>
        <v>0</v>
      </c>
      <c r="Q129" s="1535">
        <f>SUMIF(综合考核!A:A,'05月提成-武侯售后'!C129,综合考核!N:N)</f>
        <v>0</v>
      </c>
      <c r="R129" s="1535">
        <f t="shared" si="137"/>
        <v>7504.9109748224701</v>
      </c>
      <c r="S129" s="1535">
        <f t="shared" si="138"/>
        <v>0</v>
      </c>
      <c r="T129" s="1538"/>
      <c r="U129" s="1535">
        <f t="shared" si="139"/>
        <v>0</v>
      </c>
      <c r="V129" s="1535">
        <f>INDEX('05基本'!AF:AF,MATCH(C129,'05基本'!C:C,0))</f>
        <v>0</v>
      </c>
      <c r="W129" s="1535">
        <f t="shared" si="140"/>
        <v>6534.9109748224701</v>
      </c>
      <c r="X129" s="1539"/>
      <c r="Y129" s="1621"/>
      <c r="Z129" s="1541"/>
      <c r="AA129" s="1542"/>
      <c r="AB129" s="1507"/>
      <c r="AC129" s="1543"/>
      <c r="AD129" s="1518">
        <f t="shared" si="120"/>
        <v>1</v>
      </c>
      <c r="AE129" s="1530">
        <f>INDEX('05基本'!P:P,MATCH(C129,'05基本'!C:C,0))-I129</f>
        <v>0</v>
      </c>
      <c r="AF129" s="1529">
        <f>SUMIF('05月其他部门提成'!C:C,'05月提成-武侯售后'!C129,'05月其他部门提成'!Q:Q)</f>
        <v>0</v>
      </c>
      <c r="AG129" s="1544">
        <f>SUMIF('05月车间提成'!C:C,'05月提成-武侯售后'!C129,'05月车间提成'!W:W)</f>
        <v>6534.9109748224701</v>
      </c>
      <c r="AH129" s="1530">
        <f>SUMIF('05月业务提成'!B:B,'05月提成-武侯售后'!C129,'05月业务提成'!BO:BO)</f>
        <v>0</v>
      </c>
      <c r="AI129" s="1530">
        <f t="shared" si="141"/>
        <v>6534.9109748224701</v>
      </c>
      <c r="AJ129" s="1530">
        <f t="shared" si="142"/>
        <v>0</v>
      </c>
      <c r="AK129"/>
    </row>
    <row r="130" spans="1:37" s="1518" customFormat="1" ht="14.1" customHeight="1">
      <c r="A130" s="1531">
        <f t="shared" si="143"/>
        <v>102</v>
      </c>
      <c r="B130" s="1661"/>
      <c r="C130" s="1507" t="s">
        <v>171</v>
      </c>
      <c r="D130" s="1533">
        <f>INDEX('05基本'!I:I,MATCH(C130,'05基本'!C:C,0))+INDEX('05基本'!J:J,MATCH(C130,'05基本'!C:C,0))</f>
        <v>50</v>
      </c>
      <c r="E130" s="1534">
        <f>INDEX('05基本'!AA:AA,MATCH(C130,'05基本'!C:C,0))</f>
        <v>1268.5899999999999</v>
      </c>
      <c r="F130" s="1534">
        <f>INDEX('05基本'!AB:AB,MATCH(C130,'05基本'!C:C,0))</f>
        <v>477.15</v>
      </c>
      <c r="G130" s="1534">
        <f>INDEX('05基本'!AC:AC,MATCH(C130,'05基本'!C:C,0))</f>
        <v>117</v>
      </c>
      <c r="H130" s="1534">
        <f>INDEX('05基本'!K:K,MATCH(C130,'05基本'!C:C,0))+INDEX('05基本'!L:L,MATCH(C130,'05基本'!C:C,0))</f>
        <v>0</v>
      </c>
      <c r="I130" s="1534">
        <f>INDEX('05基本'!P:P,MATCH(C130,'05基本'!C:C,0))</f>
        <v>950</v>
      </c>
      <c r="J130" s="1534">
        <f>INDEX('05基本'!M:M,MATCH(C130,'05基本'!C:C,0))</f>
        <v>0</v>
      </c>
      <c r="K130" s="1535">
        <f>INDEX('05月车间提成'!W:W,MATCH(C130,'05月车间提成'!C:C,0))</f>
        <v>6102.6487088444201</v>
      </c>
      <c r="L130" s="1533">
        <f>SUMIF(综合考核!A:A,'05月提成-武侯售后'!C130,综合考核!M:M)</f>
        <v>0</v>
      </c>
      <c r="M130" s="1535">
        <f t="shared" si="135"/>
        <v>6102.6487088444201</v>
      </c>
      <c r="N130" s="1535">
        <f>SUMIF(服装扣款!C:C,C130,服装扣款!N:N)</f>
        <v>0</v>
      </c>
      <c r="O130" s="1536">
        <f t="shared" si="136"/>
        <v>6102.6487088444201</v>
      </c>
      <c r="P130" s="1537">
        <f>SUMIF(超市公积金!C:C,'05月提成-武侯售后'!C130,超市公积金!I:I)</f>
        <v>0</v>
      </c>
      <c r="Q130" s="1535">
        <f>SUMIF(综合考核!A:A,'05月提成-武侯售后'!C130,综合考核!N:N)</f>
        <v>0</v>
      </c>
      <c r="R130" s="1535">
        <f t="shared" si="137"/>
        <v>7052.6487088444201</v>
      </c>
      <c r="S130" s="1535">
        <f t="shared" si="138"/>
        <v>43.75</v>
      </c>
      <c r="T130" s="1538"/>
      <c r="U130" s="1535">
        <f t="shared" si="139"/>
        <v>43.75</v>
      </c>
      <c r="V130" s="1535">
        <f>INDEX('05基本'!AF:AF,MATCH(C130,'05基本'!C:C,0))</f>
        <v>0</v>
      </c>
      <c r="W130" s="1535">
        <f t="shared" si="140"/>
        <v>6058.8987088444201</v>
      </c>
      <c r="X130" s="1539"/>
      <c r="Y130" s="1621"/>
      <c r="Z130" s="1541"/>
      <c r="AA130" s="1542"/>
      <c r="AB130" s="1519"/>
      <c r="AC130" s="1543"/>
      <c r="AD130" s="1518">
        <f t="shared" si="120"/>
        <v>1</v>
      </c>
      <c r="AE130" s="1530">
        <f>INDEX('05基本'!P:P,MATCH(C130,'05基本'!C:C,0))-I130</f>
        <v>0</v>
      </c>
      <c r="AF130" s="1529">
        <f>SUMIF('05月其他部门提成'!C:C,'05月提成-武侯售后'!C130,'05月其他部门提成'!Q:Q)</f>
        <v>0</v>
      </c>
      <c r="AG130" s="1544">
        <f>SUMIF('05月车间提成'!C:C,'05月提成-武侯售后'!C130,'05月车间提成'!W:W)</f>
        <v>6102.6487088444201</v>
      </c>
      <c r="AH130" s="1530">
        <f>SUMIF('05月业务提成'!B:B,'05月提成-武侯售后'!C130,'05月业务提成'!BO:BO)</f>
        <v>0</v>
      </c>
      <c r="AI130" s="1530">
        <f t="shared" si="141"/>
        <v>6102.6487088444201</v>
      </c>
      <c r="AJ130" s="1530">
        <f t="shared" si="142"/>
        <v>0</v>
      </c>
      <c r="AK130"/>
    </row>
    <row r="131" spans="1:37" s="1518" customFormat="1" ht="14.1" customHeight="1">
      <c r="A131" s="1531">
        <f t="shared" si="143"/>
        <v>103</v>
      </c>
      <c r="B131" s="1661"/>
      <c r="C131" s="1507" t="s">
        <v>173</v>
      </c>
      <c r="D131" s="1533">
        <f>INDEX('05基本'!I:I,MATCH(C131,'05基本'!C:C,0))+INDEX('05基本'!J:J,MATCH(C131,'05基本'!C:C,0))</f>
        <v>70</v>
      </c>
      <c r="E131" s="1534">
        <f>INDEX('05基本'!AA:AA,MATCH(C131,'05基本'!C:C,0))</f>
        <v>1268.5899999999999</v>
      </c>
      <c r="F131" s="1534">
        <f>INDEX('05基本'!AB:AB,MATCH(C131,'05基本'!C:C,0))</f>
        <v>477.15</v>
      </c>
      <c r="G131" s="1534">
        <f>INDEX('05基本'!AC:AC,MATCH(C131,'05基本'!C:C,0))</f>
        <v>117</v>
      </c>
      <c r="H131" s="1534">
        <f>INDEX('05基本'!K:K,MATCH(C131,'05基本'!C:C,0))+INDEX('05基本'!L:L,MATCH(C131,'05基本'!C:C,0))</f>
        <v>0</v>
      </c>
      <c r="I131" s="1534">
        <f>INDEX('05基本'!P:P,MATCH(C131,'05基本'!C:C,0))</f>
        <v>970</v>
      </c>
      <c r="J131" s="1534">
        <f>INDEX('05基本'!M:M,MATCH(C131,'05基本'!C:C,0))</f>
        <v>0</v>
      </c>
      <c r="K131" s="1535">
        <f>INDEX('05月车间提成'!W:W,MATCH(C131,'05月车间提成'!C:C,0))</f>
        <v>6232.3273886378302</v>
      </c>
      <c r="L131" s="1533">
        <f>SUMIF(综合考核!A:A,'05月提成-武侯售后'!C131,综合考核!M:M)</f>
        <v>0</v>
      </c>
      <c r="M131" s="1535">
        <f t="shared" si="135"/>
        <v>6232.3273886378302</v>
      </c>
      <c r="N131" s="1535">
        <f>SUMIF(服装扣款!C:C,C131,服装扣款!N:N)</f>
        <v>0</v>
      </c>
      <c r="O131" s="1536">
        <f t="shared" si="136"/>
        <v>6232.3273886378302</v>
      </c>
      <c r="P131" s="1537">
        <f>SUMIF(超市公积金!C:C,'05月提成-武侯售后'!C131,超市公积金!I:I)</f>
        <v>0</v>
      </c>
      <c r="Q131" s="1535">
        <f>SUMIF(综合考核!A:A,'05月提成-武侯售后'!C131,综合考核!N:N)</f>
        <v>0</v>
      </c>
      <c r="R131" s="1535">
        <f t="shared" si="137"/>
        <v>7202.3273886378302</v>
      </c>
      <c r="S131" s="1535">
        <f t="shared" si="138"/>
        <v>0</v>
      </c>
      <c r="T131" s="1538"/>
      <c r="U131" s="1535">
        <f t="shared" si="139"/>
        <v>0</v>
      </c>
      <c r="V131" s="1535">
        <f>INDEX('05基本'!AF:AF,MATCH(C131,'05基本'!C:C,0))</f>
        <v>0</v>
      </c>
      <c r="W131" s="1535">
        <f t="shared" si="140"/>
        <v>6232.3273886378302</v>
      </c>
      <c r="X131" s="1539"/>
      <c r="Y131" s="1621"/>
      <c r="Z131" s="1541"/>
      <c r="AA131" s="1542"/>
      <c r="AB131" s="1519"/>
      <c r="AC131" s="1543"/>
      <c r="AD131" s="1518">
        <f t="shared" si="120"/>
        <v>1</v>
      </c>
      <c r="AE131" s="1530">
        <f>INDEX('05基本'!P:P,MATCH(C131,'05基本'!C:C,0))-I131</f>
        <v>0</v>
      </c>
      <c r="AF131" s="1529">
        <f>SUMIF('05月其他部门提成'!C:C,'05月提成-武侯售后'!C131,'05月其他部门提成'!Q:Q)</f>
        <v>0</v>
      </c>
      <c r="AG131" s="1544">
        <f>SUMIF('05月车间提成'!C:C,'05月提成-武侯售后'!C131,'05月车间提成'!W:W)</f>
        <v>6232.3273886378302</v>
      </c>
      <c r="AH131" s="1530">
        <f>SUMIF('05月业务提成'!B:B,'05月提成-武侯售后'!C131,'05月业务提成'!BO:BO)</f>
        <v>0</v>
      </c>
      <c r="AI131" s="1530">
        <f t="shared" si="141"/>
        <v>6232.3273886378302</v>
      </c>
      <c r="AJ131" s="1530">
        <f t="shared" si="142"/>
        <v>0</v>
      </c>
      <c r="AK131"/>
    </row>
    <row r="132" spans="1:37" s="1518" customFormat="1" ht="14.1" customHeight="1">
      <c r="A132" s="1531">
        <f t="shared" si="143"/>
        <v>104</v>
      </c>
      <c r="B132" s="1661"/>
      <c r="C132" s="1507" t="s">
        <v>175</v>
      </c>
      <c r="D132" s="1533">
        <f>INDEX('05基本'!I:I,MATCH(C132,'05基本'!C:C,0))+INDEX('05基本'!J:J,MATCH(C132,'05基本'!C:C,0))</f>
        <v>70</v>
      </c>
      <c r="E132" s="1534">
        <f>INDEX('05基本'!AA:AA,MATCH(C132,'05基本'!C:C,0))</f>
        <v>1268.5899999999999</v>
      </c>
      <c r="F132" s="1534">
        <f>INDEX('05基本'!AB:AB,MATCH(C132,'05基本'!C:C,0))</f>
        <v>477.15</v>
      </c>
      <c r="G132" s="1534">
        <f>INDEX('05基本'!AC:AC,MATCH(C132,'05基本'!C:C,0))</f>
        <v>117</v>
      </c>
      <c r="H132" s="1534">
        <f>INDEX('05基本'!K:K,MATCH(C132,'05基本'!C:C,0))+INDEX('05基本'!L:L,MATCH(C132,'05基本'!C:C,0))</f>
        <v>0</v>
      </c>
      <c r="I132" s="1534">
        <f>INDEX('05基本'!P:P,MATCH(C132,'05基本'!C:C,0))</f>
        <v>970</v>
      </c>
      <c r="J132" s="1534">
        <f>INDEX('05基本'!M:M,MATCH(C132,'05基本'!C:C,0))</f>
        <v>0</v>
      </c>
      <c r="K132" s="1535">
        <f>INDEX('05月车间提成'!W:W,MATCH(C132,'05月车间提成'!C:C,0))</f>
        <v>5843.2913492575899</v>
      </c>
      <c r="L132" s="1533">
        <f>SUMIF(综合考核!A:A,'05月提成-武侯售后'!C132,综合考核!M:M)</f>
        <v>0</v>
      </c>
      <c r="M132" s="1535">
        <f t="shared" ref="M132" si="144">SUM(K132:L132)</f>
        <v>5843.2913492575899</v>
      </c>
      <c r="N132" s="1535">
        <f>SUMIF(服装扣款!C:C,C132,服装扣款!N:N)</f>
        <v>0</v>
      </c>
      <c r="O132" s="1536">
        <f t="shared" ref="O132" si="145">M132-N132</f>
        <v>5843.2913492575899</v>
      </c>
      <c r="P132" s="1537">
        <f>SUMIF(超市公积金!C:C,'05月提成-武侯售后'!C132,超市公积金!I:I)</f>
        <v>0</v>
      </c>
      <c r="Q132" s="1535">
        <f>SUMIF(综合考核!A:A,'05月提成-武侯售后'!C132,综合考核!N:N)</f>
        <v>0</v>
      </c>
      <c r="R132" s="1535">
        <f t="shared" ref="R132" si="146">M132+I132+Q132</f>
        <v>6813.2913492575899</v>
      </c>
      <c r="S132" s="1535">
        <f t="shared" si="138"/>
        <v>36.57</v>
      </c>
      <c r="T132" s="1538"/>
      <c r="U132" s="1535">
        <f t="shared" ref="U132" si="147">S132-T132</f>
        <v>36.57</v>
      </c>
      <c r="V132" s="1535">
        <f>INDEX('05基本'!AF:AF,MATCH(C132,'05基本'!C:C,0))</f>
        <v>0</v>
      </c>
      <c r="W132" s="1535">
        <f t="shared" ref="W132" si="148">O132-P132-U132</f>
        <v>5806.7213492575902</v>
      </c>
      <c r="X132" s="1539"/>
      <c r="Y132" s="1621"/>
      <c r="Z132" s="1541"/>
      <c r="AA132" s="1542"/>
      <c r="AB132" s="1519"/>
      <c r="AC132" s="1543"/>
      <c r="AE132" s="1530"/>
      <c r="AF132" s="1529"/>
      <c r="AG132" s="1544"/>
      <c r="AH132" s="1530"/>
      <c r="AI132" s="1530"/>
      <c r="AJ132" s="1530"/>
      <c r="AK132"/>
    </row>
    <row r="133" spans="1:37" s="1518" customFormat="1" ht="14.1" customHeight="1">
      <c r="A133" s="1531"/>
      <c r="B133" s="1660"/>
      <c r="C133" s="1632" t="s">
        <v>180</v>
      </c>
      <c r="D133" s="1554">
        <f t="shared" ref="D133:G133" si="149">SUM(D124:D132)</f>
        <v>600</v>
      </c>
      <c r="E133" s="1554">
        <f t="shared" si="149"/>
        <v>11417.31</v>
      </c>
      <c r="F133" s="1554">
        <f t="shared" si="149"/>
        <v>4294.3500000000004</v>
      </c>
      <c r="G133" s="1554">
        <f t="shared" si="149"/>
        <v>1053</v>
      </c>
      <c r="H133" s="1554">
        <f t="shared" ref="H133:AA133" si="150">SUM(H124:H132)</f>
        <v>0</v>
      </c>
      <c r="I133" s="1554">
        <f t="shared" si="150"/>
        <v>8900</v>
      </c>
      <c r="J133" s="1554">
        <f t="shared" si="150"/>
        <v>0</v>
      </c>
      <c r="K133" s="1554">
        <f t="shared" si="150"/>
        <v>58657.425000000003</v>
      </c>
      <c r="L133" s="1554">
        <f t="shared" si="150"/>
        <v>0</v>
      </c>
      <c r="M133" s="1554">
        <f t="shared" si="150"/>
        <v>58657.425000000003</v>
      </c>
      <c r="N133" s="1554">
        <f t="shared" si="150"/>
        <v>0</v>
      </c>
      <c r="O133" s="1555">
        <f t="shared" si="150"/>
        <v>58657.425000000003</v>
      </c>
      <c r="P133" s="1556">
        <f t="shared" si="150"/>
        <v>0</v>
      </c>
      <c r="Q133" s="1554">
        <f t="shared" si="150"/>
        <v>0</v>
      </c>
      <c r="R133" s="1554">
        <f t="shared" si="150"/>
        <v>67557.425000000003</v>
      </c>
      <c r="S133" s="1554">
        <f t="shared" si="150"/>
        <v>260.70999999999998</v>
      </c>
      <c r="T133" s="1554">
        <f t="shared" si="150"/>
        <v>0</v>
      </c>
      <c r="U133" s="1554">
        <f t="shared" si="150"/>
        <v>260.70999999999998</v>
      </c>
      <c r="V133" s="1554">
        <f t="shared" si="150"/>
        <v>0</v>
      </c>
      <c r="W133" s="1554">
        <f t="shared" si="150"/>
        <v>58396.714999999997</v>
      </c>
      <c r="X133" s="1568">
        <f t="shared" si="150"/>
        <v>0</v>
      </c>
      <c r="Y133" s="1556">
        <f t="shared" si="150"/>
        <v>3524.0749999999998</v>
      </c>
      <c r="Z133" s="1554">
        <f t="shared" si="150"/>
        <v>3524.0749999999998</v>
      </c>
      <c r="AA133" s="1568">
        <f t="shared" si="150"/>
        <v>0</v>
      </c>
      <c r="AB133" s="1519"/>
      <c r="AC133" s="1543"/>
      <c r="AD133" s="1518">
        <f t="shared" ref="AD133:AD139" si="151">COUNTIF(C:C,C133)</f>
        <v>1</v>
      </c>
      <c r="AE133" s="1530" t="e">
        <f>INDEX('05基本'!P:P,MATCH(C133,'05基本'!C:C,0))-I133</f>
        <v>#N/A</v>
      </c>
      <c r="AF133" s="1558"/>
      <c r="AG133" s="1559"/>
      <c r="AH133" s="1560"/>
      <c r="AI133" s="1560"/>
      <c r="AJ133" s="1560"/>
      <c r="AK133" s="1530"/>
    </row>
    <row r="134" spans="1:37" s="1518" customFormat="1" ht="14.1" customHeight="1">
      <c r="A134" s="1531">
        <f>A132+1</f>
        <v>105</v>
      </c>
      <c r="B134" s="1659" t="s">
        <v>181</v>
      </c>
      <c r="C134" s="1507" t="s">
        <v>176</v>
      </c>
      <c r="D134" s="1533">
        <f>INDEX('05基本'!I:I,MATCH(C134,'05基本'!C:C,0))+INDEX('05基本'!J:J,MATCH(C134,'05基本'!C:C,0))</f>
        <v>0</v>
      </c>
      <c r="E134" s="1534">
        <f>INDEX('05基本'!AA:AA,MATCH(C134,'05基本'!C:C,0))</f>
        <v>1268.5899999999999</v>
      </c>
      <c r="F134" s="1534">
        <f>INDEX('05基本'!AB:AB,MATCH(C134,'05基本'!C:C,0))</f>
        <v>477.15</v>
      </c>
      <c r="G134" s="1534">
        <f>INDEX('05基本'!AC:AC,MATCH(C134,'05基本'!C:C,0))</f>
        <v>117</v>
      </c>
      <c r="H134" s="1534">
        <f>INDEX('05基本'!K:K,MATCH(C134,'05基本'!C:C,0))+INDEX('05基本'!L:L,MATCH(C134,'05基本'!C:C,0))</f>
        <v>312</v>
      </c>
      <c r="I134" s="1534">
        <f>INDEX('05基本'!P:P,MATCH(C134,'05基本'!C:C,0))</f>
        <v>1612</v>
      </c>
      <c r="J134" s="1534">
        <f>INDEX('05基本'!M:M,MATCH(C134,'05基本'!C:C,0))</f>
        <v>100</v>
      </c>
      <c r="K134" s="1535">
        <f>INDEX('05月其他部门提成'!Q:Q,MATCH(C134,'05月其他部门提成'!C:C,0))</f>
        <v>2906.88</v>
      </c>
      <c r="L134" s="1533">
        <f>SUMIF(综合考核!A:A,'05月提成-武侯售后'!C134,综合考核!M:M)</f>
        <v>0</v>
      </c>
      <c r="M134" s="1535">
        <f>SUM(K134:L134)</f>
        <v>2906.88</v>
      </c>
      <c r="N134" s="1535">
        <f>SUMIF(服装扣款!C:C,C134,服装扣款!N:N)</f>
        <v>0</v>
      </c>
      <c r="O134" s="1536">
        <f>M134-N134</f>
        <v>2906.88</v>
      </c>
      <c r="P134" s="1537">
        <f>SUMIF(超市公积金!C:C,'05月提成-武侯售后'!C134,超市公积金!I:I)</f>
        <v>0</v>
      </c>
      <c r="Q134" s="1535">
        <f>SUMIF(综合考核!A:A,'05月提成-武侯售后'!C134,综合考核!N:N)</f>
        <v>0</v>
      </c>
      <c r="R134" s="1535">
        <f>M134+I134+Q134</f>
        <v>4518.88</v>
      </c>
      <c r="S134" s="1535">
        <f>INDEX(AC:AC,MATCH(C134,AB:AB,0))</f>
        <v>0</v>
      </c>
      <c r="T134" s="1538"/>
      <c r="U134" s="1535">
        <f>S134-T134</f>
        <v>0</v>
      </c>
      <c r="V134" s="1535">
        <f>INDEX('05基本'!AF:AF,MATCH(C134,'05基本'!C:C,0))</f>
        <v>0</v>
      </c>
      <c r="W134" s="1535">
        <f>O134-P134-U134</f>
        <v>2906.88</v>
      </c>
      <c r="X134" s="1539"/>
      <c r="Y134" s="1540">
        <f>SUM(Z134:AA134)</f>
        <v>83.34</v>
      </c>
      <c r="Z134" s="1541">
        <f>INDEX('05月其他部门提成'!S:S,MATCH(C134,'05月其他部门提成'!C:C,0))</f>
        <v>83.34</v>
      </c>
      <c r="AA134" s="1633"/>
      <c r="AB134" s="1519"/>
      <c r="AC134" s="1543"/>
      <c r="AD134" s="1518">
        <f t="shared" si="151"/>
        <v>1</v>
      </c>
      <c r="AE134" s="1530">
        <f>INDEX('05基本'!P:P,MATCH(C134,'05基本'!C:C,0))-I134</f>
        <v>0</v>
      </c>
      <c r="AF134" s="1529">
        <f>SUMIF('05月其他部门提成'!C:C,'05月提成-武侯售后'!C134,'05月其他部门提成'!Q:Q)</f>
        <v>2906.88</v>
      </c>
      <c r="AG134" s="1544">
        <f>SUMIF('05月车间提成'!C:C,'05月提成-武侯售后'!C134,'05月车间提成'!W:W)</f>
        <v>0</v>
      </c>
      <c r="AH134" s="1530">
        <f>SUMIF('05月业务提成'!B:B,'05月提成-武侯售后'!C134,'05月业务提成'!BO:BO)</f>
        <v>0</v>
      </c>
      <c r="AI134" s="1530">
        <f>AF134+AG134+AH134</f>
        <v>2906.88</v>
      </c>
      <c r="AJ134" s="1530">
        <f>AI134-K134</f>
        <v>0</v>
      </c>
      <c r="AK134"/>
    </row>
    <row r="135" spans="1:37" s="1518" customFormat="1" ht="14.1" customHeight="1">
      <c r="A135" s="1531">
        <f>A134+1</f>
        <v>106</v>
      </c>
      <c r="B135" s="1661"/>
      <c r="C135" s="1507" t="s">
        <v>177</v>
      </c>
      <c r="D135" s="1533">
        <f>INDEX('05基本'!I:I,MATCH(C135,'05基本'!C:C,0))+INDEX('05基本'!J:J,MATCH(C135,'05基本'!C:C,0))</f>
        <v>0</v>
      </c>
      <c r="E135" s="1534">
        <f>INDEX('05基本'!AA:AA,MATCH(C135,'05基本'!C:C,0))</f>
        <v>1268.5899999999999</v>
      </c>
      <c r="F135" s="1534">
        <f>INDEX('05基本'!AB:AB,MATCH(C135,'05基本'!C:C,0))</f>
        <v>477.15</v>
      </c>
      <c r="G135" s="1534">
        <f>INDEX('05基本'!AC:AC,MATCH(C135,'05基本'!C:C,0))</f>
        <v>117</v>
      </c>
      <c r="H135" s="1534">
        <f>INDEX('05基本'!K:K,MATCH(C135,'05基本'!C:C,0))+INDEX('05基本'!L:L,MATCH(C135,'05基本'!C:C,0))</f>
        <v>312</v>
      </c>
      <c r="I135" s="1534">
        <f>INDEX('05基本'!P:P,MATCH(C135,'05基本'!C:C,0))</f>
        <v>1562</v>
      </c>
      <c r="J135" s="1534">
        <f>INDEX('05基本'!M:M,MATCH(C135,'05基本'!C:C,0))</f>
        <v>50</v>
      </c>
      <c r="K135" s="1535">
        <f>INDEX('05月其他部门提成'!Q:Q,MATCH(C135,'05月其他部门提成'!C:C,0))</f>
        <v>3270.24</v>
      </c>
      <c r="L135" s="1533">
        <f>SUMIF(综合考核!A:A,'05月提成-武侯售后'!C135,综合考核!M:M)</f>
        <v>0</v>
      </c>
      <c r="M135" s="1535">
        <f>SUM(K135:L135)</f>
        <v>3270.24</v>
      </c>
      <c r="N135" s="1535">
        <f>SUMIF(服装扣款!C:C,C135,服装扣款!N:N)</f>
        <v>0</v>
      </c>
      <c r="O135" s="1536">
        <f>M135-N135</f>
        <v>3270.24</v>
      </c>
      <c r="P135" s="1537">
        <f>SUMIF(超市公积金!C:C,'05月提成-武侯售后'!C135,超市公积金!I:I)</f>
        <v>0</v>
      </c>
      <c r="Q135" s="1535">
        <f>SUMIF(综合考核!A:A,'05月提成-武侯售后'!C135,综合考核!N:N)</f>
        <v>0</v>
      </c>
      <c r="R135" s="1535">
        <f>M135+I135+Q135</f>
        <v>4832.24</v>
      </c>
      <c r="S135" s="1535">
        <f>INDEX(AC:AC,MATCH(C135,AB:AB,0))</f>
        <v>0</v>
      </c>
      <c r="T135" s="1538"/>
      <c r="U135" s="1535">
        <f>S135-T135</f>
        <v>0</v>
      </c>
      <c r="V135" s="1535">
        <f>INDEX('05基本'!AF:AF,MATCH(C135,'05基本'!C:C,0))</f>
        <v>0</v>
      </c>
      <c r="W135" s="1535">
        <f>O135-P135-U135</f>
        <v>3270.24</v>
      </c>
      <c r="X135" s="1539"/>
      <c r="Y135" s="1540">
        <f>SUM(Z135:AA135)</f>
        <v>83.34</v>
      </c>
      <c r="Z135" s="1541">
        <f>INDEX('05月其他部门提成'!S:S,MATCH(C135,'05月其他部门提成'!C:C,0))</f>
        <v>83.34</v>
      </c>
      <c r="AA135" s="1542"/>
      <c r="AB135" s="1519"/>
      <c r="AC135" s="1543"/>
      <c r="AD135" s="1518">
        <f t="shared" si="151"/>
        <v>1</v>
      </c>
      <c r="AE135" s="1530">
        <f>INDEX('05基本'!P:P,MATCH(C135,'05基本'!C:C,0))-I135</f>
        <v>0</v>
      </c>
      <c r="AF135" s="1529">
        <f>SUMIF('05月其他部门提成'!C:C,'05月提成-武侯售后'!C135,'05月其他部门提成'!Q:Q)</f>
        <v>3270.24</v>
      </c>
      <c r="AG135" s="1544">
        <f>SUMIF('05月车间提成'!C:C,'05月提成-武侯售后'!C135,'05月车间提成'!W:W)</f>
        <v>0</v>
      </c>
      <c r="AH135" s="1530">
        <f>SUMIF('05月业务提成'!B:B,'05月提成-武侯售后'!C135,'05月业务提成'!BO:BO)</f>
        <v>0</v>
      </c>
      <c r="AI135" s="1530">
        <f>AF135+AG135+AH135</f>
        <v>3270.24</v>
      </c>
      <c r="AJ135" s="1530">
        <f>AI135-K135</f>
        <v>0</v>
      </c>
      <c r="AK135"/>
    </row>
    <row r="136" spans="1:37" s="1518" customFormat="1" ht="14.1" customHeight="1">
      <c r="A136" s="1531">
        <f>A135+1</f>
        <v>107</v>
      </c>
      <c r="B136" s="1661"/>
      <c r="C136" s="1507" t="s">
        <v>178</v>
      </c>
      <c r="D136" s="1533">
        <f>INDEX('05基本'!I:I,MATCH(C136,'05基本'!C:C,0))+INDEX('05基本'!J:J,MATCH(C136,'05基本'!C:C,0))</f>
        <v>0</v>
      </c>
      <c r="E136" s="1534">
        <f>INDEX('05基本'!AA:AA,MATCH(C136,'05基本'!C:C,0))</f>
        <v>1268.5899999999999</v>
      </c>
      <c r="F136" s="1534">
        <f>INDEX('05基本'!AB:AB,MATCH(C136,'05基本'!C:C,0))</f>
        <v>477.15</v>
      </c>
      <c r="G136" s="1534">
        <f>INDEX('05基本'!AC:AC,MATCH(C136,'05基本'!C:C,0))</f>
        <v>117</v>
      </c>
      <c r="H136" s="1534">
        <f>INDEX('05基本'!K:K,MATCH(C136,'05基本'!C:C,0))+INDEX('05基本'!L:L,MATCH(C136,'05基本'!C:C,0))</f>
        <v>312</v>
      </c>
      <c r="I136" s="1534">
        <f>INDEX('05基本'!P:P,MATCH(C136,'05基本'!C:C,0))</f>
        <v>1562</v>
      </c>
      <c r="J136" s="1534">
        <f>INDEX('05基本'!M:M,MATCH(C136,'05基本'!C:C,0))</f>
        <v>50</v>
      </c>
      <c r="K136" s="1535">
        <f>INDEX('05月其他部门提成'!Q:Q,MATCH(C136,'05月其他部门提成'!C:C,0))</f>
        <v>2906.88</v>
      </c>
      <c r="L136" s="1533">
        <f>SUMIF(综合考核!A:A,'05月提成-武侯售后'!C136,综合考核!M:M)</f>
        <v>0</v>
      </c>
      <c r="M136" s="1535">
        <f>SUM(K136:L136)</f>
        <v>2906.88</v>
      </c>
      <c r="N136" s="1535">
        <f>SUMIF(服装扣款!C:C,C136,服装扣款!N:N)</f>
        <v>0</v>
      </c>
      <c r="O136" s="1536">
        <f>M136-N136</f>
        <v>2906.88</v>
      </c>
      <c r="P136" s="1537">
        <f>SUMIF(超市公积金!C:C,'05月提成-武侯售后'!C136,超市公积金!I:I)</f>
        <v>0</v>
      </c>
      <c r="Q136" s="1535">
        <f>SUMIF(综合考核!A:A,'05月提成-武侯售后'!C136,综合考核!N:N)</f>
        <v>0</v>
      </c>
      <c r="R136" s="1535">
        <f>M136+I136+Q136</f>
        <v>4468.88</v>
      </c>
      <c r="S136" s="1535">
        <f>INDEX(AC:AC,MATCH(C136,AB:AB,0))</f>
        <v>0</v>
      </c>
      <c r="T136" s="1538"/>
      <c r="U136" s="1535">
        <f>S136-T136</f>
        <v>0</v>
      </c>
      <c r="V136" s="1535">
        <f>INDEX('05基本'!AF:AF,MATCH(C136,'05基本'!C:C,0))</f>
        <v>0</v>
      </c>
      <c r="W136" s="1535">
        <f>O136-P136-U136</f>
        <v>2906.88</v>
      </c>
      <c r="X136" s="1539"/>
      <c r="Y136" s="1540">
        <f>SUM(Z136:AA136)</f>
        <v>83.34</v>
      </c>
      <c r="Z136" s="1541">
        <f>INDEX('05月其他部门提成'!S:S,MATCH(C136,'05月其他部门提成'!C:C,0))</f>
        <v>83.34</v>
      </c>
      <c r="AA136" s="1542"/>
      <c r="AB136" s="1519"/>
      <c r="AC136" s="1543"/>
      <c r="AD136" s="1518">
        <f t="shared" si="151"/>
        <v>1</v>
      </c>
      <c r="AE136" s="1530">
        <f>INDEX('05基本'!P:P,MATCH(C136,'05基本'!C:C,0))-I136</f>
        <v>0</v>
      </c>
      <c r="AF136" s="1529">
        <f>SUMIF('05月其他部门提成'!C:C,'05月提成-武侯售后'!C136,'05月其他部门提成'!Q:Q)</f>
        <v>2906.88</v>
      </c>
      <c r="AG136" s="1544">
        <f>SUMIF('05月车间提成'!C:C,'05月提成-武侯售后'!C136,'05月车间提成'!W:W)</f>
        <v>0</v>
      </c>
      <c r="AH136" s="1530">
        <f>SUMIF('05月业务提成'!B:B,'05月提成-武侯售后'!C136,'05月业务提成'!BO:BO)</f>
        <v>0</v>
      </c>
      <c r="AI136" s="1530">
        <f>AF136+AG136+AH136</f>
        <v>2906.88</v>
      </c>
      <c r="AJ136" s="1530">
        <f>AI136-K136</f>
        <v>0</v>
      </c>
      <c r="AK136"/>
    </row>
    <row r="137" spans="1:37" s="1518" customFormat="1" ht="14.1" customHeight="1">
      <c r="A137" s="1531"/>
      <c r="B137" s="1660"/>
      <c r="C137" s="1553" t="s">
        <v>40</v>
      </c>
      <c r="D137" s="1554">
        <f t="shared" ref="D137:G137" si="152">SUM(D134:D136)</f>
        <v>0</v>
      </c>
      <c r="E137" s="1554">
        <f t="shared" si="152"/>
        <v>3805.77</v>
      </c>
      <c r="F137" s="1554">
        <f t="shared" si="152"/>
        <v>1431.45</v>
      </c>
      <c r="G137" s="1554">
        <f t="shared" si="152"/>
        <v>351</v>
      </c>
      <c r="H137" s="1554">
        <f t="shared" ref="H137:AA137" si="153">SUM(H134:H136)</f>
        <v>936</v>
      </c>
      <c r="I137" s="1554">
        <f t="shared" si="153"/>
        <v>4736</v>
      </c>
      <c r="J137" s="1554">
        <f t="shared" si="153"/>
        <v>200</v>
      </c>
      <c r="K137" s="1554">
        <f t="shared" si="153"/>
        <v>9084</v>
      </c>
      <c r="L137" s="1554">
        <f t="shared" si="153"/>
        <v>0</v>
      </c>
      <c r="M137" s="1554">
        <f t="shared" si="153"/>
        <v>9084</v>
      </c>
      <c r="N137" s="1554">
        <f t="shared" si="153"/>
        <v>0</v>
      </c>
      <c r="O137" s="1555">
        <f t="shared" si="153"/>
        <v>9084</v>
      </c>
      <c r="P137" s="1556">
        <f t="shared" si="153"/>
        <v>0</v>
      </c>
      <c r="Q137" s="1554">
        <f t="shared" si="153"/>
        <v>0</v>
      </c>
      <c r="R137" s="1554">
        <f t="shared" si="153"/>
        <v>13820</v>
      </c>
      <c r="S137" s="1554">
        <f t="shared" si="153"/>
        <v>0</v>
      </c>
      <c r="T137" s="1554">
        <f t="shared" si="153"/>
        <v>0</v>
      </c>
      <c r="U137" s="1554">
        <f t="shared" si="153"/>
        <v>0</v>
      </c>
      <c r="V137" s="1554">
        <f t="shared" si="153"/>
        <v>0</v>
      </c>
      <c r="W137" s="1554">
        <f t="shared" si="153"/>
        <v>9084</v>
      </c>
      <c r="X137" s="1568">
        <f t="shared" si="153"/>
        <v>0</v>
      </c>
      <c r="Y137" s="1556">
        <f t="shared" si="153"/>
        <v>250.02</v>
      </c>
      <c r="Z137" s="1554">
        <f t="shared" si="153"/>
        <v>250.02</v>
      </c>
      <c r="AA137" s="1568">
        <f t="shared" si="153"/>
        <v>0</v>
      </c>
      <c r="AB137" s="1519"/>
      <c r="AC137" s="1543"/>
      <c r="AD137" s="1518">
        <f t="shared" si="151"/>
        <v>11</v>
      </c>
      <c r="AE137" s="1530" t="e">
        <f>INDEX('05基本'!P:P,MATCH(C137,'05基本'!C:C,0))-I137</f>
        <v>#N/A</v>
      </c>
      <c r="AF137" s="1558"/>
      <c r="AG137" s="1559"/>
      <c r="AH137" s="1560"/>
      <c r="AI137" s="1560"/>
      <c r="AJ137" s="1560"/>
      <c r="AK137" s="1530"/>
    </row>
    <row r="138" spans="1:37" s="1512" customFormat="1" ht="14.1" customHeight="1">
      <c r="A138" s="1634"/>
      <c r="B138" s="1635" t="s">
        <v>182</v>
      </c>
      <c r="C138" s="1636"/>
      <c r="D138" s="1637">
        <f t="shared" ref="D138:K138" si="154">D76+D79+D82+D87+D90+D93+D99+D133+D101+D107+D85+D137+D111+D123+D96+D105</f>
        <v>2120</v>
      </c>
      <c r="E138" s="1637">
        <f t="shared" si="154"/>
        <v>62277.91</v>
      </c>
      <c r="F138" s="1637">
        <f t="shared" si="154"/>
        <v>23380.35</v>
      </c>
      <c r="G138" s="1637">
        <f t="shared" si="154"/>
        <v>5850</v>
      </c>
      <c r="H138" s="1637">
        <f t="shared" si="154"/>
        <v>1136</v>
      </c>
      <c r="I138" s="1637">
        <f t="shared" si="154"/>
        <v>54831</v>
      </c>
      <c r="J138" s="1637">
        <f t="shared" si="154"/>
        <v>200</v>
      </c>
      <c r="K138" s="1637">
        <f t="shared" si="154"/>
        <v>311846.36483781802</v>
      </c>
      <c r="L138" s="1637">
        <f t="shared" ref="L138:Q138" si="155">L76+L79+L82+L87+L90+L93+L99+L133+L101+L107+L85+L137+L111+L123</f>
        <v>0</v>
      </c>
      <c r="M138" s="1637">
        <f>M76+M79+M82+M87+M90+M93+M99+M133+M101+M107+M85+M137+M111+M123+M96+M105</f>
        <v>311846.36483781802</v>
      </c>
      <c r="N138" s="1637">
        <f t="shared" si="155"/>
        <v>0</v>
      </c>
      <c r="O138" s="1637">
        <f>O76+O79+O82+O87+O90+O93+O99+O133+O101+O107+O85+O137+O111+O123+O96+O105</f>
        <v>311846.36483781802</v>
      </c>
      <c r="P138" s="1637">
        <f t="shared" si="155"/>
        <v>0</v>
      </c>
      <c r="Q138" s="1637">
        <f t="shared" si="155"/>
        <v>0</v>
      </c>
      <c r="R138" s="1637">
        <f t="shared" ref="R138:AA138" si="156">R76+R79+R82+R87+R90+R93+R99+R133+R101+R107+R85+R137+R111+R123+R96+R105</f>
        <v>366677.36483781802</v>
      </c>
      <c r="S138" s="1637">
        <f t="shared" si="156"/>
        <v>1960.7</v>
      </c>
      <c r="T138" s="1637">
        <f t="shared" si="156"/>
        <v>0</v>
      </c>
      <c r="U138" s="1637">
        <f t="shared" si="156"/>
        <v>1960.7</v>
      </c>
      <c r="V138" s="1637">
        <f t="shared" si="156"/>
        <v>0</v>
      </c>
      <c r="W138" s="1637">
        <f t="shared" si="156"/>
        <v>309885.66483781801</v>
      </c>
      <c r="X138" s="1637">
        <f t="shared" si="156"/>
        <v>0</v>
      </c>
      <c r="Y138" s="1637">
        <f t="shared" si="156"/>
        <v>19732.854645021998</v>
      </c>
      <c r="Z138" s="1637">
        <f t="shared" si="156"/>
        <v>19108.785645021999</v>
      </c>
      <c r="AA138" s="1637">
        <f t="shared" si="156"/>
        <v>624.06900000000007</v>
      </c>
      <c r="AB138" s="1519"/>
      <c r="AC138" s="1543"/>
      <c r="AD138" s="1518">
        <f t="shared" si="151"/>
        <v>0</v>
      </c>
      <c r="AE138" s="1530" t="e">
        <f>INDEX('05基本'!P:P,MATCH(C138,'05基本'!C:C,0))-I138</f>
        <v>#N/A</v>
      </c>
      <c r="AF138" s="1558"/>
      <c r="AG138" s="1559"/>
      <c r="AH138" s="1560"/>
      <c r="AI138" s="1560"/>
      <c r="AJ138" s="1530"/>
      <c r="AK138" s="1530"/>
    </row>
    <row r="139" spans="1:37" s="1512" customFormat="1" ht="14.1" customHeight="1">
      <c r="A139" s="1634">
        <f>A136</f>
        <v>107</v>
      </c>
      <c r="B139" s="1635" t="s">
        <v>183</v>
      </c>
      <c r="C139" s="1636"/>
      <c r="D139" s="1637">
        <f>D138+D70</f>
        <v>2568</v>
      </c>
      <c r="E139" s="1637">
        <f t="shared" ref="E139:G139" si="157">E138+E70</f>
        <v>124095.05</v>
      </c>
      <c r="F139" s="1637">
        <f t="shared" si="157"/>
        <v>46662.95</v>
      </c>
      <c r="G139" s="1637">
        <f t="shared" si="157"/>
        <v>11466</v>
      </c>
      <c r="H139" s="1637">
        <f t="shared" ref="H139:AA139" si="158">H138+H70</f>
        <v>3960</v>
      </c>
      <c r="I139" s="1637">
        <f t="shared" si="158"/>
        <v>129663</v>
      </c>
      <c r="J139" s="1637">
        <f t="shared" si="158"/>
        <v>2200</v>
      </c>
      <c r="K139" s="1637">
        <f t="shared" si="158"/>
        <v>675021.21713179001</v>
      </c>
      <c r="L139" s="1637">
        <f t="shared" si="158"/>
        <v>1590</v>
      </c>
      <c r="M139" s="1637">
        <f t="shared" si="158"/>
        <v>676611.21713179001</v>
      </c>
      <c r="N139" s="1637">
        <f t="shared" si="158"/>
        <v>0</v>
      </c>
      <c r="O139" s="1637">
        <f t="shared" si="158"/>
        <v>676611.21713179001</v>
      </c>
      <c r="P139" s="1637">
        <f t="shared" si="158"/>
        <v>0</v>
      </c>
      <c r="Q139" s="1637">
        <f t="shared" si="158"/>
        <v>300</v>
      </c>
      <c r="R139" s="1637">
        <f t="shared" si="158"/>
        <v>806574.21713179001</v>
      </c>
      <c r="S139" s="1637">
        <f t="shared" si="158"/>
        <v>12058.63</v>
      </c>
      <c r="T139" s="1637">
        <f t="shared" si="158"/>
        <v>0</v>
      </c>
      <c r="U139" s="1637">
        <f t="shared" si="158"/>
        <v>12058.63</v>
      </c>
      <c r="V139" s="1637">
        <f t="shared" si="158"/>
        <v>0</v>
      </c>
      <c r="W139" s="1637">
        <f t="shared" si="158"/>
        <v>664552.58713179</v>
      </c>
      <c r="X139" s="1637">
        <f t="shared" si="158"/>
        <v>0</v>
      </c>
      <c r="Y139" s="1637">
        <f t="shared" si="158"/>
        <v>35910.131504918201</v>
      </c>
      <c r="Z139" s="1637">
        <f t="shared" si="158"/>
        <v>34915.009793825797</v>
      </c>
      <c r="AA139" s="1637">
        <f t="shared" si="158"/>
        <v>4677.8896285000001</v>
      </c>
      <c r="AB139" s="1519"/>
      <c r="AC139" s="1543"/>
      <c r="AD139" s="1518">
        <f t="shared" si="151"/>
        <v>0</v>
      </c>
      <c r="AE139" s="1530" t="e">
        <f>INDEX('05基本'!P:P,MATCH(C139,'05基本'!C:C,0))-I139</f>
        <v>#N/A</v>
      </c>
      <c r="AF139" s="1558"/>
      <c r="AG139" s="1559"/>
      <c r="AH139" s="1560"/>
      <c r="AI139" s="1560"/>
      <c r="AJ139" s="1530"/>
      <c r="AK139" s="1530"/>
    </row>
    <row r="140" spans="1:37" s="1513" customFormat="1" ht="33.75" customHeight="1">
      <c r="A140" s="1638" t="s">
        <v>184</v>
      </c>
      <c r="B140" s="1639" t="s">
        <v>185</v>
      </c>
      <c r="C140" s="1640"/>
      <c r="D140" s="1584"/>
      <c r="E140" s="1641">
        <f>'05基本'!AA113</f>
        <v>124095.05</v>
      </c>
      <c r="F140" s="1584">
        <f>'05基本'!AB113</f>
        <v>46662.95</v>
      </c>
      <c r="G140" s="1584">
        <f>'05基本'!AC113</f>
        <v>11466</v>
      </c>
      <c r="H140" s="1641"/>
      <c r="I140" s="1584">
        <f>'05基本'!P113</f>
        <v>130263</v>
      </c>
      <c r="J140" s="1584"/>
      <c r="K140" s="1584"/>
      <c r="L140" s="1584">
        <f>综合考核!M214-'05月提成-机场售后'!L54</f>
        <v>1590</v>
      </c>
      <c r="M140" s="1641" t="s">
        <v>186</v>
      </c>
      <c r="N140" s="1641"/>
      <c r="O140" s="1641"/>
      <c r="P140" s="1641">
        <f>服装扣款!R250+服装扣款!R257+服装扣款!R262</f>
        <v>0</v>
      </c>
      <c r="Q140" s="1641"/>
      <c r="R140" s="1641"/>
      <c r="S140" s="1587"/>
      <c r="T140" s="1587"/>
      <c r="U140" s="1587"/>
      <c r="V140" s="1587"/>
      <c r="W140" s="1642"/>
      <c r="X140" s="1642"/>
      <c r="Y140" s="1643"/>
      <c r="Z140" s="1642"/>
      <c r="AA140" s="1642"/>
      <c r="AC140" s="1543"/>
      <c r="AD140" s="1529"/>
      <c r="AE140" s="1530" t="e">
        <f>INDEX('05基本'!P:P,MATCH(C140,'05基本'!C:C,0))-I140</f>
        <v>#N/A</v>
      </c>
      <c r="AF140" s="1529"/>
      <c r="AG140" s="1544"/>
      <c r="AH140" s="1530"/>
      <c r="AI140" s="1530"/>
      <c r="AJ140" s="1530"/>
      <c r="AK140" s="1530"/>
    </row>
    <row r="141" spans="1:37" s="1513" customFormat="1">
      <c r="A141" s="1638"/>
      <c r="B141" s="1667" t="s">
        <v>187</v>
      </c>
      <c r="C141" s="1644"/>
      <c r="D141" s="1587"/>
      <c r="E141" s="1587">
        <f t="shared" ref="E141:G141" si="159">E139-E140</f>
        <v>0</v>
      </c>
      <c r="F141" s="1587">
        <f t="shared" si="159"/>
        <v>0</v>
      </c>
      <c r="G141" s="1587">
        <f t="shared" si="159"/>
        <v>0</v>
      </c>
      <c r="H141" s="1587"/>
      <c r="I141" s="1591">
        <f>I139-I140</f>
        <v>-600</v>
      </c>
      <c r="J141" s="1592"/>
      <c r="K141" s="1593"/>
      <c r="L141" s="1593">
        <f>L139-L140</f>
        <v>0</v>
      </c>
      <c r="M141" s="1641" t="s">
        <v>188</v>
      </c>
      <c r="N141" s="1641"/>
      <c r="O141" s="1641"/>
      <c r="P141" s="1641">
        <f>P139-P140</f>
        <v>0</v>
      </c>
      <c r="Q141" s="1641"/>
      <c r="R141" s="1641">
        <f>R139/A139</f>
        <v>7538.0767956241998</v>
      </c>
      <c r="S141" s="1587"/>
      <c r="T141" s="1587"/>
      <c r="U141" s="1587"/>
      <c r="V141" s="1587"/>
      <c r="W141" s="1642"/>
      <c r="X141" s="1642"/>
      <c r="Y141" s="1643"/>
      <c r="Z141" s="1642"/>
      <c r="AA141" s="1642"/>
      <c r="AB141" s="1589"/>
      <c r="AC141" s="1543"/>
      <c r="AD141" s="1529"/>
      <c r="AE141" s="1530" t="e">
        <f>INDEX('05基本'!P:P,MATCH(C141,'05基本'!C:C,0))-I141</f>
        <v>#N/A</v>
      </c>
      <c r="AF141" s="1529"/>
      <c r="AG141" s="1544"/>
      <c r="AH141" s="1530"/>
      <c r="AI141" s="1530"/>
      <c r="AJ141" s="1530"/>
      <c r="AK141" s="1530"/>
    </row>
    <row r="142" spans="1:37" s="1513" customFormat="1">
      <c r="A142" s="1645" t="s">
        <v>189</v>
      </c>
      <c r="B142" s="1667"/>
      <c r="C142" s="1644"/>
      <c r="D142" s="1584"/>
      <c r="E142" s="1584"/>
      <c r="F142" s="1596" t="s">
        <v>190</v>
      </c>
      <c r="G142" s="1596" t="s">
        <v>190</v>
      </c>
      <c r="H142" s="1584"/>
      <c r="I142" s="1584"/>
      <c r="J142" s="1584"/>
      <c r="K142" s="1641"/>
      <c r="L142" s="1584" t="s">
        <v>191</v>
      </c>
      <c r="M142" s="1597"/>
      <c r="N142" s="1597"/>
      <c r="O142" s="1641"/>
      <c r="P142" s="1641"/>
      <c r="Q142" s="1641"/>
      <c r="R142" s="1596" t="s">
        <v>192</v>
      </c>
      <c r="S142" s="1584"/>
      <c r="T142" s="1584"/>
      <c r="U142" s="1584"/>
      <c r="V142" s="1584" t="s">
        <v>193</v>
      </c>
      <c r="W142" s="1642"/>
      <c r="X142" s="1587"/>
      <c r="Y142" s="1598"/>
      <c r="Z142" s="1584"/>
      <c r="AA142" s="1584"/>
      <c r="AB142" s="1599"/>
      <c r="AC142" s="1543"/>
      <c r="AD142" s="1529"/>
      <c r="AE142" s="1530" t="e">
        <f>INDEX('05基本'!P:P,MATCH(C142,'05基本'!C:C,0))-I142</f>
        <v>#N/A</v>
      </c>
      <c r="AF142" s="1529"/>
      <c r="AG142" s="1544"/>
      <c r="AH142" s="1530"/>
      <c r="AI142" s="1530"/>
      <c r="AJ142" s="1530"/>
      <c r="AK142" s="1530"/>
    </row>
    <row r="143" spans="1:37" s="1514" customFormat="1" ht="28.5" customHeight="1">
      <c r="A143" s="1646"/>
      <c r="B143" s="1646"/>
      <c r="C143" s="1646"/>
      <c r="D143" s="1602"/>
      <c r="E143" s="1602"/>
      <c r="F143" s="1602"/>
      <c r="G143" s="1602"/>
      <c r="H143" s="1602"/>
      <c r="I143" s="1602"/>
      <c r="J143" s="1602"/>
      <c r="K143" s="1602"/>
      <c r="L143" s="1602"/>
      <c r="M143" s="1602"/>
      <c r="N143" s="1602"/>
      <c r="O143" s="1602"/>
      <c r="P143" s="1602"/>
      <c r="Q143" s="1602"/>
      <c r="R143" s="1602"/>
      <c r="S143" s="1602"/>
      <c r="T143" s="1602"/>
      <c r="U143" s="1602"/>
      <c r="V143" s="1602"/>
      <c r="W143" s="1603"/>
      <c r="X143" s="1604"/>
      <c r="Y143" s="1605"/>
      <c r="Z143" s="1604"/>
      <c r="AA143" s="1604"/>
      <c r="AB143" s="1606"/>
      <c r="AC143" s="1543"/>
      <c r="AD143" s="1529"/>
      <c r="AE143" s="1530" t="e">
        <f>INDEX('05基本'!P:P,MATCH(C143,'05基本'!C:C,0))-I143</f>
        <v>#N/A</v>
      </c>
      <c r="AF143" s="1529"/>
      <c r="AG143" s="1544"/>
      <c r="AH143" s="1530"/>
      <c r="AI143" s="1530"/>
      <c r="AJ143" s="1530"/>
      <c r="AK143" s="1530"/>
    </row>
    <row r="146" spans="11:11">
      <c r="K146" s="1647"/>
    </row>
    <row r="218" ht="24" customHeight="1"/>
  </sheetData>
  <autoFilter ref="A4:AO143" xr:uid="{00000000-0009-0000-0000-000000000000}"/>
  <mergeCells count="51">
    <mergeCell ref="W3:W4"/>
    <mergeCell ref="X3:X4"/>
    <mergeCell ref="Y3:Y4"/>
    <mergeCell ref="Z3:Z4"/>
    <mergeCell ref="AA3:AA4"/>
    <mergeCell ref="O3:O4"/>
    <mergeCell ref="P3:P4"/>
    <mergeCell ref="Q3:Q4"/>
    <mergeCell ref="R3:R4"/>
    <mergeCell ref="V3:V4"/>
    <mergeCell ref="B112:B123"/>
    <mergeCell ref="B124:B133"/>
    <mergeCell ref="B134:B137"/>
    <mergeCell ref="B141:B142"/>
    <mergeCell ref="C3:C4"/>
    <mergeCell ref="B94:B96"/>
    <mergeCell ref="B97:B98"/>
    <mergeCell ref="B102:B105"/>
    <mergeCell ref="B106:B107"/>
    <mergeCell ref="B108:B111"/>
    <mergeCell ref="B77:B79"/>
    <mergeCell ref="B80:B82"/>
    <mergeCell ref="B83:B85"/>
    <mergeCell ref="B88:B89"/>
    <mergeCell ref="B91:B93"/>
    <mergeCell ref="B28:B45"/>
    <mergeCell ref="B46:B58"/>
    <mergeCell ref="B59:B62"/>
    <mergeCell ref="B63:B69"/>
    <mergeCell ref="B71:B76"/>
    <mergeCell ref="B5:B8"/>
    <mergeCell ref="B9:B11"/>
    <mergeCell ref="B12:B14"/>
    <mergeCell ref="B15:B19"/>
    <mergeCell ref="B20:B26"/>
    <mergeCell ref="A1:Z1"/>
    <mergeCell ref="A2:C2"/>
    <mergeCell ref="S3:U3"/>
    <mergeCell ref="A3:A4"/>
    <mergeCell ref="B3:B4"/>
    <mergeCell ref="D3:D4"/>
    <mergeCell ref="E3:E4"/>
    <mergeCell ref="F3:F4"/>
    <mergeCell ref="G3:G4"/>
    <mergeCell ref="H3:H4"/>
    <mergeCell ref="I3:I4"/>
    <mergeCell ref="J3:J4"/>
    <mergeCell ref="K3:K4"/>
    <mergeCell ref="L3:L4"/>
    <mergeCell ref="M3:M4"/>
    <mergeCell ref="N3:N4"/>
  </mergeCells>
  <phoneticPr fontId="5" type="noConversion"/>
  <conditionalFormatting sqref="A1:A15 A17:A97 A99:A102 A104:A1048576">
    <cfRule type="duplicateValues" dxfId="1968" priority="146"/>
  </conditionalFormatting>
  <conditionalFormatting sqref="A16">
    <cfRule type="duplicateValues" dxfId="1967" priority="82"/>
  </conditionalFormatting>
  <conditionalFormatting sqref="A98">
    <cfRule type="duplicateValues" dxfId="1966" priority="123"/>
  </conditionalFormatting>
  <conditionalFormatting sqref="A103">
    <cfRule type="duplicateValues" dxfId="1965" priority="102"/>
  </conditionalFormatting>
  <conditionalFormatting sqref="C1:C5 C7:C8 C11:C15 C17:C20 C26 C41:C42 C44:C46 C58:C65 C69:C77 C79:C80 C82:C85 C87:C88 C90:C91 C93 C136:C138 C140:C142 C144:C64820 C101 C105:C108 C133:C134 C110:C111 C125">
    <cfRule type="expression" dxfId="1964" priority="13698" stopIfTrue="1">
      <formula>AND(COUNTIF($C$144:$C$64820,C1)+COUNTIF($C$133:$C$142,C1)+COUNTIF($C$125:$C$132,C1)+COUNTIF($C$1:$C$8,C1)+COUNTIF($C$11:$C$20,C1)+COUNTIF($C$26:$C$26,C1)+COUNTIF($C$87:$C$89,C1)+COUNTIF($C$111:$C$111,C1)+COUNTIF(#REF!,C1)+COUNTIF($C$90:$C$96,C1)+COUNTIF($C$82:$C$86,C1)+COUNTIF($C$101:$C$101,C1)+COUNTIF($C$41:$C$46,C1)+COUNTIF($C$58:$C$65,C1)+COUNTIF(#REF!,C1)+COUNTIF($C$106:$C$107,C1)+COUNTIF($C$69:$C$80,C1)&gt;1,NOT(ISBLANK(C1)))</formula>
    </cfRule>
  </conditionalFormatting>
  <conditionalFormatting sqref="C1:C5 C7:C8 C11:C15 C17:C22 C26 C41:C42 C44:C47 C58:C65 C69:C77 C79:C80 C82:C85 C87:C88 C90:C91 C93 C101 C105:C108 C110:C111 C124:C125 C133:C134 C136:C138 C140:C142 C144:C64820 C67">
    <cfRule type="expression" dxfId="1963" priority="13719" stopIfTrue="1">
      <formula>AND(COUNTIF($C$144:$C$64820,C1)+COUNTIF($C$133:$C$142,C1)+COUNTIF($C$1:$C$8,C1)+COUNTIF($C$87:$C$89,C1)+COUNTIF(#REF!,C1)+COUNTIF($C$11:$C$22,C1)+COUNTIF($C$90:$C$96,C1)+COUNTIF($C$82:$C$86,C1)+COUNTIF($C$111:$C$111,C1)+COUNTIF($C$41:$C$47,C1)+COUNTIF(#REF!,C1)+COUNTIF($C$58:$C$65,C1)+COUNTIF($C$26:$C$26,C1)+COUNTIF($C$101:$C$101,C1)+COUNTIF($C$124:$C$132,C1)+COUNTIF($C$106:$C$107,C1)+COUNTIF($C$67:$C$80,C1)&gt;1,NOT(ISBLANK(C1)))</formula>
    </cfRule>
  </conditionalFormatting>
  <conditionalFormatting sqref="C1:C5 C7:C9 C11:C15 C17:C23 C26:C29 C34 C36 C41:C42 C44:C48 C58:C67 C69:C77 C79:C80 C82:C85 C87:C88 C90 C93 C101 C106:C108 C110:C114 C123:C125 C133:C134 C136:C138 C140:C1048576">
    <cfRule type="duplicateValues" dxfId="1962" priority="2223"/>
  </conditionalFormatting>
  <conditionalFormatting sqref="C1:C5 C7:C9 C11:C15 C17:C23 C26:C30 C34 C36 C41:C42 C44:C48 C58:C67 C69:C77 C79:C80 C82:C85 C87:C88 C90 C93 C101 C106:C108 C110:C117 C123:C129 C133:C134 C136:C138 C140:C1048576">
    <cfRule type="duplicateValues" dxfId="1961" priority="2056"/>
  </conditionalFormatting>
  <conditionalFormatting sqref="C1:C5 C7:C9 C11:C15 C17:C23 C26:C30 C34 C36 C41:C42 C44:C48 C58:C67 C69:C77 C79:C88 C90 C93 C97 C101 C106:C108 C110:C118 C121:C129 C133:C134 C136:C138 C140:C1048576">
    <cfRule type="duplicateValues" dxfId="1960" priority="1786"/>
  </conditionalFormatting>
  <conditionalFormatting sqref="C1:C5 C7:C9 C11:C15 C17:C23 C26:C30 C34 C36 C41:C42 C44:C48 C58:C67 C69:C77 C79:C88 C90 C93 C101 C106:C108 C110:C118 C122:C129 C133:C134 C136:C138 C140:C1048576">
    <cfRule type="duplicateValues" dxfId="1959" priority="1941"/>
  </conditionalFormatting>
  <conditionalFormatting sqref="C1:C5 C7:C9 C11:C15 C17:C30 C34 C36 C40:C42 C44:C48 C55 C58:C67 C69:C77 C79:C88 C90:C91 C93 C97 C100:C101 C106:C108 C110:C118 C121:C129 C133:C134 C136:C138 C140:C1048576">
    <cfRule type="duplicateValues" dxfId="1958" priority="1264"/>
  </conditionalFormatting>
  <conditionalFormatting sqref="C1:C5 C7:C15 C17:C30 C34 C36 C38 C40:C42 C44:C48 C55 C58:C88 C90:C91 C93 C97 C99:C101 C106:C108 C110:C118 C120:C131 C133:C134 C136:C1048576">
    <cfRule type="duplicateValues" dxfId="1957" priority="768"/>
  </conditionalFormatting>
  <conditionalFormatting sqref="C1:C5 C7:C15 C17:C30 C34 C36 C40:C42 C44:C48 C55 C58:C67 C69:C88 C90:C91 C93 C97 C99:C101 C106:C108 C110:C118 C120:C131 C133:C134 C136:C1048576">
    <cfRule type="duplicateValues" dxfId="1956" priority="957"/>
  </conditionalFormatting>
  <conditionalFormatting sqref="C1:C5 C7:C15 C17:C34 C36 C38 C40:C48 C55 C58:C91 C93 C97 C99:C101 C106:C108 C110:C118 C120:C131 C133:C134 C136:C1048576">
    <cfRule type="duplicateValues" dxfId="1955" priority="324"/>
  </conditionalFormatting>
  <conditionalFormatting sqref="C1:C5 C8 C11 C15 C19:C20 C26 C42 C44:C46 C58:C59 C61:C65 C69:C71 C73:C77 C79:C80 C82 C87:C88 C90 C93 C138 C140:C142 C144:C64382">
    <cfRule type="expression" dxfId="1954" priority="13656" stopIfTrue="1">
      <formula>AND(COUNTIF($C$138:$C$142,C1)+COUNTIF($C$42:$C$42,C1)+COUNTIF(#REF!,C1)+COUNTIF($C$1:$C$5,C1)+COUNTIF($C$11:$C$11,C1)+COUNTIF($C$8:$C$8,C1)+COUNTIF($C$15:$C$15,C1)+COUNTIF($C$19:$C$20,C1)+COUNTIF($C$26:$C$26,C1)+COUNTIF($C$90:$C$90,C1)+COUNTIF(#REF!,C1)+COUNTIF($C$82:$C$82,C1)+COUNTIF(#REF!,C1)+COUNTIF($C$87:$C$89,C1)+COUNTIF($C$69:$C$71,C1)+COUNTIF($C$73:$C$77,C1)+COUNTIF($C$79:$C$80,C1)+COUNTIF($C$58:$C$59,C1)+COUNTIF($C$44:$C$46,C1)+COUNTIF($C$61:$C$65,C1)+COUNTIF(#REF!,C1)+COUNTIF($C$144:$C$64382,C1)&gt;1,NOT(ISBLANK(C1)))</formula>
    </cfRule>
  </conditionalFormatting>
  <conditionalFormatting sqref="C1:C5 C138 C140:C142 C144:C64820 C8 C11 C14:C15 C17:C20 C26 C42 C44:C46 C58:C65 C69:C71 C73:C77 C79:C80 C82:C83 C85 C87:C88 C90:C91 C93 C101 C105:C107 C133">
    <cfRule type="expression" dxfId="1953" priority="13633" stopIfTrue="1">
      <formula>AND(COUNTIF($C$138:$C$142,C1)+COUNTIF($C$69:$C$71,C1)+COUNTIF($C$42:$C$42,C1)+COUNTIF($C$1:$C$5,C1)+COUNTIF($C$11:$C$11,C1)+COUNTIF($C$8:$C$8,C1)+COUNTIF($C$14:$C$20,C1)+COUNTIF($C$26:$C$26,C1)+COUNTIF($C$44:$C$46,C1)+COUNTIF($C$82:$C$83,C1)+COUNTIF(#REF!,C1)+COUNTIF(#REF!,C1)+COUNTIF($C$101:$C$101,C1)+COUNTIF(#REF!,C1)+COUNTIF(#REF!,C1)+COUNTIF($C$133:$C$133,C1)+COUNTIF($C$85:$C$86,C1)+COUNTIF($C$87:$C$89,C1)+COUNTIF(#REF!,C1)+COUNTIF($C$90:$C$90,C1)+COUNTIF($C$144:$C$64820,C1)+COUNTIF($C$58:$C$65,C1)+COUNTIF($C$106:$C$107,C1)+COUNTIF($C$73:$C$80,C1)&gt;1,NOT(ISBLANK(C1)))</formula>
    </cfRule>
  </conditionalFormatting>
  <conditionalFormatting sqref="C1:C5">
    <cfRule type="expression" dxfId="1952" priority="13590" stopIfTrue="1">
      <formula>AND(COUNTIF($C$133:$C$64820,C1)+COUNTIF($C$111:$C$111,C1)+COUNTIF($C$1:$C$23,C1)+COUNTIF($C$124:$C$132,C1)+COUNTIF($C$41:$C$47,C1)+COUNTIF($C$26:$C$33,C1)+COUNTIF($C$58:$C$96,C1)+COUNTIF($C$101:$C$107,C1)&gt;1,NOT(ISBLANK(C1)))</formula>
    </cfRule>
    <cfRule type="expression" dxfId="1951" priority="13557" stopIfTrue="1">
      <formula>AND(COUNTIF($C$144:$C$64820,C1)+COUNTIF($C$133:$C$142,C1)+COUNTIF(#REF!,C1)+COUNTIF($C$1:$C$8,C1)+COUNTIF($C$11:$C$22,C1)+COUNTIF($C$90:$C$96,C1)+COUNTIF(#REF!,C1)+COUNTIF($C$58:$C$65,C1)+COUNTIF($C$111:$C$111,C1)+COUNTIF($C$26:$C$26,C1)+COUNTIF($C$82:$C$89,C1)+COUNTIF($C$101:$C$101,C1)+COUNTIF($C$124:$C$132,C1)+COUNTIF($C$41:$C$47,C1)+COUNTIF($C$106:$C$107,C1)+COUNTIF($C$67:$C$80,C1)&gt;1,NOT(ISBLANK(C1)))</formula>
    </cfRule>
  </conditionalFormatting>
  <conditionalFormatting sqref="C1:C15 C17:C34 C36 C38 C40:C49 C55 C58:C91 C93 C97 C99:C101 C106:C108 C110:C118 C120:C131 C133:C1048576">
    <cfRule type="duplicateValues" dxfId="1950" priority="262"/>
  </conditionalFormatting>
  <conditionalFormatting sqref="C1:C15 C17:C38 C40:C49 C54:C55 C58:C97 C99:C102 C104:C131 C133:C1048576">
    <cfRule type="duplicateValues" dxfId="1949" priority="147"/>
  </conditionalFormatting>
  <conditionalFormatting sqref="C1:C1048576">
    <cfRule type="duplicateValues" dxfId="1948" priority="1"/>
  </conditionalFormatting>
  <conditionalFormatting sqref="C6">
    <cfRule type="expression" dxfId="1947" priority="14894" stopIfTrue="1">
      <formula>AND(COUNTIF($C$144:$C$64820,C6)+COUNTIF($C$133:$C$142,C6)+COUNTIF($C$1:$C$8,C6)+COUNTIF($C$87:$C$89,C6)+COUNTIF(#REF!,C6)+COUNTIF($C$11:$C$22,C6)+COUNTIF($C$90:$C$96,C6)+COUNTIF($C$82:$C$86,C6)+COUNTIF($C$111:$C$111,C6)+COUNTIF($C$41:$C$47,C6)+COUNTIF(#REF!,C6)+COUNTIF($C$58:$C$65,C6)+COUNTIF($C$26:$C$26,C6)+COUNTIF($C$101:$C$101,C6)+COUNTIF($C$124:$C$132,C6)+COUNTIF($C$106:$C$107,C6)+COUNTIF($C$67:$C$80,C6)&gt;1,NOT(ISBLANK(C6)))</formula>
    </cfRule>
    <cfRule type="expression" dxfId="1946" priority="14893" stopIfTrue="1">
      <formula>AND(COUNTIF($C$144:$C$64820,C6)+COUNTIF($C$133:$C$142,C6)+COUNTIF($C$125:$C$132,C6)+COUNTIF($C$1:$C$8,C6)+COUNTIF($C$11:$C$20,C6)+COUNTIF($C$26:$C$26,C6)+COUNTIF($C$87:$C$89,C6)+COUNTIF($C$111:$C$111,C6)+COUNTIF(#REF!,C6)+COUNTIF($C$90:$C$96,C6)+COUNTIF($C$82:$C$86,C6)+COUNTIF($C$101:$C$101,C6)+COUNTIF($C$41:$C$46,C6)+COUNTIF($C$58:$C$65,C6)+COUNTIF(#REF!,C6)+COUNTIF($C$106:$C$107,C6)+COUNTIF($C$69:$C$80,C6)&gt;1,NOT(ISBLANK(C6)))</formula>
    </cfRule>
    <cfRule type="expression" dxfId="1945" priority="14892" stopIfTrue="1">
      <formula>AND(COUNTIF($C$144:$C$64820,C6)+COUNTIF($C$133:$C$142,C6)+COUNTIF(#REF!,C6)+COUNTIF($C$1:$C$8,C6)+COUNTIF($C$11:$C$22,C6)+COUNTIF($C$90:$C$96,C6)+COUNTIF(#REF!,C6)+COUNTIF($C$58:$C$65,C6)+COUNTIF($C$111:$C$111,C6)+COUNTIF($C$26:$C$26,C6)+COUNTIF($C$82:$C$89,C6)+COUNTIF($C$101:$C$101,C6)+COUNTIF($C$124:$C$132,C6)+COUNTIF($C$41:$C$47,C6)+COUNTIF($C$106:$C$107,C6)+COUNTIF($C$67:$C$80,C6)&gt;1,NOT(ISBLANK(C6)))</formula>
    </cfRule>
    <cfRule type="expression" dxfId="1944" priority="14891" stopIfTrue="1">
      <formula>AND(COUNTIF($C$133:$C$64820,C6)+COUNTIF($C$111:$C$111,C6)+COUNTIF($C$1:$C$23,C6)+COUNTIF($C$124:$C$132,C6)+COUNTIF($C$41:$C$47,C6)+COUNTIF($C$26:$C$33,C6)+COUNTIF($C$58:$C$96,C6)+COUNTIF($C$101:$C$107,C6)&gt;1,NOT(ISBLANK(C6)))</formula>
    </cfRule>
    <cfRule type="duplicateValues" dxfId="1943" priority="14890"/>
    <cfRule type="duplicateValues" dxfId="1942" priority="14889"/>
  </conditionalFormatting>
  <conditionalFormatting sqref="C7">
    <cfRule type="duplicateValues" dxfId="1941" priority="4826"/>
  </conditionalFormatting>
  <conditionalFormatting sqref="C8">
    <cfRule type="duplicateValues" dxfId="1940" priority="3895" stopIfTrue="1"/>
  </conditionalFormatting>
  <conditionalFormatting sqref="C9">
    <cfRule type="duplicateValues" dxfId="1939" priority="4393"/>
  </conditionalFormatting>
  <conditionalFormatting sqref="C10">
    <cfRule type="expression" dxfId="1938" priority="14901" stopIfTrue="1">
      <formula>AND(COUNTIF($C$144:$C$64820,C10)+COUNTIF($C$133:$C$142,C10)+COUNTIF(#REF!,C10)+COUNTIF($C$1:$C$8,C10)+COUNTIF($C$11:$C$22,C10)+COUNTIF($C$90:$C$96,C10)+COUNTIF(#REF!,C10)+COUNTIF($C$58:$C$65,C10)+COUNTIF($C$111:$C$111,C10)+COUNTIF($C$26:$C$26,C10)+COUNTIF($C$82:$C$89,C10)+COUNTIF($C$101:$C$101,C10)+COUNTIF($C$124:$C$132,C10)+COUNTIF($C$41:$C$47,C10)+COUNTIF($C$106:$C$107,C10)+COUNTIF($C$67:$C$80,C10)&gt;1,NOT(ISBLANK(C10)))</formula>
    </cfRule>
    <cfRule type="expression" dxfId="1937" priority="14900" stopIfTrue="1">
      <formula>AND(COUNTIF($C$138:$C$142,C10)+COUNTIF($C$69:$C$71,C10)+COUNTIF($C$42:$C$42,C10)+COUNTIF($C$1:$C$5,C10)+COUNTIF($C$11:$C$11,C10)+COUNTIF($C$8:$C$8,C10)+COUNTIF($C$14:$C$20,C10)+COUNTIF($C$26:$C$26,C10)+COUNTIF($C$44:$C$46,C10)+COUNTIF($C$82:$C$83,C10)+COUNTIF(#REF!,C10)+COUNTIF(#REF!,C10)+COUNTIF($C$101:$C$101,C10)+COUNTIF(#REF!,C10)+COUNTIF(#REF!,C10)+COUNTIF($C$133:$C$133,C10)+COUNTIF($C$85:$C$86,C10)+COUNTIF($C$87:$C$89,C10)+COUNTIF(#REF!,C10)+COUNTIF($C$90:$C$90,C10)+COUNTIF($C$144:$C$64820,C10)+COUNTIF($C$58:$C$65,C10)+COUNTIF($C$106:$C$107,C10)+COUNTIF($C$73:$C$80,C10)&gt;1,NOT(ISBLANK(C10)))</formula>
    </cfRule>
    <cfRule type="expression" dxfId="1936" priority="14899" stopIfTrue="1">
      <formula>AND(COUNTIF($C$144:$C$64820,C10)+COUNTIF($C$133:$C$142,C10)+COUNTIF($C$1:$C$8,C10)+COUNTIF($C$87:$C$89,C10)+COUNTIF(#REF!,C10)+COUNTIF($C$11:$C$22,C10)+COUNTIF($C$90:$C$96,C10)+COUNTIF($C$82:$C$86,C10)+COUNTIF($C$111:$C$111,C10)+COUNTIF($C$41:$C$47,C10)+COUNTIF(#REF!,C10)+COUNTIF($C$58:$C$65,C10)+COUNTIF($C$26:$C$26,C10)+COUNTIF($C$101:$C$101,C10)+COUNTIF($C$124:$C$132,C10)+COUNTIF($C$106:$C$107,C10)+COUNTIF($C$67:$C$80,C10)&gt;1,NOT(ISBLANK(C10)))</formula>
    </cfRule>
    <cfRule type="expression" dxfId="1935" priority="14898" stopIfTrue="1">
      <formula>AND(COUNTIF($C$144:$C$64820,C10)+COUNTIF($C$133:$C$142,C10)+COUNTIF($C$125:$C$132,C10)+COUNTIF($C$1:$C$8,C10)+COUNTIF($C$11:$C$20,C10)+COUNTIF($C$26:$C$26,C10)+COUNTIF($C$87:$C$89,C10)+COUNTIF($C$111:$C$111,C10)+COUNTIF(#REF!,C10)+COUNTIF($C$90:$C$96,C10)+COUNTIF($C$82:$C$86,C10)+COUNTIF($C$101:$C$101,C10)+COUNTIF($C$41:$C$46,C10)+COUNTIF($C$58:$C$65,C10)+COUNTIF(#REF!,C10)+COUNTIF($C$106:$C$107,C10)+COUNTIF($C$69:$C$80,C10)&gt;1,NOT(ISBLANK(C10)))</formula>
    </cfRule>
    <cfRule type="duplicateValues" dxfId="1934" priority="14897"/>
    <cfRule type="expression" dxfId="1933" priority="14902" stopIfTrue="1">
      <formula>AND(COUNTIF($C$138:$C$142,C10)+COUNTIF($C$69:$C$71,C10)+COUNTIF($C$1:$C$5,C10)+COUNTIF($C$11:$C$11,C10)+COUNTIF($C$8:$C$8,C10)+COUNTIF($C$14:$C$20,C10)+COUNTIF($C$26:$C$26,C10)+COUNTIF($C$42:$C$42,C10)+COUNTIF($C$44:$C$46,C10)+COUNTIF(#REF!,C10)+COUNTIF(#REF!,C10)+COUNTIF($C$82:$C$82,C10)+COUNTIF($C$101:$C$101,C10)+COUNTIF(#REF!,C10)+COUNTIF(#REF!,C10)+COUNTIF($C$133:$C$133,C10)+COUNTIF(#REF!,C10)+COUNTIF($C$87:$C$89,C10)+COUNTIF(#REF!,C10)+COUNTIF($C$90:$C$90,C10)+COUNTIF($C$144:$C$64382,C10)+COUNTIF($C$58:$C$65,C10)+COUNTIF($C$106:$C$107,C10)+COUNTIF($C$73:$C$80,C10)&gt;1,NOT(ISBLANK(C10)))</formula>
    </cfRule>
    <cfRule type="expression" dxfId="1932" priority="14903" stopIfTrue="1">
      <formula>AND(COUNTIF($C$138:$C$142,C10)+COUNTIF($C$42:$C$42,C10)+COUNTIF(#REF!,C10)+COUNTIF($C$1:$C$5,C10)+COUNTIF($C$11:$C$11,C10)+COUNTIF($C$8:$C$8,C10)+COUNTIF($C$15:$C$15,C10)+COUNTIF($C$19:$C$20,C10)+COUNTIF($C$26:$C$26,C10)+COUNTIF($C$90:$C$90,C10)+COUNTIF(#REF!,C10)+COUNTIF($C$82:$C$82,C10)+COUNTIF(#REF!,C10)+COUNTIF($C$87:$C$89,C10)+COUNTIF($C$69:$C$71,C10)+COUNTIF($C$73:$C$77,C10)+COUNTIF($C$79:$C$80,C10)+COUNTIF($C$58:$C$59,C10)+COUNTIF($C$44:$C$46,C10)+COUNTIF($C$61:$C$65,C10)+COUNTIF(#REF!,C10)+COUNTIF($C$144:$C$64382,C10)&gt;1,NOT(ISBLANK(C10)))</formula>
    </cfRule>
  </conditionalFormatting>
  <conditionalFormatting sqref="C12">
    <cfRule type="duplicateValues" dxfId="1931" priority="4793"/>
  </conditionalFormatting>
  <conditionalFormatting sqref="C13">
    <cfRule type="duplicateValues" dxfId="1930" priority="3748"/>
  </conditionalFormatting>
  <conditionalFormatting sqref="C14">
    <cfRule type="duplicateValues" dxfId="1929" priority="5018"/>
  </conditionalFormatting>
  <conditionalFormatting sqref="C16">
    <cfRule type="duplicateValues" dxfId="1928" priority="83"/>
    <cfRule type="duplicateValues" dxfId="1927" priority="94"/>
    <cfRule type="expression" dxfId="1926" priority="95" stopIfTrue="1">
      <formula>AND(COUNTIF($C$138:$C$142,C16)+COUNTIF($C$69:$C$71,C16)+COUNTIF($C$1:$C$5,C16)+COUNTIF($C$11:$C$11,C16)+COUNTIF($C$8:$C$8,C16)+COUNTIF($C$14:$C$20,C16)+COUNTIF($C$26:$C$26,C16)+COUNTIF($C$42:$C$42,C16)+COUNTIF($C$44:$C$46,C16)+COUNTIF(#REF!,C16)+COUNTIF(#REF!,C16)+COUNTIF($C$82:$C$82,C16)+COUNTIF($C$101:$C$101,C16)+COUNTIF(#REF!,C16)+COUNTIF(#REF!,C16)+COUNTIF($C$133:$C$133,C16)+COUNTIF(#REF!,C16)+COUNTIF($C$87:$C$89,C16)+COUNTIF(#REF!,C16)+COUNTIF($C$90:$C$90,C16)+COUNTIF($C$144:$C$64382,C16)+COUNTIF($C$58:$C$65,C16)+COUNTIF($C$106:$C$107,C16)+COUNTIF($C$73:$C$80,C16)&gt;1,NOT(ISBLANK(C16)))</formula>
    </cfRule>
    <cfRule type="expression" dxfId="1925" priority="97" stopIfTrue="1">
      <formula>AND(COUNTIF($C$133:$C$64820,C16)+COUNTIF($C$111:$C$111,C16)+COUNTIF($C$1:$C$23,C16)+COUNTIF($C$124:$C$132,C16)+COUNTIF($C$41:$C$47,C16)+COUNTIF($C$26:$C$33,C16)+COUNTIF($C$58:$C$96,C16)+COUNTIF($C$101:$C$107,C16)&gt;1,NOT(ISBLANK(C16)))</formula>
    </cfRule>
    <cfRule type="expression" dxfId="1924" priority="98" stopIfTrue="1">
      <formula>AND(COUNTIF($C$144:$C$64820,C16)+COUNTIF($C$133:$C$142,C16)+COUNTIF(#REF!,C16)+COUNTIF($C$1:$C$8,C16)+COUNTIF($C$11:$C$22,C16)+COUNTIF($C$90:$C$96,C16)+COUNTIF(#REF!,C16)+COUNTIF($C$58:$C$65,C16)+COUNTIF($C$111:$C$111,C16)+COUNTIF($C$26:$C$26,C16)+COUNTIF($C$82:$C$89,C16)+COUNTIF($C$101:$C$101,C16)+COUNTIF($C$124:$C$132,C16)+COUNTIF($C$41:$C$47,C16)+COUNTIF($C$106:$C$107,C16)+COUNTIF($C$67:$C$80,C16)&gt;1,NOT(ISBLANK(C16)))</formula>
    </cfRule>
    <cfRule type="expression" dxfId="1923" priority="99" stopIfTrue="1">
      <formula>AND(COUNTIF($C$138:$C$142,C16)+COUNTIF($C$69:$C$71,C16)+COUNTIF($C$42:$C$42,C16)+COUNTIF($C$1:$C$5,C16)+COUNTIF($C$11:$C$11,C16)+COUNTIF($C$8:$C$8,C16)+COUNTIF($C$14:$C$20,C16)+COUNTIF($C$26:$C$26,C16)+COUNTIF($C$44:$C$46,C16)+COUNTIF($C$82:$C$83,C16)+COUNTIF(#REF!,C16)+COUNTIF(#REF!,C16)+COUNTIF($C$101:$C$101,C16)+COUNTIF(#REF!,C16)+COUNTIF(#REF!,C16)+COUNTIF($C$133:$C$133,C16)+COUNTIF($C$85:$C$86,C16)+COUNTIF($C$87:$C$89,C16)+COUNTIF(#REF!,C16)+COUNTIF($C$90:$C$90,C16)+COUNTIF($C$144:$C$64820,C16)+COUNTIF($C$58:$C$65,C16)+COUNTIF($C$106:$C$107,C16)+COUNTIF($C$73:$C$80,C16)&gt;1,NOT(ISBLANK(C16)))</formula>
    </cfRule>
    <cfRule type="expression" dxfId="1922" priority="100" stopIfTrue="1">
      <formula>AND(COUNTIF($C$144:$C$64820,C16)+COUNTIF($C$133:$C$142,C16)+COUNTIF($C$125:$C$132,C16)+COUNTIF($C$1:$C$8,C16)+COUNTIF($C$11:$C$20,C16)+COUNTIF($C$26:$C$26,C16)+COUNTIF($C$87:$C$89,C16)+COUNTIF($C$111:$C$111,C16)+COUNTIF(#REF!,C16)+COUNTIF($C$90:$C$96,C16)+COUNTIF($C$82:$C$86,C16)+COUNTIF($C$101:$C$101,C16)+COUNTIF($C$41:$C$46,C16)+COUNTIF($C$58:$C$65,C16)+COUNTIF(#REF!,C16)+COUNTIF($C$106:$C$107,C16)+COUNTIF($C$69:$C$80,C16)&gt;1,NOT(ISBLANK(C16)))</formula>
    </cfRule>
    <cfRule type="expression" dxfId="1921" priority="101" stopIfTrue="1">
      <formula>AND(COUNTIF($C$144:$C$64820,C16)+COUNTIF($C$133:$C$142,C16)+COUNTIF($C$1:$C$8,C16)+COUNTIF($C$87:$C$89,C16)+COUNTIF(#REF!,C16)+COUNTIF($C$11:$C$22,C16)+COUNTIF($C$90:$C$96,C16)+COUNTIF($C$82:$C$86,C16)+COUNTIF($C$111:$C$111,C16)+COUNTIF($C$41:$C$47,C16)+COUNTIF(#REF!,C16)+COUNTIF($C$58:$C$65,C16)+COUNTIF($C$26:$C$26,C16)+COUNTIF($C$101:$C$101,C16)+COUNTIF($C$124:$C$132,C16)+COUNTIF($C$106:$C$107,C16)+COUNTIF($C$67:$C$80,C16)&gt;1,NOT(ISBLANK(C16)))</formula>
    </cfRule>
  </conditionalFormatting>
  <conditionalFormatting sqref="C17">
    <cfRule type="duplicateValues" dxfId="1920" priority="5023"/>
  </conditionalFormatting>
  <conditionalFormatting sqref="C18">
    <cfRule type="duplicateValues" dxfId="1919" priority="5004"/>
  </conditionalFormatting>
  <conditionalFormatting sqref="C21">
    <cfRule type="duplicateValues" dxfId="1918" priority="4598"/>
  </conditionalFormatting>
  <conditionalFormatting sqref="C22">
    <cfRule type="duplicateValues" dxfId="1917" priority="4564"/>
  </conditionalFormatting>
  <conditionalFormatting sqref="C23">
    <cfRule type="duplicateValues" dxfId="1916" priority="4235"/>
  </conditionalFormatting>
  <conditionalFormatting sqref="C24:C25">
    <cfRule type="duplicateValues" dxfId="1915" priority="1384"/>
    <cfRule type="duplicateValues" dxfId="1914" priority="1389"/>
  </conditionalFormatting>
  <conditionalFormatting sqref="C27">
    <cfRule type="duplicateValues" dxfId="1913" priority="4401"/>
  </conditionalFormatting>
  <conditionalFormatting sqref="C28:C29">
    <cfRule type="duplicateValues" dxfId="1912" priority="8129" stopIfTrue="1"/>
  </conditionalFormatting>
  <conditionalFormatting sqref="C30">
    <cfRule type="duplicateValues" dxfId="1911" priority="13283"/>
    <cfRule type="duplicateValues" dxfId="1910" priority="13284" stopIfTrue="1"/>
  </conditionalFormatting>
  <conditionalFormatting sqref="C31">
    <cfRule type="expression" dxfId="1909" priority="14917" stopIfTrue="1">
      <formula>AND(COUNTIF($C$133:$C$64820,C31)+COUNTIF($C$111:$C$111,C31)+COUNTIF($C$1:$C$23,C31)+COUNTIF($C$124:$C$132,C31)+COUNTIF($C$41:$C$47,C31)+COUNTIF($C$26:$C$33,C31)+COUNTIF($C$58:$C$96,C31)+COUNTIF($C$101:$C$107,C31)&gt;1,NOT(ISBLANK(C31)))</formula>
    </cfRule>
    <cfRule type="expression" dxfId="1908" priority="14916" stopIfTrue="1">
      <formula>AND(COUNTIF($C$144:$C$64820,C31)+COUNTIF($C$133:$C$142,C31)+COUNTIF(#REF!,C31)+COUNTIF($C$1:$C$8,C31)+COUNTIF($C$11:$C$22,C31)+COUNTIF($C$90:$C$96,C31)+COUNTIF(#REF!,C31)+COUNTIF($C$58:$C$65,C31)+COUNTIF($C$111:$C$111,C31)+COUNTIF($C$26:$C$26,C31)+COUNTIF($C$82:$C$89,C31)+COUNTIF($C$101:$C$101,C31)+COUNTIF($C$124:$C$132,C31)+COUNTIF($C$41:$C$47,C31)+COUNTIF($C$106:$C$107,C31)+COUNTIF($C$67:$C$80,C31)&gt;1,NOT(ISBLANK(C31)))</formula>
    </cfRule>
    <cfRule type="expression" dxfId="1907" priority="14915" stopIfTrue="1">
      <formula>AND(COUNTIF($C$144:$C$64820,C31)+COUNTIF($C$133:$C$142,C31)+COUNTIF($C$1:$C$8,C31)+COUNTIF($C$87:$C$89,C31)+COUNTIF(#REF!,C31)+COUNTIF($C$11:$C$22,C31)+COUNTIF($C$90:$C$96,C31)+COUNTIF($C$82:$C$86,C31)+COUNTIF($C$111:$C$111,C31)+COUNTIF($C$41:$C$47,C31)+COUNTIF(#REF!,C31)+COUNTIF($C$58:$C$65,C31)+COUNTIF($C$26:$C$26,C31)+COUNTIF($C$101:$C$101,C31)+COUNTIF($C$124:$C$132,C31)+COUNTIF($C$106:$C$107,C31)+COUNTIF($C$67:$C$80,C31)&gt;1,NOT(ISBLANK(C31)))</formula>
    </cfRule>
    <cfRule type="duplicateValues" dxfId="1906" priority="14914"/>
  </conditionalFormatting>
  <conditionalFormatting sqref="C31:C32">
    <cfRule type="duplicateValues" dxfId="1905" priority="723"/>
  </conditionalFormatting>
  <conditionalFormatting sqref="C32">
    <cfRule type="expression" dxfId="1904" priority="14921" stopIfTrue="1">
      <formula>AND(COUNTIF($C$133:$C$64820,C32)+COUNTIF($C$111:$C$111,C32)+COUNTIF($C$1:$C$23,C32)+COUNTIF($C$124:$C$132,C32)+COUNTIF($C$41:$C$47,C32)+COUNTIF($C$26:$C$33,C32)+COUNTIF($C$58:$C$96,C32)+COUNTIF($C$101:$C$107,C32)&gt;1,NOT(ISBLANK(C32)))</formula>
    </cfRule>
    <cfRule type="expression" dxfId="1903" priority="14920" stopIfTrue="1">
      <formula>AND(COUNTIF($C$144:$C$64820,C32)+COUNTIF($C$133:$C$142,C32)+COUNTIF(#REF!,C32)+COUNTIF($C$1:$C$8,C32)+COUNTIF($C$11:$C$22,C32)+COUNTIF($C$90:$C$96,C32)+COUNTIF(#REF!,C32)+COUNTIF($C$58:$C$65,C32)+COUNTIF($C$111:$C$111,C32)+COUNTIF($C$26:$C$26,C32)+COUNTIF($C$82:$C$89,C32)+COUNTIF($C$101:$C$101,C32)+COUNTIF($C$124:$C$132,C32)+COUNTIF($C$41:$C$47,C32)+COUNTIF($C$106:$C$107,C32)+COUNTIF($C$67:$C$80,C32)&gt;1,NOT(ISBLANK(C32)))</formula>
    </cfRule>
    <cfRule type="expression" dxfId="1902" priority="14919" stopIfTrue="1">
      <formula>AND(COUNTIF($C$144:$C$64820,C32)+COUNTIF($C$133:$C$142,C32)+COUNTIF($C$1:$C$8,C32)+COUNTIF($C$87:$C$89,C32)+COUNTIF(#REF!,C32)+COUNTIF($C$11:$C$22,C32)+COUNTIF($C$90:$C$96,C32)+COUNTIF($C$82:$C$86,C32)+COUNTIF($C$111:$C$111,C32)+COUNTIF($C$41:$C$47,C32)+COUNTIF(#REF!,C32)+COUNTIF($C$58:$C$65,C32)+COUNTIF($C$26:$C$26,C32)+COUNTIF($C$101:$C$101,C32)+COUNTIF($C$124:$C$132,C32)+COUNTIF($C$106:$C$107,C32)+COUNTIF($C$67:$C$80,C32)&gt;1,NOT(ISBLANK(C32)))</formula>
    </cfRule>
    <cfRule type="duplicateValues" dxfId="1901" priority="14918"/>
  </conditionalFormatting>
  <conditionalFormatting sqref="C33">
    <cfRule type="duplicateValues" dxfId="1900" priority="14922"/>
    <cfRule type="duplicateValues" dxfId="1899" priority="14923"/>
    <cfRule type="expression" dxfId="1898" priority="14924" stopIfTrue="1">
      <formula>AND(COUNTIF($C$144:$C$64820,C33)+COUNTIF($C$133:$C$142,C33)+COUNTIF($C$1:$C$8,C33)+COUNTIF($C$87:$C$89,C33)+COUNTIF(#REF!,C33)+COUNTIF($C$11:$C$22,C33)+COUNTIF($C$90:$C$96,C33)+COUNTIF($C$82:$C$86,C33)+COUNTIF($C$111:$C$111,C33)+COUNTIF($C$41:$C$47,C33)+COUNTIF(#REF!,C33)+COUNTIF($C$58:$C$65,C33)+COUNTIF($C$26:$C$26,C33)+COUNTIF($C$101:$C$101,C33)+COUNTIF($C$124:$C$132,C33)+COUNTIF($C$106:$C$107,C33)+COUNTIF($C$67:$C$80,C33)&gt;1,NOT(ISBLANK(C33)))</formula>
    </cfRule>
    <cfRule type="expression" dxfId="1897" priority="14925" stopIfTrue="1">
      <formula>AND(COUNTIF($C$144:$C$64820,C33)+COUNTIF($C$133:$C$142,C33)+COUNTIF(#REF!,C33)+COUNTIF($C$1:$C$8,C33)+COUNTIF($C$11:$C$22,C33)+COUNTIF($C$90:$C$96,C33)+COUNTIF(#REF!,C33)+COUNTIF($C$58:$C$65,C33)+COUNTIF($C$111:$C$111,C33)+COUNTIF($C$26:$C$26,C33)+COUNTIF($C$82:$C$89,C33)+COUNTIF($C$101:$C$101,C33)+COUNTIF($C$124:$C$132,C33)+COUNTIF($C$41:$C$47,C33)+COUNTIF($C$106:$C$107,C33)+COUNTIF($C$67:$C$80,C33)&gt;1,NOT(ISBLANK(C33)))</formula>
    </cfRule>
    <cfRule type="expression" dxfId="1896" priority="14926" stopIfTrue="1">
      <formula>AND(COUNTIF($C$133:$C$64820,C33)+COUNTIF($C$111:$C$111,C33)+COUNTIF($C$1:$C$23,C33)+COUNTIF($C$124:$C$132,C33)+COUNTIF($C$41:$C$47,C33)+COUNTIF($C$26:$C$33,C33)+COUNTIF($C$58:$C$96,C33)+COUNTIF($C$101:$C$107,C33)&gt;1,NOT(ISBLANK(C33)))</formula>
    </cfRule>
  </conditionalFormatting>
  <conditionalFormatting sqref="C34">
    <cfRule type="duplicateValues" dxfId="1895" priority="8110" stopIfTrue="1"/>
    <cfRule type="duplicateValues" dxfId="1894" priority="4012"/>
  </conditionalFormatting>
  <conditionalFormatting sqref="C35">
    <cfRule type="duplicateValues" dxfId="1893" priority="169"/>
    <cfRule type="duplicateValues" dxfId="1892" priority="168"/>
  </conditionalFormatting>
  <conditionalFormatting sqref="C36">
    <cfRule type="duplicateValues" dxfId="1891" priority="3896"/>
  </conditionalFormatting>
  <conditionalFormatting sqref="C37">
    <cfRule type="duplicateValues" dxfId="1890" priority="148"/>
    <cfRule type="duplicateValues" dxfId="1889" priority="154"/>
    <cfRule type="expression" dxfId="1888" priority="156" stopIfTrue="1">
      <formula>AND(COUNTIF($C$144:$C$64820,C37)+COUNTIF($C$133:$C$142,C37)+COUNTIF($C$1:$C$8,C37)+COUNTIF($C$87:$C$89,C37)+COUNTIF(#REF!,C37)+COUNTIF($C$11:$C$22,C37)+COUNTIF($C$90:$C$96,C37)+COUNTIF($C$82:$C$86,C37)+COUNTIF($C$111:$C$111,C37)+COUNTIF($C$41:$C$47,C37)+COUNTIF(#REF!,C37)+COUNTIF($C$58:$C$65,C37)+COUNTIF($C$26:$C$26,C37)+COUNTIF($C$101:$C$101,C37)+COUNTIF($C$124:$C$132,C37)+COUNTIF($C$106:$C$107,C37)+COUNTIF($C$67:$C$80,C37)&gt;1,NOT(ISBLANK(C37)))</formula>
    </cfRule>
    <cfRule type="expression" dxfId="1887" priority="157" stopIfTrue="1">
      <formula>AND(COUNTIF($C$144:$C$64820,C37)+COUNTIF($C$133:$C$142,C37)+COUNTIF(#REF!,C37)+COUNTIF($C$1:$C$8,C37)+COUNTIF($C$11:$C$22,C37)+COUNTIF($C$90:$C$96,C37)+COUNTIF(#REF!,C37)+COUNTIF($C$58:$C$65,C37)+COUNTIF($C$111:$C$111,C37)+COUNTIF($C$26:$C$26,C37)+COUNTIF($C$82:$C$89,C37)+COUNTIF($C$101:$C$101,C37)+COUNTIF($C$124:$C$132,C37)+COUNTIF($C$41:$C$47,C37)+COUNTIF($C$106:$C$107,C37)+COUNTIF($C$67:$C$80,C37)&gt;1,NOT(ISBLANK(C37)))</formula>
    </cfRule>
    <cfRule type="expression" dxfId="1886" priority="158" stopIfTrue="1">
      <formula>AND(COUNTIF($C$133:$C$64820,C37)+COUNTIF($C$111:$C$111,C37)+COUNTIF($C$1:$C$23,C37)+COUNTIF($C$124:$C$132,C37)+COUNTIF($C$41:$C$47,C37)+COUNTIF($C$26:$C$33,C37)+COUNTIF($C$58:$C$96,C37)+COUNTIF($C$101:$C$107,C37)&gt;1,NOT(ISBLANK(C37)))</formula>
    </cfRule>
    <cfRule type="expression" dxfId="1885" priority="155" stopIfTrue="1">
      <formula>AND(COUNTIF($C$144:$C$64820,C37)+COUNTIF($C$133:$C$142,C37)+COUNTIF($C$125:$C$132,C37)+COUNTIF($C$1:$C$8,C37)+COUNTIF($C$11:$C$20,C37)+COUNTIF($C$26:$C$26,C37)+COUNTIF($C$87:$C$89,C37)+COUNTIF($C$111:$C$111,C37)+COUNTIF(#REF!,C37)+COUNTIF($C$90:$C$96,C37)+COUNTIF($C$82:$C$86,C37)+COUNTIF($C$101:$C$101,C37)+COUNTIF($C$41:$C$46,C37)+COUNTIF($C$58:$C$65,C37)+COUNTIF(#REF!,C37)+COUNTIF($C$106:$C$107,C37)+COUNTIF($C$69:$C$80,C37)&gt;1,NOT(ISBLANK(C37)))</formula>
    </cfRule>
  </conditionalFormatting>
  <conditionalFormatting sqref="C38">
    <cfRule type="duplicateValues" dxfId="1884" priority="14930"/>
    <cfRule type="duplicateValues" dxfId="1883" priority="14929"/>
    <cfRule type="expression" dxfId="1882" priority="14933" stopIfTrue="1">
      <formula>AND(COUNTIF($C$144:$C$64820,C38)+COUNTIF($C$133:$C$142,C38)+COUNTIF(#REF!,C38)+COUNTIF($C$1:$C$8,C38)+COUNTIF($C$11:$C$22,C38)+COUNTIF($C$90:$C$96,C38)+COUNTIF(#REF!,C38)+COUNTIF($C$58:$C$65,C38)+COUNTIF($C$111:$C$111,C38)+COUNTIF($C$26:$C$26,C38)+COUNTIF($C$82:$C$89,C38)+COUNTIF($C$101:$C$101,C38)+COUNTIF($C$124:$C$132,C38)+COUNTIF($C$41:$C$47,C38)+COUNTIF($C$106:$C$107,C38)+COUNTIF($C$67:$C$80,C38)&gt;1,NOT(ISBLANK(C38)))</formula>
    </cfRule>
    <cfRule type="expression" dxfId="1881" priority="14934" stopIfTrue="1">
      <formula>AND(COUNTIF($C$133:$C$64820,C38)+COUNTIF($C$111:$C$111,C38)+COUNTIF($C$1:$C$23,C38)+COUNTIF($C$124:$C$132,C38)+COUNTIF($C$41:$C$47,C38)+COUNTIF($C$26:$C$33,C38)+COUNTIF($C$58:$C$96,C38)+COUNTIF($C$101:$C$107,C38)&gt;1,NOT(ISBLANK(C38)))</formula>
    </cfRule>
    <cfRule type="expression" dxfId="1880" priority="14932" stopIfTrue="1">
      <formula>AND(COUNTIF($C$144:$C$64820,C38)+COUNTIF($C$133:$C$142,C38)+COUNTIF($C$1:$C$8,C38)+COUNTIF($C$87:$C$89,C38)+COUNTIF(#REF!,C38)+COUNTIF($C$11:$C$22,C38)+COUNTIF($C$90:$C$96,C38)+COUNTIF($C$82:$C$86,C38)+COUNTIF($C$111:$C$111,C38)+COUNTIF($C$41:$C$47,C38)+COUNTIF(#REF!,C38)+COUNTIF($C$58:$C$65,C38)+COUNTIF($C$26:$C$26,C38)+COUNTIF($C$101:$C$101,C38)+COUNTIF($C$124:$C$132,C38)+COUNTIF($C$106:$C$107,C38)+COUNTIF($C$67:$C$80,C38)&gt;1,NOT(ISBLANK(C38)))</formula>
    </cfRule>
    <cfRule type="expression" dxfId="1879" priority="14931" stopIfTrue="1">
      <formula>AND(COUNTIF($C$144:$C$64820,C38)+COUNTIF($C$133:$C$142,C38)+COUNTIF($C$125:$C$132,C38)+COUNTIF($C$1:$C$8,C38)+COUNTIF($C$11:$C$20,C38)+COUNTIF($C$26:$C$26,C38)+COUNTIF($C$87:$C$89,C38)+COUNTIF($C$111:$C$111,C38)+COUNTIF(#REF!,C38)+COUNTIF($C$90:$C$96,C38)+COUNTIF($C$82:$C$86,C38)+COUNTIF($C$101:$C$101,C38)+COUNTIF($C$41:$C$46,C38)+COUNTIF($C$58:$C$65,C38)+COUNTIF(#REF!,C38)+COUNTIF($C$106:$C$107,C38)+COUNTIF($C$69:$C$80,C38)&gt;1,NOT(ISBLANK(C38)))</formula>
    </cfRule>
  </conditionalFormatting>
  <conditionalFormatting sqref="C39">
    <cfRule type="expression" dxfId="1878" priority="140" stopIfTrue="1">
      <formula>AND(COUNTIF($C$144:$C$64820,C39)+COUNTIF($C$133:$C$142,C39)+COUNTIF($C$125:$C$132,C39)+COUNTIF($C$1:$C$8,C39)+COUNTIF($C$11:$C$20,C39)+COUNTIF($C$26:$C$26,C39)+COUNTIF($C$87:$C$89,C39)+COUNTIF($C$111:$C$111,C39)+COUNTIF(#REF!,C39)+COUNTIF($C$90:$C$96,C39)+COUNTIF($C$82:$C$86,C39)+COUNTIF($C$101:$C$101,C39)+COUNTIF($C$41:$C$46,C39)+COUNTIF($C$58:$C$65,C39)+COUNTIF(#REF!,C39)+COUNTIF($C$106:$C$107,C39)+COUNTIF($C$69:$C$80,C39)&gt;1,NOT(ISBLANK(C39)))</formula>
    </cfRule>
    <cfRule type="expression" dxfId="1877" priority="143" stopIfTrue="1">
      <formula>AND(COUNTIF($C$133:$C$64820,C39)+COUNTIF($C$111:$C$111,C39)+COUNTIF($C$1:$C$23,C39)+COUNTIF($C$124:$C$132,C39)+COUNTIF($C$41:$C$47,C39)+COUNTIF($C$26:$C$33,C39)+COUNTIF($C$58:$C$96,C39)+COUNTIF($C$101:$C$107,C39)&gt;1,NOT(ISBLANK(C39)))</formula>
    </cfRule>
    <cfRule type="expression" dxfId="1876" priority="141" stopIfTrue="1">
      <formula>AND(COUNTIF($C$144:$C$64820,C39)+COUNTIF($C$133:$C$142,C39)+COUNTIF($C$1:$C$8,C39)+COUNTIF($C$87:$C$89,C39)+COUNTIF(#REF!,C39)+COUNTIF($C$11:$C$22,C39)+COUNTIF($C$90:$C$96,C39)+COUNTIF($C$82:$C$86,C39)+COUNTIF($C$111:$C$111,C39)+COUNTIF($C$41:$C$47,C39)+COUNTIF(#REF!,C39)+COUNTIF($C$58:$C$65,C39)+COUNTIF($C$26:$C$26,C39)+COUNTIF($C$101:$C$101,C39)+COUNTIF($C$124:$C$132,C39)+COUNTIF($C$106:$C$107,C39)+COUNTIF($C$67:$C$80,C39)&gt;1,NOT(ISBLANK(C39)))</formula>
    </cfRule>
    <cfRule type="expression" dxfId="1875" priority="142" stopIfTrue="1">
      <formula>AND(COUNTIF($C$144:$C$64820,C39)+COUNTIF($C$133:$C$142,C39)+COUNTIF(#REF!,C39)+COUNTIF($C$1:$C$8,C39)+COUNTIF($C$11:$C$22,C39)+COUNTIF($C$90:$C$96,C39)+COUNTIF(#REF!,C39)+COUNTIF($C$58:$C$65,C39)+COUNTIF($C$111:$C$111,C39)+COUNTIF($C$26:$C$26,C39)+COUNTIF($C$82:$C$89,C39)+COUNTIF($C$101:$C$101,C39)+COUNTIF($C$124:$C$132,C39)+COUNTIF($C$41:$C$47,C39)+COUNTIF($C$106:$C$107,C39)+COUNTIF($C$67:$C$80,C39)&gt;1,NOT(ISBLANK(C39)))</formula>
    </cfRule>
    <cfRule type="duplicateValues" dxfId="1874" priority="133"/>
    <cfRule type="duplicateValues" dxfId="1873" priority="139"/>
  </conditionalFormatting>
  <conditionalFormatting sqref="C40">
    <cfRule type="expression" dxfId="1872" priority="14818" stopIfTrue="1">
      <formula>AND(COUNTIF($C$133:$C$64820,C40)+COUNTIF($C$111:$C$111,C40)+COUNTIF($C$1:$C$23,C40)+COUNTIF($C$124:$C$132,C40)+COUNTIF($C$41:$C$47,C40)+COUNTIF($C$26:$C$33,C40)+COUNTIF($C$58:$C$96,C40)+COUNTIF($C$101:$C$107,C40)&gt;1,NOT(ISBLANK(C40)))</formula>
    </cfRule>
    <cfRule type="duplicateValues" dxfId="1871" priority="14813"/>
    <cfRule type="duplicateValues" dxfId="1870" priority="14814"/>
    <cfRule type="expression" dxfId="1869" priority="14815" stopIfTrue="1">
      <formula>AND(COUNTIF($C$144:$C$64820,C40)+COUNTIF($C$133:$C$142,C40)+COUNTIF($C$125:$C$132,C40)+COUNTIF($C$1:$C$8,C40)+COUNTIF($C$11:$C$20,C40)+COUNTIF($C$26:$C$26,C40)+COUNTIF($C$87:$C$89,C40)+COUNTIF($C$111:$C$111,C40)+COUNTIF(#REF!,C40)+COUNTIF($C$90:$C$96,C40)+COUNTIF($C$82:$C$86,C40)+COUNTIF($C$101:$C$101,C40)+COUNTIF($C$41:$C$46,C40)+COUNTIF($C$58:$C$65,C40)+COUNTIF(#REF!,C40)+COUNTIF($C$106:$C$107,C40)+COUNTIF($C$69:$C$80,C40)&gt;1,NOT(ISBLANK(C40)))</formula>
    </cfRule>
    <cfRule type="expression" dxfId="1868" priority="14816" stopIfTrue="1">
      <formula>AND(COUNTIF($C$144:$C$64820,C40)+COUNTIF($C$133:$C$142,C40)+COUNTIF($C$1:$C$8,C40)+COUNTIF($C$87:$C$89,C40)+COUNTIF(#REF!,C40)+COUNTIF($C$11:$C$22,C40)+COUNTIF($C$90:$C$96,C40)+COUNTIF($C$82:$C$86,C40)+COUNTIF($C$111:$C$111,C40)+COUNTIF($C$41:$C$47,C40)+COUNTIF(#REF!,C40)+COUNTIF($C$58:$C$65,C40)+COUNTIF($C$26:$C$26,C40)+COUNTIF($C$101:$C$101,C40)+COUNTIF($C$124:$C$132,C40)+COUNTIF($C$106:$C$107,C40)+COUNTIF($C$67:$C$80,C40)&gt;1,NOT(ISBLANK(C40)))</formula>
    </cfRule>
    <cfRule type="expression" dxfId="1867" priority="14817" stopIfTrue="1">
      <formula>AND(COUNTIF($C$144:$C$64820,C40)+COUNTIF($C$133:$C$142,C40)+COUNTIF(#REF!,C40)+COUNTIF($C$1:$C$8,C40)+COUNTIF($C$11:$C$22,C40)+COUNTIF($C$90:$C$96,C40)+COUNTIF(#REF!,C40)+COUNTIF($C$58:$C$65,C40)+COUNTIF($C$111:$C$111,C40)+COUNTIF($C$26:$C$26,C40)+COUNTIF($C$82:$C$89,C40)+COUNTIF($C$101:$C$101,C40)+COUNTIF($C$124:$C$132,C40)+COUNTIF($C$41:$C$47,C40)+COUNTIF($C$106:$C$107,C40)+COUNTIF($C$67:$C$80,C40)&gt;1,NOT(ISBLANK(C40)))</formula>
    </cfRule>
  </conditionalFormatting>
  <conditionalFormatting sqref="C41">
    <cfRule type="duplicateValues" dxfId="1866" priority="4787"/>
  </conditionalFormatting>
  <conditionalFormatting sqref="C43">
    <cfRule type="expression" dxfId="1865" priority="14829" stopIfTrue="1">
      <formula>AND(COUNTIF($C$138:$C$142,C43)+COUNTIF($C$69:$C$71,C43)+COUNTIF($C$42:$C$42,C43)+COUNTIF($C$1:$C$5,C43)+COUNTIF($C$11:$C$11,C43)+COUNTIF($C$8:$C$8,C43)+COUNTIF($C$14:$C$20,C43)+COUNTIF($C$26:$C$26,C43)+COUNTIF($C$44:$C$46,C43)+COUNTIF($C$82:$C$83,C43)+COUNTIF(#REF!,C43)+COUNTIF(#REF!,C43)+COUNTIF($C$101:$C$101,C43)+COUNTIF(#REF!,C43)+COUNTIF(#REF!,C43)+COUNTIF($C$133:$C$133,C43)+COUNTIF($C$85:$C$86,C43)+COUNTIF($C$87:$C$89,C43)+COUNTIF(#REF!,C43)+COUNTIF($C$90:$C$90,C43)+COUNTIF($C$144:$C$64820,C43)+COUNTIF($C$58:$C$65,C43)+COUNTIF($C$106:$C$107,C43)+COUNTIF($C$73:$C$80,C43)&gt;1,NOT(ISBLANK(C43)))</formula>
    </cfRule>
    <cfRule type="expression" dxfId="1864" priority="14830" stopIfTrue="1">
      <formula>AND(COUNTIF($C$144:$C$64820,C43)+COUNTIF($C$133:$C$142,C43)+COUNTIF(#REF!,C43)+COUNTIF($C$1:$C$8,C43)+COUNTIF($C$11:$C$22,C43)+COUNTIF($C$90:$C$96,C43)+COUNTIF(#REF!,C43)+COUNTIF($C$58:$C$65,C43)+COUNTIF($C$111:$C$111,C43)+COUNTIF($C$26:$C$26,C43)+COUNTIF($C$82:$C$89,C43)+COUNTIF($C$101:$C$101,C43)+COUNTIF($C$124:$C$132,C43)+COUNTIF($C$41:$C$47,C43)+COUNTIF($C$106:$C$107,C43)+COUNTIF($C$67:$C$80,C43)&gt;1,NOT(ISBLANK(C43)))</formula>
    </cfRule>
    <cfRule type="expression" dxfId="1863" priority="14831" stopIfTrue="1">
      <formula>AND(COUNTIF($C$138:$C$142,C43)+COUNTIF($C$42:$C$42,C43)+COUNTIF(#REF!,C43)+COUNTIF($C$1:$C$5,C43)+COUNTIF($C$11:$C$11,C43)+COUNTIF($C$8:$C$8,C43)+COUNTIF($C$15:$C$15,C43)+COUNTIF($C$19:$C$20,C43)+COUNTIF($C$26:$C$26,C43)+COUNTIF($C$90:$C$90,C43)+COUNTIF(#REF!,C43)+COUNTIF($C$82:$C$82,C43)+COUNTIF(#REF!,C43)+COUNTIF($C$87:$C$89,C43)+COUNTIF($C$69:$C$71,C43)+COUNTIF($C$73:$C$77,C43)+COUNTIF($C$79:$C$80,C43)+COUNTIF($C$58:$C$59,C43)+COUNTIF($C$44:$C$46,C43)+COUNTIF($C$61:$C$65,C43)+COUNTIF(#REF!,C43)+COUNTIF($C$144:$C$64382,C43)&gt;1,NOT(ISBLANK(C43)))</formula>
    </cfRule>
    <cfRule type="duplicateValues" dxfId="1862" priority="14826"/>
    <cfRule type="expression" dxfId="1861" priority="14827" stopIfTrue="1">
      <formula>AND(COUNTIF($C$144:$C$64820,C43)+COUNTIF($C$133:$C$142,C43)+COUNTIF($C$125:$C$132,C43)+COUNTIF($C$1:$C$8,C43)+COUNTIF($C$11:$C$20,C43)+COUNTIF($C$26:$C$26,C43)+COUNTIF($C$87:$C$89,C43)+COUNTIF($C$111:$C$111,C43)+COUNTIF(#REF!,C43)+COUNTIF($C$90:$C$96,C43)+COUNTIF($C$82:$C$86,C43)+COUNTIF($C$101:$C$101,C43)+COUNTIF($C$41:$C$46,C43)+COUNTIF($C$58:$C$65,C43)+COUNTIF(#REF!,C43)+COUNTIF($C$106:$C$107,C43)+COUNTIF($C$69:$C$80,C43)&gt;1,NOT(ISBLANK(C43)))</formula>
    </cfRule>
    <cfRule type="expression" dxfId="1860" priority="14828" stopIfTrue="1">
      <formula>AND(COUNTIF($C$144:$C$64820,C43)+COUNTIF($C$133:$C$142,C43)+COUNTIF($C$1:$C$8,C43)+COUNTIF($C$87:$C$89,C43)+COUNTIF(#REF!,C43)+COUNTIF($C$11:$C$22,C43)+COUNTIF($C$90:$C$96,C43)+COUNTIF($C$82:$C$86,C43)+COUNTIF($C$111:$C$111,C43)+COUNTIF($C$41:$C$47,C43)+COUNTIF(#REF!,C43)+COUNTIF($C$58:$C$65,C43)+COUNTIF($C$26:$C$26,C43)+COUNTIF($C$101:$C$101,C43)+COUNTIF($C$124:$C$132,C43)+COUNTIF($C$106:$C$107,C43)+COUNTIF($C$67:$C$80,C43)&gt;1,NOT(ISBLANK(C43)))</formula>
    </cfRule>
  </conditionalFormatting>
  <conditionalFormatting sqref="C47">
    <cfRule type="duplicateValues" dxfId="1859" priority="4507"/>
  </conditionalFormatting>
  <conditionalFormatting sqref="C48">
    <cfRule type="duplicateValues" dxfId="1858" priority="8956"/>
  </conditionalFormatting>
  <conditionalFormatting sqref="C49">
    <cfRule type="duplicateValues" dxfId="1857" priority="318"/>
    <cfRule type="duplicateValues" dxfId="1856" priority="322"/>
  </conditionalFormatting>
  <conditionalFormatting sqref="C50">
    <cfRule type="duplicateValues" dxfId="1855" priority="78"/>
    <cfRule type="duplicateValues" dxfId="1854" priority="79"/>
  </conditionalFormatting>
  <conditionalFormatting sqref="C51">
    <cfRule type="duplicateValues" dxfId="1853" priority="11"/>
    <cfRule type="duplicateValues" dxfId="1852" priority="12"/>
  </conditionalFormatting>
  <conditionalFormatting sqref="C52">
    <cfRule type="duplicateValues" dxfId="1851" priority="6"/>
    <cfRule type="duplicateValues" dxfId="1850" priority="7"/>
  </conditionalFormatting>
  <conditionalFormatting sqref="C53">
    <cfRule type="duplicateValues" dxfId="1849" priority="3"/>
    <cfRule type="duplicateValues" dxfId="1848" priority="2"/>
  </conditionalFormatting>
  <conditionalFormatting sqref="C54">
    <cfRule type="duplicateValues" dxfId="1847" priority="175"/>
    <cfRule type="duplicateValues" dxfId="1846" priority="171"/>
  </conditionalFormatting>
  <conditionalFormatting sqref="C55">
    <cfRule type="duplicateValues" dxfId="1845" priority="1695"/>
    <cfRule type="duplicateValues" dxfId="1844" priority="1699"/>
  </conditionalFormatting>
  <conditionalFormatting sqref="C56">
    <cfRule type="duplicateValues" dxfId="1843" priority="41"/>
    <cfRule type="duplicateValues" dxfId="1842" priority="50"/>
  </conditionalFormatting>
  <conditionalFormatting sqref="C57">
    <cfRule type="duplicateValues" dxfId="1841" priority="25"/>
    <cfRule type="duplicateValues" dxfId="1840" priority="26"/>
  </conditionalFormatting>
  <conditionalFormatting sqref="C60">
    <cfRule type="duplicateValues" dxfId="1839" priority="5046"/>
  </conditionalFormatting>
  <conditionalFormatting sqref="C66">
    <cfRule type="duplicateValues" dxfId="1838" priority="4372"/>
  </conditionalFormatting>
  <conditionalFormatting sqref="C67">
    <cfRule type="duplicateValues" dxfId="1837" priority="4513"/>
  </conditionalFormatting>
  <conditionalFormatting sqref="C68">
    <cfRule type="duplicateValues" dxfId="1836" priority="14834"/>
    <cfRule type="expression" dxfId="1835" priority="14837" stopIfTrue="1">
      <formula>AND(COUNTIF($C$144:$C$64820,C68)+COUNTIF($C$133:$C$142,C68)+COUNTIF($C$1:$C$8,C68)+COUNTIF($C$87:$C$89,C68)+COUNTIF(#REF!,C68)+COUNTIF($C$11:$C$22,C68)+COUNTIF($C$90:$C$96,C68)+COUNTIF($C$82:$C$86,C68)+COUNTIF($C$111:$C$111,C68)+COUNTIF($C$41:$C$47,C68)+COUNTIF(#REF!,C68)+COUNTIF($C$58:$C$65,C68)+COUNTIF($C$26:$C$26,C68)+COUNTIF($C$101:$C$101,C68)+COUNTIF($C$124:$C$132,C68)+COUNTIF($C$106:$C$107,C68)+COUNTIF($C$67:$C$80,C68)&gt;1,NOT(ISBLANK(C68)))</formula>
    </cfRule>
    <cfRule type="expression" dxfId="1834" priority="14836" stopIfTrue="1">
      <formula>AND(COUNTIF($C$144:$C$64820,C68)+COUNTIF($C$133:$C$142,C68)+COUNTIF($C$125:$C$132,C68)+COUNTIF($C$1:$C$8,C68)+COUNTIF($C$11:$C$20,C68)+COUNTIF($C$26:$C$26,C68)+COUNTIF($C$87:$C$89,C68)+COUNTIF($C$111:$C$111,C68)+COUNTIF(#REF!,C68)+COUNTIF($C$90:$C$96,C68)+COUNTIF($C$82:$C$86,C68)+COUNTIF($C$101:$C$101,C68)+COUNTIF($C$41:$C$46,C68)+COUNTIF($C$58:$C$65,C68)+COUNTIF(#REF!,C68)+COUNTIF($C$106:$C$107,C68)+COUNTIF($C$69:$C$80,C68)&gt;1,NOT(ISBLANK(C68)))</formula>
    </cfRule>
    <cfRule type="duplicateValues" dxfId="1833" priority="14835"/>
    <cfRule type="expression" dxfId="1832" priority="14838" stopIfTrue="1">
      <formula>AND(COUNTIF($C$144:$C$64820,C68)+COUNTIF($C$133:$C$142,C68)+COUNTIF(#REF!,C68)+COUNTIF($C$1:$C$8,C68)+COUNTIF($C$11:$C$22,C68)+COUNTIF($C$90:$C$96,C68)+COUNTIF(#REF!,C68)+COUNTIF($C$58:$C$65,C68)+COUNTIF($C$111:$C$111,C68)+COUNTIF($C$26:$C$26,C68)+COUNTIF($C$82:$C$89,C68)+COUNTIF($C$101:$C$101,C68)+COUNTIF($C$124:$C$132,C68)+COUNTIF($C$41:$C$47,C68)+COUNTIF($C$106:$C$107,C68)+COUNTIF($C$67:$C$80,C68)&gt;1,NOT(ISBLANK(C68)))</formula>
    </cfRule>
  </conditionalFormatting>
  <conditionalFormatting sqref="C72">
    <cfRule type="duplicateValues" dxfId="1831" priority="4820"/>
  </conditionalFormatting>
  <conditionalFormatting sqref="C73:C82">
    <cfRule type="expression" dxfId="1830" priority="13436" stopIfTrue="1">
      <formula>AND(COUNTIF($C$138:$C$142,C73)+COUNTIF($C$69:$C$71,C73)+COUNTIF($C$1:$C$5,C73)+COUNTIF($C$11:$C$11,C73)+COUNTIF($C$8:$C$8,C73)+COUNTIF($C$14:$C$20,C73)+COUNTIF($C$26:$C$26,C73)+COUNTIF($C$42:$C$42,C73)+COUNTIF($C$44:$C$46,C73)+COUNTIF(#REF!,C73)+COUNTIF(#REF!,C73)+COUNTIF($C$82:$C$82,C73)+COUNTIF($C$101:$C$101,C73)+COUNTIF(#REF!,C73)+COUNTIF(#REF!,C73)+COUNTIF($C$133:$C$133,C73)+COUNTIF(#REF!,C73)+COUNTIF($C$87:$C$89,C73)+COUNTIF(#REF!,C73)+COUNTIF($C$90:$C$90,C73)+COUNTIF($C$144:$C$64382,C73)+COUNTIF($C$58:$C$65,C73)+COUNTIF($C$106:$C$107,C73)+COUNTIF($C$73:$C$80,C73)&gt;1,NOT(ISBLANK(C73)))</formula>
    </cfRule>
  </conditionalFormatting>
  <conditionalFormatting sqref="C78">
    <cfRule type="expression" dxfId="1829" priority="14849" stopIfTrue="1">
      <formula>AND(COUNTIF($C$138:$C$142,C78)+COUNTIF($C$42:$C$42,C78)+COUNTIF(#REF!,C78)+COUNTIF($C$1:$C$5,C78)+COUNTIF($C$11:$C$11,C78)+COUNTIF($C$8:$C$8,C78)+COUNTIF($C$15:$C$15,C78)+COUNTIF($C$19:$C$20,C78)+COUNTIF($C$26:$C$26,C78)+COUNTIF($C$90:$C$90,C78)+COUNTIF(#REF!,C78)+COUNTIF($C$82:$C$82,C78)+COUNTIF(#REF!,C78)+COUNTIF($C$87:$C$89,C78)+COUNTIF($C$69:$C$71,C78)+COUNTIF($C$73:$C$77,C78)+COUNTIF($C$79:$C$80,C78)+COUNTIF($C$58:$C$59,C78)+COUNTIF($C$44:$C$46,C78)+COUNTIF($C$61:$C$65,C78)+COUNTIF(#REF!,C78)+COUNTIF($C$144:$C$64382,C78)&gt;1,NOT(ISBLANK(C78)))</formula>
    </cfRule>
    <cfRule type="expression" dxfId="1828" priority="14848" stopIfTrue="1">
      <formula>AND(COUNTIF($C$144:$C$64820,C78)+COUNTIF($C$133:$C$142,C78)+COUNTIF(#REF!,C78)+COUNTIF($C$1:$C$8,C78)+COUNTIF($C$11:$C$22,C78)+COUNTIF($C$90:$C$96,C78)+COUNTIF(#REF!,C78)+COUNTIF($C$58:$C$65,C78)+COUNTIF($C$111:$C$111,C78)+COUNTIF($C$26:$C$26,C78)+COUNTIF($C$82:$C$89,C78)+COUNTIF($C$101:$C$101,C78)+COUNTIF($C$124:$C$132,C78)+COUNTIF($C$41:$C$47,C78)+COUNTIF($C$106:$C$107,C78)+COUNTIF($C$67:$C$80,C78)&gt;1,NOT(ISBLANK(C78)))</formula>
    </cfRule>
    <cfRule type="expression" dxfId="1827" priority="14847" stopIfTrue="1">
      <formula>AND(COUNTIF($C$138:$C$142,C78)+COUNTIF($C$69:$C$71,C78)+COUNTIF($C$42:$C$42,C78)+COUNTIF($C$1:$C$5,C78)+COUNTIF($C$11:$C$11,C78)+COUNTIF($C$8:$C$8,C78)+COUNTIF($C$14:$C$20,C78)+COUNTIF($C$26:$C$26,C78)+COUNTIF($C$44:$C$46,C78)+COUNTIF($C$82:$C$83,C78)+COUNTIF(#REF!,C78)+COUNTIF(#REF!,C78)+COUNTIF($C$101:$C$101,C78)+COUNTIF(#REF!,C78)+COUNTIF(#REF!,C78)+COUNTIF($C$133:$C$133,C78)+COUNTIF($C$85:$C$86,C78)+COUNTIF($C$87:$C$89,C78)+COUNTIF(#REF!,C78)+COUNTIF($C$90:$C$90,C78)+COUNTIF($C$144:$C$64820,C78)+COUNTIF($C$58:$C$65,C78)+COUNTIF($C$106:$C$107,C78)+COUNTIF($C$73:$C$80,C78)&gt;1,NOT(ISBLANK(C78)))</formula>
    </cfRule>
    <cfRule type="expression" dxfId="1826" priority="14846" stopIfTrue="1">
      <formula>AND(COUNTIF($C$144:$C$64820,C78)+COUNTIF($C$133:$C$142,C78)+COUNTIF($C$1:$C$8,C78)+COUNTIF($C$87:$C$89,C78)+COUNTIF(#REF!,C78)+COUNTIF($C$11:$C$22,C78)+COUNTIF($C$90:$C$96,C78)+COUNTIF($C$82:$C$86,C78)+COUNTIF($C$111:$C$111,C78)+COUNTIF($C$41:$C$47,C78)+COUNTIF(#REF!,C78)+COUNTIF($C$58:$C$65,C78)+COUNTIF($C$26:$C$26,C78)+COUNTIF($C$101:$C$101,C78)+COUNTIF($C$124:$C$132,C78)+COUNTIF($C$106:$C$107,C78)+COUNTIF($C$67:$C$80,C78)&gt;1,NOT(ISBLANK(C78)))</formula>
    </cfRule>
    <cfRule type="expression" dxfId="1825" priority="14845" stopIfTrue="1">
      <formula>AND(COUNTIF($C$144:$C$64820,C78)+COUNTIF($C$133:$C$142,C78)+COUNTIF($C$125:$C$132,C78)+COUNTIF($C$1:$C$8,C78)+COUNTIF($C$11:$C$20,C78)+COUNTIF($C$26:$C$26,C78)+COUNTIF($C$87:$C$89,C78)+COUNTIF($C$111:$C$111,C78)+COUNTIF(#REF!,C78)+COUNTIF($C$90:$C$96,C78)+COUNTIF($C$82:$C$86,C78)+COUNTIF($C$101:$C$101,C78)+COUNTIF($C$41:$C$46,C78)+COUNTIF($C$58:$C$65,C78)+COUNTIF(#REF!,C78)+COUNTIF($C$106:$C$107,C78)+COUNTIF($C$69:$C$80,C78)&gt;1,NOT(ISBLANK(C78)))</formula>
    </cfRule>
    <cfRule type="duplicateValues" dxfId="1824" priority="14844"/>
  </conditionalFormatting>
  <conditionalFormatting sqref="C79:C81">
    <cfRule type="expression" dxfId="1823" priority="13435" stopIfTrue="1">
      <formula>AND(COUNTIF($C$133:$C$64820,C79)+COUNTIF($C$111:$C$111,C79)+COUNTIF($C$1:$C$23,C79)+COUNTIF($C$124:$C$132,C79)+COUNTIF($C$41:$C$47,C79)+COUNTIF($C$26:$C$33,C79)+COUNTIF($C$58:$C$96,C79)+COUNTIF($C$101:$C$107,C79)&gt;1,NOT(ISBLANK(C79)))</formula>
    </cfRule>
  </conditionalFormatting>
  <conditionalFormatting sqref="C81">
    <cfRule type="expression" dxfId="1822" priority="14855" stopIfTrue="1">
      <formula>AND(COUNTIF($C$138:$C$142,C81)+COUNTIF($C$42:$C$42,C81)+COUNTIF(#REF!,C81)+COUNTIF($C$1:$C$5,C81)+COUNTIF($C$11:$C$11,C81)+COUNTIF($C$8:$C$8,C81)+COUNTIF($C$15:$C$15,C81)+COUNTIF($C$19:$C$20,C81)+COUNTIF($C$26:$C$26,C81)+COUNTIF($C$90:$C$90,C81)+COUNTIF(#REF!,C81)+COUNTIF($C$82:$C$82,C81)+COUNTIF(#REF!,C81)+COUNTIF($C$87:$C$89,C81)+COUNTIF($C$69:$C$71,C81)+COUNTIF($C$73:$C$77,C81)+COUNTIF($C$79:$C$80,C81)+COUNTIF($C$58:$C$59,C81)+COUNTIF($C$44:$C$46,C81)+COUNTIF($C$61:$C$65,C81)+COUNTIF(#REF!,C81)+COUNTIF($C$144:$C$64382,C81)&gt;1,NOT(ISBLANK(C81)))</formula>
    </cfRule>
    <cfRule type="duplicateValues" dxfId="1821" priority="14850"/>
    <cfRule type="expression" dxfId="1820" priority="14851" stopIfTrue="1">
      <formula>AND(COUNTIF($C$144:$C$64820,C81)+COUNTIF($C$133:$C$142,C81)+COUNTIF($C$125:$C$132,C81)+COUNTIF($C$1:$C$8,C81)+COUNTIF($C$11:$C$20,C81)+COUNTIF($C$26:$C$26,C81)+COUNTIF($C$87:$C$89,C81)+COUNTIF($C$111:$C$111,C81)+COUNTIF(#REF!,C81)+COUNTIF($C$90:$C$96,C81)+COUNTIF($C$82:$C$86,C81)+COUNTIF($C$101:$C$101,C81)+COUNTIF($C$41:$C$46,C81)+COUNTIF($C$58:$C$65,C81)+COUNTIF(#REF!,C81)+COUNTIF($C$106:$C$107,C81)+COUNTIF($C$69:$C$80,C81)&gt;1,NOT(ISBLANK(C81)))</formula>
    </cfRule>
    <cfRule type="expression" dxfId="1819" priority="14852" stopIfTrue="1">
      <formula>AND(COUNTIF($C$144:$C$64820,C81)+COUNTIF($C$133:$C$142,C81)+COUNTIF($C$1:$C$8,C81)+COUNTIF($C$87:$C$89,C81)+COUNTIF(#REF!,C81)+COUNTIF($C$11:$C$22,C81)+COUNTIF($C$90:$C$96,C81)+COUNTIF($C$82:$C$86,C81)+COUNTIF($C$111:$C$111,C81)+COUNTIF($C$41:$C$47,C81)+COUNTIF(#REF!,C81)+COUNTIF($C$58:$C$65,C81)+COUNTIF($C$26:$C$26,C81)+COUNTIF($C$101:$C$101,C81)+COUNTIF($C$124:$C$132,C81)+COUNTIF($C$106:$C$107,C81)+COUNTIF($C$67:$C$80,C81)&gt;1,NOT(ISBLANK(C81)))</formula>
    </cfRule>
    <cfRule type="expression" dxfId="1818" priority="14853" stopIfTrue="1">
      <formula>AND(COUNTIF($C$138:$C$142,C81)+COUNTIF($C$69:$C$71,C81)+COUNTIF($C$42:$C$42,C81)+COUNTIF($C$1:$C$5,C81)+COUNTIF($C$11:$C$11,C81)+COUNTIF($C$8:$C$8,C81)+COUNTIF($C$14:$C$20,C81)+COUNTIF($C$26:$C$26,C81)+COUNTIF($C$44:$C$46,C81)+COUNTIF($C$82:$C$83,C81)+COUNTIF(#REF!,C81)+COUNTIF(#REF!,C81)+COUNTIF($C$101:$C$101,C81)+COUNTIF(#REF!,C81)+COUNTIF(#REF!,C81)+COUNTIF($C$133:$C$133,C81)+COUNTIF($C$85:$C$86,C81)+COUNTIF($C$87:$C$89,C81)+COUNTIF(#REF!,C81)+COUNTIF($C$90:$C$90,C81)+COUNTIF($C$144:$C$64820,C81)+COUNTIF($C$58:$C$65,C81)+COUNTIF($C$106:$C$107,C81)+COUNTIF($C$73:$C$80,C81)&gt;1,NOT(ISBLANK(C81)))</formula>
    </cfRule>
    <cfRule type="expression" dxfId="1817" priority="14854" stopIfTrue="1">
      <formula>AND(COUNTIF($C$144:$C$64820,C81)+COUNTIF($C$133:$C$142,C81)+COUNTIF(#REF!,C81)+COUNTIF($C$1:$C$8,C81)+COUNTIF($C$11:$C$22,C81)+COUNTIF($C$90:$C$96,C81)+COUNTIF(#REF!,C81)+COUNTIF($C$58:$C$65,C81)+COUNTIF($C$111:$C$111,C81)+COUNTIF($C$26:$C$26,C81)+COUNTIF($C$82:$C$89,C81)+COUNTIF($C$101:$C$101,C81)+COUNTIF($C$124:$C$132,C81)+COUNTIF($C$41:$C$47,C81)+COUNTIF($C$106:$C$107,C81)+COUNTIF($C$67:$C$80,C81)&gt;1,NOT(ISBLANK(C81)))</formula>
    </cfRule>
  </conditionalFormatting>
  <conditionalFormatting sqref="C83 C85">
    <cfRule type="duplicateValues" dxfId="1816" priority="8132" stopIfTrue="1"/>
  </conditionalFormatting>
  <conditionalFormatting sqref="C84">
    <cfRule type="duplicateValues" dxfId="1815" priority="4805"/>
  </conditionalFormatting>
  <conditionalFormatting sqref="C86">
    <cfRule type="expression" dxfId="1814" priority="14861" stopIfTrue="1">
      <formula>AND(COUNTIF($C$138:$C$142,C86)+COUNTIF($C$69:$C$71,C86)+COUNTIF($C$1:$C$5,C86)+COUNTIF($C$11:$C$11,C86)+COUNTIF($C$8:$C$8,C86)+COUNTIF($C$14:$C$20,C86)+COUNTIF($C$26:$C$26,C86)+COUNTIF($C$42:$C$42,C86)+COUNTIF($C$44:$C$46,C86)+COUNTIF(#REF!,C86)+COUNTIF(#REF!,C86)+COUNTIF($C$82:$C$82,C86)+COUNTIF($C$101:$C$101,C86)+COUNTIF(#REF!,C86)+COUNTIF(#REF!,C86)+COUNTIF($C$133:$C$133,C86)+COUNTIF(#REF!,C86)+COUNTIF($C$87:$C$89,C86)+COUNTIF(#REF!,C86)+COUNTIF($C$90:$C$90,C86)+COUNTIF($C$144:$C$64382,C86)+COUNTIF($C$58:$C$65,C86)+COUNTIF($C$106:$C$107,C86)+COUNTIF($C$73:$C$80,C86)&gt;1,NOT(ISBLANK(C86)))</formula>
    </cfRule>
    <cfRule type="duplicateValues" dxfId="1813" priority="14856"/>
    <cfRule type="expression" dxfId="1812" priority="14857" stopIfTrue="1">
      <formula>AND(COUNTIF($C$144:$C$64820,C86)+COUNTIF($C$133:$C$142,C86)+COUNTIF($C$125:$C$132,C86)+COUNTIF($C$1:$C$8,C86)+COUNTIF($C$11:$C$20,C86)+COUNTIF($C$26:$C$26,C86)+COUNTIF($C$87:$C$89,C86)+COUNTIF($C$111:$C$111,C86)+COUNTIF(#REF!,C86)+COUNTIF($C$90:$C$96,C86)+COUNTIF($C$82:$C$86,C86)+COUNTIF($C$101:$C$101,C86)+COUNTIF($C$41:$C$46,C86)+COUNTIF($C$58:$C$65,C86)+COUNTIF(#REF!,C86)+COUNTIF($C$106:$C$107,C86)+COUNTIF($C$69:$C$80,C86)&gt;1,NOT(ISBLANK(C86)))</formula>
    </cfRule>
    <cfRule type="expression" dxfId="1811" priority="14860" stopIfTrue="1">
      <formula>AND(COUNTIF($C$144:$C$64820,C86)+COUNTIF($C$133:$C$142,C86)+COUNTIF(#REF!,C86)+COUNTIF($C$1:$C$8,C86)+COUNTIF($C$11:$C$22,C86)+COUNTIF($C$90:$C$96,C86)+COUNTIF(#REF!,C86)+COUNTIF($C$58:$C$65,C86)+COUNTIF($C$111:$C$111,C86)+COUNTIF($C$26:$C$26,C86)+COUNTIF($C$82:$C$89,C86)+COUNTIF($C$101:$C$101,C86)+COUNTIF($C$124:$C$132,C86)+COUNTIF($C$41:$C$47,C86)+COUNTIF($C$106:$C$107,C86)+COUNTIF($C$67:$C$80,C86)&gt;1,NOT(ISBLANK(C86)))</formula>
    </cfRule>
    <cfRule type="expression" dxfId="1810" priority="14858" stopIfTrue="1">
      <formula>AND(COUNTIF($C$144:$C$64820,C86)+COUNTIF($C$133:$C$142,C86)+COUNTIF($C$1:$C$8,C86)+COUNTIF($C$87:$C$89,C86)+COUNTIF(#REF!,C86)+COUNTIF($C$11:$C$22,C86)+COUNTIF($C$90:$C$96,C86)+COUNTIF($C$82:$C$86,C86)+COUNTIF($C$111:$C$111,C86)+COUNTIF($C$41:$C$47,C86)+COUNTIF(#REF!,C86)+COUNTIF($C$58:$C$65,C86)+COUNTIF($C$26:$C$26,C86)+COUNTIF($C$101:$C$101,C86)+COUNTIF($C$124:$C$132,C86)+COUNTIF($C$106:$C$107,C86)+COUNTIF($C$67:$C$80,C86)&gt;1,NOT(ISBLANK(C86)))</formula>
    </cfRule>
    <cfRule type="expression" dxfId="1809" priority="14862" stopIfTrue="1">
      <formula>AND(COUNTIF($C$138:$C$142,C86)+COUNTIF($C$42:$C$42,C86)+COUNTIF(#REF!,C86)+COUNTIF($C$1:$C$5,C86)+COUNTIF($C$11:$C$11,C86)+COUNTIF($C$8:$C$8,C86)+COUNTIF($C$15:$C$15,C86)+COUNTIF($C$19:$C$20,C86)+COUNTIF($C$26:$C$26,C86)+COUNTIF($C$90:$C$90,C86)+COUNTIF(#REF!,C86)+COUNTIF($C$82:$C$82,C86)+COUNTIF(#REF!,C86)+COUNTIF($C$87:$C$89,C86)+COUNTIF($C$69:$C$71,C86)+COUNTIF($C$73:$C$77,C86)+COUNTIF($C$79:$C$80,C86)+COUNTIF($C$58:$C$59,C86)+COUNTIF($C$44:$C$46,C86)+COUNTIF($C$61:$C$65,C86)+COUNTIF(#REF!,C86)+COUNTIF($C$144:$C$64382,C86)&gt;1,NOT(ISBLANK(C86)))</formula>
    </cfRule>
    <cfRule type="expression" dxfId="1808" priority="14859" stopIfTrue="1">
      <formula>AND(COUNTIF($C$138:$C$142,C86)+COUNTIF($C$69:$C$71,C86)+COUNTIF($C$42:$C$42,C86)+COUNTIF($C$1:$C$5,C86)+COUNTIF($C$11:$C$11,C86)+COUNTIF($C$8:$C$8,C86)+COUNTIF($C$14:$C$20,C86)+COUNTIF($C$26:$C$26,C86)+COUNTIF($C$44:$C$46,C86)+COUNTIF($C$82:$C$83,C86)+COUNTIF(#REF!,C86)+COUNTIF(#REF!,C86)+COUNTIF($C$101:$C$101,C86)+COUNTIF(#REF!,C86)+COUNTIF(#REF!,C86)+COUNTIF($C$133:$C$133,C86)+COUNTIF($C$85:$C$86,C86)+COUNTIF($C$87:$C$89,C86)+COUNTIF(#REF!,C86)+COUNTIF($C$90:$C$90,C86)+COUNTIF($C$144:$C$64820,C86)+COUNTIF($C$58:$C$65,C86)+COUNTIF($C$106:$C$107,C86)+COUNTIF($C$73:$C$80,C86)&gt;1,NOT(ISBLANK(C86)))</formula>
    </cfRule>
  </conditionalFormatting>
  <conditionalFormatting sqref="C89">
    <cfRule type="expression" dxfId="1807" priority="14868" stopIfTrue="1">
      <formula>AND(COUNTIF($C$138:$C$142,C89)+COUNTIF($C$42:$C$42,C89)+COUNTIF(#REF!,C89)+COUNTIF($C$1:$C$5,C89)+COUNTIF($C$11:$C$11,C89)+COUNTIF($C$8:$C$8,C89)+COUNTIF($C$15:$C$15,C89)+COUNTIF($C$19:$C$20,C89)+COUNTIF($C$26:$C$26,C89)+COUNTIF($C$90:$C$90,C89)+COUNTIF(#REF!,C89)+COUNTIF($C$82:$C$82,C89)+COUNTIF(#REF!,C89)+COUNTIF($C$87:$C$89,C89)+COUNTIF($C$69:$C$71,C89)+COUNTIF($C$73:$C$77,C89)+COUNTIF($C$79:$C$80,C89)+COUNTIF($C$58:$C$59,C89)+COUNTIF($C$44:$C$46,C89)+COUNTIF($C$61:$C$65,C89)+COUNTIF(#REF!,C89)+COUNTIF($C$144:$C$64382,C89)&gt;1,NOT(ISBLANK(C89)))</formula>
    </cfRule>
    <cfRule type="expression" dxfId="1806" priority="14864" stopIfTrue="1">
      <formula>AND(COUNTIF($C$144:$C$64820,C89)+COUNTIF($C$133:$C$142,C89)+COUNTIF($C$125:$C$132,C89)+COUNTIF($C$1:$C$8,C89)+COUNTIF($C$11:$C$20,C89)+COUNTIF($C$26:$C$26,C89)+COUNTIF($C$87:$C$89,C89)+COUNTIF($C$111:$C$111,C89)+COUNTIF(#REF!,C89)+COUNTIF($C$90:$C$96,C89)+COUNTIF($C$82:$C$86,C89)+COUNTIF($C$101:$C$101,C89)+COUNTIF($C$41:$C$46,C89)+COUNTIF($C$58:$C$65,C89)+COUNTIF(#REF!,C89)+COUNTIF($C$106:$C$107,C89)+COUNTIF($C$69:$C$80,C89)&gt;1,NOT(ISBLANK(C89)))</formula>
    </cfRule>
    <cfRule type="expression" dxfId="1805" priority="14867" stopIfTrue="1">
      <formula>AND(COUNTIF($C$144:$C$64820,C89)+COUNTIF($C$133:$C$142,C89)+COUNTIF(#REF!,C89)+COUNTIF($C$1:$C$8,C89)+COUNTIF($C$11:$C$22,C89)+COUNTIF($C$90:$C$96,C89)+COUNTIF(#REF!,C89)+COUNTIF($C$58:$C$65,C89)+COUNTIF($C$111:$C$111,C89)+COUNTIF($C$26:$C$26,C89)+COUNTIF($C$82:$C$89,C89)+COUNTIF($C$101:$C$101,C89)+COUNTIF($C$124:$C$132,C89)+COUNTIF($C$41:$C$47,C89)+COUNTIF($C$106:$C$107,C89)+COUNTIF($C$67:$C$80,C89)&gt;1,NOT(ISBLANK(C89)))</formula>
    </cfRule>
    <cfRule type="duplicateValues" dxfId="1804" priority="14863"/>
    <cfRule type="expression" dxfId="1803" priority="14866" stopIfTrue="1">
      <formula>AND(COUNTIF($C$138:$C$142,C89)+COUNTIF($C$69:$C$71,C89)+COUNTIF($C$42:$C$42,C89)+COUNTIF($C$1:$C$5,C89)+COUNTIF($C$11:$C$11,C89)+COUNTIF($C$8:$C$8,C89)+COUNTIF($C$14:$C$20,C89)+COUNTIF($C$26:$C$26,C89)+COUNTIF($C$44:$C$46,C89)+COUNTIF($C$82:$C$83,C89)+COUNTIF(#REF!,C89)+COUNTIF(#REF!,C89)+COUNTIF($C$101:$C$101,C89)+COUNTIF(#REF!,C89)+COUNTIF(#REF!,C89)+COUNTIF($C$133:$C$133,C89)+COUNTIF($C$85:$C$86,C89)+COUNTIF($C$87:$C$89,C89)+COUNTIF(#REF!,C89)+COUNTIF($C$90:$C$90,C89)+COUNTIF($C$144:$C$64820,C89)+COUNTIF($C$58:$C$65,C89)+COUNTIF($C$106:$C$107,C89)+COUNTIF($C$73:$C$80,C89)&gt;1,NOT(ISBLANK(C89)))</formula>
    </cfRule>
    <cfRule type="expression" dxfId="1802" priority="14865" stopIfTrue="1">
      <formula>AND(COUNTIF($C$144:$C$64820,C89)+COUNTIF($C$133:$C$142,C89)+COUNTIF($C$1:$C$8,C89)+COUNTIF($C$87:$C$89,C89)+COUNTIF(#REF!,C89)+COUNTIF($C$11:$C$22,C89)+COUNTIF($C$90:$C$96,C89)+COUNTIF($C$82:$C$86,C89)+COUNTIF($C$111:$C$111,C89)+COUNTIF($C$41:$C$47,C89)+COUNTIF(#REF!,C89)+COUNTIF($C$58:$C$65,C89)+COUNTIF($C$26:$C$26,C89)+COUNTIF($C$101:$C$101,C89)+COUNTIF($C$124:$C$132,C89)+COUNTIF($C$106:$C$107,C89)+COUNTIF($C$67:$C$80,C89)&gt;1,NOT(ISBLANK(C89)))</formula>
    </cfRule>
  </conditionalFormatting>
  <conditionalFormatting sqref="C91">
    <cfRule type="duplicateValues" dxfId="1801" priority="1743"/>
    <cfRule type="duplicateValues" dxfId="1800" priority="1747" stopIfTrue="1"/>
  </conditionalFormatting>
  <conditionalFormatting sqref="C92">
    <cfRule type="duplicateValues" dxfId="1799" priority="223"/>
    <cfRule type="duplicateValues" dxfId="1798" priority="224"/>
  </conditionalFormatting>
  <conditionalFormatting sqref="C94 C96">
    <cfRule type="duplicateValues" dxfId="1797" priority="14395"/>
    <cfRule type="expression" dxfId="1796" priority="14407" stopIfTrue="1">
      <formula>AND(COUNTIF($C$144:$C$64820,C94)+COUNTIF($C$133:$C$142,C94)+COUNTIF(#REF!,C94)+COUNTIF($C$1:$C$8,C94)+COUNTIF($C$11:$C$22,C94)+COUNTIF($C$90:$C$96,C94)+COUNTIF(#REF!,C94)+COUNTIF($C$58:$C$65,C94)+COUNTIF($C$111:$C$111,C94)+COUNTIF($C$26:$C$26,C94)+COUNTIF($C$82:$C$89,C94)+COUNTIF($C$101:$C$101,C94)+COUNTIF($C$124:$C$132,C94)+COUNTIF($C$41:$C$47,C94)+COUNTIF($C$106:$C$107,C94)+COUNTIF($C$67:$C$80,C94)&gt;1,NOT(ISBLANK(C94)))</formula>
    </cfRule>
    <cfRule type="expression" dxfId="1795" priority="14406" stopIfTrue="1">
      <formula>AND(COUNTIF($C$133:$C$64820,C94)+COUNTIF($C$111:$C$111,C94)+COUNTIF($C$1:$C$23,C94)+COUNTIF($C$124:$C$132,C94)+COUNTIF($C$41:$C$47,C94)+COUNTIF($C$26:$C$33,C94)+COUNTIF($C$58:$C$96,C94)+COUNTIF($C$101:$C$107,C94)&gt;1,NOT(ISBLANK(C94)))</formula>
    </cfRule>
    <cfRule type="expression" dxfId="1794" priority="14399" stopIfTrue="1">
      <formula>AND(COUNTIF($C$144:$C$64820,C94)+COUNTIF($C$133:$C$142,C94)+COUNTIF($C$1:$C$8,C94)+COUNTIF($C$87:$C$89,C94)+COUNTIF(#REF!,C94)+COUNTIF($C$11:$C$22,C94)+COUNTIF($C$90:$C$96,C94)+COUNTIF($C$82:$C$86,C94)+COUNTIF($C$111:$C$111,C94)+COUNTIF($C$41:$C$47,C94)+COUNTIF(#REF!,C94)+COUNTIF($C$58:$C$65,C94)+COUNTIF($C$26:$C$26,C94)+COUNTIF($C$101:$C$101,C94)+COUNTIF($C$124:$C$132,C94)+COUNTIF($C$106:$C$107,C94)+COUNTIF($C$67:$C$80,C94)&gt;1,NOT(ISBLANK(C94)))</formula>
    </cfRule>
    <cfRule type="expression" dxfId="1793" priority="14398" stopIfTrue="1">
      <formula>AND(COUNTIF($C$144:$C$64820,C94)+COUNTIF($C$133:$C$142,C94)+COUNTIF($C$125:$C$132,C94)+COUNTIF($C$1:$C$8,C94)+COUNTIF($C$11:$C$20,C94)+COUNTIF($C$26:$C$26,C94)+COUNTIF($C$87:$C$89,C94)+COUNTIF($C$111:$C$111,C94)+COUNTIF(#REF!,C94)+COUNTIF($C$90:$C$96,C94)+COUNTIF($C$82:$C$86,C94)+COUNTIF($C$101:$C$101,C94)+COUNTIF($C$41:$C$46,C94)+COUNTIF($C$58:$C$65,C94)+COUNTIF(#REF!,C94)+COUNTIF($C$106:$C$107,C94)+COUNTIF($C$69:$C$80,C94)&gt;1,NOT(ISBLANK(C94)))</formula>
    </cfRule>
    <cfRule type="expression" dxfId="1792" priority="14397" stopIfTrue="1">
      <formula>AND(COUNTIF($C$138:$C$142,C94)+COUNTIF($C$69:$C$71,C94)+COUNTIF($C$42:$C$42,C94)+COUNTIF($C$1:$C$5,C94)+COUNTIF($C$11:$C$11,C94)+COUNTIF($C$8:$C$8,C94)+COUNTIF($C$14:$C$20,C94)+COUNTIF($C$26:$C$26,C94)+COUNTIF($C$44:$C$46,C94)+COUNTIF($C$82:$C$83,C94)+COUNTIF(#REF!,C94)+COUNTIF(#REF!,C94)+COUNTIF($C$101:$C$101,C94)+COUNTIF(#REF!,C94)+COUNTIF(#REF!,C94)+COUNTIF($C$133:$C$133,C94)+COUNTIF($C$85:$C$86,C94)+COUNTIF($C$87:$C$89,C94)+COUNTIF(#REF!,C94)+COUNTIF($C$90:$C$90,C94)+COUNTIF($C$144:$C$64820,C94)+COUNTIF($C$58:$C$65,C94)+COUNTIF($C$106:$C$107,C94)+COUNTIF($C$73:$C$80,C94)&gt;1,NOT(ISBLANK(C94)))</formula>
    </cfRule>
    <cfRule type="expression" dxfId="1791" priority="14396" stopIfTrue="1">
      <formula>AND(COUNTIF($C$138:$C$142,C94)+COUNTIF($C$69:$C$71,C94)+COUNTIF($C$1:$C$5,C94)+COUNTIF($C$11:$C$11,C94)+COUNTIF($C$8:$C$8,C94)+COUNTIF($C$14:$C$20,C94)+COUNTIF($C$26:$C$26,C94)+COUNTIF($C$42:$C$42,C94)+COUNTIF($C$44:$C$46,C94)+COUNTIF(#REF!,C94)+COUNTIF(#REF!,C94)+COUNTIF($C$82:$C$82,C94)+COUNTIF($C$101:$C$101,C94)+COUNTIF(#REF!,C94)+COUNTIF(#REF!,C94)+COUNTIF($C$133:$C$133,C94)+COUNTIF(#REF!,C94)+COUNTIF($C$87:$C$89,C94)+COUNTIF(#REF!,C94)+COUNTIF($C$90:$C$90,C94)+COUNTIF($C$144:$C$64382,C94)+COUNTIF($C$58:$C$65,C94)+COUNTIF($C$106:$C$107,C94)+COUNTIF($C$73:$C$80,C94)&gt;1,NOT(ISBLANK(C94)))</formula>
    </cfRule>
  </conditionalFormatting>
  <conditionalFormatting sqref="C94">
    <cfRule type="duplicateValues" dxfId="1790" priority="247" stopIfTrue="1"/>
    <cfRule type="duplicateValues" dxfId="1789" priority="246"/>
  </conditionalFormatting>
  <conditionalFormatting sqref="C94:C96">
    <cfRule type="duplicateValues" dxfId="1788" priority="238"/>
  </conditionalFormatting>
  <conditionalFormatting sqref="C95">
    <cfRule type="duplicateValues" dxfId="1787" priority="242"/>
    <cfRule type="duplicateValues" dxfId="1786" priority="241"/>
  </conditionalFormatting>
  <conditionalFormatting sqref="C96">
    <cfRule type="expression" dxfId="1785" priority="14039" stopIfTrue="1">
      <formula>AND(COUNTIF($C$138:$C$142,C96)+COUNTIF($C$42:$C$42,C96)+COUNTIF(#REF!,C96)+COUNTIF($C$1:$C$5,C96)+COUNTIF($C$11:$C$11,C96)+COUNTIF($C$8:$C$8,C96)+COUNTIF($C$15:$C$15,C96)+COUNTIF($C$19:$C$20,C96)+COUNTIF($C$26:$C$26,C96)+COUNTIF($C$90:$C$90,C96)+COUNTIF(#REF!,C96)+COUNTIF($C$82:$C$82,C96)+COUNTIF(#REF!,C96)+COUNTIF($C$87:$C$89,C96)+COUNTIF($C$69:$C$71,C96)+COUNTIF($C$73:$C$77,C96)+COUNTIF($C$79:$C$80,C96)+COUNTIF($C$58:$C$59,C96)+COUNTIF($C$44:$C$46,C96)+COUNTIF($C$61:$C$65,C96)+COUNTIF(#REF!,C96)+COUNTIF($C$144:$C$64382,C96)&gt;1,NOT(ISBLANK(C96)))</formula>
    </cfRule>
    <cfRule type="duplicateValues" dxfId="1784" priority="14038"/>
  </conditionalFormatting>
  <conditionalFormatting sqref="C97">
    <cfRule type="duplicateValues" dxfId="1783" priority="1832"/>
    <cfRule type="duplicateValues" dxfId="1782" priority="1835"/>
  </conditionalFormatting>
  <conditionalFormatting sqref="C98">
    <cfRule type="duplicateValues" dxfId="1781" priority="124"/>
    <cfRule type="duplicateValues" dxfId="1780" priority="128"/>
  </conditionalFormatting>
  <conditionalFormatting sqref="C99">
    <cfRule type="duplicateValues" dxfId="1779" priority="13451" stopIfTrue="1"/>
    <cfRule type="duplicateValues" dxfId="1778" priority="13450"/>
    <cfRule type="expression" dxfId="1777" priority="13452" stopIfTrue="1">
      <formula>AND(COUNTIF($C$144:$C$64820,C99)+COUNTIF($C$133:$C$142,C99)+COUNTIF($C$125:$C$132,C99)+COUNTIF($C$1:$C$8,C99)+COUNTIF($C$11:$C$20,C99)+COUNTIF($C$26:$C$26,C99)+COUNTIF($C$87:$C$89,C99)+COUNTIF($C$111:$C$111,C99)+COUNTIF(#REF!,C99)+COUNTIF($C$90:$C$96,C99)+COUNTIF($C$82:$C$86,C99)+COUNTIF($C$101:$C$101,C99)+COUNTIF($C$41:$C$46,C99)+COUNTIF($C$58:$C$65,C99)+COUNTIF(#REF!,C99)+COUNTIF($C$106:$C$107,C99)+COUNTIF($C$69:$C$80,C99)&gt;1,NOT(ISBLANK(C99)))</formula>
    </cfRule>
    <cfRule type="expression" dxfId="1776" priority="13453" stopIfTrue="1">
      <formula>AND(COUNTIF($C$144:$C$64820,C99)+COUNTIF($C$133:$C$142,C99)+COUNTIF($C$1:$C$8,C99)+COUNTIF($C$87:$C$89,C99)+COUNTIF(#REF!,C99)+COUNTIF($C$11:$C$22,C99)+COUNTIF($C$90:$C$96,C99)+COUNTIF($C$82:$C$86,C99)+COUNTIF($C$111:$C$111,C99)+COUNTIF($C$41:$C$47,C99)+COUNTIF(#REF!,C99)+COUNTIF($C$58:$C$65,C99)+COUNTIF($C$26:$C$26,C99)+COUNTIF($C$101:$C$101,C99)+COUNTIF($C$124:$C$132,C99)+COUNTIF($C$106:$C$107,C99)+COUNTIF($C$67:$C$80,C99)&gt;1,NOT(ISBLANK(C99)))</formula>
    </cfRule>
    <cfRule type="expression" dxfId="1775" priority="13455" stopIfTrue="1">
      <formula>AND(COUNTIF($C$144:$C$64820,C99)+COUNTIF($C$133:$C$142,C99)+COUNTIF(#REF!,C99)+COUNTIF($C$1:$C$8,C99)+COUNTIF($C$11:$C$22,C99)+COUNTIF($C$90:$C$96,C99)+COUNTIF(#REF!,C99)+COUNTIF($C$58:$C$65,C99)+COUNTIF($C$111:$C$111,C99)+COUNTIF($C$26:$C$26,C99)+COUNTIF($C$82:$C$89,C99)+COUNTIF($C$101:$C$101,C99)+COUNTIF($C$124:$C$132,C99)+COUNTIF($C$41:$C$47,C99)+COUNTIF($C$106:$C$107,C99)+COUNTIF($C$67:$C$80,C99)&gt;1,NOT(ISBLANK(C99)))</formula>
    </cfRule>
    <cfRule type="expression" dxfId="1774" priority="13456" stopIfTrue="1">
      <formula>AND(COUNTIF($C$133:$C$64820,C99)+COUNTIF($C$111:$C$111,C99)+COUNTIF($C$1:$C$23,C99)+COUNTIF($C$124:$C$132,C99)+COUNTIF($C$41:$C$47,C99)+COUNTIF($C$26:$C$33,C99)+COUNTIF($C$58:$C$96,C99)+COUNTIF($C$101:$C$107,C99)&gt;1,NOT(ISBLANK(C99)))</formula>
    </cfRule>
    <cfRule type="expression" dxfId="1773" priority="13454" stopIfTrue="1">
      <formula>AND(COUNTIF($C$138:$C$142,C99)+COUNTIF($C$69:$C$71,C99)+COUNTIF($C$42:$C$42,C99)+COUNTIF($C$1:$C$5,C99)+COUNTIF($C$11:$C$11,C99)+COUNTIF($C$8:$C$8,C99)+COUNTIF($C$14:$C$20,C99)+COUNTIF($C$26:$C$26,C99)+COUNTIF($C$44:$C$46,C99)+COUNTIF($C$82:$C$83,C99)+COUNTIF(#REF!,C99)+COUNTIF(#REF!,C99)+COUNTIF($C$101:$C$101,C99)+COUNTIF(#REF!,C99)+COUNTIF(#REF!,C99)+COUNTIF($C$133:$C$133,C99)+COUNTIF($C$85:$C$86,C99)+COUNTIF($C$87:$C$89,C99)+COUNTIF(#REF!,C99)+COUNTIF($C$90:$C$90,C99)+COUNTIF($C$144:$C$64820,C99)+COUNTIF($C$58:$C$65,C99)+COUNTIF($C$106:$C$107,C99)+COUNTIF($C$73:$C$80,C99)&gt;1,NOT(ISBLANK(C99)))</formula>
    </cfRule>
    <cfRule type="expression" dxfId="1772" priority="13457" stopIfTrue="1">
      <formula>AND(COUNTIF($C$138:$C$142,C99)+COUNTIF($C$69:$C$71,C99)+COUNTIF($C$1:$C$5,C99)+COUNTIF($C$11:$C$11,C99)+COUNTIF($C$8:$C$8,C99)+COUNTIF($C$14:$C$20,C99)+COUNTIF($C$26:$C$26,C99)+COUNTIF($C$42:$C$42,C99)+COUNTIF($C$44:$C$46,C99)+COUNTIF(#REF!,C99)+COUNTIF(#REF!,C99)+COUNTIF($C$82:$C$82,C99)+COUNTIF($C$101:$C$101,C99)+COUNTIF(#REF!,C99)+COUNTIF(#REF!,C99)+COUNTIF($C$133:$C$133,C99)+COUNTIF(#REF!,C99)+COUNTIF($C$87:$C$89,C99)+COUNTIF(#REF!,C99)+COUNTIF($C$90:$C$90,C99)+COUNTIF($C$144:$C$64382,C99)+COUNTIF($C$58:$C$65,C99)+COUNTIF($C$106:$C$107,C99)+COUNTIF($C$73:$C$80,C99)&gt;1,NOT(ISBLANK(C99)))</formula>
    </cfRule>
  </conditionalFormatting>
  <conditionalFormatting sqref="C100">
    <cfRule type="expression" dxfId="1771" priority="13467" stopIfTrue="1">
      <formula>AND(COUNTIF($C$138:$C$142,C100)+COUNTIF($C$42:$C$42,C100)+COUNTIF(#REF!,C100)+COUNTIF($C$1:$C$5,C100)+COUNTIF($C$11:$C$11,C100)+COUNTIF($C$8:$C$8,C100)+COUNTIF($C$15:$C$15,C100)+COUNTIF($C$19:$C$20,C100)+COUNTIF($C$26:$C$26,C100)+COUNTIF($C$90:$C$90,C100)+COUNTIF(#REF!,C100)+COUNTIF($C$82:$C$82,C100)+COUNTIF(#REF!,C100)+COUNTIF($C$87:$C$89,C100)+COUNTIF($C$69:$C$71,C100)+COUNTIF($C$73:$C$77,C100)+COUNTIF($C$79:$C$80,C100)+COUNTIF($C$58:$C$59,C100)+COUNTIF($C$44:$C$46,C100)+COUNTIF($C$61:$C$65,C100)+COUNTIF(#REF!,C100)+COUNTIF($C$144:$C$64382,C100)&gt;1,NOT(ISBLANK(C100)))</formula>
    </cfRule>
    <cfRule type="expression" dxfId="1770" priority="13464" stopIfTrue="1">
      <formula>AND(COUNTIF($C$144:$C$64820,C100)+COUNTIF($C$133:$C$142,C100)+COUNTIF(#REF!,C100)+COUNTIF($C$1:$C$8,C100)+COUNTIF($C$11:$C$22,C100)+COUNTIF($C$90:$C$96,C100)+COUNTIF(#REF!,C100)+COUNTIF($C$58:$C$65,C100)+COUNTIF($C$111:$C$111,C100)+COUNTIF($C$26:$C$26,C100)+COUNTIF($C$82:$C$89,C100)+COUNTIF($C$101:$C$101,C100)+COUNTIF($C$124:$C$132,C100)+COUNTIF($C$41:$C$47,C100)+COUNTIF($C$106:$C$107,C100)+COUNTIF($C$67:$C$80,C100)&gt;1,NOT(ISBLANK(C100)))</formula>
    </cfRule>
    <cfRule type="expression" dxfId="1769" priority="13462" stopIfTrue="1">
      <formula>AND(COUNTIF($C$144:$C$64820,C100)+COUNTIF($C$133:$C$142,C100)+COUNTIF($C$1:$C$8,C100)+COUNTIF($C$87:$C$89,C100)+COUNTIF(#REF!,C100)+COUNTIF($C$11:$C$22,C100)+COUNTIF($C$90:$C$96,C100)+COUNTIF($C$82:$C$86,C100)+COUNTIF($C$111:$C$111,C100)+COUNTIF($C$41:$C$47,C100)+COUNTIF(#REF!,C100)+COUNTIF($C$58:$C$65,C100)+COUNTIF($C$26:$C$26,C100)+COUNTIF($C$101:$C$101,C100)+COUNTIF($C$124:$C$132,C100)+COUNTIF($C$106:$C$107,C100)+COUNTIF($C$67:$C$80,C100)&gt;1,NOT(ISBLANK(C100)))</formula>
    </cfRule>
    <cfRule type="expression" dxfId="1768" priority="13461" stopIfTrue="1">
      <formula>AND(COUNTIF($C$144:$C$64820,C100)+COUNTIF($C$133:$C$142,C100)+COUNTIF($C$125:$C$132,C100)+COUNTIF($C$1:$C$8,C100)+COUNTIF($C$11:$C$20,C100)+COUNTIF($C$26:$C$26,C100)+COUNTIF($C$87:$C$89,C100)+COUNTIF($C$111:$C$111,C100)+COUNTIF(#REF!,C100)+COUNTIF($C$90:$C$96,C100)+COUNTIF($C$82:$C$86,C100)+COUNTIF($C$101:$C$101,C100)+COUNTIF($C$41:$C$46,C100)+COUNTIF($C$58:$C$65,C100)+COUNTIF(#REF!,C100)+COUNTIF($C$106:$C$107,C100)+COUNTIF($C$69:$C$80,C100)&gt;1,NOT(ISBLANK(C100)))</formula>
    </cfRule>
    <cfRule type="expression" dxfId="1767" priority="13463" stopIfTrue="1">
      <formula>AND(COUNTIF($C$138:$C$142,C100)+COUNTIF($C$69:$C$71,C100)+COUNTIF($C$42:$C$42,C100)+COUNTIF($C$1:$C$5,C100)+COUNTIF($C$11:$C$11,C100)+COUNTIF($C$8:$C$8,C100)+COUNTIF($C$14:$C$20,C100)+COUNTIF($C$26:$C$26,C100)+COUNTIF($C$44:$C$46,C100)+COUNTIF($C$82:$C$83,C100)+COUNTIF(#REF!,C100)+COUNTIF(#REF!,C100)+COUNTIF($C$101:$C$101,C100)+COUNTIF(#REF!,C100)+COUNTIF(#REF!,C100)+COUNTIF($C$133:$C$133,C100)+COUNTIF($C$85:$C$86,C100)+COUNTIF($C$87:$C$89,C100)+COUNTIF(#REF!,C100)+COUNTIF($C$90:$C$90,C100)+COUNTIF($C$144:$C$64820,C100)+COUNTIF($C$58:$C$65,C100)+COUNTIF($C$106:$C$107,C100)+COUNTIF($C$73:$C$80,C100)&gt;1,NOT(ISBLANK(C100)))</formula>
    </cfRule>
    <cfRule type="duplicateValues" dxfId="1766" priority="13460"/>
  </conditionalFormatting>
  <conditionalFormatting sqref="C100:C101">
    <cfRule type="expression" dxfId="1765" priority="13466" stopIfTrue="1">
      <formula>AND(COUNTIF($C$138:$C$142,C100)+COUNTIF($C$69:$C$71,C100)+COUNTIF($C$1:$C$5,C100)+COUNTIF($C$11:$C$11,C100)+COUNTIF($C$8:$C$8,C100)+COUNTIF($C$14:$C$20,C100)+COUNTIF($C$26:$C$26,C100)+COUNTIF($C$42:$C$42,C100)+COUNTIF($C$44:$C$46,C100)+COUNTIF(#REF!,C100)+COUNTIF(#REF!,C100)+COUNTIF($C$82:$C$82,C100)+COUNTIF($C$101:$C$101,C100)+COUNTIF(#REF!,C100)+COUNTIF(#REF!,C100)+COUNTIF($C$133:$C$133,C100)+COUNTIF(#REF!,C100)+COUNTIF($C$87:$C$89,C100)+COUNTIF(#REF!,C100)+COUNTIF($C$90:$C$90,C100)+COUNTIF($C$144:$C$64382,C100)+COUNTIF($C$58:$C$65,C100)+COUNTIF($C$106:$C$107,C100)+COUNTIF($C$73:$C$80,C100)&gt;1,NOT(ISBLANK(C100)))</formula>
    </cfRule>
    <cfRule type="expression" dxfId="1764" priority="13465" stopIfTrue="1">
      <formula>AND(COUNTIF($C$133:$C$64820,C100)+COUNTIF($C$111:$C$111,C100)+COUNTIF($C$1:$C$23,C100)+COUNTIF($C$124:$C$132,C100)+COUNTIF($C$41:$C$47,C100)+COUNTIF($C$26:$C$33,C100)+COUNTIF($C$58:$C$96,C100)+COUNTIF($C$101:$C$107,C100)&gt;1,NOT(ISBLANK(C100)))</formula>
    </cfRule>
  </conditionalFormatting>
  <conditionalFormatting sqref="C101">
    <cfRule type="duplicateValues" dxfId="1763" priority="8134" stopIfTrue="1"/>
  </conditionalFormatting>
  <conditionalFormatting sqref="C102 C104:C105">
    <cfRule type="expression" dxfId="1762" priority="197" stopIfTrue="1">
      <formula>AND(COUNTIF($C$138:$C$142,C102)+COUNTIF($C$69:$C$71,C102)+COUNTIF($C$1:$C$5,C102)+COUNTIF($C$11:$C$11,C102)+COUNTIF($C$8:$C$8,C102)+COUNTIF($C$14:$C$20,C102)+COUNTIF($C$26:$C$26,C102)+COUNTIF($C$42:$C$42,C102)+COUNTIF($C$44:$C$46,C102)+COUNTIF(#REF!,C102)+COUNTIF(#REF!,C102)+COUNTIF($C$82:$C$82,C102)+COUNTIF($C$101:$C$101,C102)+COUNTIF(#REF!,C102)+COUNTIF(#REF!,C102)+COUNTIF($C$133:$C$133,C102)+COUNTIF(#REF!,C102)+COUNTIF($C$87:$C$89,C102)+COUNTIF(#REF!,C102)+COUNTIF($C$90:$C$90,C102)+COUNTIF($C$144:$C$64382,C102)+COUNTIF($C$58:$C$65,C102)+COUNTIF($C$106:$C$107,C102)+COUNTIF($C$73:$C$80,C102)&gt;1,NOT(ISBLANK(C102)))</formula>
    </cfRule>
    <cfRule type="duplicateValues" dxfId="1761" priority="178"/>
  </conditionalFormatting>
  <conditionalFormatting sqref="C102 C105">
    <cfRule type="duplicateValues" dxfId="1760" priority="182"/>
  </conditionalFormatting>
  <conditionalFormatting sqref="C102">
    <cfRule type="expression" dxfId="1759" priority="200" stopIfTrue="1">
      <formula>AND(COUNTIF($C$144:$C$64820,C102)+COUNTIF($C$133:$C$142,C102)+COUNTIF(#REF!,C102)+COUNTIF($C$1:$C$8,C102)+COUNTIF($C$11:$C$22,C102)+COUNTIF($C$90:$C$96,C102)+COUNTIF(#REF!,C102)+COUNTIF($C$58:$C$65,C102)+COUNTIF($C$111:$C$111,C102)+COUNTIF($C$26:$C$26,C102)+COUNTIF($C$82:$C$89,C102)+COUNTIF($C$101:$C$101,C102)+COUNTIF($C$124:$C$132,C102)+COUNTIF($C$41:$C$47,C102)+COUNTIF($C$106:$C$107,C102)+COUNTIF($C$67:$C$80,C102)&gt;1,NOT(ISBLANK(C102)))</formula>
    </cfRule>
    <cfRule type="expression" dxfId="1758" priority="202" stopIfTrue="1">
      <formula>AND(COUNTIF($C$144:$C$64820,C102)+COUNTIF($C$133:$C$142,C102)+COUNTIF($C$125:$C$132,C102)+COUNTIF($C$1:$C$8,C102)+COUNTIF($C$11:$C$20,C102)+COUNTIF($C$26:$C$26,C102)+COUNTIF($C$87:$C$89,C102)+COUNTIF($C$111:$C$111,C102)+COUNTIF(#REF!,C102)+COUNTIF($C$90:$C$96,C102)+COUNTIF($C$82:$C$86,C102)+COUNTIF($C$101:$C$101,C102)+COUNTIF($C$41:$C$46,C102)+COUNTIF($C$58:$C$65,C102)+COUNTIF(#REF!,C102)+COUNTIF($C$106:$C$107,C102)+COUNTIF($C$69:$C$80,C102)&gt;1,NOT(ISBLANK(C102)))</formula>
    </cfRule>
    <cfRule type="duplicateValues" dxfId="1757" priority="189"/>
    <cfRule type="expression" dxfId="1756" priority="201" stopIfTrue="1">
      <formula>AND(COUNTIF($C$138:$C$142,C102)+COUNTIF($C$69:$C$71,C102)+COUNTIF($C$42:$C$42,C102)+COUNTIF($C$1:$C$5,C102)+COUNTIF($C$11:$C$11,C102)+COUNTIF($C$8:$C$8,C102)+COUNTIF($C$14:$C$20,C102)+COUNTIF($C$26:$C$26,C102)+COUNTIF($C$44:$C$46,C102)+COUNTIF($C$82:$C$83,C102)+COUNTIF(#REF!,C102)+COUNTIF(#REF!,C102)+COUNTIF($C$101:$C$101,C102)+COUNTIF(#REF!,C102)+COUNTIF(#REF!,C102)+COUNTIF($C$133:$C$133,C102)+COUNTIF($C$85:$C$86,C102)+COUNTIF($C$87:$C$89,C102)+COUNTIF(#REF!,C102)+COUNTIF($C$90:$C$90,C102)+COUNTIF($C$144:$C$64820,C102)+COUNTIF($C$58:$C$65,C102)+COUNTIF($C$106:$C$107,C102)+COUNTIF($C$73:$C$80,C102)&gt;1,NOT(ISBLANK(C102)))</formula>
    </cfRule>
    <cfRule type="expression" dxfId="1755" priority="203" stopIfTrue="1">
      <formula>AND(COUNTIF($C$144:$C$64820,C102)+COUNTIF($C$133:$C$142,C102)+COUNTIF($C$1:$C$8,C102)+COUNTIF($C$87:$C$89,C102)+COUNTIF(#REF!,C102)+COUNTIF($C$11:$C$22,C102)+COUNTIF($C$90:$C$96,C102)+COUNTIF($C$82:$C$86,C102)+COUNTIF($C$111:$C$111,C102)+COUNTIF($C$41:$C$47,C102)+COUNTIF(#REF!,C102)+COUNTIF($C$58:$C$65,C102)+COUNTIF($C$26:$C$26,C102)+COUNTIF($C$101:$C$101,C102)+COUNTIF($C$124:$C$132,C102)+COUNTIF($C$106:$C$107,C102)+COUNTIF($C$67:$C$80,C102)&gt;1,NOT(ISBLANK(C102)))</formula>
    </cfRule>
  </conditionalFormatting>
  <conditionalFormatting sqref="C103">
    <cfRule type="expression" dxfId="1754" priority="110" stopIfTrue="1">
      <formula>AND(COUNTIF($C$144:$C$64820,C103)+COUNTIF($C$133:$C$142,C103)+COUNTIF(#REF!,C103)+COUNTIF($C$1:$C$8,C103)+COUNTIF($C$11:$C$22,C103)+COUNTIF($C$90:$C$96,C103)+COUNTIF(#REF!,C103)+COUNTIF($C$58:$C$65,C103)+COUNTIF($C$111:$C$111,C103)+COUNTIF($C$26:$C$26,C103)+COUNTIF($C$82:$C$89,C103)+COUNTIF($C$101:$C$101,C103)+COUNTIF($C$124:$C$132,C103)+COUNTIF($C$41:$C$47,C103)+COUNTIF($C$106:$C$107,C103)+COUNTIF($C$67:$C$80,C103)&gt;1,NOT(ISBLANK(C103)))</formula>
    </cfRule>
    <cfRule type="expression" dxfId="1753" priority="109" stopIfTrue="1">
      <formula>AND(COUNTIF($C$138:$C$142,C103)+COUNTIF($C$69:$C$71,C103)+COUNTIF($C$42:$C$42,C103)+COUNTIF($C$1:$C$5,C103)+COUNTIF($C$11:$C$11,C103)+COUNTIF($C$8:$C$8,C103)+COUNTIF($C$14:$C$20,C103)+COUNTIF($C$26:$C$26,C103)+COUNTIF($C$44:$C$46,C103)+COUNTIF($C$82:$C$83,C103)+COUNTIF(#REF!,C103)+COUNTIF(#REF!,C103)+COUNTIF($C$101:$C$101,C103)+COUNTIF(#REF!,C103)+COUNTIF(#REF!,C103)+COUNTIF($C$133:$C$133,C103)+COUNTIF($C$85:$C$86,C103)+COUNTIF($C$87:$C$89,C103)+COUNTIF(#REF!,C103)+COUNTIF($C$90:$C$90,C103)+COUNTIF($C$144:$C$64820,C103)+COUNTIF($C$58:$C$65,C103)+COUNTIF($C$106:$C$107,C103)+COUNTIF($C$73:$C$80,C103)&gt;1,NOT(ISBLANK(C103)))</formula>
    </cfRule>
    <cfRule type="expression" dxfId="1752" priority="108" stopIfTrue="1">
      <formula>AND(COUNTIF($C$144:$C$64820,C103)+COUNTIF($C$133:$C$142,C103)+COUNTIF($C$1:$C$8,C103)+COUNTIF($C$87:$C$89,C103)+COUNTIF(#REF!,C103)+COUNTIF($C$11:$C$22,C103)+COUNTIF($C$90:$C$96,C103)+COUNTIF($C$82:$C$86,C103)+COUNTIF($C$111:$C$111,C103)+COUNTIF($C$41:$C$47,C103)+COUNTIF(#REF!,C103)+COUNTIF($C$58:$C$65,C103)+COUNTIF($C$26:$C$26,C103)+COUNTIF($C$101:$C$101,C103)+COUNTIF($C$124:$C$132,C103)+COUNTIF($C$106:$C$107,C103)+COUNTIF($C$67:$C$80,C103)&gt;1,NOT(ISBLANK(C103)))</formula>
    </cfRule>
    <cfRule type="expression" dxfId="1751" priority="107" stopIfTrue="1">
      <formula>AND(COUNTIF($C$144:$C$64820,C103)+COUNTIF($C$133:$C$142,C103)+COUNTIF($C$125:$C$132,C103)+COUNTIF($C$1:$C$8,C103)+COUNTIF($C$11:$C$20,C103)+COUNTIF($C$26:$C$26,C103)+COUNTIF($C$87:$C$89,C103)+COUNTIF($C$111:$C$111,C103)+COUNTIF(#REF!,C103)+COUNTIF($C$90:$C$96,C103)+COUNTIF($C$82:$C$86,C103)+COUNTIF($C$101:$C$101,C103)+COUNTIF($C$41:$C$46,C103)+COUNTIF($C$58:$C$65,C103)+COUNTIF(#REF!,C103)+COUNTIF($C$106:$C$107,C103)+COUNTIF($C$69:$C$80,C103)&gt;1,NOT(ISBLANK(C103)))</formula>
    </cfRule>
    <cfRule type="duplicateValues" dxfId="1750" priority="105"/>
    <cfRule type="duplicateValues" dxfId="1749" priority="106"/>
    <cfRule type="expression" dxfId="1748" priority="112" stopIfTrue="1">
      <formula>AND(COUNTIF($C$138:$C$142,C103)+COUNTIF($C$69:$C$71,C103)+COUNTIF($C$1:$C$5,C103)+COUNTIF($C$11:$C$11,C103)+COUNTIF($C$8:$C$8,C103)+COUNTIF($C$14:$C$20,C103)+COUNTIF($C$26:$C$26,C103)+COUNTIF($C$42:$C$42,C103)+COUNTIF($C$44:$C$46,C103)+COUNTIF(#REF!,C103)+COUNTIF(#REF!,C103)+COUNTIF($C$82:$C$82,C103)+COUNTIF($C$101:$C$101,C103)+COUNTIF(#REF!,C103)+COUNTIF(#REF!,C103)+COUNTIF($C$133:$C$133,C103)+COUNTIF(#REF!,C103)+COUNTIF($C$87:$C$89,C103)+COUNTIF(#REF!,C103)+COUNTIF($C$90:$C$90,C103)+COUNTIF($C$144:$C$64382,C103)+COUNTIF($C$58:$C$65,C103)+COUNTIF($C$106:$C$107,C103)+COUNTIF($C$73:$C$80,C103)&gt;1,NOT(ISBLANK(C103)))</formula>
    </cfRule>
    <cfRule type="expression" dxfId="1747" priority="111" stopIfTrue="1">
      <formula>AND(COUNTIF($C$133:$C$64820,C103)+COUNTIF($C$111:$C$111,C103)+COUNTIF($C$1:$C$23,C103)+COUNTIF($C$124:$C$132,C103)+COUNTIF($C$41:$C$47,C103)+COUNTIF($C$26:$C$33,C103)+COUNTIF($C$58:$C$96,C103)+COUNTIF($C$101:$C$107,C103)&gt;1,NOT(ISBLANK(C103)))</formula>
    </cfRule>
  </conditionalFormatting>
  <conditionalFormatting sqref="C104">
    <cfRule type="duplicateValues" dxfId="1746" priority="190"/>
    <cfRule type="expression" dxfId="1745" priority="193" stopIfTrue="1">
      <formula>AND(COUNTIF($C$144:$C$64820,C104)+COUNTIF($C$133:$C$142,C104)+COUNTIF($C$1:$C$8,C104)+COUNTIF($C$87:$C$89,C104)+COUNTIF(#REF!,C104)+COUNTIF($C$11:$C$22,C104)+COUNTIF($C$90:$C$96,C104)+COUNTIF($C$82:$C$86,C104)+COUNTIF($C$111:$C$111,C104)+COUNTIF($C$41:$C$47,C104)+COUNTIF(#REF!,C104)+COUNTIF($C$58:$C$65,C104)+COUNTIF($C$26:$C$26,C104)+COUNTIF($C$101:$C$101,C104)+COUNTIF($C$124:$C$132,C104)+COUNTIF($C$106:$C$107,C104)+COUNTIF($C$67:$C$80,C104)&gt;1,NOT(ISBLANK(C104)))</formula>
    </cfRule>
    <cfRule type="duplicateValues" dxfId="1744" priority="191"/>
    <cfRule type="expression" dxfId="1743" priority="195" stopIfTrue="1">
      <formula>AND(COUNTIF($C$144:$C$64820,C104)+COUNTIF($C$133:$C$142,C104)+COUNTIF(#REF!,C104)+COUNTIF($C$1:$C$8,C104)+COUNTIF($C$11:$C$22,C104)+COUNTIF($C$90:$C$96,C104)+COUNTIF(#REF!,C104)+COUNTIF($C$58:$C$65,C104)+COUNTIF($C$111:$C$111,C104)+COUNTIF($C$26:$C$26,C104)+COUNTIF($C$82:$C$89,C104)+COUNTIF($C$101:$C$101,C104)+COUNTIF($C$124:$C$132,C104)+COUNTIF($C$41:$C$47,C104)+COUNTIF($C$106:$C$107,C104)+COUNTIF($C$67:$C$80,C104)&gt;1,NOT(ISBLANK(C104)))</formula>
    </cfRule>
    <cfRule type="expression" dxfId="1742" priority="194" stopIfTrue="1">
      <formula>AND(COUNTIF($C$138:$C$142,C104)+COUNTIF($C$69:$C$71,C104)+COUNTIF($C$42:$C$42,C104)+COUNTIF($C$1:$C$5,C104)+COUNTIF($C$11:$C$11,C104)+COUNTIF($C$8:$C$8,C104)+COUNTIF($C$14:$C$20,C104)+COUNTIF($C$26:$C$26,C104)+COUNTIF($C$44:$C$46,C104)+COUNTIF($C$82:$C$83,C104)+COUNTIF(#REF!,C104)+COUNTIF(#REF!,C104)+COUNTIF($C$101:$C$101,C104)+COUNTIF(#REF!,C104)+COUNTIF(#REF!,C104)+COUNTIF($C$133:$C$133,C104)+COUNTIF($C$85:$C$86,C104)+COUNTIF($C$87:$C$89,C104)+COUNTIF(#REF!,C104)+COUNTIF($C$90:$C$90,C104)+COUNTIF($C$144:$C$64820,C104)+COUNTIF($C$58:$C$65,C104)+COUNTIF($C$106:$C$107,C104)+COUNTIF($C$73:$C$80,C104)&gt;1,NOT(ISBLANK(C104)))</formula>
    </cfRule>
    <cfRule type="expression" dxfId="1741" priority="192" stopIfTrue="1">
      <formula>AND(COUNTIF($C$144:$C$64820,C104)+COUNTIF($C$133:$C$142,C104)+COUNTIF($C$125:$C$132,C104)+COUNTIF($C$1:$C$8,C104)+COUNTIF($C$11:$C$20,C104)+COUNTIF($C$26:$C$26,C104)+COUNTIF($C$87:$C$89,C104)+COUNTIF($C$111:$C$111,C104)+COUNTIF(#REF!,C104)+COUNTIF($C$90:$C$96,C104)+COUNTIF($C$82:$C$86,C104)+COUNTIF($C$101:$C$101,C104)+COUNTIF($C$41:$C$46,C104)+COUNTIF($C$58:$C$65,C104)+COUNTIF(#REF!,C104)+COUNTIF($C$106:$C$107,C104)+COUNTIF($C$69:$C$80,C104)&gt;1,NOT(ISBLANK(C104)))</formula>
    </cfRule>
  </conditionalFormatting>
  <conditionalFormatting sqref="C104:C105 C102">
    <cfRule type="expression" dxfId="1740" priority="196" stopIfTrue="1">
      <formula>AND(COUNTIF($C$133:$C$64820,C102)+COUNTIF($C$111:$C$111,C102)+COUNTIF($C$1:$C$23,C102)+COUNTIF($C$124:$C$132,C102)+COUNTIF($C$41:$C$47,C102)+COUNTIF($C$26:$C$33,C102)+COUNTIF($C$58:$C$96,C102)+COUNTIF($C$101:$C$107,C102)&gt;1,NOT(ISBLANK(C102)))</formula>
    </cfRule>
  </conditionalFormatting>
  <conditionalFormatting sqref="C105">
    <cfRule type="duplicateValues" dxfId="1739" priority="188"/>
    <cfRule type="duplicateValues" dxfId="1738" priority="181"/>
  </conditionalFormatting>
  <conditionalFormatting sqref="C106">
    <cfRule type="duplicateValues" dxfId="1737" priority="7925"/>
  </conditionalFormatting>
  <conditionalFormatting sqref="C106:C107 C58:C65 C17:C20 C14:C15 C8 C1:C5 C11 C26 C42:C46 C69:C71 C87:C91 C93 C133 C140:C142 C144:C64382">
    <cfRule type="expression" dxfId="1736" priority="13360" stopIfTrue="1">
      <formula>AND(COUNTIF($C$138:$C$142,C1)+COUNTIF($C$69:$C$71,C1)+COUNTIF($C$1:$C$5,C1)+COUNTIF($C$11:$C$11,C1)+COUNTIF($C$8:$C$8,C1)+COUNTIF($C$14:$C$20,C1)+COUNTIF($C$26:$C$26,C1)+COUNTIF($C$42:$C$42,C1)+COUNTIF($C$44:$C$46,C1)+COUNTIF(#REF!,C1)+COUNTIF(#REF!,C1)+COUNTIF($C$82:$C$82,C1)+COUNTIF($C$101:$C$101,C1)+COUNTIF(#REF!,C1)+COUNTIF(#REF!,C1)+COUNTIF($C$133:$C$133,C1)+COUNTIF(#REF!,C1)+COUNTIF($C$87:$C$89,C1)+COUNTIF(#REF!,C1)+COUNTIF($C$90:$C$90,C1)+COUNTIF($C$144:$C$64382,C1)+COUNTIF($C$58:$C$65,C1)+COUNTIF($C$106:$C$107,C1)+COUNTIF($C$73:$C$80,C1)&gt;1,NOT(ISBLANK(C1)))</formula>
    </cfRule>
  </conditionalFormatting>
  <conditionalFormatting sqref="C107">
    <cfRule type="duplicateValues" dxfId="1735" priority="4637"/>
  </conditionalFormatting>
  <conditionalFormatting sqref="C108 C110:C111">
    <cfRule type="duplicateValues" dxfId="1734" priority="8141" stopIfTrue="1"/>
  </conditionalFormatting>
  <conditionalFormatting sqref="C109">
    <cfRule type="duplicateValues" dxfId="1733" priority="214" stopIfTrue="1"/>
    <cfRule type="expression" dxfId="1732" priority="217" stopIfTrue="1">
      <formula>AND(COUNTIF($C$144:$C$64820,C109)+COUNTIF($C$133:$C$142,C109)+COUNTIF($C$125:$C$132,C109)+COUNTIF($C$1:$C$8,C109)+COUNTIF($C$11:$C$20,C109)+COUNTIF($C$26:$C$26,C109)+COUNTIF($C$87:$C$89,C109)+COUNTIF($C$111:$C$111,C109)+COUNTIF(#REF!,C109)+COUNTIF($C$90:$C$96,C109)+COUNTIF($C$82:$C$86,C109)+COUNTIF($C$101:$C$101,C109)+COUNTIF($C$41:$C$46,C109)+COUNTIF($C$58:$C$65,C109)+COUNTIF(#REF!,C109)+COUNTIF($C$106:$C$107,C109)+COUNTIF($C$69:$C$80,C109)&gt;1,NOT(ISBLANK(C109)))</formula>
    </cfRule>
    <cfRule type="expression" dxfId="1731" priority="216" stopIfTrue="1">
      <formula>AND(COUNTIF($C$144:$C$64820,C109)+COUNTIF($C$133:$C$142,C109)+COUNTIF(#REF!,C109)+COUNTIF($C$1:$C$8,C109)+COUNTIF($C$11:$C$22,C109)+COUNTIF($C$90:$C$96,C109)+COUNTIF(#REF!,C109)+COUNTIF($C$58:$C$65,C109)+COUNTIF($C$111:$C$111,C109)+COUNTIF($C$26:$C$26,C109)+COUNTIF($C$82:$C$89,C109)+COUNTIF($C$101:$C$101,C109)+COUNTIF($C$124:$C$132,C109)+COUNTIF($C$41:$C$47,C109)+COUNTIF($C$106:$C$107,C109)+COUNTIF($C$67:$C$80,C109)&gt;1,NOT(ISBLANK(C109)))</formula>
    </cfRule>
    <cfRule type="expression" dxfId="1730" priority="218" stopIfTrue="1">
      <formula>AND(COUNTIF($C$144:$C$64820,C109)+COUNTIF($C$133:$C$142,C109)+COUNTIF($C$1:$C$8,C109)+COUNTIF($C$87:$C$89,C109)+COUNTIF(#REF!,C109)+COUNTIF($C$11:$C$22,C109)+COUNTIF($C$90:$C$96,C109)+COUNTIF($C$82:$C$86,C109)+COUNTIF($C$111:$C$111,C109)+COUNTIF($C$41:$C$47,C109)+COUNTIF(#REF!,C109)+COUNTIF($C$58:$C$65,C109)+COUNTIF($C$26:$C$26,C109)+COUNTIF($C$101:$C$101,C109)+COUNTIF($C$124:$C$132,C109)+COUNTIF($C$106:$C$107,C109)+COUNTIF($C$67:$C$80,C109)&gt;1,NOT(ISBLANK(C109)))</formula>
    </cfRule>
    <cfRule type="duplicateValues" dxfId="1729" priority="213"/>
    <cfRule type="expression" dxfId="1728" priority="215" stopIfTrue="1">
      <formula>AND(COUNTIF($C$133:$C$64820,C109)+COUNTIF($C$111:$C$111,C109)+COUNTIF($C$1:$C$23,C109)+COUNTIF($C$124:$C$132,C109)+COUNTIF($C$41:$C$47,C109)+COUNTIF($C$26:$C$33,C109)+COUNTIF($C$58:$C$96,C109)+COUNTIF($C$101:$C$107,C109)&gt;1,NOT(ISBLANK(C109)))</formula>
    </cfRule>
  </conditionalFormatting>
  <conditionalFormatting sqref="C112:C114 C123">
    <cfRule type="duplicateValues" dxfId="1727" priority="4076"/>
  </conditionalFormatting>
  <conditionalFormatting sqref="C115">
    <cfRule type="duplicateValues" dxfId="1726" priority="2141" stopIfTrue="1"/>
    <cfRule type="duplicateValues" dxfId="1725" priority="2137"/>
    <cfRule type="duplicateValues" dxfId="1724" priority="2135"/>
  </conditionalFormatting>
  <conditionalFormatting sqref="C116:C117">
    <cfRule type="duplicateValues" dxfId="1723" priority="2104"/>
    <cfRule type="duplicateValues" dxfId="1722" priority="2105"/>
  </conditionalFormatting>
  <conditionalFormatting sqref="C118">
    <cfRule type="duplicateValues" dxfId="1721" priority="1991" stopIfTrue="1"/>
    <cfRule type="duplicateValues" dxfId="1720" priority="1987"/>
    <cfRule type="duplicateValues" dxfId="1719" priority="1985"/>
  </conditionalFormatting>
  <conditionalFormatting sqref="C119">
    <cfRule type="expression" dxfId="1718" priority="235" stopIfTrue="1">
      <formula>AND(COUNTIF($C$144:$C$64820,C119)+COUNTIF($C$133:$C$142,C119)+COUNTIF($C$1:$C$8,C119)+COUNTIF($C$87:$C$89,C119)+COUNTIF(#REF!,C119)+COUNTIF($C$11:$C$22,C119)+COUNTIF($C$90:$C$96,C119)+COUNTIF($C$82:$C$86,C119)+COUNTIF($C$111:$C$111,C119)+COUNTIF($C$41:$C$47,C119)+COUNTIF(#REF!,C119)+COUNTIF($C$58:$C$65,C119)+COUNTIF($C$26:$C$26,C119)+COUNTIF($C$101:$C$101,C119)+COUNTIF($C$124:$C$132,C119)+COUNTIF($C$106:$C$107,C119)+COUNTIF($C$67:$C$80,C119)&gt;1,NOT(ISBLANK(C119)))</formula>
    </cfRule>
    <cfRule type="duplicateValues" dxfId="1717" priority="227"/>
    <cfRule type="expression" dxfId="1716" priority="234" stopIfTrue="1">
      <formula>AND(COUNTIF($C$144:$C$64820,C119)+COUNTIF($C$133:$C$142,C119)+COUNTIF($C$125:$C$132,C119)+COUNTIF($C$1:$C$8,C119)+COUNTIF($C$11:$C$20,C119)+COUNTIF($C$26:$C$26,C119)+COUNTIF($C$87:$C$89,C119)+COUNTIF($C$111:$C$111,C119)+COUNTIF(#REF!,C119)+COUNTIF($C$90:$C$96,C119)+COUNTIF($C$82:$C$86,C119)+COUNTIF($C$101:$C$101,C119)+COUNTIF($C$41:$C$46,C119)+COUNTIF($C$58:$C$65,C119)+COUNTIF(#REF!,C119)+COUNTIF($C$106:$C$107,C119)+COUNTIF($C$69:$C$80,C119)&gt;1,NOT(ISBLANK(C119)))</formula>
    </cfRule>
    <cfRule type="expression" dxfId="1715" priority="233" stopIfTrue="1">
      <formula>AND(COUNTIF($C$133:$C$64820,C119)+COUNTIF($C$111:$C$111,C119)+COUNTIF($C$1:$C$23,C119)+COUNTIF($C$124:$C$132,C119)+COUNTIF($C$41:$C$47,C119)+COUNTIF($C$26:$C$33,C119)+COUNTIF($C$58:$C$96,C119)+COUNTIF($C$101:$C$107,C119)&gt;1,NOT(ISBLANK(C119)))</formula>
    </cfRule>
    <cfRule type="expression" dxfId="1714" priority="232" stopIfTrue="1">
      <formula>AND(COUNTIF($C$144:$C$64820,C119)+COUNTIF($C$133:$C$142,C119)+COUNTIF(#REF!,C119)+COUNTIF($C$1:$C$8,C119)+COUNTIF($C$11:$C$22,C119)+COUNTIF($C$90:$C$96,C119)+COUNTIF(#REF!,C119)+COUNTIF($C$58:$C$65,C119)+COUNTIF($C$111:$C$111,C119)+COUNTIF($C$26:$C$26,C119)+COUNTIF($C$82:$C$89,C119)+COUNTIF($C$101:$C$101,C119)+COUNTIF($C$124:$C$132,C119)+COUNTIF($C$41:$C$47,C119)+COUNTIF($C$106:$C$107,C119)+COUNTIF($C$67:$C$80,C119)&gt;1,NOT(ISBLANK(C119)))</formula>
    </cfRule>
  </conditionalFormatting>
  <conditionalFormatting sqref="C120">
    <cfRule type="duplicateValues" dxfId="1713" priority="13480"/>
    <cfRule type="expression" dxfId="1712" priority="13481" stopIfTrue="1">
      <formula>AND(COUNTIF($C$144:$C$64820,C120)+COUNTIF($C$133:$C$142,C120)+COUNTIF(#REF!,C120)+COUNTIF($C$1:$C$8,C120)+COUNTIF($C$11:$C$22,C120)+COUNTIF($C$90:$C$96,C120)+COUNTIF(#REF!,C120)+COUNTIF($C$58:$C$65,C120)+COUNTIF($C$111:$C$111,C120)+COUNTIF($C$26:$C$26,C120)+COUNTIF($C$82:$C$89,C120)+COUNTIF($C$101:$C$101,C120)+COUNTIF($C$124:$C$132,C120)+COUNTIF($C$41:$C$47,C120)+COUNTIF($C$106:$C$107,C120)+COUNTIF($C$67:$C$80,C120)&gt;1,NOT(ISBLANK(C120)))</formula>
    </cfRule>
    <cfRule type="expression" dxfId="1711" priority="13482" stopIfTrue="1">
      <formula>AND(COUNTIF($C$133:$C$64820,C120)+COUNTIF($C$111:$C$111,C120)+COUNTIF($C$1:$C$23,C120)+COUNTIF($C$124:$C$132,C120)+COUNTIF($C$41:$C$47,C120)+COUNTIF($C$26:$C$33,C120)+COUNTIF($C$58:$C$96,C120)+COUNTIF($C$101:$C$107,C120)&gt;1,NOT(ISBLANK(C120)))</formula>
    </cfRule>
    <cfRule type="expression" dxfId="1710" priority="13484" stopIfTrue="1">
      <formula>AND(COUNTIF($C$144:$C$64820,C120)+COUNTIF($C$133:$C$142,C120)+COUNTIF($C$1:$C$8,C120)+COUNTIF($C$87:$C$89,C120)+COUNTIF(#REF!,C120)+COUNTIF($C$11:$C$22,C120)+COUNTIF($C$90:$C$96,C120)+COUNTIF($C$82:$C$86,C120)+COUNTIF($C$111:$C$111,C120)+COUNTIF($C$41:$C$47,C120)+COUNTIF(#REF!,C120)+COUNTIF($C$58:$C$65,C120)+COUNTIF($C$26:$C$26,C120)+COUNTIF($C$101:$C$101,C120)+COUNTIF($C$124:$C$132,C120)+COUNTIF($C$106:$C$107,C120)+COUNTIF($C$67:$C$80,C120)&gt;1,NOT(ISBLANK(C120)))</formula>
    </cfRule>
    <cfRule type="expression" dxfId="1709" priority="13483" stopIfTrue="1">
      <formula>AND(COUNTIF($C$144:$C$64820,C120)+COUNTIF($C$133:$C$142,C120)+COUNTIF($C$125:$C$132,C120)+COUNTIF($C$1:$C$8,C120)+COUNTIF($C$11:$C$20,C120)+COUNTIF($C$26:$C$26,C120)+COUNTIF($C$87:$C$89,C120)+COUNTIF($C$111:$C$111,C120)+COUNTIF(#REF!,C120)+COUNTIF($C$90:$C$96,C120)+COUNTIF($C$82:$C$86,C120)+COUNTIF($C$101:$C$101,C120)+COUNTIF($C$41:$C$46,C120)+COUNTIF($C$58:$C$65,C120)+COUNTIF(#REF!,C120)+COUNTIF($C$106:$C$107,C120)+COUNTIF($C$69:$C$80,C120)&gt;1,NOT(ISBLANK(C120)))</formula>
    </cfRule>
  </conditionalFormatting>
  <conditionalFormatting sqref="C121">
    <cfRule type="duplicateValues" dxfId="1708" priority="1901"/>
    <cfRule type="duplicateValues" dxfId="1707" priority="1904"/>
    <cfRule type="duplicateValues" dxfId="1706" priority="1908" stopIfTrue="1"/>
  </conditionalFormatting>
  <conditionalFormatting sqref="C122">
    <cfRule type="duplicateValues" dxfId="1705" priority="1948"/>
    <cfRule type="duplicateValues" dxfId="1704" priority="1950"/>
    <cfRule type="duplicateValues" dxfId="1703" priority="1954" stopIfTrue="1"/>
  </conditionalFormatting>
  <conditionalFormatting sqref="C123">
    <cfRule type="duplicateValues" dxfId="1702" priority="8144" stopIfTrue="1"/>
    <cfRule type="duplicateValues" dxfId="1701" priority="4096"/>
  </conditionalFormatting>
  <conditionalFormatting sqref="C124">
    <cfRule type="duplicateValues" dxfId="1700" priority="4525"/>
  </conditionalFormatting>
  <conditionalFormatting sqref="C124:C128 C58:C78 C82:C91 C7:C15 C17:C23 C26:C30 C41:C47 C93 C106:C108 C110:C111">
    <cfRule type="expression" dxfId="1699" priority="13498" stopIfTrue="1">
      <formula>AND(COUNTIF($C$133:$C$64820,C7)+COUNTIF($C$111:$C$111,C7)+COUNTIF($C$1:$C$23,C7)+COUNTIF($C$124:$C$132,C7)+COUNTIF($C$41:$C$47,C7)+COUNTIF($C$26:$C$33,C7)+COUNTIF($C$58:$C$96,C7)+COUNTIF($C$101:$C$107,C7)&gt;1,NOT(ISBLANK(C7)))</formula>
    </cfRule>
  </conditionalFormatting>
  <conditionalFormatting sqref="C126">
    <cfRule type="duplicateValues" dxfId="1698" priority="2119"/>
  </conditionalFormatting>
  <conditionalFormatting sqref="C126:C129">
    <cfRule type="duplicateValues" dxfId="1697" priority="2108"/>
  </conditionalFormatting>
  <conditionalFormatting sqref="C127">
    <cfRule type="duplicateValues" dxfId="1696" priority="13497"/>
  </conditionalFormatting>
  <conditionalFormatting sqref="C128">
    <cfRule type="duplicateValues" dxfId="1695" priority="2127"/>
  </conditionalFormatting>
  <conditionalFormatting sqref="C129">
    <cfRule type="duplicateValues" dxfId="1694" priority="2122"/>
  </conditionalFormatting>
  <conditionalFormatting sqref="C130">
    <cfRule type="expression" dxfId="1693" priority="13508" stopIfTrue="1">
      <formula>AND(COUNTIF($C$144:$C$64820,C130)+COUNTIF($C$133:$C$142,C130)+COUNTIF(#REF!,C130)+COUNTIF($C$1:$C$8,C130)+COUNTIF($C$11:$C$22,C130)+COUNTIF($C$90:$C$96,C130)+COUNTIF(#REF!,C130)+COUNTIF($C$58:$C$65,C130)+COUNTIF($C$111:$C$111,C130)+COUNTIF($C$26:$C$26,C130)+COUNTIF($C$82:$C$89,C130)+COUNTIF($C$101:$C$101,C130)+COUNTIF($C$124:$C$132,C130)+COUNTIF($C$41:$C$47,C130)+COUNTIF($C$106:$C$107,C130)+COUNTIF($C$67:$C$80,C130)&gt;1,NOT(ISBLANK(C130)))</formula>
    </cfRule>
    <cfRule type="expression" dxfId="1692" priority="13506" stopIfTrue="1">
      <formula>AND(COUNTIF($C$144:$C$64820,C130)+COUNTIF($C$133:$C$142,C130)+COUNTIF($C$125:$C$132,C130)+COUNTIF($C$1:$C$8,C130)+COUNTIF($C$11:$C$20,C130)+COUNTIF($C$26:$C$26,C130)+COUNTIF($C$87:$C$89,C130)+COUNTIF($C$111:$C$111,C130)+COUNTIF(#REF!,C130)+COUNTIF($C$90:$C$96,C130)+COUNTIF($C$82:$C$86,C130)+COUNTIF($C$101:$C$101,C130)+COUNTIF($C$41:$C$46,C130)+COUNTIF($C$58:$C$65,C130)+COUNTIF(#REF!,C130)+COUNTIF($C$106:$C$107,C130)+COUNTIF($C$69:$C$80,C130)&gt;1,NOT(ISBLANK(C130)))</formula>
    </cfRule>
    <cfRule type="duplicateValues" dxfId="1691" priority="13505"/>
    <cfRule type="expression" dxfId="1690" priority="13507" stopIfTrue="1">
      <formula>AND(COUNTIF($C$144:$C$64820,C130)+COUNTIF($C$133:$C$142,C130)+COUNTIF($C$1:$C$8,C130)+COUNTIF($C$87:$C$89,C130)+COUNTIF(#REF!,C130)+COUNTIF($C$11:$C$22,C130)+COUNTIF($C$90:$C$96,C130)+COUNTIF($C$82:$C$86,C130)+COUNTIF($C$111:$C$111,C130)+COUNTIF($C$41:$C$47,C130)+COUNTIF(#REF!,C130)+COUNTIF($C$58:$C$65,C130)+COUNTIF($C$26:$C$26,C130)+COUNTIF($C$101:$C$101,C130)+COUNTIF($C$124:$C$132,C130)+COUNTIF($C$106:$C$107,C130)+COUNTIF($C$67:$C$80,C130)&gt;1,NOT(ISBLANK(C130)))</formula>
    </cfRule>
    <cfRule type="expression" dxfId="1689" priority="13509" stopIfTrue="1">
      <formula>AND(COUNTIF($C$133:$C$64820,C130)+COUNTIF($C$111:$C$111,C130)+COUNTIF($C$1:$C$23,C130)+COUNTIF($C$124:$C$132,C130)+COUNTIF($C$41:$C$47,C130)+COUNTIF($C$26:$C$33,C130)+COUNTIF($C$58:$C$96,C130)+COUNTIF($C$101:$C$107,C130)&gt;1,NOT(ISBLANK(C130)))</formula>
    </cfRule>
  </conditionalFormatting>
  <conditionalFormatting sqref="C131">
    <cfRule type="expression" dxfId="1688" priority="13513" stopIfTrue="1">
      <formula>AND(COUNTIF($C$144:$C$64820,C131)+COUNTIF($C$133:$C$142,C131)+COUNTIF($C$125:$C$132,C131)+COUNTIF($C$1:$C$8,C131)+COUNTIF($C$11:$C$20,C131)+COUNTIF($C$26:$C$26,C131)+COUNTIF($C$87:$C$89,C131)+COUNTIF($C$111:$C$111,C131)+COUNTIF(#REF!,C131)+COUNTIF($C$90:$C$96,C131)+COUNTIF($C$82:$C$86,C131)+COUNTIF($C$101:$C$101,C131)+COUNTIF($C$41:$C$46,C131)+COUNTIF($C$58:$C$65,C131)+COUNTIF(#REF!,C131)+COUNTIF($C$106:$C$107,C131)+COUNTIF($C$69:$C$80,C131)&gt;1,NOT(ISBLANK(C131)))</formula>
    </cfRule>
    <cfRule type="duplicateValues" dxfId="1687" priority="13512"/>
    <cfRule type="expression" dxfId="1686" priority="13515" stopIfTrue="1">
      <formula>AND(COUNTIF($C$144:$C$64820,C131)+COUNTIF($C$133:$C$142,C131)+COUNTIF(#REF!,C131)+COUNTIF($C$1:$C$8,C131)+COUNTIF($C$11:$C$22,C131)+COUNTIF($C$90:$C$96,C131)+COUNTIF(#REF!,C131)+COUNTIF($C$58:$C$65,C131)+COUNTIF($C$111:$C$111,C131)+COUNTIF($C$26:$C$26,C131)+COUNTIF($C$82:$C$89,C131)+COUNTIF($C$101:$C$101,C131)+COUNTIF($C$124:$C$132,C131)+COUNTIF($C$41:$C$47,C131)+COUNTIF($C$106:$C$107,C131)+COUNTIF($C$67:$C$80,C131)&gt;1,NOT(ISBLANK(C131)))</formula>
    </cfRule>
    <cfRule type="expression" dxfId="1685" priority="13516" stopIfTrue="1">
      <formula>AND(COUNTIF($C$133:$C$64820,C131)+COUNTIF($C$111:$C$111,C131)+COUNTIF($C$1:$C$23,C131)+COUNTIF($C$124:$C$132,C131)+COUNTIF($C$41:$C$47,C131)+COUNTIF($C$26:$C$33,C131)+COUNTIF($C$58:$C$96,C131)+COUNTIF($C$101:$C$107,C131)&gt;1,NOT(ISBLANK(C131)))</formula>
    </cfRule>
    <cfRule type="expression" dxfId="1684" priority="13514" stopIfTrue="1">
      <formula>AND(COUNTIF($C$144:$C$64820,C131)+COUNTIF($C$133:$C$142,C131)+COUNTIF($C$1:$C$8,C131)+COUNTIF($C$87:$C$89,C131)+COUNTIF(#REF!,C131)+COUNTIF($C$11:$C$22,C131)+COUNTIF($C$90:$C$96,C131)+COUNTIF($C$82:$C$86,C131)+COUNTIF($C$111:$C$111,C131)+COUNTIF($C$41:$C$47,C131)+COUNTIF(#REF!,C131)+COUNTIF($C$58:$C$65,C131)+COUNTIF($C$26:$C$26,C131)+COUNTIF($C$101:$C$101,C131)+COUNTIF($C$124:$C$132,C131)+COUNTIF($C$106:$C$107,C131)+COUNTIF($C$67:$C$80,C131)&gt;1,NOT(ISBLANK(C131)))</formula>
    </cfRule>
  </conditionalFormatting>
  <conditionalFormatting sqref="C132">
    <cfRule type="expression" dxfId="1683" priority="122" stopIfTrue="1">
      <formula>AND(COUNTIF($C$133:$C$64820,C132)+COUNTIF($C$111:$C$111,C132)+COUNTIF($C$1:$C$23,C132)+COUNTIF($C$124:$C$132,C132)+COUNTIF($C$41:$C$47,C132)+COUNTIF($C$26:$C$33,C132)+COUNTIF($C$58:$C$96,C132)+COUNTIF($C$101:$C$107,C132)&gt;1,NOT(ISBLANK(C132)))</formula>
    </cfRule>
    <cfRule type="expression" dxfId="1682" priority="119" stopIfTrue="1">
      <formula>AND(COUNTIF($C$144:$C$64820,C132)+COUNTIF($C$133:$C$142,C132)+COUNTIF($C$125:$C$132,C132)+COUNTIF($C$1:$C$8,C132)+COUNTIF($C$11:$C$20,C132)+COUNTIF($C$26:$C$26,C132)+COUNTIF($C$87:$C$89,C132)+COUNTIF($C$111:$C$111,C132)+COUNTIF(#REF!,C132)+COUNTIF($C$90:$C$96,C132)+COUNTIF($C$82:$C$86,C132)+COUNTIF($C$101:$C$101,C132)+COUNTIF($C$41:$C$46,C132)+COUNTIF($C$58:$C$65,C132)+COUNTIF(#REF!,C132)+COUNTIF($C$106:$C$107,C132)+COUNTIF($C$69:$C$80,C132)&gt;1,NOT(ISBLANK(C132)))</formula>
    </cfRule>
    <cfRule type="expression" dxfId="1681" priority="120" stopIfTrue="1">
      <formula>AND(COUNTIF($C$144:$C$64820,C132)+COUNTIF($C$133:$C$142,C132)+COUNTIF($C$1:$C$8,C132)+COUNTIF($C$87:$C$89,C132)+COUNTIF(#REF!,C132)+COUNTIF($C$11:$C$22,C132)+COUNTIF($C$90:$C$96,C132)+COUNTIF($C$82:$C$86,C132)+COUNTIF($C$111:$C$111,C132)+COUNTIF($C$41:$C$47,C132)+COUNTIF(#REF!,C132)+COUNTIF($C$58:$C$65,C132)+COUNTIF($C$26:$C$26,C132)+COUNTIF($C$101:$C$101,C132)+COUNTIF($C$124:$C$132,C132)+COUNTIF($C$106:$C$107,C132)+COUNTIF($C$67:$C$80,C132)&gt;1,NOT(ISBLANK(C132)))</formula>
    </cfRule>
    <cfRule type="duplicateValues" dxfId="1680" priority="117"/>
    <cfRule type="expression" dxfId="1679" priority="121" stopIfTrue="1">
      <formula>AND(COUNTIF($C$144:$C$64820,C132)+COUNTIF($C$133:$C$142,C132)+COUNTIF(#REF!,C132)+COUNTIF($C$1:$C$8,C132)+COUNTIF($C$11:$C$22,C132)+COUNTIF($C$90:$C$96,C132)+COUNTIF(#REF!,C132)+COUNTIF($C$58:$C$65,C132)+COUNTIF($C$111:$C$111,C132)+COUNTIF($C$26:$C$26,C132)+COUNTIF($C$82:$C$89,C132)+COUNTIF($C$101:$C$101,C132)+COUNTIF($C$124:$C$132,C132)+COUNTIF($C$41:$C$47,C132)+COUNTIF($C$106:$C$107,C132)+COUNTIF($C$67:$C$80,C132)&gt;1,NOT(ISBLANK(C132)))</formula>
    </cfRule>
  </conditionalFormatting>
  <conditionalFormatting sqref="C133">
    <cfRule type="duplicateValues" dxfId="1678" priority="1944" stopIfTrue="1"/>
    <cfRule type="duplicateValues" dxfId="1677" priority="1942"/>
  </conditionalFormatting>
  <conditionalFormatting sqref="C133:C135">
    <cfRule type="expression" dxfId="1676" priority="13546" stopIfTrue="1">
      <formula>AND(COUNTIF($C$133:$C$64820,C133)+COUNTIF($C$111:$C$111,C133)+COUNTIF($C$1:$C$23,C133)+COUNTIF($C$124:$C$132,C133)+COUNTIF($C$41:$C$47,C133)+COUNTIF($C$26:$C$33,C133)+COUNTIF($C$58:$C$96,C133)+COUNTIF($C$101:$C$107,C133)&gt;1,NOT(ISBLANK(C133)))</formula>
    </cfRule>
  </conditionalFormatting>
  <conditionalFormatting sqref="C134 C136:C137">
    <cfRule type="duplicateValues" dxfId="1675" priority="5429"/>
  </conditionalFormatting>
  <conditionalFormatting sqref="C134 C137">
    <cfRule type="duplicateValues" dxfId="1674" priority="8146" stopIfTrue="1"/>
  </conditionalFormatting>
  <conditionalFormatting sqref="C135">
    <cfRule type="duplicateValues" dxfId="1673" priority="13541"/>
    <cfRule type="expression" dxfId="1672" priority="13543" stopIfTrue="1">
      <formula>AND(COUNTIF($C$144:$C$64820,C135)+COUNTIF($C$133:$C$142,C135)+COUNTIF($C$125:$C$132,C135)+COUNTIF($C$1:$C$8,C135)+COUNTIF($C$11:$C$20,C135)+COUNTIF($C$26:$C$26,C135)+COUNTIF($C$87:$C$89,C135)+COUNTIF($C$111:$C$111,C135)+COUNTIF(#REF!,C135)+COUNTIF($C$90:$C$96,C135)+COUNTIF($C$82:$C$86,C135)+COUNTIF($C$101:$C$101,C135)+COUNTIF($C$41:$C$46,C135)+COUNTIF($C$58:$C$65,C135)+COUNTIF(#REF!,C135)+COUNTIF($C$106:$C$107,C135)+COUNTIF($C$69:$C$80,C135)&gt;1,NOT(ISBLANK(C135)))</formula>
    </cfRule>
    <cfRule type="duplicateValues" dxfId="1671" priority="13533"/>
    <cfRule type="expression" dxfId="1670" priority="13545" stopIfTrue="1">
      <formula>AND(COUNTIF($C$144:$C$64820,C135)+COUNTIF($C$133:$C$142,C135)+COUNTIF(#REF!,C135)+COUNTIF($C$1:$C$8,C135)+COUNTIF($C$11:$C$22,C135)+COUNTIF($C$90:$C$96,C135)+COUNTIF(#REF!,C135)+COUNTIF($C$58:$C$65,C135)+COUNTIF($C$111:$C$111,C135)+COUNTIF($C$26:$C$26,C135)+COUNTIF($C$82:$C$89,C135)+COUNTIF($C$101:$C$101,C135)+COUNTIF($C$124:$C$132,C135)+COUNTIF($C$41:$C$47,C135)+COUNTIF($C$106:$C$107,C135)+COUNTIF($C$67:$C$80,C135)&gt;1,NOT(ISBLANK(C135)))</formula>
    </cfRule>
    <cfRule type="expression" dxfId="1669" priority="13544" stopIfTrue="1">
      <formula>AND(COUNTIF($C$144:$C$64820,C135)+COUNTIF($C$133:$C$142,C135)+COUNTIF($C$1:$C$8,C135)+COUNTIF($C$87:$C$89,C135)+COUNTIF(#REF!,C135)+COUNTIF($C$11:$C$22,C135)+COUNTIF($C$90:$C$96,C135)+COUNTIF($C$82:$C$86,C135)+COUNTIF($C$111:$C$111,C135)+COUNTIF($C$41:$C$47,C135)+COUNTIF(#REF!,C135)+COUNTIF($C$58:$C$65,C135)+COUNTIF($C$26:$C$26,C135)+COUNTIF($C$101:$C$101,C135)+COUNTIF($C$124:$C$132,C135)+COUNTIF($C$106:$C$107,C135)+COUNTIF($C$67:$C$80,C135)&gt;1,NOT(ISBLANK(C135)))</formula>
    </cfRule>
  </conditionalFormatting>
  <conditionalFormatting sqref="C136">
    <cfRule type="duplicateValues" dxfId="1668" priority="4838"/>
  </conditionalFormatting>
  <conditionalFormatting sqref="C136:C142 C133:C134 C7:C8 C11:C15 C17:C22 C26 C41:C42 C44:C47 C58:C65 C67 C69:C77 C82:C85 C87:C88 C90:C91 C93 C105:C108 C110:C111 C124:C126 C101 C79:C80 C144:C64820">
    <cfRule type="expression" dxfId="1667" priority="13553" stopIfTrue="1">
      <formula>AND(COUNTIF($C$144:$C$64820,C7)+COUNTIF($C$133:$C$142,C7)+COUNTIF(#REF!,C7)+COUNTIF($C$1:$C$8,C7)+COUNTIF($C$11:$C$22,C7)+COUNTIF($C$90:$C$96,C7)+COUNTIF(#REF!,C7)+COUNTIF($C$58:$C$65,C7)+COUNTIF($C$111:$C$111,C7)+COUNTIF($C$26:$C$26,C7)+COUNTIF($C$82:$C$89,C7)+COUNTIF($C$101:$C$101,C7)+COUNTIF($C$124:$C$132,C7)+COUNTIF($C$41:$C$47,C7)+COUNTIF($C$106:$C$107,C7)+COUNTIF($C$67:$C$80,C7)&gt;1,NOT(ISBLANK(C7)))</formula>
    </cfRule>
  </conditionalFormatting>
  <conditionalFormatting sqref="C136:C64820">
    <cfRule type="expression" dxfId="1666" priority="13554" stopIfTrue="1">
      <formula>AND(COUNTIF($C$133:$C$64820,C136)+COUNTIF($C$111:$C$111,C136)+COUNTIF($C$1:$C$23,C136)+COUNTIF($C$124:$C$132,C136)+COUNTIF($C$41:$C$47,C136)+COUNTIF($C$26:$C$33,C136)+COUNTIF($C$58:$C$96,C136)+COUNTIF($C$101:$C$107,C136)&gt;1,NOT(ISBLANK(C136)))</formula>
    </cfRule>
  </conditionalFormatting>
  <conditionalFormatting sqref="C138:C139">
    <cfRule type="expression" dxfId="1665" priority="13555" stopIfTrue="1">
      <formula>AND(COUNTIF($C$138:$C$142,C138)+COUNTIF($C$69:$C$71,C138)+COUNTIF($C$1:$C$5,C138)+COUNTIF($C$11:$C$11,C138)+COUNTIF($C$8:$C$8,C138)+COUNTIF($C$14:$C$20,C138)+COUNTIF($C$26:$C$26,C138)+COUNTIF($C$42:$C$42,C138)+COUNTIF($C$44:$C$46,C138)+COUNTIF(#REF!,C138)+COUNTIF(#REF!,C138)+COUNTIF($C$82:$C$82,C138)+COUNTIF($C$101:$C$101,C138)+COUNTIF(#REF!,C138)+COUNTIF(#REF!,C138)+COUNTIF($C$133:$C$133,C138)+COUNTIF(#REF!,C138)+COUNTIF($C$87:$C$89,C138)+COUNTIF(#REF!,C138)+COUNTIF($C$90:$C$90,C138)+COUNTIF($C$144:$C$64382,C138)+COUNTIF($C$58:$C$65,C138)+COUNTIF($C$106:$C$107,C138)+COUNTIF($C$73:$C$80,C138)&gt;1,NOT(ISBLANK(C138)))</formula>
    </cfRule>
  </conditionalFormatting>
  <conditionalFormatting sqref="C139">
    <cfRule type="expression" dxfId="1664" priority="13550" stopIfTrue="1">
      <formula>AND(COUNTIF($C$144:$C$64820,C139)+COUNTIF($C$133:$C$142,C139)+COUNTIF($C$125:$C$132,C139)+COUNTIF($C$1:$C$8,C139)+COUNTIF($C$11:$C$20,C139)+COUNTIF($C$26:$C$26,C139)+COUNTIF($C$87:$C$89,C139)+COUNTIF($C$111:$C$111,C139)+COUNTIF(#REF!,C139)+COUNTIF($C$90:$C$96,C139)+COUNTIF($C$82:$C$86,C139)+COUNTIF($C$101:$C$101,C139)+COUNTIF($C$41:$C$46,C139)+COUNTIF($C$58:$C$65,C139)+COUNTIF(#REF!,C139)+COUNTIF($C$106:$C$107,C139)+COUNTIF($C$69:$C$80,C139)&gt;1,NOT(ISBLANK(C139)))</formula>
    </cfRule>
    <cfRule type="expression" dxfId="1663" priority="13556" stopIfTrue="1">
      <formula>AND(COUNTIF($C$138:$C$142,C139)+COUNTIF($C$42:$C$42,C139)+COUNTIF(#REF!,C139)+COUNTIF($C$1:$C$5,C139)+COUNTIF($C$11:$C$11,C139)+COUNTIF($C$8:$C$8,C139)+COUNTIF($C$15:$C$15,C139)+COUNTIF($C$19:$C$20,C139)+COUNTIF($C$26:$C$26,C139)+COUNTIF($C$90:$C$90,C139)+COUNTIF(#REF!,C139)+COUNTIF($C$82:$C$82,C139)+COUNTIF(#REF!,C139)+COUNTIF($C$87:$C$89,C139)+COUNTIF($C$69:$C$71,C139)+COUNTIF($C$73:$C$77,C139)+COUNTIF($C$79:$C$80,C139)+COUNTIF($C$58:$C$59,C139)+COUNTIF($C$44:$C$46,C139)+COUNTIF($C$61:$C$65,C139)+COUNTIF(#REF!,C139)+COUNTIF($C$144:$C$64382,C139)&gt;1,NOT(ISBLANK(C139)))</formula>
    </cfRule>
    <cfRule type="duplicateValues" dxfId="1662" priority="13549"/>
    <cfRule type="expression" dxfId="1661" priority="13552" stopIfTrue="1">
      <formula>AND(COUNTIF($C$138:$C$142,C139)+COUNTIF($C$69:$C$71,C139)+COUNTIF($C$42:$C$42,C139)+COUNTIF($C$1:$C$5,C139)+COUNTIF($C$11:$C$11,C139)+COUNTIF($C$8:$C$8,C139)+COUNTIF($C$14:$C$20,C139)+COUNTIF($C$26:$C$26,C139)+COUNTIF($C$44:$C$46,C139)+COUNTIF($C$82:$C$83,C139)+COUNTIF(#REF!,C139)+COUNTIF(#REF!,C139)+COUNTIF($C$101:$C$101,C139)+COUNTIF(#REF!,C139)+COUNTIF(#REF!,C139)+COUNTIF($C$133:$C$133,C139)+COUNTIF($C$85:$C$86,C139)+COUNTIF($C$87:$C$89,C139)+COUNTIF(#REF!,C139)+COUNTIF($C$90:$C$90,C139)+COUNTIF($C$144:$C$64820,C139)+COUNTIF($C$58:$C$65,C139)+COUNTIF($C$106:$C$107,C139)+COUNTIF($C$73:$C$80,C139)&gt;1,NOT(ISBLANK(C139)))</formula>
    </cfRule>
    <cfRule type="expression" dxfId="1660" priority="13551" stopIfTrue="1">
      <formula>AND(COUNTIF($C$144:$C$64820,C139)+COUNTIF($C$133:$C$142,C139)+COUNTIF($C$1:$C$8,C139)+COUNTIF($C$87:$C$89,C139)+COUNTIF(#REF!,C139)+COUNTIF($C$11:$C$22,C139)+COUNTIF($C$90:$C$96,C139)+COUNTIF($C$82:$C$86,C139)+COUNTIF($C$111:$C$111,C139)+COUNTIF($C$41:$C$47,C139)+COUNTIF(#REF!,C139)+COUNTIF($C$58:$C$65,C139)+COUNTIF($C$26:$C$26,C139)+COUNTIF($C$101:$C$101,C139)+COUNTIF($C$124:$C$132,C139)+COUNTIF($C$106:$C$107,C139)+COUNTIF($C$67:$C$80,C139)&gt;1,NOT(ISBLANK(C139)))</formula>
    </cfRule>
  </conditionalFormatting>
  <conditionalFormatting sqref="AB1:AB5 AB7:AB9 AB11:AB15 AB17:AB23 AB26:AB30 AB34 AB36 AB41:AB42 AB44:AB48 AB55 AB58:AB67 AB69:AB77 AB79:AB88 AB90:AB91 AB93 AB97 AB101 AB106:AB108 AB110:AB118 AB121:AB128 AB133:AB134 AB136:AB139 AB141:AB1048576">
    <cfRule type="duplicateValues" dxfId="1659" priority="1614"/>
  </conditionalFormatting>
  <conditionalFormatting sqref="AB6">
    <cfRule type="expression" dxfId="1658" priority="14896" stopIfTrue="1">
      <formula>AND(COUNTIF($AB$133:$AB$64820,AB6)+COUNTIF($AB$125:$AB$129,AB6)+COUNTIF($AB$1:$AB$8,AB6)+COUNTIF(#REF!,AB6)+COUNTIF(#REF!,AB6)+COUNTIF($AB$11:$AB$22,AB6)+COUNTIF($AB$90:$AB$96,AB6)+COUNTIF($AB$111:$AB$111,AB6)+COUNTIF($AB$101:$AB$101,AB6)+COUNTIF($AB$41:$AB$46,AB6)+COUNTIF($AB$29:$AB$33,AB6)+COUNTIF(#REF!,AB6)+COUNTIF($AB$58:$AB$65,AB6)+COUNTIF($AB$26:$AB$26,AB6)+COUNTIF($AB$82:$AB$89,AB6)+COUNTIF($AB$123:$AB$123,AB6)+COUNTIF($AB$106:$AB$107,AB6)+COUNTIF($AB$69:$AB$80,AB6)&gt;1,NOT(ISBLANK(AB6)))</formula>
    </cfRule>
    <cfRule type="duplicateValues" dxfId="1657" priority="14895"/>
  </conditionalFormatting>
  <conditionalFormatting sqref="AB10">
    <cfRule type="duplicateValues" dxfId="1656" priority="13273"/>
  </conditionalFormatting>
  <conditionalFormatting sqref="AB16">
    <cfRule type="duplicateValues" dxfId="1655" priority="89"/>
    <cfRule type="expression" dxfId="1654" priority="96" stopIfTrue="1">
      <formula>AND(COUNTIF($AB$133:$AB$64820,AB16)+COUNTIF($AB$125:$AB$129,AB16)+COUNTIF($AB$1:$AB$8,AB16)+COUNTIF(#REF!,AB16)+COUNTIF(#REF!,AB16)+COUNTIF($AB$11:$AB$22,AB16)+COUNTIF($AB$90:$AB$96,AB16)+COUNTIF($AB$111:$AB$111,AB16)+COUNTIF($AB$101:$AB$101,AB16)+COUNTIF($AB$41:$AB$46,AB16)+COUNTIF($AB$29:$AB$33,AB16)+COUNTIF(#REF!,AB16)+COUNTIF($AB$58:$AB$65,AB16)+COUNTIF($AB$26:$AB$26,AB16)+COUNTIF($AB$82:$AB$89,AB16)+COUNTIF($AB$123:$AB$123,AB16)+COUNTIF($AB$106:$AB$107,AB16)+COUNTIF($AB$69:$AB$80,AB16)&gt;1,NOT(ISBLANK(AB16)))</formula>
    </cfRule>
  </conditionalFormatting>
  <conditionalFormatting sqref="AB24:AB25">
    <cfRule type="duplicateValues" dxfId="1653" priority="13559"/>
  </conditionalFormatting>
  <conditionalFormatting sqref="AB31:AB32">
    <cfRule type="duplicateValues" dxfId="1652" priority="14935"/>
    <cfRule type="expression" dxfId="1651" priority="14936" stopIfTrue="1">
      <formula>AND(COUNTIF($AB$133:$AB$64820,AB31)+COUNTIF($AB$125:$AB$129,AB31)+COUNTIF($AB$1:$AB$8,AB31)+COUNTIF(#REF!,AB31)+COUNTIF(#REF!,AB31)+COUNTIF($AB$11:$AB$22,AB31)+COUNTIF($AB$90:$AB$96,AB31)+COUNTIF($AB$111:$AB$111,AB31)+COUNTIF($AB$101:$AB$101,AB31)+COUNTIF($AB$41:$AB$46,AB31)+COUNTIF($AB$29:$AB$33,AB31)+COUNTIF(#REF!,AB31)+COUNTIF($AB$58:$AB$65,AB31)+COUNTIF($AB$26:$AB$26,AB31)+COUNTIF($AB$82:$AB$89,AB31)+COUNTIF($AB$123:$AB$123,AB31)+COUNTIF($AB$106:$AB$107,AB31)+COUNTIF($AB$69:$AB$80,AB31)&gt;1,NOT(ISBLANK(AB31)))</formula>
    </cfRule>
  </conditionalFormatting>
  <conditionalFormatting sqref="AB33">
    <cfRule type="expression" dxfId="1650" priority="14928" stopIfTrue="1">
      <formula>AND(COUNTIF($AB$133:$AB$64820,AB33)+COUNTIF($AB$125:$AB$129,AB33)+COUNTIF($AB$1:$AB$8,AB33)+COUNTIF(#REF!,AB33)+COUNTIF(#REF!,AB33)+COUNTIF($AB$11:$AB$22,AB33)+COUNTIF($AB$90:$AB$96,AB33)+COUNTIF($AB$111:$AB$111,AB33)+COUNTIF($AB$101:$AB$101,AB33)+COUNTIF($AB$41:$AB$46,AB33)+COUNTIF($AB$29:$AB$33,AB33)+COUNTIF(#REF!,AB33)+COUNTIF($AB$58:$AB$65,AB33)+COUNTIF($AB$26:$AB$26,AB33)+COUNTIF($AB$82:$AB$89,AB33)+COUNTIF($AB$123:$AB$123,AB33)+COUNTIF($AB$106:$AB$107,AB33)+COUNTIF($AB$69:$AB$80,AB33)&gt;1,NOT(ISBLANK(AB33)))</formula>
    </cfRule>
    <cfRule type="duplicateValues" dxfId="1649" priority="14927"/>
  </conditionalFormatting>
  <conditionalFormatting sqref="AB35">
    <cfRule type="expression" dxfId="1648" priority="170" stopIfTrue="1">
      <formula>AND(COUNTIF($AB$133:$AB$64820,AB35)+COUNTIF($AB$125:$AB$129,AB35)+COUNTIF($AB$1:$AB$8,AB35)+COUNTIF(#REF!,AB35)+COUNTIF(#REF!,AB35)+COUNTIF($AB$11:$AB$22,AB35)+COUNTIF($AB$90:$AB$96,AB35)+COUNTIF($AB$111:$AB$111,AB35)+COUNTIF($AB$101:$AB$101,AB35)+COUNTIF($AB$41:$AB$46,AB35)+COUNTIF($AB$29:$AB$33,AB35)+COUNTIF(#REF!,AB35)+COUNTIF($AB$58:$AB$65,AB35)+COUNTIF($AB$26:$AB$26,AB35)+COUNTIF($AB$82:$AB$89,AB35)+COUNTIF($AB$123:$AB$123,AB35)+COUNTIF($AB$106:$AB$107,AB35)+COUNTIF($AB$69:$AB$80,AB35)&gt;1,NOT(ISBLANK(AB35)))</formula>
    </cfRule>
    <cfRule type="duplicateValues" dxfId="1647" priority="164"/>
  </conditionalFormatting>
  <conditionalFormatting sqref="AB37">
    <cfRule type="expression" dxfId="1646" priority="152" stopIfTrue="1">
      <formula>AND(COUNTIF($AB$133:$AB$64820,AB37)+COUNTIF($AB$125:$AB$129,AB37)+COUNTIF($AB$1:$AB$8,AB37)+COUNTIF(#REF!,AB37)+COUNTIF(#REF!,AB37)+COUNTIF($AB$11:$AB$22,AB37)+COUNTIF($AB$90:$AB$96,AB37)+COUNTIF($AB$111:$AB$111,AB37)+COUNTIF($AB$101:$AB$101,AB37)+COUNTIF($AB$41:$AB$46,AB37)+COUNTIF($AB$29:$AB$33,AB37)+COUNTIF(#REF!,AB37)+COUNTIF($AB$58:$AB$65,AB37)+COUNTIF($AB$26:$AB$26,AB37)+COUNTIF($AB$82:$AB$89,AB37)+COUNTIF($AB$123:$AB$123,AB37)+COUNTIF($AB$106:$AB$107,AB37)+COUNTIF($AB$69:$AB$80,AB37)&gt;1,NOT(ISBLANK(AB37)))</formula>
    </cfRule>
    <cfRule type="duplicateValues" dxfId="1645" priority="151"/>
  </conditionalFormatting>
  <conditionalFormatting sqref="AB38">
    <cfRule type="duplicateValues" dxfId="1644" priority="13315"/>
  </conditionalFormatting>
  <conditionalFormatting sqref="AB39">
    <cfRule type="duplicateValues" dxfId="1643" priority="144"/>
    <cfRule type="expression" dxfId="1642" priority="145" stopIfTrue="1">
      <formula>AND(COUNTIF($AB$133:$AB$64820,AB39)+COUNTIF($AB$125:$AB$129,AB39)+COUNTIF($AB$1:$AB$8,AB39)+COUNTIF(#REF!,AB39)+COUNTIF(#REF!,AB39)+COUNTIF($AB$11:$AB$22,AB39)+COUNTIF($AB$90:$AB$96,AB39)+COUNTIF($AB$111:$AB$111,AB39)+COUNTIF($AB$101:$AB$101,AB39)+COUNTIF($AB$41:$AB$46,AB39)+COUNTIF($AB$29:$AB$33,AB39)+COUNTIF(#REF!,AB39)+COUNTIF($AB$58:$AB$65,AB39)+COUNTIF($AB$26:$AB$26,AB39)+COUNTIF($AB$82:$AB$89,AB39)+COUNTIF($AB$123:$AB$123,AB39)+COUNTIF($AB$106:$AB$107,AB39)+COUNTIF($AB$69:$AB$80,AB39)&gt;1,NOT(ISBLANK(AB39)))</formula>
    </cfRule>
  </conditionalFormatting>
  <conditionalFormatting sqref="AB40">
    <cfRule type="duplicateValues" dxfId="1641" priority="14819"/>
    <cfRule type="expression" dxfId="1640" priority="14820" stopIfTrue="1">
      <formula>AND(COUNTIF($AB$133:$AB$64820,AB40)+COUNTIF($AB$125:$AB$129,AB40)+COUNTIF($AB$1:$AB$8,AB40)+COUNTIF(#REF!,AB40)+COUNTIF(#REF!,AB40)+COUNTIF($AB$11:$AB$22,AB40)+COUNTIF($AB$90:$AB$96,AB40)+COUNTIF($AB$111:$AB$111,AB40)+COUNTIF($AB$101:$AB$101,AB40)+COUNTIF($AB$41:$AB$46,AB40)+COUNTIF($AB$29:$AB$33,AB40)+COUNTIF(#REF!,AB40)+COUNTIF($AB$58:$AB$65,AB40)+COUNTIF($AB$26:$AB$26,AB40)+COUNTIF($AB$82:$AB$89,AB40)+COUNTIF($AB$123:$AB$123,AB40)+COUNTIF($AB$106:$AB$107,AB40)+COUNTIF($AB$69:$AB$80,AB40)&gt;1,NOT(ISBLANK(AB40)))</formula>
    </cfRule>
  </conditionalFormatting>
  <conditionalFormatting sqref="AB41:AB49 AB38 AB7:AB15 AB1:AB5 AB17:AB30 AB34 AB36 AB55 AB58:AB91 AB93:AB97 AB124 AB126:AB128 AB141:AB64820">
    <cfRule type="expression" dxfId="1639" priority="13363" stopIfTrue="1">
      <formula>AND(COUNTIF($AB$133:$AB$64820,AB1)+COUNTIF($AB$125:$AB$129,AB1)+COUNTIF($AB$1:$AB$8,AB1)+COUNTIF(#REF!,AB1)+COUNTIF(#REF!,AB1)+COUNTIF($AB$11:$AB$22,AB1)+COUNTIF($AB$90:$AB$96,AB1)+COUNTIF($AB$111:$AB$111,AB1)+COUNTIF($AB$101:$AB$101,AB1)+COUNTIF($AB$41:$AB$46,AB1)+COUNTIF($AB$29:$AB$33,AB1)+COUNTIF(#REF!,AB1)+COUNTIF($AB$58:$AB$65,AB1)+COUNTIF($AB$26:$AB$26,AB1)+COUNTIF($AB$82:$AB$89,AB1)+COUNTIF($AB$123:$AB$123,AB1)+COUNTIF($AB$106:$AB$107,AB1)+COUNTIF($AB$69:$AB$80,AB1)&gt;1,NOT(ISBLANK(AB1)))</formula>
    </cfRule>
  </conditionalFormatting>
  <conditionalFormatting sqref="AB43">
    <cfRule type="duplicateValues" dxfId="1638" priority="13362"/>
  </conditionalFormatting>
  <conditionalFormatting sqref="AB49">
    <cfRule type="duplicateValues" dxfId="1637" priority="13364"/>
  </conditionalFormatting>
  <conditionalFormatting sqref="AB50">
    <cfRule type="expression" dxfId="1636" priority="81" stopIfTrue="1">
      <formula>AND(COUNTIF($AB$133:$AB$64820,AB50)+COUNTIF($AB$125:$AB$129,AB50)+COUNTIF($AB$1:$AB$8,AB50)+COUNTIF(#REF!,AB50)+COUNTIF(#REF!,AB50)+COUNTIF($AB$11:$AB$22,AB50)+COUNTIF($AB$90:$AB$96,AB50)+COUNTIF($AB$111:$AB$111,AB50)+COUNTIF($AB$101:$AB$101,AB50)+COUNTIF($AB$41:$AB$46,AB50)+COUNTIF($AB$29:$AB$33,AB50)+COUNTIF(#REF!,AB50)+COUNTIF($AB$58:$AB$65,AB50)+COUNTIF($AB$26:$AB$26,AB50)+COUNTIF($AB$82:$AB$89,AB50)+COUNTIF($AB$123:$AB$123,AB50)+COUNTIF($AB$106:$AB$107,AB50)+COUNTIF($AB$69:$AB$80,AB50)&gt;1,NOT(ISBLANK(AB50)))</formula>
    </cfRule>
    <cfRule type="duplicateValues" dxfId="1635" priority="80"/>
  </conditionalFormatting>
  <conditionalFormatting sqref="AB51">
    <cfRule type="expression" dxfId="1634" priority="14" stopIfTrue="1">
      <formula>AND(COUNTIF($AB$133:$AB$64820,AB51)+COUNTIF($AB$125:$AB$129,AB51)+COUNTIF($AB$1:$AB$8,AB51)+COUNTIF(#REF!,AB51)+COUNTIF(#REF!,AB51)+COUNTIF($AB$11:$AB$22,AB51)+COUNTIF($AB$90:$AB$96,AB51)+COUNTIF($AB$111:$AB$111,AB51)+COUNTIF($AB$101:$AB$101,AB51)+COUNTIF($AB$41:$AB$46,AB51)+COUNTIF($AB$29:$AB$33,AB51)+COUNTIF(#REF!,AB51)+COUNTIF($AB$58:$AB$65,AB51)+COUNTIF($AB$26:$AB$26,AB51)+COUNTIF($AB$82:$AB$89,AB51)+COUNTIF($AB$123:$AB$123,AB51)+COUNTIF($AB$106:$AB$107,AB51)+COUNTIF($AB$69:$AB$80,AB51)&gt;1,NOT(ISBLANK(AB51)))</formula>
    </cfRule>
    <cfRule type="duplicateValues" dxfId="1633" priority="13"/>
  </conditionalFormatting>
  <conditionalFormatting sqref="AB52">
    <cfRule type="expression" dxfId="1632" priority="9" stopIfTrue="1">
      <formula>AND(COUNTIF($AB$133:$AB$64820,AB52)+COUNTIF($AB$125:$AB$129,AB52)+COUNTIF($AB$1:$AB$8,AB52)+COUNTIF(#REF!,AB52)+COUNTIF(#REF!,AB52)+COUNTIF($AB$11:$AB$22,AB52)+COUNTIF($AB$90:$AB$96,AB52)+COUNTIF($AB$111:$AB$111,AB52)+COUNTIF($AB$101:$AB$101,AB52)+COUNTIF($AB$41:$AB$46,AB52)+COUNTIF($AB$29:$AB$33,AB52)+COUNTIF(#REF!,AB52)+COUNTIF($AB$58:$AB$65,AB52)+COUNTIF($AB$26:$AB$26,AB52)+COUNTIF($AB$82:$AB$89,AB52)+COUNTIF($AB$123:$AB$123,AB52)+COUNTIF($AB$106:$AB$107,AB52)+COUNTIF($AB$69:$AB$80,AB52)&gt;1,NOT(ISBLANK(AB52)))</formula>
    </cfRule>
    <cfRule type="duplicateValues" dxfId="1631" priority="8"/>
  </conditionalFormatting>
  <conditionalFormatting sqref="AB53">
    <cfRule type="expression" dxfId="1630" priority="5" stopIfTrue="1">
      <formula>AND(COUNTIF($AB$133:$AB$64820,AB53)+COUNTIF($AB$125:$AB$129,AB53)+COUNTIF($AB$1:$AB$8,AB53)+COUNTIF(#REF!,AB53)+COUNTIF(#REF!,AB53)+COUNTIF($AB$11:$AB$22,AB53)+COUNTIF($AB$90:$AB$96,AB53)+COUNTIF($AB$111:$AB$111,AB53)+COUNTIF($AB$101:$AB$101,AB53)+COUNTIF($AB$41:$AB$46,AB53)+COUNTIF($AB$29:$AB$33,AB53)+COUNTIF(#REF!,AB53)+COUNTIF($AB$58:$AB$65,AB53)+COUNTIF($AB$26:$AB$26,AB53)+COUNTIF($AB$82:$AB$89,AB53)+COUNTIF($AB$123:$AB$123,AB53)+COUNTIF($AB$106:$AB$107,AB53)+COUNTIF($AB$69:$AB$80,AB53)&gt;1,NOT(ISBLANK(AB53)))</formula>
    </cfRule>
    <cfRule type="duplicateValues" dxfId="1629" priority="4"/>
  </conditionalFormatting>
  <conditionalFormatting sqref="AB54">
    <cfRule type="duplicateValues" dxfId="1628" priority="176"/>
    <cfRule type="expression" dxfId="1627" priority="177" stopIfTrue="1">
      <formula>AND(COUNTIF($AB$133:$AB$64820,AB54)+COUNTIF($AB$125:$AB$129,AB54)+COUNTIF($AB$1:$AB$8,AB54)+COUNTIF(#REF!,AB54)+COUNTIF(#REF!,AB54)+COUNTIF($AB$11:$AB$22,AB54)+COUNTIF($AB$90:$AB$96,AB54)+COUNTIF($AB$111:$AB$111,AB54)+COUNTIF($AB$101:$AB$101,AB54)+COUNTIF($AB$41:$AB$46,AB54)+COUNTIF($AB$29:$AB$33,AB54)+COUNTIF(#REF!,AB54)+COUNTIF($AB$58:$AB$65,AB54)+COUNTIF($AB$26:$AB$26,AB54)+COUNTIF($AB$82:$AB$89,AB54)+COUNTIF($AB$123:$AB$123,AB54)+COUNTIF($AB$106:$AB$107,AB54)+COUNTIF($AB$69:$AB$80,AB54)&gt;1,NOT(ISBLANK(AB54)))</formula>
    </cfRule>
  </conditionalFormatting>
  <conditionalFormatting sqref="AB56">
    <cfRule type="expression" dxfId="1626" priority="51" stopIfTrue="1">
      <formula>AND(COUNTIF($AB$133:$AB$64820,AB56)+COUNTIF($AB$125:$AB$129,AB56)+COUNTIF($AB$1:$AB$8,AB56)+COUNTIF(#REF!,AB56)+COUNTIF(#REF!,AB56)+COUNTIF($AB$11:$AB$22,AB56)+COUNTIF($AB$90:$AB$96,AB56)+COUNTIF($AB$111:$AB$111,AB56)+COUNTIF($AB$101:$AB$101,AB56)+COUNTIF($AB$41:$AB$46,AB56)+COUNTIF($AB$29:$AB$33,AB56)+COUNTIF(#REF!,AB56)+COUNTIF($AB$58:$AB$65,AB56)+COUNTIF($AB$26:$AB$26,AB56)+COUNTIF($AB$82:$AB$89,AB56)+COUNTIF($AB$123:$AB$123,AB56)+COUNTIF($AB$106:$AB$107,AB56)+COUNTIF($AB$69:$AB$80,AB56)&gt;1,NOT(ISBLANK(AB56)))</formula>
    </cfRule>
    <cfRule type="duplicateValues" dxfId="1625" priority="47"/>
  </conditionalFormatting>
  <conditionalFormatting sqref="AB57">
    <cfRule type="duplicateValues" dxfId="1624" priority="23"/>
    <cfRule type="expression" dxfId="1623" priority="27" stopIfTrue="1">
      <formula>AND(COUNTIF($AB$133:$AB$64820,AB57)+COUNTIF($AB$125:$AB$129,AB57)+COUNTIF($AB$1:$AB$8,AB57)+COUNTIF(#REF!,AB57)+COUNTIF(#REF!,AB57)+COUNTIF($AB$11:$AB$22,AB57)+COUNTIF($AB$90:$AB$96,AB57)+COUNTIF($AB$111:$AB$111,AB57)+COUNTIF($AB$101:$AB$101,AB57)+COUNTIF($AB$41:$AB$46,AB57)+COUNTIF($AB$29:$AB$33,AB57)+COUNTIF(#REF!,AB57)+COUNTIF($AB$58:$AB$65,AB57)+COUNTIF($AB$26:$AB$26,AB57)+COUNTIF($AB$82:$AB$89,AB57)+COUNTIF($AB$123:$AB$123,AB57)+COUNTIF($AB$106:$AB$107,AB57)+COUNTIF($AB$69:$AB$80,AB57)&gt;1,NOT(ISBLANK(AB57)))</formula>
    </cfRule>
  </conditionalFormatting>
  <conditionalFormatting sqref="AB68">
    <cfRule type="duplicateValues" dxfId="1622" priority="13374"/>
  </conditionalFormatting>
  <conditionalFormatting sqref="AB78">
    <cfRule type="duplicateValues" dxfId="1621" priority="13389"/>
  </conditionalFormatting>
  <conditionalFormatting sqref="AB89">
    <cfRule type="duplicateValues" dxfId="1620" priority="13415"/>
  </conditionalFormatting>
  <conditionalFormatting sqref="AB92">
    <cfRule type="expression" dxfId="1619" priority="14870" stopIfTrue="1">
      <formula>AND(COUNTIF($AB$133:$AB$64820,AB92)+COUNTIF($AB$125:$AB$129,AB92)+COUNTIF($AB$1:$AB$8,AB92)+COUNTIF(#REF!,AB92)+COUNTIF(#REF!,AB92)+COUNTIF($AB$11:$AB$22,AB92)+COUNTIF($AB$90:$AB$96,AB92)+COUNTIF($AB$111:$AB$111,AB92)+COUNTIF($AB$101:$AB$101,AB92)+COUNTIF($AB$41:$AB$46,AB92)+COUNTIF($AB$29:$AB$33,AB92)+COUNTIF(#REF!,AB92)+COUNTIF($AB$58:$AB$65,AB92)+COUNTIF($AB$26:$AB$26,AB92)+COUNTIF($AB$82:$AB$89,AB92)+COUNTIF($AB$123:$AB$123,AB92)+COUNTIF($AB$106:$AB$107,AB92)+COUNTIF($AB$69:$AB$80,AB92)&gt;1,NOT(ISBLANK(AB92)))</formula>
    </cfRule>
    <cfRule type="duplicateValues" dxfId="1618" priority="14869"/>
  </conditionalFormatting>
  <conditionalFormatting sqref="AB94 AB96">
    <cfRule type="duplicateValues" dxfId="1617" priority="245"/>
  </conditionalFormatting>
  <conditionalFormatting sqref="AB95">
    <cfRule type="duplicateValues" dxfId="1616" priority="252"/>
  </conditionalFormatting>
  <conditionalFormatting sqref="AB98">
    <cfRule type="duplicateValues" dxfId="1615" priority="129"/>
    <cfRule type="expression" dxfId="1614" priority="130" stopIfTrue="1">
      <formula>AND(COUNTIF($AB$133:$AB$64820,AB98)+COUNTIF($AB$125:$AB$129,AB98)+COUNTIF($AB$1:$AB$8,AB98)+COUNTIF(#REF!,AB98)+COUNTIF(#REF!,AB98)+COUNTIF($AB$11:$AB$22,AB98)+COUNTIF($AB$90:$AB$96,AB98)+COUNTIF($AB$111:$AB$111,AB98)+COUNTIF($AB$101:$AB$101,AB98)+COUNTIF($AB$41:$AB$46,AB98)+COUNTIF($AB$29:$AB$33,AB98)+COUNTIF(#REF!,AB98)+COUNTIF($AB$58:$AB$65,AB98)+COUNTIF($AB$26:$AB$26,AB98)+COUNTIF($AB$82:$AB$89,AB98)+COUNTIF($AB$123:$AB$123,AB98)+COUNTIF($AB$106:$AB$107,AB98)+COUNTIF($AB$69:$AB$80,AB98)&gt;1,NOT(ISBLANK(AB98)))</formula>
    </cfRule>
  </conditionalFormatting>
  <conditionalFormatting sqref="AB99">
    <cfRule type="duplicateValues" dxfId="1613" priority="13458"/>
    <cfRule type="expression" dxfId="1612" priority="13459" stopIfTrue="1">
      <formula>AND(COUNTIF($AB$133:$AB$64820,AB99)+COUNTIF($AB$125:$AB$129,AB99)+COUNTIF($AB$1:$AB$8,AB99)+COUNTIF(#REF!,AB99)+COUNTIF(#REF!,AB99)+COUNTIF($AB$11:$AB$22,AB99)+COUNTIF($AB$90:$AB$96,AB99)+COUNTIF($AB$111:$AB$111,AB99)+COUNTIF($AB$101:$AB$101,AB99)+COUNTIF($AB$41:$AB$46,AB99)+COUNTIF($AB$29:$AB$33,AB99)+COUNTIF(#REF!,AB99)+COUNTIF($AB$58:$AB$65,AB99)+COUNTIF($AB$26:$AB$26,AB99)+COUNTIF($AB$82:$AB$89,AB99)+COUNTIF($AB$123:$AB$123,AB99)+COUNTIF($AB$106:$AB$107,AB99)+COUNTIF($AB$69:$AB$80,AB99)&gt;1,NOT(ISBLANK(AB99)))</formula>
    </cfRule>
  </conditionalFormatting>
  <conditionalFormatting sqref="AB100">
    <cfRule type="duplicateValues" dxfId="1611" priority="13468"/>
  </conditionalFormatting>
  <conditionalFormatting sqref="AB100:AB101">
    <cfRule type="expression" dxfId="1610" priority="13469" stopIfTrue="1">
      <formula>AND(COUNTIF($AB$133:$AB$64820,AB100)+COUNTIF($AB$125:$AB$129,AB100)+COUNTIF($AB$1:$AB$8,AB100)+COUNTIF(#REF!,AB100)+COUNTIF(#REF!,AB100)+COUNTIF($AB$11:$AB$22,AB100)+COUNTIF($AB$90:$AB$96,AB100)+COUNTIF($AB$111:$AB$111,AB100)+COUNTIF($AB$101:$AB$101,AB100)+COUNTIF($AB$41:$AB$46,AB100)+COUNTIF($AB$29:$AB$33,AB100)+COUNTIF(#REF!,AB100)+COUNTIF($AB$58:$AB$65,AB100)+COUNTIF($AB$26:$AB$26,AB100)+COUNTIF($AB$82:$AB$89,AB100)+COUNTIF($AB$123:$AB$123,AB100)+COUNTIF($AB$106:$AB$107,AB100)+COUNTIF($AB$69:$AB$80,AB100)&gt;1,NOT(ISBLANK(AB100)))</formula>
    </cfRule>
  </conditionalFormatting>
  <conditionalFormatting sqref="AB102 AB105">
    <cfRule type="duplicateValues" dxfId="1609" priority="183"/>
  </conditionalFormatting>
  <conditionalFormatting sqref="AB103">
    <cfRule type="expression" dxfId="1608" priority="114" stopIfTrue="1">
      <formula>AND(COUNTIF($AB$133:$AB$64820,AB103)+COUNTIF($AB$125:$AB$129,AB103)+COUNTIF($AB$1:$AB$8,AB103)+COUNTIF(#REF!,AB103)+COUNTIF(#REF!,AB103)+COUNTIF($AB$11:$AB$22,AB103)+COUNTIF($AB$90:$AB$96,AB103)+COUNTIF($AB$111:$AB$111,AB103)+COUNTIF($AB$101:$AB$101,AB103)+COUNTIF($AB$41:$AB$46,AB103)+COUNTIF($AB$29:$AB$33,AB103)+COUNTIF(#REF!,AB103)+COUNTIF($AB$58:$AB$65,AB103)+COUNTIF($AB$26:$AB$26,AB103)+COUNTIF($AB$82:$AB$89,AB103)+COUNTIF($AB$123:$AB$123,AB103)+COUNTIF($AB$106:$AB$107,AB103)+COUNTIF($AB$69:$AB$80,AB103)&gt;1,NOT(ISBLANK(AB103)))</formula>
    </cfRule>
    <cfRule type="duplicateValues" dxfId="1607" priority="113"/>
  </conditionalFormatting>
  <conditionalFormatting sqref="AB104">
    <cfRule type="duplicateValues" dxfId="1606" priority="198"/>
  </conditionalFormatting>
  <conditionalFormatting sqref="AB104:AB105 AB102">
    <cfRule type="expression" dxfId="1605" priority="199" stopIfTrue="1">
      <formula>AND(COUNTIF($AB$133:$AB$64820,AB102)+COUNTIF($AB$125:$AB$129,AB102)+COUNTIF($AB$1:$AB$8,AB102)+COUNTIF(#REF!,AB102)+COUNTIF(#REF!,AB102)+COUNTIF($AB$11:$AB$22,AB102)+COUNTIF($AB$90:$AB$96,AB102)+COUNTIF($AB$111:$AB$111,AB102)+COUNTIF($AB$101:$AB$101,AB102)+COUNTIF($AB$41:$AB$46,AB102)+COUNTIF($AB$29:$AB$33,AB102)+COUNTIF(#REF!,AB102)+COUNTIF($AB$58:$AB$65,AB102)+COUNTIF($AB$26:$AB$26,AB102)+COUNTIF($AB$82:$AB$89,AB102)+COUNTIF($AB$123:$AB$123,AB102)+COUNTIF($AB$106:$AB$107,AB102)+COUNTIF($AB$69:$AB$80,AB102)&gt;1,NOT(ISBLANK(AB102)))</formula>
    </cfRule>
  </conditionalFormatting>
  <conditionalFormatting sqref="AB106:AB108">
    <cfRule type="expression" dxfId="1604" priority="13479" stopIfTrue="1">
      <formula>AND(COUNTIF($AB$133:$AB$64820,AB106)+COUNTIF($AB$125:$AB$129,AB106)+COUNTIF($AB$1:$AB$8,AB106)+COUNTIF(#REF!,AB106)+COUNTIF(#REF!,AB106)+COUNTIF($AB$11:$AB$22,AB106)+COUNTIF($AB$90:$AB$96,AB106)+COUNTIF($AB$111:$AB$111,AB106)+COUNTIF($AB$101:$AB$101,AB106)+COUNTIF($AB$41:$AB$46,AB106)+COUNTIF($AB$29:$AB$33,AB106)+COUNTIF(#REF!,AB106)+COUNTIF($AB$58:$AB$65,AB106)+COUNTIF($AB$26:$AB$26,AB106)+COUNTIF($AB$82:$AB$89,AB106)+COUNTIF($AB$123:$AB$123,AB106)+COUNTIF($AB$106:$AB$107,AB106)+COUNTIF($AB$69:$AB$80,AB106)&gt;1,NOT(ISBLANK(AB106)))</formula>
    </cfRule>
  </conditionalFormatting>
  <conditionalFormatting sqref="AB109">
    <cfRule type="duplicateValues" dxfId="1603" priority="209"/>
    <cfRule type="expression" dxfId="1602" priority="219" stopIfTrue="1">
      <formula>AND(COUNTIF($AB$133:$AB$64820,AB109)+COUNTIF($AB$125:$AB$129,AB109)+COUNTIF($AB$1:$AB$8,AB109)+COUNTIF(#REF!,AB109)+COUNTIF(#REF!,AB109)+COUNTIF($AB$11:$AB$22,AB109)+COUNTIF($AB$90:$AB$96,AB109)+COUNTIF($AB$111:$AB$111,AB109)+COUNTIF($AB$101:$AB$101,AB109)+COUNTIF($AB$41:$AB$46,AB109)+COUNTIF($AB$29:$AB$33,AB109)+COUNTIF(#REF!,AB109)+COUNTIF($AB$58:$AB$65,AB109)+COUNTIF($AB$26:$AB$26,AB109)+COUNTIF($AB$82:$AB$89,AB109)+COUNTIF($AB$123:$AB$123,AB109)+COUNTIF($AB$106:$AB$107,AB109)+COUNTIF($AB$69:$AB$80,AB109)&gt;1,NOT(ISBLANK(AB109)))</formula>
    </cfRule>
  </conditionalFormatting>
  <conditionalFormatting sqref="AB110:AB118">
    <cfRule type="expression" dxfId="1601" priority="13890" stopIfTrue="1">
      <formula>AND(COUNTIF($AB$133:$AB$64820,AB110)+COUNTIF($AB$125:$AB$129,AB110)+COUNTIF($AB$1:$AB$8,AB110)+COUNTIF(#REF!,AB110)+COUNTIF(#REF!,AB110)+COUNTIF($AB$11:$AB$22,AB110)+COUNTIF($AB$90:$AB$96,AB110)+COUNTIF($AB$111:$AB$111,AB110)+COUNTIF($AB$101:$AB$101,AB110)+COUNTIF($AB$41:$AB$46,AB110)+COUNTIF($AB$29:$AB$33,AB110)+COUNTIF(#REF!,AB110)+COUNTIF($AB$58:$AB$65,AB110)+COUNTIF($AB$26:$AB$26,AB110)+COUNTIF($AB$82:$AB$89,AB110)+COUNTIF($AB$123:$AB$123,AB110)+COUNTIF($AB$106:$AB$107,AB110)+COUNTIF($AB$69:$AB$80,AB110)&gt;1,NOT(ISBLANK(AB110)))</formula>
    </cfRule>
  </conditionalFormatting>
  <conditionalFormatting sqref="AB119">
    <cfRule type="duplicateValues" dxfId="1600" priority="236"/>
    <cfRule type="expression" dxfId="1599" priority="237" stopIfTrue="1">
      <formula>AND(COUNTIF($AB$133:$AB$64820,AB119)+COUNTIF($AB$125:$AB$129,AB119)+COUNTIF($AB$1:$AB$8,AB119)+COUNTIF(#REF!,AB119)+COUNTIF(#REF!,AB119)+COUNTIF($AB$11:$AB$22,AB119)+COUNTIF($AB$90:$AB$96,AB119)+COUNTIF($AB$111:$AB$111,AB119)+COUNTIF($AB$101:$AB$101,AB119)+COUNTIF($AB$41:$AB$46,AB119)+COUNTIF($AB$29:$AB$33,AB119)+COUNTIF(#REF!,AB119)+COUNTIF($AB$58:$AB$65,AB119)+COUNTIF($AB$26:$AB$26,AB119)+COUNTIF($AB$82:$AB$89,AB119)+COUNTIF($AB$123:$AB$123,AB119)+COUNTIF($AB$106:$AB$107,AB119)+COUNTIF($AB$69:$AB$80,AB119)&gt;1,NOT(ISBLANK(AB119)))</formula>
    </cfRule>
  </conditionalFormatting>
  <conditionalFormatting sqref="AB120">
    <cfRule type="duplicateValues" dxfId="1598" priority="13485"/>
  </conditionalFormatting>
  <conditionalFormatting sqref="AB120:AB122">
    <cfRule type="expression" dxfId="1597" priority="13486" stopIfTrue="1">
      <formula>AND(COUNTIF($AB$133:$AB$64820,AB120)+COUNTIF($AB$125:$AB$129,AB120)+COUNTIF($AB$1:$AB$8,AB120)+COUNTIF(#REF!,AB120)+COUNTIF(#REF!,AB120)+COUNTIF($AB$11:$AB$22,AB120)+COUNTIF($AB$90:$AB$96,AB120)+COUNTIF($AB$111:$AB$111,AB120)+COUNTIF($AB$101:$AB$101,AB120)+COUNTIF($AB$41:$AB$46,AB120)+COUNTIF($AB$29:$AB$33,AB120)+COUNTIF(#REF!,AB120)+COUNTIF($AB$58:$AB$65,AB120)+COUNTIF($AB$26:$AB$26,AB120)+COUNTIF($AB$82:$AB$89,AB120)+COUNTIF($AB$123:$AB$123,AB120)+COUNTIF($AB$106:$AB$107,AB120)+COUNTIF($AB$69:$AB$80,AB120)&gt;1,NOT(ISBLANK(AB120)))</formula>
    </cfRule>
  </conditionalFormatting>
  <conditionalFormatting sqref="AB123">
    <cfRule type="expression" dxfId="1596" priority="13488" stopIfTrue="1">
      <formula>AND(COUNTIF($C$144:$C$64820,AB123)+COUNTIF($C$133:$C$142,AB123)+COUNTIF($C$125:$C$132,AB123)+COUNTIF($C$1:$C$8,AB123)+COUNTIF($C$11:$C$20,AB123)+COUNTIF($C$26:$C$26,AB123)+COUNTIF($C$87:$C$89,AB123)+COUNTIF($C$111:$C$111,AB123)+COUNTIF(#REF!,AB123)+COUNTIF($C$90:$C$96,AB123)+COUNTIF($C$82:$C$86,AB123)+COUNTIF($C$101:$C$101,AB123)+COUNTIF($C$41:$C$46,AB123)+COUNTIF($C$58:$C$65,AB123)+COUNTIF(#REF!,AB123)+COUNTIF($C$106:$C$107,AB123)+COUNTIF($C$69:$C$80,AB123)&gt;1,NOT(ISBLANK(AB123)))</formula>
    </cfRule>
    <cfRule type="expression" dxfId="1595" priority="13489" stopIfTrue="1">
      <formula>AND(COUNTIF($C$144:$C$64820,AB123)+COUNTIF($C$133:$C$142,AB123)+COUNTIF($C$1:$C$8,AB123)+COUNTIF($C$87:$C$89,AB123)+COUNTIF(#REF!,AB123)+COUNTIF($C$11:$C$22,AB123)+COUNTIF($C$90:$C$96,AB123)+COUNTIF($C$82:$C$86,AB123)+COUNTIF($C$111:$C$111,AB123)+COUNTIF($C$41:$C$47,AB123)+COUNTIF(#REF!,AB123)+COUNTIF($C$58:$C$65,AB123)+COUNTIF($C$26:$C$26,AB123)+COUNTIF($C$101:$C$101,AB123)+COUNTIF($C$124:$C$132,AB123)+COUNTIF($C$106:$C$107,AB123)+COUNTIF($C$67:$C$80,AB123)&gt;1,NOT(ISBLANK(AB123)))</formula>
    </cfRule>
    <cfRule type="expression" dxfId="1594" priority="13490" stopIfTrue="1">
      <formula>AND(COUNTIF($C$144:$C$64820,AB123)+COUNTIF($C$133:$C$142,AB123)+COUNTIF(#REF!,AB123)+COUNTIF($C$1:$C$8,AB123)+COUNTIF($C$11:$C$22,AB123)+COUNTIF($C$90:$C$96,AB123)+COUNTIF(#REF!,AB123)+COUNTIF($C$58:$C$65,AB123)+COUNTIF($C$111:$C$111,AB123)+COUNTIF($C$26:$C$26,AB123)+COUNTIF($C$82:$C$89,AB123)+COUNTIF($C$101:$C$101,AB123)+COUNTIF($C$124:$C$132,AB123)+COUNTIF($C$41:$C$47,AB123)+COUNTIF($C$106:$C$107,AB123)+COUNTIF($C$67:$C$80,AB123)&gt;1,NOT(ISBLANK(AB123)))</formula>
    </cfRule>
    <cfRule type="expression" dxfId="1593" priority="13491" stopIfTrue="1">
      <formula>AND(COUNTIF($C$133:$C$64820,AB123)+COUNTIF($C$111:$C$111,AB123)+COUNTIF($C$1:$C$23,AB123)+COUNTIF($C$124:$C$132,AB123)+COUNTIF($C$41:$C$47,AB123)+COUNTIF($C$26:$C$33,AB123)+COUNTIF($C$58:$C$96,AB123)+COUNTIF($C$101:$C$107,AB123)&gt;1,NOT(ISBLANK(AB123)))</formula>
    </cfRule>
    <cfRule type="duplicateValues" dxfId="1592" priority="13487" stopIfTrue="1"/>
  </conditionalFormatting>
  <conditionalFormatting sqref="AB125">
    <cfRule type="expression" dxfId="1591" priority="13496" stopIfTrue="1">
      <formula>AND(COUNTIF($C$133:$C$64820,AB125)+COUNTIF($C$111:$C$111,AB125)+COUNTIF($C$1:$C$23,AB125)+COUNTIF($C$124:$C$132,AB125)+COUNTIF($C$41:$C$47,AB125)+COUNTIF($C$26:$C$33,AB125)+COUNTIF($C$58:$C$96,AB125)+COUNTIF($C$101:$C$107,AB125)&gt;1,NOT(ISBLANK(AB125)))</formula>
    </cfRule>
    <cfRule type="expression" dxfId="1590" priority="13495" stopIfTrue="1">
      <formula>AND(COUNTIF($C$144:$C$64820,AB125)+COUNTIF($C$133:$C$142,AB125)+COUNTIF(#REF!,AB125)+COUNTIF($C$1:$C$8,AB125)+COUNTIF($C$11:$C$22,AB125)+COUNTIF($C$90:$C$96,AB125)+COUNTIF(#REF!,AB125)+COUNTIF($C$58:$C$65,AB125)+COUNTIF($C$111:$C$111,AB125)+COUNTIF($C$26:$C$26,AB125)+COUNTIF($C$82:$C$89,AB125)+COUNTIF($C$101:$C$101,AB125)+COUNTIF($C$124:$C$132,AB125)+COUNTIF($C$41:$C$47,AB125)+COUNTIF($C$106:$C$107,AB125)+COUNTIF($C$67:$C$80,AB125)&gt;1,NOT(ISBLANK(AB125)))</formula>
    </cfRule>
    <cfRule type="duplicateValues" dxfId="1589" priority="13492" stopIfTrue="1"/>
    <cfRule type="expression" dxfId="1588" priority="13493" stopIfTrue="1">
      <formula>AND(COUNTIF($C$144:$C$64820,AB125)+COUNTIF($C$133:$C$142,AB125)+COUNTIF($C$125:$C$132,AB125)+COUNTIF($C$1:$C$8,AB125)+COUNTIF($C$11:$C$20,AB125)+COUNTIF($C$26:$C$26,AB125)+COUNTIF($C$87:$C$89,AB125)+COUNTIF($C$111:$C$111,AB125)+COUNTIF(#REF!,AB125)+COUNTIF($C$90:$C$96,AB125)+COUNTIF($C$82:$C$86,AB125)+COUNTIF($C$101:$C$101,AB125)+COUNTIF($C$41:$C$46,AB125)+COUNTIF($C$58:$C$65,AB125)+COUNTIF(#REF!,AB125)+COUNTIF($C$106:$C$107,AB125)+COUNTIF($C$69:$C$80,AB125)&gt;1,NOT(ISBLANK(AB125)))</formula>
    </cfRule>
    <cfRule type="expression" dxfId="1587" priority="13494" stopIfTrue="1">
      <formula>AND(COUNTIF($C$144:$C$64820,AB125)+COUNTIF($C$133:$C$142,AB125)+COUNTIF($C$1:$C$8,AB125)+COUNTIF($C$87:$C$89,AB125)+COUNTIF(#REF!,AB125)+COUNTIF($C$11:$C$22,AB125)+COUNTIF($C$90:$C$96,AB125)+COUNTIF($C$82:$C$86,AB125)+COUNTIF($C$111:$C$111,AB125)+COUNTIF($C$41:$C$47,AB125)+COUNTIF(#REF!,AB125)+COUNTIF($C$58:$C$65,AB125)+COUNTIF($C$26:$C$26,AB125)+COUNTIF($C$101:$C$101,AB125)+COUNTIF($C$124:$C$132,AB125)+COUNTIF($C$106:$C$107,AB125)+COUNTIF($C$67:$C$80,AB125)&gt;1,NOT(ISBLANK(AB125)))</formula>
    </cfRule>
  </conditionalFormatting>
  <conditionalFormatting sqref="AB129">
    <cfRule type="duplicateValues" dxfId="1586" priority="13499"/>
    <cfRule type="duplicateValues" dxfId="1585" priority="13500"/>
    <cfRule type="expression" dxfId="1584" priority="13501" stopIfTrue="1">
      <formula>AND(COUNTIF($C$144:$C$64820,AB129)+COUNTIF($C$133:$C$142,AB129)+COUNTIF($C$125:$C$132,AB129)+COUNTIF($C$1:$C$8,AB129)+COUNTIF($C$11:$C$20,AB129)+COUNTIF($C$26:$C$26,AB129)+COUNTIF($C$87:$C$89,AB129)+COUNTIF($C$111:$C$111,AB129)+COUNTIF(#REF!,AB129)+COUNTIF($C$90:$C$96,AB129)+COUNTIF($C$82:$C$86,AB129)+COUNTIF($C$101:$C$101,AB129)+COUNTIF($C$41:$C$46,AB129)+COUNTIF($C$58:$C$65,AB129)+COUNTIF(#REF!,AB129)+COUNTIF($C$106:$C$107,AB129)+COUNTIF($C$69:$C$80,AB129)&gt;1,NOT(ISBLANK(AB129)))</formula>
    </cfRule>
    <cfRule type="expression" dxfId="1583" priority="13502" stopIfTrue="1">
      <formula>AND(COUNTIF($C$144:$C$64820,AB129)+COUNTIF($C$133:$C$142,AB129)+COUNTIF($C$1:$C$8,AB129)+COUNTIF($C$87:$C$89,AB129)+COUNTIF(#REF!,AB129)+COUNTIF($C$11:$C$22,AB129)+COUNTIF($C$90:$C$96,AB129)+COUNTIF($C$82:$C$86,AB129)+COUNTIF($C$111:$C$111,AB129)+COUNTIF($C$41:$C$47,AB129)+COUNTIF(#REF!,AB129)+COUNTIF($C$58:$C$65,AB129)+COUNTIF($C$26:$C$26,AB129)+COUNTIF($C$101:$C$101,AB129)+COUNTIF($C$124:$C$132,AB129)+COUNTIF($C$106:$C$107,AB129)+COUNTIF($C$67:$C$80,AB129)&gt;1,NOT(ISBLANK(AB129)))</formula>
    </cfRule>
    <cfRule type="expression" dxfId="1582" priority="13503" stopIfTrue="1">
      <formula>AND(COUNTIF($C$144:$C$64820,AB129)+COUNTIF($C$133:$C$142,AB129)+COUNTIF(#REF!,AB129)+COUNTIF($C$1:$C$8,AB129)+COUNTIF($C$11:$C$22,AB129)+COUNTIF($C$90:$C$96,AB129)+COUNTIF(#REF!,AB129)+COUNTIF($C$58:$C$65,AB129)+COUNTIF($C$111:$C$111,AB129)+COUNTIF($C$26:$C$26,AB129)+COUNTIF($C$82:$C$89,AB129)+COUNTIF($C$101:$C$101,AB129)+COUNTIF($C$124:$C$132,AB129)+COUNTIF($C$41:$C$47,AB129)+COUNTIF($C$106:$C$107,AB129)+COUNTIF($C$67:$C$80,AB129)&gt;1,NOT(ISBLANK(AB129)))</formula>
    </cfRule>
    <cfRule type="expression" dxfId="1581" priority="13504" stopIfTrue="1">
      <formula>AND(COUNTIF($C$133:$C$64820,AB129)+COUNTIF($C$111:$C$111,AB129)+COUNTIF($C$1:$C$23,AB129)+COUNTIF($C$124:$C$132,AB129)+COUNTIF($C$41:$C$47,AB129)+COUNTIF($C$26:$C$33,AB129)+COUNTIF($C$58:$C$96,AB129)+COUNTIF($C$101:$C$107,AB129)&gt;1,NOT(ISBLANK(AB129)))</formula>
    </cfRule>
  </conditionalFormatting>
  <conditionalFormatting sqref="AB130">
    <cfRule type="expression" dxfId="1580" priority="13511" stopIfTrue="1">
      <formula>AND(COUNTIF($AB$133:$AB$64820,AB130)+COUNTIF($AB$125:$AB$129,AB130)+COUNTIF($AB$1:$AB$8,AB130)+COUNTIF(#REF!,AB130)+COUNTIF(#REF!,AB130)+COUNTIF($AB$11:$AB$22,AB130)+COUNTIF($AB$90:$AB$96,AB130)+COUNTIF($AB$111:$AB$111,AB130)+COUNTIF($AB$101:$AB$101,AB130)+COUNTIF($AB$41:$AB$46,AB130)+COUNTIF($AB$29:$AB$33,AB130)+COUNTIF(#REF!,AB130)+COUNTIF($AB$58:$AB$65,AB130)+COUNTIF($AB$26:$AB$26,AB130)+COUNTIF($AB$82:$AB$89,AB130)+COUNTIF($AB$123:$AB$123,AB130)+COUNTIF($AB$106:$AB$107,AB130)+COUNTIF($AB$69:$AB$80,AB130)&gt;1,NOT(ISBLANK(AB130)))</formula>
    </cfRule>
    <cfRule type="duplicateValues" dxfId="1579" priority="13510"/>
  </conditionalFormatting>
  <conditionalFormatting sqref="AB131:AB132">
    <cfRule type="expression" dxfId="1578" priority="13518" stopIfTrue="1">
      <formula>AND(COUNTIF($AB$133:$AB$64820,AB131)+COUNTIF($AB$125:$AB$129,AB131)+COUNTIF($AB$1:$AB$8,AB131)+COUNTIF(#REF!,AB131)+COUNTIF(#REF!,AB131)+COUNTIF($AB$11:$AB$22,AB131)+COUNTIF($AB$90:$AB$96,AB131)+COUNTIF($AB$111:$AB$111,AB131)+COUNTIF($AB$101:$AB$101,AB131)+COUNTIF($AB$41:$AB$46,AB131)+COUNTIF($AB$29:$AB$33,AB131)+COUNTIF(#REF!,AB131)+COUNTIF($AB$58:$AB$65,AB131)+COUNTIF($AB$26:$AB$26,AB131)+COUNTIF($AB$82:$AB$89,AB131)+COUNTIF($AB$123:$AB$123,AB131)+COUNTIF($AB$106:$AB$107,AB131)+COUNTIF($AB$69:$AB$80,AB131)&gt;1,NOT(ISBLANK(AB131)))</formula>
    </cfRule>
    <cfRule type="duplicateValues" dxfId="1577" priority="13517"/>
  </conditionalFormatting>
  <conditionalFormatting sqref="AB133:AB139">
    <cfRule type="expression" dxfId="1576" priority="13548" stopIfTrue="1">
      <formula>AND(COUNTIF($AB$133:$AB$64820,AB133)+COUNTIF($AB$125:$AB$129,AB133)+COUNTIF($AB$1:$AB$8,AB133)+COUNTIF(#REF!,AB133)+COUNTIF(#REF!,AB133)+COUNTIF($AB$11:$AB$22,AB133)+COUNTIF($AB$90:$AB$96,AB133)+COUNTIF($AB$111:$AB$111,AB133)+COUNTIF($AB$101:$AB$101,AB133)+COUNTIF($AB$41:$AB$46,AB133)+COUNTIF($AB$29:$AB$33,AB133)+COUNTIF(#REF!,AB133)+COUNTIF($AB$58:$AB$65,AB133)+COUNTIF($AB$26:$AB$26,AB133)+COUNTIF($AB$82:$AB$89,AB133)+COUNTIF($AB$123:$AB$123,AB133)+COUNTIF($AB$106:$AB$107,AB133)+COUNTIF($AB$69:$AB$80,AB133)&gt;1,NOT(ISBLANK(AB133)))</formula>
    </cfRule>
  </conditionalFormatting>
  <conditionalFormatting sqref="AB135">
    <cfRule type="duplicateValues" dxfId="1575" priority="13547"/>
  </conditionalFormatting>
  <conditionalFormatting sqref="AO42">
    <cfRule type="expression" dxfId="1574" priority="14822" stopIfTrue="1">
      <formula>AND(COUNTIF($C$144:$C$64820,AO42)+COUNTIF($C$133:$C$142,AO42)+COUNTIF($C$125:$C$132,AO42)+COUNTIF($C$1:$C$8,AO42)+COUNTIF($C$11:$C$20,AO42)+COUNTIF($C$26:$C$26,AO42)+COUNTIF($C$87:$C$89,AO42)+COUNTIF($C$111:$C$111,AO42)+COUNTIF(#REF!,AO42)+COUNTIF($C$90:$C$96,AO42)+COUNTIF($C$82:$C$86,AO42)+COUNTIF($C$101:$C$101,AO42)+COUNTIF($C$41:$C$46,AO42)+COUNTIF($C$58:$C$65,AO42)+COUNTIF(#REF!,AO42)+COUNTIF($C$106:$C$107,AO42)+COUNTIF($C$69:$C$80,AO42)&gt;1,NOT(ISBLANK(AO42)))</formula>
    </cfRule>
    <cfRule type="duplicateValues" dxfId="1573" priority="14821" stopIfTrue="1"/>
    <cfRule type="expression" dxfId="1572" priority="14825" stopIfTrue="1">
      <formula>AND(COUNTIF($C$133:$C$64820,AO42)+COUNTIF($C$111:$C$111,AO42)+COUNTIF($C$1:$C$23,AO42)+COUNTIF($C$124:$C$132,AO42)+COUNTIF($C$41:$C$47,AO42)+COUNTIF($C$26:$C$33,AO42)+COUNTIF($C$58:$C$96,AO42)+COUNTIF($C$101:$C$107,AO42)&gt;1,NOT(ISBLANK(AO42)))</formula>
    </cfRule>
    <cfRule type="expression" dxfId="1571" priority="14824" stopIfTrue="1">
      <formula>AND(COUNTIF($C$144:$C$64820,AO42)+COUNTIF($C$133:$C$142,AO42)+COUNTIF(#REF!,AO42)+COUNTIF($C$1:$C$8,AO42)+COUNTIF($C$11:$C$22,AO42)+COUNTIF($C$90:$C$96,AO42)+COUNTIF(#REF!,AO42)+COUNTIF($C$58:$C$65,AO42)+COUNTIF($C$111:$C$111,AO42)+COUNTIF($C$26:$C$26,AO42)+COUNTIF($C$82:$C$89,AO42)+COUNTIF($C$101:$C$101,AO42)+COUNTIF($C$124:$C$132,AO42)+COUNTIF($C$41:$C$47,AO42)+COUNTIF($C$106:$C$107,AO42)+COUNTIF($C$67:$C$80,AO42)&gt;1,NOT(ISBLANK(AO42)))</formula>
    </cfRule>
    <cfRule type="expression" dxfId="1570" priority="14823" stopIfTrue="1">
      <formula>AND(COUNTIF($C$144:$C$64820,AO42)+COUNTIF($C$133:$C$142,AO42)+COUNTIF($C$1:$C$8,AO42)+COUNTIF($C$87:$C$89,AO42)+COUNTIF(#REF!,AO42)+COUNTIF($C$11:$C$22,AO42)+COUNTIF($C$90:$C$96,AO42)+COUNTIF($C$82:$C$86,AO42)+COUNTIF($C$111:$C$111,AO42)+COUNTIF($C$41:$C$47,AO42)+COUNTIF(#REF!,AO42)+COUNTIF($C$58:$C$65,AO42)+COUNTIF($C$26:$C$26,AO42)+COUNTIF($C$101:$C$101,AO42)+COUNTIF($C$124:$C$132,AO42)+COUNTIF($C$106:$C$107,AO42)+COUNTIF($C$67:$C$80,AO42)&gt;1,NOT(ISBLANK(AO42)))</formula>
    </cfRule>
  </conditionalFormatting>
  <conditionalFormatting sqref="AO76">
    <cfRule type="expression" dxfId="1569" priority="14843" stopIfTrue="1">
      <formula>AND(COUNTIF($C$133:$C$64820,AO76)+COUNTIF($C$111:$C$111,AO76)+COUNTIF($C$1:$C$23,AO76)+COUNTIF($C$124:$C$132,AO76)+COUNTIF($C$41:$C$47,AO76)+COUNTIF($C$26:$C$33,AO76)+COUNTIF($C$58:$C$96,AO76)+COUNTIF($C$101:$C$107,AO76)&gt;1,NOT(ISBLANK(AO76)))</formula>
    </cfRule>
    <cfRule type="duplicateValues" dxfId="1568" priority="14842"/>
  </conditionalFormatting>
  <pageMargins left="0" right="0" top="0" bottom="0.156944444444444" header="0" footer="0"/>
  <pageSetup paperSize="9" scale="80"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57"/>
  <sheetViews>
    <sheetView showZeros="0" zoomScale="110" zoomScaleNormal="110" workbookViewId="0">
      <pane xSplit="3" ySplit="4" topLeftCell="D5" activePane="bottomRight" state="frozen"/>
      <selection pane="topRight"/>
      <selection pane="bottomLeft"/>
      <selection pane="bottomRight" activeCell="X3" sqref="X3:X4"/>
    </sheetView>
  </sheetViews>
  <sheetFormatPr defaultColWidth="9" defaultRowHeight="14.4"/>
  <cols>
    <col min="1" max="1" width="7.109375" style="1515" customWidth="1"/>
    <col min="2" max="2" width="10.33203125" style="1516" customWidth="1"/>
    <col min="3" max="3" width="10.33203125" style="1517" customWidth="1"/>
    <col min="4" max="4" width="8" style="1518" customWidth="1"/>
    <col min="5" max="5" width="10.21875" style="1518" customWidth="1"/>
    <col min="6" max="6" width="8.21875" style="1518" customWidth="1"/>
    <col min="7" max="7" width="9.88671875" style="1518" customWidth="1"/>
    <col min="8" max="8" width="6" style="1518" customWidth="1"/>
    <col min="9" max="9" width="10.77734375" style="1518" customWidth="1"/>
    <col min="10" max="10" width="10" style="1518" hidden="1" customWidth="1"/>
    <col min="11" max="11" width="9.33203125" style="1518" customWidth="1"/>
    <col min="12" max="12" width="6.33203125" style="1518" customWidth="1"/>
    <col min="13" max="13" width="8.77734375" style="1518" customWidth="1"/>
    <col min="14" max="14" width="6.6640625" style="1518" hidden="1" customWidth="1"/>
    <col min="15" max="15" width="10.6640625" style="1518" customWidth="1"/>
    <col min="16" max="16" width="7.77734375" style="1518" hidden="1" customWidth="1"/>
    <col min="17" max="17" width="8.109375" style="1518" hidden="1" customWidth="1"/>
    <col min="18" max="18" width="8.6640625" style="1518" customWidth="1"/>
    <col min="19" max="19" width="8.44140625" style="1518" customWidth="1"/>
    <col min="20" max="20" width="7.33203125" style="1518" hidden="1" customWidth="1"/>
    <col min="21" max="21" width="8.21875" style="1518" customWidth="1"/>
    <col min="22" max="22" width="8.109375" style="1518" customWidth="1"/>
    <col min="23" max="23" width="10.6640625" style="1518" customWidth="1"/>
    <col min="24" max="24" width="6.109375" style="1518" customWidth="1"/>
    <col min="25" max="25" width="10" style="1517" hidden="1" customWidth="1"/>
    <col min="26" max="27" width="10" style="1518" hidden="1" customWidth="1"/>
    <col min="28" max="28" width="13.33203125" style="1519" hidden="1" customWidth="1"/>
    <col min="29" max="29" width="19.33203125" style="1518" hidden="1" customWidth="1"/>
    <col min="30" max="30" width="13.88671875" style="1518" hidden="1" customWidth="1"/>
    <col min="31" max="31" width="15" style="1520" hidden="1" customWidth="1"/>
    <col min="32" max="32" width="15.77734375" style="1518" hidden="1" customWidth="1"/>
    <col min="33" max="33" width="13" style="1518" hidden="1" customWidth="1"/>
    <col min="34" max="34" width="12" style="1520" hidden="1" customWidth="1"/>
    <col min="35" max="35" width="12.6640625" style="1520" hidden="1" customWidth="1"/>
    <col min="36" max="36" width="17" style="1518" hidden="1" customWidth="1"/>
    <col min="37" max="37" width="13.21875" style="1520" hidden="1" customWidth="1"/>
    <col min="38" max="38" width="11.6640625" style="1518" hidden="1" customWidth="1"/>
    <col min="39" max="39" width="9" style="1518" hidden="1" customWidth="1"/>
    <col min="40" max="42" width="9" style="1518" customWidth="1"/>
    <col min="43" max="16384" width="9" style="1518"/>
  </cols>
  <sheetData>
    <row r="1" spans="1:40" ht="18" customHeight="1">
      <c r="A1" s="1649" t="s">
        <v>194</v>
      </c>
      <c r="B1" s="1689"/>
      <c r="C1" s="1649"/>
      <c r="D1" s="1649"/>
      <c r="E1" s="1649"/>
      <c r="F1" s="1649"/>
      <c r="G1" s="1649"/>
      <c r="H1" s="1649"/>
      <c r="I1" s="1649"/>
      <c r="J1" s="1649"/>
      <c r="K1" s="1649"/>
      <c r="L1" s="1649"/>
      <c r="M1" s="1649"/>
      <c r="N1" s="1649"/>
      <c r="O1" s="1649"/>
      <c r="P1" s="1649"/>
      <c r="Q1" s="1649"/>
      <c r="R1" s="1649"/>
      <c r="S1" s="1649"/>
      <c r="T1" s="1649"/>
      <c r="U1" s="1649"/>
      <c r="V1" s="1649"/>
      <c r="W1" s="1649"/>
      <c r="X1" s="1649"/>
      <c r="Y1" s="1649"/>
      <c r="Z1" s="1649"/>
    </row>
    <row r="2" spans="1:40" ht="15.75" customHeight="1">
      <c r="A2" s="1650" t="s">
        <v>1</v>
      </c>
      <c r="B2" s="1650"/>
      <c r="C2" s="1651"/>
      <c r="D2" s="1521"/>
      <c r="E2" s="1521"/>
      <c r="F2" s="1521"/>
      <c r="G2" s="1521"/>
      <c r="H2" s="1521"/>
      <c r="I2" s="1521"/>
      <c r="J2" s="1521"/>
      <c r="K2" s="1521"/>
      <c r="L2" s="1521"/>
      <c r="M2" s="1522"/>
      <c r="N2" s="1522"/>
      <c r="O2" s="1522"/>
      <c r="P2" s="1522"/>
      <c r="Q2" s="1522"/>
      <c r="R2" s="1522"/>
      <c r="S2" s="1523"/>
      <c r="T2" s="1523"/>
      <c r="U2" s="1524"/>
      <c r="V2" s="1521"/>
      <c r="W2" s="1521"/>
      <c r="X2" s="1525"/>
      <c r="Y2" s="1526"/>
      <c r="Z2" s="1521"/>
      <c r="AA2" s="1521"/>
    </row>
    <row r="3" spans="1:40" ht="28.2" customHeight="1">
      <c r="A3" s="1690" t="s">
        <v>2</v>
      </c>
      <c r="B3" s="1692" t="s">
        <v>3</v>
      </c>
      <c r="C3" s="1668" t="s">
        <v>4</v>
      </c>
      <c r="D3" s="1670" t="s">
        <v>5</v>
      </c>
      <c r="E3" s="1652" t="s">
        <v>6</v>
      </c>
      <c r="F3" s="1652" t="s">
        <v>7</v>
      </c>
      <c r="G3" s="1672" t="s">
        <v>8</v>
      </c>
      <c r="H3" s="1670" t="s">
        <v>9</v>
      </c>
      <c r="I3" s="1652" t="s">
        <v>10</v>
      </c>
      <c r="J3" s="1652" t="s">
        <v>11</v>
      </c>
      <c r="K3" s="1673" t="s">
        <v>12</v>
      </c>
      <c r="L3" s="1675" t="s">
        <v>13</v>
      </c>
      <c r="M3" s="1670" t="s">
        <v>14</v>
      </c>
      <c r="N3" s="1677" t="s">
        <v>15</v>
      </c>
      <c r="O3" s="1679" t="s">
        <v>16</v>
      </c>
      <c r="P3" s="1681" t="s">
        <v>9</v>
      </c>
      <c r="Q3" s="1677" t="s">
        <v>17</v>
      </c>
      <c r="R3" s="1652" t="s">
        <v>18</v>
      </c>
      <c r="S3" s="1652" t="s">
        <v>19</v>
      </c>
      <c r="T3" s="1652"/>
      <c r="U3" s="1652"/>
      <c r="V3" s="1670" t="s">
        <v>20</v>
      </c>
      <c r="W3" s="1652" t="s">
        <v>21</v>
      </c>
      <c r="X3" s="1683" t="s">
        <v>22</v>
      </c>
      <c r="Y3" s="1685" t="s">
        <v>23</v>
      </c>
      <c r="Z3" s="1670" t="s">
        <v>24</v>
      </c>
      <c r="AA3" s="1687" t="s">
        <v>25</v>
      </c>
      <c r="AF3" s="1518" t="s">
        <v>26</v>
      </c>
      <c r="AG3" s="1518" t="s">
        <v>27</v>
      </c>
      <c r="AH3" s="1520" t="s">
        <v>28</v>
      </c>
    </row>
    <row r="4" spans="1:40" ht="17.100000000000001" customHeight="1">
      <c r="A4" s="1691"/>
      <c r="B4" s="1693"/>
      <c r="C4" s="1669"/>
      <c r="D4" s="1671"/>
      <c r="E4" s="1671"/>
      <c r="F4" s="1671"/>
      <c r="G4" s="1671"/>
      <c r="H4" s="1671"/>
      <c r="I4" s="1671"/>
      <c r="J4" s="1671"/>
      <c r="K4" s="1674"/>
      <c r="L4" s="1676"/>
      <c r="M4" s="1671"/>
      <c r="N4" s="1678"/>
      <c r="O4" s="1680"/>
      <c r="P4" s="1682"/>
      <c r="Q4" s="1678"/>
      <c r="R4" s="1671"/>
      <c r="S4" s="1527" t="s">
        <v>29</v>
      </c>
      <c r="T4" s="1527" t="s">
        <v>30</v>
      </c>
      <c r="U4" s="1528" t="s">
        <v>31</v>
      </c>
      <c r="V4" s="1671"/>
      <c r="W4" s="1671"/>
      <c r="X4" s="1684"/>
      <c r="Y4" s="1686" t="s">
        <v>32</v>
      </c>
      <c r="Z4" s="1671" t="s">
        <v>32</v>
      </c>
      <c r="AA4" s="1688" t="s">
        <v>32</v>
      </c>
      <c r="AB4" s="1519" t="s">
        <v>33</v>
      </c>
      <c r="AC4" s="1518" t="s">
        <v>34</v>
      </c>
      <c r="AF4" s="1529">
        <f>SUMIF('05月其他部门提成'!C:C,'05月提成-机场售后'!C4,'05月其他部门提成'!Q:Q)</f>
        <v>0</v>
      </c>
      <c r="AH4" s="1530">
        <f>SUMIF('05月业务提成'!B:B,'05月提成-机场售后'!C4,'05月业务提成'!BO:BO)</f>
        <v>0</v>
      </c>
    </row>
    <row r="5" spans="1:40" s="1512" customFormat="1" ht="18.75" customHeight="1">
      <c r="A5" s="1531">
        <v>1</v>
      </c>
      <c r="B5" s="1532" t="s">
        <v>195</v>
      </c>
      <c r="C5" s="1507" t="s">
        <v>196</v>
      </c>
      <c r="D5" s="1533">
        <f>INDEX('05基本'!I:I,MATCH(C5,'05基本'!C:C,0))+INDEX('05基本'!J:J,MATCH(C5,'05基本'!C:C,0))</f>
        <v>0</v>
      </c>
      <c r="E5" s="1534">
        <f>INDEX('05基本'!AA:AA,MATCH(C5,'05基本'!C:C,0))</f>
        <v>1497.5</v>
      </c>
      <c r="F5" s="1534">
        <f>INDEX('05基本'!AB:AB,MATCH(C5,'05基本'!C:C,0))</f>
        <v>572</v>
      </c>
      <c r="G5" s="1534">
        <f>INDEX('05基本'!AC:AC,MATCH(C5,'05基本'!C:C,0))</f>
        <v>117</v>
      </c>
      <c r="H5" s="1534">
        <f>INDEX('05基本'!K:K,MATCH(C5,'05基本'!C:C,0))+INDEX('05基本'!L:L,MATCH(C5,'05基本'!C:C,0))</f>
        <v>0</v>
      </c>
      <c r="I5" s="1534">
        <f>INDEX('05基本'!P:P,MATCH(C5,'05基本'!C:C,0))</f>
        <v>4000</v>
      </c>
      <c r="J5" s="1534">
        <f>INDEX('05基本'!M:M,MATCH(C5,'05基本'!C:C,0))</f>
        <v>0</v>
      </c>
      <c r="K5" s="1535">
        <f>INDEX('05月其他部门提成'!Q:Q,MATCH(C5,'05月其他部门提成'!C:C,0))</f>
        <v>6800</v>
      </c>
      <c r="L5" s="1533">
        <f>SUMIF(综合考核!A:A,'05月提成-机场售后'!C5,综合考核!M:M)</f>
        <v>0</v>
      </c>
      <c r="M5" s="1535">
        <f>SUM(K5:L5)</f>
        <v>6800</v>
      </c>
      <c r="N5" s="1535">
        <f>SUMIF(服装扣款!C:C,C5,服装扣款!N:N)</f>
        <v>0</v>
      </c>
      <c r="O5" s="1536">
        <f>M5-N5</f>
        <v>6800</v>
      </c>
      <c r="P5" s="1537">
        <f>SUMIF(西物公积金!C:C,C5,西物公积金!I:I)</f>
        <v>0</v>
      </c>
      <c r="Q5" s="1535">
        <f>SUMIF(综合考核!A:A,'05月提成-机场售后'!C5,综合考核!N:N)</f>
        <v>0</v>
      </c>
      <c r="R5" s="1535">
        <f>M5+I5+Q5</f>
        <v>10800</v>
      </c>
      <c r="S5" s="1535">
        <f>INDEX(AC:AC,MATCH(C5,AB:AB,0))</f>
        <v>411.1</v>
      </c>
      <c r="T5" s="1538"/>
      <c r="U5" s="1535">
        <f>S5-T5</f>
        <v>411.1</v>
      </c>
      <c r="V5" s="1535">
        <f>INDEX('05基本'!AF:AF,MATCH(C5,'05基本'!C:C,0))</f>
        <v>0</v>
      </c>
      <c r="W5" s="1535">
        <f>O5-P5-U5</f>
        <v>6388.9</v>
      </c>
      <c r="X5" s="1539"/>
      <c r="Y5" s="1540">
        <f>SUM(Z5:AA5)</f>
        <v>0</v>
      </c>
      <c r="Z5" s="1541">
        <f>INDEX('05月其他部门提成'!S:S,MATCH(C5,'05月其他部门提成'!C:C,0))</f>
        <v>0</v>
      </c>
      <c r="AA5" s="1542"/>
      <c r="AB5" s="1519" t="s">
        <v>196</v>
      </c>
      <c r="AC5" s="1543">
        <v>411.1</v>
      </c>
      <c r="AD5" s="1518">
        <f>COUNTIF(C:C,C5)</f>
        <v>1</v>
      </c>
      <c r="AE5" s="1530"/>
      <c r="AF5" s="1529">
        <f>SUMIF('05月其他部门提成'!C:C,'05月提成-机场售后'!C5,'05月其他部门提成'!Q:Q)</f>
        <v>6800</v>
      </c>
      <c r="AG5" s="1544">
        <f>SUMIF('05月车间提成'!C:C,'05月提成-机场售后'!C5,'05月车间提成'!W:W)</f>
        <v>0</v>
      </c>
      <c r="AH5" s="1530">
        <f>SUMIF('05月业务提成'!B:B,'05月提成-机场售后'!C5,'05月业务提成'!BO:BO)</f>
        <v>0</v>
      </c>
      <c r="AI5" s="1530">
        <f>AF5+AG5+AH5</f>
        <v>6800</v>
      </c>
      <c r="AJ5" s="1530">
        <f>AI5-K5</f>
        <v>0</v>
      </c>
      <c r="AK5" s="1530"/>
      <c r="AL5" s="1518"/>
      <c r="AM5" s="1518"/>
      <c r="AN5" s="1518"/>
    </row>
    <row r="6" spans="1:40" s="1512" customFormat="1" ht="14.1" customHeight="1">
      <c r="A6" s="1531">
        <v>2</v>
      </c>
      <c r="B6" s="1545" t="s">
        <v>197</v>
      </c>
      <c r="C6" s="1507" t="s">
        <v>198</v>
      </c>
      <c r="D6" s="1533">
        <f>INDEX('05基本'!I:I,MATCH(C6,'05基本'!C:C,0))+INDEX('05基本'!J:J,MATCH(C6,'05基本'!C:C,0))</f>
        <v>0</v>
      </c>
      <c r="E6" s="1534">
        <f>INDEX('05基本'!AA:AA,MATCH(C6,'05基本'!C:C,0))</f>
        <v>0</v>
      </c>
      <c r="F6" s="1534">
        <f>INDEX('05基本'!AB:AB,MATCH(C6,'05基本'!C:C,0))</f>
        <v>0</v>
      </c>
      <c r="G6" s="1534">
        <f>INDEX('05基本'!AC:AC,MATCH(C6,'05基本'!C:C,0))</f>
        <v>0</v>
      </c>
      <c r="H6" s="1534">
        <f>INDEX('05基本'!K:K,MATCH(C6,'05基本'!C:C,0))+INDEX('05基本'!L:L,MATCH(C6,'05基本'!C:C,0))</f>
        <v>0</v>
      </c>
      <c r="I6" s="1534">
        <f>INDEX('05基本'!P:P,MATCH(C6,'05基本'!C:C,0))</f>
        <v>1600</v>
      </c>
      <c r="J6" s="1534">
        <f>INDEX('05基本'!M:M,MATCH(C6,'05基本'!C:C,0))</f>
        <v>0</v>
      </c>
      <c r="K6" s="1535">
        <f>INDEX('05月其他部门提成'!Q:Q,MATCH(C6,'05月其他部门提成'!C:C,0))</f>
        <v>3855.4578769999998</v>
      </c>
      <c r="L6" s="1533">
        <f>SUMIF(综合考核!A:A,'05月提成-机场售后'!C6,综合考核!M:M)</f>
        <v>0</v>
      </c>
      <c r="M6" s="1535">
        <f>SUM(K6:L6)</f>
        <v>3855.4578769999998</v>
      </c>
      <c r="N6" s="1535">
        <f>SUMIF(服装扣款!C:C,C6,服装扣款!N:N)</f>
        <v>0</v>
      </c>
      <c r="O6" s="1536">
        <f>M6-N6</f>
        <v>3855.4578769999998</v>
      </c>
      <c r="P6" s="1537">
        <f>SUMIF(西物公积金!C:C,C6,西物公积金!I:I)</f>
        <v>0</v>
      </c>
      <c r="Q6" s="1535">
        <f>SUMIF(综合考核!A:A,'05月提成-机场售后'!C6,综合考核!N:N)</f>
        <v>0</v>
      </c>
      <c r="R6" s="1535">
        <f>M6+I6+Q6</f>
        <v>5455.4578769999998</v>
      </c>
      <c r="S6" s="1535">
        <f>INDEX(AC:AC,MATCH(C6,AB:AB,0))</f>
        <v>13.66</v>
      </c>
      <c r="T6" s="1538">
        <v>0</v>
      </c>
      <c r="U6" s="1535">
        <f>S6-T6</f>
        <v>13.66</v>
      </c>
      <c r="V6" s="1535">
        <f>INDEX('05基本'!AF:AF,MATCH(C6,'05基本'!C:C,0))</f>
        <v>0</v>
      </c>
      <c r="W6" s="1535">
        <f>O6-P6-U6</f>
        <v>3841.797877</v>
      </c>
      <c r="X6" s="1542"/>
      <c r="Y6" s="1540">
        <f>SUM(Z6:AA6)</f>
        <v>216.666666666667</v>
      </c>
      <c r="Z6" s="1541">
        <f>INDEX('05月其他部门提成'!S:S,MATCH(C6,'05月其他部门提成'!C:C,0))</f>
        <v>216.666666666667</v>
      </c>
      <c r="AA6" s="1542"/>
      <c r="AB6" s="1546" t="s">
        <v>198</v>
      </c>
      <c r="AC6" s="1543">
        <v>13.66</v>
      </c>
      <c r="AD6" s="1518"/>
      <c r="AE6" s="1530"/>
      <c r="AF6" s="1547">
        <f>SUMIF('05月其他部门提成'!C:C,'05月提成-机场售后'!C6,'05月其他部门提成'!Q:Q)</f>
        <v>3855.4578769999998</v>
      </c>
      <c r="AG6" s="1548">
        <f>SUMIF('05月车间提成'!C:C,'05月提成-机场售后'!C6,'05月车间提成'!W:W)</f>
        <v>0</v>
      </c>
      <c r="AH6" s="1549">
        <f>SUMIF('05月业务提成'!B:B,'05月提成-机场售后'!C6,'05月业务提成'!BO:BO)</f>
        <v>0</v>
      </c>
      <c r="AI6" s="1549">
        <f>AF6+AG6+AH6</f>
        <v>3855.4578769999998</v>
      </c>
      <c r="AJ6" s="1549">
        <f>AI6-K6</f>
        <v>0</v>
      </c>
      <c r="AK6" s="1530"/>
      <c r="AL6" s="1518"/>
      <c r="AM6" s="1518"/>
      <c r="AN6" s="1518"/>
    </row>
    <row r="7" spans="1:40" ht="14.1" customHeight="1">
      <c r="A7" s="1531">
        <v>3</v>
      </c>
      <c r="B7" s="1659" t="s">
        <v>199</v>
      </c>
      <c r="C7" s="1551" t="s">
        <v>200</v>
      </c>
      <c r="D7" s="1533">
        <f>INDEX('05基本'!I:I,MATCH(C7,'05基本'!C:C,0))+INDEX('05基本'!J:J,MATCH(C7,'05基本'!C:C,0))</f>
        <v>0</v>
      </c>
      <c r="E7" s="1534">
        <f>INDEX('05基本'!AA:AA,MATCH(C7,'05基本'!C:C,0))</f>
        <v>1268.5899999999999</v>
      </c>
      <c r="F7" s="1534">
        <f>INDEX('05基本'!AB:AB,MATCH(C7,'05基本'!C:C,0))</f>
        <v>477.15</v>
      </c>
      <c r="G7" s="1534">
        <f>INDEX('05基本'!AC:AC,MATCH(C7,'05基本'!C:C,0))</f>
        <v>117</v>
      </c>
      <c r="H7" s="1534">
        <f>INDEX('05基本'!K:K,MATCH(C7,'05基本'!C:C,0))+INDEX('05基本'!L:L,MATCH(C7,'05基本'!C:C,0))</f>
        <v>100</v>
      </c>
      <c r="I7" s="1534">
        <f>INDEX('05基本'!P:P,MATCH(C7,'05基本'!C:C,0))</f>
        <v>1700</v>
      </c>
      <c r="J7" s="1534">
        <f>INDEX('05基本'!M:M,MATCH(C7,'05基本'!C:C,0))</f>
        <v>0</v>
      </c>
      <c r="K7" s="1535">
        <f>INDEX('05月其他部门提成'!Q:Q,MATCH(C7,'05月其他部门提成'!C:C,0))</f>
        <v>9851.2332210000095</v>
      </c>
      <c r="L7" s="1533">
        <f>SUMIF(综合考核!A:A,'05月提成-机场售后'!C7,综合考核!M:M)</f>
        <v>0</v>
      </c>
      <c r="M7" s="1535">
        <f>SUM(K7:L7)</f>
        <v>9851.2332210000095</v>
      </c>
      <c r="N7" s="1535">
        <f>SUMIF(服装扣款!C:C,C7,服装扣款!N:N)</f>
        <v>0</v>
      </c>
      <c r="O7" s="1536">
        <f>M7-N7</f>
        <v>9851.2332210000095</v>
      </c>
      <c r="P7" s="1537">
        <f>SUMIF(西物公积金!C:C,C7,西物公积金!I:I)</f>
        <v>0</v>
      </c>
      <c r="Q7" s="1535">
        <f>SUMIF(综合考核!A:A,'05月提成-机场售后'!C7,综合考核!N:N)</f>
        <v>0</v>
      </c>
      <c r="R7" s="1535">
        <f>M7+I7+Q7</f>
        <v>11551.233221</v>
      </c>
      <c r="S7" s="1535">
        <f>INDEX(AC:AC,MATCH(C7,AB:AB,0))</f>
        <v>118.72</v>
      </c>
      <c r="T7" s="1538">
        <v>0</v>
      </c>
      <c r="U7" s="1535">
        <f>S7-T7</f>
        <v>118.72</v>
      </c>
      <c r="V7" s="1535">
        <f>INDEX('05基本'!AF:AF,MATCH(C7,'05基本'!C:C,0))</f>
        <v>0</v>
      </c>
      <c r="W7" s="1535">
        <f>O7-P7-U7</f>
        <v>9732.5132210000102</v>
      </c>
      <c r="X7" s="1542"/>
      <c r="Y7" s="1540">
        <f>SUM(Z7:AA7)</f>
        <v>518.48895900000002</v>
      </c>
      <c r="Z7" s="1541">
        <f>INDEX('05月其他部门提成'!S:S,MATCH(C7,'05月其他部门提成'!C:C,0))</f>
        <v>518.48895900000002</v>
      </c>
      <c r="AA7" s="1542"/>
      <c r="AB7" s="1546" t="s">
        <v>200</v>
      </c>
      <c r="AC7" s="1543">
        <v>118.72</v>
      </c>
      <c r="AE7" s="1530"/>
      <c r="AF7" s="1547">
        <f>SUMIF('05月其他部门提成'!C:C,'05月提成-机场售后'!C7,'05月其他部门提成'!Q:Q)</f>
        <v>9851.2332210000095</v>
      </c>
      <c r="AG7" s="1548">
        <f>SUMIF('05月车间提成'!C:C,'05月提成-机场售后'!C7,'05月车间提成'!W:W)</f>
        <v>0</v>
      </c>
      <c r="AH7" s="1549">
        <f>SUMIF('05月业务提成'!B:B,'05月提成-机场售后'!C7,'05月业务提成'!BO:BO)</f>
        <v>0</v>
      </c>
      <c r="AI7" s="1549">
        <f>AF7+AG7+AH7</f>
        <v>9851.2332210000095</v>
      </c>
      <c r="AJ7" s="1549">
        <f>AI7-K7</f>
        <v>0</v>
      </c>
      <c r="AK7" s="1530"/>
    </row>
    <row r="8" spans="1:40" ht="14.1" customHeight="1">
      <c r="A8" s="1531">
        <v>4</v>
      </c>
      <c r="B8" s="1661"/>
      <c r="C8" s="1551" t="s">
        <v>201</v>
      </c>
      <c r="D8" s="1533">
        <f>INDEX('05基本'!I:I,MATCH(C8,'05基本'!C:C,0))+INDEX('05基本'!J:J,MATCH(C8,'05基本'!C:C,0))</f>
        <v>0</v>
      </c>
      <c r="E8" s="1534">
        <f>INDEX('05基本'!AA:AA,MATCH(C8,'05基本'!C:C,0))</f>
        <v>1268.5899999999999</v>
      </c>
      <c r="F8" s="1534">
        <f>INDEX('05基本'!AB:AB,MATCH(C8,'05基本'!C:C,0))</f>
        <v>477.15</v>
      </c>
      <c r="G8" s="1534">
        <f>INDEX('05基本'!AC:AC,MATCH(C8,'05基本'!C:C,0))</f>
        <v>117</v>
      </c>
      <c r="H8" s="1534">
        <f>INDEX('05基本'!K:K,MATCH(C8,'05基本'!C:C,0))+INDEX('05基本'!L:L,MATCH(C8,'05基本'!C:C,0))</f>
        <v>0</v>
      </c>
      <c r="I8" s="1534">
        <f>INDEX('05基本'!P:P,MATCH(C8,'05基本'!C:C,0))</f>
        <v>900</v>
      </c>
      <c r="J8" s="1534">
        <f>INDEX('05基本'!M:M,MATCH(C8,'05基本'!C:C,0))</f>
        <v>0</v>
      </c>
      <c r="K8" s="1535">
        <f>INDEX('05月其他部门提成'!Q:Q,MATCH(C8,'05月其他部门提成'!C:C,0))</f>
        <v>4100</v>
      </c>
      <c r="L8" s="1533">
        <f>SUMIF(综合考核!A:A,'05月提成-机场售后'!C8,综合考核!M:M)</f>
        <v>0</v>
      </c>
      <c r="M8" s="1535">
        <f>SUM(K8:L8)</f>
        <v>4100</v>
      </c>
      <c r="N8" s="1535">
        <f>SUMIF(服装扣款!C:C,C8,服装扣款!N:N)</f>
        <v>0</v>
      </c>
      <c r="O8" s="1536">
        <f>M8-N8</f>
        <v>4100</v>
      </c>
      <c r="P8" s="1537">
        <f>SUMIF(西物公积金!C:C,C8,西物公积金!I:I)</f>
        <v>0</v>
      </c>
      <c r="Q8" s="1535">
        <f>SUMIF(综合考核!A:A,'05月提成-机场售后'!C8,综合考核!N:N)</f>
        <v>0</v>
      </c>
      <c r="R8" s="1535">
        <f>M8+I8+Q8</f>
        <v>5000</v>
      </c>
      <c r="S8" s="1535">
        <f>INDEX(AC:AC,MATCH(C8,AB:AB,0))</f>
        <v>0</v>
      </c>
      <c r="T8" s="1538">
        <v>0</v>
      </c>
      <c r="U8" s="1535">
        <f>S8-T8</f>
        <v>0</v>
      </c>
      <c r="V8" s="1535">
        <f>INDEX('05基本'!AF:AF,MATCH(C8,'05基本'!C:C,0))</f>
        <v>0</v>
      </c>
      <c r="W8" s="1535">
        <f>O8-P8-U8</f>
        <v>4100</v>
      </c>
      <c r="X8" s="1542"/>
      <c r="Y8" s="1540">
        <f>SUM(Z8:AA8)</f>
        <v>83.34</v>
      </c>
      <c r="Z8" s="1541">
        <f>INDEX('05月其他部门提成'!S:S,MATCH(C8,'05月其他部门提成'!C:C,0))</f>
        <v>83.34</v>
      </c>
      <c r="AA8" s="1542"/>
      <c r="AB8" s="1546" t="s">
        <v>201</v>
      </c>
      <c r="AC8" s="1543">
        <v>0</v>
      </c>
      <c r="AE8" s="1530"/>
      <c r="AF8" s="1547">
        <f>SUMIF('05月其他部门提成'!C:C,'05月提成-机场售后'!C8,'05月其他部门提成'!Q:Q)</f>
        <v>4100</v>
      </c>
      <c r="AG8" s="1548">
        <f>SUMIF('05月车间提成'!C:C,'05月提成-机场售后'!C8,'05月车间提成'!W:W)</f>
        <v>0</v>
      </c>
      <c r="AH8" s="1549">
        <f>SUMIF('05月业务提成'!B:B,'05月提成-机场售后'!C8,'05月业务提成'!BO:BO)</f>
        <v>0</v>
      </c>
      <c r="AI8" s="1549">
        <f>AF8+AG8+AH8</f>
        <v>4100</v>
      </c>
      <c r="AJ8" s="1549">
        <f>AI8-K8</f>
        <v>0</v>
      </c>
      <c r="AK8" s="1530"/>
    </row>
    <row r="9" spans="1:40" ht="14.1" customHeight="1">
      <c r="A9" s="1531">
        <v>5</v>
      </c>
      <c r="B9" s="1660"/>
      <c r="C9" s="1551" t="s">
        <v>202</v>
      </c>
      <c r="D9" s="1533">
        <f>INDEX('05基本'!I:I,MATCH(C9,'05基本'!C:C,0))+INDEX('05基本'!J:J,MATCH(C9,'05基本'!C:C,0))</f>
        <v>0</v>
      </c>
      <c r="E9" s="1534">
        <f>INDEX('05基本'!AA:AA,MATCH(C9,'05基本'!C:C,0))</f>
        <v>1268.5899999999999</v>
      </c>
      <c r="F9" s="1534">
        <f>INDEX('05基本'!AB:AB,MATCH(C9,'05基本'!C:C,0))</f>
        <v>477.15</v>
      </c>
      <c r="G9" s="1534">
        <f>INDEX('05基本'!AC:AC,MATCH(C9,'05基本'!C:C,0))</f>
        <v>117</v>
      </c>
      <c r="H9" s="1534">
        <f>INDEX('05基本'!K:K,MATCH(C9,'05基本'!C:C,0))+INDEX('05基本'!L:L,MATCH(C9,'05基本'!C:C,0))</f>
        <v>0</v>
      </c>
      <c r="I9" s="1534">
        <f>INDEX('05基本'!P:P,MATCH(C9,'05基本'!C:C,0))</f>
        <v>900</v>
      </c>
      <c r="J9" s="1534">
        <f>INDEX('05基本'!M:M,MATCH(C9,'05基本'!C:C,0))</f>
        <v>0</v>
      </c>
      <c r="K9" s="1535">
        <f>INDEX('05月其他部门提成'!Q:Q,MATCH(C9,'05月其他部门提成'!C:C,0))</f>
        <v>5500</v>
      </c>
      <c r="L9" s="1533">
        <f>SUMIF(综合考核!A:A,'05月提成-机场售后'!C9,综合考核!M:M)</f>
        <v>0</v>
      </c>
      <c r="M9" s="1535">
        <f>SUM(K9:L9)</f>
        <v>5500</v>
      </c>
      <c r="N9" s="1535">
        <f>SUMIF(服装扣款!C:C,C9,服装扣款!N:N)</f>
        <v>0</v>
      </c>
      <c r="O9" s="1536">
        <f>M9-N9</f>
        <v>5500</v>
      </c>
      <c r="P9" s="1537">
        <f>SUMIF(西物公积金!C:C,C9,西物公积金!I:I)</f>
        <v>0</v>
      </c>
      <c r="Q9" s="1535">
        <f>SUMIF(综合考核!A:A,'05月提成-机场售后'!C9,综合考核!N:N)</f>
        <v>0</v>
      </c>
      <c r="R9" s="1535">
        <f>M9+I9+Q9</f>
        <v>6400</v>
      </c>
      <c r="S9" s="1535">
        <f>INDEX(AC:AC,MATCH(C9,AB:AB,0))</f>
        <v>0</v>
      </c>
      <c r="T9" s="1538">
        <v>0</v>
      </c>
      <c r="U9" s="1535">
        <f>S9-T9</f>
        <v>0</v>
      </c>
      <c r="V9" s="1535">
        <f>INDEX('05基本'!AF:AF,MATCH(C9,'05基本'!C:C,0))</f>
        <v>0</v>
      </c>
      <c r="W9" s="1535">
        <f>O9-P9-U9</f>
        <v>5500</v>
      </c>
      <c r="X9" s="1542"/>
      <c r="Y9" s="1540">
        <f>SUM(Z9:AA9)</f>
        <v>83.34</v>
      </c>
      <c r="Z9" s="1541">
        <f>INDEX('05月其他部门提成'!S:S,MATCH(C9,'05月其他部门提成'!C:C,0))</f>
        <v>83.34</v>
      </c>
      <c r="AA9" s="1542"/>
      <c r="AB9" s="1546" t="s">
        <v>202</v>
      </c>
      <c r="AC9" s="1543">
        <v>0</v>
      </c>
      <c r="AE9" s="1530"/>
      <c r="AF9" s="1547">
        <f>SUMIF('05月其他部门提成'!C:C,'05月提成-机场售后'!C9,'05月其他部门提成'!Q:Q)</f>
        <v>5500</v>
      </c>
      <c r="AG9" s="1548">
        <f>SUMIF('05月车间提成'!C:C,'05月提成-机场售后'!C9,'05月车间提成'!W:W)</f>
        <v>0</v>
      </c>
      <c r="AH9" s="1549">
        <f>SUMIF('05月业务提成'!B:B,'05月提成-机场售后'!C9,'05月业务提成'!BO:BO)</f>
        <v>0</v>
      </c>
      <c r="AI9" s="1549">
        <f>AF9+AG9+AH9</f>
        <v>5500</v>
      </c>
      <c r="AJ9" s="1549">
        <f>AI9-K9</f>
        <v>0</v>
      </c>
      <c r="AK9" s="1530"/>
    </row>
    <row r="10" spans="1:40" ht="14.25" customHeight="1">
      <c r="A10" s="1531"/>
      <c r="B10" s="1552"/>
      <c r="C10" s="1553" t="s">
        <v>40</v>
      </c>
      <c r="D10" s="1554">
        <f t="shared" ref="D10:G10" si="0">SUM(D5:D9)</f>
        <v>0</v>
      </c>
      <c r="E10" s="1554">
        <f t="shared" si="0"/>
        <v>5303.27</v>
      </c>
      <c r="F10" s="1554">
        <f t="shared" si="0"/>
        <v>2003.45</v>
      </c>
      <c r="G10" s="1554">
        <f t="shared" si="0"/>
        <v>468</v>
      </c>
      <c r="H10" s="1554">
        <f t="shared" ref="H10:AA10" si="1">SUM(H5:H9)</f>
        <v>100</v>
      </c>
      <c r="I10" s="1554">
        <f t="shared" si="1"/>
        <v>9100</v>
      </c>
      <c r="J10" s="1554">
        <f t="shared" si="1"/>
        <v>0</v>
      </c>
      <c r="K10" s="1554">
        <f t="shared" si="1"/>
        <v>30106.691097999999</v>
      </c>
      <c r="L10" s="1554">
        <f t="shared" si="1"/>
        <v>0</v>
      </c>
      <c r="M10" s="1554">
        <f t="shared" si="1"/>
        <v>30106.691097999999</v>
      </c>
      <c r="N10" s="1554">
        <f t="shared" si="1"/>
        <v>0</v>
      </c>
      <c r="O10" s="1555">
        <f t="shared" si="1"/>
        <v>30106.691097999999</v>
      </c>
      <c r="P10" s="1556">
        <f t="shared" si="1"/>
        <v>0</v>
      </c>
      <c r="Q10" s="1554">
        <f t="shared" si="1"/>
        <v>0</v>
      </c>
      <c r="R10" s="1554">
        <f t="shared" si="1"/>
        <v>39206.691098000003</v>
      </c>
      <c r="S10" s="1554">
        <f t="shared" si="1"/>
        <v>543.48</v>
      </c>
      <c r="T10" s="1554">
        <f t="shared" si="1"/>
        <v>0</v>
      </c>
      <c r="U10" s="1554">
        <f t="shared" si="1"/>
        <v>543.48</v>
      </c>
      <c r="V10" s="1554">
        <f t="shared" si="1"/>
        <v>0</v>
      </c>
      <c r="W10" s="1554">
        <f t="shared" si="1"/>
        <v>29563.211098</v>
      </c>
      <c r="X10" s="1554">
        <f t="shared" si="1"/>
        <v>0</v>
      </c>
      <c r="Y10" s="1554">
        <f t="shared" si="1"/>
        <v>901.83562566666706</v>
      </c>
      <c r="Z10" s="1554">
        <f t="shared" si="1"/>
        <v>901.83562566666706</v>
      </c>
      <c r="AA10" s="1554">
        <f t="shared" si="1"/>
        <v>0</v>
      </c>
      <c r="AB10" s="1557" t="s">
        <v>203</v>
      </c>
      <c r="AC10" s="1543">
        <v>4.34</v>
      </c>
      <c r="AD10" s="1518">
        <f t="shared" ref="AD10:AD33" si="2">COUNTIF(C:C,C10)</f>
        <v>7</v>
      </c>
      <c r="AE10" s="1530"/>
      <c r="AF10" s="1558"/>
      <c r="AG10" s="1559"/>
      <c r="AH10" s="1560"/>
      <c r="AI10" s="1560"/>
      <c r="AJ10" s="1560"/>
      <c r="AK10" s="1530"/>
    </row>
    <row r="11" spans="1:40" ht="18.75" customHeight="1">
      <c r="A11" s="1561">
        <v>6</v>
      </c>
      <c r="B11" s="1562" t="s">
        <v>204</v>
      </c>
      <c r="C11" s="1551" t="s">
        <v>203</v>
      </c>
      <c r="D11" s="1533">
        <f>INDEX('05基本'!I:I,MATCH(C11,'05基本'!C:C,0))+INDEX('05基本'!J:J,MATCH(C11,'05基本'!C:C,0))</f>
        <v>0</v>
      </c>
      <c r="E11" s="1534">
        <f>INDEX('05基本'!AA:AA,MATCH(C11,'05基本'!C:C,0))</f>
        <v>1268.5899999999999</v>
      </c>
      <c r="F11" s="1534">
        <f>INDEX('05基本'!AB:AB,MATCH(C11,'05基本'!C:C,0))</f>
        <v>477.15</v>
      </c>
      <c r="G11" s="1534">
        <f>INDEX('05基本'!AC:AC,MATCH(C11,'05基本'!C:C,0))</f>
        <v>117</v>
      </c>
      <c r="H11" s="1534">
        <f>INDEX('05基本'!K:K,MATCH(C11,'05基本'!C:C,0))+INDEX('05基本'!L:L,MATCH(C11,'05基本'!C:C,0))</f>
        <v>0</v>
      </c>
      <c r="I11" s="1534">
        <f>INDEX('05基本'!P:P,MATCH(C11,'05基本'!C:C,0))</f>
        <v>900</v>
      </c>
      <c r="J11" s="1534">
        <f>INDEX('05基本'!M:M,MATCH(C11,'05基本'!C:C,0))</f>
        <v>0</v>
      </c>
      <c r="K11" s="1533">
        <f>INDEX('05月业务提成'!BO:BO,MATCH(C11,'05月业务提成'!B:B,0))</f>
        <v>4838.7983649999996</v>
      </c>
      <c r="L11" s="1533">
        <f>SUMIF(综合考核!A:A,'05月提成-机场售后'!C11,综合考核!M:M)</f>
        <v>0</v>
      </c>
      <c r="M11" s="1535">
        <f>SUM(K11:L11)</f>
        <v>4838.7983649999996</v>
      </c>
      <c r="N11" s="1535">
        <f>SUMIF(服装扣款!C:C,C11,服装扣款!N:N)</f>
        <v>0</v>
      </c>
      <c r="O11" s="1536">
        <f>M11-N11</f>
        <v>4838.7983649999996</v>
      </c>
      <c r="P11" s="1537">
        <f>SUMIF(西物公积金!C:C,C11,西物公积金!I:I)</f>
        <v>0</v>
      </c>
      <c r="Q11" s="1535">
        <f>SUMIF(综合考核!A:A,'05月提成-机场售后'!C11,综合考核!N:N)</f>
        <v>0</v>
      </c>
      <c r="R11" s="1535">
        <f>M11+I11+Q11</f>
        <v>5738.7983649999996</v>
      </c>
      <c r="S11" s="1535">
        <f>INDEX(AC:AC,MATCH(C11,AB:AB,0))</f>
        <v>4.34</v>
      </c>
      <c r="T11" s="1538">
        <v>0</v>
      </c>
      <c r="U11" s="1535">
        <f>S11-T11</f>
        <v>4.34</v>
      </c>
      <c r="V11" s="1535">
        <f>INDEX('05基本'!AF:AF,MATCH(C11,'05基本'!C:C,0))</f>
        <v>0</v>
      </c>
      <c r="W11" s="1535">
        <f>O11-P11-U11</f>
        <v>4834.4583650000004</v>
      </c>
      <c r="X11" s="1542"/>
      <c r="Y11" s="1540">
        <f>SUM(Z11:AA11)</f>
        <v>0</v>
      </c>
      <c r="Z11" s="1541"/>
      <c r="AA11" s="1542"/>
      <c r="AB11" s="1546" t="s">
        <v>205</v>
      </c>
      <c r="AC11" s="1543">
        <v>43.26</v>
      </c>
      <c r="AD11" s="1518">
        <f t="shared" si="2"/>
        <v>1</v>
      </c>
      <c r="AE11" s="1530"/>
      <c r="AF11" s="1529">
        <f>SUMIF('05月其他部门提成'!C:C,'05月提成-机场售后'!C11,'05月其他部门提成'!Q:Q)</f>
        <v>0</v>
      </c>
      <c r="AG11" s="1544">
        <f>SUMIF('05月车间提成'!C:C,'05月提成-机场售后'!C11,'05月车间提成'!W:W)</f>
        <v>0</v>
      </c>
      <c r="AH11" s="1530">
        <f>SUMIF('05月业务提成'!B:B,'05月提成-机场售后'!C11,'05月业务提成'!BO:BO)</f>
        <v>4838.7983649999996</v>
      </c>
      <c r="AI11" s="1530">
        <f>AF11+AG11+AH11</f>
        <v>4838.7983649999996</v>
      </c>
      <c r="AJ11" s="1530">
        <f>AI11-K11</f>
        <v>0</v>
      </c>
      <c r="AK11" s="1530"/>
    </row>
    <row r="12" spans="1:40" ht="14.1" customHeight="1">
      <c r="A12" s="1561">
        <v>7</v>
      </c>
      <c r="B12" s="1562"/>
      <c r="C12" s="1551" t="s">
        <v>205</v>
      </c>
      <c r="D12" s="1533">
        <f>INDEX('05基本'!I:I,MATCH(C12,'05基本'!C:C,0))+INDEX('05基本'!J:J,MATCH(C12,'05基本'!C:C,0))</f>
        <v>0</v>
      </c>
      <c r="E12" s="1534">
        <f>INDEX('05基本'!AA:AA,MATCH(C12,'05基本'!C:C,0))</f>
        <v>1268.5899999999999</v>
      </c>
      <c r="F12" s="1534">
        <f>INDEX('05基本'!AB:AB,MATCH(C12,'05基本'!C:C,0))</f>
        <v>477.15</v>
      </c>
      <c r="G12" s="1534">
        <f>INDEX('05基本'!AC:AC,MATCH(C12,'05基本'!C:C,0))</f>
        <v>117</v>
      </c>
      <c r="H12" s="1534">
        <f>INDEX('05基本'!K:K,MATCH(C12,'05基本'!C:C,0))+INDEX('05基本'!L:L,MATCH(C12,'05基本'!C:C,0))</f>
        <v>0</v>
      </c>
      <c r="I12" s="1534">
        <f>INDEX('05基本'!P:P,MATCH(C12,'05基本'!C:C,0))</f>
        <v>900</v>
      </c>
      <c r="J12" s="1534">
        <f>INDEX('05基本'!M:M,MATCH(C12,'05基本'!C:C,0))</f>
        <v>0</v>
      </c>
      <c r="K12" s="1533">
        <f>INDEX('05月业务提成'!BO:BO,MATCH(C12,'05月业务提成'!B:B,0))</f>
        <v>6136.0701849999996</v>
      </c>
      <c r="L12" s="1533">
        <f>SUMIF(综合考核!A:A,'05月提成-机场售后'!C12,综合考核!M:M)</f>
        <v>0</v>
      </c>
      <c r="M12" s="1535">
        <f>SUM(K12:L12)</f>
        <v>6136.0701849999996</v>
      </c>
      <c r="N12" s="1535">
        <f>SUMIF(服装扣款!C:C,C12,服装扣款!N:N)</f>
        <v>0</v>
      </c>
      <c r="O12" s="1536">
        <f>M12-N12</f>
        <v>6136.0701849999996</v>
      </c>
      <c r="P12" s="1537">
        <f>SUMIF(西物公积金!C:C,C12,西物公积金!I:I)</f>
        <v>0</v>
      </c>
      <c r="Q12" s="1535">
        <f>SUMIF(综合考核!A:A,'05月提成-机场售后'!C12,综合考核!N:N)</f>
        <v>0</v>
      </c>
      <c r="R12" s="1535">
        <f>M12+I12+Q12</f>
        <v>7036.0701849999996</v>
      </c>
      <c r="S12" s="1535">
        <f>INDEX(AC:AC,MATCH(C12,AB:AB,0))</f>
        <v>43.26</v>
      </c>
      <c r="T12" s="1538">
        <v>0</v>
      </c>
      <c r="U12" s="1535">
        <f>S12-T12</f>
        <v>43.26</v>
      </c>
      <c r="V12" s="1535">
        <f>INDEX('05基本'!AF:AF,MATCH(C12,'05基本'!C:C,0))</f>
        <v>0</v>
      </c>
      <c r="W12" s="1535">
        <f>O12-P12-U12</f>
        <v>6092.8101850000003</v>
      </c>
      <c r="X12" s="1542"/>
      <c r="Y12" s="1540">
        <f>SUM(Z12:AA12)</f>
        <v>424.33211499999999</v>
      </c>
      <c r="Z12" s="1541">
        <f>INDEX('05月业务提成'!C:C,MATCH(C12,'05月业务提成'!B:B,0))*1</f>
        <v>240</v>
      </c>
      <c r="AA12" s="1542">
        <f>INDEX('05月业务提成'!F:F,MATCH(C12,'05月业务提成'!B:B,0))*0.05*2%+INDEX('05月业务提成'!J:J,MATCH(C12,'05月业务提成'!B:B,0))*0.05*1.6%+(INDEX('05月业务提成'!P:P,MATCH(C12,'05月业务提成'!B:B,0))/0.95)*0.05++(INDEX('05月业务提成'!V:V,MATCH(C12,'05月业务提成'!B:B,0))/0.95)*0.05+(INDEX('05月业务提成'!Z:Z,MATCH(C12,'05月业务提成'!B:B,0))/0.95)*0.05</f>
        <v>184.33211499999999</v>
      </c>
      <c r="AB12" s="1557" t="s">
        <v>206</v>
      </c>
      <c r="AC12" s="1543">
        <v>20.8</v>
      </c>
      <c r="AD12" s="1518">
        <f t="shared" si="2"/>
        <v>1</v>
      </c>
      <c r="AE12" s="1530"/>
      <c r="AF12" s="1547">
        <f>SUMIF('05月其他部门提成'!C:C,'05月提成-机场售后'!C12,'05月其他部门提成'!Q:Q)</f>
        <v>0</v>
      </c>
      <c r="AG12" s="1548">
        <f>SUMIF('05月车间提成'!C:C,'05月提成-机场售后'!C12,'05月车间提成'!W:W)</f>
        <v>0</v>
      </c>
      <c r="AH12" s="1549">
        <f>SUMIF('05月业务提成'!B:B,'05月提成-机场售后'!C12,'05月业务提成'!BO:BO)</f>
        <v>6136.0701849999996</v>
      </c>
      <c r="AI12" s="1549">
        <f>AF12+AG12+AH12</f>
        <v>6136.0701849999996</v>
      </c>
      <c r="AJ12" s="1549">
        <f>AI12-K12</f>
        <v>0</v>
      </c>
      <c r="AK12" s="1530"/>
    </row>
    <row r="13" spans="1:40" ht="14.1" customHeight="1">
      <c r="A13" s="1561">
        <v>8</v>
      </c>
      <c r="B13" s="1562"/>
      <c r="C13" s="1551" t="s">
        <v>206</v>
      </c>
      <c r="D13" s="1533">
        <f>INDEX('05基本'!I:I,MATCH(C13,'05基本'!C:C,0))+INDEX('05基本'!J:J,MATCH(C13,'05基本'!C:C,0))</f>
        <v>0</v>
      </c>
      <c r="E13" s="1534">
        <f>INDEX('05基本'!AA:AA,MATCH(C13,'05基本'!C:C,0))</f>
        <v>1268.5899999999999</v>
      </c>
      <c r="F13" s="1534">
        <f>INDEX('05基本'!AB:AB,MATCH(C13,'05基本'!C:C,0))</f>
        <v>477.15</v>
      </c>
      <c r="G13" s="1534">
        <f>INDEX('05基本'!AC:AC,MATCH(C13,'05基本'!C:C,0))</f>
        <v>117</v>
      </c>
      <c r="H13" s="1534">
        <f>INDEX('05基本'!K:K,MATCH(C13,'05基本'!C:C,0))+INDEX('05基本'!L:L,MATCH(C13,'05基本'!C:C,0))</f>
        <v>0</v>
      </c>
      <c r="I13" s="1534">
        <f>INDEX('05基本'!P:P,MATCH(C13,'05基本'!C:C,0))</f>
        <v>900</v>
      </c>
      <c r="J13" s="1534">
        <f>INDEX('05基本'!M:M,MATCH(C13,'05基本'!C:C,0))</f>
        <v>0</v>
      </c>
      <c r="K13" s="1533">
        <f>INDEX('05月业务提成'!BO:BO,MATCH(C13,'05月业务提成'!B:B,0))</f>
        <v>5387.3341</v>
      </c>
      <c r="L13" s="1533">
        <f>SUMIF(综合考核!A:A,'05月提成-机场售后'!C13,综合考核!M:M)</f>
        <v>0</v>
      </c>
      <c r="M13" s="1535">
        <f>SUM(K13:L13)</f>
        <v>5387.3341</v>
      </c>
      <c r="N13" s="1535">
        <f>SUMIF(服装扣款!C:C,C13,服装扣款!N:N)</f>
        <v>0</v>
      </c>
      <c r="O13" s="1536">
        <f>M13-N13</f>
        <v>5387.3341</v>
      </c>
      <c r="P13" s="1537">
        <f>SUMIF(西物公积金!C:C,C13,西物公积金!I:I)</f>
        <v>0</v>
      </c>
      <c r="Q13" s="1535">
        <f>SUMIF(综合考核!A:A,'05月提成-机场售后'!C13,综合考核!N:N)</f>
        <v>0</v>
      </c>
      <c r="R13" s="1535">
        <f>M13+I13+Q13</f>
        <v>6287.3341</v>
      </c>
      <c r="S13" s="1535">
        <f>INDEX(AC:AC,MATCH(C13,AB:AB,0))</f>
        <v>20.8</v>
      </c>
      <c r="T13" s="1538">
        <v>0</v>
      </c>
      <c r="U13" s="1535">
        <f>S13-T13</f>
        <v>20.8</v>
      </c>
      <c r="V13" s="1535">
        <f>INDEX('05基本'!AF:AF,MATCH(C13,'05基本'!C:C,0))</f>
        <v>0</v>
      </c>
      <c r="W13" s="1535">
        <f>O13-P13-U13</f>
        <v>5366.5340999999999</v>
      </c>
      <c r="X13" s="1542"/>
      <c r="Y13" s="1540">
        <f>SUM(Z13:AA13)</f>
        <v>381.00389999999999</v>
      </c>
      <c r="Z13" s="1541">
        <f>INDEX('05月业务提成'!C:C,MATCH(C13,'05月业务提成'!B:B,0))*1</f>
        <v>236</v>
      </c>
      <c r="AA13" s="1542">
        <f>INDEX('05月业务提成'!F:F,MATCH(C13,'05月业务提成'!B:B,0))*0.05*2%+INDEX('05月业务提成'!J:J,MATCH(C13,'05月业务提成'!B:B,0))*0.05*1.6%+(INDEX('05月业务提成'!P:P,MATCH(C13,'05月业务提成'!B:B,0))/0.95)*0.05++(INDEX('05月业务提成'!V:V,MATCH(C13,'05月业务提成'!B:B,0))/0.95)*0.05+(INDEX('05月业务提成'!Z:Z,MATCH(C13,'05月业务提成'!B:B,0))/0.95)*0.05</f>
        <v>145.00389999999999</v>
      </c>
      <c r="AB13" s="1557" t="s">
        <v>207</v>
      </c>
      <c r="AC13" s="1543">
        <v>30</v>
      </c>
      <c r="AD13" s="1518">
        <f t="shared" si="2"/>
        <v>1</v>
      </c>
      <c r="AE13" s="1530"/>
      <c r="AF13" s="1547">
        <f>SUMIF('05月其他部门提成'!C:C,'05月提成-机场售后'!C13,'05月其他部门提成'!Q:Q)</f>
        <v>0</v>
      </c>
      <c r="AG13" s="1548">
        <f>SUMIF('05月车间提成'!C:C,'05月提成-机场售后'!C13,'05月车间提成'!W:W)</f>
        <v>0</v>
      </c>
      <c r="AH13" s="1549">
        <f>SUMIF('05月业务提成'!B:B,'05月提成-机场售后'!C13,'05月业务提成'!BO:BO)</f>
        <v>5387.3341</v>
      </c>
      <c r="AI13" s="1549">
        <f>AF13+AG13+AH13</f>
        <v>5387.3341</v>
      </c>
      <c r="AJ13" s="1549">
        <f>AI13-K13</f>
        <v>0</v>
      </c>
      <c r="AK13" s="1530"/>
    </row>
    <row r="14" spans="1:40" ht="14.1" customHeight="1">
      <c r="A14" s="1561">
        <f>A13+1</f>
        <v>9</v>
      </c>
      <c r="B14" s="1562"/>
      <c r="C14" s="1551" t="s">
        <v>207</v>
      </c>
      <c r="D14" s="1533">
        <f>INDEX('05基本'!I:I,MATCH(C14,'05基本'!C:C,0))+INDEX('05基本'!J:J,MATCH(C14,'05基本'!C:C,0))</f>
        <v>0</v>
      </c>
      <c r="E14" s="1534">
        <f>INDEX('05基本'!AA:AA,MATCH(C14,'05基本'!C:C,0))</f>
        <v>1268.5899999999999</v>
      </c>
      <c r="F14" s="1534">
        <f>INDEX('05基本'!AB:AB,MATCH(C14,'05基本'!C:C,0))</f>
        <v>477.15</v>
      </c>
      <c r="G14" s="1534">
        <f>INDEX('05基本'!AC:AC,MATCH(C14,'05基本'!C:C,0))</f>
        <v>117</v>
      </c>
      <c r="H14" s="1534">
        <f>INDEX('05基本'!K:K,MATCH(C14,'05基本'!C:C,0))+INDEX('05基本'!L:L,MATCH(C14,'05基本'!C:C,0))</f>
        <v>0</v>
      </c>
      <c r="I14" s="1534">
        <f>INDEX('05基本'!P:P,MATCH(C14,'05基本'!C:C,0))</f>
        <v>900</v>
      </c>
      <c r="J14" s="1534">
        <f>INDEX('05基本'!M:M,MATCH(C14,'05基本'!C:C,0))</f>
        <v>0</v>
      </c>
      <c r="K14" s="1533">
        <f>INDEX('05月业务提成'!BO:BO,MATCH(C14,'05月业务提成'!B:B,0))</f>
        <v>5693.9029250000003</v>
      </c>
      <c r="L14" s="1533">
        <f>SUMIF(综合考核!A:A,'05月提成-机场售后'!C14,综合考核!M:M)</f>
        <v>0</v>
      </c>
      <c r="M14" s="1535">
        <f>SUM(K14:L14)</f>
        <v>5693.9029250000003</v>
      </c>
      <c r="N14" s="1535">
        <f>SUMIF(服装扣款!C:C,C14,服装扣款!N:N)</f>
        <v>0</v>
      </c>
      <c r="O14" s="1536">
        <f>M14-N14</f>
        <v>5693.9029250000003</v>
      </c>
      <c r="P14" s="1537">
        <f>SUMIF(西物公积金!C:C,C14,西物公积金!I:I)</f>
        <v>0</v>
      </c>
      <c r="Q14" s="1535">
        <f>SUMIF(综合考核!A:A,'05月提成-机场售后'!C14,综合考核!N:N)</f>
        <v>0</v>
      </c>
      <c r="R14" s="1535">
        <f>M14+I14+Q14</f>
        <v>6593.9029250000003</v>
      </c>
      <c r="S14" s="1535">
        <f>INDEX(AC:AC,MATCH(C14,AB:AB,0))</f>
        <v>30</v>
      </c>
      <c r="T14" s="1538">
        <v>0</v>
      </c>
      <c r="U14" s="1535">
        <f>S14-T14</f>
        <v>30</v>
      </c>
      <c r="V14" s="1535">
        <f>INDEX('05基本'!AF:AF,MATCH(C14,'05基本'!C:C,0))</f>
        <v>0</v>
      </c>
      <c r="W14" s="1535">
        <f>O14-P14-U14</f>
        <v>5663.9029250000003</v>
      </c>
      <c r="X14" s="1542"/>
      <c r="Y14" s="1540">
        <f>SUM(Z14:AA14)</f>
        <v>452.25857500000001</v>
      </c>
      <c r="Z14" s="1541">
        <f>INDEX('05月业务提成'!C:C,MATCH(C14,'05月业务提成'!B:B,0))*1</f>
        <v>280</v>
      </c>
      <c r="AA14" s="1542">
        <f>INDEX('05月业务提成'!F:F,MATCH(C14,'05月业务提成'!B:B,0))*0.05*2%+INDEX('05月业务提成'!J:J,MATCH(C14,'05月业务提成'!B:B,0))*0.05*1.6%+(INDEX('05月业务提成'!P:P,MATCH(C14,'05月业务提成'!B:B,0))/0.95)*0.05++(INDEX('05月业务提成'!V:V,MATCH(C14,'05月业务提成'!B:B,0))/0.95)*0.05+(INDEX('05月业务提成'!Z:Z,MATCH(C14,'05月业务提成'!B:B,0))/0.95)*0.05</f>
        <v>172.25857500000001</v>
      </c>
      <c r="AB14" s="1557" t="s">
        <v>208</v>
      </c>
      <c r="AC14" s="1543">
        <v>114.71</v>
      </c>
      <c r="AD14" s="1518">
        <f t="shared" si="2"/>
        <v>1</v>
      </c>
      <c r="AE14" s="1530"/>
      <c r="AF14" s="1547">
        <f>SUMIF('05月其他部门提成'!C:C,'05月提成-机场售后'!C14,'05月其他部门提成'!Q:Q)</f>
        <v>0</v>
      </c>
      <c r="AG14" s="1548">
        <f>SUMIF('05月车间提成'!C:C,'05月提成-机场售后'!C14,'05月车间提成'!W:W)</f>
        <v>0</v>
      </c>
      <c r="AH14" s="1549">
        <f>SUMIF('05月业务提成'!B:B,'05月提成-机场售后'!C14,'05月业务提成'!BO:BO)</f>
        <v>5693.9029250000003</v>
      </c>
      <c r="AI14" s="1549">
        <f>AF14+AG14+AH14</f>
        <v>5693.9029250000003</v>
      </c>
      <c r="AJ14" s="1549">
        <f>AI14-K14</f>
        <v>0</v>
      </c>
      <c r="AK14" s="1530"/>
    </row>
    <row r="15" spans="1:40" ht="14.1" customHeight="1">
      <c r="A15" s="1531"/>
      <c r="B15" s="1552"/>
      <c r="C15" s="1553" t="s">
        <v>40</v>
      </c>
      <c r="D15" s="1554">
        <f t="shared" ref="D15:G15" si="3">SUM(D11:D14)</f>
        <v>0</v>
      </c>
      <c r="E15" s="1554">
        <f t="shared" si="3"/>
        <v>5074.3599999999997</v>
      </c>
      <c r="F15" s="1554">
        <f t="shared" si="3"/>
        <v>1908.6</v>
      </c>
      <c r="G15" s="1554">
        <f t="shared" si="3"/>
        <v>468</v>
      </c>
      <c r="H15" s="1554">
        <f t="shared" ref="H15:AA15" si="4">SUM(H11:H14)</f>
        <v>0</v>
      </c>
      <c r="I15" s="1554">
        <f t="shared" si="4"/>
        <v>3600</v>
      </c>
      <c r="J15" s="1554">
        <f t="shared" si="4"/>
        <v>0</v>
      </c>
      <c r="K15" s="1554">
        <f t="shared" si="4"/>
        <v>22056.105575000001</v>
      </c>
      <c r="L15" s="1554">
        <f t="shared" si="4"/>
        <v>0</v>
      </c>
      <c r="M15" s="1554">
        <f t="shared" si="4"/>
        <v>22056.105575000001</v>
      </c>
      <c r="N15" s="1554">
        <f t="shared" si="4"/>
        <v>0</v>
      </c>
      <c r="O15" s="1555">
        <f t="shared" si="4"/>
        <v>22056.105575000001</v>
      </c>
      <c r="P15" s="1556">
        <f t="shared" si="4"/>
        <v>0</v>
      </c>
      <c r="Q15" s="1554">
        <f t="shared" si="4"/>
        <v>0</v>
      </c>
      <c r="R15" s="1554">
        <f t="shared" si="4"/>
        <v>25656.105575000001</v>
      </c>
      <c r="S15" s="1554">
        <f t="shared" si="4"/>
        <v>98.4</v>
      </c>
      <c r="T15" s="1554">
        <f t="shared" si="4"/>
        <v>0</v>
      </c>
      <c r="U15" s="1554">
        <f t="shared" si="4"/>
        <v>98.4</v>
      </c>
      <c r="V15" s="1554">
        <f t="shared" si="4"/>
        <v>0</v>
      </c>
      <c r="W15" s="1554">
        <f t="shared" si="4"/>
        <v>21957.705575</v>
      </c>
      <c r="X15" s="1554">
        <f t="shared" si="4"/>
        <v>0</v>
      </c>
      <c r="Y15" s="1554">
        <f t="shared" si="4"/>
        <v>1257.5945899999999</v>
      </c>
      <c r="Z15" s="1554">
        <f t="shared" si="4"/>
        <v>756</v>
      </c>
      <c r="AA15" s="1554">
        <f t="shared" si="4"/>
        <v>501.59458999999998</v>
      </c>
      <c r="AB15" s="1557" t="s">
        <v>209</v>
      </c>
      <c r="AC15" s="1543">
        <v>151.99</v>
      </c>
      <c r="AD15" s="1518">
        <f t="shared" si="2"/>
        <v>7</v>
      </c>
      <c r="AE15" s="1530"/>
      <c r="AF15" s="1558"/>
      <c r="AG15" s="1559"/>
      <c r="AH15" s="1560"/>
      <c r="AI15" s="1560"/>
      <c r="AJ15" s="1560"/>
      <c r="AK15" s="1530"/>
    </row>
    <row r="16" spans="1:40" ht="14.1" customHeight="1">
      <c r="A16" s="1531">
        <f>A14+1</f>
        <v>10</v>
      </c>
      <c r="B16" s="1694" t="s">
        <v>210</v>
      </c>
      <c r="C16" s="1507" t="s">
        <v>208</v>
      </c>
      <c r="D16" s="1533">
        <f>INDEX('05基本'!I:I,MATCH(C16,'05基本'!C:C,0))+INDEX('05基本'!J:J,MATCH(C16,'05基本'!C:C,0))</f>
        <v>0</v>
      </c>
      <c r="E16" s="1534">
        <f>INDEX('05基本'!AA:AA,MATCH(C16,'05基本'!C:C,0))</f>
        <v>1268.5899999999999</v>
      </c>
      <c r="F16" s="1534">
        <f>INDEX('05基本'!AB:AB,MATCH(C16,'05基本'!C:C,0))</f>
        <v>477.15</v>
      </c>
      <c r="G16" s="1534">
        <f>INDEX('05基本'!AC:AC,MATCH(C16,'05基本'!C:C,0))</f>
        <v>117</v>
      </c>
      <c r="H16" s="1534">
        <f>INDEX('05基本'!K:K,MATCH(C16,'05基本'!C:C,0))+INDEX('05基本'!L:L,MATCH(C16,'05基本'!C:C,0))</f>
        <v>0</v>
      </c>
      <c r="I16" s="1534">
        <f>INDEX('05基本'!P:P,MATCH(C16,'05基本'!C:C,0))</f>
        <v>900</v>
      </c>
      <c r="J16" s="1534">
        <f>INDEX('05基本'!M:M,MATCH(C16,'05基本'!C:C,0))</f>
        <v>0</v>
      </c>
      <c r="K16" s="1533">
        <f>INDEX(保险专员5月外拓!I:I,MATCH(C16,保险专员5月外拓!A:A,0))</f>
        <v>8518.0142400000004</v>
      </c>
      <c r="L16" s="1533">
        <f>SUMIF(综合考核!A:A,'05月提成-机场售后'!C16,综合考核!M:M)</f>
        <v>0</v>
      </c>
      <c r="M16" s="1535">
        <f>SUM(K16:L16)</f>
        <v>8518.0142400000004</v>
      </c>
      <c r="N16" s="1535">
        <f>SUMIF(服装扣款!C:C,C16,服装扣款!N:N)</f>
        <v>0</v>
      </c>
      <c r="O16" s="1536">
        <f>M16-N16</f>
        <v>8518.0142400000004</v>
      </c>
      <c r="P16" s="1537">
        <f>SUMIF(西物公积金!C:C,C16,西物公积金!I:I)</f>
        <v>0</v>
      </c>
      <c r="Q16" s="1535">
        <f>SUMIF(综合考核!A:A,'05月提成-机场售后'!C16,综合考核!N:N)</f>
        <v>0</v>
      </c>
      <c r="R16" s="1535">
        <f>M16+I16+Q16</f>
        <v>9418.0142400000004</v>
      </c>
      <c r="S16" s="1535">
        <f>INDEX(AC:AC,MATCH(C16,AB:AB,0))</f>
        <v>114.71</v>
      </c>
      <c r="T16" s="1538"/>
      <c r="U16" s="1535">
        <f>S16-T16</f>
        <v>114.71</v>
      </c>
      <c r="V16" s="1535">
        <f>INDEX('05基本'!AF:AF,MATCH(C16,'05基本'!C:C,0))</f>
        <v>0</v>
      </c>
      <c r="W16" s="1535">
        <f>O16-P16-U16</f>
        <v>8403.3042399999995</v>
      </c>
      <c r="X16" s="1539"/>
      <c r="Y16" s="1540">
        <f>SUM(Z16:AA16)</f>
        <v>671.01160000000004</v>
      </c>
      <c r="Z16" s="1541"/>
      <c r="AA16" s="1542">
        <f>保险专员5月外拓!J22</f>
        <v>671.01160000000004</v>
      </c>
      <c r="AB16" s="1519" t="s">
        <v>211</v>
      </c>
      <c r="AC16" s="291">
        <v>142.69</v>
      </c>
      <c r="AD16" s="1518">
        <f t="shared" si="2"/>
        <v>1</v>
      </c>
      <c r="AE16" s="1530"/>
      <c r="AF16" s="1529">
        <f>SUMIF('05月其他部门提成'!C:C,'05月提成-机场售后'!C16,'05月其他部门提成'!Q:Q)</f>
        <v>0</v>
      </c>
      <c r="AG16" s="1544">
        <f>SUMIF('05月车间提成'!C:C,'05月提成-机场售后'!C16,'05月车间提成'!W:W)</f>
        <v>0</v>
      </c>
      <c r="AH16" s="1530">
        <f>SUMIF('05月业务提成'!B:B,'05月提成-机场售后'!C16,'05月业务提成'!BO:BO)</f>
        <v>0</v>
      </c>
      <c r="AI16" s="1530">
        <f>AF16+AG16+AH16</f>
        <v>0</v>
      </c>
      <c r="AJ16" s="1530">
        <f>AI16-K16</f>
        <v>-8518.0142400000004</v>
      </c>
      <c r="AK16" s="1530"/>
    </row>
    <row r="17" spans="1:37" ht="14.1" customHeight="1">
      <c r="A17" s="1531">
        <f>A16+1</f>
        <v>11</v>
      </c>
      <c r="B17" s="1694"/>
      <c r="C17" s="1551" t="s">
        <v>209</v>
      </c>
      <c r="D17" s="1533">
        <f>INDEX('05基本'!I:I,MATCH(C17,'05基本'!C:C,0))+INDEX('05基本'!J:J,MATCH(C17,'05基本'!C:C,0))</f>
        <v>0</v>
      </c>
      <c r="E17" s="1534">
        <f>INDEX('05基本'!AA:AA,MATCH(C17,'05基本'!C:C,0))</f>
        <v>1268.5899999999999</v>
      </c>
      <c r="F17" s="1534">
        <f>INDEX('05基本'!AB:AB,MATCH(C17,'05基本'!C:C,0))</f>
        <v>477.15</v>
      </c>
      <c r="G17" s="1534">
        <f>INDEX('05基本'!AC:AC,MATCH(C17,'05基本'!C:C,0))</f>
        <v>117</v>
      </c>
      <c r="H17" s="1534">
        <f>INDEX('05基本'!K:K,MATCH(C17,'05基本'!C:C,0))+INDEX('05基本'!L:L,MATCH(C17,'05基本'!C:C,0))</f>
        <v>0</v>
      </c>
      <c r="I17" s="1534">
        <f>INDEX('05基本'!P:P,MATCH(C17,'05基本'!C:C,0))</f>
        <v>900</v>
      </c>
      <c r="J17" s="1534">
        <f>INDEX('05基本'!M:M,MATCH(C17,'05基本'!C:C,0))</f>
        <v>0</v>
      </c>
      <c r="K17" s="1533">
        <f>INDEX('05月业务提成'!BO:BO,MATCH(C17,'05月业务提成'!B:B,0))</f>
        <v>9660.3826449999997</v>
      </c>
      <c r="L17" s="1533">
        <f>SUMIF(综合考核!A:A,'05月提成-机场售后'!C17,综合考核!M:M)</f>
        <v>100</v>
      </c>
      <c r="M17" s="1535">
        <f>SUM(K17:L17)</f>
        <v>9760.3826449999997</v>
      </c>
      <c r="N17" s="1535">
        <f>SUMIF(服装扣款!C:C,C17,服装扣款!N:N)</f>
        <v>0</v>
      </c>
      <c r="O17" s="1536">
        <f>M17-N17</f>
        <v>9760.3826449999997</v>
      </c>
      <c r="P17" s="1537">
        <f>SUMIF(西物公积金!C:C,C17,西物公积金!I:I)</f>
        <v>0</v>
      </c>
      <c r="Q17" s="1535">
        <f>SUMIF(综合考核!A:A,'05月提成-机场售后'!C17,综合考核!N:N)</f>
        <v>0</v>
      </c>
      <c r="R17" s="1535">
        <f>M17+I17+Q17</f>
        <v>10660.382645</v>
      </c>
      <c r="S17" s="1535">
        <f>INDEX(AC:AC,MATCH(C17,AB:AB,0))</f>
        <v>151.99</v>
      </c>
      <c r="T17" s="1538">
        <v>0</v>
      </c>
      <c r="U17" s="1535">
        <f>S17-T17</f>
        <v>151.99</v>
      </c>
      <c r="V17" s="1535">
        <f>INDEX('05基本'!AF:AF,MATCH(C17,'05基本'!C:C,0))</f>
        <v>0</v>
      </c>
      <c r="W17" s="1535">
        <f>O17-P17-U17</f>
        <v>9608.3926449999999</v>
      </c>
      <c r="X17" s="1542"/>
      <c r="Y17" s="1540">
        <f>SUM(Z17:AA17)</f>
        <v>502.54645499999998</v>
      </c>
      <c r="Z17" s="1541">
        <f>INDEX('05月业务提成'!C:C,MATCH(C17,'05月业务提成'!B:B,0))*1</f>
        <v>92</v>
      </c>
      <c r="AA17" s="1542">
        <f>INDEX('05月业务提成'!F:F,MATCH(C17,'05月业务提成'!B:B,0))*0.05*2%+INDEX('05月业务提成'!J:J,MATCH(C17,'05月业务提成'!B:B,0))*0.05*1.6%+(INDEX('05月业务提成'!P:P,MATCH(C17,'05月业务提成'!B:B,0))/0.95)*0.05++(INDEX('05月业务提成'!V:V,MATCH(C17,'05月业务提成'!B:B,0))/0.95)*0.05+(INDEX('05月业务提成'!Z:Z,MATCH(C17,'05月业务提成'!B:B,0))/0.95)*0.05</f>
        <v>410.54645499999998</v>
      </c>
      <c r="AB17" s="1557" t="s">
        <v>212</v>
      </c>
      <c r="AC17" s="1543">
        <v>243.47</v>
      </c>
      <c r="AD17" s="1518">
        <f t="shared" si="2"/>
        <v>1</v>
      </c>
      <c r="AE17" s="1530"/>
      <c r="AF17" s="1547">
        <f>SUMIF('05月其他部门提成'!C:C,'05月提成-机场售后'!C17,'05月其他部门提成'!Q:Q)</f>
        <v>0</v>
      </c>
      <c r="AG17" s="1548">
        <f>SUMIF('05月车间提成'!C:C,'05月提成-机场售后'!C17,'05月车间提成'!W:W)</f>
        <v>0</v>
      </c>
      <c r="AH17" s="1549">
        <f>SUMIF('05月业务提成'!B:B,'05月提成-机场售后'!C17,'05月业务提成'!BO:BO)</f>
        <v>9660.3826449999997</v>
      </c>
      <c r="AI17" s="1549">
        <f>AF17+AG17+AH17</f>
        <v>9660.3826449999997</v>
      </c>
      <c r="AJ17" s="1549">
        <f>AI17-K17</f>
        <v>0</v>
      </c>
      <c r="AK17" s="1530"/>
    </row>
    <row r="18" spans="1:37" ht="14.1" customHeight="1">
      <c r="A18" s="1531">
        <f>A17+1</f>
        <v>12</v>
      </c>
      <c r="B18" s="1694"/>
      <c r="C18" s="1551" t="s">
        <v>211</v>
      </c>
      <c r="D18" s="1533">
        <f>INDEX('05基本'!I:I,MATCH(C18,'05基本'!C:C,0))+INDEX('05基本'!J:J,MATCH(C18,'05基本'!C:C,0))</f>
        <v>0</v>
      </c>
      <c r="E18" s="1534">
        <f>INDEX('05基本'!AA:AA,MATCH(C18,'05基本'!C:C,0))</f>
        <v>1268.5899999999999</v>
      </c>
      <c r="F18" s="1534">
        <f>INDEX('05基本'!AB:AB,MATCH(C18,'05基本'!C:C,0))</f>
        <v>477.15</v>
      </c>
      <c r="G18" s="1534">
        <f>INDEX('05基本'!AC:AC,MATCH(C18,'05基本'!C:C,0))</f>
        <v>117</v>
      </c>
      <c r="H18" s="1534">
        <f>INDEX('05基本'!K:K,MATCH(C18,'05基本'!C:C,0))+INDEX('05基本'!L:L,MATCH(C18,'05基本'!C:C,0))</f>
        <v>0</v>
      </c>
      <c r="I18" s="1534">
        <f>INDEX('05基本'!P:P,MATCH(C18,'05基本'!C:C,0))</f>
        <v>850</v>
      </c>
      <c r="J18" s="1534">
        <f>INDEX('05基本'!M:M,MATCH(C18,'05基本'!C:C,0))</f>
        <v>0</v>
      </c>
      <c r="K18" s="1533">
        <f>INDEX('05月业务提成'!BO:BO,MATCH(C18,'05月业务提成'!B:B,0))</f>
        <v>9260.4105925000003</v>
      </c>
      <c r="L18" s="1533">
        <f>SUMIF(综合考核!A:A,'05月提成-机场售后'!C18,综合考核!M:M)</f>
        <v>240</v>
      </c>
      <c r="M18" s="1535">
        <f>SUM(K18:L18)</f>
        <v>9500.4105925000003</v>
      </c>
      <c r="N18" s="1535">
        <f>SUMIF(服装扣款!C:C,C18,服装扣款!N:N)</f>
        <v>0</v>
      </c>
      <c r="O18" s="1536">
        <f>M18-N18</f>
        <v>9500.4105925000003</v>
      </c>
      <c r="P18" s="1537">
        <f>SUMIF(西物公积金!C:C,C18,西物公积金!I:I)</f>
        <v>0</v>
      </c>
      <c r="Q18" s="1535">
        <f>SUMIF(综合考核!A:A,'05月提成-机场售后'!C18,综合考核!N:N)</f>
        <v>0</v>
      </c>
      <c r="R18" s="1535">
        <f>M18+I18+Q18</f>
        <v>10350.4105925</v>
      </c>
      <c r="S18" s="1535">
        <f>INDEX(AC:AC,MATCH(C18,AB:AB,0))</f>
        <v>142.69</v>
      </c>
      <c r="T18" s="1538">
        <v>0</v>
      </c>
      <c r="U18" s="1535">
        <f>S18-T18</f>
        <v>142.69</v>
      </c>
      <c r="V18" s="1535">
        <f>INDEX('05基本'!AF:AF,MATCH(C18,'05基本'!C:C,0))</f>
        <v>0</v>
      </c>
      <c r="W18" s="1535">
        <f>O18-P18-U18</f>
        <v>9357.7205924999998</v>
      </c>
      <c r="X18" s="1542"/>
      <c r="Y18" s="1540">
        <f>SUM(Z18:AA18)</f>
        <v>480.60055749999998</v>
      </c>
      <c r="Z18" s="1541">
        <f>INDEX('05月业务提成'!C:C,MATCH(C18,'05月业务提成'!B:B,0))*1</f>
        <v>89</v>
      </c>
      <c r="AA18" s="1542">
        <f>INDEX('05月业务提成'!F:F,MATCH(C18,'05月业务提成'!B:B,0))*0.05*2%+INDEX('05月业务提成'!J:J,MATCH(C18,'05月业务提成'!B:B,0))*0.05*1.6%+(INDEX('05月业务提成'!P:P,MATCH(C18,'05月业务提成'!B:B,0))/0.95)*0.05++(INDEX('05月业务提成'!V:V,MATCH(C18,'05月业务提成'!B:B,0))/0.95)*0.05+(INDEX('05月业务提成'!Z:Z,MATCH(C18,'05月业务提成'!B:B,0))/0.95)*0.05</f>
        <v>391.60055749999998</v>
      </c>
      <c r="AB18" s="1557" t="s">
        <v>213</v>
      </c>
      <c r="AC18" s="1543">
        <v>50.99</v>
      </c>
      <c r="AD18" s="1518">
        <f t="shared" si="2"/>
        <v>1</v>
      </c>
      <c r="AE18" s="1530"/>
      <c r="AF18" s="1547">
        <f>SUMIF('05月其他部门提成'!C:C,'05月提成-机场售后'!C18,'05月其他部门提成'!Q:Q)</f>
        <v>0</v>
      </c>
      <c r="AG18" s="1548">
        <f>SUMIF('05月车间提成'!C:C,'05月提成-机场售后'!C18,'05月车间提成'!W:W)</f>
        <v>0</v>
      </c>
      <c r="AH18" s="1549">
        <f>SUMIF('05月业务提成'!B:B,'05月提成-机场售后'!C18,'05月业务提成'!BO:BO)</f>
        <v>9260.4105925000003</v>
      </c>
      <c r="AI18" s="1549">
        <f>AF18+AG18+AH18</f>
        <v>9260.4105925000003</v>
      </c>
      <c r="AJ18" s="1549">
        <f>AI18-K18</f>
        <v>0</v>
      </c>
      <c r="AK18" s="1530"/>
    </row>
    <row r="19" spans="1:37" ht="14.1" customHeight="1">
      <c r="A19" s="1531">
        <f>A18+1</f>
        <v>13</v>
      </c>
      <c r="B19" s="1694"/>
      <c r="C19" s="1551" t="s">
        <v>212</v>
      </c>
      <c r="D19" s="1533">
        <f>INDEX('05基本'!I:I,MATCH(C19,'05基本'!C:C,0))+INDEX('05基本'!J:J,MATCH(C19,'05基本'!C:C,0))</f>
        <v>0</v>
      </c>
      <c r="E19" s="1534">
        <f>INDEX('05基本'!AA:AA,MATCH(C19,'05基本'!C:C,0))</f>
        <v>1268.5899999999999</v>
      </c>
      <c r="F19" s="1534">
        <f>INDEX('05基本'!AB:AB,MATCH(C19,'05基本'!C:C,0))</f>
        <v>477.15</v>
      </c>
      <c r="G19" s="1534">
        <f>INDEX('05基本'!AC:AC,MATCH(C19,'05基本'!C:C,0))</f>
        <v>117</v>
      </c>
      <c r="H19" s="1534">
        <f>INDEX('05基本'!K:K,MATCH(C19,'05基本'!C:C,0))+INDEX('05基本'!L:L,MATCH(C19,'05基本'!C:C,0))</f>
        <v>100</v>
      </c>
      <c r="I19" s="1534">
        <f>INDEX('05基本'!P:P,MATCH(C19,'05基本'!C:C,0))</f>
        <v>1700</v>
      </c>
      <c r="J19" s="1534">
        <f>INDEX('05基本'!M:M,MATCH(C19,'05基本'!C:C,0))</f>
        <v>0</v>
      </c>
      <c r="K19" s="1533">
        <f>INDEX('05月其他部门提成'!Q:Q,MATCH(C19,'05月其他部门提成'!C:C,0))</f>
        <v>10672.231072750001</v>
      </c>
      <c r="L19" s="1533">
        <f>SUMIF(综合考核!A:A,'05月提成-机场售后'!C19,综合考核!M:M)</f>
        <v>0</v>
      </c>
      <c r="M19" s="1535">
        <f>SUM(K19:L19)</f>
        <v>10672.231072750001</v>
      </c>
      <c r="N19" s="1535">
        <f>SUMIF(服装扣款!C:C,C19,服装扣款!N:N)</f>
        <v>0</v>
      </c>
      <c r="O19" s="1536">
        <f>M19-N19</f>
        <v>10672.231072750001</v>
      </c>
      <c r="P19" s="1537">
        <f>SUMIF(西物公积金!C:C,C19,西物公积金!I:I)</f>
        <v>0</v>
      </c>
      <c r="Q19" s="1535">
        <f>SUMIF(综合考核!A:A,'05月提成-机场售后'!C19,综合考核!N:N)</f>
        <v>0</v>
      </c>
      <c r="R19" s="1535">
        <f>M19+I19+Q19</f>
        <v>12372.231072750001</v>
      </c>
      <c r="S19" s="1535">
        <f>INDEX(AC:AC,MATCH(C19,AB:AB,0))</f>
        <v>243.47</v>
      </c>
      <c r="T19" s="1538">
        <v>0</v>
      </c>
      <c r="U19" s="1535">
        <f>S19-T19</f>
        <v>243.47</v>
      </c>
      <c r="V19" s="1535">
        <f>INDEX('05基本'!AF:AF,MATCH(C19,'05基本'!C:C,0))</f>
        <v>0</v>
      </c>
      <c r="W19" s="1535">
        <f>O19-P19-U19</f>
        <v>10428.76107275</v>
      </c>
      <c r="X19" s="1542"/>
      <c r="Y19" s="1540">
        <f>SUM(Z19:AA19)</f>
        <v>0</v>
      </c>
      <c r="Z19" s="1541">
        <f>INDEX('05月业务提成'!C:C,MATCH(C19,'05月业务提成'!B:B,0))*1</f>
        <v>0</v>
      </c>
      <c r="AA19" s="1542">
        <f>INDEX('05月业务提成'!F:F,MATCH(C19,'05月业务提成'!B:B,0))*0.05*2%+INDEX('05月业务提成'!J:J,MATCH(C19,'05月业务提成'!B:B,0))*0.05*1.6%+(INDEX('05月业务提成'!P:P,MATCH(C19,'05月业务提成'!B:B,0))/0.95)*0.05++(INDEX('05月业务提成'!V:V,MATCH(C19,'05月业务提成'!B:B,0))/0.95)*0.05+(INDEX('05月业务提成'!Z:Z,MATCH(C19,'05月业务提成'!B:B,0))/0.95)*0.05</f>
        <v>0</v>
      </c>
      <c r="AB19" s="1557" t="s">
        <v>214</v>
      </c>
      <c r="AC19" s="1543">
        <v>43.67</v>
      </c>
      <c r="AD19" s="1518">
        <f t="shared" si="2"/>
        <v>1</v>
      </c>
      <c r="AE19" s="1530"/>
      <c r="AF19" s="1547">
        <f>SUMIF('05月其他部门提成'!C:C,'05月提成-机场售后'!C19,'05月其他部门提成'!Q:Q)</f>
        <v>10672.231072750001</v>
      </c>
      <c r="AG19" s="1548">
        <f>SUMIF('05月车间提成'!C:C,'05月提成-机场售后'!C19,'05月车间提成'!W:W)</f>
        <v>0</v>
      </c>
      <c r="AH19" s="1549">
        <f>SUMIF('05月业务提成'!B:B,'05月提成-机场售后'!C19,'05月业务提成'!BO:BO)</f>
        <v>141879.79075399999</v>
      </c>
      <c r="AI19" s="1549">
        <f>AF19+AG19+AH19</f>
        <v>152552.02182674999</v>
      </c>
      <c r="AJ19" s="1549">
        <f>AI19-K19</f>
        <v>141879.79075399999</v>
      </c>
      <c r="AK19" s="1530"/>
    </row>
    <row r="20" spans="1:37" ht="14.1" customHeight="1">
      <c r="A20" s="1531">
        <f>A19+1</f>
        <v>14</v>
      </c>
      <c r="B20" s="1694"/>
      <c r="C20" s="1551" t="s">
        <v>213</v>
      </c>
      <c r="D20" s="1533">
        <f>INDEX('05基本'!I:I,MATCH(C20,'05基本'!C:C,0))+INDEX('05基本'!J:J,MATCH(C20,'05基本'!C:C,0))</f>
        <v>0</v>
      </c>
      <c r="E20" s="1534">
        <f>INDEX('05基本'!AA:AA,MATCH(C20,'05基本'!C:C,0))</f>
        <v>1268.5899999999999</v>
      </c>
      <c r="F20" s="1534">
        <f>INDEX('05基本'!AB:AB,MATCH(C20,'05基本'!C:C,0))</f>
        <v>477.15</v>
      </c>
      <c r="G20" s="1534">
        <f>INDEX('05基本'!AC:AC,MATCH(C20,'05基本'!C:C,0))</f>
        <v>117</v>
      </c>
      <c r="H20" s="1534">
        <f>INDEX('05基本'!K:K,MATCH(C20,'05基本'!C:C,0))+INDEX('05基本'!L:L,MATCH(C20,'05基本'!C:C,0))</f>
        <v>0</v>
      </c>
      <c r="I20" s="1534">
        <f>INDEX('05基本'!P:P,MATCH(C20,'05基本'!C:C,0))</f>
        <v>1200</v>
      </c>
      <c r="J20" s="1534">
        <f>INDEX('05基本'!M:M,MATCH(C20,'05基本'!C:C,0))</f>
        <v>0</v>
      </c>
      <c r="K20" s="1533">
        <f>INDEX('05月其他部门提成'!Q:Q,MATCH(C20,'05月其他部门提成'!C:C,0))</f>
        <v>6232</v>
      </c>
      <c r="L20" s="1533">
        <f>SUMIF(综合考核!A:A,'05月提成-机场售后'!C20,综合考核!M:M)</f>
        <v>0</v>
      </c>
      <c r="M20" s="1535">
        <f>SUM(K20:L20)</f>
        <v>6232</v>
      </c>
      <c r="N20" s="1535">
        <f>SUMIF(服装扣款!C:C,C20,服装扣款!N:N)</f>
        <v>0</v>
      </c>
      <c r="O20" s="1536">
        <f>M20-N20</f>
        <v>6232</v>
      </c>
      <c r="P20" s="1537">
        <f>SUMIF(西物公积金!C:C,C20,西物公积金!I:I)</f>
        <v>0</v>
      </c>
      <c r="Q20" s="1535">
        <f>SUMIF(综合考核!A:A,'05月提成-机场售后'!C20,综合考核!N:N)</f>
        <v>0</v>
      </c>
      <c r="R20" s="1535">
        <f>M20+I20+Q20</f>
        <v>7432</v>
      </c>
      <c r="S20" s="1535">
        <f>INDEX(AC:AC,MATCH(C20,AB:AB,0))</f>
        <v>50.99</v>
      </c>
      <c r="T20" s="1538">
        <v>0</v>
      </c>
      <c r="U20" s="1535">
        <f>S20-T20</f>
        <v>50.99</v>
      </c>
      <c r="V20" s="1535">
        <f>INDEX('05基本'!AF:AF,MATCH(C20,'05基本'!C:C,0))</f>
        <v>0</v>
      </c>
      <c r="W20" s="1535">
        <f>O20-P20-U20</f>
        <v>6181.01</v>
      </c>
      <c r="X20" s="1542"/>
      <c r="Y20" s="1540">
        <f>SUM(Z20:AA20)</f>
        <v>83.33</v>
      </c>
      <c r="Z20" s="1541">
        <v>83.33</v>
      </c>
      <c r="AA20" s="1542"/>
      <c r="AB20" s="1557" t="s">
        <v>215</v>
      </c>
      <c r="AC20" s="1543">
        <v>0</v>
      </c>
      <c r="AD20" s="1518">
        <f t="shared" si="2"/>
        <v>1</v>
      </c>
      <c r="AE20" s="1530"/>
      <c r="AF20" s="1547">
        <f>SUMIF('05月其他部门提成'!C:C,'05月提成-机场售后'!C20,'05月其他部门提成'!Q:Q)</f>
        <v>6232</v>
      </c>
      <c r="AG20" s="1548">
        <f>SUMIF('05月车间提成'!C:C,'05月提成-机场售后'!C20,'05月车间提成'!W:W)</f>
        <v>0</v>
      </c>
      <c r="AH20" s="1549">
        <f>SUMIF('05月业务提成'!B:B,'05月提成-机场售后'!C20,'05月业务提成'!BO:BO)</f>
        <v>0</v>
      </c>
      <c r="AI20" s="1549">
        <f>AF20+AG20+AH20</f>
        <v>6232</v>
      </c>
      <c r="AJ20" s="1549">
        <f>AI20-K20</f>
        <v>0</v>
      </c>
      <c r="AK20" s="1530"/>
    </row>
    <row r="21" spans="1:37" ht="14.1" customHeight="1">
      <c r="A21" s="1561"/>
      <c r="B21" s="1695"/>
      <c r="C21" s="1553" t="s">
        <v>40</v>
      </c>
      <c r="D21" s="1554">
        <f t="shared" ref="D21:G21" si="5">SUM(D16:D20)</f>
        <v>0</v>
      </c>
      <c r="E21" s="1554">
        <f t="shared" si="5"/>
        <v>6342.95</v>
      </c>
      <c r="F21" s="1554">
        <f t="shared" si="5"/>
        <v>2385.75</v>
      </c>
      <c r="G21" s="1554">
        <f t="shared" si="5"/>
        <v>585</v>
      </c>
      <c r="H21" s="1554">
        <f t="shared" ref="H21:AA21" si="6">SUM(H16:H20)</f>
        <v>100</v>
      </c>
      <c r="I21" s="1554">
        <f t="shared" si="6"/>
        <v>5550</v>
      </c>
      <c r="J21" s="1554">
        <f t="shared" si="6"/>
        <v>0</v>
      </c>
      <c r="K21" s="1554">
        <f t="shared" si="6"/>
        <v>44343.038550249999</v>
      </c>
      <c r="L21" s="1554">
        <f t="shared" si="6"/>
        <v>340</v>
      </c>
      <c r="M21" s="1554">
        <f t="shared" si="6"/>
        <v>44683.038550249999</v>
      </c>
      <c r="N21" s="1554">
        <f t="shared" si="6"/>
        <v>0</v>
      </c>
      <c r="O21" s="1555">
        <f t="shared" si="6"/>
        <v>44683.038550249999</v>
      </c>
      <c r="P21" s="1556">
        <f t="shared" si="6"/>
        <v>0</v>
      </c>
      <c r="Q21" s="1554">
        <f t="shared" si="6"/>
        <v>0</v>
      </c>
      <c r="R21" s="1554">
        <f t="shared" si="6"/>
        <v>50233.038550249999</v>
      </c>
      <c r="S21" s="1554">
        <f t="shared" si="6"/>
        <v>703.85</v>
      </c>
      <c r="T21" s="1554">
        <f t="shared" si="6"/>
        <v>0</v>
      </c>
      <c r="U21" s="1554">
        <f t="shared" si="6"/>
        <v>703.85</v>
      </c>
      <c r="V21" s="1554">
        <f t="shared" si="6"/>
        <v>0</v>
      </c>
      <c r="W21" s="1554">
        <f t="shared" si="6"/>
        <v>43979.188550250001</v>
      </c>
      <c r="X21" s="1554">
        <f t="shared" si="6"/>
        <v>0</v>
      </c>
      <c r="Y21" s="1554">
        <f t="shared" si="6"/>
        <v>1737.4886125</v>
      </c>
      <c r="Z21" s="1554">
        <f t="shared" si="6"/>
        <v>264.33</v>
      </c>
      <c r="AA21" s="1554">
        <f t="shared" si="6"/>
        <v>1473.1586124999999</v>
      </c>
      <c r="AB21" s="1557" t="s">
        <v>216</v>
      </c>
      <c r="AC21" s="1543">
        <v>0</v>
      </c>
      <c r="AD21" s="1518">
        <f t="shared" si="2"/>
        <v>7</v>
      </c>
      <c r="AE21" s="1530"/>
      <c r="AF21" s="1558"/>
      <c r="AG21" s="1559"/>
      <c r="AH21" s="1560"/>
      <c r="AI21" s="1560"/>
      <c r="AJ21" s="1560"/>
      <c r="AK21" s="1530"/>
    </row>
    <row r="22" spans="1:37" ht="14.1" customHeight="1">
      <c r="A22" s="1531">
        <f>A20+1</f>
        <v>15</v>
      </c>
      <c r="B22" s="1661" t="s">
        <v>217</v>
      </c>
      <c r="C22" s="1551" t="s">
        <v>214</v>
      </c>
      <c r="D22" s="1533">
        <f>INDEX('05基本'!I:I,MATCH(C22,'05基本'!C:C,0))+INDEX('05基本'!J:J,MATCH(C22,'05基本'!C:C,0))</f>
        <v>0</v>
      </c>
      <c r="E22" s="1534">
        <f>INDEX('05基本'!AA:AA,MATCH(C22,'05基本'!C:C,0))</f>
        <v>1268.5899999999999</v>
      </c>
      <c r="F22" s="1534">
        <f>INDEX('05基本'!AB:AB,MATCH(C22,'05基本'!C:C,0))</f>
        <v>477.15</v>
      </c>
      <c r="G22" s="1534">
        <f>INDEX('05基本'!AC:AC,MATCH(C22,'05基本'!C:C,0))</f>
        <v>117</v>
      </c>
      <c r="H22" s="1534">
        <f>INDEX('05基本'!K:K,MATCH(C22,'05基本'!C:C,0))+INDEX('05基本'!L:L,MATCH(C22,'05基本'!C:C,0))</f>
        <v>0</v>
      </c>
      <c r="I22" s="1534">
        <f>INDEX('05基本'!P:P,MATCH(C22,'05基本'!C:C,0))</f>
        <v>900</v>
      </c>
      <c r="J22" s="1534">
        <f>INDEX('05基本'!M:M,MATCH(C22,'05基本'!C:C,0))</f>
        <v>0</v>
      </c>
      <c r="K22" s="1533">
        <f>INDEX('05月其他部门提成'!Q:Q,MATCH(C22,'05月其他部门提成'!C:C,0))</f>
        <v>6150</v>
      </c>
      <c r="L22" s="1533">
        <f>SUMIF(综合考核!A:A,'05月提成-机场售后'!C22,综合考核!M:M)</f>
        <v>0</v>
      </c>
      <c r="M22" s="1535">
        <f>SUM(K22:L22)</f>
        <v>6150</v>
      </c>
      <c r="N22" s="1535">
        <f>SUMIF(服装扣款!C:C,C22,服装扣款!N:N)</f>
        <v>0</v>
      </c>
      <c r="O22" s="1536">
        <f>M22-N22</f>
        <v>6150</v>
      </c>
      <c r="P22" s="1537">
        <f>SUMIF(西物公积金!C:C,C22,西物公积金!I:I)</f>
        <v>0</v>
      </c>
      <c r="Q22" s="1535">
        <f>SUMIF(综合考核!A:A,'05月提成-机场售后'!C22,综合考核!N:N)</f>
        <v>0</v>
      </c>
      <c r="R22" s="1535">
        <f>M22+I22+Q22</f>
        <v>7050</v>
      </c>
      <c r="S22" s="1535">
        <f>INDEX(AC:AC,MATCH(C22,AB:AB,0))</f>
        <v>43.67</v>
      </c>
      <c r="T22" s="1538">
        <v>0</v>
      </c>
      <c r="U22" s="1535">
        <f>S22-T22</f>
        <v>43.67</v>
      </c>
      <c r="V22" s="1535">
        <f>INDEX('05基本'!AF:AF,MATCH(C22,'05基本'!C:C,0))</f>
        <v>0</v>
      </c>
      <c r="W22" s="1535">
        <f>O22-P22-U22</f>
        <v>6106.33</v>
      </c>
      <c r="X22" s="1542"/>
      <c r="Y22" s="1540">
        <f>SUM(Z22:AA22)</f>
        <v>246</v>
      </c>
      <c r="Z22" s="1541">
        <f>SUMIF(机场续保中心!B:B,C22,机场续保中心!AM:AM)</f>
        <v>246</v>
      </c>
      <c r="AA22" s="1542"/>
      <c r="AB22" s="1557" t="s">
        <v>218</v>
      </c>
      <c r="AC22" s="1543">
        <v>0</v>
      </c>
      <c r="AD22" s="1518">
        <f t="shared" si="2"/>
        <v>1</v>
      </c>
      <c r="AE22" s="1530"/>
      <c r="AF22" s="1547">
        <f>SUMIF('05月其他部门提成'!C:C,'05月提成-机场售后'!C22,'05月其他部门提成'!Q:Q)</f>
        <v>6150</v>
      </c>
      <c r="AG22" s="1548">
        <f>SUMIF('05月车间提成'!C:C,'05月提成-机场售后'!C22,'05月车间提成'!W:W)</f>
        <v>0</v>
      </c>
      <c r="AH22" s="1549">
        <f>SUMIF('05月业务提成'!B:B,'05月提成-机场售后'!C22,'05月业务提成'!BO:BO)</f>
        <v>0</v>
      </c>
      <c r="AI22" s="1549">
        <f>AF22+AG22+AH22</f>
        <v>6150</v>
      </c>
      <c r="AJ22" s="1549">
        <f>AI22-K22</f>
        <v>0</v>
      </c>
      <c r="AK22" s="1530"/>
    </row>
    <row r="23" spans="1:37" ht="14.1" customHeight="1">
      <c r="A23" s="1531">
        <f>A22+1</f>
        <v>16</v>
      </c>
      <c r="B23" s="1661"/>
      <c r="C23" s="1551" t="s">
        <v>215</v>
      </c>
      <c r="D23" s="1533"/>
      <c r="E23" s="1534">
        <f>INDEX('05基本'!AA:AA,MATCH(C23,'05基本'!C:C,0))</f>
        <v>1268.5899999999999</v>
      </c>
      <c r="F23" s="1534">
        <f>INDEX('05基本'!AB:AB,MATCH(C23,'05基本'!C:C,0))</f>
        <v>477.15</v>
      </c>
      <c r="G23" s="1534">
        <f>INDEX('05基本'!AC:AC,MATCH(C23,'05基本'!C:C,0))</f>
        <v>117</v>
      </c>
      <c r="H23" s="1534"/>
      <c r="I23" s="1534">
        <f>INDEX('05基本'!P:P,MATCH(C23,'05基本'!C:C,0))</f>
        <v>850</v>
      </c>
      <c r="J23" s="1534"/>
      <c r="K23" s="1533">
        <f>INDEX('05月其他部门提成'!Q:Q,MATCH(C23,'05月其他部门提成'!C:C,0))</f>
        <v>4240</v>
      </c>
      <c r="L23" s="1533">
        <f>SUMIF(综合考核!A:A,'05月提成-机场售后'!C23,综合考核!M:M)</f>
        <v>0</v>
      </c>
      <c r="M23" s="1535">
        <f>SUM(K23:L23)</f>
        <v>4240</v>
      </c>
      <c r="N23" s="1535">
        <f>SUMIF(服装扣款!C:C,C23,服装扣款!N:N)</f>
        <v>0</v>
      </c>
      <c r="O23" s="1536">
        <f>M23-N23</f>
        <v>4240</v>
      </c>
      <c r="P23" s="1537">
        <f>SUMIF(西物公积金!C:C,C23,西物公积金!I:I)</f>
        <v>0</v>
      </c>
      <c r="Q23" s="1535">
        <f>SUMIF(综合考核!A:A,'05月提成-机场售后'!C23,综合考核!N:N)</f>
        <v>0</v>
      </c>
      <c r="R23" s="1535">
        <f>M23+I23+Q23</f>
        <v>5090</v>
      </c>
      <c r="S23" s="1535">
        <f>INDEX(AC:AC,MATCH(C23,AB:AB,0))</f>
        <v>0</v>
      </c>
      <c r="T23" s="1538">
        <v>0</v>
      </c>
      <c r="U23" s="1535">
        <f>S23-T23</f>
        <v>0</v>
      </c>
      <c r="V23" s="1535"/>
      <c r="W23" s="1535">
        <f>O23-P23-U23</f>
        <v>4240</v>
      </c>
      <c r="X23" s="1542"/>
      <c r="Y23" s="1540">
        <f>SUM(Z23:AA23)</f>
        <v>141</v>
      </c>
      <c r="Z23" s="1541">
        <f>SUMIF(机场续保中心!B:B,C23,机场续保中心!AM:AM)</f>
        <v>141</v>
      </c>
      <c r="AA23" s="1542"/>
      <c r="AB23" s="1557" t="s">
        <v>219</v>
      </c>
      <c r="AC23" s="1543">
        <v>46.43</v>
      </c>
      <c r="AD23" s="1518">
        <f t="shared" si="2"/>
        <v>1</v>
      </c>
      <c r="AE23" s="1530"/>
      <c r="AF23" s="1547">
        <f>SUMIF('05月其他部门提成'!C:C,'05月提成-机场售后'!C23,'05月其他部门提成'!Q:Q)</f>
        <v>4240</v>
      </c>
      <c r="AG23" s="1548">
        <f>SUMIF('05月车间提成'!C:C,'05月提成-机场售后'!C23,'05月车间提成'!W:W)</f>
        <v>0</v>
      </c>
      <c r="AH23" s="1549">
        <f>SUMIF('05月业务提成'!B:B,'05月提成-机场售后'!C23,'05月业务提成'!BO:BO)</f>
        <v>0</v>
      </c>
      <c r="AI23" s="1549">
        <f>AF23+AG23+AH23</f>
        <v>4240</v>
      </c>
      <c r="AJ23" s="1549">
        <f>AI23-K23</f>
        <v>0</v>
      </c>
      <c r="AK23" s="1530"/>
    </row>
    <row r="24" spans="1:37" ht="14.1" customHeight="1">
      <c r="A24" s="1531">
        <f>A23+1</f>
        <v>17</v>
      </c>
      <c r="B24" s="1661"/>
      <c r="C24" s="1551" t="s">
        <v>216</v>
      </c>
      <c r="D24" s="1533"/>
      <c r="E24" s="1534">
        <f>INDEX('05基本'!AA:AA,MATCH(C24,'05基本'!C:C,0))</f>
        <v>1268.5899999999999</v>
      </c>
      <c r="F24" s="1534">
        <f>INDEX('05基本'!AB:AB,MATCH(C24,'05基本'!C:C,0))</f>
        <v>477.15</v>
      </c>
      <c r="G24" s="1534">
        <f>INDEX('05基本'!AC:AC,MATCH(C24,'05基本'!C:C,0))</f>
        <v>117</v>
      </c>
      <c r="H24" s="1534"/>
      <c r="I24" s="1534">
        <f>INDEX('05基本'!P:P,MATCH(C24,'05基本'!C:C,0))</f>
        <v>730</v>
      </c>
      <c r="J24" s="1534"/>
      <c r="K24" s="1533">
        <f>INDEX('05月其他部门提成'!Q:Q,MATCH(C24,'05月其他部门提成'!C:C,0))</f>
        <v>0</v>
      </c>
      <c r="L24" s="1533">
        <f>SUMIF(综合考核!A:A,'05月提成-机场售后'!C24,综合考核!M:M)</f>
        <v>0</v>
      </c>
      <c r="M24" s="1535">
        <f>SUM(K24:L24)</f>
        <v>0</v>
      </c>
      <c r="N24" s="1535">
        <f>SUMIF(服装扣款!C:C,C24,服装扣款!N:N)</f>
        <v>0</v>
      </c>
      <c r="O24" s="1536">
        <f>M24-N24</f>
        <v>0</v>
      </c>
      <c r="P24" s="1537">
        <f>SUMIF(西物公积金!C:C,C24,西物公积金!I:I)</f>
        <v>0</v>
      </c>
      <c r="Q24" s="1535">
        <f>SUMIF(综合考核!A:A,'05月提成-机场售后'!C24,综合考核!N:N)</f>
        <v>0</v>
      </c>
      <c r="R24" s="1535">
        <f>M24+I24+Q24</f>
        <v>730</v>
      </c>
      <c r="S24" s="1535">
        <f>INDEX(AC:AC,MATCH(C24,AB:AB,0))</f>
        <v>0</v>
      </c>
      <c r="T24" s="1538">
        <v>0</v>
      </c>
      <c r="U24" s="1535">
        <f>S24-T24</f>
        <v>0</v>
      </c>
      <c r="V24" s="1535"/>
      <c r="W24" s="1535">
        <f>O24-P24-U24</f>
        <v>0</v>
      </c>
      <c r="X24" s="1542"/>
      <c r="Y24" s="1540">
        <f>SUM(Z24:AA24)</f>
        <v>0</v>
      </c>
      <c r="Z24" s="1541">
        <f>SUMIF(机场续保中心!B:B,C24,机场续保中心!AM:AM)</f>
        <v>0</v>
      </c>
      <c r="AA24" s="1542"/>
      <c r="AB24" s="1557" t="s">
        <v>220</v>
      </c>
      <c r="AC24" s="1543">
        <v>108.98</v>
      </c>
      <c r="AD24" s="1518">
        <f t="shared" si="2"/>
        <v>1</v>
      </c>
      <c r="AE24" s="1530"/>
      <c r="AF24" s="1547">
        <f>SUMIF('05月其他部门提成'!C:C,'05月提成-机场售后'!C24,'05月其他部门提成'!Q:Q)</f>
        <v>0</v>
      </c>
      <c r="AG24" s="1548">
        <f>SUMIF('05月车间提成'!C:C,'05月提成-机场售后'!C24,'05月车间提成'!W:W)</f>
        <v>0</v>
      </c>
      <c r="AH24" s="1549">
        <f>SUMIF('05月业务提成'!B:B,'05月提成-机场售后'!C24,'05月业务提成'!BO:BO)</f>
        <v>0</v>
      </c>
      <c r="AI24" s="1549">
        <f>AF24+AG24+AH24</f>
        <v>0</v>
      </c>
      <c r="AJ24" s="1549">
        <f>AI24-K24</f>
        <v>0</v>
      </c>
      <c r="AK24" s="1530"/>
    </row>
    <row r="25" spans="1:37" ht="14.1" customHeight="1">
      <c r="A25" s="1531">
        <f>A24+1</f>
        <v>18</v>
      </c>
      <c r="B25" s="1661"/>
      <c r="C25" s="1551" t="s">
        <v>218</v>
      </c>
      <c r="D25" s="1533"/>
      <c r="E25" s="1534">
        <f>INDEX('05基本'!AA:AA,MATCH(C25,'05基本'!C:C,0))</f>
        <v>1268.5899999999999</v>
      </c>
      <c r="F25" s="1534">
        <f>INDEX('05基本'!AB:AB,MATCH(C25,'05基本'!C:C,0))</f>
        <v>477.15</v>
      </c>
      <c r="G25" s="1534">
        <f>INDEX('05基本'!AC:AC,MATCH(C25,'05基本'!C:C,0))</f>
        <v>117</v>
      </c>
      <c r="H25" s="1534"/>
      <c r="I25" s="1534">
        <f>INDEX('05基本'!P:P,MATCH(C25,'05基本'!C:C,0))</f>
        <v>900</v>
      </c>
      <c r="J25" s="1534"/>
      <c r="K25" s="1533">
        <f>INDEX('05月其他部门提成'!Q:Q,MATCH(C25,'05月其他部门提成'!C:C,0))</f>
        <v>4590</v>
      </c>
      <c r="L25" s="1533">
        <f>SUMIF(综合考核!A:A,'05月提成-机场售后'!C25,综合考核!M:M)</f>
        <v>0</v>
      </c>
      <c r="M25" s="1535">
        <f>SUM(K25:L25)</f>
        <v>4590</v>
      </c>
      <c r="N25" s="1535">
        <f>SUMIF(服装扣款!C:C,C25,服装扣款!N:N)</f>
        <v>0</v>
      </c>
      <c r="O25" s="1536">
        <f>M25-N25</f>
        <v>4590</v>
      </c>
      <c r="P25" s="1537">
        <f>SUMIF(西物公积金!C:C,C25,西物公积金!I:I)</f>
        <v>0</v>
      </c>
      <c r="Q25" s="1535">
        <f>SUMIF(综合考核!A:A,'05月提成-机场售后'!C25,综合考核!N:N)</f>
        <v>0</v>
      </c>
      <c r="R25" s="1535">
        <f>M25+I25+Q25</f>
        <v>5490</v>
      </c>
      <c r="S25" s="1535">
        <f>INDEX(AC:AC,MATCH(C25,AB:AB,0))</f>
        <v>0</v>
      </c>
      <c r="T25" s="1538">
        <v>0</v>
      </c>
      <c r="U25" s="1535">
        <f>S25-T25</f>
        <v>0</v>
      </c>
      <c r="V25" s="1535"/>
      <c r="W25" s="1535">
        <f>O25-P25-U25</f>
        <v>4590</v>
      </c>
      <c r="X25" s="1542"/>
      <c r="Y25" s="1540">
        <f>SUM(Z25:AA25)</f>
        <v>159</v>
      </c>
      <c r="Z25" s="1541">
        <f>SUMIF(机场续保中心!B:B,C25,机场续保中心!AM:AM)</f>
        <v>159</v>
      </c>
      <c r="AA25" s="1542"/>
      <c r="AB25" s="1557" t="s">
        <v>221</v>
      </c>
      <c r="AC25" s="1543">
        <v>0</v>
      </c>
      <c r="AD25" s="1518">
        <f t="shared" si="2"/>
        <v>1</v>
      </c>
      <c r="AE25" s="1530"/>
      <c r="AF25" s="1547">
        <f>SUMIF('05月其他部门提成'!C:C,'05月提成-机场售后'!C25,'05月其他部门提成'!Q:Q)</f>
        <v>4590</v>
      </c>
      <c r="AG25" s="1548">
        <f>SUMIF('05月车间提成'!C:C,'05月提成-机场售后'!C25,'05月车间提成'!W:W)</f>
        <v>0</v>
      </c>
      <c r="AH25" s="1549">
        <f>SUMIF('05月业务提成'!B:B,'05月提成-机场售后'!C25,'05月业务提成'!BO:BO)</f>
        <v>0</v>
      </c>
      <c r="AI25" s="1549">
        <f>AF25+AG25+AH25</f>
        <v>4590</v>
      </c>
      <c r="AJ25" s="1549">
        <f>AI25-K25</f>
        <v>0</v>
      </c>
      <c r="AK25" s="1530"/>
    </row>
    <row r="26" spans="1:37" ht="14.1" customHeight="1">
      <c r="A26" s="1561"/>
      <c r="B26" s="1660"/>
      <c r="C26" s="1553" t="s">
        <v>40</v>
      </c>
      <c r="D26" s="1554">
        <f t="shared" ref="D26:G26" si="7">SUM(D22:D25)</f>
        <v>0</v>
      </c>
      <c r="E26" s="1554">
        <f t="shared" si="7"/>
        <v>5074.3599999999997</v>
      </c>
      <c r="F26" s="1554">
        <f t="shared" si="7"/>
        <v>1908.6</v>
      </c>
      <c r="G26" s="1554">
        <f t="shared" si="7"/>
        <v>468</v>
      </c>
      <c r="H26" s="1554">
        <f t="shared" ref="H26:AA26" si="8">SUM(H22:H25)</f>
        <v>0</v>
      </c>
      <c r="I26" s="1554">
        <f t="shared" si="8"/>
        <v>3380</v>
      </c>
      <c r="J26" s="1554">
        <f t="shared" si="8"/>
        <v>0</v>
      </c>
      <c r="K26" s="1554">
        <f t="shared" si="8"/>
        <v>14980</v>
      </c>
      <c r="L26" s="1554">
        <f t="shared" si="8"/>
        <v>0</v>
      </c>
      <c r="M26" s="1554">
        <f t="shared" si="8"/>
        <v>14980</v>
      </c>
      <c r="N26" s="1554">
        <f t="shared" si="8"/>
        <v>0</v>
      </c>
      <c r="O26" s="1555">
        <f t="shared" si="8"/>
        <v>14980</v>
      </c>
      <c r="P26" s="1556">
        <f t="shared" si="8"/>
        <v>0</v>
      </c>
      <c r="Q26" s="1554">
        <f t="shared" si="8"/>
        <v>0</v>
      </c>
      <c r="R26" s="1554">
        <f t="shared" si="8"/>
        <v>18360</v>
      </c>
      <c r="S26" s="1554">
        <f t="shared" si="8"/>
        <v>43.67</v>
      </c>
      <c r="T26" s="1554">
        <f t="shared" si="8"/>
        <v>0</v>
      </c>
      <c r="U26" s="1554">
        <f t="shared" si="8"/>
        <v>43.67</v>
      </c>
      <c r="V26" s="1554">
        <f t="shared" si="8"/>
        <v>0</v>
      </c>
      <c r="W26" s="1554">
        <f t="shared" si="8"/>
        <v>14936.33</v>
      </c>
      <c r="X26" s="1554">
        <f t="shared" si="8"/>
        <v>0</v>
      </c>
      <c r="Y26" s="1554">
        <f t="shared" si="8"/>
        <v>546</v>
      </c>
      <c r="Z26" s="1554">
        <f t="shared" si="8"/>
        <v>546</v>
      </c>
      <c r="AA26" s="1554">
        <f t="shared" si="8"/>
        <v>0</v>
      </c>
      <c r="AB26" s="1563" t="s">
        <v>222</v>
      </c>
      <c r="AC26" s="1543">
        <v>189.17</v>
      </c>
      <c r="AD26" s="1518">
        <f t="shared" si="2"/>
        <v>7</v>
      </c>
      <c r="AE26" s="1530"/>
      <c r="AF26" s="1558"/>
      <c r="AG26" s="1559"/>
      <c r="AH26" s="1560"/>
      <c r="AI26" s="1560"/>
      <c r="AJ26" s="1560"/>
      <c r="AK26" s="1530"/>
    </row>
    <row r="27" spans="1:37" ht="14.1" customHeight="1">
      <c r="A27" s="1531">
        <f>A25+1</f>
        <v>19</v>
      </c>
      <c r="B27" s="1694" t="s">
        <v>56</v>
      </c>
      <c r="C27" s="1551" t="s">
        <v>219</v>
      </c>
      <c r="D27" s="1533">
        <f>INDEX('05基本'!I:I,MATCH(C27,'05基本'!C:C,0))+INDEX('05基本'!J:J,MATCH(C27,'05基本'!C:C,0))</f>
        <v>0</v>
      </c>
      <c r="E27" s="1534">
        <f>INDEX('05基本'!AA:AA,MATCH(C27,'05基本'!C:C,0))</f>
        <v>1268.5899999999999</v>
      </c>
      <c r="F27" s="1534">
        <f>INDEX('05基本'!AB:AB,MATCH(C27,'05基本'!C:C,0))</f>
        <v>477.15</v>
      </c>
      <c r="G27" s="1534">
        <f>INDEX('05基本'!AC:AC,MATCH(C27,'05基本'!C:C,0))</f>
        <v>117</v>
      </c>
      <c r="H27" s="1534">
        <f>INDEX('05基本'!K:K,MATCH(C27,'05基本'!C:C,0))+INDEX('05基本'!L:L,MATCH(C27,'05基本'!C:C,0))</f>
        <v>0</v>
      </c>
      <c r="I27" s="1534">
        <f>INDEX('05基本'!P:P,MATCH(C27,'05基本'!C:C,0))</f>
        <v>1200</v>
      </c>
      <c r="J27" s="1534">
        <f>INDEX('05基本'!M:M,MATCH(C27,'05基本'!C:C,0))</f>
        <v>0</v>
      </c>
      <c r="K27" s="1533">
        <f>INDEX('05月其他部门提成'!Q:Q,MATCH(C27,'05月其他部门提成'!C:C,0))</f>
        <v>5942</v>
      </c>
      <c r="L27" s="1533">
        <f>SUMIF(综合考核!A:A,'05月提成-机场售后'!C27,综合考核!M:M)</f>
        <v>0</v>
      </c>
      <c r="M27" s="1535">
        <f>SUM(K27:L27)</f>
        <v>5942</v>
      </c>
      <c r="N27" s="1535">
        <f>SUMIF(服装扣款!C:C,C27,服装扣款!N:N)</f>
        <v>0</v>
      </c>
      <c r="O27" s="1536">
        <f>M27-N27</f>
        <v>5942</v>
      </c>
      <c r="P27" s="1537">
        <f>SUMIF(西物公积金!C:C,C27,西物公积金!I:I)</f>
        <v>0</v>
      </c>
      <c r="Q27" s="1535">
        <f>SUMIF(综合考核!A:A,'05月提成-机场售后'!C27,综合考核!N:N)</f>
        <v>0</v>
      </c>
      <c r="R27" s="1535">
        <f>M27+I27+Q27</f>
        <v>7142</v>
      </c>
      <c r="S27" s="1535">
        <f>INDEX(AC:AC,MATCH(C27,AB:AB,0))</f>
        <v>46.43</v>
      </c>
      <c r="T27" s="1538">
        <v>0</v>
      </c>
      <c r="U27" s="1535">
        <f>S27-T27</f>
        <v>46.43</v>
      </c>
      <c r="V27" s="1535">
        <f>INDEX('05基本'!AF:AF,MATCH(C27,'05基本'!C:C,0))</f>
        <v>0</v>
      </c>
      <c r="W27" s="1535">
        <f>O27-P27-U27</f>
        <v>5895.57</v>
      </c>
      <c r="X27" s="1542"/>
      <c r="Y27" s="1540">
        <f>SUM(Z27:AA27)</f>
        <v>83.33</v>
      </c>
      <c r="Z27" s="1541">
        <v>83.33</v>
      </c>
      <c r="AA27" s="1542"/>
      <c r="AB27" s="1557" t="s">
        <v>223</v>
      </c>
      <c r="AC27" s="1543">
        <v>188.57</v>
      </c>
      <c r="AD27" s="1518">
        <f t="shared" si="2"/>
        <v>1</v>
      </c>
      <c r="AE27" s="1530"/>
      <c r="AF27" s="1547">
        <f>SUMIF('05月其他部门提成'!C:C,'05月提成-机场售后'!C27,'05月其他部门提成'!Q:Q)</f>
        <v>5942</v>
      </c>
      <c r="AG27" s="1548">
        <f>SUMIF('05月车间提成'!C:C,'05月提成-机场售后'!C27,'05月车间提成'!W:W)</f>
        <v>0</v>
      </c>
      <c r="AH27" s="1549">
        <f>SUMIF('05月业务提成'!B:B,'05月提成-机场售后'!C27,'05月业务提成'!BO:BO)</f>
        <v>0</v>
      </c>
      <c r="AI27" s="1549">
        <f>AF27+AG27+AH27</f>
        <v>5942</v>
      </c>
      <c r="AJ27" s="1549">
        <f>AI27-K27</f>
        <v>0</v>
      </c>
      <c r="AK27" s="1530"/>
    </row>
    <row r="28" spans="1:37" ht="14.1" customHeight="1">
      <c r="A28" s="1531">
        <f>A27+1</f>
        <v>20</v>
      </c>
      <c r="B28" s="1695"/>
      <c r="C28" s="1551" t="s">
        <v>220</v>
      </c>
      <c r="D28" s="1533">
        <f>INDEX('05基本'!I:I,MATCH(C28,'05基本'!C:C,0))+INDEX('05基本'!J:J,MATCH(C28,'05基本'!C:C,0))</f>
        <v>0</v>
      </c>
      <c r="E28" s="1534">
        <f>INDEX('05基本'!AA:AA,MATCH(C28,'05基本'!C:C,0))</f>
        <v>1268.5899999999999</v>
      </c>
      <c r="F28" s="1534">
        <f>INDEX('05基本'!AB:AB,MATCH(C28,'05基本'!C:C,0))</f>
        <v>477.15</v>
      </c>
      <c r="G28" s="1534">
        <f>INDEX('05基本'!AC:AC,MATCH(C28,'05基本'!C:C,0))</f>
        <v>117</v>
      </c>
      <c r="H28" s="1534">
        <f>INDEX('05基本'!K:K,MATCH(C28,'05基本'!C:C,0))+INDEX('05基本'!L:L,MATCH(C28,'05基本'!C:C,0))</f>
        <v>0</v>
      </c>
      <c r="I28" s="1534">
        <f>INDEX('05基本'!P:P,MATCH(C28,'05基本'!C:C,0))</f>
        <v>1200</v>
      </c>
      <c r="J28" s="1534">
        <f>INDEX('05基本'!M:M,MATCH(C28,'05基本'!C:C,0))</f>
        <v>0</v>
      </c>
      <c r="K28" s="1533">
        <f>INDEX('05月其他部门提成'!Q:Q,MATCH(C28,'05月其他部门提成'!C:C,0))</f>
        <v>8027</v>
      </c>
      <c r="L28" s="1533">
        <f>SUMIF(综合考核!A:A,'05月提成-机场售后'!C28,综合考核!M:M)</f>
        <v>0</v>
      </c>
      <c r="M28" s="1535">
        <f>SUM(K28:L28)</f>
        <v>8027</v>
      </c>
      <c r="N28" s="1535">
        <f>SUMIF(服装扣款!C:C,C28,服装扣款!N:N)</f>
        <v>0</v>
      </c>
      <c r="O28" s="1536">
        <f>M28-N28</f>
        <v>8027</v>
      </c>
      <c r="P28" s="1537">
        <f>SUMIF(西物公积金!C:C,C28,西物公积金!I:I)</f>
        <v>0</v>
      </c>
      <c r="Q28" s="1535">
        <f>SUMIF(综合考核!A:A,'05月提成-机场售后'!C28,综合考核!N:N)</f>
        <v>0</v>
      </c>
      <c r="R28" s="1535">
        <f>M28+I28+Q28</f>
        <v>9227</v>
      </c>
      <c r="S28" s="1535">
        <f>INDEX(AC:AC,MATCH(C28,AB:AB,0))</f>
        <v>108.98</v>
      </c>
      <c r="T28" s="1538">
        <v>0</v>
      </c>
      <c r="U28" s="1535">
        <f>S28-T28</f>
        <v>108.98</v>
      </c>
      <c r="V28" s="1535">
        <f>INDEX('05基本'!AF:AF,MATCH(C28,'05基本'!C:C,0))</f>
        <v>0</v>
      </c>
      <c r="W28" s="1535">
        <f>O28-P28-U28</f>
        <v>7918.02</v>
      </c>
      <c r="X28" s="1542"/>
      <c r="Y28" s="1540">
        <f>SUM(Z28:AA28)</f>
        <v>83.33</v>
      </c>
      <c r="Z28" s="1541">
        <v>83.33</v>
      </c>
      <c r="AA28" s="1542"/>
      <c r="AB28" s="1557" t="s">
        <v>224</v>
      </c>
      <c r="AC28" s="1543">
        <v>122.08</v>
      </c>
      <c r="AD28" s="1518">
        <f t="shared" si="2"/>
        <v>1</v>
      </c>
      <c r="AE28" s="1530"/>
      <c r="AF28" s="1547">
        <f>SUMIF('05月其他部门提成'!C:C,'05月提成-机场售后'!C28,'05月其他部门提成'!Q:Q)</f>
        <v>8027</v>
      </c>
      <c r="AG28" s="1548">
        <f>SUMIF('05月车间提成'!C:C,'05月提成-机场售后'!C28,'05月车间提成'!W:W)</f>
        <v>0</v>
      </c>
      <c r="AH28" s="1549">
        <f>SUMIF('05月业务提成'!B:B,'05月提成-机场售后'!C28,'05月业务提成'!BO:BO)</f>
        <v>0</v>
      </c>
      <c r="AI28" s="1549">
        <f>AF28+AG28+AH28</f>
        <v>8027</v>
      </c>
      <c r="AJ28" s="1549">
        <f>AI28-K28</f>
        <v>0</v>
      </c>
      <c r="AK28" s="1530"/>
    </row>
    <row r="29" spans="1:37" ht="14.1" customHeight="1">
      <c r="A29" s="1561"/>
      <c r="B29" s="1552"/>
      <c r="C29" s="1553" t="s">
        <v>40</v>
      </c>
      <c r="D29" s="1554">
        <f t="shared" ref="D29:G29" si="9">SUM(D27:D28)</f>
        <v>0</v>
      </c>
      <c r="E29" s="1554">
        <f t="shared" si="9"/>
        <v>2537.1799999999998</v>
      </c>
      <c r="F29" s="1554">
        <f t="shared" si="9"/>
        <v>954.3</v>
      </c>
      <c r="G29" s="1554">
        <f t="shared" si="9"/>
        <v>234</v>
      </c>
      <c r="H29" s="1554">
        <f t="shared" ref="H29:AA29" si="10">SUM(H27:H28)</f>
        <v>0</v>
      </c>
      <c r="I29" s="1554">
        <f t="shared" si="10"/>
        <v>2400</v>
      </c>
      <c r="J29" s="1554">
        <f t="shared" si="10"/>
        <v>0</v>
      </c>
      <c r="K29" s="1554">
        <f t="shared" si="10"/>
        <v>13969</v>
      </c>
      <c r="L29" s="1554">
        <f t="shared" si="10"/>
        <v>0</v>
      </c>
      <c r="M29" s="1554">
        <f t="shared" si="10"/>
        <v>13969</v>
      </c>
      <c r="N29" s="1554">
        <f t="shared" si="10"/>
        <v>0</v>
      </c>
      <c r="O29" s="1555">
        <f t="shared" si="10"/>
        <v>13969</v>
      </c>
      <c r="P29" s="1556">
        <f t="shared" si="10"/>
        <v>0</v>
      </c>
      <c r="Q29" s="1554">
        <f t="shared" si="10"/>
        <v>0</v>
      </c>
      <c r="R29" s="1554">
        <f t="shared" si="10"/>
        <v>16369</v>
      </c>
      <c r="S29" s="1554">
        <f t="shared" si="10"/>
        <v>155.41</v>
      </c>
      <c r="T29" s="1554">
        <f t="shared" si="10"/>
        <v>0</v>
      </c>
      <c r="U29" s="1554">
        <f t="shared" si="10"/>
        <v>155.41</v>
      </c>
      <c r="V29" s="1554">
        <f t="shared" si="10"/>
        <v>0</v>
      </c>
      <c r="W29" s="1554">
        <f t="shared" si="10"/>
        <v>13813.59</v>
      </c>
      <c r="X29" s="1554">
        <f t="shared" si="10"/>
        <v>0</v>
      </c>
      <c r="Y29" s="1554">
        <f t="shared" si="10"/>
        <v>166.66</v>
      </c>
      <c r="Z29" s="1554">
        <f t="shared" si="10"/>
        <v>166.66</v>
      </c>
      <c r="AA29" s="1554">
        <f t="shared" si="10"/>
        <v>0</v>
      </c>
      <c r="AB29" s="1557" t="s">
        <v>225</v>
      </c>
      <c r="AC29" s="1543">
        <v>51.05</v>
      </c>
      <c r="AD29" s="1518">
        <f t="shared" si="2"/>
        <v>7</v>
      </c>
      <c r="AE29" s="1530"/>
      <c r="AF29" s="1558"/>
      <c r="AG29" s="1559"/>
      <c r="AH29" s="1560"/>
      <c r="AI29" s="1560"/>
      <c r="AJ29" s="1560"/>
      <c r="AK29" s="1530"/>
    </row>
    <row r="30" spans="1:37" ht="14.1" customHeight="1">
      <c r="A30" s="1561">
        <f>A28+1</f>
        <v>21</v>
      </c>
      <c r="B30" s="1552"/>
      <c r="C30" s="1551" t="s">
        <v>221</v>
      </c>
      <c r="D30" s="1533">
        <f>INDEX('05基本'!I:I,MATCH(C30,'05基本'!C:C,0))+INDEX('05基本'!J:J,MATCH(C30,'05基本'!C:C,0))</f>
        <v>0</v>
      </c>
      <c r="E30" s="1534">
        <f>INDEX('05基本'!AA:AA,MATCH(C30,'05基本'!C:C,0))</f>
        <v>1268.5899999999999</v>
      </c>
      <c r="F30" s="1534">
        <f>INDEX('05基本'!AB:AB,MATCH(C30,'05基本'!C:C,0))</f>
        <v>477.15</v>
      </c>
      <c r="G30" s="1534">
        <f>INDEX('05基本'!AC:AC,MATCH(C30,'05基本'!C:C,0))</f>
        <v>117</v>
      </c>
      <c r="H30" s="1534">
        <f>INDEX('05基本'!K:K,MATCH(C30,'05基本'!C:C,0))+INDEX('05基本'!L:L,MATCH(C30,'05基本'!C:C,0))</f>
        <v>0</v>
      </c>
      <c r="I30" s="1534">
        <f>INDEX('05基本'!P:P,MATCH(C30,'05基本'!C:C,0))</f>
        <v>1500</v>
      </c>
      <c r="J30" s="1534">
        <f>INDEX('05基本'!M:M,MATCH(C30,'05基本'!C:C,0))</f>
        <v>0</v>
      </c>
      <c r="K30" s="1533">
        <f>INDEX('05月其他部门提成'!Q:Q,MATCH(C30,'05月其他部门提成'!C:C,0))</f>
        <v>2000</v>
      </c>
      <c r="L30" s="1533">
        <f>SUMIF(综合考核!A:A,'05月提成-机场售后'!C30,综合考核!M:M)</f>
        <v>0</v>
      </c>
      <c r="M30" s="1535">
        <f>SUM(K30:L30)</f>
        <v>2000</v>
      </c>
      <c r="N30" s="1535">
        <f>SUMIF(服装扣款!C:C,C30,服装扣款!N:N)</f>
        <v>0</v>
      </c>
      <c r="O30" s="1536">
        <f>M30-N30</f>
        <v>2000</v>
      </c>
      <c r="P30" s="1537">
        <f>SUMIF(西物公积金!C:C,C30,西物公积金!I:I)</f>
        <v>0</v>
      </c>
      <c r="Q30" s="1535">
        <f>SUMIF(综合考核!A:A,'05月提成-机场售后'!C30,综合考核!N:N)</f>
        <v>0</v>
      </c>
      <c r="R30" s="1535">
        <f>M30+I30+Q30</f>
        <v>3500</v>
      </c>
      <c r="S30" s="1535">
        <f>INDEX(AC:AC,MATCH(C30,AB:AB,0))</f>
        <v>0</v>
      </c>
      <c r="T30" s="1538">
        <v>0</v>
      </c>
      <c r="U30" s="1535">
        <f>S30-T30</f>
        <v>0</v>
      </c>
      <c r="V30" s="1535">
        <f>INDEX('05基本'!AF:AF,MATCH(C30,'05基本'!C:C,0))</f>
        <v>0</v>
      </c>
      <c r="W30" s="1535">
        <f>O30-P30-U30</f>
        <v>2000</v>
      </c>
      <c r="X30" s="1542"/>
      <c r="Y30" s="1540">
        <f>SUM(Z30:AA30)</f>
        <v>83.33</v>
      </c>
      <c r="Z30" s="1541">
        <v>83.33</v>
      </c>
      <c r="AA30" s="1542"/>
      <c r="AB30" s="1557" t="s">
        <v>226</v>
      </c>
      <c r="AC30" s="1543">
        <v>104.41</v>
      </c>
      <c r="AD30" s="1518">
        <f t="shared" si="2"/>
        <v>1</v>
      </c>
      <c r="AE30" s="1530"/>
      <c r="AF30" s="1547">
        <f>SUMIF('05月其他部门提成'!C:C,'05月提成-机场售后'!C30,'05月其他部门提成'!Q:Q)</f>
        <v>2000</v>
      </c>
      <c r="AG30" s="1548">
        <f>SUMIF('05月车间提成'!C:C,'05月提成-机场售后'!C30,'05月车间提成'!W:W)</f>
        <v>0</v>
      </c>
      <c r="AH30" s="1549">
        <f>SUMIF('05月业务提成'!B:B,'05月提成-机场售后'!C30,'05月业务提成'!BO:BO)</f>
        <v>0</v>
      </c>
      <c r="AI30" s="1549">
        <f>AF30+AG30+AH30</f>
        <v>2000</v>
      </c>
      <c r="AJ30" s="1549">
        <f>AI30-K30</f>
        <v>0</v>
      </c>
      <c r="AK30" s="1530"/>
    </row>
    <row r="31" spans="1:37" ht="14.1" customHeight="1">
      <c r="A31" s="1561"/>
      <c r="B31" s="1552"/>
      <c r="C31" s="1553" t="s">
        <v>40</v>
      </c>
      <c r="D31" s="1554">
        <f t="shared" ref="D31:G31" si="11">SUM(D30)</f>
        <v>0</v>
      </c>
      <c r="E31" s="1554">
        <f t="shared" si="11"/>
        <v>1268.5899999999999</v>
      </c>
      <c r="F31" s="1554">
        <f t="shared" si="11"/>
        <v>477.15</v>
      </c>
      <c r="G31" s="1554">
        <f t="shared" si="11"/>
        <v>117</v>
      </c>
      <c r="H31" s="1554">
        <f t="shared" ref="H31:AA31" si="12">SUM(H30)</f>
        <v>0</v>
      </c>
      <c r="I31" s="1554">
        <f t="shared" si="12"/>
        <v>1500</v>
      </c>
      <c r="J31" s="1554">
        <f t="shared" si="12"/>
        <v>0</v>
      </c>
      <c r="K31" s="1554">
        <f t="shared" si="12"/>
        <v>2000</v>
      </c>
      <c r="L31" s="1554">
        <f t="shared" si="12"/>
        <v>0</v>
      </c>
      <c r="M31" s="1554">
        <f t="shared" si="12"/>
        <v>2000</v>
      </c>
      <c r="N31" s="1554">
        <f t="shared" si="12"/>
        <v>0</v>
      </c>
      <c r="O31" s="1555">
        <f t="shared" si="12"/>
        <v>2000</v>
      </c>
      <c r="P31" s="1556">
        <f t="shared" si="12"/>
        <v>0</v>
      </c>
      <c r="Q31" s="1554">
        <f t="shared" si="12"/>
        <v>0</v>
      </c>
      <c r="R31" s="1554">
        <f t="shared" si="12"/>
        <v>3500</v>
      </c>
      <c r="S31" s="1554">
        <f t="shared" si="12"/>
        <v>0</v>
      </c>
      <c r="T31" s="1554">
        <f t="shared" si="12"/>
        <v>0</v>
      </c>
      <c r="U31" s="1554">
        <f t="shared" si="12"/>
        <v>0</v>
      </c>
      <c r="V31" s="1554">
        <f t="shared" si="12"/>
        <v>0</v>
      </c>
      <c r="W31" s="1554">
        <f t="shared" si="12"/>
        <v>2000</v>
      </c>
      <c r="X31" s="1554">
        <f t="shared" si="12"/>
        <v>0</v>
      </c>
      <c r="Y31" s="1554">
        <f t="shared" si="12"/>
        <v>83.33</v>
      </c>
      <c r="Z31" s="1554">
        <f t="shared" si="12"/>
        <v>83.33</v>
      </c>
      <c r="AA31" s="1554">
        <f t="shared" si="12"/>
        <v>0</v>
      </c>
      <c r="AB31" s="1557" t="s">
        <v>227</v>
      </c>
      <c r="AC31" s="1543">
        <v>0</v>
      </c>
      <c r="AD31" s="1518">
        <f t="shared" si="2"/>
        <v>7</v>
      </c>
      <c r="AE31" s="1530"/>
      <c r="AF31" s="1558"/>
      <c r="AG31" s="1559"/>
      <c r="AH31" s="1560"/>
      <c r="AI31" s="1560"/>
      <c r="AJ31" s="1560"/>
      <c r="AK31" s="1530"/>
    </row>
    <row r="32" spans="1:37" s="1512" customFormat="1" ht="14.1" customHeight="1">
      <c r="A32" s="1531"/>
      <c r="B32" s="1564" t="s">
        <v>113</v>
      </c>
      <c r="C32" s="1565"/>
      <c r="D32" s="1566">
        <f t="shared" ref="D32:G32" si="13">D10+D15+D21+D26+D29+D31</f>
        <v>0</v>
      </c>
      <c r="E32" s="1566">
        <f t="shared" si="13"/>
        <v>25600.71</v>
      </c>
      <c r="F32" s="1566">
        <f t="shared" si="13"/>
        <v>9637.85</v>
      </c>
      <c r="G32" s="1566">
        <f t="shared" si="13"/>
        <v>2340</v>
      </c>
      <c r="H32" s="1566">
        <f t="shared" ref="H32:AA32" si="14">H10+H15+H21+H26+H29+H31</f>
        <v>200</v>
      </c>
      <c r="I32" s="1566">
        <f t="shared" si="14"/>
        <v>25530</v>
      </c>
      <c r="J32" s="1566">
        <f t="shared" si="14"/>
        <v>0</v>
      </c>
      <c r="K32" s="1566">
        <f t="shared" si="14"/>
        <v>127454.83522325</v>
      </c>
      <c r="L32" s="1566">
        <f t="shared" si="14"/>
        <v>340</v>
      </c>
      <c r="M32" s="1566">
        <f t="shared" si="14"/>
        <v>127794.83522325</v>
      </c>
      <c r="N32" s="1566">
        <f t="shared" si="14"/>
        <v>0</v>
      </c>
      <c r="O32" s="1566">
        <f t="shared" si="14"/>
        <v>127794.83522325</v>
      </c>
      <c r="P32" s="1566">
        <f t="shared" si="14"/>
        <v>0</v>
      </c>
      <c r="Q32" s="1566">
        <f t="shared" si="14"/>
        <v>0</v>
      </c>
      <c r="R32" s="1566">
        <f t="shared" si="14"/>
        <v>153324.83522325</v>
      </c>
      <c r="S32" s="1566">
        <f t="shared" si="14"/>
        <v>1544.81</v>
      </c>
      <c r="T32" s="1566">
        <f t="shared" si="14"/>
        <v>0</v>
      </c>
      <c r="U32" s="1566">
        <f t="shared" si="14"/>
        <v>1544.81</v>
      </c>
      <c r="V32" s="1566">
        <f t="shared" si="14"/>
        <v>0</v>
      </c>
      <c r="W32" s="1566">
        <f t="shared" si="14"/>
        <v>126250.02522325001</v>
      </c>
      <c r="X32" s="1566">
        <f t="shared" si="14"/>
        <v>0</v>
      </c>
      <c r="Y32" s="1566">
        <f t="shared" si="14"/>
        <v>4692.90882816667</v>
      </c>
      <c r="Z32" s="1566">
        <f t="shared" si="14"/>
        <v>2718.1556256666699</v>
      </c>
      <c r="AA32" s="1566">
        <f t="shared" si="14"/>
        <v>1974.7532025</v>
      </c>
      <c r="AB32" s="1519" t="s">
        <v>228</v>
      </c>
      <c r="AC32" s="291">
        <v>171.82</v>
      </c>
      <c r="AD32" s="1518">
        <f t="shared" si="2"/>
        <v>0</v>
      </c>
      <c r="AE32" s="1530"/>
      <c r="AF32" s="1558"/>
      <c r="AG32" s="1559"/>
      <c r="AH32" s="1560"/>
      <c r="AI32" s="1560"/>
      <c r="AJ32" s="1560"/>
      <c r="AK32" s="1530"/>
    </row>
    <row r="33" spans="1:37" ht="14.1" customHeight="1">
      <c r="A33" s="1531">
        <f>A30+1</f>
        <v>22</v>
      </c>
      <c r="B33" s="1659" t="s">
        <v>229</v>
      </c>
      <c r="C33" s="1507" t="s">
        <v>222</v>
      </c>
      <c r="D33" s="1533">
        <f>INDEX('05基本'!I:I,MATCH(C33,'05基本'!C:C,0))+INDEX('05基本'!J:J,MATCH(C33,'05基本'!C:C,0))</f>
        <v>0</v>
      </c>
      <c r="E33" s="1534">
        <f>INDEX('05基本'!AA:AA,MATCH(C33,'05基本'!C:C,0))</f>
        <v>1268.5899999999999</v>
      </c>
      <c r="F33" s="1534">
        <f>INDEX('05基本'!AB:AB,MATCH(C33,'05基本'!C:C,0))</f>
        <v>477.15</v>
      </c>
      <c r="G33" s="1534">
        <f>INDEX('05基本'!AC:AC,MATCH(C33,'05基本'!C:C,0))</f>
        <v>117</v>
      </c>
      <c r="H33" s="1534">
        <f>INDEX('05基本'!K:K,MATCH(C33,'05基本'!C:C,0))+INDEX('05基本'!L:L,MATCH(C33,'05基本'!C:C,0))</f>
        <v>100</v>
      </c>
      <c r="I33" s="1534">
        <f>INDEX('05基本'!P:P,MATCH(C33,'05基本'!C:C,0))</f>
        <v>1700</v>
      </c>
      <c r="J33" s="1534">
        <f>INDEX('05基本'!M:M,MATCH(C33,'05基本'!C:C,0))</f>
        <v>0</v>
      </c>
      <c r="K33" s="1535">
        <f>INDEX('05月其他部门提成'!Q:Q,MATCH(C33,'05月其他部门提成'!C:C,0))</f>
        <v>10179.6665617</v>
      </c>
      <c r="L33" s="1533">
        <f>SUMIF(综合考核!A:A,'05月提成-机场售后'!C33,综合考核!M:M)</f>
        <v>20</v>
      </c>
      <c r="M33" s="1535">
        <f>SUM(K33:L33)</f>
        <v>10199.6665617</v>
      </c>
      <c r="N33" s="1535">
        <f>SUMIF(服装扣款!C:C,C33,服装扣款!N:N)</f>
        <v>0</v>
      </c>
      <c r="O33" s="1536">
        <f>M33-N33</f>
        <v>10199.6665617</v>
      </c>
      <c r="P33" s="1537">
        <f>SUMIF(西物公积金!C:C,C33,西物公积金!I:I)</f>
        <v>0</v>
      </c>
      <c r="Q33" s="1535">
        <f>SUMIF(综合考核!A:A,'05月提成-机场售后'!C33,综合考核!N:N)</f>
        <v>0</v>
      </c>
      <c r="R33" s="1535">
        <f>M33+I33+Q33</f>
        <v>11899.6665617</v>
      </c>
      <c r="S33" s="1535">
        <f>INDEX(AC:AC,MATCH(C33,AB:AB,0))</f>
        <v>189.17</v>
      </c>
      <c r="T33" s="1538"/>
      <c r="U33" s="1535">
        <f>S33-T33</f>
        <v>189.17</v>
      </c>
      <c r="V33" s="1535">
        <f>INDEX('05基本'!AF:AF,MATCH(C33,'05基本'!C:C,0))</f>
        <v>0</v>
      </c>
      <c r="W33" s="1535">
        <f>O33-P33-U33</f>
        <v>10010.4965617</v>
      </c>
      <c r="X33" s="1539"/>
      <c r="Y33" s="1540">
        <f>SUM(Z33:AA33)</f>
        <v>691.31861200000105</v>
      </c>
      <c r="Z33" s="1541">
        <f>INDEX('05月其他部门提成'!S:S,MATCH(C33,'05月其他部门提成'!C:C,0))</f>
        <v>691.31861200000105</v>
      </c>
      <c r="AA33" s="1542"/>
      <c r="AB33" s="1557" t="s">
        <v>230</v>
      </c>
      <c r="AC33" s="1543">
        <v>52.99</v>
      </c>
      <c r="AD33" s="1518">
        <f t="shared" si="2"/>
        <v>1</v>
      </c>
      <c r="AE33" s="1530"/>
      <c r="AF33" s="1529">
        <f>SUMIF('05月其他部门提成'!C:C,'05月提成-机场售后'!C33,'05月其他部门提成'!Q:Q)</f>
        <v>10179.6665617</v>
      </c>
      <c r="AG33" s="1544">
        <f>SUMIF('05月车间提成'!C:C,'05月提成-机场售后'!C33,'05月车间提成'!W:W)</f>
        <v>0</v>
      </c>
      <c r="AH33" s="1530">
        <f>SUMIF('05月业务提成'!B:B,'05月提成-机场售后'!C33,'05月业务提成'!BO:BO)</f>
        <v>0</v>
      </c>
      <c r="AI33" s="1530">
        <f>AF33+AG33+AH33</f>
        <v>10179.6665617</v>
      </c>
      <c r="AJ33" s="1530">
        <f>AI33-K33</f>
        <v>0</v>
      </c>
      <c r="AK33" s="1530"/>
    </row>
    <row r="34" spans="1:37" ht="14.1" customHeight="1">
      <c r="A34" s="1561">
        <f>A33+1</f>
        <v>23</v>
      </c>
      <c r="B34" s="1661"/>
      <c r="C34" s="1507" t="s">
        <v>223</v>
      </c>
      <c r="D34" s="1533">
        <f>INDEX('05基本'!I:I,MATCH(C34,'05基本'!C:C,0))+INDEX('05基本'!J:J,MATCH(C34,'05基本'!C:C,0))</f>
        <v>0</v>
      </c>
      <c r="E34" s="1534">
        <f>INDEX('05基本'!AA:AA,MATCH(C34,'05基本'!C:C,0))</f>
        <v>1268.5899999999999</v>
      </c>
      <c r="F34" s="1534">
        <f>INDEX('05基本'!AB:AB,MATCH(C34,'05基本'!C:C,0))</f>
        <v>477.15</v>
      </c>
      <c r="G34" s="1534">
        <f>INDEX('05基本'!AC:AC,MATCH(C34,'05基本'!C:C,0))</f>
        <v>117</v>
      </c>
      <c r="H34" s="1534">
        <f>INDEX('05基本'!K:K,MATCH(C34,'05基本'!C:C,0))+INDEX('05基本'!L:L,MATCH(C34,'05基本'!C:C,0))</f>
        <v>100</v>
      </c>
      <c r="I34" s="1534">
        <f>INDEX('05基本'!P:P,MATCH(C34,'05基本'!C:C,0))</f>
        <v>1700</v>
      </c>
      <c r="J34" s="1534">
        <f>INDEX('05基本'!M:M,MATCH(C34,'05基本'!C:C,0))</f>
        <v>0</v>
      </c>
      <c r="K34" s="1535">
        <f>INDEX('05月其他部门提成'!Q:Q,MATCH(C34,'05月其他部门提成'!C:C,0))</f>
        <v>10179.6665617</v>
      </c>
      <c r="L34" s="1533">
        <f>SUMIF(综合考核!A:A,'05月提成-机场售后'!C34,综合考核!M:M)</f>
        <v>0</v>
      </c>
      <c r="M34" s="1535">
        <f t="shared" ref="M34" si="15">SUM(K34:L34)</f>
        <v>10179.6665617</v>
      </c>
      <c r="N34" s="1535">
        <f>SUMIF(服装扣款!C:C,C34,服装扣款!N:N)</f>
        <v>0</v>
      </c>
      <c r="O34" s="1536">
        <f t="shared" ref="O34" si="16">M34-N34</f>
        <v>10179.6665617</v>
      </c>
      <c r="P34" s="1537">
        <f>SUMIF(西物公积金!C:C,C34,西物公积金!I:I)</f>
        <v>0</v>
      </c>
      <c r="Q34" s="1535">
        <f>SUMIF(综合考核!A:A,'05月提成-机场售后'!C34,综合考核!N:N)</f>
        <v>0</v>
      </c>
      <c r="R34" s="1535">
        <f t="shared" ref="R34" si="17">M34+I34+Q34</f>
        <v>11879.6665617</v>
      </c>
      <c r="S34" s="1535">
        <f>INDEX(AC:AC,MATCH(C34,AB:AB,0))</f>
        <v>188.57</v>
      </c>
      <c r="T34" s="1538"/>
      <c r="U34" s="1535">
        <f t="shared" ref="U34" si="18">S34-T34</f>
        <v>188.57</v>
      </c>
      <c r="V34" s="1535">
        <f>INDEX('05基本'!AF:AF,MATCH(C34,'05基本'!C:C,0))</f>
        <v>0</v>
      </c>
      <c r="W34" s="1535">
        <f t="shared" ref="W34" si="19">O34-P34-U34</f>
        <v>9991.0965617000002</v>
      </c>
      <c r="X34" s="1539"/>
      <c r="Y34" s="1540">
        <f>SUM(Z34:AA34)</f>
        <v>267.88596215000001</v>
      </c>
      <c r="Z34" s="1541">
        <f>INDEX('05月其他部门提成'!S:S,MATCH(C34,'05月其他部门提成'!C:C,0))</f>
        <v>267.88596215000001</v>
      </c>
      <c r="AA34" s="1542"/>
      <c r="AB34" s="1557" t="s">
        <v>231</v>
      </c>
      <c r="AC34" s="1543">
        <v>141.80000000000001</v>
      </c>
      <c r="AE34" s="1530"/>
      <c r="AF34" s="1529"/>
      <c r="AG34" s="1544"/>
      <c r="AH34" s="1530"/>
      <c r="AI34" s="1530"/>
      <c r="AJ34" s="1530"/>
      <c r="AK34" s="1530"/>
    </row>
    <row r="35" spans="1:37" ht="14.1" customHeight="1">
      <c r="A35" s="1561"/>
      <c r="B35" s="1660"/>
      <c r="C35" s="1567" t="s">
        <v>232</v>
      </c>
      <c r="D35" s="1554">
        <f t="shared" ref="D35:G35" si="20">SUM(D33:D34)</f>
        <v>0</v>
      </c>
      <c r="E35" s="1554">
        <f t="shared" si="20"/>
        <v>2537.1799999999998</v>
      </c>
      <c r="F35" s="1554">
        <f t="shared" si="20"/>
        <v>954.3</v>
      </c>
      <c r="G35" s="1554">
        <f t="shared" si="20"/>
        <v>234</v>
      </c>
      <c r="H35" s="1554">
        <f t="shared" ref="H35:AA35" si="21">SUM(H33:H34)</f>
        <v>200</v>
      </c>
      <c r="I35" s="1554">
        <f t="shared" si="21"/>
        <v>3400</v>
      </c>
      <c r="J35" s="1554">
        <f t="shared" si="21"/>
        <v>0</v>
      </c>
      <c r="K35" s="1554">
        <f t="shared" si="21"/>
        <v>20359.3331234</v>
      </c>
      <c r="L35" s="1554">
        <f t="shared" si="21"/>
        <v>20</v>
      </c>
      <c r="M35" s="1554">
        <f t="shared" si="21"/>
        <v>20379.3331234</v>
      </c>
      <c r="N35" s="1554">
        <f t="shared" si="21"/>
        <v>0</v>
      </c>
      <c r="O35" s="1555">
        <f t="shared" si="21"/>
        <v>20379.3331234</v>
      </c>
      <c r="P35" s="1556">
        <f t="shared" si="21"/>
        <v>0</v>
      </c>
      <c r="Q35" s="1554">
        <f t="shared" si="21"/>
        <v>0</v>
      </c>
      <c r="R35" s="1554">
        <f t="shared" si="21"/>
        <v>23779.3331234</v>
      </c>
      <c r="S35" s="1554">
        <f t="shared" si="21"/>
        <v>377.74</v>
      </c>
      <c r="T35" s="1554">
        <f t="shared" si="21"/>
        <v>0</v>
      </c>
      <c r="U35" s="1554">
        <f t="shared" si="21"/>
        <v>377.74</v>
      </c>
      <c r="V35" s="1554">
        <f t="shared" si="21"/>
        <v>0</v>
      </c>
      <c r="W35" s="1554">
        <f t="shared" si="21"/>
        <v>20001.593123400002</v>
      </c>
      <c r="X35" s="1568">
        <f t="shared" si="21"/>
        <v>0</v>
      </c>
      <c r="Y35" s="1556">
        <f t="shared" si="21"/>
        <v>959.20457415000101</v>
      </c>
      <c r="Z35" s="1554">
        <f t="shared" si="21"/>
        <v>959.20457415000101</v>
      </c>
      <c r="AA35" s="1568">
        <f t="shared" si="21"/>
        <v>0</v>
      </c>
      <c r="AB35" s="1557" t="s">
        <v>233</v>
      </c>
      <c r="AC35" s="1543">
        <v>104.34</v>
      </c>
      <c r="AD35" s="1518">
        <f>COUNTIF(C:C,C35)</f>
        <v>7</v>
      </c>
      <c r="AE35" s="1530"/>
      <c r="AF35" s="1558"/>
      <c r="AG35" s="1559"/>
      <c r="AH35" s="1560"/>
      <c r="AI35" s="1560"/>
      <c r="AJ35" s="1560"/>
      <c r="AK35" s="1530"/>
    </row>
    <row r="36" spans="1:37" ht="14.1" customHeight="1">
      <c r="A36" s="1531">
        <f>A34+1</f>
        <v>24</v>
      </c>
      <c r="B36" s="1696" t="s">
        <v>234</v>
      </c>
      <c r="C36" s="1507" t="s">
        <v>224</v>
      </c>
      <c r="D36" s="1533">
        <f>INDEX('05基本'!I:I,MATCH(C36,'05基本'!C:C,0))+INDEX('05基本'!J:J,MATCH(C36,'05基本'!C:C,0))</f>
        <v>40</v>
      </c>
      <c r="E36" s="1534">
        <f>INDEX('05基本'!AA:AA,MATCH(C36,'05基本'!C:C,0))</f>
        <v>1268.5899999999999</v>
      </c>
      <c r="F36" s="1534">
        <f>INDEX('05基本'!AB:AB,MATCH(C36,'05基本'!C:C,0))</f>
        <v>477.15</v>
      </c>
      <c r="G36" s="1534">
        <f>INDEX('05基本'!AC:AC,MATCH(C36,'05基本'!C:C,0))</f>
        <v>117</v>
      </c>
      <c r="H36" s="1534">
        <f>INDEX('05基本'!K:K,MATCH(C36,'05基本'!C:C,0))+INDEX('05基本'!L:L,MATCH(C36,'05基本'!C:C,0))</f>
        <v>0</v>
      </c>
      <c r="I36" s="1534">
        <f>INDEX('05基本'!P:P,MATCH(C36,'05基本'!C:C,0))</f>
        <v>1140</v>
      </c>
      <c r="J36" s="1534">
        <f>INDEX('05基本'!M:M,MATCH(C36,'05基本'!C:C,0))</f>
        <v>0</v>
      </c>
      <c r="K36" s="1535">
        <f>INDEX('05月车间提成'!W:W,MATCH(C36,'05月车间提成'!C:C,0))</f>
        <v>8523.3874643874606</v>
      </c>
      <c r="L36" s="1533">
        <f>SUMIF(综合考核!A:A,'05月提成-机场售后'!C36,综合考核!M:M)</f>
        <v>0</v>
      </c>
      <c r="M36" s="1535">
        <f>SUM(K36:L36)</f>
        <v>8523.3874643874606</v>
      </c>
      <c r="N36" s="1535">
        <f>SUMIF(服装扣款!C:C,C36,服装扣款!N:N)</f>
        <v>0</v>
      </c>
      <c r="O36" s="1536">
        <f>M36-N36</f>
        <v>8523.3874643874606</v>
      </c>
      <c r="P36" s="1537">
        <f>SUMIF(西物公积金!C:C,C36,西物公积金!I:I)</f>
        <v>0</v>
      </c>
      <c r="Q36" s="1535">
        <f>SUMIF(综合考核!A:A,'05月提成-机场售后'!C36,综合考核!N:N)</f>
        <v>0</v>
      </c>
      <c r="R36" s="1535">
        <f>M36+I36+Q36</f>
        <v>9663.3874643874606</v>
      </c>
      <c r="S36" s="1535">
        <f>INDEX(AC:AC,MATCH(C36,AB:AB,0))</f>
        <v>122.08</v>
      </c>
      <c r="T36" s="1538"/>
      <c r="U36" s="1535">
        <f>S36-T36</f>
        <v>122.08</v>
      </c>
      <c r="V36" s="1535">
        <f>INDEX('05基本'!AF:AF,MATCH(C36,'05基本'!C:C,0))</f>
        <v>0</v>
      </c>
      <c r="W36" s="1535">
        <f>O36-P36-U36</f>
        <v>8401.3074643874606</v>
      </c>
      <c r="X36" s="1539"/>
      <c r="Y36" s="1540">
        <f>SUM(Z36:AA36)</f>
        <v>768.61599999999999</v>
      </c>
      <c r="Z36" s="1541">
        <f>'05月车间提成'!D66*'05月车间提成'!G66*0.05</f>
        <v>768.61599999999999</v>
      </c>
      <c r="AA36" s="1542"/>
      <c r="AB36" s="1557" t="s">
        <v>235</v>
      </c>
      <c r="AC36" s="1543">
        <v>53.15</v>
      </c>
      <c r="AD36" s="1518">
        <f t="shared" ref="AD36:AD40" si="22">COUNTIF(C:C,C36)</f>
        <v>1</v>
      </c>
      <c r="AE36" s="1530"/>
      <c r="AF36" s="1529">
        <f>SUMIF('05月其他部门提成'!C:C,'05月提成-机场售后'!C36,'05月其他部门提成'!Q:Q)</f>
        <v>0</v>
      </c>
      <c r="AG36" s="1544">
        <f>SUMIF('05月车间提成'!C:C,'05月提成-机场售后'!C36,'05月车间提成'!W:W)</f>
        <v>8523.3874643874606</v>
      </c>
      <c r="AH36" s="1530">
        <f>SUMIF('05月业务提成'!B:B,'05月提成-机场售后'!C36,'05月业务提成'!BO:BO)</f>
        <v>0</v>
      </c>
      <c r="AI36" s="1530">
        <f>AF36+AG36+AH36</f>
        <v>8523.3874643874606</v>
      </c>
      <c r="AJ36" s="1530">
        <f>AI36-K36</f>
        <v>0</v>
      </c>
      <c r="AK36" s="1530"/>
    </row>
    <row r="37" spans="1:37" ht="14.1" customHeight="1">
      <c r="A37" s="1531">
        <f>A36+1</f>
        <v>25</v>
      </c>
      <c r="B37" s="1694"/>
      <c r="C37" s="1507" t="s">
        <v>225</v>
      </c>
      <c r="D37" s="1533">
        <f>INDEX('05基本'!I:I,MATCH(C37,'05基本'!C:C,0))+INDEX('05基本'!J:J,MATCH(C37,'05基本'!C:C,0))</f>
        <v>30</v>
      </c>
      <c r="E37" s="1534">
        <f>INDEX('05基本'!AA:AA,MATCH(C37,'05基本'!C:C,0))</f>
        <v>1268.5899999999999</v>
      </c>
      <c r="F37" s="1534">
        <f>INDEX('05基本'!AB:AB,MATCH(C37,'05基本'!C:C,0))</f>
        <v>477.15</v>
      </c>
      <c r="G37" s="1534">
        <f>INDEX('05基本'!AC:AC,MATCH(C37,'05基本'!C:C,0))</f>
        <v>117</v>
      </c>
      <c r="H37" s="1534">
        <f>INDEX('05基本'!K:K,MATCH(C37,'05基本'!C:C,0))+INDEX('05基本'!L:L,MATCH(C37,'05基本'!C:C,0))</f>
        <v>0</v>
      </c>
      <c r="I37" s="1534">
        <f>INDEX('05基本'!P:P,MATCH(C37,'05基本'!C:C,0))</f>
        <v>930</v>
      </c>
      <c r="J37" s="1534">
        <f>INDEX('05基本'!M:M,MATCH(C37,'05基本'!C:C,0))</f>
        <v>0</v>
      </c>
      <c r="K37" s="1535">
        <f>INDEX('05月车间提成'!W:W,MATCH(C37,'05月车间提成'!C:C,0))</f>
        <v>6365.6575356125404</v>
      </c>
      <c r="L37" s="1533">
        <f>SUMIF(综合考核!A:A,'05月提成-机场售后'!C37,综合考核!M:M)</f>
        <v>0</v>
      </c>
      <c r="M37" s="1535">
        <f>SUM(K37:L37)</f>
        <v>6365.6575356125404</v>
      </c>
      <c r="N37" s="1535">
        <f>SUMIF(服装扣款!C:C,C37,服装扣款!N:N)</f>
        <v>0</v>
      </c>
      <c r="O37" s="1536">
        <f>M37-N37</f>
        <v>6365.6575356125404</v>
      </c>
      <c r="P37" s="1537">
        <f>SUMIF(西物公积金!C:C,C37,西物公积金!I:I)</f>
        <v>0</v>
      </c>
      <c r="Q37" s="1535">
        <f>SUMIF(综合考核!A:A,'05月提成-机场售后'!C37,综合考核!N:N)</f>
        <v>0</v>
      </c>
      <c r="R37" s="1535">
        <f>M37+I37+Q37</f>
        <v>7295.6575356125404</v>
      </c>
      <c r="S37" s="1535">
        <f>INDEX(AC:AC,MATCH(C37,AB:AB,0))</f>
        <v>51.05</v>
      </c>
      <c r="T37" s="1538"/>
      <c r="U37" s="1535">
        <f>S37-T37</f>
        <v>51.05</v>
      </c>
      <c r="V37" s="1535">
        <f>INDEX('05基本'!AF:AF,MATCH(C37,'05基本'!C:C,0))</f>
        <v>0</v>
      </c>
      <c r="W37" s="1535">
        <f>O37-P37-U37</f>
        <v>6314.6075356125402</v>
      </c>
      <c r="X37" s="1539"/>
      <c r="Y37" s="1540"/>
      <c r="Z37" s="1541"/>
      <c r="AA37" s="1542"/>
      <c r="AB37" s="1569" t="s">
        <v>236</v>
      </c>
      <c r="AC37" s="1543">
        <v>104.37</v>
      </c>
      <c r="AD37" s="1518">
        <f t="shared" si="22"/>
        <v>1</v>
      </c>
      <c r="AE37" s="1530"/>
      <c r="AF37" s="1529">
        <f>SUMIF('05月其他部门提成'!C:C,'05月提成-机场售后'!C37,'05月其他部门提成'!Q:Q)</f>
        <v>0</v>
      </c>
      <c r="AG37" s="1544">
        <f>SUMIF('05月车间提成'!C:C,'05月提成-机场售后'!C37,'05月车间提成'!W:W)</f>
        <v>6365.6575356125404</v>
      </c>
      <c r="AH37" s="1530">
        <f>SUMIF('05月业务提成'!B:B,'05月提成-机场售后'!C37,'05月业务提成'!BO:BO)</f>
        <v>0</v>
      </c>
      <c r="AI37" s="1530">
        <f>AF37+AG37+AH37</f>
        <v>6365.6575356125404</v>
      </c>
      <c r="AJ37" s="1530">
        <f>AI37-K37</f>
        <v>0</v>
      </c>
      <c r="AK37" s="1530"/>
    </row>
    <row r="38" spans="1:37" ht="23.25" customHeight="1">
      <c r="A38" s="1561"/>
      <c r="B38" s="1545"/>
      <c r="C38" s="1570" t="s">
        <v>237</v>
      </c>
      <c r="D38" s="1554">
        <f t="shared" ref="D38:G38" si="23">SUM(D36:D37)</f>
        <v>70</v>
      </c>
      <c r="E38" s="1554">
        <f t="shared" si="23"/>
        <v>2537.1799999999998</v>
      </c>
      <c r="F38" s="1554">
        <f t="shared" si="23"/>
        <v>954.3</v>
      </c>
      <c r="G38" s="1554">
        <f t="shared" si="23"/>
        <v>234</v>
      </c>
      <c r="H38" s="1554">
        <f t="shared" ref="H38:AA38" si="24">SUM(H36:H37)</f>
        <v>0</v>
      </c>
      <c r="I38" s="1554">
        <f t="shared" si="24"/>
        <v>2070</v>
      </c>
      <c r="J38" s="1554">
        <f t="shared" si="24"/>
        <v>0</v>
      </c>
      <c r="K38" s="1554">
        <f t="shared" si="24"/>
        <v>14889.045</v>
      </c>
      <c r="L38" s="1554">
        <f t="shared" si="24"/>
        <v>0</v>
      </c>
      <c r="M38" s="1554">
        <f t="shared" si="24"/>
        <v>14889.045</v>
      </c>
      <c r="N38" s="1554">
        <f t="shared" si="24"/>
        <v>0</v>
      </c>
      <c r="O38" s="1555">
        <f t="shared" si="24"/>
        <v>14889.045</v>
      </c>
      <c r="P38" s="1556">
        <f t="shared" si="24"/>
        <v>0</v>
      </c>
      <c r="Q38" s="1554">
        <f t="shared" si="24"/>
        <v>0</v>
      </c>
      <c r="R38" s="1554">
        <f t="shared" si="24"/>
        <v>16959.044999999998</v>
      </c>
      <c r="S38" s="1554">
        <f t="shared" si="24"/>
        <v>173.13</v>
      </c>
      <c r="T38" s="1554">
        <f t="shared" si="24"/>
        <v>0</v>
      </c>
      <c r="U38" s="1554">
        <f t="shared" si="24"/>
        <v>173.13</v>
      </c>
      <c r="V38" s="1554">
        <f t="shared" si="24"/>
        <v>0</v>
      </c>
      <c r="W38" s="1554">
        <f t="shared" si="24"/>
        <v>14715.915000000001</v>
      </c>
      <c r="X38" s="1568">
        <f t="shared" si="24"/>
        <v>0</v>
      </c>
      <c r="Y38" s="1556">
        <f t="shared" si="24"/>
        <v>768.61599999999999</v>
      </c>
      <c r="Z38" s="1556">
        <f t="shared" si="24"/>
        <v>768.61599999999999</v>
      </c>
      <c r="AA38" s="1556">
        <f t="shared" si="24"/>
        <v>0</v>
      </c>
      <c r="AB38" s="1519" t="s">
        <v>238</v>
      </c>
      <c r="AC38" s="291">
        <v>78.069999999999993</v>
      </c>
      <c r="AD38" s="1518">
        <f t="shared" si="22"/>
        <v>1</v>
      </c>
      <c r="AE38" s="1530"/>
      <c r="AF38" s="1558"/>
      <c r="AG38" s="1559"/>
      <c r="AH38" s="1560"/>
      <c r="AI38" s="1560"/>
      <c r="AJ38" s="1560"/>
      <c r="AK38" s="1530"/>
    </row>
    <row r="39" spans="1:37" ht="14.1" customHeight="1">
      <c r="A39" s="1531">
        <f>A37+1</f>
        <v>26</v>
      </c>
      <c r="B39" s="1661" t="s">
        <v>239</v>
      </c>
      <c r="C39" s="1507" t="s">
        <v>226</v>
      </c>
      <c r="D39" s="1533">
        <f>INDEX('05基本'!I:I,MATCH(C39,'05基本'!C:C,0))+INDEX('05基本'!J:J,MATCH(C39,'05基本'!C:C,0))</f>
        <v>30</v>
      </c>
      <c r="E39" s="1534">
        <f>INDEX('05基本'!AA:AA,MATCH(C39,'05基本'!C:C,0))</f>
        <v>1268.5899999999999</v>
      </c>
      <c r="F39" s="1534">
        <f>INDEX('05基本'!AB:AB,MATCH(C39,'05基本'!C:C,0))</f>
        <v>477.15</v>
      </c>
      <c r="G39" s="1534">
        <f>INDEX('05基本'!AC:AC,MATCH(C39,'05基本'!C:C,0))</f>
        <v>117</v>
      </c>
      <c r="H39" s="1534">
        <f>INDEX('05基本'!K:K,MATCH(C39,'05基本'!C:C,0))+INDEX('05基本'!L:L,MATCH(C39,'05基本'!C:C,0))</f>
        <v>0</v>
      </c>
      <c r="I39" s="1534">
        <f>INDEX('05基本'!P:P,MATCH(C39,'05基本'!C:C,0))</f>
        <v>1130</v>
      </c>
      <c r="J39" s="1534">
        <f>INDEX('05基本'!M:M,MATCH(C39,'05基本'!C:C,0))</f>
        <v>0</v>
      </c>
      <c r="K39" s="1535">
        <f>INDEX('05月车间提成'!W:W,MATCH(C39,'05月车间提成'!C:C,0))</f>
        <v>7944.3826923076904</v>
      </c>
      <c r="L39" s="1533">
        <f>SUMIF(综合考核!A:A,'05月提成-机场售后'!C39,综合考核!M:M)</f>
        <v>0</v>
      </c>
      <c r="M39" s="1535">
        <f>SUM(K39:L39)</f>
        <v>7944.3826923076904</v>
      </c>
      <c r="N39" s="1535">
        <f>SUMIF(服装扣款!C:C,C39,服装扣款!N:N)</f>
        <v>0</v>
      </c>
      <c r="O39" s="1536">
        <f>M39-N39</f>
        <v>7944.3826923076904</v>
      </c>
      <c r="P39" s="1537">
        <f>SUMIF(西物公积金!C:C,C39,西物公积金!I:I)</f>
        <v>0</v>
      </c>
      <c r="Q39" s="1535">
        <f>SUMIF(综合考核!A:A,'05月提成-机场售后'!C39,综合考核!N:N)</f>
        <v>0</v>
      </c>
      <c r="R39" s="1535">
        <f>M39+I39+Q39</f>
        <v>9074.3826923076904</v>
      </c>
      <c r="S39" s="1535">
        <f>INDEX(AC:AC,MATCH(C39,AB:AB,0))</f>
        <v>104.41</v>
      </c>
      <c r="T39" s="1538"/>
      <c r="U39" s="1535">
        <f>S39-T39</f>
        <v>104.41</v>
      </c>
      <c r="V39" s="1535">
        <f>INDEX('05基本'!AF:AF,MATCH(C39,'05基本'!C:C,0))</f>
        <v>0</v>
      </c>
      <c r="W39" s="1535">
        <f>O39-P39-U39</f>
        <v>7839.9726923076896</v>
      </c>
      <c r="X39" s="1539"/>
      <c r="Y39" s="1540">
        <f>Z39</f>
        <v>671.81399999999996</v>
      </c>
      <c r="Z39" s="1541">
        <f>'05月车间提成'!D69*'05月车间提成'!G69*0.05</f>
        <v>671.81399999999996</v>
      </c>
      <c r="AA39" s="1542"/>
      <c r="AB39" s="1557" t="s">
        <v>240</v>
      </c>
      <c r="AC39" s="1543">
        <v>95.12</v>
      </c>
      <c r="AD39" s="1518">
        <f t="shared" si="22"/>
        <v>1</v>
      </c>
      <c r="AE39" s="1530"/>
      <c r="AF39" s="1529">
        <f>SUMIF('05月其他部门提成'!C:C,'05月提成-机场售后'!C39,'05月其他部门提成'!Q:Q)</f>
        <v>0</v>
      </c>
      <c r="AG39" s="1544">
        <f>SUMIF('05月车间提成'!C:C,'05月提成-机场售后'!C39,'05月车间提成'!W:W)</f>
        <v>7944.3826923076904</v>
      </c>
      <c r="AH39" s="1530">
        <f>SUMIF('05月业务提成'!B:B,'05月提成-机场售后'!C39,'05月业务提成'!BO:BO)</f>
        <v>0</v>
      </c>
      <c r="AI39" s="1530">
        <f>AF39+AG39+AH39</f>
        <v>7944.3826923076904</v>
      </c>
      <c r="AJ39" s="1530">
        <f>AI39-K39</f>
        <v>0</v>
      </c>
      <c r="AK39" s="1530"/>
    </row>
    <row r="40" spans="1:37" ht="14.1" customHeight="1">
      <c r="A40" s="1531">
        <f>A39+1</f>
        <v>27</v>
      </c>
      <c r="B40" s="1661"/>
      <c r="C40" s="1507" t="s">
        <v>227</v>
      </c>
      <c r="D40" s="1533">
        <f>INDEX('05基本'!I:I,MATCH(C40,'05基本'!C:C,0))+INDEX('05基本'!J:J,MATCH(C40,'05基本'!C:C,0))</f>
        <v>30</v>
      </c>
      <c r="E40" s="1534">
        <f>INDEX('05基本'!AA:AA,MATCH(C40,'05基本'!C:C,0))</f>
        <v>1268.5899999999999</v>
      </c>
      <c r="F40" s="1534">
        <f>INDEX('05基本'!AB:AB,MATCH(C40,'05基本'!C:C,0))</f>
        <v>477.15</v>
      </c>
      <c r="G40" s="1534">
        <f>INDEX('05基本'!AC:AC,MATCH(C40,'05基本'!C:C,0))</f>
        <v>117</v>
      </c>
      <c r="H40" s="1534">
        <f>INDEX('05基本'!K:K,MATCH(C40,'05基本'!C:C,0))+INDEX('05基本'!L:L,MATCH(C40,'05基本'!C:C,0))</f>
        <v>0</v>
      </c>
      <c r="I40" s="1534">
        <f>INDEX('05基本'!P:P,MATCH(C40,'05基本'!C:C,0))</f>
        <v>930</v>
      </c>
      <c r="J40" s="1534">
        <f>INDEX('05基本'!M:M,MATCH(C40,'05基本'!C:C,0))</f>
        <v>0</v>
      </c>
      <c r="K40" s="1535">
        <f>INDEX('05月车间提成'!W:W,MATCH(C40,'05月车间提成'!C:C,0))</f>
        <v>4164.8543076923097</v>
      </c>
      <c r="L40" s="1533">
        <f>SUMIF(综合考核!A:A,'05月提成-机场售后'!C40,综合考核!M:M)</f>
        <v>0</v>
      </c>
      <c r="M40" s="1535">
        <f>SUM(K40:L40)</f>
        <v>4164.8543076923097</v>
      </c>
      <c r="N40" s="1535">
        <f>SUMIF(服装扣款!C:C,C40,服装扣款!N:N)</f>
        <v>0</v>
      </c>
      <c r="O40" s="1536">
        <f>M40-N40</f>
        <v>4164.8543076923097</v>
      </c>
      <c r="P40" s="1537">
        <f>SUMIF(西物公积金!C:C,C40,西物公积金!I:I)</f>
        <v>0</v>
      </c>
      <c r="Q40" s="1535">
        <f>SUMIF(综合考核!A:A,'05月提成-机场售后'!C40,综合考核!N:N)</f>
        <v>0</v>
      </c>
      <c r="R40" s="1535">
        <f>M40+I40+Q40</f>
        <v>5094.8543076923097</v>
      </c>
      <c r="S40" s="1535">
        <f>INDEX(AC:AC,MATCH(C40,AB:AB,0))</f>
        <v>0</v>
      </c>
      <c r="T40" s="1538"/>
      <c r="U40" s="1535">
        <f>S40-T40</f>
        <v>0</v>
      </c>
      <c r="V40" s="1535">
        <f>INDEX('05基本'!AF:AF,MATCH(C40,'05基本'!C:C,0))</f>
        <v>0</v>
      </c>
      <c r="W40" s="1535">
        <f>O40-P40-U40</f>
        <v>4164.8543076923097</v>
      </c>
      <c r="X40" s="1539"/>
      <c r="Y40" s="1540">
        <f>Z40</f>
        <v>0</v>
      </c>
      <c r="Z40" s="1541">
        <f>'05月车间提成'!D70*'05月车间提成'!G70*0.05</f>
        <v>0</v>
      </c>
      <c r="AA40" s="1542"/>
      <c r="AB40" s="1557"/>
      <c r="AC40" s="1543"/>
      <c r="AD40" s="1518">
        <f t="shared" si="22"/>
        <v>1</v>
      </c>
      <c r="AE40" s="1530"/>
      <c r="AF40" s="1529">
        <f>SUMIF('05月其他部门提成'!C:C,'05月提成-机场售后'!C40,'05月其他部门提成'!Q:Q)</f>
        <v>0</v>
      </c>
      <c r="AG40" s="1544">
        <f>SUMIF('05月车间提成'!C:C,'05月提成-机场售后'!C40,'05月车间提成'!W:W)</f>
        <v>4164.8543076923097</v>
      </c>
      <c r="AH40" s="1530">
        <f>SUMIF('05月业务提成'!B:B,'05月提成-机场售后'!C40,'05月业务提成'!BO:BO)</f>
        <v>0</v>
      </c>
      <c r="AI40" s="1530">
        <f>AF40+AG40+AH40</f>
        <v>4164.8543076923097</v>
      </c>
      <c r="AJ40" s="1530">
        <f>AI40-K40</f>
        <v>0</v>
      </c>
      <c r="AK40" s="1530"/>
    </row>
    <row r="41" spans="1:37" ht="14.1" customHeight="1">
      <c r="A41" s="1561"/>
      <c r="B41" s="1694" t="s">
        <v>241</v>
      </c>
      <c r="C41" s="1571" t="s">
        <v>242</v>
      </c>
      <c r="D41" s="1554">
        <f t="shared" ref="D41:G41" si="25">SUM(D39:D40)</f>
        <v>60</v>
      </c>
      <c r="E41" s="1554">
        <f t="shared" si="25"/>
        <v>2537.1799999999998</v>
      </c>
      <c r="F41" s="1554">
        <f t="shared" si="25"/>
        <v>954.3</v>
      </c>
      <c r="G41" s="1554">
        <f t="shared" si="25"/>
        <v>234</v>
      </c>
      <c r="H41" s="1554">
        <f t="shared" ref="H41:AA41" si="26">SUM(H39:H40)</f>
        <v>0</v>
      </c>
      <c r="I41" s="1554">
        <f t="shared" si="26"/>
        <v>2060</v>
      </c>
      <c r="J41" s="1554">
        <f t="shared" si="26"/>
        <v>0</v>
      </c>
      <c r="K41" s="1554">
        <f t="shared" si="26"/>
        <v>12109.236999999999</v>
      </c>
      <c r="L41" s="1554">
        <f t="shared" si="26"/>
        <v>0</v>
      </c>
      <c r="M41" s="1554">
        <f t="shared" si="26"/>
        <v>12109.236999999999</v>
      </c>
      <c r="N41" s="1554">
        <f t="shared" si="26"/>
        <v>0</v>
      </c>
      <c r="O41" s="1554">
        <f t="shared" si="26"/>
        <v>12109.236999999999</v>
      </c>
      <c r="P41" s="1554">
        <f t="shared" si="26"/>
        <v>0</v>
      </c>
      <c r="Q41" s="1554">
        <f t="shared" si="26"/>
        <v>0</v>
      </c>
      <c r="R41" s="1554">
        <f t="shared" si="26"/>
        <v>14169.236999999999</v>
      </c>
      <c r="S41" s="1554">
        <f t="shared" si="26"/>
        <v>104.41</v>
      </c>
      <c r="T41" s="1554">
        <f t="shared" si="26"/>
        <v>0</v>
      </c>
      <c r="U41" s="1554">
        <f t="shared" si="26"/>
        <v>104.41</v>
      </c>
      <c r="V41" s="1554">
        <f t="shared" si="26"/>
        <v>0</v>
      </c>
      <c r="W41" s="1554">
        <f t="shared" si="26"/>
        <v>12004.826999999999</v>
      </c>
      <c r="X41" s="1554">
        <f t="shared" si="26"/>
        <v>0</v>
      </c>
      <c r="Y41" s="1554">
        <f t="shared" si="26"/>
        <v>671.81399999999996</v>
      </c>
      <c r="Z41" s="1554">
        <f t="shared" si="26"/>
        <v>671.81399999999996</v>
      </c>
      <c r="AA41" s="1554">
        <f t="shared" si="26"/>
        <v>0</v>
      </c>
      <c r="AC41" s="1543"/>
      <c r="AD41" s="1529"/>
      <c r="AE41" s="1530"/>
      <c r="AF41" s="1529"/>
      <c r="AG41" s="1544"/>
      <c r="AH41" s="1530"/>
      <c r="AI41" s="1530"/>
      <c r="AJ41" s="1530"/>
      <c r="AK41" s="1530"/>
    </row>
    <row r="42" spans="1:37" ht="15" customHeight="1">
      <c r="A42" s="1531">
        <f>$A$40+1</f>
        <v>28</v>
      </c>
      <c r="B42" s="1694"/>
      <c r="C42" s="1507" t="s">
        <v>228</v>
      </c>
      <c r="D42" s="1533">
        <f>INDEX('05基本'!I:I,MATCH(C42,'05基本'!C:C,0))+INDEX('05基本'!J:J,MATCH(C42,'05基本'!C:C,0))</f>
        <v>90</v>
      </c>
      <c r="E42" s="1534">
        <f>INDEX('05基本'!AA:AA,MATCH(C42,'05基本'!C:C,0))</f>
        <v>1268.5899999999999</v>
      </c>
      <c r="F42" s="1534">
        <f>INDEX('05基本'!AB:AB,MATCH(C42,'05基本'!C:C,0))</f>
        <v>477.15</v>
      </c>
      <c r="G42" s="1534">
        <f>INDEX('05基本'!AC:AC,MATCH(C42,'05基本'!C:C,0))</f>
        <v>117</v>
      </c>
      <c r="H42" s="1534">
        <f>INDEX('05基本'!K:K,MATCH(C42,'05基本'!C:C,0))+INDEX('05基本'!L:L,MATCH(C42,'05基本'!C:C,0))</f>
        <v>0</v>
      </c>
      <c r="I42" s="1534">
        <f>INDEX('05基本'!P:P,MATCH(C42,'05基本'!C:C,0))</f>
        <v>1140</v>
      </c>
      <c r="J42" s="1534">
        <f>INDEX('05基本'!M:M,MATCH(C42,'05基本'!C:C,0))</f>
        <v>0</v>
      </c>
      <c r="K42" s="1535">
        <f>INDEX('05月车间提成'!W:W,MATCH(C42,'05月车间提成'!C:C,0))</f>
        <v>10181.36953125</v>
      </c>
      <c r="L42" s="1533">
        <f>SUMIF(综合考核!A:A,'05月提成-机场售后'!C42,综合考核!M:M)</f>
        <v>0</v>
      </c>
      <c r="M42" s="1535">
        <f>SUM(K42:L42)</f>
        <v>10181.36953125</v>
      </c>
      <c r="N42" s="1535">
        <f>SUMIF(服装扣款!C:C,C42,服装扣款!N:N)</f>
        <v>0</v>
      </c>
      <c r="O42" s="1536">
        <f>M42-N42</f>
        <v>10181.36953125</v>
      </c>
      <c r="P42" s="1537">
        <f>SUMIF(西物公积金!C:C,C42,西物公积金!I:I)</f>
        <v>0</v>
      </c>
      <c r="Q42" s="1535">
        <f>SUMIF(综合考核!A:A,'05月提成-机场售后'!C42,综合考核!N:N)</f>
        <v>0</v>
      </c>
      <c r="R42" s="1535">
        <f>M42+I42+Q42</f>
        <v>11321.36953125</v>
      </c>
      <c r="S42" s="1535">
        <f>INDEX(AC:AC,MATCH(C42,AB:AB,0))</f>
        <v>171.82</v>
      </c>
      <c r="T42" s="1538"/>
      <c r="U42" s="1535">
        <f>S42-T42</f>
        <v>171.82</v>
      </c>
      <c r="V42" s="1535">
        <f>INDEX('05基本'!AF:AF,MATCH(C42,'05基本'!C:C,0))</f>
        <v>0</v>
      </c>
      <c r="W42" s="1535">
        <f>O42-P42-U42</f>
        <v>10009.549531250001</v>
      </c>
      <c r="X42" s="1539"/>
      <c r="Y42" s="1540">
        <f>Z42</f>
        <v>0</v>
      </c>
      <c r="Z42" s="1541">
        <f>'05月车间提成'!D72*'05月车间提成'!G72*0.05</f>
        <v>0</v>
      </c>
      <c r="AA42" s="1542"/>
      <c r="AB42" s="1557"/>
      <c r="AC42" s="1543"/>
      <c r="AD42" s="1518">
        <f>COUNTIF(C:C,C42)</f>
        <v>1</v>
      </c>
      <c r="AE42" s="1530"/>
      <c r="AF42" s="1529">
        <f>SUMIF('05月其他部门提成'!C:C,'05月提成-机场售后'!C42,'05月其他部门提成'!Q:Q)</f>
        <v>0</v>
      </c>
      <c r="AG42" s="1544">
        <f>SUMIF('05月车间提成'!C:C,'05月提成-机场售后'!C42,'05月车间提成'!W:W)</f>
        <v>10181.36953125</v>
      </c>
      <c r="AH42" s="1530">
        <f>SUMIF('05月业务提成'!B:B,'05月提成-机场售后'!C42,'05月业务提成'!BO:BO)</f>
        <v>0</v>
      </c>
      <c r="AI42" s="1530">
        <f>AF42+AG42+AH42</f>
        <v>10181.36953125</v>
      </c>
      <c r="AJ42" s="1530">
        <f>AI42-K42</f>
        <v>0</v>
      </c>
      <c r="AK42" s="1530"/>
    </row>
    <row r="43" spans="1:37" ht="15.9" customHeight="1">
      <c r="A43" s="1531">
        <v>29</v>
      </c>
      <c r="B43" s="1694"/>
      <c r="C43" s="1507" t="s">
        <v>230</v>
      </c>
      <c r="D43" s="1533">
        <f>INDEX('05基本'!I:I,MATCH(C43,'05基本'!C:C,0))+INDEX('05基本'!J:J,MATCH(C43,'05基本'!C:C,0))</f>
        <v>60</v>
      </c>
      <c r="E43" s="1534">
        <f>INDEX('05基本'!AA:AA,MATCH(C43,'05基本'!C:C,0))</f>
        <v>1268.5899999999999</v>
      </c>
      <c r="F43" s="1534">
        <f>INDEX('05基本'!AB:AB,MATCH(C43,'05基本'!C:C,0))</f>
        <v>477.15</v>
      </c>
      <c r="G43" s="1534">
        <f>INDEX('05基本'!AC:AC,MATCH(C43,'05基本'!C:C,0))</f>
        <v>117</v>
      </c>
      <c r="H43" s="1534">
        <f>INDEX('05基本'!K:K,MATCH(C43,'05基本'!C:C,0))+INDEX('05基本'!L:L,MATCH(C43,'05基本'!C:C,0))</f>
        <v>0</v>
      </c>
      <c r="I43" s="1534">
        <f>INDEX('05基本'!P:P,MATCH(C43,'05基本'!C:C,0))</f>
        <v>960</v>
      </c>
      <c r="J43" s="1534">
        <f>INDEX('05基本'!M:M,MATCH(C43,'05基本'!C:C,0))</f>
        <v>0</v>
      </c>
      <c r="K43" s="1535">
        <f>INDEX('05月车间提成'!W:W,MATCH(C43,'05月车间提成'!C:C,0))</f>
        <v>6400.3901953124996</v>
      </c>
      <c r="L43" s="1533">
        <f>SUMIF(综合考核!A:A,'05月提成-机场售后'!C43,综合考核!M:M)</f>
        <v>0</v>
      </c>
      <c r="M43" s="1535">
        <f>SUM(K43:L43)</f>
        <v>6400.3901953124996</v>
      </c>
      <c r="N43" s="1535">
        <f>SUMIF(服装扣款!C:C,C43,服装扣款!N:N)</f>
        <v>0</v>
      </c>
      <c r="O43" s="1536">
        <f>M43-N43</f>
        <v>6400.3901953124996</v>
      </c>
      <c r="P43" s="1537">
        <f>SUMIF(西物公积金!C:C,C43,西物公积金!I:I)</f>
        <v>0</v>
      </c>
      <c r="Q43" s="1535">
        <f>SUMIF(综合考核!A:A,'05月提成-机场售后'!C43,综合考核!N:N)</f>
        <v>0</v>
      </c>
      <c r="R43" s="1535">
        <f>M43+I43+Q43</f>
        <v>7360.3901953124996</v>
      </c>
      <c r="S43" s="1535">
        <f>INDEX(AC:AC,MATCH(C43,AB:AB,0))</f>
        <v>52.99</v>
      </c>
      <c r="T43" s="1538"/>
      <c r="U43" s="1535">
        <f>S43-T43</f>
        <v>52.99</v>
      </c>
      <c r="V43" s="1535">
        <f>INDEX('05基本'!AF:AF,MATCH(C43,'05基本'!C:C,0))</f>
        <v>0</v>
      </c>
      <c r="W43" s="1535">
        <f>O43-P43-U43</f>
        <v>6347.4001953124998</v>
      </c>
      <c r="X43" s="1539"/>
      <c r="Y43" s="1540">
        <f>Z43</f>
        <v>0</v>
      </c>
      <c r="Z43" s="1541">
        <f>'05月车间提成'!D72*'05月车间提成'!G72*0.05</f>
        <v>0</v>
      </c>
      <c r="AA43" s="1542"/>
      <c r="AB43" s="1557"/>
      <c r="AC43" s="1543"/>
      <c r="AD43" s="1518">
        <f>COUNTIF(C:C,C43)</f>
        <v>1</v>
      </c>
      <c r="AE43" s="1530"/>
      <c r="AF43" s="1529">
        <f>SUMIF('05月其他部门提成'!C:C,'05月提成-机场售后'!C43,'05月其他部门提成'!Q:Q)</f>
        <v>0</v>
      </c>
      <c r="AG43" s="1544">
        <f>SUMIF('05月车间提成'!C:C,'05月提成-机场售后'!C43,'05月车间提成'!W:W)</f>
        <v>6400.3901953124996</v>
      </c>
      <c r="AH43" s="1530">
        <f>SUMIF('05月业务提成'!B:B,'05月提成-机场售后'!C43,'05月业务提成'!BO:BO)</f>
        <v>0</v>
      </c>
      <c r="AI43" s="1530">
        <f>AF43+AG43+AH43</f>
        <v>6400.3901953124996</v>
      </c>
      <c r="AJ43" s="1530">
        <f>AI43-K43</f>
        <v>0</v>
      </c>
      <c r="AK43" s="1530"/>
    </row>
    <row r="44" spans="1:37" ht="12.9" customHeight="1">
      <c r="A44" s="1531">
        <v>30</v>
      </c>
      <c r="B44" s="1694"/>
      <c r="C44" s="1507" t="s">
        <v>231</v>
      </c>
      <c r="D44" s="1533">
        <f>INDEX('05基本'!I:I,MATCH(C44,'05基本'!C:C,0))+INDEX('05基本'!J:J,MATCH(C44,'05基本'!C:C,0))</f>
        <v>100</v>
      </c>
      <c r="E44" s="1534">
        <f>INDEX('05基本'!AA:AA,MATCH(C44,'05基本'!C:C,0))</f>
        <v>1268.5899999999999</v>
      </c>
      <c r="F44" s="1534">
        <f>INDEX('05基本'!AB:AB,MATCH(C44,'05基本'!C:C,0))</f>
        <v>477.15</v>
      </c>
      <c r="G44" s="1534">
        <f>INDEX('05基本'!AC:AC,MATCH(C44,'05基本'!C:C,0))</f>
        <v>117</v>
      </c>
      <c r="H44" s="1534">
        <f>INDEX('05基本'!K:K,MATCH(C44,'05基本'!C:C,0))+INDEX('05基本'!L:L,MATCH(C44,'05基本'!C:C,0))</f>
        <v>0</v>
      </c>
      <c r="I44" s="1534">
        <f>INDEX('05基本'!P:P,MATCH(C44,'05基本'!C:C,0))</f>
        <v>1000</v>
      </c>
      <c r="J44" s="1534">
        <f>INDEX('05基本'!M:M,MATCH(C44,'05基本'!C:C,0))</f>
        <v>0</v>
      </c>
      <c r="K44" s="1535">
        <f>INDEX('05月车间提成'!W:W,MATCH(C44,'05月车间提成'!C:C,0))</f>
        <v>9320.5462734374996</v>
      </c>
      <c r="L44" s="1533">
        <f>SUMIF(综合考核!A:A,'05月提成-机场售后'!C44,综合考核!M:M)</f>
        <v>0</v>
      </c>
      <c r="M44" s="1535">
        <f>SUM(K44:L44)</f>
        <v>9320.5462734374996</v>
      </c>
      <c r="N44" s="1535">
        <f>SUMIF(服装扣款!C:C,C44,服装扣款!N:N)</f>
        <v>0</v>
      </c>
      <c r="O44" s="1536">
        <f>M44-N44</f>
        <v>9320.5462734374996</v>
      </c>
      <c r="P44" s="1537">
        <f>SUMIF(西物公积金!C:C,C44,西物公积金!I:I)</f>
        <v>0</v>
      </c>
      <c r="Q44" s="1535">
        <f>SUMIF(综合考核!A:A,'05月提成-机场售后'!C44,综合考核!N:N)</f>
        <v>0</v>
      </c>
      <c r="R44" s="1535">
        <f>M44+I44+Q44</f>
        <v>10320.5462734375</v>
      </c>
      <c r="S44" s="1535">
        <f>INDEX(AC:AC,MATCH(C44,AB:AB,0))</f>
        <v>141.80000000000001</v>
      </c>
      <c r="T44" s="1538"/>
      <c r="U44" s="1535">
        <f>S44-T44</f>
        <v>141.80000000000001</v>
      </c>
      <c r="V44" s="1535">
        <f>INDEX('05基本'!AF:AF,MATCH(C44,'05基本'!C:C,0))</f>
        <v>0</v>
      </c>
      <c r="W44" s="1535">
        <f>O44-P44-U44</f>
        <v>9178.7462734375003</v>
      </c>
      <c r="X44" s="1539"/>
      <c r="Y44" s="1540">
        <f>Z44</f>
        <v>990.46600000000001</v>
      </c>
      <c r="Z44" s="1541">
        <f>'05月车间提成'!D73*'05月车间提成'!G73*0.05</f>
        <v>990.46600000000001</v>
      </c>
      <c r="AA44" s="1542"/>
      <c r="AB44" s="1557"/>
      <c r="AC44" s="1543"/>
      <c r="AD44" s="1518">
        <f>COUNTIF(C:C,C44)</f>
        <v>1</v>
      </c>
      <c r="AE44" s="1530"/>
      <c r="AF44" s="1529">
        <f>SUMIF('05月其他部门提成'!C:C,'05月提成-机场售后'!C44,'05月其他部门提成'!Q:Q)</f>
        <v>0</v>
      </c>
      <c r="AG44" s="1544">
        <f>SUMIF('05月车间提成'!C:C,'05月提成-机场售后'!C44,'05月车间提成'!W:W)</f>
        <v>9320.5462734374996</v>
      </c>
      <c r="AH44" s="1530">
        <f>SUMIF('05月业务提成'!B:B,'05月提成-机场售后'!C44,'05月业务提成'!BO:BO)</f>
        <v>0</v>
      </c>
      <c r="AI44" s="1530">
        <f>AF44+AG44+AH44</f>
        <v>9320.5462734374996</v>
      </c>
      <c r="AJ44" s="1530">
        <f>AI44-K44</f>
        <v>0</v>
      </c>
      <c r="AK44" s="1530"/>
    </row>
    <row r="45" spans="1:37" ht="14.1" customHeight="1">
      <c r="A45" s="1561"/>
      <c r="B45" s="1694"/>
      <c r="C45" s="1571" t="s">
        <v>241</v>
      </c>
      <c r="D45" s="1554">
        <f t="shared" ref="D45:G45" si="27">SUM(D42:D44)</f>
        <v>250</v>
      </c>
      <c r="E45" s="1554">
        <f t="shared" si="27"/>
        <v>3805.77</v>
      </c>
      <c r="F45" s="1554">
        <f t="shared" si="27"/>
        <v>1431.45</v>
      </c>
      <c r="G45" s="1554">
        <f t="shared" si="27"/>
        <v>351</v>
      </c>
      <c r="H45" s="1554">
        <f t="shared" ref="H45:AA45" si="28">SUM(H42:H44)</f>
        <v>0</v>
      </c>
      <c r="I45" s="1554">
        <f t="shared" si="28"/>
        <v>3100</v>
      </c>
      <c r="J45" s="1554">
        <f t="shared" si="28"/>
        <v>0</v>
      </c>
      <c r="K45" s="1554">
        <f t="shared" si="28"/>
        <v>25902.306</v>
      </c>
      <c r="L45" s="1554">
        <f t="shared" si="28"/>
        <v>0</v>
      </c>
      <c r="M45" s="1554">
        <f t="shared" si="28"/>
        <v>25902.306</v>
      </c>
      <c r="N45" s="1554">
        <f t="shared" si="28"/>
        <v>0</v>
      </c>
      <c r="O45" s="1555">
        <f t="shared" si="28"/>
        <v>25902.306</v>
      </c>
      <c r="P45" s="1556">
        <f t="shared" si="28"/>
        <v>0</v>
      </c>
      <c r="Q45" s="1554">
        <f t="shared" si="28"/>
        <v>0</v>
      </c>
      <c r="R45" s="1554">
        <f t="shared" si="28"/>
        <v>29002.306</v>
      </c>
      <c r="S45" s="1554">
        <f t="shared" si="28"/>
        <v>366.61</v>
      </c>
      <c r="T45" s="1554">
        <f t="shared" si="28"/>
        <v>0</v>
      </c>
      <c r="U45" s="1554">
        <f t="shared" si="28"/>
        <v>366.61</v>
      </c>
      <c r="V45" s="1554">
        <f t="shared" si="28"/>
        <v>0</v>
      </c>
      <c r="W45" s="1554">
        <f t="shared" si="28"/>
        <v>25535.696</v>
      </c>
      <c r="X45" s="1554">
        <f t="shared" si="28"/>
        <v>0</v>
      </c>
      <c r="Y45" s="1554">
        <f t="shared" si="28"/>
        <v>990.46600000000001</v>
      </c>
      <c r="Z45" s="1554">
        <f t="shared" si="28"/>
        <v>990.46600000000001</v>
      </c>
      <c r="AA45" s="1554">
        <f t="shared" si="28"/>
        <v>0</v>
      </c>
      <c r="AB45" s="1557"/>
      <c r="AC45" s="1543"/>
      <c r="AD45" s="1529"/>
      <c r="AE45" s="1530"/>
      <c r="AF45" s="1529"/>
      <c r="AG45" s="1544"/>
      <c r="AH45" s="1530"/>
      <c r="AI45" s="1530"/>
      <c r="AJ45" s="1530"/>
      <c r="AK45" s="1530"/>
    </row>
    <row r="46" spans="1:37" ht="14.1" customHeight="1">
      <c r="A46" s="1531">
        <f>$A$44+1</f>
        <v>31</v>
      </c>
      <c r="B46" s="1696" t="s">
        <v>243</v>
      </c>
      <c r="C46" s="1507" t="s">
        <v>233</v>
      </c>
      <c r="D46" s="1533">
        <f>INDEX('05基本'!I:I,MATCH(C46,'05基本'!C:C,0))+INDEX('05基本'!J:J,MATCH(C46,'05基本'!C:C,0))</f>
        <v>0</v>
      </c>
      <c r="E46" s="1534">
        <f>INDEX('05基本'!AA:AA,MATCH(C46,'05基本'!C:C,0))</f>
        <v>1268.5899999999999</v>
      </c>
      <c r="F46" s="1534">
        <f>INDEX('05基本'!AB:AB,MATCH(C46,'05基本'!C:C,0))</f>
        <v>477.15</v>
      </c>
      <c r="G46" s="1534">
        <f>INDEX('05基本'!AC:AC,MATCH(C46,'05基本'!C:C,0))</f>
        <v>117</v>
      </c>
      <c r="H46" s="1534">
        <f>INDEX('05基本'!K:K,MATCH(C46,'05基本'!C:C,0))+INDEX('05基本'!L:L,MATCH(C46,'05基本'!C:C,0))</f>
        <v>0</v>
      </c>
      <c r="I46" s="1534">
        <f>INDEX('05基本'!P:P,MATCH(C46,'05基本'!C:C,0))</f>
        <v>1500</v>
      </c>
      <c r="J46" s="1534">
        <f>INDEX('05基本'!M:M,MATCH(C46,'05基本'!C:C,0))</f>
        <v>0</v>
      </c>
      <c r="K46" s="1535">
        <f>SUMIF(钣喷中心!C:C,C46,钣喷中心!N:N)</f>
        <v>7572.39</v>
      </c>
      <c r="L46" s="1533">
        <f>SUMIF(综合考核!A:A,'05月提成-机场售后'!C46,综合考核!M:M)</f>
        <v>0</v>
      </c>
      <c r="M46" s="1535">
        <f>SUM(K46:L46)</f>
        <v>7572.39</v>
      </c>
      <c r="N46" s="1535">
        <f>SUMIF(服装扣款!C:C,C46,服装扣款!N:N)</f>
        <v>0</v>
      </c>
      <c r="O46" s="1536">
        <f>M46-N46</f>
        <v>7572.39</v>
      </c>
      <c r="P46" s="1537">
        <f>SUMIF(西物公积金!C:C,C46,西物公积金!I:I)</f>
        <v>0</v>
      </c>
      <c r="Q46" s="1535">
        <f>SUMIF(综合考核!A:A,'05月提成-机场售后'!C46,综合考核!N:N)</f>
        <v>0</v>
      </c>
      <c r="R46" s="1535">
        <f>M46+I46+Q46</f>
        <v>9072.39</v>
      </c>
      <c r="S46" s="1535">
        <f>INDEX(AC:AC,MATCH(C46,AB:AB,0))</f>
        <v>104.34</v>
      </c>
      <c r="T46" s="1538"/>
      <c r="U46" s="1535">
        <f>S46-T46</f>
        <v>104.34</v>
      </c>
      <c r="V46" s="1535">
        <f>INDEX('05基本'!AF:AF,MATCH(C46,'05基本'!C:C,0))</f>
        <v>0</v>
      </c>
      <c r="W46" s="1535">
        <f>O46-P46-U46</f>
        <v>7468.05</v>
      </c>
      <c r="X46" s="1539"/>
      <c r="Y46" s="1540">
        <f>Z46</f>
        <v>83.34</v>
      </c>
      <c r="Z46" s="1541">
        <v>83.34</v>
      </c>
      <c r="AA46" s="1542"/>
      <c r="AB46" s="1557"/>
      <c r="AC46" s="1543"/>
      <c r="AD46" s="1518">
        <f t="shared" ref="AD46:AD51" si="29">COUNTIF(C:C,C46)</f>
        <v>1</v>
      </c>
      <c r="AE46" s="1530"/>
      <c r="AF46" s="1529">
        <f>SUMIF('05月其他部门提成'!C:C,'05月提成-机场售后'!C46,'05月其他部门提成'!Q:Q)</f>
        <v>0</v>
      </c>
      <c r="AG46" s="1544">
        <f>SUMIF('05月车间提成'!C:C,'05月提成-机场售后'!C46,'05月车间提成'!W:W)</f>
        <v>0</v>
      </c>
      <c r="AH46" s="1530">
        <f>SUMIF('05月业务提成'!B:B,'05月提成-机场售后'!C46,'05月业务提成'!BO:BO)</f>
        <v>0</v>
      </c>
      <c r="AI46" s="1530">
        <f>AF46+AG46+AH46</f>
        <v>0</v>
      </c>
      <c r="AJ46" s="1530">
        <f>AI46-K46</f>
        <v>-7572.39</v>
      </c>
      <c r="AK46" s="1530"/>
    </row>
    <row r="47" spans="1:37" ht="14.1" customHeight="1">
      <c r="A47" s="1531">
        <f>A46+1</f>
        <v>32</v>
      </c>
      <c r="B47" s="1694"/>
      <c r="C47" s="1507" t="s">
        <v>235</v>
      </c>
      <c r="D47" s="1533">
        <f>INDEX('05基本'!I:I,MATCH(C47,'05基本'!C:C,0))+INDEX('05基本'!J:J,MATCH(C47,'05基本'!C:C,0))</f>
        <v>0</v>
      </c>
      <c r="E47" s="1534">
        <f>INDEX('05基本'!AA:AA,MATCH(C47,'05基本'!C:C,0))</f>
        <v>1268.5899999999999</v>
      </c>
      <c r="F47" s="1534">
        <f>INDEX('05基本'!AB:AB,MATCH(C47,'05基本'!C:C,0))</f>
        <v>477.15</v>
      </c>
      <c r="G47" s="1534">
        <f>INDEX('05基本'!AC:AC,MATCH(C47,'05基本'!C:C,0))</f>
        <v>117</v>
      </c>
      <c r="H47" s="1534">
        <f>INDEX('05基本'!K:K,MATCH(C47,'05基本'!C:C,0))+INDEX('05基本'!L:L,MATCH(C47,'05基本'!C:C,0))</f>
        <v>0</v>
      </c>
      <c r="I47" s="1534">
        <f>INDEX('05基本'!P:P,MATCH(C47,'05基本'!C:C,0))</f>
        <v>1500</v>
      </c>
      <c r="J47" s="1534">
        <f>INDEX('05基本'!M:M,MATCH(C47,'05基本'!C:C,0))</f>
        <v>0</v>
      </c>
      <c r="K47" s="1535">
        <f>SUMIF(钣喷中心!C:C,C47,钣喷中心!N:N)</f>
        <v>7866</v>
      </c>
      <c r="L47" s="1533">
        <f>SUMIF(综合考核!A:A,'05月提成-机场售后'!C47,综合考核!M:M)</f>
        <v>0</v>
      </c>
      <c r="M47" s="1535">
        <f>SUM(K47:L47)</f>
        <v>7866</v>
      </c>
      <c r="N47" s="1535">
        <f>SUMIF(服装扣款!C:C,C47,服装扣款!N:N)</f>
        <v>0</v>
      </c>
      <c r="O47" s="1536">
        <f>M47-N47</f>
        <v>7866</v>
      </c>
      <c r="P47" s="1537">
        <f>SUMIF(西物公积金!C:C,C47,西物公积金!I:I)</f>
        <v>0</v>
      </c>
      <c r="Q47" s="1535">
        <f>SUMIF(综合考核!A:A,'05月提成-机场售后'!C47,综合考核!N:N)</f>
        <v>0</v>
      </c>
      <c r="R47" s="1535">
        <f>M47+I47+Q47</f>
        <v>9366</v>
      </c>
      <c r="S47" s="1535">
        <f>INDEX(AC:AC,MATCH(C47,AB:AB,0))</f>
        <v>53.15</v>
      </c>
      <c r="T47" s="1538"/>
      <c r="U47" s="1535">
        <f>S47-T47</f>
        <v>53.15</v>
      </c>
      <c r="V47" s="1535">
        <f>INDEX('05基本'!AF:AF,MATCH(C47,'05基本'!C:C,0))</f>
        <v>0</v>
      </c>
      <c r="W47" s="1535">
        <f>O47-P47-U47</f>
        <v>7812.85</v>
      </c>
      <c r="X47" s="1539"/>
      <c r="Y47" s="1540">
        <f>Z47</f>
        <v>83.34</v>
      </c>
      <c r="Z47" s="1541">
        <v>83.34</v>
      </c>
      <c r="AA47" s="1542"/>
      <c r="AB47" s="1557"/>
      <c r="AC47" s="1543"/>
      <c r="AD47" s="1518">
        <f t="shared" si="29"/>
        <v>1</v>
      </c>
      <c r="AE47" s="1530"/>
      <c r="AF47" s="1529">
        <f>SUMIF('05月其他部门提成'!C:C,'05月提成-机场售后'!C47,'05月其他部门提成'!Q:Q)</f>
        <v>0</v>
      </c>
      <c r="AG47" s="1544">
        <f>SUMIF('05月车间提成'!C:C,'05月提成-机场售后'!C47,'05月车间提成'!W:W)</f>
        <v>0</v>
      </c>
      <c r="AH47" s="1530">
        <f>SUMIF('05月业务提成'!B:B,'05月提成-机场售后'!C47,'05月业务提成'!BO:BO)</f>
        <v>0</v>
      </c>
      <c r="AI47" s="1530">
        <f>AF47+AG47+AH47</f>
        <v>0</v>
      </c>
      <c r="AJ47" s="1530">
        <f>AI47-K47</f>
        <v>-7866</v>
      </c>
      <c r="AK47" s="1530"/>
    </row>
    <row r="48" spans="1:37" ht="14.1" customHeight="1">
      <c r="A48" s="1531">
        <f>A47+1</f>
        <v>33</v>
      </c>
      <c r="B48" s="1694"/>
      <c r="C48" s="1507" t="s">
        <v>236</v>
      </c>
      <c r="D48" s="1533">
        <f>INDEX('05基本'!I:I,MATCH(C48,'05基本'!C:C,0))+INDEX('05基本'!J:J,MATCH(C48,'05基本'!C:C,0))</f>
        <v>0</v>
      </c>
      <c r="E48" s="1534">
        <f>INDEX('05基本'!AA:AA,MATCH(C48,'05基本'!C:C,0))</f>
        <v>1268.5899999999999</v>
      </c>
      <c r="F48" s="1534">
        <f>INDEX('05基本'!AB:AB,MATCH(C48,'05基本'!C:C,0))</f>
        <v>477.15</v>
      </c>
      <c r="G48" s="1534">
        <f>INDEX('05基本'!AC:AC,MATCH(C48,'05基本'!C:C,0))</f>
        <v>117</v>
      </c>
      <c r="H48" s="1534">
        <f>INDEX('05基本'!K:K,MATCH(C48,'05基本'!C:C,0))+INDEX('05基本'!L:L,MATCH(C48,'05基本'!C:C,0))</f>
        <v>0</v>
      </c>
      <c r="I48" s="1534">
        <f>INDEX('05基本'!P:P,MATCH(C48,'05基本'!C:C,0))</f>
        <v>1500</v>
      </c>
      <c r="J48" s="1534">
        <f>INDEX('05基本'!M:M,MATCH(C48,'05基本'!C:C,0))</f>
        <v>0</v>
      </c>
      <c r="K48" s="1535">
        <f>SUMIF(钣喷中心!C:C,C48,钣喷中心!N:N)</f>
        <v>7573.39</v>
      </c>
      <c r="L48" s="1533">
        <f>SUMIF(综合考核!A:A,'05月提成-机场售后'!C48,综合考核!M:M)</f>
        <v>0</v>
      </c>
      <c r="M48" s="1535">
        <f>SUM(K48:L48)</f>
        <v>7573.39</v>
      </c>
      <c r="N48" s="1535">
        <f>SUMIF(服装扣款!C:C,C48,服装扣款!N:N)</f>
        <v>0</v>
      </c>
      <c r="O48" s="1536">
        <f>M48-N48</f>
        <v>7573.39</v>
      </c>
      <c r="P48" s="1537">
        <f>SUMIF(西物公积金!C:C,C48,西物公积金!I:I)</f>
        <v>0</v>
      </c>
      <c r="Q48" s="1535">
        <f>SUMIF(综合考核!A:A,'05月提成-机场售后'!C48,综合考核!N:N)</f>
        <v>0</v>
      </c>
      <c r="R48" s="1535">
        <f>M48+I48+Q48</f>
        <v>9073.39</v>
      </c>
      <c r="S48" s="1535">
        <f>INDEX(AC:AC,MATCH(C48,AB:AB,0))</f>
        <v>104.37</v>
      </c>
      <c r="T48" s="1538"/>
      <c r="U48" s="1535">
        <f>S48-T48</f>
        <v>104.37</v>
      </c>
      <c r="V48" s="1535">
        <f>INDEX('05基本'!AF:AF,MATCH(C48,'05基本'!C:C,0))</f>
        <v>0</v>
      </c>
      <c r="W48" s="1535">
        <f>O48-P48-U48</f>
        <v>7469.02</v>
      </c>
      <c r="X48" s="1539"/>
      <c r="Y48" s="1540">
        <f>Z48</f>
        <v>83.34</v>
      </c>
      <c r="Z48" s="1541">
        <v>83.34</v>
      </c>
      <c r="AA48" s="1542"/>
      <c r="AB48" s="1557"/>
      <c r="AC48" s="1543"/>
      <c r="AD48" s="1518">
        <f t="shared" si="29"/>
        <v>1</v>
      </c>
      <c r="AE48" s="1530"/>
      <c r="AF48" s="1529">
        <f>SUMIF('05月其他部门提成'!C:C,'05月提成-机场售后'!C48,'05月其他部门提成'!Q:Q)</f>
        <v>0</v>
      </c>
      <c r="AG48" s="1544">
        <f>SUMIF('05月车间提成'!C:C,'05月提成-机场售后'!C48,'05月车间提成'!W:W)</f>
        <v>0</v>
      </c>
      <c r="AH48" s="1530">
        <f>SUMIF('05月业务提成'!B:B,'05月提成-机场售后'!C48,'05月业务提成'!BO:BO)</f>
        <v>0</v>
      </c>
      <c r="AI48" s="1530">
        <f>AF48+AG48+AH48</f>
        <v>0</v>
      </c>
      <c r="AJ48" s="1530">
        <f>AI48-K48</f>
        <v>-7573.39</v>
      </c>
      <c r="AK48" s="1530"/>
    </row>
    <row r="49" spans="1:37" ht="14.1" customHeight="1">
      <c r="A49" s="1531">
        <f>A48+1</f>
        <v>34</v>
      </c>
      <c r="B49" s="1694"/>
      <c r="C49" s="1507" t="s">
        <v>238</v>
      </c>
      <c r="D49" s="1533">
        <f>INDEX('05基本'!I:I,MATCH(C49,'05基本'!C:C,0))+INDEX('05基本'!J:J,MATCH(C49,'05基本'!C:C,0))</f>
        <v>0</v>
      </c>
      <c r="E49" s="1534">
        <f>INDEX('05基本'!AA:AA,MATCH(C49,'05基本'!C:C,0))</f>
        <v>1268.5899999999999</v>
      </c>
      <c r="F49" s="1534">
        <f>INDEX('05基本'!AB:AB,MATCH(C49,'05基本'!C:C,0))</f>
        <v>477.15</v>
      </c>
      <c r="G49" s="1534">
        <f>INDEX('05基本'!AC:AC,MATCH(C49,'05基本'!C:C,0))</f>
        <v>117</v>
      </c>
      <c r="H49" s="1534">
        <f>INDEX('05基本'!K:K,MATCH(C49,'05基本'!C:C,0))+INDEX('05基本'!L:L,MATCH(C49,'05基本'!C:C,0))</f>
        <v>0</v>
      </c>
      <c r="I49" s="1534">
        <f>INDEX('05基本'!P:P,MATCH(C49,'05基本'!C:C,0))</f>
        <v>1500</v>
      </c>
      <c r="J49" s="1534">
        <f>INDEX('05基本'!M:M,MATCH(C49,'05基本'!C:C,0))</f>
        <v>0</v>
      </c>
      <c r="K49" s="1535">
        <f>SUMIF(钣喷中心!C:C,C49,钣喷中心!N:N)</f>
        <v>6696.4333333333298</v>
      </c>
      <c r="L49" s="1533">
        <f>SUMIF(综合考核!A:A,'05月提成-机场售后'!C49,综合考核!M:M)</f>
        <v>0</v>
      </c>
      <c r="M49" s="1535">
        <f>SUM(K49:L49)</f>
        <v>6696.4333333333298</v>
      </c>
      <c r="N49" s="1535">
        <f>SUMIF(服装扣款!C:C,C49,服装扣款!N:N)</f>
        <v>0</v>
      </c>
      <c r="O49" s="1536">
        <f>M49-N49</f>
        <v>6696.4333333333298</v>
      </c>
      <c r="P49" s="1537">
        <f>SUMIF(西物公积金!C:C,C49,西物公积金!I:I)</f>
        <v>0</v>
      </c>
      <c r="Q49" s="1535">
        <f>SUMIF(综合考核!A:A,'05月提成-机场售后'!C49,综合考核!N:N)</f>
        <v>0</v>
      </c>
      <c r="R49" s="1535">
        <f>M49+I49+Q49</f>
        <v>8196.4333333333307</v>
      </c>
      <c r="S49" s="1535">
        <f>INDEX(AC:AC,MATCH(C49,AB:AB,0))</f>
        <v>78.069999999999993</v>
      </c>
      <c r="T49" s="1538"/>
      <c r="U49" s="1535">
        <f>S49-T49</f>
        <v>78.069999999999993</v>
      </c>
      <c r="V49" s="1535">
        <f>INDEX('05基本'!AF:AF,MATCH(C49,'05基本'!C:C,0))</f>
        <v>0</v>
      </c>
      <c r="W49" s="1535">
        <f>O49-P49-U49</f>
        <v>6618.36333333333</v>
      </c>
      <c r="X49" s="1539"/>
      <c r="Y49" s="1540">
        <f>Z49</f>
        <v>83.34</v>
      </c>
      <c r="Z49" s="1541">
        <v>83.34</v>
      </c>
      <c r="AA49" s="1542"/>
      <c r="AB49" s="1557"/>
      <c r="AC49" s="1543"/>
      <c r="AD49" s="1518">
        <f t="shared" si="29"/>
        <v>1</v>
      </c>
      <c r="AE49" s="1530"/>
      <c r="AF49" s="1529">
        <f>SUMIF('05月其他部门提成'!C:C,'05月提成-机场售后'!C49,'05月其他部门提成'!Q:Q)</f>
        <v>0</v>
      </c>
      <c r="AG49" s="1544">
        <f>SUMIF('05月车间提成'!C:C,'05月提成-机场售后'!C49,'05月车间提成'!W:W)</f>
        <v>0</v>
      </c>
      <c r="AH49" s="1530">
        <f>SUMIF('05月业务提成'!B:B,'05月提成-机场售后'!C49,'05月业务提成'!BO:BO)</f>
        <v>0</v>
      </c>
      <c r="AI49" s="1530">
        <f>AF49+AG49+AH49</f>
        <v>0</v>
      </c>
      <c r="AJ49" s="1530">
        <f>AI49-K49</f>
        <v>-6696.4333333333298</v>
      </c>
      <c r="AK49" s="1530"/>
    </row>
    <row r="50" spans="1:37" ht="14.1" customHeight="1">
      <c r="A50" s="1531">
        <f>A49+1</f>
        <v>35</v>
      </c>
      <c r="B50" s="1694"/>
      <c r="C50" s="1507" t="s">
        <v>240</v>
      </c>
      <c r="D50" s="1533">
        <f>INDEX('05基本'!I:I,MATCH(C50,'05基本'!C:C,0))+INDEX('05基本'!J:J,MATCH(C50,'05基本'!C:C,0))</f>
        <v>0</v>
      </c>
      <c r="E50" s="1534">
        <f>INDEX('05基本'!AA:AA,MATCH(C50,'05基本'!C:C,0))</f>
        <v>1268.5899999999999</v>
      </c>
      <c r="F50" s="1534">
        <f>INDEX('05基本'!AB:AB,MATCH(C50,'05基本'!C:C,0))</f>
        <v>477.15</v>
      </c>
      <c r="G50" s="1534">
        <f>INDEX('05基本'!AC:AC,MATCH(C50,'05基本'!C:C,0))</f>
        <v>117</v>
      </c>
      <c r="H50" s="1534">
        <f>INDEX('05基本'!K:K,MATCH(C50,'05基本'!C:C,0))+INDEX('05基本'!L:L,MATCH(C50,'05基本'!C:C,0))</f>
        <v>0</v>
      </c>
      <c r="I50" s="1534">
        <f>INDEX('05基本'!P:P,MATCH(C50,'05基本'!C:C,0))</f>
        <v>1500</v>
      </c>
      <c r="J50" s="1534">
        <f>INDEX('05基本'!M:M,MATCH(C50,'05基本'!C:C,0))</f>
        <v>0</v>
      </c>
      <c r="K50" s="1535">
        <f>SUMIF(钣喷中心!C:C,C50,钣喷中心!N:N)</f>
        <v>7264.9</v>
      </c>
      <c r="L50" s="1533">
        <f>SUMIF(综合考核!A:A,'05月提成-机场售后'!C50,综合考核!M:M)</f>
        <v>0</v>
      </c>
      <c r="M50" s="1535">
        <f>SUM(K50:L50)</f>
        <v>7264.9</v>
      </c>
      <c r="N50" s="1535">
        <f>SUMIF(服装扣款!C:C,C50,服装扣款!N:N)</f>
        <v>0</v>
      </c>
      <c r="O50" s="1536">
        <f>M50-N50</f>
        <v>7264.9</v>
      </c>
      <c r="P50" s="1537">
        <f>SUMIF(西物公积金!C:C,C50,西物公积金!I:I)</f>
        <v>0</v>
      </c>
      <c r="Q50" s="1535">
        <f>SUMIF(综合考核!A:A,'05月提成-机场售后'!C50,综合考核!N:N)</f>
        <v>0</v>
      </c>
      <c r="R50" s="1535">
        <f>M50+I50+Q50</f>
        <v>8764.9</v>
      </c>
      <c r="S50" s="1535">
        <f>INDEX(AC:AC,MATCH(C50,AB:AB,0))</f>
        <v>95.12</v>
      </c>
      <c r="T50" s="1538"/>
      <c r="U50" s="1535">
        <f>S50-T50</f>
        <v>95.12</v>
      </c>
      <c r="V50" s="1535">
        <f>INDEX('05基本'!AF:AF,MATCH(C50,'05基本'!C:C,0))</f>
        <v>0</v>
      </c>
      <c r="W50" s="1535">
        <f>O50-P50-U50</f>
        <v>7169.78</v>
      </c>
      <c r="X50" s="1539"/>
      <c r="Y50" s="1540">
        <f>Z50</f>
        <v>83.34</v>
      </c>
      <c r="Z50" s="1541">
        <v>83.34</v>
      </c>
      <c r="AA50" s="1542"/>
      <c r="AB50" s="1557"/>
      <c r="AC50" s="1543"/>
      <c r="AD50" s="1518">
        <f t="shared" si="29"/>
        <v>1</v>
      </c>
      <c r="AE50" s="1530"/>
      <c r="AF50" s="1529">
        <f>SUMIF('05月其他部门提成'!C:C,'05月提成-机场售后'!C50,'05月其他部门提成'!Q:Q)</f>
        <v>0</v>
      </c>
      <c r="AG50" s="1544">
        <f>SUMIF('05月车间提成'!C:C,'05月提成-机场售后'!C50,'05月车间提成'!W:W)</f>
        <v>0</v>
      </c>
      <c r="AH50" s="1530">
        <f>SUMIF('05月业务提成'!B:B,'05月提成-机场售后'!C50,'05月业务提成'!BO:BO)</f>
        <v>0</v>
      </c>
      <c r="AI50" s="1530">
        <f>AF50+AG50+AH50</f>
        <v>0</v>
      </c>
      <c r="AJ50" s="1530">
        <f>AI50-K50</f>
        <v>-7264.9</v>
      </c>
      <c r="AK50" s="1530"/>
    </row>
    <row r="51" spans="1:37" ht="14.1" customHeight="1">
      <c r="A51" s="1531"/>
      <c r="B51" s="1695"/>
      <c r="C51" s="1570" t="s">
        <v>244</v>
      </c>
      <c r="D51" s="1554">
        <f t="shared" ref="D51:G51" si="30">SUM(D46:D50)</f>
        <v>0</v>
      </c>
      <c r="E51" s="1554">
        <f t="shared" si="30"/>
        <v>6342.95</v>
      </c>
      <c r="F51" s="1554">
        <f t="shared" si="30"/>
        <v>2385.75</v>
      </c>
      <c r="G51" s="1554">
        <f t="shared" si="30"/>
        <v>585</v>
      </c>
      <c r="H51" s="1554">
        <f t="shared" ref="H51:AA51" si="31">SUM(H46:H50)</f>
        <v>0</v>
      </c>
      <c r="I51" s="1554">
        <f t="shared" si="31"/>
        <v>7500</v>
      </c>
      <c r="J51" s="1554">
        <f t="shared" si="31"/>
        <v>0</v>
      </c>
      <c r="K51" s="1554">
        <f t="shared" si="31"/>
        <v>36973.113333333298</v>
      </c>
      <c r="L51" s="1554">
        <f t="shared" si="31"/>
        <v>0</v>
      </c>
      <c r="M51" s="1554">
        <f t="shared" si="31"/>
        <v>36973.113333333298</v>
      </c>
      <c r="N51" s="1554">
        <f t="shared" si="31"/>
        <v>0</v>
      </c>
      <c r="O51" s="1555">
        <f t="shared" si="31"/>
        <v>36973.113333333298</v>
      </c>
      <c r="P51" s="1556">
        <f t="shared" si="31"/>
        <v>0</v>
      </c>
      <c r="Q51" s="1554">
        <f t="shared" si="31"/>
        <v>0</v>
      </c>
      <c r="R51" s="1554">
        <f t="shared" si="31"/>
        <v>44473.113333333298</v>
      </c>
      <c r="S51" s="1554">
        <f t="shared" si="31"/>
        <v>435.05</v>
      </c>
      <c r="T51" s="1554">
        <f t="shared" si="31"/>
        <v>0</v>
      </c>
      <c r="U51" s="1554">
        <f t="shared" si="31"/>
        <v>435.05</v>
      </c>
      <c r="V51" s="1554">
        <f t="shared" si="31"/>
        <v>0</v>
      </c>
      <c r="W51" s="1554">
        <f t="shared" si="31"/>
        <v>36538.063333333303</v>
      </c>
      <c r="X51" s="1554">
        <f t="shared" si="31"/>
        <v>0</v>
      </c>
      <c r="Y51" s="1554">
        <f t="shared" si="31"/>
        <v>416.7</v>
      </c>
      <c r="Z51" s="1554">
        <f t="shared" si="31"/>
        <v>416.7</v>
      </c>
      <c r="AA51" s="1554">
        <f t="shared" si="31"/>
        <v>0</v>
      </c>
      <c r="AB51" s="1557"/>
      <c r="AC51" s="291"/>
      <c r="AD51" s="1518">
        <f t="shared" si="29"/>
        <v>1</v>
      </c>
      <c r="AE51" s="1530"/>
      <c r="AF51" s="1558"/>
      <c r="AG51" s="1559"/>
      <c r="AH51" s="1560"/>
      <c r="AI51" s="1560"/>
      <c r="AJ51" s="1560"/>
      <c r="AK51" s="1530"/>
    </row>
    <row r="52" spans="1:37" ht="14.1" customHeight="1">
      <c r="A52" s="1572"/>
      <c r="B52" s="1562"/>
      <c r="C52" s="1573" t="s">
        <v>245</v>
      </c>
      <c r="D52" s="1574">
        <f t="shared" ref="D52:G52" si="32">D35+D38+D41+D45+D51</f>
        <v>380</v>
      </c>
      <c r="E52" s="1574">
        <f t="shared" si="32"/>
        <v>17760.259999999998</v>
      </c>
      <c r="F52" s="1574">
        <f t="shared" si="32"/>
        <v>6680.1</v>
      </c>
      <c r="G52" s="1574">
        <f t="shared" si="32"/>
        <v>1638</v>
      </c>
      <c r="H52" s="1574">
        <f t="shared" ref="H52:AA52" si="33">H35+H38+H41+H45+H51</f>
        <v>200</v>
      </c>
      <c r="I52" s="1574">
        <f t="shared" si="33"/>
        <v>18130</v>
      </c>
      <c r="J52" s="1574">
        <f t="shared" si="33"/>
        <v>0</v>
      </c>
      <c r="K52" s="1574">
        <f t="shared" si="33"/>
        <v>110233.034456733</v>
      </c>
      <c r="L52" s="1574">
        <f t="shared" si="33"/>
        <v>20</v>
      </c>
      <c r="M52" s="1574">
        <f t="shared" si="33"/>
        <v>110253.034456733</v>
      </c>
      <c r="N52" s="1574">
        <f t="shared" si="33"/>
        <v>0</v>
      </c>
      <c r="O52" s="1575">
        <f t="shared" si="33"/>
        <v>110253.034456733</v>
      </c>
      <c r="P52" s="1576">
        <f t="shared" si="33"/>
        <v>0</v>
      </c>
      <c r="Q52" s="1574">
        <f t="shared" si="33"/>
        <v>0</v>
      </c>
      <c r="R52" s="1574">
        <f t="shared" si="33"/>
        <v>128383.034456733</v>
      </c>
      <c r="S52" s="1574">
        <f t="shared" si="33"/>
        <v>1456.94</v>
      </c>
      <c r="T52" s="1574">
        <f t="shared" si="33"/>
        <v>0</v>
      </c>
      <c r="U52" s="1574">
        <f t="shared" si="33"/>
        <v>1456.94</v>
      </c>
      <c r="V52" s="1574">
        <f t="shared" si="33"/>
        <v>0</v>
      </c>
      <c r="W52" s="1574">
        <f t="shared" si="33"/>
        <v>108796.094456733</v>
      </c>
      <c r="X52" s="1574">
        <f t="shared" si="33"/>
        <v>0</v>
      </c>
      <c r="Y52" s="1574">
        <f t="shared" si="33"/>
        <v>3806.8005741500001</v>
      </c>
      <c r="Z52" s="1574">
        <f t="shared" si="33"/>
        <v>3806.8005741500001</v>
      </c>
      <c r="AA52" s="1574">
        <f t="shared" si="33"/>
        <v>0</v>
      </c>
      <c r="AB52" s="1557"/>
      <c r="AC52" s="1543"/>
      <c r="AD52" s="1529"/>
      <c r="AE52" s="1530"/>
      <c r="AF52" s="1558"/>
      <c r="AG52" s="1559"/>
      <c r="AH52" s="1560"/>
      <c r="AI52" s="1560"/>
      <c r="AJ52" s="1530"/>
      <c r="AK52" s="1530"/>
    </row>
    <row r="53" spans="1:37" s="1512" customFormat="1" ht="14.1" customHeight="1">
      <c r="A53" s="1577">
        <f>A50</f>
        <v>35</v>
      </c>
      <c r="B53" s="1578" t="s">
        <v>246</v>
      </c>
      <c r="C53" s="1579"/>
      <c r="D53" s="1580">
        <f t="shared" ref="D53:J53" si="34">SUM(D32,D52)</f>
        <v>380</v>
      </c>
      <c r="E53" s="1580">
        <f t="shared" si="34"/>
        <v>43360.97</v>
      </c>
      <c r="F53" s="1580">
        <f t="shared" si="34"/>
        <v>16317.95</v>
      </c>
      <c r="G53" s="1580">
        <f t="shared" si="34"/>
        <v>3978</v>
      </c>
      <c r="H53" s="1580">
        <f t="shared" si="34"/>
        <v>400</v>
      </c>
      <c r="I53" s="1580">
        <f t="shared" si="34"/>
        <v>43660</v>
      </c>
      <c r="J53" s="1580">
        <f t="shared" si="34"/>
        <v>0</v>
      </c>
      <c r="K53" s="1580">
        <f t="shared" ref="K53:AA53" si="35">SUM(K32,K52)</f>
        <v>237687.86967998301</v>
      </c>
      <c r="L53" s="1580">
        <f t="shared" si="35"/>
        <v>360</v>
      </c>
      <c r="M53" s="1580">
        <f t="shared" si="35"/>
        <v>238047.86967998301</v>
      </c>
      <c r="N53" s="1580">
        <f t="shared" si="35"/>
        <v>0</v>
      </c>
      <c r="O53" s="1580">
        <f t="shared" si="35"/>
        <v>238047.86967998301</v>
      </c>
      <c r="P53" s="1580">
        <f t="shared" si="35"/>
        <v>0</v>
      </c>
      <c r="Q53" s="1580">
        <f t="shared" si="35"/>
        <v>0</v>
      </c>
      <c r="R53" s="1580">
        <f t="shared" si="35"/>
        <v>281707.86967998301</v>
      </c>
      <c r="S53" s="1580">
        <f t="shared" si="35"/>
        <v>3001.75</v>
      </c>
      <c r="T53" s="1580">
        <f t="shared" si="35"/>
        <v>0</v>
      </c>
      <c r="U53" s="1580">
        <f t="shared" si="35"/>
        <v>3001.75</v>
      </c>
      <c r="V53" s="1580">
        <f t="shared" si="35"/>
        <v>0</v>
      </c>
      <c r="W53" s="1580">
        <f t="shared" si="35"/>
        <v>235046.11967998301</v>
      </c>
      <c r="X53" s="1580">
        <f t="shared" si="35"/>
        <v>0</v>
      </c>
      <c r="Y53" s="1580">
        <f t="shared" si="35"/>
        <v>8499.7094023166701</v>
      </c>
      <c r="Z53" s="1580">
        <f t="shared" si="35"/>
        <v>6524.9561998166701</v>
      </c>
      <c r="AA53" s="1580">
        <f t="shared" si="35"/>
        <v>1974.7532025</v>
      </c>
      <c r="AB53" s="1519"/>
      <c r="AC53" s="1543"/>
      <c r="AD53" s="1529"/>
      <c r="AE53" s="1530"/>
      <c r="AF53" s="1558"/>
      <c r="AG53" s="1559"/>
      <c r="AH53" s="1560"/>
      <c r="AI53" s="1560"/>
      <c r="AJ53" s="1530"/>
      <c r="AK53" s="1530"/>
    </row>
    <row r="54" spans="1:37" s="1513" customFormat="1" ht="33.75" customHeight="1">
      <c r="A54" s="1581" t="s">
        <v>184</v>
      </c>
      <c r="B54" s="1582" t="s">
        <v>185</v>
      </c>
      <c r="C54" s="1583"/>
      <c r="D54" s="1584"/>
      <c r="E54" s="1585">
        <f>'05基本'!AA163</f>
        <v>43360.97</v>
      </c>
      <c r="F54" s="1584">
        <f>'05基本'!AB163</f>
        <v>16317.95</v>
      </c>
      <c r="G54" s="1584">
        <f>'05基本'!AC163</f>
        <v>3978</v>
      </c>
      <c r="H54" s="1585"/>
      <c r="I54" s="1584">
        <f>'05基本'!P163</f>
        <v>43660</v>
      </c>
      <c r="J54" s="1584"/>
      <c r="K54" s="1584"/>
      <c r="L54" s="1584">
        <f>L53</f>
        <v>360</v>
      </c>
      <c r="M54" s="1586" t="s">
        <v>186</v>
      </c>
      <c r="N54" s="1585"/>
      <c r="O54" s="1586"/>
      <c r="P54" s="1586">
        <f>P53*2</f>
        <v>0</v>
      </c>
      <c r="Q54" s="1586"/>
      <c r="R54" s="1586">
        <f>R53/A53</f>
        <v>8048.7962765709499</v>
      </c>
      <c r="S54" s="1587"/>
      <c r="T54" s="1587"/>
      <c r="U54" s="1587"/>
      <c r="V54" s="1587"/>
      <c r="Y54" s="1588"/>
      <c r="AB54" s="1589"/>
      <c r="AC54" s="1543"/>
      <c r="AD54" s="1529"/>
      <c r="AE54" s="1530"/>
      <c r="AF54" s="1529"/>
      <c r="AG54" s="1544"/>
      <c r="AH54" s="1530"/>
      <c r="AI54" s="1530"/>
      <c r="AJ54" s="1530"/>
      <c r="AK54" s="1530"/>
    </row>
    <row r="55" spans="1:37" s="1513" customFormat="1">
      <c r="A55" s="1581"/>
      <c r="B55" s="1697" t="s">
        <v>187</v>
      </c>
      <c r="C55" s="1590"/>
      <c r="D55" s="1587"/>
      <c r="E55" s="1587">
        <f>E53-E54</f>
        <v>0</v>
      </c>
      <c r="F55" s="1587">
        <f>F54-F53</f>
        <v>0</v>
      </c>
      <c r="G55" s="1587">
        <f>G54-G53</f>
        <v>0</v>
      </c>
      <c r="H55" s="1587"/>
      <c r="I55" s="1591">
        <f>I54-I53</f>
        <v>0</v>
      </c>
      <c r="J55" s="1592"/>
      <c r="K55" s="1593"/>
      <c r="L55" s="1593">
        <f>L54-L53</f>
        <v>0</v>
      </c>
      <c r="M55" s="1586" t="s">
        <v>188</v>
      </c>
      <c r="N55" s="1585"/>
      <c r="O55" s="1585"/>
      <c r="P55" s="1585">
        <f>P53-P54</f>
        <v>0</v>
      </c>
      <c r="Q55" s="1585"/>
      <c r="R55" s="1586"/>
      <c r="S55" s="1587"/>
      <c r="T55" s="1587"/>
      <c r="U55" s="1587"/>
      <c r="V55" s="1587"/>
      <c r="W55" s="1594"/>
      <c r="Y55" s="1588"/>
      <c r="AB55" s="1589"/>
      <c r="AC55" s="1543"/>
      <c r="AD55" s="1529"/>
      <c r="AE55" s="1530"/>
      <c r="AF55" s="1529"/>
      <c r="AG55" s="1544"/>
      <c r="AH55" s="1530"/>
      <c r="AI55" s="1530"/>
      <c r="AJ55" s="1530"/>
      <c r="AK55" s="1530"/>
    </row>
    <row r="56" spans="1:37" s="1513" customFormat="1">
      <c r="A56" s="1595" t="s">
        <v>189</v>
      </c>
      <c r="B56" s="1697"/>
      <c r="C56" s="1590"/>
      <c r="D56" s="1584"/>
      <c r="E56" s="1584"/>
      <c r="F56" s="1596" t="s">
        <v>190</v>
      </c>
      <c r="G56" s="1596" t="s">
        <v>190</v>
      </c>
      <c r="H56" s="1584"/>
      <c r="I56" s="1584"/>
      <c r="J56" s="1584"/>
      <c r="K56" s="1585"/>
      <c r="L56" s="1584" t="s">
        <v>191</v>
      </c>
      <c r="M56" s="1597"/>
      <c r="N56" s="1597"/>
      <c r="O56" s="1586"/>
      <c r="P56" s="1586"/>
      <c r="Q56" s="1586"/>
      <c r="R56" s="1596" t="s">
        <v>192</v>
      </c>
      <c r="S56" s="1584"/>
      <c r="T56" s="1584"/>
      <c r="U56" s="1584"/>
      <c r="V56" s="1584" t="s">
        <v>193</v>
      </c>
      <c r="W56" s="1594"/>
      <c r="X56" s="1587"/>
      <c r="Y56" s="1598"/>
      <c r="Z56" s="1584"/>
      <c r="AA56" s="1584"/>
      <c r="AB56" s="1599"/>
      <c r="AC56" s="1543"/>
      <c r="AD56" s="1529"/>
      <c r="AE56" s="1530"/>
      <c r="AF56" s="1529"/>
      <c r="AG56" s="1544"/>
      <c r="AH56" s="1530"/>
      <c r="AI56" s="1530"/>
      <c r="AJ56" s="1530"/>
      <c r="AK56" s="1530"/>
    </row>
    <row r="57" spans="1:37" s="1514" customFormat="1" ht="18" customHeight="1">
      <c r="A57" s="1600"/>
      <c r="B57" s="1601"/>
      <c r="C57" s="1600"/>
      <c r="D57" s="1602"/>
      <c r="E57" s="1602"/>
      <c r="F57" s="1602"/>
      <c r="G57" s="1602"/>
      <c r="H57" s="1602"/>
      <c r="I57" s="1602"/>
      <c r="J57" s="1602"/>
      <c r="K57" s="1602"/>
      <c r="L57" s="1602"/>
      <c r="M57" s="1602"/>
      <c r="N57" s="1602"/>
      <c r="O57" s="1602">
        <f>R53/A53</f>
        <v>8048.7962765709499</v>
      </c>
      <c r="P57" s="1602"/>
      <c r="Q57" s="1602"/>
      <c r="R57" s="1602"/>
      <c r="S57" s="1602"/>
      <c r="T57" s="1602"/>
      <c r="U57" s="1602"/>
      <c r="V57" s="1602"/>
      <c r="W57" s="1603"/>
      <c r="X57" s="1604"/>
      <c r="Y57" s="1605"/>
      <c r="Z57" s="1604"/>
      <c r="AA57" s="1604"/>
      <c r="AB57" s="1606"/>
      <c r="AC57" s="1543"/>
      <c r="AD57" s="1529"/>
      <c r="AE57" s="1530"/>
      <c r="AF57" s="1529"/>
      <c r="AG57" s="1544"/>
      <c r="AH57" s="1530"/>
      <c r="AI57" s="1530"/>
      <c r="AJ57" s="1530"/>
      <c r="AK57" s="1530"/>
    </row>
  </sheetData>
  <autoFilter ref="A3:AN58" xr:uid="{00000000-0009-0000-0000-000001000000}"/>
  <mergeCells count="37">
    <mergeCell ref="AA3:AA4"/>
    <mergeCell ref="V3:V4"/>
    <mergeCell ref="W3:W4"/>
    <mergeCell ref="X3:X4"/>
    <mergeCell ref="Y3:Y4"/>
    <mergeCell ref="Z3:Z4"/>
    <mergeCell ref="N3:N4"/>
    <mergeCell ref="O3:O4"/>
    <mergeCell ref="P3:P4"/>
    <mergeCell ref="Q3:Q4"/>
    <mergeCell ref="R3:R4"/>
    <mergeCell ref="B36:B37"/>
    <mergeCell ref="B39:B40"/>
    <mergeCell ref="B41:B45"/>
    <mergeCell ref="B46:B51"/>
    <mergeCell ref="B55:B56"/>
    <mergeCell ref="B7:B9"/>
    <mergeCell ref="B16:B21"/>
    <mergeCell ref="B22:B26"/>
    <mergeCell ref="B27:B28"/>
    <mergeCell ref="B33:B35"/>
    <mergeCell ref="A1:Z1"/>
    <mergeCell ref="A2:C2"/>
    <mergeCell ref="S3:U3"/>
    <mergeCell ref="A3:A4"/>
    <mergeCell ref="B3:B4"/>
    <mergeCell ref="C3:C4"/>
    <mergeCell ref="D3:D4"/>
    <mergeCell ref="E3:E4"/>
    <mergeCell ref="F3:F4"/>
    <mergeCell ref="G3:G4"/>
    <mergeCell ref="H3:H4"/>
    <mergeCell ref="I3:I4"/>
    <mergeCell ref="J3:J4"/>
    <mergeCell ref="K3:K4"/>
    <mergeCell ref="L3:L4"/>
    <mergeCell ref="M3:M4"/>
  </mergeCells>
  <phoneticPr fontId="5" type="noConversion"/>
  <conditionalFormatting sqref="C1:C11 C15:C18 C20:C23 C25:C29 C32:C36 C38:C1048576">
    <cfRule type="duplicateValues" dxfId="1567" priority="144"/>
  </conditionalFormatting>
  <conditionalFormatting sqref="C1:C11 C15:C18 C20:C29 C32:C1048576">
    <cfRule type="duplicateValues" dxfId="1566" priority="45"/>
  </conditionalFormatting>
  <conditionalFormatting sqref="C12">
    <cfRule type="duplicateValues" dxfId="1565" priority="40"/>
  </conditionalFormatting>
  <conditionalFormatting sqref="C13">
    <cfRule type="duplicateValues" dxfId="1564" priority="28"/>
  </conditionalFormatting>
  <conditionalFormatting sqref="C14">
    <cfRule type="duplicateValues" dxfId="1563" priority="23"/>
  </conditionalFormatting>
  <conditionalFormatting sqref="C19">
    <cfRule type="duplicateValues" dxfId="1562" priority="17"/>
  </conditionalFormatting>
  <conditionalFormatting sqref="C24">
    <cfRule type="duplicateValues" dxfId="1561" priority="133"/>
  </conditionalFormatting>
  <conditionalFormatting sqref="C30">
    <cfRule type="duplicateValues" dxfId="1560" priority="12"/>
  </conditionalFormatting>
  <conditionalFormatting sqref="C31">
    <cfRule type="duplicateValues" dxfId="1559" priority="6"/>
  </conditionalFormatting>
  <conditionalFormatting sqref="C37">
    <cfRule type="duplicateValues" dxfId="1558" priority="137"/>
  </conditionalFormatting>
  <conditionalFormatting sqref="AB1:AB5 AB8 AB10 AB15 AB33:AB34 AB39 AB41 AB53:AB1048576">
    <cfRule type="duplicateValues" dxfId="1557" priority="2679"/>
  </conditionalFormatting>
  <conditionalFormatting sqref="AB1:AB5 AB41 AB53:AB64971">
    <cfRule type="expression" dxfId="1556" priority="2703" stopIfTrue="1">
      <formula>AND(COUNTIF($AB$5:$AB$64971,AB1)+COUNTIF(#REF!,AB1)+COUNTIF($AB$1:$AB$4,AB1)+COUNTIF(#REF!,AB1)+COUNTIF(#REF!,AB1)+COUNTIF(#REF!,AB1)+COUNTIF(#REF!,AB1)+COUNTIF(#REF!,AB1)+COUNTIF(#REF!,AB1)+COUNTIF(#REF!,AB1)+COUNTIF(#REF!,AB1)+COUNTIF(#REF!,AB1)+COUNTIF(#REF!,AB1)+COUNTIF(#REF!,AB1)+COUNTIF(#REF!,AB1)+COUNTIF(#REF!,AB1)+COUNTIF(#REF!,AB1)+COUNTIF(#REF!,AB1)&gt;1,NOT(ISBLANK(AB1)))</formula>
    </cfRule>
  </conditionalFormatting>
  <conditionalFormatting sqref="AB6">
    <cfRule type="duplicateValues" dxfId="1555" priority="212"/>
    <cfRule type="duplicateValues" dxfId="1554" priority="213"/>
  </conditionalFormatting>
  <conditionalFormatting sqref="AB7">
    <cfRule type="duplicateValues" dxfId="1553" priority="215"/>
    <cfRule type="duplicateValues" dxfId="1552" priority="217"/>
  </conditionalFormatting>
  <conditionalFormatting sqref="AB8">
    <cfRule type="duplicateValues" dxfId="1551" priority="2681"/>
    <cfRule type="duplicateValues" dxfId="1550" priority="2680"/>
  </conditionalFormatting>
  <conditionalFormatting sqref="AB9">
    <cfRule type="duplicateValues" dxfId="1549" priority="2502"/>
    <cfRule type="duplicateValues" dxfId="1548" priority="2501"/>
  </conditionalFormatting>
  <conditionalFormatting sqref="AB10 AB15 AB33:AB34 AB39">
    <cfRule type="duplicateValues" dxfId="1547" priority="2877"/>
  </conditionalFormatting>
  <conditionalFormatting sqref="AB10 AB15 AB33:AB34">
    <cfRule type="duplicateValues" dxfId="1546" priority="2684"/>
  </conditionalFormatting>
  <conditionalFormatting sqref="AB10">
    <cfRule type="duplicateValues" dxfId="1545" priority="2691"/>
    <cfRule type="duplicateValues" dxfId="1544" priority="2692"/>
  </conditionalFormatting>
  <conditionalFormatting sqref="AB11">
    <cfRule type="duplicateValues" dxfId="1543" priority="208"/>
    <cfRule type="duplicateValues" dxfId="1542" priority="209"/>
  </conditionalFormatting>
  <conditionalFormatting sqref="AB12">
    <cfRule type="duplicateValues" dxfId="1541" priority="42"/>
    <cfRule type="duplicateValues" dxfId="1540" priority="43"/>
    <cfRule type="duplicateValues" dxfId="1539" priority="44" stopIfTrue="1"/>
  </conditionalFormatting>
  <conditionalFormatting sqref="AB13">
    <cfRule type="duplicateValues" dxfId="1538" priority="29"/>
    <cfRule type="duplicateValues" dxfId="1537" priority="30"/>
    <cfRule type="duplicateValues" dxfId="1536" priority="31" stopIfTrue="1"/>
  </conditionalFormatting>
  <conditionalFormatting sqref="AB14">
    <cfRule type="duplicateValues" dxfId="1535" priority="26" stopIfTrue="1"/>
    <cfRule type="duplicateValues" dxfId="1534" priority="25"/>
    <cfRule type="duplicateValues" dxfId="1533" priority="24"/>
  </conditionalFormatting>
  <conditionalFormatting sqref="AB15 AB33:AB34">
    <cfRule type="expression" dxfId="1532" priority="2732" stopIfTrue="1">
      <formula>AND(COUNTIF($C$5:$C$64971,AB15)+COUNTIF(#REF!,AB15)+COUNTIF($C$1:$C$4,AB15)+COUNTIF(#REF!,AB15)+COUNTIF(#REF!,AB15)+COUNTIF(#REF!,AB15)+COUNTIF(#REF!,AB15)+COUNTIF(#REF!,AB15)&gt;1,NOT(ISBLANK(AB15)))</formula>
    </cfRule>
    <cfRule type="expression" dxfId="1531" priority="2731" stopIfTrue="1">
      <formula>AND(COUNTIF($C$58:$C$64971,AB15)+COUNTIF($C$5:$C$56,AB15)+COUNTIF(#REF!,AB15)+COUNTIF($C$1:$C$4,AB15)+COUNTIF(#REF!,AB15)+COUNTIF(#REF!,AB15)+COUNTIF(#REF!,AB15)+COUNTIF(#REF!,AB15)+COUNTIF(#REF!,AB15)+COUNTIF(#REF!,AB15)+COUNTIF(#REF!,AB15)+COUNTIF(#REF!,AB15)+COUNTIF(#REF!,AB15)+COUNTIF(#REF!,AB15)+COUNTIF(#REF!,AB15)+COUNTIF(#REF!,AB15)&gt;1,NOT(ISBLANK(AB15)))</formula>
    </cfRule>
  </conditionalFormatting>
  <conditionalFormatting sqref="AB15">
    <cfRule type="expression" dxfId="1530" priority="2830" stopIfTrue="1">
      <formula>AND(COUNTIF($C$58:$C$64971,AB15)+COUNTIF($C$5:$C$56,AB15)+COUNTIF(#REF!,AB15)+COUNTIF($C$1:$C$4,AB15)+COUNTIF(#REF!,AB15)+COUNTIF(#REF!,AB15)+COUNTIF(#REF!,AB15)+COUNTIF(#REF!,AB15)+COUNTIF(#REF!,AB15)+COUNTIF(#REF!,AB15)+COUNTIF(#REF!,AB15)+COUNTIF(#REF!,AB15)+COUNTIF(#REF!,AB15)+COUNTIF(#REF!,AB15)+COUNTIF(#REF!,AB15)+COUNTIF(#REF!,AB15)+COUNTIF(#REF!,AB15)&gt;1,NOT(ISBLANK(AB15)))</formula>
    </cfRule>
    <cfRule type="duplicateValues" dxfId="1529" priority="2693"/>
    <cfRule type="expression" dxfId="1528" priority="2831" stopIfTrue="1">
      <formula>AND(COUNTIF($C$58:$C$64971,AB15)+COUNTIF($C$5:$C$56,AB15)+COUNTIF($C$1:$C$4,AB15)+COUNTIF(#REF!,AB15)+COUNTIF(#REF!,AB15)+COUNTIF(#REF!,AB15)+COUNTIF(#REF!,AB15)+COUNTIF(#REF!,AB15)+COUNTIF(#REF!,AB15)+COUNTIF(#REF!,AB15)+COUNTIF(#REF!,AB15)+COUNTIF(#REF!,AB15)+COUNTIF(#REF!,AB15)+COUNTIF(#REF!,AB15)+COUNTIF(#REF!,AB15)+COUNTIF(#REF!,AB15)+COUNTIF(#REF!,AB15)&gt;1,NOT(ISBLANK(AB15)))</formula>
    </cfRule>
  </conditionalFormatting>
  <conditionalFormatting sqref="AB16">
    <cfRule type="expression" dxfId="1527" priority="2569" stopIfTrue="1">
      <formula>AND(COUNTIF($AB$5:$AB$64971,AB16)+COUNTIF(#REF!,AB16)+COUNTIF($AB$1:$AB$4,AB16)+COUNTIF(#REF!,AB16)+COUNTIF(#REF!,AB16)+COUNTIF(#REF!,AB16)+COUNTIF(#REF!,AB16)+COUNTIF(#REF!,AB16)+COUNTIF(#REF!,AB16)+COUNTIF(#REF!,AB16)+COUNTIF(#REF!,AB16)+COUNTIF(#REF!,AB16)+COUNTIF(#REF!,AB16)+COUNTIF(#REF!,AB16)+COUNTIF(#REF!,AB16)+COUNTIF(#REF!,AB16)+COUNTIF(#REF!,AB16)+COUNTIF(#REF!,AB16)&gt;1,NOT(ISBLANK(AB16)))</formula>
    </cfRule>
    <cfRule type="duplicateValues" dxfId="1526" priority="2567"/>
  </conditionalFormatting>
  <conditionalFormatting sqref="AB17">
    <cfRule type="duplicateValues" dxfId="1525" priority="224"/>
    <cfRule type="duplicateValues" dxfId="1524" priority="225" stopIfTrue="1"/>
    <cfRule type="duplicateValues" dxfId="1523" priority="223"/>
  </conditionalFormatting>
  <conditionalFormatting sqref="AB18">
    <cfRule type="duplicateValues" dxfId="1522" priority="2379"/>
    <cfRule type="duplicateValues" dxfId="1521" priority="2380"/>
    <cfRule type="duplicateValues" dxfId="1520" priority="2381" stopIfTrue="1"/>
  </conditionalFormatting>
  <conditionalFormatting sqref="AB19">
    <cfRule type="duplicateValues" dxfId="1519" priority="19"/>
    <cfRule type="duplicateValues" dxfId="1518" priority="20"/>
    <cfRule type="duplicateValues" dxfId="1517" priority="21" stopIfTrue="1"/>
  </conditionalFormatting>
  <conditionalFormatting sqref="AB20">
    <cfRule type="duplicateValues" dxfId="1516" priority="2476"/>
    <cfRule type="duplicateValues" dxfId="1515" priority="2475"/>
    <cfRule type="duplicateValues" dxfId="1514" priority="2477" stopIfTrue="1"/>
  </conditionalFormatting>
  <conditionalFormatting sqref="AB21">
    <cfRule type="expression" dxfId="1513" priority="2595" stopIfTrue="1">
      <formula>AND(COUNTIF($C$58:$C$64971,AB21)+COUNTIF($C$5:$C$56,AB21)+COUNTIF($C$1:$C$4,AB21)+COUNTIF(#REF!,AB21)+COUNTIF(#REF!,AB21)+COUNTIF(#REF!,AB21)+COUNTIF(#REF!,AB21)+COUNTIF(#REF!,AB21)+COUNTIF(#REF!,AB21)+COUNTIF(#REF!,AB21)+COUNTIF(#REF!,AB21)+COUNTIF(#REF!,AB21)+COUNTIF(#REF!,AB21)+COUNTIF(#REF!,AB21)+COUNTIF(#REF!,AB21)+COUNTIF(#REF!,AB21)+COUNTIF(#REF!,AB21)&gt;1,NOT(ISBLANK(AB21)))</formula>
    </cfRule>
    <cfRule type="expression" dxfId="1512" priority="2594" stopIfTrue="1">
      <formula>AND(COUNTIF($C$58:$C$64971,AB21)+COUNTIF($C$5:$C$56,AB21)+COUNTIF(#REF!,AB21)+COUNTIF($C$1:$C$4,AB21)+COUNTIF(#REF!,AB21)+COUNTIF(#REF!,AB21)+COUNTIF(#REF!,AB21)+COUNTIF(#REF!,AB21)+COUNTIF(#REF!,AB21)+COUNTIF(#REF!,AB21)+COUNTIF(#REF!,AB21)+COUNTIF(#REF!,AB21)+COUNTIF(#REF!,AB21)+COUNTIF(#REF!,AB21)+COUNTIF(#REF!,AB21)+COUNTIF(#REF!,AB21)+COUNTIF(#REF!,AB21)&gt;1,NOT(ISBLANK(AB21)))</formula>
    </cfRule>
    <cfRule type="expression" dxfId="1511" priority="2587" stopIfTrue="1">
      <formula>AND(COUNTIF($C$5:$C$64971,AB21)+COUNTIF(#REF!,AB21)+COUNTIF($C$1:$C$4,AB21)+COUNTIF(#REF!,AB21)+COUNTIF(#REF!,AB21)+COUNTIF(#REF!,AB21)+COUNTIF(#REF!,AB21)+COUNTIF(#REF!,AB21)&gt;1,NOT(ISBLANK(AB21)))</formula>
    </cfRule>
    <cfRule type="expression" dxfId="1510" priority="2586" stopIfTrue="1">
      <formula>AND(COUNTIF($C$58:$C$64971,AB21)+COUNTIF($C$5:$C$56,AB21)+COUNTIF(#REF!,AB21)+COUNTIF($C$1:$C$4,AB21)+COUNTIF(#REF!,AB21)+COUNTIF(#REF!,AB21)+COUNTIF(#REF!,AB21)+COUNTIF(#REF!,AB21)+COUNTIF(#REF!,AB21)+COUNTIF(#REF!,AB21)+COUNTIF(#REF!,AB21)+COUNTIF(#REF!,AB21)+COUNTIF(#REF!,AB21)+COUNTIF(#REF!,AB21)+COUNTIF(#REF!,AB21)+COUNTIF(#REF!,AB21)&gt;1,NOT(ISBLANK(AB21)))</formula>
    </cfRule>
    <cfRule type="duplicateValues" dxfId="1509" priority="2578"/>
  </conditionalFormatting>
  <conditionalFormatting sqref="AB22">
    <cfRule type="duplicateValues" dxfId="1508" priority="267"/>
    <cfRule type="duplicateValues" dxfId="1507" priority="268"/>
    <cfRule type="duplicateValues" dxfId="1506" priority="269" stopIfTrue="1"/>
  </conditionalFormatting>
  <conditionalFormatting sqref="AB23">
    <cfRule type="duplicateValues" dxfId="1505" priority="184"/>
    <cfRule type="duplicateValues" dxfId="1504" priority="183"/>
    <cfRule type="duplicateValues" dxfId="1503" priority="185" stopIfTrue="1"/>
  </conditionalFormatting>
  <conditionalFormatting sqref="AB24">
    <cfRule type="duplicateValues" dxfId="1502" priority="135"/>
    <cfRule type="duplicateValues" dxfId="1501" priority="134"/>
    <cfRule type="duplicateValues" dxfId="1500" priority="136" stopIfTrue="1"/>
  </conditionalFormatting>
  <conditionalFormatting sqref="AB25">
    <cfRule type="duplicateValues" dxfId="1499" priority="2488" stopIfTrue="1"/>
    <cfRule type="duplicateValues" dxfId="1498" priority="2487"/>
    <cfRule type="duplicateValues" dxfId="1497" priority="2486"/>
  </conditionalFormatting>
  <conditionalFormatting sqref="AB26">
    <cfRule type="expression" dxfId="1496" priority="2645" stopIfTrue="1">
      <formula>AND(COUNTIF($C$5:$C$64971,AB26)+COUNTIF(#REF!,AB26)+COUNTIF($C$1:$C$4,AB26)+COUNTIF(#REF!,AB26)+COUNTIF(#REF!,AB26)+COUNTIF(#REF!,AB26)+COUNTIF(#REF!,AB26)+COUNTIF(#REF!,AB26)&gt;1,NOT(ISBLANK(AB26)))</formula>
    </cfRule>
    <cfRule type="expression" dxfId="1495" priority="2652" stopIfTrue="1">
      <formula>AND(COUNTIF($C$58:$C$64971,AB26)+COUNTIF($C$5:$C$56,AB26)+COUNTIF($C$1:$C$4,AB26)+COUNTIF(#REF!,AB26)+COUNTIF(#REF!,AB26)+COUNTIF(#REF!,AB26)+COUNTIF(#REF!,AB26)+COUNTIF(#REF!,AB26)+COUNTIF(#REF!,AB26)+COUNTIF(#REF!,AB26)+COUNTIF(#REF!,AB26)+COUNTIF(#REF!,AB26)+COUNTIF(#REF!,AB26)+COUNTIF(#REF!,AB26)+COUNTIF(#REF!,AB26)+COUNTIF(#REF!,AB26)+COUNTIF(#REF!,AB26)&gt;1,NOT(ISBLANK(AB26)))</formula>
    </cfRule>
    <cfRule type="expression" dxfId="1494" priority="2651" stopIfTrue="1">
      <formula>AND(COUNTIF($C$58:$C$64971,AB26)+COUNTIF($C$5:$C$56,AB26)+COUNTIF(#REF!,AB26)+COUNTIF($C$1:$C$4,AB26)+COUNTIF(#REF!,AB26)+COUNTIF(#REF!,AB26)+COUNTIF(#REF!,AB26)+COUNTIF(#REF!,AB26)+COUNTIF(#REF!,AB26)+COUNTIF(#REF!,AB26)+COUNTIF(#REF!,AB26)+COUNTIF(#REF!,AB26)+COUNTIF(#REF!,AB26)+COUNTIF(#REF!,AB26)+COUNTIF(#REF!,AB26)+COUNTIF(#REF!,AB26)+COUNTIF(#REF!,AB26)&gt;1,NOT(ISBLANK(AB26)))</formula>
    </cfRule>
    <cfRule type="duplicateValues" dxfId="1493" priority="2642"/>
    <cfRule type="expression" dxfId="1492" priority="2644" stopIfTrue="1">
      <formula>AND(COUNTIF($C$58:$C$64971,AB26)+COUNTIF($C$5:$C$56,AB26)+COUNTIF(#REF!,AB26)+COUNTIF($C$1:$C$4,AB26)+COUNTIF(#REF!,AB26)+COUNTIF(#REF!,AB26)+COUNTIF(#REF!,AB26)+COUNTIF(#REF!,AB26)+COUNTIF(#REF!,AB26)+COUNTIF(#REF!,AB26)+COUNTIF(#REF!,AB26)+COUNTIF(#REF!,AB26)+COUNTIF(#REF!,AB26)+COUNTIF(#REF!,AB26)+COUNTIF(#REF!,AB26)+COUNTIF(#REF!,AB26)&gt;1,NOT(ISBLANK(AB26)))</formula>
    </cfRule>
  </conditionalFormatting>
  <conditionalFormatting sqref="AB27">
    <cfRule type="duplicateValues" dxfId="1491" priority="2389"/>
    <cfRule type="duplicateValues" dxfId="1490" priority="2390"/>
    <cfRule type="duplicateValues" dxfId="1489" priority="2391" stopIfTrue="1"/>
  </conditionalFormatting>
  <conditionalFormatting sqref="AB28">
    <cfRule type="duplicateValues" dxfId="1488" priority="2319"/>
    <cfRule type="duplicateValues" dxfId="1487" priority="2320" stopIfTrue="1"/>
    <cfRule type="duplicateValues" dxfId="1486" priority="2318"/>
  </conditionalFormatting>
  <conditionalFormatting sqref="AB29">
    <cfRule type="duplicateValues" dxfId="1485" priority="2395"/>
    <cfRule type="expression" dxfId="1484" priority="2397" stopIfTrue="1">
      <formula>AND(COUNTIF($C$58:$C$64971,AB29)+COUNTIF($C$5:$C$56,AB29)+COUNTIF(#REF!,AB29)+COUNTIF($C$1:$C$4,AB29)+COUNTIF(#REF!,AB29)+COUNTIF(#REF!,AB29)+COUNTIF(#REF!,AB29)+COUNTIF(#REF!,AB29)+COUNTIF(#REF!,AB29)+COUNTIF(#REF!,AB29)+COUNTIF(#REF!,AB29)+COUNTIF(#REF!,AB29)+COUNTIF(#REF!,AB29)+COUNTIF(#REF!,AB29)+COUNTIF(#REF!,AB29)+COUNTIF(#REF!,AB29)&gt;1,NOT(ISBLANK(AB29)))</formula>
    </cfRule>
    <cfRule type="expression" dxfId="1483" priority="2404" stopIfTrue="1">
      <formula>AND(COUNTIF($C$58:$C$64971,AB29)+COUNTIF($C$5:$C$56,AB29)+COUNTIF(#REF!,AB29)+COUNTIF($C$1:$C$4,AB29)+COUNTIF(#REF!,AB29)+COUNTIF(#REF!,AB29)+COUNTIF(#REF!,AB29)+COUNTIF(#REF!,AB29)+COUNTIF(#REF!,AB29)+COUNTIF(#REF!,AB29)+COUNTIF(#REF!,AB29)+COUNTIF(#REF!,AB29)+COUNTIF(#REF!,AB29)+COUNTIF(#REF!,AB29)+COUNTIF(#REF!,AB29)+COUNTIF(#REF!,AB29)+COUNTIF(#REF!,AB29)&gt;1,NOT(ISBLANK(AB29)))</formula>
    </cfRule>
    <cfRule type="expression" dxfId="1482" priority="2405" stopIfTrue="1">
      <formula>AND(COUNTIF($C$58:$C$64971,AB29)+COUNTIF($C$5:$C$56,AB29)+COUNTIF($C$1:$C$4,AB29)+COUNTIF(#REF!,AB29)+COUNTIF(#REF!,AB29)+COUNTIF(#REF!,AB29)+COUNTIF(#REF!,AB29)+COUNTIF(#REF!,AB29)+COUNTIF(#REF!,AB29)+COUNTIF(#REF!,AB29)+COUNTIF(#REF!,AB29)+COUNTIF(#REF!,AB29)+COUNTIF(#REF!,AB29)+COUNTIF(#REF!,AB29)+COUNTIF(#REF!,AB29)+COUNTIF(#REF!,AB29)+COUNTIF(#REF!,AB29)&gt;1,NOT(ISBLANK(AB29)))</formula>
    </cfRule>
    <cfRule type="expression" dxfId="1481" priority="2398" stopIfTrue="1">
      <formula>AND(COUNTIF($C$5:$C$64971,AB29)+COUNTIF(#REF!,AB29)+COUNTIF($C$1:$C$4,AB29)+COUNTIF(#REF!,AB29)+COUNTIF(#REF!,AB29)+COUNTIF(#REF!,AB29)+COUNTIF(#REF!,AB29)+COUNTIF(#REF!,AB29)&gt;1,NOT(ISBLANK(AB29)))</formula>
    </cfRule>
  </conditionalFormatting>
  <conditionalFormatting sqref="AB30">
    <cfRule type="duplicateValues" dxfId="1480" priority="15"/>
    <cfRule type="duplicateValues" dxfId="1479" priority="16" stopIfTrue="1"/>
    <cfRule type="duplicateValues" dxfId="1478" priority="14"/>
  </conditionalFormatting>
  <conditionalFormatting sqref="AB31">
    <cfRule type="expression" dxfId="1477" priority="8" stopIfTrue="1">
      <formula>AND(COUNTIF($C$58:$C$64971,AB31)+COUNTIF($C$5:$C$56,AB31)+COUNTIF(#REF!,AB31)+COUNTIF($C$1:$C$4,AB31)+COUNTIF(#REF!,AB31)+COUNTIF(#REF!,AB31)+COUNTIF(#REF!,AB31)+COUNTIF(#REF!,AB31)+COUNTIF(#REF!,AB31)+COUNTIF(#REF!,AB31)+COUNTIF(#REF!,AB31)+COUNTIF(#REF!,AB31)+COUNTIF(#REF!,AB31)+COUNTIF(#REF!,AB31)+COUNTIF(#REF!,AB31)+COUNTIF(#REF!,AB31)&gt;1,NOT(ISBLANK(AB31)))</formula>
    </cfRule>
    <cfRule type="expression" dxfId="1476" priority="9" stopIfTrue="1">
      <formula>AND(COUNTIF($C$5:$C$64971,AB31)+COUNTIF(#REF!,AB31)+COUNTIF($C$1:$C$4,AB31)+COUNTIF(#REF!,AB31)+COUNTIF(#REF!,AB31)+COUNTIF(#REF!,AB31)+COUNTIF(#REF!,AB31)+COUNTIF(#REF!,AB31)&gt;1,NOT(ISBLANK(AB31)))</formula>
    </cfRule>
    <cfRule type="expression" dxfId="1475" priority="10" stopIfTrue="1">
      <formula>AND(COUNTIF($C$58:$C$64971,AB31)+COUNTIF($C$5:$C$56,AB31)+COUNTIF(#REF!,AB31)+COUNTIF($C$1:$C$4,AB31)+COUNTIF(#REF!,AB31)+COUNTIF(#REF!,AB31)+COUNTIF(#REF!,AB31)+COUNTIF(#REF!,AB31)+COUNTIF(#REF!,AB31)+COUNTIF(#REF!,AB31)+COUNTIF(#REF!,AB31)+COUNTIF(#REF!,AB31)+COUNTIF(#REF!,AB31)+COUNTIF(#REF!,AB31)+COUNTIF(#REF!,AB31)+COUNTIF(#REF!,AB31)+COUNTIF(#REF!,AB31)&gt;1,NOT(ISBLANK(AB31)))</formula>
    </cfRule>
    <cfRule type="expression" dxfId="1474" priority="11" stopIfTrue="1">
      <formula>AND(COUNTIF($C$58:$C$64971,AB31)+COUNTIF($C$5:$C$56,AB31)+COUNTIF($C$1:$C$4,AB31)+COUNTIF(#REF!,AB31)+COUNTIF(#REF!,AB31)+COUNTIF(#REF!,AB31)+COUNTIF(#REF!,AB31)+COUNTIF(#REF!,AB31)+COUNTIF(#REF!,AB31)+COUNTIF(#REF!,AB31)+COUNTIF(#REF!,AB31)+COUNTIF(#REF!,AB31)+COUNTIF(#REF!,AB31)+COUNTIF(#REF!,AB31)+COUNTIF(#REF!,AB31)+COUNTIF(#REF!,AB31)+COUNTIF(#REF!,AB31)&gt;1,NOT(ISBLANK(AB31)))</formula>
    </cfRule>
    <cfRule type="duplicateValues" dxfId="1473" priority="7"/>
  </conditionalFormatting>
  <conditionalFormatting sqref="AB32">
    <cfRule type="expression" dxfId="1472" priority="282" stopIfTrue="1">
      <formula>AND(COUNTIF($AB$59:$AB$65075,AB32)+COUNTIF(#REF!,AB32)+COUNTIF($AB$1:$AB$8,AB32)+COUNTIF(#REF!,AB32)+COUNTIF(#REF!,AB32)+COUNTIF($AB$15:$AB$21,AB32)+COUNTIF(#REF!,AB32)+COUNTIF(#REF!,AB32)+COUNTIF(#REF!,AB32)+COUNTIF($AB$41:$AB$47,AB32)+COUNTIF($AB$28:$AB$35,AB32)+COUNTIF(#REF!,AB32)+COUNTIF($AB$51:$AB$57,AB32)+COUNTIF(#REF!,AB32)+COUNTIF(#REF!,AB32)+COUNTIF(#REF!,AB32)+COUNTIF(#REF!,AB32)+COUNTIF(#REF!,AB32)&gt;1,NOT(ISBLANK(AB32)))</formula>
    </cfRule>
    <cfRule type="duplicateValues" dxfId="1471" priority="280"/>
  </conditionalFormatting>
  <conditionalFormatting sqref="AB33:AB34">
    <cfRule type="expression" dxfId="1470" priority="2840" stopIfTrue="1">
      <formula>AND(COUNTIF($C$58:$C$64971,AB33)+COUNTIF($C$5:$C$56,AB33)+COUNTIF(#REF!,AB33)+COUNTIF($C$1:$C$4,AB33)+COUNTIF(#REF!,AB33)+COUNTIF(#REF!,AB33)+COUNTIF(#REF!,AB33)+COUNTIF(#REF!,AB33)+COUNTIF(#REF!,AB33)+COUNTIF(#REF!,AB33)+COUNTIF(#REF!,AB33)+COUNTIF(#REF!,AB33)+COUNTIF(#REF!,AB33)+COUNTIF(#REF!,AB33)+COUNTIF(#REF!,AB33)+COUNTIF(#REF!,AB33)+COUNTIF(#REF!,AB33)&gt;1,NOT(ISBLANK(AB33)))</formula>
    </cfRule>
    <cfRule type="duplicateValues" dxfId="1469" priority="2839"/>
    <cfRule type="expression" dxfId="1468" priority="2841" stopIfTrue="1">
      <formula>AND(COUNTIF($C$58:$C$64971,AB33)+COUNTIF($C$5:$C$56,AB33)+COUNTIF($C$1:$C$4,AB33)+COUNTIF(#REF!,AB33)+COUNTIF(#REF!,AB33)+COUNTIF(#REF!,AB33)+COUNTIF(#REF!,AB33)+COUNTIF(#REF!,AB33)+COUNTIF(#REF!,AB33)+COUNTIF(#REF!,AB33)+COUNTIF(#REF!,AB33)+COUNTIF(#REF!,AB33)+COUNTIF(#REF!,AB33)+COUNTIF(#REF!,AB33)+COUNTIF(#REF!,AB33)+COUNTIF(#REF!,AB33)+COUNTIF(#REF!,AB33)&gt;1,NOT(ISBLANK(AB33)))</formula>
    </cfRule>
  </conditionalFormatting>
  <conditionalFormatting sqref="AB35">
    <cfRule type="duplicateValues" dxfId="1467" priority="2673"/>
    <cfRule type="duplicateValues" dxfId="1466" priority="2674"/>
  </conditionalFormatting>
  <conditionalFormatting sqref="AB36">
    <cfRule type="expression" dxfId="1465" priority="2857" stopIfTrue="1">
      <formula>AND(COUNTIF($C$5:$C$56,AB36)+COUNTIF(#REF!,AB36)+COUNTIF(#REF!,AB36)+COUNTIF($C$1:$C$4,AB36)+COUNTIF(#REF!,AB36)+COUNTIF(#REF!,AB36)+COUNTIF(#REF!,AB36)+COUNTIF(#REF!,AB36)+COUNTIF(#REF!,AB36)+COUNTIF(#REF!,AB36)+COUNTIF(#REF!,AB36)+COUNTIF(#REF!,AB36)+COUNTIF(#REF!,AB36)+COUNTIF(#REF!,AB36)+COUNTIF(#REF!,AB36)+COUNTIF(#REF!,AB36)+COUNTIF(#REF!,AB36)+COUNTIF(#REF!,AB36)+COUNTIF(#REF!,AB36)+COUNTIF(#REF!,AB36)+COUNTIF($C$58:$C$64971,AB36)+COUNTIF(#REF!,AB36)+COUNTIF(#REF!,AB36)+COUNTIF(#REF!,AB36)&gt;1,NOT(ISBLANK(AB36)))</formula>
    </cfRule>
    <cfRule type="expression" dxfId="1464" priority="2856" stopIfTrue="1">
      <formula>AND(COUNTIF($C$58:$C$64971,AB36)+COUNTIF($C$5:$C$56,AB36)+COUNTIF($C$1:$C$4,AB36)+COUNTIF(#REF!,AB36)+COUNTIF(#REF!,AB36)+COUNTIF(#REF!,AB36)+COUNTIF(#REF!,AB36)+COUNTIF(#REF!,AB36)+COUNTIF(#REF!,AB36)+COUNTIF(#REF!,AB36)+COUNTIF(#REF!,AB36)+COUNTIF(#REF!,AB36)+COUNTIF(#REF!,AB36)+COUNTIF(#REF!,AB36)+COUNTIF(#REF!,AB36)+COUNTIF(#REF!,AB36)+COUNTIF(#REF!,AB36)&gt;1,NOT(ISBLANK(AB36)))</formula>
    </cfRule>
    <cfRule type="expression" dxfId="1463" priority="2855" stopIfTrue="1">
      <formula>AND(COUNTIF($C$58:$C$64971,AB36)+COUNTIF($C$5:$C$56,AB36)+COUNTIF(#REF!,AB36)+COUNTIF($C$1:$C$4,AB36)+COUNTIF(#REF!,AB36)+COUNTIF(#REF!,AB36)+COUNTIF(#REF!,AB36)+COUNTIF(#REF!,AB36)+COUNTIF(#REF!,AB36)+COUNTIF(#REF!,AB36)+COUNTIF(#REF!,AB36)+COUNTIF(#REF!,AB36)+COUNTIF(#REF!,AB36)+COUNTIF(#REF!,AB36)+COUNTIF(#REF!,AB36)+COUNTIF(#REF!,AB36)+COUNTIF(#REF!,AB36)&gt;1,NOT(ISBLANK(AB36)))</formula>
    </cfRule>
    <cfRule type="duplicateValues" dxfId="1462" priority="2850" stopIfTrue="1"/>
    <cfRule type="duplicateValues" dxfId="1461" priority="2849"/>
    <cfRule type="duplicateValues" dxfId="1460" priority="2848"/>
    <cfRule type="expression" dxfId="1459" priority="2858" stopIfTrue="1">
      <formula>AND(COUNTIF($C$58:$C$64971,AB36)+COUNTIF($C$5:$C$56,AB36)+COUNTIF(#REF!,AB36)+COUNTIF($C$1:$C$4,AB36)+COUNTIF(#REF!,AB36)+COUNTIF(#REF!,AB36)+COUNTIF(#REF!,AB36)+COUNTIF(#REF!,AB36)+COUNTIF(#REF!,AB36)+COUNTIF(#REF!,AB36)+COUNTIF(#REF!,AB36)+COUNTIF(#REF!,AB36)+COUNTIF(#REF!,AB36)+COUNTIF(#REF!,AB36)+COUNTIF(#REF!,AB36)+COUNTIF(#REF!,AB36)&gt;1,NOT(ISBLANK(AB36)))</formula>
    </cfRule>
    <cfRule type="expression" dxfId="1458" priority="2859" stopIfTrue="1">
      <formula>AND(COUNTIF($C$5:$C$64971,AB36)+COUNTIF(#REF!,AB36)+COUNTIF($C$1:$C$4,AB36)+COUNTIF(#REF!,AB36)+COUNTIF(#REF!,AB36)+COUNTIF(#REF!,AB36)+COUNTIF(#REF!,AB36)+COUNTIF(#REF!,AB36)&gt;1,NOT(ISBLANK(AB36)))</formula>
    </cfRule>
    <cfRule type="expression" dxfId="1457" priority="2860" stopIfTrue="1">
      <formula>AND(COUNTIF($C$5:$C$56,AB36)+COUNTIF(#REF!,AB36)+COUNTIF($C$1:$C$4,AB36)+COUNTIF(#REF!,AB36)+COUNTIF(#REF!,AB36)+COUNTIF(#REF!,AB36)+COUNTIF(#REF!,AB36)+COUNTIF(#REF!,AB36)+COUNTIF(#REF!,AB36)+COUNTIF(#REF!,AB36)+COUNTIF(#REF!,AB36)+COUNTIF(#REF!,AB36)+COUNTIF(#REF!,AB36)+COUNTIF(#REF!,AB36)+COUNTIF(#REF!,AB36)+COUNTIF(#REF!,AB36)+COUNTIF(#REF!,AB36)+COUNTIF(#REF!,AB36)+COUNTIF(#REF!,AB36)+COUNTIF(#REF!,AB36)+COUNTIF($C$58:$C$64533,AB36)+COUNTIF(#REF!,AB36)+COUNTIF(#REF!,AB36)+COUNTIF(#REF!,AB36)&gt;1,NOT(ISBLANK(AB36)))</formula>
    </cfRule>
  </conditionalFormatting>
  <conditionalFormatting sqref="AB37">
    <cfRule type="expression" dxfId="1456" priority="142" stopIfTrue="1">
      <formula>AND(COUNTIF($C$58:$C$64971,AB37)+COUNTIF($C$5:$C$56,AB37)+COUNTIF(#REF!,AB37)+COUNTIF($C$1:$C$4,AB37)+COUNTIF(#REF!,AB37)+COUNTIF(#REF!,AB37)+COUNTIF(#REF!,AB37)+COUNTIF(#REF!,AB37)+COUNTIF(#REF!,AB37)+COUNTIF(#REF!,AB37)+COUNTIF(#REF!,AB37)+COUNTIF(#REF!,AB37)+COUNTIF(#REF!,AB37)+COUNTIF(#REF!,AB37)+COUNTIF(#REF!,AB37)+COUNTIF(#REF!,AB37)&gt;1,NOT(ISBLANK(AB37)))</formula>
    </cfRule>
    <cfRule type="expression" dxfId="1455" priority="141" stopIfTrue="1">
      <formula>AND(COUNTIF($C$58:$C$64971,AB37)+COUNTIF($C$5:$C$56,AB37)+COUNTIF($C$1:$C$4,AB37)+COUNTIF(#REF!,AB37)+COUNTIF(#REF!,AB37)+COUNTIF(#REF!,AB37)+COUNTIF(#REF!,AB37)+COUNTIF(#REF!,AB37)+COUNTIF(#REF!,AB37)+COUNTIF(#REF!,AB37)+COUNTIF(#REF!,AB37)+COUNTIF(#REF!,AB37)+COUNTIF(#REF!,AB37)+COUNTIF(#REF!,AB37)+COUNTIF(#REF!,AB37)+COUNTIF(#REF!,AB37)+COUNTIF(#REF!,AB37)&gt;1,NOT(ISBLANK(AB37)))</formula>
    </cfRule>
    <cfRule type="expression" dxfId="1454" priority="140" stopIfTrue="1">
      <formula>AND(COUNTIF($C$58:$C$64971,AB37)+COUNTIF($C$5:$C$56,AB37)+COUNTIF(#REF!,AB37)+COUNTIF($C$1:$C$4,AB37)+COUNTIF(#REF!,AB37)+COUNTIF(#REF!,AB37)+COUNTIF(#REF!,AB37)+COUNTIF(#REF!,AB37)+COUNTIF(#REF!,AB37)+COUNTIF(#REF!,AB37)+COUNTIF(#REF!,AB37)+COUNTIF(#REF!,AB37)+COUNTIF(#REF!,AB37)+COUNTIF(#REF!,AB37)+COUNTIF(#REF!,AB37)+COUNTIF(#REF!,AB37)+COUNTIF(#REF!,AB37)&gt;1,NOT(ISBLANK(AB37)))</formula>
    </cfRule>
    <cfRule type="expression" dxfId="1453" priority="139" stopIfTrue="1">
      <formula>AND(COUNTIF(#REF!,AB37)+COUNTIF(#REF!,AB37)&gt;1,NOT(ISBLANK(AB37)))</formula>
    </cfRule>
    <cfRule type="duplicateValues" dxfId="1452" priority="138"/>
    <cfRule type="expression" dxfId="1451" priority="143" stopIfTrue="1">
      <formula>AND(COUNTIF($C$5:$C$64971,AB37)+COUNTIF(#REF!,AB37)+COUNTIF($C$1:$C$4,AB37)+COUNTIF(#REF!,AB37)+COUNTIF(#REF!,AB37)+COUNTIF(#REF!,AB37)+COUNTIF(#REF!,AB37)+COUNTIF(#REF!,AB37)&gt;1,NOT(ISBLANK(AB37)))</formula>
    </cfRule>
  </conditionalFormatting>
  <conditionalFormatting sqref="AB38">
    <cfRule type="duplicateValues" dxfId="1450" priority="2875"/>
    <cfRule type="expression" dxfId="1449" priority="2876" stopIfTrue="1">
      <formula>AND(COUNTIF($AB$5:$AB$64971,AB38)+COUNTIF(#REF!,AB38)+COUNTIF($AB$1:$AB$4,AB38)+COUNTIF(#REF!,AB38)+COUNTIF(#REF!,AB38)+COUNTIF(#REF!,AB38)+COUNTIF(#REF!,AB38)+COUNTIF(#REF!,AB38)+COUNTIF(#REF!,AB38)+COUNTIF(#REF!,AB38)+COUNTIF(#REF!,AB38)+COUNTIF(#REF!,AB38)+COUNTIF(#REF!,AB38)+COUNTIF(#REF!,AB38)+COUNTIF(#REF!,AB38)+COUNTIF(#REF!,AB38)+COUNTIF(#REF!,AB38)+COUNTIF(#REF!,AB38)&gt;1,NOT(ISBLANK(AB38)))</formula>
    </cfRule>
  </conditionalFormatting>
  <conditionalFormatting sqref="AB39">
    <cfRule type="duplicateValues" dxfId="1448" priority="2683"/>
    <cfRule type="duplicateValues" dxfId="1447" priority="2682"/>
  </conditionalFormatting>
  <conditionalFormatting sqref="AB40">
    <cfRule type="duplicateValues" dxfId="1446" priority="233"/>
    <cfRule type="duplicateValues" dxfId="1445" priority="235"/>
  </conditionalFormatting>
  <conditionalFormatting sqref="AB42">
    <cfRule type="duplicateValues" dxfId="1444" priority="167"/>
    <cfRule type="duplicateValues" dxfId="1443" priority="168"/>
  </conditionalFormatting>
  <conditionalFormatting sqref="AB43">
    <cfRule type="duplicateValues" dxfId="1442" priority="172"/>
    <cfRule type="duplicateValues" dxfId="1441" priority="173"/>
  </conditionalFormatting>
  <conditionalFormatting sqref="AB44:AB52">
    <cfRule type="duplicateValues" dxfId="1440" priority="2460"/>
    <cfRule type="duplicateValues" dxfId="1439" priority="2461"/>
  </conditionalFormatting>
  <pageMargins left="0" right="0" top="0" bottom="0.156944444444444" header="0" footer="0"/>
  <pageSetup paperSize="9" scale="85"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0070C0"/>
  </sheetPr>
  <dimension ref="A1:BW44"/>
  <sheetViews>
    <sheetView workbookViewId="0">
      <pane xSplit="2" ySplit="5" topLeftCell="BC6" activePane="bottomRight" state="frozen"/>
      <selection pane="topRight"/>
      <selection pane="bottomLeft"/>
      <selection pane="bottomRight" activeCell="BN25" sqref="BN25:BO26"/>
    </sheetView>
  </sheetViews>
  <sheetFormatPr defaultColWidth="9" defaultRowHeight="14.4"/>
  <cols>
    <col min="1" max="1" width="6.44140625" style="30" customWidth="1"/>
    <col min="2" max="2" width="8.109375" style="30" customWidth="1"/>
    <col min="3" max="3" width="9.6640625" style="30" customWidth="1"/>
    <col min="4" max="4" width="6.77734375" style="30" customWidth="1"/>
    <col min="5" max="5" width="10.6640625" style="1387" customWidth="1"/>
    <col min="6" max="7" width="16.109375" style="30" customWidth="1"/>
    <col min="8" max="8" width="6.77734375" style="30" customWidth="1"/>
    <col min="9" max="9" width="11" style="1387" customWidth="1"/>
    <col min="10" max="10" width="17.21875" style="1387" customWidth="1"/>
    <col min="11" max="11" width="9.109375" style="1387" customWidth="1"/>
    <col min="12" max="12" width="7.77734375" style="1387" customWidth="1"/>
    <col min="13" max="13" width="11.21875" style="1387" customWidth="1"/>
    <col min="14" max="14" width="15" style="30" customWidth="1"/>
    <col min="15" max="15" width="9.109375" style="30" customWidth="1"/>
    <col min="16" max="16" width="11" style="1387" customWidth="1"/>
    <col min="17" max="17" width="14" style="30" customWidth="1"/>
    <col min="18" max="18" width="9.77734375" style="30" customWidth="1"/>
    <col min="19" max="19" width="6.88671875" style="30" customWidth="1"/>
    <col min="20" max="20" width="8.44140625" style="1388" customWidth="1"/>
    <col min="21" max="21" width="6.88671875" style="30" customWidth="1"/>
    <col min="22" max="22" width="12.21875" style="1387" customWidth="1"/>
    <col min="23" max="23" width="13.44140625" style="30" customWidth="1"/>
    <col min="24" max="24" width="8.77734375" style="30" customWidth="1"/>
    <col min="25" max="25" width="7.21875" style="30" customWidth="1"/>
    <col min="26" max="26" width="9.77734375" style="1387" customWidth="1"/>
    <col min="27" max="27" width="13.44140625" style="30" customWidth="1"/>
    <col min="28" max="28" width="8.77734375" style="30" customWidth="1"/>
    <col min="29" max="29" width="7.21875" style="30" customWidth="1"/>
    <col min="30" max="30" width="9.77734375" style="1387" customWidth="1"/>
    <col min="31" max="31" width="7" style="30" customWidth="1"/>
    <col min="32" max="34" width="9.33203125" style="30" customWidth="1"/>
    <col min="35" max="35" width="11" style="30" customWidth="1"/>
    <col min="36" max="36" width="8.44140625" style="30" customWidth="1"/>
    <col min="37" max="37" width="7.109375" style="30" customWidth="1"/>
    <col min="38" max="38" width="7.44140625" style="30" customWidth="1"/>
    <col min="39" max="39" width="15.6640625" style="1387" customWidth="1"/>
    <col min="40" max="40" width="6.44140625" style="30" customWidth="1"/>
    <col min="41" max="41" width="7.33203125" style="30" customWidth="1"/>
    <col min="42" max="42" width="8.21875" style="30" customWidth="1"/>
    <col min="43" max="43" width="7" style="1387" customWidth="1"/>
    <col min="44" max="44" width="6.88671875" style="30" customWidth="1"/>
    <col min="45" max="45" width="6.77734375" style="30" customWidth="1"/>
    <col min="46" max="47" width="8.77734375" style="30" customWidth="1"/>
    <col min="48" max="49" width="8.77734375" style="1387" customWidth="1"/>
    <col min="50" max="53" width="11" style="1387" customWidth="1"/>
    <col min="54" max="54" width="7.77734375" style="1387" customWidth="1"/>
    <col min="55" max="55" width="8.109375" style="1387" customWidth="1"/>
    <col min="56" max="56" width="9.88671875" style="1389" customWidth="1"/>
    <col min="57" max="57" width="8.6640625" style="1387" customWidth="1"/>
    <col min="58" max="58" width="11" style="1387" customWidth="1"/>
    <col min="59" max="59" width="11.6640625" style="1387" customWidth="1"/>
    <col min="60" max="61" width="10.33203125" style="30" customWidth="1"/>
    <col min="62" max="62" width="11.6640625" style="1387" customWidth="1"/>
    <col min="63" max="63" width="13.109375" style="30" customWidth="1"/>
    <col min="64" max="65" width="10.109375" style="30" customWidth="1"/>
    <col min="66" max="68" width="12.77734375" style="1388" customWidth="1"/>
    <col min="69" max="69" width="15.6640625" style="1388" customWidth="1"/>
    <col min="70" max="70" width="12.77734375" style="1388" customWidth="1"/>
    <col min="71" max="71" width="13.33203125" style="30" customWidth="1"/>
    <col min="72" max="72" width="19.33203125" style="30" customWidth="1"/>
    <col min="73" max="73" width="14.33203125" style="30" customWidth="1"/>
    <col min="74" max="75" width="12.6640625" style="1388" customWidth="1"/>
    <col min="76" max="16384" width="9" style="30"/>
  </cols>
  <sheetData>
    <row r="1" spans="1:75" ht="22.65" customHeight="1">
      <c r="A1" s="1698" t="s">
        <v>247</v>
      </c>
      <c r="B1" s="1699"/>
      <c r="C1" s="1699"/>
      <c r="D1" s="1699"/>
      <c r="E1" s="1699"/>
      <c r="F1" s="1699"/>
      <c r="G1" s="1699"/>
      <c r="H1" s="1699"/>
      <c r="I1" s="1699"/>
      <c r="J1" s="1699"/>
      <c r="K1" s="1390"/>
      <c r="L1" s="1390"/>
      <c r="M1" s="1390"/>
      <c r="BO1" s="1391"/>
    </row>
    <row r="2" spans="1:75" s="1383" customFormat="1" ht="14.25" customHeight="1">
      <c r="A2" s="1741" t="s">
        <v>248</v>
      </c>
      <c r="B2" s="1747" t="s">
        <v>33</v>
      </c>
      <c r="C2" s="1700" t="s">
        <v>249</v>
      </c>
      <c r="D2" s="1701"/>
      <c r="E2" s="1701"/>
      <c r="F2" s="1702"/>
      <c r="G2" s="1702"/>
      <c r="H2" s="1702"/>
      <c r="I2" s="1702"/>
      <c r="J2" s="1702"/>
      <c r="K2" s="1702"/>
      <c r="L2" s="1702"/>
      <c r="M2" s="1702"/>
      <c r="N2" s="1702"/>
      <c r="O2" s="1702"/>
      <c r="P2" s="1702"/>
      <c r="Q2" s="1702"/>
      <c r="R2" s="1702"/>
      <c r="S2" s="1702"/>
      <c r="T2" s="1702"/>
      <c r="U2" s="1702"/>
      <c r="V2" s="1702"/>
      <c r="W2" s="1702"/>
      <c r="X2" s="1393"/>
      <c r="Y2" s="1393"/>
      <c r="Z2" s="1394"/>
      <c r="AA2" s="1394"/>
      <c r="AB2" s="1393"/>
      <c r="AC2" s="1393"/>
      <c r="AD2" s="1394"/>
      <c r="AE2" s="1393"/>
      <c r="AF2" s="1393"/>
      <c r="AG2" s="1393"/>
      <c r="AH2" s="1393"/>
      <c r="AI2" s="1393"/>
      <c r="AJ2" s="1393"/>
      <c r="AK2" s="1393"/>
      <c r="AL2" s="1393"/>
      <c r="AM2" s="1394"/>
      <c r="AN2" s="1393"/>
      <c r="AO2" s="1393"/>
      <c r="AP2" s="1393"/>
      <c r="AQ2" s="1394"/>
      <c r="AR2" s="1393"/>
      <c r="AS2" s="1393"/>
      <c r="AT2" s="1393"/>
      <c r="AU2" s="1393"/>
      <c r="AV2" s="1394"/>
      <c r="AW2" s="1394"/>
      <c r="AX2" s="1394"/>
      <c r="AY2" s="1394"/>
      <c r="AZ2" s="1394"/>
      <c r="BA2" s="1394"/>
      <c r="BB2" s="1394"/>
      <c r="BC2" s="1394"/>
      <c r="BD2" s="1395"/>
      <c r="BE2" s="1394"/>
      <c r="BF2" s="1394"/>
      <c r="BG2" s="1396"/>
      <c r="BH2" s="1392"/>
      <c r="BI2" s="1397"/>
      <c r="BJ2" s="1396"/>
      <c r="BK2" s="1703" t="s">
        <v>250</v>
      </c>
      <c r="BL2" s="1704"/>
      <c r="BM2" s="1704"/>
      <c r="BN2" s="1705"/>
      <c r="BO2" s="1752" t="s">
        <v>251</v>
      </c>
      <c r="BP2" s="1398"/>
      <c r="BQ2" s="1398"/>
      <c r="BV2" s="1398"/>
      <c r="BW2" s="1398"/>
    </row>
    <row r="3" spans="1:75" s="1383" customFormat="1" ht="25.5" customHeight="1">
      <c r="A3" s="1742"/>
      <c r="B3" s="1748"/>
      <c r="C3" s="1706" t="s">
        <v>252</v>
      </c>
      <c r="D3" s="1707"/>
      <c r="E3" s="1708"/>
      <c r="F3" s="1709" t="s">
        <v>253</v>
      </c>
      <c r="G3" s="1710"/>
      <c r="H3" s="1710"/>
      <c r="I3" s="1711"/>
      <c r="J3" s="1712" t="s">
        <v>254</v>
      </c>
      <c r="K3" s="1713"/>
      <c r="L3" s="1713"/>
      <c r="M3" s="1714"/>
      <c r="N3" s="1715" t="s">
        <v>255</v>
      </c>
      <c r="O3" s="1716"/>
      <c r="P3" s="1717"/>
      <c r="Q3" s="1718" t="s">
        <v>256</v>
      </c>
      <c r="R3" s="1719"/>
      <c r="S3" s="1719"/>
      <c r="T3" s="1719"/>
      <c r="U3" s="1719"/>
      <c r="V3" s="1719"/>
      <c r="W3" s="1720" t="s">
        <v>257</v>
      </c>
      <c r="X3" s="1721"/>
      <c r="Y3" s="1721"/>
      <c r="Z3" s="1721"/>
      <c r="AA3" s="1722" t="s">
        <v>258</v>
      </c>
      <c r="AB3" s="1716"/>
      <c r="AC3" s="1716"/>
      <c r="AD3" s="1716"/>
      <c r="AE3" s="1723" t="s">
        <v>259</v>
      </c>
      <c r="AF3" s="1723"/>
      <c r="AG3" s="1723"/>
      <c r="AH3" s="1723"/>
      <c r="AI3" s="1723"/>
      <c r="AJ3" s="1723"/>
      <c r="AK3" s="1723"/>
      <c r="AL3" s="1723"/>
      <c r="AM3" s="1724"/>
      <c r="AN3" s="1725" t="s">
        <v>260</v>
      </c>
      <c r="AO3" s="1726"/>
      <c r="AP3" s="1726"/>
      <c r="AQ3" s="1727"/>
      <c r="AR3" s="1728" t="s">
        <v>261</v>
      </c>
      <c r="AS3" s="1729"/>
      <c r="AT3" s="1729"/>
      <c r="AU3" s="1729"/>
      <c r="AV3" s="1730"/>
      <c r="AW3" s="1399" t="s">
        <v>262</v>
      </c>
      <c r="AX3" s="1400" t="s">
        <v>263</v>
      </c>
      <c r="AY3" s="1399" t="s">
        <v>264</v>
      </c>
      <c r="AZ3" s="1400" t="s">
        <v>260</v>
      </c>
      <c r="BA3" s="1401" t="s">
        <v>265</v>
      </c>
      <c r="BB3" s="1731" t="s">
        <v>266</v>
      </c>
      <c r="BC3" s="1732"/>
      <c r="BD3" s="1732"/>
      <c r="BE3" s="1732"/>
      <c r="BF3" s="1733"/>
      <c r="BG3" s="1750" t="s">
        <v>232</v>
      </c>
      <c r="BH3" s="1734" t="s">
        <v>267</v>
      </c>
      <c r="BI3" s="1735"/>
      <c r="BJ3" s="1750" t="s">
        <v>232</v>
      </c>
      <c r="BK3" s="1736"/>
      <c r="BL3" s="1737"/>
      <c r="BM3" s="1737"/>
      <c r="BN3" s="1738"/>
      <c r="BO3" s="1753"/>
      <c r="BP3" s="1398"/>
      <c r="BQ3" s="1398"/>
      <c r="BV3" s="1398"/>
      <c r="BW3" s="1398"/>
    </row>
    <row r="4" spans="1:75" s="1384" customFormat="1" ht="44.4" customHeight="1">
      <c r="A4" s="1743"/>
      <c r="B4" s="1749"/>
      <c r="C4" s="1402" t="s">
        <v>268</v>
      </c>
      <c r="D4" s="1403" t="s">
        <v>269</v>
      </c>
      <c r="E4" s="1404" t="s">
        <v>252</v>
      </c>
      <c r="F4" s="1405" t="s">
        <v>270</v>
      </c>
      <c r="G4" s="1405" t="s">
        <v>271</v>
      </c>
      <c r="H4" s="1405" t="s">
        <v>272</v>
      </c>
      <c r="I4" s="1406" t="s">
        <v>273</v>
      </c>
      <c r="J4" s="1407" t="s">
        <v>270</v>
      </c>
      <c r="K4" s="1407" t="s">
        <v>271</v>
      </c>
      <c r="L4" s="1407" t="s">
        <v>272</v>
      </c>
      <c r="M4" s="1407" t="s">
        <v>254</v>
      </c>
      <c r="N4" s="1408" t="s">
        <v>274</v>
      </c>
      <c r="O4" s="1408" t="s">
        <v>272</v>
      </c>
      <c r="P4" s="1409" t="s">
        <v>255</v>
      </c>
      <c r="Q4" s="1410" t="s">
        <v>275</v>
      </c>
      <c r="R4" s="1410" t="s">
        <v>271</v>
      </c>
      <c r="S4" s="1410" t="s">
        <v>272</v>
      </c>
      <c r="T4" s="1411" t="s">
        <v>276</v>
      </c>
      <c r="U4" s="1410" t="s">
        <v>272</v>
      </c>
      <c r="V4" s="1412" t="s">
        <v>256</v>
      </c>
      <c r="W4" s="1413" t="s">
        <v>277</v>
      </c>
      <c r="X4" s="1413" t="s">
        <v>271</v>
      </c>
      <c r="Y4" s="1413" t="s">
        <v>272</v>
      </c>
      <c r="Z4" s="1414" t="s">
        <v>257</v>
      </c>
      <c r="AA4" s="1408" t="s">
        <v>278</v>
      </c>
      <c r="AB4" s="1408" t="s">
        <v>271</v>
      </c>
      <c r="AC4" s="1408" t="s">
        <v>272</v>
      </c>
      <c r="AD4" s="1409" t="s">
        <v>279</v>
      </c>
      <c r="AE4" s="1415" t="s">
        <v>280</v>
      </c>
      <c r="AF4" s="1415" t="s">
        <v>281</v>
      </c>
      <c r="AG4" s="1416" t="s">
        <v>282</v>
      </c>
      <c r="AH4" s="1416" t="s">
        <v>283</v>
      </c>
      <c r="AI4" s="1415" t="s">
        <v>271</v>
      </c>
      <c r="AJ4" s="1415" t="s">
        <v>284</v>
      </c>
      <c r="AK4" s="1415" t="s">
        <v>285</v>
      </c>
      <c r="AL4" s="1415" t="s">
        <v>286</v>
      </c>
      <c r="AM4" s="1417" t="s">
        <v>287</v>
      </c>
      <c r="AN4" s="1418" t="s">
        <v>288</v>
      </c>
      <c r="AO4" s="1418" t="s">
        <v>271</v>
      </c>
      <c r="AP4" s="1418" t="s">
        <v>269</v>
      </c>
      <c r="AQ4" s="1419" t="s">
        <v>260</v>
      </c>
      <c r="AR4" s="1420" t="s">
        <v>289</v>
      </c>
      <c r="AS4" s="1420" t="s">
        <v>290</v>
      </c>
      <c r="AT4" s="1420" t="s">
        <v>271</v>
      </c>
      <c r="AU4" s="1420" t="s">
        <v>269</v>
      </c>
      <c r="AV4" s="1421" t="s">
        <v>291</v>
      </c>
      <c r="AW4" s="1422" t="s">
        <v>292</v>
      </c>
      <c r="AX4" s="1422" t="s">
        <v>293</v>
      </c>
      <c r="AY4" s="1422" t="s">
        <v>294</v>
      </c>
      <c r="AZ4" s="1422" t="s">
        <v>295</v>
      </c>
      <c r="BA4" s="1422" t="s">
        <v>296</v>
      </c>
      <c r="BB4" s="1423" t="s">
        <v>297</v>
      </c>
      <c r="BC4" s="1423" t="s">
        <v>271</v>
      </c>
      <c r="BD4" s="1424" t="s">
        <v>269</v>
      </c>
      <c r="BE4" s="1423" t="s">
        <v>298</v>
      </c>
      <c r="BF4" s="1412" t="s">
        <v>266</v>
      </c>
      <c r="BG4" s="1751"/>
      <c r="BH4" s="1425" t="s">
        <v>299</v>
      </c>
      <c r="BI4" s="1426" t="s">
        <v>9</v>
      </c>
      <c r="BJ4" s="1751"/>
      <c r="BK4" s="1427" t="s">
        <v>300</v>
      </c>
      <c r="BL4" s="1428" t="s">
        <v>301</v>
      </c>
      <c r="BM4" s="1428" t="s">
        <v>302</v>
      </c>
      <c r="BN4" s="1429" t="s">
        <v>303</v>
      </c>
      <c r="BO4" s="1754"/>
      <c r="BP4" s="1279" t="s">
        <v>304</v>
      </c>
      <c r="BQ4" s="1279"/>
      <c r="BV4" s="1279"/>
      <c r="BW4" s="1279"/>
    </row>
    <row r="5" spans="1:75" ht="26.4" customHeight="1">
      <c r="A5" s="1430"/>
      <c r="B5" s="1431" t="s">
        <v>183</v>
      </c>
      <c r="C5" s="1432"/>
      <c r="D5" s="1432"/>
      <c r="E5" s="1433"/>
      <c r="F5" s="1432"/>
      <c r="G5" s="1432"/>
      <c r="H5" s="1432"/>
      <c r="I5" s="1433"/>
      <c r="J5" s="1433"/>
      <c r="K5" s="1433"/>
      <c r="L5" s="1433"/>
      <c r="M5" s="1433"/>
      <c r="N5" s="1432"/>
      <c r="O5" s="1434"/>
      <c r="P5" s="1433"/>
      <c r="Q5" s="1432"/>
      <c r="R5" s="1432"/>
      <c r="S5" s="1432"/>
      <c r="T5" s="1435"/>
      <c r="U5" s="1432"/>
      <c r="V5" s="1433"/>
      <c r="W5" s="1432"/>
      <c r="X5" s="1432"/>
      <c r="Y5" s="1432"/>
      <c r="Z5" s="1433"/>
      <c r="AA5" s="1432"/>
      <c r="AB5" s="1432"/>
      <c r="AC5" s="1432"/>
      <c r="AD5" s="1433"/>
      <c r="AE5" s="1436"/>
      <c r="AF5" s="1436"/>
      <c r="AG5" s="1436"/>
      <c r="AH5" s="1436"/>
      <c r="AI5" s="1436"/>
      <c r="AJ5" s="1436"/>
      <c r="AK5" s="1436"/>
      <c r="AL5" s="1436"/>
      <c r="AM5" s="1433"/>
      <c r="AN5" s="1432"/>
      <c r="AO5" s="1432"/>
      <c r="AP5" s="1432"/>
      <c r="AQ5" s="1433"/>
      <c r="AR5" s="1437"/>
      <c r="AS5" s="1437"/>
      <c r="AT5" s="1432"/>
      <c r="AU5" s="1432"/>
      <c r="AV5" s="1433"/>
      <c r="AW5" s="1433"/>
      <c r="AX5" s="1433"/>
      <c r="AY5" s="1433"/>
      <c r="AZ5" s="1433"/>
      <c r="BA5" s="1433"/>
      <c r="BB5" s="1433"/>
      <c r="BC5" s="1433"/>
      <c r="BD5" s="1433"/>
      <c r="BE5" s="1433"/>
      <c r="BF5" s="1433"/>
      <c r="BG5" s="1438"/>
      <c r="BH5" s="1439"/>
      <c r="BI5" s="1432"/>
      <c r="BJ5" s="1438"/>
      <c r="BK5" s="1440"/>
      <c r="BL5" s="1432"/>
      <c r="BM5" s="1432"/>
      <c r="BN5" s="1438"/>
      <c r="BO5" s="1441"/>
      <c r="BR5" s="30"/>
      <c r="BS5" s="30" t="e">
        <f>F5/C5</f>
        <v>#DIV/0!</v>
      </c>
      <c r="BT5" s="30" t="s">
        <v>305</v>
      </c>
      <c r="BU5" s="30" t="s">
        <v>306</v>
      </c>
      <c r="BV5" s="1388" t="s">
        <v>307</v>
      </c>
      <c r="BW5" s="1388" t="s">
        <v>308</v>
      </c>
    </row>
    <row r="6" spans="1:75" s="44" customFormat="1" ht="23.25" customHeight="1">
      <c r="A6" s="1744" t="s">
        <v>309</v>
      </c>
      <c r="B6" s="1442" t="s">
        <v>268</v>
      </c>
      <c r="C6" s="1443">
        <f>INDEX('2026-5任务'!C:C,MATCH(B6,'2026-5任务'!A:A,0))+INDEX('2026-5任务'!D:D,MATCH(B6,'2026-5任务'!A:A,0))+INDEX('2026-5任务'!G:G,MATCH(B6,'2026-5任务'!A:A,0))+INDEX('2026-5任务'!E:E,MATCH(B6,'2026-5任务'!A:A,0))</f>
        <v>0</v>
      </c>
      <c r="D6" s="1443"/>
      <c r="E6" s="1444">
        <f t="shared" ref="E6:E15" si="0">C6*D6</f>
        <v>0</v>
      </c>
      <c r="F6" s="1445">
        <f>INDEX('2026-5任务'!X:X,MATCH(B6,'2026-5任务'!A:A,0))-INDEX('2026-5任务'!R:R,MATCH(B6,'2026-5任务'!A:A,0))-INDEX('2026-5任务'!U:U,MATCH(B6,'2026-5任务'!A:A,0))</f>
        <v>0</v>
      </c>
      <c r="G6" s="1446">
        <f>INDEX('2026-5任务'!W:W,MATCH(B6,'2026-5任务'!A:A,0))</f>
        <v>0</v>
      </c>
      <c r="H6" s="1447">
        <v>0.02</v>
      </c>
      <c r="I6" s="1443">
        <f t="shared" ref="I6:I15" si="1">F6*H6*0.95</f>
        <v>0</v>
      </c>
      <c r="J6" s="1448">
        <f>INDEX('2026-5任务'!R:R,MATCH(B6,'2026-5任务'!A:A,0))+INDEX('2026-5任务'!U:U,MATCH(B6,'2026-5任务'!A:A,0))</f>
        <v>0</v>
      </c>
      <c r="K6" s="1449"/>
      <c r="L6" s="1447">
        <v>1.6E-2</v>
      </c>
      <c r="M6" s="1448">
        <f t="shared" ref="M6:M15" si="2">J6*L6*0.95</f>
        <v>0</v>
      </c>
      <c r="N6" s="1445">
        <f>INDEX('2026-5任务'!AN:AN,MATCH(B6,'2026-5任务'!A:A,0))+INDEX('2026-5任务'!AO:AO,MATCH(B6,'2026-5任务'!A:A,0))</f>
        <v>0</v>
      </c>
      <c r="O6" s="1450">
        <v>5.0000000000000001E-3</v>
      </c>
      <c r="P6" s="1451">
        <f t="shared" ref="P6:P29" si="3">(N6*O6)*0.95</f>
        <v>0</v>
      </c>
      <c r="Q6" s="1445">
        <f>INDEX('2026-5任务'!Z:Z,MATCH(B6,'2026-5任务'!A:A,0))</f>
        <v>0</v>
      </c>
      <c r="R6" s="1446">
        <f>INDEX('2026-5任务'!AB:AB,MATCH(B6,'2026-5任务'!A:A,0))</f>
        <v>0</v>
      </c>
      <c r="S6" s="1452">
        <v>0.06</v>
      </c>
      <c r="T6" s="1445">
        <f>INDEX('2026-5任务'!AA:AA,MATCH(B6,'2026-5任务'!A:A,0))</f>
        <v>0</v>
      </c>
      <c r="U6" s="1452">
        <v>0.1</v>
      </c>
      <c r="V6" s="1453">
        <f t="shared" ref="V6:V15" si="4">(Q6*S6)*0.95+T6*U6</f>
        <v>0</v>
      </c>
      <c r="W6" s="1453">
        <f>INDEX('2026-5任务'!AD:AD,MATCH(B6,'2026-5任务'!A:A,0))</f>
        <v>0</v>
      </c>
      <c r="X6" s="1446">
        <f>INDEX('2026-5任务'!AF:AF,MATCH(B6,'2026-5任务'!A:A,0))</f>
        <v>0</v>
      </c>
      <c r="Y6" s="1452">
        <v>0.08</v>
      </c>
      <c r="Z6" s="1451">
        <f t="shared" ref="Z6:Z15" si="5">(W6*Y6)*0.95</f>
        <v>0</v>
      </c>
      <c r="AA6" s="1453">
        <f>INDEX('2026-5任务'!AF:AF,MATCH(F6,'2026-5任务'!E:E,0))</f>
        <v>0</v>
      </c>
      <c r="AB6" s="1446">
        <f>INDEX('2026-5任务'!AK:AK,MATCH(F6,'2026-5任务'!E:E,0))</f>
        <v>0</v>
      </c>
      <c r="AC6" s="1305">
        <v>0.1</v>
      </c>
      <c r="AD6" s="1451">
        <f t="shared" ref="AD6:AD15" si="6">(AA6*AC6)*0.95</f>
        <v>0</v>
      </c>
      <c r="AE6" s="1443">
        <f>INDEX('2026-5任务'!AV:AV,MATCH($B6,'2026-5任务'!A:A,0))</f>
        <v>0</v>
      </c>
      <c r="AF6" s="1443">
        <f>INDEX('2026-5任务'!AU:AU,MATCH('05月业务提成'!B6,'2026-5任务'!A:A,0))</f>
        <v>0</v>
      </c>
      <c r="AG6" s="1443">
        <v>0</v>
      </c>
      <c r="AH6" s="1443">
        <v>0</v>
      </c>
      <c r="AI6" s="1454">
        <f>INDEX('2026-5任务'!AW:AW,MATCH(B6,'2026-5任务'!A:A,0))</f>
        <v>0</v>
      </c>
      <c r="AJ6" s="1443">
        <v>35</v>
      </c>
      <c r="AK6" s="1443">
        <v>25</v>
      </c>
      <c r="AL6" s="1443">
        <v>50</v>
      </c>
      <c r="AM6" s="1448">
        <f t="shared" ref="AM6:AM15" si="7">(AE6*AJ6+AF6*AK6)+IF(AG6=AH6,AG6*AL6,IF(AG6&gt;AH6,(AG6*50+(AG6-AH6)*30),IF(AG6&lt;AH6,AG6*AL6-(AH6-AG6)*50)))</f>
        <v>0</v>
      </c>
      <c r="AN6" s="1443">
        <f>INDEX('2026-5任务'!BJ:BJ,MATCH(B6,'2026-5任务'!A:A,0))</f>
        <v>0</v>
      </c>
      <c r="AO6" s="1445"/>
      <c r="AP6" s="1443">
        <v>25</v>
      </c>
      <c r="AQ6" s="1449">
        <f>AN6*AP6</f>
        <v>0</v>
      </c>
      <c r="AR6" s="1443">
        <f>INDEX('2026-5任务'!BN:BN,MATCH(B6,'2026-5任务'!A:A,0))</f>
        <v>0</v>
      </c>
      <c r="AS6" s="1443">
        <f>INDEX('2026-5任务'!BM:BM,MATCH(B6,'2026-5任务'!A:A,0))</f>
        <v>0</v>
      </c>
      <c r="AT6" s="1452">
        <f>INDEX('2026-5任务'!BO:BO,MATCH(B6,'2026-5任务'!A:A,0))</f>
        <v>0</v>
      </c>
      <c r="AU6" s="1443">
        <v>20</v>
      </c>
      <c r="AV6" s="1449">
        <f t="shared" ref="AV6:AV15" si="8">IF(AT6&gt;=0.8,AS6*AU6,AS6*AU6+AR6*AU6)</f>
        <v>0</v>
      </c>
      <c r="AW6" s="1448">
        <f>INDEX('2026-5任务'!BA:BA,MATCH(B6,'2026-5任务'!A:A,0))</f>
        <v>0</v>
      </c>
      <c r="AX6" s="1448">
        <f>INDEX('2026-5任务'!BB:BB,MATCH(B6,'2026-5任务'!A:A,0))</f>
        <v>0</v>
      </c>
      <c r="AY6" s="1448">
        <f>INDEX('2026-5任务'!BG:BG,MATCH(B6,'2026-5任务'!A:A,0))</f>
        <v>0</v>
      </c>
      <c r="AZ6" s="1448">
        <f>INDEX('2026-5任务'!BE:BE,MATCH(B6,'2026-5任务'!A:A,0))</f>
        <v>0</v>
      </c>
      <c r="BA6" s="1448">
        <f>SUMIF('4月续保推荐事故'!I:I,'05月业务提成'!B6,'4月续保推荐事故'!L:L)</f>
        <v>0</v>
      </c>
      <c r="BB6" s="1444"/>
      <c r="BC6" s="1449"/>
      <c r="BD6" s="1449"/>
      <c r="BE6" s="1455"/>
      <c r="BF6" s="1456">
        <f t="shared" ref="BF6:BF15" si="9">BB6*BD6</f>
        <v>0</v>
      </c>
      <c r="BG6" s="1457">
        <f>(E6+I6+M6+P6+V6+Z6+AM6+AQ6+AW6+AX6+AY6+BF6+AV6+AZ6+BA6)</f>
        <v>0</v>
      </c>
      <c r="BH6" s="1458"/>
      <c r="BI6" s="1459"/>
      <c r="BJ6" s="1460">
        <f t="shared" ref="BJ6:BJ15" si="10">BG6+BH6+BI6</f>
        <v>0</v>
      </c>
      <c r="BK6" s="1461"/>
      <c r="BL6" s="1445"/>
      <c r="BM6" s="1445"/>
      <c r="BN6" s="1445">
        <f>SUMIF('05月业务提成'!C:C,'05月业务提成'!B6,'05月业务提成'!O:O)+SUMIF('05基本'!C:C,'05月业务提成'!B6,'05基本'!N:N)</f>
        <v>0</v>
      </c>
      <c r="BO6" s="1462">
        <f>BJ6-BK6+BL6+BM6</f>
        <v>0</v>
      </c>
      <c r="BP6" s="1391">
        <f>SUMIF('05月提成-武侯售后'!C:C,'05月业务提成'!B6,'05月提成-武侯售后'!K:K)</f>
        <v>0</v>
      </c>
      <c r="BQ6" s="1391">
        <f t="shared" ref="BQ6:BQ15" si="11">BP6-BO6</f>
        <v>0</v>
      </c>
      <c r="BR6" s="1463"/>
      <c r="BS6" s="1464"/>
      <c r="BT6" s="1465"/>
      <c r="BU6" s="1465"/>
      <c r="BV6" s="1465"/>
      <c r="BW6" s="1465"/>
    </row>
    <row r="7" spans="1:75" s="1385" customFormat="1" ht="18" customHeight="1">
      <c r="A7" s="1745"/>
      <c r="B7" s="1466" t="s">
        <v>61</v>
      </c>
      <c r="C7" s="1443">
        <f>INDEX('2026-5任务'!C:C,MATCH(B7,'2026-5任务'!A:A,0))+INDEX('2026-5任务'!D:D,MATCH(B7,'2026-5任务'!A:A,0))+INDEX('2026-5任务'!G:G,MATCH(B7,'2026-5任务'!A:A,0))+INDEX('2026-5任务'!E:E,MATCH(B7,'2026-5任务'!A:A,0))</f>
        <v>288</v>
      </c>
      <c r="D7" s="1303">
        <v>4</v>
      </c>
      <c r="E7" s="1467">
        <f t="shared" si="0"/>
        <v>1152</v>
      </c>
      <c r="F7" s="1445">
        <f>INDEX('2026-5任务'!X:X,MATCH(B7,'2026-5任务'!A:A,0))-J7</f>
        <v>64872.61</v>
      </c>
      <c r="G7" s="1454">
        <f>INDEX('2026-5任务'!W:W,MATCH(B7,'2026-5任务'!A:A,0))</f>
        <v>1.2240115094339601</v>
      </c>
      <c r="H7" s="1468">
        <v>0.02</v>
      </c>
      <c r="I7" s="1443">
        <f t="shared" si="1"/>
        <v>1232.5795900000001</v>
      </c>
      <c r="J7" s="1448">
        <f>INDEX('2026-5任务'!R:R,MATCH(B7,'2026-5任务'!A:A,0))+INDEX('2026-5任务'!U:U,MATCH(B7,'2026-5任务'!A:A,0))</f>
        <v>0</v>
      </c>
      <c r="K7" s="1469"/>
      <c r="L7" s="1468">
        <v>1.6E-2</v>
      </c>
      <c r="M7" s="1448">
        <f t="shared" si="2"/>
        <v>0</v>
      </c>
      <c r="N7" s="1445">
        <f>INDEX('2026-5任务'!AN:AN,MATCH(B7,'2026-5任务'!A:A,0))+INDEX('2026-5任务'!AO:AO,MATCH(B7,'2026-5任务'!A:A,0))</f>
        <v>137639.85</v>
      </c>
      <c r="O7" s="1304">
        <v>5.0000000000000001E-3</v>
      </c>
      <c r="P7" s="1451">
        <f t="shared" si="3"/>
        <v>653.7892875</v>
      </c>
      <c r="Q7" s="1470">
        <f>INDEX('2026-5任务'!Z:Z,MATCH(B7,'2026-5任务'!A:A,0))+INDEX('2026-5任务'!AA:AA,MATCH(B7,'2026-5任务'!A:A,0))</f>
        <v>18046</v>
      </c>
      <c r="R7" s="1454">
        <f>INDEX('2026-5任务'!AB:AB,MATCH(B7,'2026-5任务'!A:A,0))</f>
        <v>0.76791489361702103</v>
      </c>
      <c r="S7" s="1305">
        <v>0.06</v>
      </c>
      <c r="T7" s="1445">
        <f>INDEX('2026-5任务'!AA:AA,MATCH(B7,'2026-5任务'!A:A,0))</f>
        <v>0</v>
      </c>
      <c r="U7" s="1452">
        <v>0.1</v>
      </c>
      <c r="V7" s="1453">
        <f t="shared" si="4"/>
        <v>1028.6220000000001</v>
      </c>
      <c r="W7" s="1471">
        <f>INDEX('2026-5任务'!AD:AD,MATCH(B7,'2026-5任务'!A:A,0))</f>
        <v>9421.89</v>
      </c>
      <c r="X7" s="1454">
        <f>INDEX('2026-5任务'!AF:AF,MATCH(B7,'2026-5任务'!A:A,0))</f>
        <v>0.67554944444444498</v>
      </c>
      <c r="Y7" s="1305">
        <v>0.08</v>
      </c>
      <c r="Z7" s="1451">
        <f t="shared" si="5"/>
        <v>716.06363999999996</v>
      </c>
      <c r="AA7" s="1453">
        <f>INDEX('2026-5任务'!AJ:AJ,MATCH(B7,'2026-5任务'!A:A,0))</f>
        <v>12938</v>
      </c>
      <c r="AB7" s="1454">
        <f>INDEX('2026-5任务'!AK:AK,MATCH(B7,'2026-5任务'!A:A,0))</f>
        <v>0.99523076923076903</v>
      </c>
      <c r="AC7" s="1305">
        <v>0.1</v>
      </c>
      <c r="AD7" s="1451">
        <f t="shared" si="6"/>
        <v>1229.1099999999999</v>
      </c>
      <c r="AE7" s="1443">
        <f>INDEX('2026-5任务'!AV:AV,MATCH($B7,'2026-5任务'!A:A,0))</f>
        <v>2</v>
      </c>
      <c r="AF7" s="1443">
        <f>INDEX('2026-5任务'!AU:AU,MATCH('05月业务提成'!B7,'2026-5任务'!A:A,0))</f>
        <v>7</v>
      </c>
      <c r="AG7" s="1443">
        <f>INDEX('2026-5任务'!AR:AR,MATCH('05月业务提成'!B7,'2026-5任务'!A:A,0))</f>
        <v>18</v>
      </c>
      <c r="AH7" s="1443">
        <f>INDEX('2026-5任务'!AQ:AQ,MATCH('05月业务提成'!B7,'2026-5任务'!A:A,0))</f>
        <v>12</v>
      </c>
      <c r="AI7" s="1454">
        <f>INDEX('2026-5任务'!AW:AW,MATCH(B7,'2026-5任务'!A:A,0))</f>
        <v>0.45</v>
      </c>
      <c r="AJ7" s="1443">
        <v>35</v>
      </c>
      <c r="AK7" s="1443">
        <v>25</v>
      </c>
      <c r="AL7" s="1443">
        <v>50</v>
      </c>
      <c r="AM7" s="1448">
        <f t="shared" si="7"/>
        <v>1325</v>
      </c>
      <c r="AN7" s="1443"/>
      <c r="AO7" s="1469"/>
      <c r="AP7" s="1303">
        <v>25</v>
      </c>
      <c r="AQ7" s="1449">
        <f>AN7*AP7</f>
        <v>0</v>
      </c>
      <c r="AR7" s="1443">
        <f>INDEX('2026-5任务'!BN:BN,MATCH(B7,'2026-5任务'!A:A,0))</f>
        <v>0</v>
      </c>
      <c r="AS7" s="1443">
        <f>INDEX('2026-5任务'!BM:BM,MATCH(B7,'2026-5任务'!A:A,0))</f>
        <v>0</v>
      </c>
      <c r="AT7" s="1342">
        <f>INDEX('2026-5任务'!BO:BO,MATCH(B7,'2026-5任务'!A:A,0))</f>
        <v>0</v>
      </c>
      <c r="AU7" s="1303">
        <v>20</v>
      </c>
      <c r="AV7" s="1449">
        <f t="shared" si="8"/>
        <v>0</v>
      </c>
      <c r="AW7" s="1448">
        <f>INDEX('2026-5任务'!BA:BA,MATCH(B7,'2026-5任务'!A:A,0))</f>
        <v>0</v>
      </c>
      <c r="AX7" s="1448"/>
      <c r="AY7" s="1448">
        <f>INDEX('2026-5任务'!BG:BG,MATCH(B7,'2026-5任务'!A:A,0))</f>
        <v>100</v>
      </c>
      <c r="AZ7" s="1448">
        <f>INDEX('2026-5任务'!BE:BE,MATCH(B7,'2026-5任务'!A:A,0))</f>
        <v>50</v>
      </c>
      <c r="BA7" s="1448">
        <f>SUMIF('4月续保推荐事故'!I:I,'05月业务提成'!B7,'4月续保推荐事故'!L:L)</f>
        <v>0</v>
      </c>
      <c r="BB7" s="1467">
        <f>INDEX('2026-5任务'!BC:BC,MATCH('05月业务提成'!B7,'2026-5任务'!A:A,0))</f>
        <v>0</v>
      </c>
      <c r="BC7" s="1472"/>
      <c r="BD7" s="1332">
        <v>200</v>
      </c>
      <c r="BE7" s="1469"/>
      <c r="BF7" s="1456">
        <f t="shared" si="9"/>
        <v>0</v>
      </c>
      <c r="BG7" s="1460">
        <f t="shared" ref="BG7:BG12" si="12">(E7+I7+M7+P7+V7+Z7+AM7+AQ7+AW7+AX7+AY7+BF7+AV7+AZ7+BA7+AD7)</f>
        <v>7487.1645175000003</v>
      </c>
      <c r="BH7" s="1458"/>
      <c r="BI7" s="1459"/>
      <c r="BJ7" s="1460">
        <f t="shared" si="10"/>
        <v>7487.1645175000003</v>
      </c>
      <c r="BK7" s="1461">
        <f>INDEX('05月提成-武侯售后'!I:I,MATCH(B7,'05月提成-武侯售后'!C:C,0))</f>
        <v>932</v>
      </c>
      <c r="BL7" s="1445">
        <f>INDEX('05月提成-武侯售后'!J:J,MATCH(B7,'05月提成-武侯售后'!C:C,0))</f>
        <v>0</v>
      </c>
      <c r="BM7" s="1469"/>
      <c r="BN7" s="1445">
        <f>SUMIF('05月业务提成'!C:C,'05月业务提成'!B7,'05月业务提成'!O:O)+SUMIF('05基本'!C:C,'05月业务提成'!B7,'05基本'!N:N)</f>
        <v>0</v>
      </c>
      <c r="BO7" s="1473">
        <f>BJ7-BK7+BL7+BM7</f>
        <v>6555.1645175000003</v>
      </c>
      <c r="BP7" s="1474">
        <f>SUMIF('05月提成-武侯售后'!C:C,'05月业务提成'!B7,'05月提成-武侯售后'!K:K)</f>
        <v>6555.1645175000003</v>
      </c>
      <c r="BQ7" s="1391">
        <f t="shared" si="11"/>
        <v>0</v>
      </c>
      <c r="BR7" s="1463">
        <f t="shared" ref="BR7:BR14" si="13">BO7/C7</f>
        <v>22.760987907986099</v>
      </c>
      <c r="BS7" s="1464">
        <f t="shared" ref="BS7:BS14" si="14">F7/C7</f>
        <v>225.252118055556</v>
      </c>
      <c r="BT7" s="1465">
        <f t="shared" ref="BT7:BT14" si="15">F7/C7</f>
        <v>225.252118055556</v>
      </c>
      <c r="BU7" s="1465">
        <f t="shared" ref="BU7:BU14" si="16">N7/C7</f>
        <v>477.91614583333302</v>
      </c>
      <c r="BV7" s="1465">
        <f t="shared" ref="BV7:BV14" si="17">Q7/C7</f>
        <v>62.6597222222222</v>
      </c>
      <c r="BW7" s="1465">
        <f t="shared" ref="BW7:BW14" si="18">W7/C7</f>
        <v>32.714895833333301</v>
      </c>
    </row>
    <row r="8" spans="1:75" s="1386" customFormat="1" ht="18.75" customHeight="1">
      <c r="A8" s="1745"/>
      <c r="B8" s="1466" t="s">
        <v>62</v>
      </c>
      <c r="C8" s="1443">
        <f>INDEX('2026-5任务'!C:C,MATCH(B8,'2026-5任务'!A:A,0))+INDEX('2026-5任务'!D:D,MATCH(B8,'2026-5任务'!A:A,0))+INDEX('2026-5任务'!G:G,MATCH(B8,'2026-5任务'!A:A,0))+INDEX('2026-5任务'!E:E,MATCH(B8,'2026-5任务'!A:A,0))</f>
        <v>159</v>
      </c>
      <c r="D8" s="1467">
        <v>4</v>
      </c>
      <c r="E8" s="1467">
        <f t="shared" si="0"/>
        <v>636</v>
      </c>
      <c r="F8" s="1445">
        <f>INDEX('2026-5任务'!X:X,MATCH(B8,'2026-5任务'!A:A,0))-J8</f>
        <v>40928.32</v>
      </c>
      <c r="G8" s="1454">
        <f>INDEX('2026-5任务'!W:W,MATCH(B8,'2026-5任务'!A:A,0))</f>
        <v>0.77223245283018904</v>
      </c>
      <c r="H8" s="1475">
        <v>0.02</v>
      </c>
      <c r="I8" s="1443">
        <f t="shared" si="1"/>
        <v>777.63807999999995</v>
      </c>
      <c r="J8" s="1448">
        <f>INDEX('2026-5任务'!R:R,MATCH(B8,'2026-5任务'!A:A,0))+INDEX('2026-5任务'!U:U,MATCH(B8,'2026-5任务'!A:A,0))</f>
        <v>0</v>
      </c>
      <c r="K8" s="1476"/>
      <c r="L8" s="1475">
        <v>1.6E-2</v>
      </c>
      <c r="M8" s="1448">
        <f t="shared" si="2"/>
        <v>0</v>
      </c>
      <c r="N8" s="1445">
        <f>INDEX('2026-5任务'!AN:AN,MATCH(B8,'2026-5任务'!A:A,0))+INDEX('2026-5任务'!AO:AO,MATCH(B8,'2026-5任务'!A:A,0))</f>
        <v>81171.97</v>
      </c>
      <c r="O8" s="1477">
        <v>5.0000000000000001E-3</v>
      </c>
      <c r="P8" s="1451">
        <f t="shared" si="3"/>
        <v>385.56685750000003</v>
      </c>
      <c r="Q8" s="1470">
        <f>INDEX('2026-5任务'!Z:Z,MATCH(B8,'2026-5任务'!A:A,0))+INDEX('2026-5任务'!AA:AA,MATCH(B8,'2026-5任务'!A:A,0))</f>
        <v>15196</v>
      </c>
      <c r="R8" s="1454">
        <f>INDEX('2026-5任务'!AB:AB,MATCH(B8,'2026-5任务'!A:A,0))</f>
        <v>0.64663829787233995</v>
      </c>
      <c r="S8" s="1342">
        <v>0.06</v>
      </c>
      <c r="T8" s="1445">
        <f>INDEX('2026-5任务'!AA:AA,MATCH(B8,'2026-5任务'!A:A,0))</f>
        <v>0</v>
      </c>
      <c r="U8" s="1452">
        <v>0.1</v>
      </c>
      <c r="V8" s="1453">
        <f t="shared" si="4"/>
        <v>866.17200000000003</v>
      </c>
      <c r="W8" s="1471">
        <f>INDEX('2026-5任务'!AD:AD,MATCH(B8,'2026-5任务'!A:A,0))</f>
        <v>7058.68</v>
      </c>
      <c r="X8" s="1454">
        <f>INDEX('2026-5任务'!AF:AF,MATCH(B8,'2026-5任务'!A:A,0))</f>
        <v>0.40737111111111102</v>
      </c>
      <c r="Y8" s="1342">
        <v>0.08</v>
      </c>
      <c r="Z8" s="1451">
        <f t="shared" si="5"/>
        <v>536.45968000000005</v>
      </c>
      <c r="AA8" s="1453">
        <f>INDEX('2026-5任务'!AJ:AJ,MATCH(B8,'2026-5任务'!A:A,0))</f>
        <v>7956</v>
      </c>
      <c r="AB8" s="1454">
        <f>INDEX('2026-5任务'!AK:AK,MATCH(B8,'2026-5任务'!A:A,0))</f>
        <v>0.61199999999999999</v>
      </c>
      <c r="AC8" s="1305">
        <v>0.1</v>
      </c>
      <c r="AD8" s="1451">
        <f t="shared" si="6"/>
        <v>755.82</v>
      </c>
      <c r="AE8" s="1443">
        <f>INDEX('2026-5任务'!AV:AV,MATCH($B8,'2026-5任务'!A:A,0))</f>
        <v>0</v>
      </c>
      <c r="AF8" s="1443">
        <f>INDEX('2026-5任务'!AU:AU,MATCH('05月业务提成'!B8,'2026-5任务'!A:A,0))</f>
        <v>6</v>
      </c>
      <c r="AG8" s="1443">
        <f>INDEX('2026-5任务'!AR:AR,MATCH('05月业务提成'!B8,'2026-5任务'!A:A,0))</f>
        <v>17</v>
      </c>
      <c r="AH8" s="1443">
        <f>INDEX('2026-5任务'!AQ:AQ,MATCH('05月业务提成'!B8,'2026-5任务'!A:A,0))</f>
        <v>12</v>
      </c>
      <c r="AI8" s="1454">
        <f>INDEX('2026-5任务'!AW:AW,MATCH(B8,'2026-5任务'!A:A,0))</f>
        <v>0.3</v>
      </c>
      <c r="AJ8" s="1443">
        <v>35</v>
      </c>
      <c r="AK8" s="1443">
        <v>25</v>
      </c>
      <c r="AL8" s="1443">
        <v>50</v>
      </c>
      <c r="AM8" s="1448">
        <f t="shared" si="7"/>
        <v>1150</v>
      </c>
      <c r="AN8" s="1467">
        <f>INDEX('2026-5任务'!BJ:BJ,MATCH(B8,'2026-5任务'!A:A,0))</f>
        <v>0</v>
      </c>
      <c r="AO8" s="1476"/>
      <c r="AP8" s="1467">
        <v>25</v>
      </c>
      <c r="AQ8" s="1449">
        <f t="shared" ref="AQ8:AQ15" si="19">AN8*AP8</f>
        <v>0</v>
      </c>
      <c r="AR8" s="1443">
        <f>INDEX('2026-5任务'!BN:BN,MATCH(B8,'2026-5任务'!A:A,0))</f>
        <v>0</v>
      </c>
      <c r="AS8" s="1443">
        <f>INDEX('2026-5任务'!BM:BM,MATCH(B8,'2026-5任务'!A:A,0))</f>
        <v>0</v>
      </c>
      <c r="AT8" s="1342">
        <f>INDEX('2026-5任务'!BO:BO,MATCH(B8,'2026-5任务'!A:A,0))</f>
        <v>0</v>
      </c>
      <c r="AU8" s="1467">
        <v>20</v>
      </c>
      <c r="AV8" s="1449">
        <f t="shared" si="8"/>
        <v>0</v>
      </c>
      <c r="AW8" s="1448">
        <f>INDEX('2026-5任务'!BA:BA,MATCH(B8,'2026-5任务'!A:A,0))</f>
        <v>0</v>
      </c>
      <c r="AX8" s="1448"/>
      <c r="AY8" s="1448">
        <f>INDEX('2026-5任务'!BG:BG,MATCH(B8,'2026-5任务'!A:A,0))</f>
        <v>0</v>
      </c>
      <c r="AZ8" s="1448">
        <f>INDEX('2026-5任务'!BE:BE,MATCH(B8,'2026-5任务'!A:A,0))</f>
        <v>0</v>
      </c>
      <c r="BA8" s="1448">
        <f>SUMIF('4月续保推荐事故'!I:I,'05月业务提成'!B8,'4月续保推荐事故'!L:L)</f>
        <v>0</v>
      </c>
      <c r="BB8" s="1467">
        <f>INDEX('2026-5任务'!BC:BC,MATCH('05月业务提成'!B8,'2026-5任务'!A:A,0))</f>
        <v>0</v>
      </c>
      <c r="BC8" s="1342"/>
      <c r="BD8" s="1332">
        <v>200</v>
      </c>
      <c r="BE8" s="1476"/>
      <c r="BF8" s="1456">
        <f t="shared" si="9"/>
        <v>0</v>
      </c>
      <c r="BG8" s="1460">
        <f t="shared" si="12"/>
        <v>5107.6566174999998</v>
      </c>
      <c r="BH8" s="1458"/>
      <c r="BI8" s="1478"/>
      <c r="BJ8" s="1460">
        <f t="shared" si="10"/>
        <v>5107.6566174999998</v>
      </c>
      <c r="BK8" s="1461">
        <f>INDEX('05月提成-武侯售后'!I:I,MATCH(B8,'05月提成-武侯售后'!C:C,0))</f>
        <v>932</v>
      </c>
      <c r="BL8" s="1445">
        <f>INDEX('05月提成-武侯售后'!J:J,MATCH(B8,'05月提成-武侯售后'!C:C,0))</f>
        <v>0</v>
      </c>
      <c r="BM8" s="1469"/>
      <c r="BN8" s="1445">
        <f>SUMIF('05月业务提成'!C:C,'05月业务提成'!B8,'05月业务提成'!O:O)+SUMIF('05基本'!C:C,'05月业务提成'!B8,'05基本'!N:N)</f>
        <v>0</v>
      </c>
      <c r="BO8" s="1473">
        <f t="shared" ref="BO8:BO29" si="20">BJ8-BK8+BL8+BM8</f>
        <v>4175.6566174999998</v>
      </c>
      <c r="BP8" s="1474">
        <f>SUMIF('05月提成-武侯售后'!C:C,'05月业务提成'!B8,'05月提成-武侯售后'!K:K)</f>
        <v>4175.6566174999998</v>
      </c>
      <c r="BQ8" s="1391">
        <f t="shared" si="11"/>
        <v>0</v>
      </c>
      <c r="BR8" s="1463">
        <f t="shared" si="13"/>
        <v>26.261991305031401</v>
      </c>
      <c r="BS8" s="1479">
        <f t="shared" si="14"/>
        <v>257.41081761006302</v>
      </c>
      <c r="BT8" s="1465">
        <f t="shared" si="15"/>
        <v>257.41081761006302</v>
      </c>
      <c r="BU8" s="1465">
        <f t="shared" si="16"/>
        <v>510.51553459119498</v>
      </c>
      <c r="BV8" s="1465">
        <f t="shared" si="17"/>
        <v>95.572327044025201</v>
      </c>
      <c r="BW8" s="1465">
        <f t="shared" si="18"/>
        <v>44.394213836478002</v>
      </c>
    </row>
    <row r="9" spans="1:75" s="1386" customFormat="1" ht="18.75" customHeight="1">
      <c r="A9" s="1745"/>
      <c r="B9" s="1480" t="s">
        <v>74</v>
      </c>
      <c r="C9" s="1443">
        <f>INDEX('2026-5任务'!C:C,MATCH(B9,'2026-5任务'!A:A,0))+INDEX('2026-5任务'!D:D,MATCH(B9,'2026-5任务'!A:A,0))+INDEX('2026-5任务'!G:G,MATCH(B9,'2026-5任务'!A:A,0))+INDEX('2026-5任务'!E:E,MATCH(B9,'2026-5任务'!A:A,0))</f>
        <v>264</v>
      </c>
      <c r="D9" s="1467">
        <v>4</v>
      </c>
      <c r="E9" s="1467">
        <f t="shared" si="0"/>
        <v>1056</v>
      </c>
      <c r="F9" s="1445">
        <f>INDEX('2026-5任务'!X:X,MATCH(B9,'2026-5任务'!A:A,0))-J9</f>
        <v>40106.15</v>
      </c>
      <c r="G9" s="1454">
        <f>INDEX('2026-5任务'!W:W,MATCH(B9,'2026-5任务'!A:A,0))</f>
        <v>0.75671981132075505</v>
      </c>
      <c r="H9" s="1475">
        <v>0.02</v>
      </c>
      <c r="I9" s="1443">
        <f t="shared" si="1"/>
        <v>762.01684999999998</v>
      </c>
      <c r="J9" s="1448">
        <f>INDEX('2026-5任务'!R:R,MATCH(B9,'2026-5任务'!A:A,0))+INDEX('2026-5任务'!U:U,MATCH(B9,'2026-5任务'!A:A,0))</f>
        <v>0</v>
      </c>
      <c r="K9" s="1476"/>
      <c r="L9" s="1475">
        <v>1.6E-2</v>
      </c>
      <c r="M9" s="1448">
        <f t="shared" si="2"/>
        <v>0</v>
      </c>
      <c r="N9" s="1445">
        <f>INDEX('2026-5任务'!AN:AN,MATCH(B9,'2026-5任务'!A:A,0))+INDEX('2026-5任务'!AO:AO,MATCH(B9,'2026-5任务'!A:A,0))</f>
        <v>147294.14000000001</v>
      </c>
      <c r="O9" s="1477">
        <v>5.0000000000000001E-3</v>
      </c>
      <c r="P9" s="1451">
        <f t="shared" si="3"/>
        <v>699.64716499999997</v>
      </c>
      <c r="Q9" s="1470">
        <f>INDEX('2026-5任务'!Z:Z,MATCH(B9,'2026-5任务'!A:A,0))+INDEX('2026-5任务'!AA:AA,MATCH(B9,'2026-5任务'!A:A,0))</f>
        <v>19368</v>
      </c>
      <c r="R9" s="1454">
        <f>INDEX('2026-5任务'!AB:AB,MATCH(B9,'2026-5任务'!A:A,0))</f>
        <v>0.82417021276595703</v>
      </c>
      <c r="S9" s="1342">
        <v>0.06</v>
      </c>
      <c r="T9" s="1445"/>
      <c r="U9" s="1452">
        <v>0.1</v>
      </c>
      <c r="V9" s="1453">
        <f t="shared" si="4"/>
        <v>1103.9760000000001</v>
      </c>
      <c r="W9" s="1471">
        <f>INDEX('2026-5任务'!AD:AD,MATCH(B9,'2026-5任务'!A:A,0))</f>
        <v>9094.85</v>
      </c>
      <c r="X9" s="1454">
        <f>INDEX('2026-5任务'!AF:AF,MATCH(B9,'2026-5任务'!A:A,0))</f>
        <v>0.67154722222222196</v>
      </c>
      <c r="Y9" s="1342">
        <v>0.08</v>
      </c>
      <c r="Z9" s="1451">
        <f t="shared" si="5"/>
        <v>691.20860000000005</v>
      </c>
      <c r="AA9" s="1453">
        <f>INDEX('2026-5任务'!AJ:AJ,MATCH(B9,'2026-5任务'!A:A,0))</f>
        <v>13480</v>
      </c>
      <c r="AB9" s="1454">
        <f>INDEX('2026-5任务'!AK:AK,MATCH(B9,'2026-5任务'!A:A,0))</f>
        <v>1.0369230769230799</v>
      </c>
      <c r="AC9" s="1305">
        <v>0.1</v>
      </c>
      <c r="AD9" s="1451">
        <f t="shared" si="6"/>
        <v>1280.5999999999999</v>
      </c>
      <c r="AE9" s="1443">
        <f>INDEX('2026-5任务'!AV:AV,MATCH($B9,'2026-5任务'!A:A,0))</f>
        <v>0</v>
      </c>
      <c r="AF9" s="1443">
        <f>INDEX('2026-5任务'!AU:AU,MATCH('05月业务提成'!B9,'2026-5任务'!A:A,0))</f>
        <v>3</v>
      </c>
      <c r="AG9" s="1443">
        <f>INDEX('2026-5任务'!AR:AR,MATCH('05月业务提成'!B9,'2026-5任务'!A:A,0))</f>
        <v>30</v>
      </c>
      <c r="AH9" s="1443">
        <f>INDEX('2026-5任务'!AQ:AQ,MATCH('05月业务提成'!B9,'2026-5任务'!A:A,0))</f>
        <v>12</v>
      </c>
      <c r="AI9" s="1454">
        <f>INDEX('2026-5任务'!AW:AW,MATCH(B9,'2026-5任务'!A:A,0))</f>
        <v>0.15</v>
      </c>
      <c r="AJ9" s="1443">
        <v>35</v>
      </c>
      <c r="AK9" s="1443">
        <v>25</v>
      </c>
      <c r="AL9" s="1443">
        <v>50</v>
      </c>
      <c r="AM9" s="1448">
        <f t="shared" si="7"/>
        <v>2115</v>
      </c>
      <c r="AN9" s="1467"/>
      <c r="AO9" s="1476"/>
      <c r="AP9" s="1467">
        <v>25</v>
      </c>
      <c r="AQ9" s="1449">
        <f t="shared" si="19"/>
        <v>0</v>
      </c>
      <c r="AR9" s="1443">
        <f>INDEX('2026-5任务'!BN:BN,MATCH(B9,'2026-5任务'!A:A,0))</f>
        <v>0</v>
      </c>
      <c r="AS9" s="1443">
        <f>INDEX('2026-5任务'!BM:BM,MATCH(B9,'2026-5任务'!A:A,0))</f>
        <v>0</v>
      </c>
      <c r="AT9" s="1342">
        <f>INDEX('2026-5任务'!BO:BO,MATCH(B9,'2026-5任务'!A:A,0))</f>
        <v>0</v>
      </c>
      <c r="AU9" s="1467">
        <v>20</v>
      </c>
      <c r="AV9" s="1449">
        <f t="shared" si="8"/>
        <v>0</v>
      </c>
      <c r="AW9" s="1448">
        <f>INDEX('2026-5任务'!BA:BA,MATCH(B9,'2026-5任务'!A:A,0))</f>
        <v>0</v>
      </c>
      <c r="AX9" s="1448"/>
      <c r="AY9" s="1448">
        <f>INDEX('2026-5任务'!BG:BG,MATCH(B9,'2026-5任务'!A:A,0))</f>
        <v>20</v>
      </c>
      <c r="AZ9" s="1448">
        <f>INDEX('2026-5任务'!BE:BE,MATCH(B9,'2026-5任务'!A:A,0))</f>
        <v>25</v>
      </c>
      <c r="BA9" s="1448">
        <f>SUMIF('4月续保推荐事故'!I:I,'05月业务提成'!B9,'4月续保推荐事故'!L:L)</f>
        <v>0</v>
      </c>
      <c r="BB9" s="1467">
        <f>INDEX('2026-5任务'!BC:BC,MATCH('05月业务提成'!B9,'2026-5任务'!A:A,0))</f>
        <v>0</v>
      </c>
      <c r="BC9" s="1342"/>
      <c r="BD9" s="1332">
        <v>200</v>
      </c>
      <c r="BE9" s="1476"/>
      <c r="BF9" s="1456">
        <f t="shared" si="9"/>
        <v>0</v>
      </c>
      <c r="BG9" s="1460">
        <f t="shared" si="12"/>
        <v>7753.4486150000002</v>
      </c>
      <c r="BH9" s="1458"/>
      <c r="BI9" s="1478"/>
      <c r="BJ9" s="1460">
        <f t="shared" si="10"/>
        <v>7753.4486150000002</v>
      </c>
      <c r="BK9" s="1461">
        <f>INDEX('05月提成-武侯售后'!I:I,MATCH(B9,'05月提成-武侯售后'!C:C,0))</f>
        <v>932</v>
      </c>
      <c r="BL9" s="1445">
        <f>INDEX('05月提成-武侯售后'!J:J,MATCH(B9,'05月提成-武侯售后'!C:C,0))</f>
        <v>0</v>
      </c>
      <c r="BM9" s="1469"/>
      <c r="BN9" s="1445">
        <f>SUMIF('05月业务提成'!C:C,'05月业务提成'!B9,'05月业务提成'!O:O)+SUMIF('05基本'!C:C,'05月业务提成'!B9,'05基本'!N:N)</f>
        <v>0</v>
      </c>
      <c r="BO9" s="1473">
        <f t="shared" si="20"/>
        <v>6821.4486150000002</v>
      </c>
      <c r="BP9" s="1474">
        <f>SUMIF('05月提成-武侯售后'!C:C,'05月业务提成'!B9,'05月提成-武侯售后'!K:K)</f>
        <v>6821.4486150000002</v>
      </c>
      <c r="BQ9" s="1391">
        <f t="shared" si="11"/>
        <v>0</v>
      </c>
      <c r="BR9" s="1463">
        <f t="shared" si="13"/>
        <v>25.8388205113636</v>
      </c>
      <c r="BS9" s="1479">
        <f t="shared" si="14"/>
        <v>151.91723484848501</v>
      </c>
      <c r="BT9" s="1465">
        <f t="shared" si="15"/>
        <v>151.91723484848501</v>
      </c>
      <c r="BU9" s="1465">
        <f t="shared" si="16"/>
        <v>557.93234848484803</v>
      </c>
      <c r="BV9" s="1465">
        <f t="shared" si="17"/>
        <v>73.363636363636402</v>
      </c>
      <c r="BW9" s="1465">
        <f t="shared" si="18"/>
        <v>34.450189393939397</v>
      </c>
    </row>
    <row r="10" spans="1:75" s="1386" customFormat="1" ht="18.75" customHeight="1">
      <c r="A10" s="1745"/>
      <c r="B10" s="1481" t="s">
        <v>69</v>
      </c>
      <c r="C10" s="1443">
        <f>INDEX('2026-5任务'!C:C,MATCH(B10,'2026-5任务'!A:A,0))+INDEX('2026-5任务'!D:D,MATCH(B10,'2026-5任务'!A:A,0))+INDEX('2026-5任务'!G:G,MATCH(B10,'2026-5任务'!A:A,0))+INDEX('2026-5任务'!E:E,MATCH(B10,'2026-5任务'!A:A,0))</f>
        <v>319</v>
      </c>
      <c r="D10" s="1467">
        <v>4</v>
      </c>
      <c r="E10" s="1467">
        <f t="shared" si="0"/>
        <v>1276</v>
      </c>
      <c r="F10" s="1445">
        <f>INDEX('2026-5任务'!X:X,MATCH(B10,'2026-5任务'!A:A,0))-J10</f>
        <v>65371.35</v>
      </c>
      <c r="G10" s="1454">
        <f>INDEX('2026-5任务'!W:W,MATCH(B10,'2026-5任务'!A:A,0))</f>
        <v>1.3081575471698099</v>
      </c>
      <c r="H10" s="1475">
        <v>0.02</v>
      </c>
      <c r="I10" s="1443">
        <f t="shared" si="1"/>
        <v>1242.05565</v>
      </c>
      <c r="J10" s="1448">
        <f>INDEX('2026-5任务'!R:R,MATCH(B10,'2026-5任务'!A:A,0))+INDEX('2026-5任务'!U:U,MATCH(B10,'2026-5任务'!A:A,0))</f>
        <v>3961</v>
      </c>
      <c r="K10" s="1476"/>
      <c r="L10" s="1475">
        <v>1.6E-2</v>
      </c>
      <c r="M10" s="1448">
        <f t="shared" si="2"/>
        <v>60.2072</v>
      </c>
      <c r="N10" s="1445">
        <f>INDEX('2026-5任务'!AN:AN,MATCH(B10,'2026-5任务'!A:A,0))+INDEX('2026-5任务'!AO:AO,MATCH(B10,'2026-5任务'!A:A,0))</f>
        <v>214631.03</v>
      </c>
      <c r="O10" s="1477">
        <v>5.0000000000000001E-3</v>
      </c>
      <c r="P10" s="1451">
        <f t="shared" si="3"/>
        <v>1019.4973925</v>
      </c>
      <c r="Q10" s="1470">
        <f>INDEX('2026-5任务'!Z:Z,MATCH(B10,'2026-5任务'!A:A,0))+INDEX('2026-5任务'!AA:AA,MATCH(B10,'2026-5任务'!A:A,0))</f>
        <v>23402</v>
      </c>
      <c r="R10" s="1454">
        <f>INDEX('2026-5任务'!AB:AB,MATCH(B10,'2026-5任务'!A:A,0))</f>
        <v>0.99582978723404303</v>
      </c>
      <c r="S10" s="1342">
        <v>0.06</v>
      </c>
      <c r="T10" s="1445">
        <f>INDEX('2026-5任务'!AA:AA,MATCH(B10,'2026-5任务'!A:A,0))</f>
        <v>0</v>
      </c>
      <c r="U10" s="1452">
        <v>0.1</v>
      </c>
      <c r="V10" s="1453">
        <f t="shared" si="4"/>
        <v>1333.914</v>
      </c>
      <c r="W10" s="1471">
        <f>INDEX('2026-5任务'!AD:AD,MATCH(B10,'2026-5任务'!A:A,0))</f>
        <v>16631.93</v>
      </c>
      <c r="X10" s="1454">
        <f>INDEX('2026-5任务'!AF:AF,MATCH(B10,'2026-5任务'!A:A,0))</f>
        <v>1.08199611111111</v>
      </c>
      <c r="Y10" s="1342">
        <v>0.08</v>
      </c>
      <c r="Z10" s="1451">
        <f t="shared" si="5"/>
        <v>1264.0266799999999</v>
      </c>
      <c r="AA10" s="1453">
        <f>INDEX('2026-5任务'!AJ:AJ,MATCH(B10,'2026-5任务'!A:A,0))</f>
        <v>16634</v>
      </c>
      <c r="AB10" s="1454">
        <f>INDEX('2026-5任务'!AK:AK,MATCH(B10,'2026-5任务'!A:A,0))</f>
        <v>1.27953846153846</v>
      </c>
      <c r="AC10" s="1305">
        <v>0.1</v>
      </c>
      <c r="AD10" s="1451">
        <f t="shared" si="6"/>
        <v>1580.23</v>
      </c>
      <c r="AE10" s="1443">
        <f>INDEX('2026-5任务'!AV:AV,MATCH($B10,'2026-5任务'!A:A,0))</f>
        <v>3</v>
      </c>
      <c r="AF10" s="1443">
        <f>INDEX('2026-5任务'!AU:AU,MATCH('05月业务提成'!B10,'2026-5任务'!A:A,0))</f>
        <v>6</v>
      </c>
      <c r="AG10" s="1443">
        <f>INDEX('2026-5任务'!AR:AR,MATCH('05月业务提成'!B10,'2026-5任务'!A:A,0))</f>
        <v>25</v>
      </c>
      <c r="AH10" s="1443">
        <f>INDEX('2026-5任务'!AQ:AQ,MATCH('05月业务提成'!B10,'2026-5任务'!A:A,0))</f>
        <v>12</v>
      </c>
      <c r="AI10" s="1454">
        <f>INDEX('2026-5任务'!AW:AW,MATCH(B10,'2026-5任务'!A:A,0))</f>
        <v>0.45</v>
      </c>
      <c r="AJ10" s="1443">
        <v>35</v>
      </c>
      <c r="AK10" s="1443">
        <v>25</v>
      </c>
      <c r="AL10" s="1443">
        <v>50</v>
      </c>
      <c r="AM10" s="1448">
        <f t="shared" si="7"/>
        <v>1895</v>
      </c>
      <c r="AN10" s="1467">
        <f>INDEX('2026-5任务'!BJ:BJ,MATCH(B10,'2026-5任务'!A:A,0))</f>
        <v>0</v>
      </c>
      <c r="AO10" s="1476"/>
      <c r="AP10" s="1467">
        <v>25</v>
      </c>
      <c r="AQ10" s="1449">
        <f t="shared" si="19"/>
        <v>0</v>
      </c>
      <c r="AR10" s="1443">
        <f>INDEX('2026-5任务'!BN:BN,MATCH(B10,'2026-5任务'!A:A,0))</f>
        <v>0</v>
      </c>
      <c r="AS10" s="1443">
        <f>INDEX('2026-5任务'!BM:BM,MATCH(B10,'2026-5任务'!A:A,0))</f>
        <v>0</v>
      </c>
      <c r="AT10" s="1342">
        <f>INDEX('2026-5任务'!BO:BO,MATCH(B10,'2026-5任务'!A:A,0))</f>
        <v>0</v>
      </c>
      <c r="AU10" s="1467">
        <v>20</v>
      </c>
      <c r="AV10" s="1449">
        <f t="shared" si="8"/>
        <v>0</v>
      </c>
      <c r="AW10" s="1448">
        <f>INDEX('2026-5任务'!BA:BA,MATCH(B10,'2026-5任务'!A:A,0))</f>
        <v>0</v>
      </c>
      <c r="AX10" s="1448"/>
      <c r="AY10" s="1448">
        <f>INDEX('2026-5任务'!BG:BG,MATCH(B10,'2026-5任务'!A:A,0))</f>
        <v>20</v>
      </c>
      <c r="AZ10" s="1448">
        <f>INDEX('2026-5任务'!BE:BE,MATCH(B10,'2026-5任务'!A:A,0))</f>
        <v>75</v>
      </c>
      <c r="BA10" s="1448">
        <f>SUMIF('4月续保推荐事故'!I:I,'05月业务提成'!B10,'4月续保推荐事故'!L:L)</f>
        <v>0</v>
      </c>
      <c r="BB10" s="1467">
        <f>INDEX('2026-5任务'!BC:BC,MATCH('05月业务提成'!B10,'2026-5任务'!A:A,0))</f>
        <v>0</v>
      </c>
      <c r="BC10" s="1342"/>
      <c r="BD10" s="1332">
        <v>200</v>
      </c>
      <c r="BE10" s="1476"/>
      <c r="BF10" s="1456">
        <f t="shared" si="9"/>
        <v>0</v>
      </c>
      <c r="BG10" s="1460">
        <f t="shared" si="12"/>
        <v>9765.9309224999997</v>
      </c>
      <c r="BH10" s="1458"/>
      <c r="BI10" s="1478"/>
      <c r="BJ10" s="1460">
        <f t="shared" si="10"/>
        <v>9765.9309224999997</v>
      </c>
      <c r="BK10" s="1461">
        <f>INDEX('05月提成-武侯售后'!I:I,MATCH(B10,'05月提成-武侯售后'!C:C,0))</f>
        <v>924</v>
      </c>
      <c r="BL10" s="1445">
        <f>INDEX('05月提成-武侯售后'!J:J,MATCH(B10,'05月提成-武侯售后'!C:C,0))</f>
        <v>0</v>
      </c>
      <c r="BM10" s="1469"/>
      <c r="BN10" s="1445">
        <f>SUMIF('05月业务提成'!C:C,'05月业务提成'!B10,'05月业务提成'!O:O)+SUMIF('05基本'!C:C,'05月业务提成'!B10,'05基本'!N:N)</f>
        <v>0</v>
      </c>
      <c r="BO10" s="1473">
        <f t="shared" si="20"/>
        <v>8841.9309224999997</v>
      </c>
      <c r="BP10" s="1474">
        <f>SUMIF('05月提成-武侯售后'!C:C,'05月业务提成'!B10,'05月提成-武侯售后'!K:K)</f>
        <v>8841.9309224999997</v>
      </c>
      <c r="BQ10" s="1391">
        <f t="shared" si="11"/>
        <v>0</v>
      </c>
      <c r="BR10" s="1463">
        <f t="shared" si="13"/>
        <v>27.7176517946708</v>
      </c>
      <c r="BS10" s="1479">
        <f t="shared" si="14"/>
        <v>204.92586206896601</v>
      </c>
      <c r="BT10" s="1465">
        <f t="shared" si="15"/>
        <v>204.92586206896601</v>
      </c>
      <c r="BU10" s="1465">
        <f t="shared" si="16"/>
        <v>672.82454545454596</v>
      </c>
      <c r="BV10" s="1465">
        <f t="shared" si="17"/>
        <v>73.360501567398103</v>
      </c>
      <c r="BW10" s="1465">
        <f t="shared" si="18"/>
        <v>52.137711598746101</v>
      </c>
    </row>
    <row r="11" spans="1:75" s="1386" customFormat="1" ht="18.75" customHeight="1">
      <c r="A11" s="1745"/>
      <c r="B11" s="1481" t="s">
        <v>68</v>
      </c>
      <c r="C11" s="1443">
        <f>INDEX('2026-5任务'!C:C,MATCH(B11,'2026-5任务'!A:A,0))+INDEX('2026-5任务'!D:D,MATCH(B11,'2026-5任务'!A:A,0))+INDEX('2026-5任务'!G:G,MATCH(B11,'2026-5任务'!A:A,0))+INDEX('2026-5任务'!E:E,MATCH(B11,'2026-5任务'!A:A,0))</f>
        <v>250</v>
      </c>
      <c r="D11" s="1467">
        <v>4</v>
      </c>
      <c r="E11" s="1467">
        <f t="shared" si="0"/>
        <v>1000</v>
      </c>
      <c r="F11" s="1445">
        <f>INDEX('2026-5任务'!X:X,MATCH(B11,'2026-5任务'!A:A,0))-J11</f>
        <v>37049.08</v>
      </c>
      <c r="G11" s="1454">
        <f>INDEX('2026-5任务'!W:W,MATCH(B11,'2026-5任务'!A:A,0))</f>
        <v>0.69903924528301897</v>
      </c>
      <c r="H11" s="1475">
        <v>0.02</v>
      </c>
      <c r="I11" s="1443">
        <f t="shared" si="1"/>
        <v>703.93251999999995</v>
      </c>
      <c r="J11" s="1448">
        <f>INDEX('2026-5任务'!R:R,MATCH(B11,'2026-5任务'!A:A,0))+INDEX('2026-5任务'!U:U,MATCH(B11,'2026-5任务'!A:A,0))</f>
        <v>0</v>
      </c>
      <c r="K11" s="1476"/>
      <c r="L11" s="1475">
        <v>1.6E-2</v>
      </c>
      <c r="M11" s="1448">
        <f t="shared" si="2"/>
        <v>0</v>
      </c>
      <c r="N11" s="1445">
        <f>INDEX('2026-5任务'!AN:AN,MATCH(B11,'2026-5任务'!A:A,0))+INDEX('2026-5任务'!AO:AO,MATCH(B11,'2026-5任务'!A:A,0))</f>
        <v>127438.78</v>
      </c>
      <c r="O11" s="1477">
        <v>5.0000000000000001E-3</v>
      </c>
      <c r="P11" s="1451">
        <f t="shared" si="3"/>
        <v>605.334205</v>
      </c>
      <c r="Q11" s="1470">
        <f>INDEX('2026-5任务'!Z:Z,MATCH(B11,'2026-5任务'!A:A,0))+INDEX('2026-5任务'!AA:AA,MATCH(B11,'2026-5任务'!A:A,0))</f>
        <v>26049.27</v>
      </c>
      <c r="R11" s="1454">
        <f>INDEX('2026-5任务'!AB:AB,MATCH(B11,'2026-5任务'!A:A,0))</f>
        <v>1.10847957446808</v>
      </c>
      <c r="S11" s="1342">
        <v>0.06</v>
      </c>
      <c r="T11" s="1445"/>
      <c r="U11" s="1452">
        <v>0.1</v>
      </c>
      <c r="V11" s="1453">
        <f t="shared" si="4"/>
        <v>1484.8083899999999</v>
      </c>
      <c r="W11" s="1471">
        <f>INDEX('2026-5任务'!AD:AD,MATCH(B11,'2026-5任务'!A:A,0))</f>
        <v>10574.65</v>
      </c>
      <c r="X11" s="1454">
        <f>INDEX('2026-5任务'!AF:AF,MATCH(B11,'2026-5任务'!A:A,0))</f>
        <v>0.59236944444444495</v>
      </c>
      <c r="Y11" s="1342">
        <v>0.08</v>
      </c>
      <c r="Z11" s="1451">
        <f t="shared" si="5"/>
        <v>803.67340000000002</v>
      </c>
      <c r="AA11" s="1453">
        <f>INDEX('2026-5任务'!AJ:AJ,MATCH(B11,'2026-5任务'!A:A,0))</f>
        <v>9166</v>
      </c>
      <c r="AB11" s="1454">
        <f>INDEX('2026-5任务'!AK:AK,MATCH(B11,'2026-5任务'!A:A,0))</f>
        <v>0.70507692307692305</v>
      </c>
      <c r="AC11" s="1305">
        <v>0.1</v>
      </c>
      <c r="AD11" s="1451">
        <f t="shared" si="6"/>
        <v>870.77</v>
      </c>
      <c r="AE11" s="1443">
        <f>INDEX('2026-5任务'!AV:AV,MATCH($B11,'2026-5任务'!A:A,0))</f>
        <v>0</v>
      </c>
      <c r="AF11" s="1443">
        <f>INDEX('2026-5任务'!AU:AU,MATCH('05月业务提成'!B11,'2026-5任务'!A:A,0))</f>
        <v>9</v>
      </c>
      <c r="AG11" s="1443">
        <f>INDEX('2026-5任务'!AR:AR,MATCH('05月业务提成'!B11,'2026-5任务'!A:A,0))</f>
        <v>26</v>
      </c>
      <c r="AH11" s="1443">
        <f>INDEX('2026-5任务'!AQ:AQ,MATCH('05月业务提成'!B11,'2026-5任务'!A:A,0))</f>
        <v>12</v>
      </c>
      <c r="AI11" s="1454">
        <f>INDEX('2026-5任务'!AW:AW,MATCH(B11,'2026-5任务'!A:A,0))</f>
        <v>0.45</v>
      </c>
      <c r="AJ11" s="1443">
        <v>35</v>
      </c>
      <c r="AK11" s="1443">
        <v>25</v>
      </c>
      <c r="AL11" s="1443">
        <v>50</v>
      </c>
      <c r="AM11" s="1448">
        <f t="shared" si="7"/>
        <v>1945</v>
      </c>
      <c r="AN11" s="1467"/>
      <c r="AO11" s="1476"/>
      <c r="AP11" s="1467">
        <v>25</v>
      </c>
      <c r="AQ11" s="1449">
        <f t="shared" si="19"/>
        <v>0</v>
      </c>
      <c r="AR11" s="1443">
        <f>INDEX('2026-5任务'!BN:BN,MATCH(B11,'2026-5任务'!A:A,0))</f>
        <v>0</v>
      </c>
      <c r="AS11" s="1443">
        <f>INDEX('2026-5任务'!BM:BM,MATCH(B11,'2026-5任务'!A:A,0))</f>
        <v>0</v>
      </c>
      <c r="AT11" s="1342">
        <f>INDEX('2026-5任务'!BO:BO,MATCH(B11,'2026-5任务'!A:A,0))</f>
        <v>0</v>
      </c>
      <c r="AU11" s="1467">
        <v>20</v>
      </c>
      <c r="AV11" s="1449">
        <f t="shared" si="8"/>
        <v>0</v>
      </c>
      <c r="AW11" s="1448">
        <f>INDEX('2026-5任务'!BA:BA,MATCH(B11,'2026-5任务'!A:A,0))</f>
        <v>0</v>
      </c>
      <c r="AX11" s="1448"/>
      <c r="AY11" s="1448">
        <f>INDEX('2026-5任务'!BG:BG,MATCH(B11,'2026-5任务'!A:A,0))</f>
        <v>60</v>
      </c>
      <c r="AZ11" s="1448">
        <f>INDEX('2026-5任务'!BE:BE,MATCH(B11,'2026-5任务'!A:A,0))</f>
        <v>50</v>
      </c>
      <c r="BA11" s="1448">
        <f>SUMIF('4月续保推荐事故'!I:I,'05月业务提成'!B11,'4月续保推荐事故'!L:L)</f>
        <v>0</v>
      </c>
      <c r="BB11" s="1467">
        <f>INDEX('2026-5任务'!BC:BC,MATCH('05月业务提成'!B11,'2026-5任务'!A:A,0))</f>
        <v>0</v>
      </c>
      <c r="BC11" s="1342"/>
      <c r="BD11" s="1332">
        <v>200</v>
      </c>
      <c r="BE11" s="1476"/>
      <c r="BF11" s="1456"/>
      <c r="BG11" s="1460">
        <f t="shared" si="12"/>
        <v>7523.5185149999998</v>
      </c>
      <c r="BH11" s="1458"/>
      <c r="BI11" s="1478"/>
      <c r="BJ11" s="1460">
        <f t="shared" si="10"/>
        <v>7523.5185149999998</v>
      </c>
      <c r="BK11" s="1461">
        <f>INDEX('05月提成-武侯售后'!I:I,MATCH(B11,'05月提成-武侯售后'!C:C,0))</f>
        <v>932</v>
      </c>
      <c r="BL11" s="1445">
        <f>INDEX('05月提成-武侯售后'!J:J,MATCH(B11,'05月提成-武侯售后'!C:C,0))</f>
        <v>0</v>
      </c>
      <c r="BM11" s="1469"/>
      <c r="BN11" s="1445">
        <f>SUMIF('05月业务提成'!C:C,'05月业务提成'!B11,'05月业务提成'!O:O)+SUMIF('05基本'!C:C,'05月业务提成'!B11,'05基本'!N:N)</f>
        <v>0</v>
      </c>
      <c r="BO11" s="1473">
        <f t="shared" si="20"/>
        <v>6591.5185149999998</v>
      </c>
      <c r="BP11" s="1474">
        <f>SUMIF('05月提成-武侯售后'!C:C,'05月业务提成'!B11,'05月提成-武侯售后'!K:K)</f>
        <v>6591.5185149999998</v>
      </c>
      <c r="BQ11" s="1391">
        <f t="shared" si="11"/>
        <v>0</v>
      </c>
      <c r="BR11" s="1463">
        <f t="shared" si="13"/>
        <v>26.366074059999999</v>
      </c>
      <c r="BS11" s="1479">
        <f t="shared" si="14"/>
        <v>148.19631999999999</v>
      </c>
      <c r="BT11" s="1465">
        <f t="shared" si="15"/>
        <v>148.19631999999999</v>
      </c>
      <c r="BU11" s="1465">
        <f t="shared" si="16"/>
        <v>509.75511999999998</v>
      </c>
      <c r="BV11" s="1465">
        <f t="shared" si="17"/>
        <v>104.19708</v>
      </c>
      <c r="BW11" s="1465">
        <f t="shared" si="18"/>
        <v>42.2986</v>
      </c>
    </row>
    <row r="12" spans="1:75" s="1386" customFormat="1" ht="18.75" customHeight="1">
      <c r="A12" s="1745"/>
      <c r="B12" s="1481" t="s">
        <v>64</v>
      </c>
      <c r="C12" s="1443">
        <f>INDEX('2026-5任务'!C:C,MATCH(B12,'2026-5任务'!A:A,0))+INDEX('2026-5任务'!D:D,MATCH(B12,'2026-5任务'!A:A,0))+INDEX('2026-5任务'!G:G,MATCH(B12,'2026-5任务'!A:A,0))+INDEX('2026-5任务'!E:E,MATCH(B12,'2026-5任务'!A:A,0))</f>
        <v>235</v>
      </c>
      <c r="D12" s="1467">
        <v>4</v>
      </c>
      <c r="E12" s="1467">
        <f t="shared" si="0"/>
        <v>940</v>
      </c>
      <c r="F12" s="1445">
        <f>INDEX('2026-5任务'!X:X,MATCH(B12,'2026-5任务'!A:A,0))-J12</f>
        <v>50575.33</v>
      </c>
      <c r="G12" s="1454">
        <f>INDEX('2026-5任务'!W:W,MATCH(B12,'2026-5任务'!A:A,0))</f>
        <v>0.98519490566037704</v>
      </c>
      <c r="H12" s="1475">
        <v>0.02</v>
      </c>
      <c r="I12" s="1443">
        <f t="shared" si="1"/>
        <v>960.93127000000004</v>
      </c>
      <c r="J12" s="1448">
        <f>INDEX('2026-5任务'!R:R,MATCH(B12,'2026-5任务'!A:A,0))+INDEX('2026-5任务'!U:U,MATCH(B12,'2026-5任务'!A:A,0))</f>
        <v>1640</v>
      </c>
      <c r="K12" s="1476"/>
      <c r="L12" s="1475">
        <v>1.6E-2</v>
      </c>
      <c r="M12" s="1448">
        <f t="shared" si="2"/>
        <v>24.928000000000001</v>
      </c>
      <c r="N12" s="1445">
        <f>INDEX('2026-5任务'!AN:AN,MATCH(B12,'2026-5任务'!A:A,0))+INDEX('2026-5任务'!AO:AO,MATCH(B12,'2026-5任务'!A:A,0))</f>
        <v>181470.78</v>
      </c>
      <c r="O12" s="1477">
        <v>5.0000000000000001E-3</v>
      </c>
      <c r="P12" s="1451">
        <f t="shared" si="3"/>
        <v>861.98620500000004</v>
      </c>
      <c r="Q12" s="1470">
        <f>INDEX('2026-5任务'!Z:Z,MATCH(B12,'2026-5任务'!A:A,0))+INDEX('2026-5任务'!AA:AA,MATCH(B12,'2026-5任务'!A:A,0))</f>
        <v>21178</v>
      </c>
      <c r="R12" s="1454">
        <f>INDEX('2026-5任务'!AB:AB,MATCH(B12,'2026-5任务'!A:A,0))</f>
        <v>0.90119148936170201</v>
      </c>
      <c r="S12" s="1342">
        <v>0.06</v>
      </c>
      <c r="T12" s="1445"/>
      <c r="U12" s="1452">
        <v>0.1</v>
      </c>
      <c r="V12" s="1453">
        <f t="shared" si="4"/>
        <v>1207.146</v>
      </c>
      <c r="W12" s="1471">
        <f>INDEX('2026-5任务'!AD:AD,MATCH(B12,'2026-5任务'!A:A,0))</f>
        <v>11526.67</v>
      </c>
      <c r="X12" s="1454">
        <f>INDEX('2026-5任务'!AF:AF,MATCH(B12,'2026-5任务'!A:A,0))</f>
        <v>0.76887055555555595</v>
      </c>
      <c r="Y12" s="1342">
        <v>0.08</v>
      </c>
      <c r="Z12" s="1451">
        <f t="shared" si="5"/>
        <v>876.02692000000002</v>
      </c>
      <c r="AA12" s="1453">
        <f>INDEX('2026-5任务'!AJ:AJ,MATCH(B12,'2026-5任务'!A:A,0))</f>
        <v>13798</v>
      </c>
      <c r="AB12" s="1454">
        <f>INDEX('2026-5任务'!AK:AK,MATCH(B12,'2026-5任务'!A:A,0))</f>
        <v>1.06138461538462</v>
      </c>
      <c r="AC12" s="1305">
        <v>0.1</v>
      </c>
      <c r="AD12" s="1451">
        <f t="shared" si="6"/>
        <v>1310.81</v>
      </c>
      <c r="AE12" s="1443">
        <f>INDEX('2026-5任务'!AV:AV,MATCH($B12,'2026-5任务'!A:A,0))</f>
        <v>0</v>
      </c>
      <c r="AF12" s="1443">
        <f>INDEX('2026-5任务'!AU:AU,MATCH('05月业务提成'!B12,'2026-5任务'!A:A,0))</f>
        <v>10</v>
      </c>
      <c r="AG12" s="1443">
        <f>INDEX('2026-5任务'!AR:AR,MATCH('05月业务提成'!B12,'2026-5任务'!A:A,0))</f>
        <v>21</v>
      </c>
      <c r="AH12" s="1443">
        <f>INDEX('2026-5任务'!AQ:AQ,MATCH('05月业务提成'!B12,'2026-5任务'!A:A,0))</f>
        <v>12</v>
      </c>
      <c r="AI12" s="1454">
        <f>INDEX('2026-5任务'!AW:AW,MATCH(B12,'2026-5任务'!A:A,0))</f>
        <v>0.5</v>
      </c>
      <c r="AJ12" s="1443">
        <v>35</v>
      </c>
      <c r="AK12" s="1443">
        <v>25</v>
      </c>
      <c r="AL12" s="1443">
        <v>50</v>
      </c>
      <c r="AM12" s="1448">
        <f t="shared" si="7"/>
        <v>1570</v>
      </c>
      <c r="AN12" s="1467"/>
      <c r="AO12" s="1476"/>
      <c r="AP12" s="1467">
        <v>25</v>
      </c>
      <c r="AQ12" s="1449">
        <f t="shared" si="19"/>
        <v>0</v>
      </c>
      <c r="AR12" s="1443">
        <f>INDEX('2026-5任务'!BN:BN,MATCH(B12,'2026-5任务'!A:A,0))</f>
        <v>0</v>
      </c>
      <c r="AS12" s="1443">
        <f>INDEX('2026-5任务'!BM:BM,MATCH(B12,'2026-5任务'!A:A,0))</f>
        <v>0</v>
      </c>
      <c r="AT12" s="1342">
        <f>INDEX('2026-5任务'!BO:BO,MATCH(B12,'2026-5任务'!A:A,0))</f>
        <v>0</v>
      </c>
      <c r="AU12" s="1467">
        <v>20</v>
      </c>
      <c r="AV12" s="1449">
        <f t="shared" ref="AV12:AV14" si="21">IF(AT12&gt;=0.8,AS12*AU12,AS12*AU12+AR12*AU12)</f>
        <v>0</v>
      </c>
      <c r="AW12" s="1448">
        <f>INDEX('2026-5任务'!BA:BA,MATCH(B12,'2026-5任务'!A:A,0))</f>
        <v>0</v>
      </c>
      <c r="AX12" s="1448"/>
      <c r="AY12" s="1448">
        <f>INDEX('2026-5任务'!BG:BG,MATCH(B12,'2026-5任务'!A:A,0))</f>
        <v>90</v>
      </c>
      <c r="AZ12" s="1448">
        <f>INDEX('2026-5任务'!BE:BE,MATCH(B12,'2026-5任务'!A:A,0))</f>
        <v>25</v>
      </c>
      <c r="BA12" s="1448">
        <f>SUMIF('4月续保推荐事故'!I:I,'05月业务提成'!B12,'4月续保推荐事故'!L:L)</f>
        <v>0</v>
      </c>
      <c r="BB12" s="1467">
        <f>INDEX('2026-5任务'!BC:BC,MATCH('05月业务提成'!B12,'2026-5任务'!A:A,0))</f>
        <v>0</v>
      </c>
      <c r="BC12" s="1342"/>
      <c r="BD12" s="1332">
        <v>200</v>
      </c>
      <c r="BE12" s="1476"/>
      <c r="BF12" s="1456"/>
      <c r="BG12" s="1460">
        <f t="shared" si="12"/>
        <v>7866.8283950000005</v>
      </c>
      <c r="BH12" s="1458"/>
      <c r="BI12" s="1478"/>
      <c r="BJ12" s="1460">
        <f t="shared" si="10"/>
        <v>7866.8283950000005</v>
      </c>
      <c r="BK12" s="1461">
        <f>INDEX('05月提成-武侯售后'!I:I,MATCH(B12,'05月提成-武侯售后'!C:C,0))</f>
        <v>932</v>
      </c>
      <c r="BL12" s="1445">
        <f>INDEX('05月提成-武侯售后'!J:J,MATCH(B12,'05月提成-武侯售后'!C:C,0))</f>
        <v>0</v>
      </c>
      <c r="BM12" s="1469"/>
      <c r="BN12" s="1445">
        <f>SUMIF('05月业务提成'!C:C,'05月业务提成'!B12,'05月业务提成'!O:O)+SUMIF('05基本'!C:C,'05月业务提成'!B12,'05基本'!N:N)</f>
        <v>0</v>
      </c>
      <c r="BO12" s="1473">
        <f t="shared" si="20"/>
        <v>6934.8283950000005</v>
      </c>
      <c r="BP12" s="1474">
        <f>SUMIF('05月提成-武侯售后'!C:C,'05月业务提成'!B12,'05月提成-武侯售后'!K:K)</f>
        <v>6934.8283950000005</v>
      </c>
      <c r="BQ12" s="1391">
        <f t="shared" si="11"/>
        <v>0</v>
      </c>
      <c r="BR12" s="1463">
        <f t="shared" si="13"/>
        <v>29.509908063829801</v>
      </c>
      <c r="BS12" s="1479">
        <f t="shared" si="14"/>
        <v>215.21417021276599</v>
      </c>
      <c r="BT12" s="1465">
        <f t="shared" si="15"/>
        <v>215.21417021276599</v>
      </c>
      <c r="BU12" s="1465">
        <f t="shared" si="16"/>
        <v>772.21608510638305</v>
      </c>
      <c r="BV12" s="1465">
        <f t="shared" si="17"/>
        <v>90.119148936170205</v>
      </c>
      <c r="BW12" s="1465">
        <f t="shared" si="18"/>
        <v>49.049659574468102</v>
      </c>
    </row>
    <row r="13" spans="1:75" s="1386" customFormat="1" ht="18.75" customHeight="1">
      <c r="A13" s="1745"/>
      <c r="B13" s="1480" t="s">
        <v>65</v>
      </c>
      <c r="C13" s="1443">
        <f>INDEX('2026-5任务'!C:C,MATCH(B13,'2026-5任务'!A:A,0))+INDEX('2026-5任务'!D:D,MATCH(B13,'2026-5任务'!A:A,0))+INDEX('2026-5任务'!G:G,MATCH(B13,'2026-5任务'!A:A,0))+INDEX('2026-5任务'!E:E,MATCH(B13,'2026-5任务'!A:A,0))</f>
        <v>219</v>
      </c>
      <c r="D13" s="1467">
        <v>4</v>
      </c>
      <c r="E13" s="1467">
        <f t="shared" si="0"/>
        <v>876</v>
      </c>
      <c r="F13" s="1445">
        <f>INDEX('2026-5任务'!X:X,MATCH(B13,'2026-5任务'!A:A,0))-J13</f>
        <v>39154.639999999999</v>
      </c>
      <c r="G13" s="1454">
        <f>INDEX('2026-5任务'!W:W,MATCH(B13,'2026-5任务'!A:A,0))</f>
        <v>0.73876679245282995</v>
      </c>
      <c r="H13" s="1475">
        <v>0.02</v>
      </c>
      <c r="I13" s="1443">
        <f t="shared" si="1"/>
        <v>743.93816000000004</v>
      </c>
      <c r="J13" s="1448">
        <f>INDEX('2026-5任务'!R:R,MATCH(B13,'2026-5任务'!A:A,0))+INDEX('2026-5任务'!U:U,MATCH(B13,'2026-5任务'!A:A,0))</f>
        <v>0</v>
      </c>
      <c r="K13" s="1476"/>
      <c r="L13" s="1475">
        <v>1.6E-2</v>
      </c>
      <c r="M13" s="1448">
        <f t="shared" si="2"/>
        <v>0</v>
      </c>
      <c r="N13" s="1445">
        <f>INDEX('2026-5任务'!AN:AN,MATCH(B13,'2026-5任务'!A:A,0))+INDEX('2026-5任务'!AO:AO,MATCH(B13,'2026-5任务'!A:A,0))</f>
        <v>129677.17</v>
      </c>
      <c r="O13" s="1477">
        <v>5.0000000000000001E-3</v>
      </c>
      <c r="P13" s="1451">
        <f t="shared" si="3"/>
        <v>615.96655750000002</v>
      </c>
      <c r="Q13" s="1470">
        <f>INDEX('2026-5任务'!Z:Z,MATCH(B13,'2026-5任务'!A:A,0))+INDEX('2026-5任务'!AA:AA,MATCH(B13,'2026-5任务'!A:A,0))</f>
        <v>15900</v>
      </c>
      <c r="R13" s="1454">
        <f>INDEX('2026-5任务'!AB:AB,MATCH(B13,'2026-5任务'!A:A,0))</f>
        <v>0.67659574468085104</v>
      </c>
      <c r="S13" s="1342">
        <v>0.06</v>
      </c>
      <c r="T13" s="1445"/>
      <c r="U13" s="1452">
        <v>0.1</v>
      </c>
      <c r="V13" s="1453">
        <f t="shared" si="4"/>
        <v>906.3</v>
      </c>
      <c r="W13" s="1471">
        <f>INDEX('2026-5任务'!AD:AD,MATCH(B13,'2026-5任务'!A:A,0))</f>
        <v>11726.86</v>
      </c>
      <c r="X13" s="1454">
        <f>INDEX('2026-5任务'!AF:AF,MATCH(B13,'2026-5任务'!A:A,0))</f>
        <v>0.81171444444444496</v>
      </c>
      <c r="Y13" s="1342">
        <v>0.08</v>
      </c>
      <c r="Z13" s="1451">
        <f t="shared" si="5"/>
        <v>891.24135999999999</v>
      </c>
      <c r="AA13" s="1453">
        <f>INDEX('2026-5任务'!AJ:AJ,MATCH(B13,'2026-5任务'!A:A,0))</f>
        <v>13412</v>
      </c>
      <c r="AB13" s="1454">
        <f>INDEX('2026-5任务'!AK:AK,MATCH(B13,'2026-5任务'!A:A,0))</f>
        <v>1.0316923076923099</v>
      </c>
      <c r="AC13" s="1305">
        <v>0.1</v>
      </c>
      <c r="AD13" s="1451">
        <f t="shared" ref="AD13:AD14" si="22">(AA13*AC13)*0.95</f>
        <v>1274.1400000000001</v>
      </c>
      <c r="AE13" s="1443">
        <f>INDEX('2026-5任务'!AV:AV,MATCH($B13,'2026-5任务'!A:A,0))</f>
        <v>0</v>
      </c>
      <c r="AF13" s="1443">
        <f>INDEX('2026-5任务'!AU:AU,MATCH('05月业务提成'!B13,'2026-5任务'!A:A,0))</f>
        <v>14</v>
      </c>
      <c r="AG13" s="1443">
        <f>INDEX('2026-5任务'!AR:AR,MATCH('05月业务提成'!B13,'2026-5任务'!A:A,0))</f>
        <v>17</v>
      </c>
      <c r="AH13" s="1443">
        <f>INDEX('2026-5任务'!AQ:AQ,MATCH('05月业务提成'!B13,'2026-5任务'!A:A,0))</f>
        <v>12</v>
      </c>
      <c r="AI13" s="1454">
        <f>INDEX('2026-5任务'!AW:AW,MATCH(B13,'2026-5任务'!A:A,0))</f>
        <v>0.7</v>
      </c>
      <c r="AJ13" s="1443">
        <v>35</v>
      </c>
      <c r="AK13" s="1443">
        <v>25</v>
      </c>
      <c r="AL13" s="1443">
        <v>50</v>
      </c>
      <c r="AM13" s="1448">
        <f t="shared" ref="AM13:AM14" si="23">(AE13*AJ13+AF13*AK13)+IF(AG13=AH13,AG13*AL13,IF(AG13&gt;AH13,(AG13*50+(AG13-AH13)*30),IF(AG13&lt;AH13,AG13*AL13-(AH13-AG13)*50)))</f>
        <v>1350</v>
      </c>
      <c r="AN13" s="1467"/>
      <c r="AO13" s="1476"/>
      <c r="AP13" s="1467">
        <v>25</v>
      </c>
      <c r="AQ13" s="1449">
        <f t="shared" ref="AQ13:AQ14" si="24">AN13*AP13</f>
        <v>0</v>
      </c>
      <c r="AR13" s="1443">
        <f>INDEX('2026-5任务'!BN:BN,MATCH(B13,'2026-5任务'!A:A,0))</f>
        <v>0</v>
      </c>
      <c r="AS13" s="1443">
        <f>INDEX('2026-5任务'!BM:BM,MATCH(B13,'2026-5任务'!A:A,0))</f>
        <v>0</v>
      </c>
      <c r="AT13" s="1342">
        <f>INDEX('2026-5任务'!BO:BO,MATCH(B13,'2026-5任务'!A:A,0))</f>
        <v>0</v>
      </c>
      <c r="AU13" s="1467">
        <v>20</v>
      </c>
      <c r="AV13" s="1449">
        <f t="shared" si="21"/>
        <v>0</v>
      </c>
      <c r="AW13" s="1448">
        <f>INDEX('2026-5任务'!BA:BA,MATCH(B13,'2026-5任务'!A:A,0))</f>
        <v>0</v>
      </c>
      <c r="AX13" s="1448"/>
      <c r="AY13" s="1448">
        <f>INDEX('2026-5任务'!BG:BG,MATCH(B13,'2026-5任务'!A:A,0))</f>
        <v>60</v>
      </c>
      <c r="AZ13" s="1448">
        <f>INDEX('2026-5任务'!BE:BE,MATCH(B13,'2026-5任务'!A:A,0))</f>
        <v>0</v>
      </c>
      <c r="BA13" s="1448">
        <f>SUMIF('4月续保推荐事故'!I:I,'05月业务提成'!B13,'4月续保推荐事故'!L:L)</f>
        <v>0</v>
      </c>
      <c r="BB13" s="1467">
        <f>INDEX('2026-5任务'!BC:BC,MATCH('05月业务提成'!B13,'2026-5任务'!A:A,0))</f>
        <v>0</v>
      </c>
      <c r="BC13" s="1342"/>
      <c r="BD13" s="1332">
        <v>200</v>
      </c>
      <c r="BE13" s="1476"/>
      <c r="BF13" s="1456"/>
      <c r="BG13" s="1460">
        <f t="shared" ref="BG13:BG14" si="25">(E13+I13+M13+P13+V13+Z13+AM13+AQ13+AW13+AX13+AY13+BF13+AV13+AZ13+BA13+AD13)</f>
        <v>6717.5860775000001</v>
      </c>
      <c r="BH13" s="1458"/>
      <c r="BI13" s="1478"/>
      <c r="BJ13" s="1460">
        <f t="shared" si="10"/>
        <v>6717.5860775000001</v>
      </c>
      <c r="BK13" s="1461">
        <f>INDEX('05月提成-武侯售后'!I:I,MATCH(B13,'05月提成-武侯售后'!C:C,0))</f>
        <v>932</v>
      </c>
      <c r="BL13" s="1445">
        <f>INDEX('05月提成-武侯售后'!J:J,MATCH(B13,'05月提成-武侯售后'!C:C,0))</f>
        <v>0</v>
      </c>
      <c r="BM13" s="1469"/>
      <c r="BN13" s="1445">
        <f>SUMIF('05月业务提成'!C:C,'05月业务提成'!B13,'05月业务提成'!O:O)+SUMIF('05基本'!C:C,'05月业务提成'!B13,'05基本'!N:N)</f>
        <v>0</v>
      </c>
      <c r="BO13" s="1473">
        <f t="shared" si="20"/>
        <v>5785.5860775000001</v>
      </c>
      <c r="BP13" s="1474">
        <f>SUMIF('05月提成-武侯售后'!C:C,'05月业务提成'!B13,'05月提成-武侯售后'!K:K)</f>
        <v>5785.5860775000001</v>
      </c>
      <c r="BQ13" s="1391">
        <f t="shared" si="11"/>
        <v>0</v>
      </c>
      <c r="BR13" s="1463">
        <f t="shared" si="13"/>
        <v>26.418201267123301</v>
      </c>
      <c r="BS13" s="1479">
        <f t="shared" si="14"/>
        <v>178.788310502283</v>
      </c>
      <c r="BT13" s="1465">
        <f t="shared" si="15"/>
        <v>178.788310502283</v>
      </c>
      <c r="BU13" s="1465">
        <f t="shared" si="16"/>
        <v>592.13319634703203</v>
      </c>
      <c r="BV13" s="1465">
        <f t="shared" si="17"/>
        <v>72.602739726027394</v>
      </c>
      <c r="BW13" s="1465">
        <f t="shared" si="18"/>
        <v>53.547305936073101</v>
      </c>
    </row>
    <row r="14" spans="1:75" s="1385" customFormat="1" ht="18.75" customHeight="1">
      <c r="A14" s="1745"/>
      <c r="B14" s="1482" t="s">
        <v>66</v>
      </c>
      <c r="C14" s="1443">
        <f>INDEX('2026-5任务'!C:C,MATCH(B14,'2026-5任务'!A:A,0))+INDEX('2026-5任务'!D:D,MATCH(B14,'2026-5任务'!A:A,0))+INDEX('2026-5任务'!G:G,MATCH(B14,'2026-5任务'!A:A,0))+INDEX('2026-5任务'!E:E,MATCH(B14,'2026-5任务'!A:A,0))</f>
        <v>292</v>
      </c>
      <c r="D14" s="1483">
        <v>4</v>
      </c>
      <c r="E14" s="1467">
        <f t="shared" si="0"/>
        <v>1168</v>
      </c>
      <c r="F14" s="1445">
        <f>INDEX('2026-5任务'!X:X,MATCH(B14,'2026-5任务'!A:A,0))-J14</f>
        <v>62290.42</v>
      </c>
      <c r="G14" s="1454">
        <f>INDEX('2026-5任务'!W:W,MATCH(B14,'2026-5任务'!A:A,0))</f>
        <v>1.17529094339623</v>
      </c>
      <c r="H14" s="1484">
        <v>0.02</v>
      </c>
      <c r="I14" s="1443">
        <f t="shared" si="1"/>
        <v>1183.5179800000001</v>
      </c>
      <c r="J14" s="1448">
        <f>INDEX('2026-5任务'!R:R,MATCH(B14,'2026-5任务'!A:A,0))+INDEX('2026-5任务'!U:U,MATCH(B14,'2026-5任务'!A:A,0))</f>
        <v>0</v>
      </c>
      <c r="K14" s="1469"/>
      <c r="L14" s="1484">
        <v>1.6E-2</v>
      </c>
      <c r="M14" s="1448">
        <f t="shared" si="2"/>
        <v>0</v>
      </c>
      <c r="N14" s="1445">
        <f>INDEX('2026-5任务'!AN:AN,MATCH(B14,'2026-5任务'!A:A,0))+INDEX('2026-5任务'!AO:AO,MATCH(B14,'2026-5任务'!A:A,0))</f>
        <v>121081.15</v>
      </c>
      <c r="O14" s="1485">
        <v>5.0000000000000001E-3</v>
      </c>
      <c r="P14" s="1451">
        <f t="shared" si="3"/>
        <v>575.13546250000002</v>
      </c>
      <c r="Q14" s="1470">
        <f>INDEX('2026-5任务'!Z:Z,MATCH(B14,'2026-5任务'!A:A,0))+INDEX('2026-5任务'!AA:AA,MATCH(B14,'2026-5任务'!A:A,0))</f>
        <v>25552</v>
      </c>
      <c r="R14" s="1454">
        <f>INDEX('2026-5任务'!AB:AB,MATCH(B14,'2026-5任务'!A:A,0))</f>
        <v>1.08731914893617</v>
      </c>
      <c r="S14" s="1472">
        <v>0.06</v>
      </c>
      <c r="T14" s="1445"/>
      <c r="U14" s="1452">
        <v>0.1</v>
      </c>
      <c r="V14" s="1453">
        <f t="shared" si="4"/>
        <v>1456.4639999999999</v>
      </c>
      <c r="W14" s="1471">
        <f>INDEX('2026-5任务'!AD:AD,MATCH(B14,'2026-5任务'!A:A,0))</f>
        <v>12016.58</v>
      </c>
      <c r="X14" s="1454">
        <f>INDEX('2026-5任务'!AF:AF,MATCH(B14,'2026-5任务'!A:A,0))</f>
        <v>0.80286555555555605</v>
      </c>
      <c r="Y14" s="1472">
        <v>0.08</v>
      </c>
      <c r="Z14" s="1451">
        <f t="shared" si="5"/>
        <v>913.26008000000002</v>
      </c>
      <c r="AA14" s="1453">
        <f>INDEX('2026-5任务'!AJ:AJ,MATCH(B14,'2026-5任务'!A:A,0))</f>
        <v>18276</v>
      </c>
      <c r="AB14" s="1454">
        <f>INDEX('2026-5任务'!AK:AK,MATCH(B14,'2026-5任务'!A:A,0))</f>
        <v>1.40584615384615</v>
      </c>
      <c r="AC14" s="1305">
        <v>0.1</v>
      </c>
      <c r="AD14" s="1451">
        <f t="shared" si="22"/>
        <v>1736.22</v>
      </c>
      <c r="AE14" s="1443">
        <f>INDEX('2026-5任务'!AV:AV,MATCH($B14,'2026-5任务'!A:A,0))</f>
        <v>2</v>
      </c>
      <c r="AF14" s="1443">
        <f>INDEX('2026-5任务'!AU:AU,MATCH('05月业务提成'!B14,'2026-5任务'!A:A,0))</f>
        <v>8</v>
      </c>
      <c r="AG14" s="1443">
        <f>INDEX('2026-5任务'!AR:AR,MATCH('05月业务提成'!B14,'2026-5任务'!A:A,0))</f>
        <v>28</v>
      </c>
      <c r="AH14" s="1443">
        <f>INDEX('2026-5任务'!AQ:AQ,MATCH('05月业务提成'!B14,'2026-5任务'!A:A,0))</f>
        <v>12</v>
      </c>
      <c r="AI14" s="1454">
        <f>INDEX('2026-5任务'!AW:AW,MATCH(B14,'2026-5任务'!A:A,0))</f>
        <v>0.5</v>
      </c>
      <c r="AJ14" s="1443">
        <v>35</v>
      </c>
      <c r="AK14" s="1443">
        <v>25</v>
      </c>
      <c r="AL14" s="1443">
        <v>50</v>
      </c>
      <c r="AM14" s="1448">
        <f t="shared" si="23"/>
        <v>2150</v>
      </c>
      <c r="AN14" s="1467"/>
      <c r="AO14" s="1476"/>
      <c r="AP14" s="1467">
        <v>25</v>
      </c>
      <c r="AQ14" s="1449">
        <f t="shared" si="24"/>
        <v>0</v>
      </c>
      <c r="AR14" s="1443">
        <f>INDEX('2026-5任务'!BN:BN,MATCH(B14,'2026-5任务'!A:A,0))</f>
        <v>0</v>
      </c>
      <c r="AS14" s="1443">
        <f>INDEX('2026-5任务'!BM:BM,MATCH(B14,'2026-5任务'!A:A,0))</f>
        <v>0</v>
      </c>
      <c r="AT14" s="1342">
        <f>INDEX('2026-5任务'!BO:BO,MATCH(B14,'2026-5任务'!A:A,0))</f>
        <v>0</v>
      </c>
      <c r="AU14" s="1483">
        <v>20</v>
      </c>
      <c r="AV14" s="1449">
        <f t="shared" si="21"/>
        <v>0</v>
      </c>
      <c r="AW14" s="1448">
        <f>INDEX('2026-5任务'!BA:BA,MATCH(B14,'2026-5任务'!A:A,0))</f>
        <v>0</v>
      </c>
      <c r="AX14" s="1448"/>
      <c r="AY14" s="1448">
        <f>INDEX('2026-5任务'!BG:BG,MATCH(B14,'2026-5任务'!A:A,0))</f>
        <v>100</v>
      </c>
      <c r="AZ14" s="1448">
        <f>INDEX('2026-5任务'!BE:BE,MATCH(B14,'2026-5任务'!A:A,0))</f>
        <v>50</v>
      </c>
      <c r="BA14" s="1448">
        <f>SUMIF('4月续保推荐事故'!I:I,'05月业务提成'!B14,'4月续保推荐事故'!L:L)</f>
        <v>0</v>
      </c>
      <c r="BB14" s="1467">
        <f>INDEX('2026-5任务'!BC:BC,MATCH('05月业务提成'!B14,'2026-5任务'!A:A,0))</f>
        <v>0</v>
      </c>
      <c r="BC14" s="1472"/>
      <c r="BD14" s="1469">
        <v>200</v>
      </c>
      <c r="BE14" s="1469"/>
      <c r="BF14" s="1456"/>
      <c r="BG14" s="1460">
        <f t="shared" si="25"/>
        <v>9332.5975225000002</v>
      </c>
      <c r="BH14" s="1458"/>
      <c r="BI14" s="1478"/>
      <c r="BJ14" s="1460">
        <f t="shared" si="10"/>
        <v>9332.5975225000002</v>
      </c>
      <c r="BK14" s="1461">
        <f>INDEX('05月提成-武侯售后'!I:I,MATCH(B14,'05月提成-武侯售后'!C:C,0))</f>
        <v>932</v>
      </c>
      <c r="BL14" s="1445">
        <f>INDEX('05月提成-武侯售后'!J:J,MATCH(B14,'05月提成-武侯售后'!C:C,0))</f>
        <v>0</v>
      </c>
      <c r="BM14" s="1469"/>
      <c r="BN14" s="1445">
        <f>SUMIF('05月业务提成'!C:C,'05月业务提成'!B14,'05月业务提成'!O:O)+SUMIF('05基本'!C:C,'05月业务提成'!B14,'05基本'!N:N)</f>
        <v>0</v>
      </c>
      <c r="BO14" s="1473">
        <f t="shared" si="20"/>
        <v>8400.5975225000002</v>
      </c>
      <c r="BP14" s="1474">
        <f>SUMIF('05月提成-武侯售后'!C:C,'05月业务提成'!B14,'05月提成-武侯售后'!K:K)</f>
        <v>8400.5975225000002</v>
      </c>
      <c r="BQ14" s="1391">
        <f t="shared" si="11"/>
        <v>0</v>
      </c>
      <c r="BR14" s="1486">
        <f t="shared" si="13"/>
        <v>28.769169597602701</v>
      </c>
      <c r="BS14" s="1487">
        <f t="shared" si="14"/>
        <v>213.32335616438399</v>
      </c>
      <c r="BT14" s="1488">
        <f t="shared" si="15"/>
        <v>213.32335616438399</v>
      </c>
      <c r="BU14" s="1488">
        <f t="shared" si="16"/>
        <v>414.66147260273999</v>
      </c>
      <c r="BV14" s="1488">
        <f t="shared" si="17"/>
        <v>87.506849315068493</v>
      </c>
      <c r="BW14" s="1488">
        <f t="shared" si="18"/>
        <v>41.152671232876699</v>
      </c>
    </row>
    <row r="15" spans="1:75" s="1385" customFormat="1" ht="18" customHeight="1">
      <c r="A15" s="1745"/>
      <c r="B15" s="1482" t="s">
        <v>67</v>
      </c>
      <c r="C15" s="1443">
        <f>INDEX('2026-5任务'!C:C,MATCH(B15,'2026-5任务'!A:A,0))+INDEX('2026-5任务'!D:D,MATCH(B15,'2026-5任务'!A:A,0))+INDEX('2026-5任务'!G:G,MATCH(B15,'2026-5任务'!A:A,0))+INDEX('2026-5任务'!E:E,MATCH(B15,'2026-5任务'!A:A,0))</f>
        <v>78</v>
      </c>
      <c r="D15" s="1483">
        <v>8</v>
      </c>
      <c r="E15" s="1467">
        <f t="shared" si="0"/>
        <v>624</v>
      </c>
      <c r="F15" s="1445">
        <f>INDEX('2026-5任务'!X:X,MATCH(B15,'2026-5任务'!A:A,0))-J15</f>
        <v>0</v>
      </c>
      <c r="G15" s="1454">
        <f>INDEX('2026-5任务'!W:W,MATCH(B15,'2026-5任务'!A:A,0))</f>
        <v>0.79578148076923105</v>
      </c>
      <c r="H15" s="1484">
        <v>0.02</v>
      </c>
      <c r="I15" s="1443">
        <f t="shared" si="1"/>
        <v>0</v>
      </c>
      <c r="J15" s="1448">
        <f>INDEX('2026-5任务'!R:R,MATCH(B15,'2026-5任务'!A:A,0))+INDEX('2026-5任务'!U:U,MATCH(B15,'2026-5任务'!A:A,0))</f>
        <v>413806.37</v>
      </c>
      <c r="K15" s="1469"/>
      <c r="L15" s="1484">
        <v>1.6E-2</v>
      </c>
      <c r="M15" s="1448">
        <f t="shared" si="2"/>
        <v>6289.8568240000004</v>
      </c>
      <c r="N15" s="1445">
        <f>INDEX('2026-5任务'!AN:AN,MATCH(B15,'2026-5任务'!A:A,0))+INDEX('2026-5任务'!AO:AO,MATCH(B15,'2026-5任务'!A:A,0))</f>
        <v>309.06</v>
      </c>
      <c r="O15" s="1485">
        <v>5.0000000000000001E-3</v>
      </c>
      <c r="P15" s="1451">
        <f t="shared" si="3"/>
        <v>1.468035</v>
      </c>
      <c r="Q15" s="1470">
        <f>INDEX('2026-5任务'!Z:Z,MATCH(B15,'2026-5任务'!A:A,0))+INDEX('2026-5任务'!AA:AA,MATCH(B15,'2026-5任务'!A:A,0))</f>
        <v>0</v>
      </c>
      <c r="R15" s="1454">
        <f>INDEX('2026-5任务'!AB:AB,MATCH(B15,'2026-5任务'!A:A,0))</f>
        <v>0</v>
      </c>
      <c r="S15" s="1472">
        <v>0.06</v>
      </c>
      <c r="T15" s="1445">
        <f>INDEX('2026-5任务'!AA:AA,MATCH(B15,'2026-5任务'!A:A,0))</f>
        <v>0</v>
      </c>
      <c r="U15" s="1452">
        <v>0.1</v>
      </c>
      <c r="V15" s="1453">
        <f t="shared" si="4"/>
        <v>0</v>
      </c>
      <c r="W15" s="1471">
        <f>INDEX('2026-5任务'!AD:AD,MATCH(B15,'2026-5任务'!A:A,0))</f>
        <v>0</v>
      </c>
      <c r="X15" s="1454">
        <f>INDEX('2026-5任务'!AF:AF,MATCH(B15,'2026-5任务'!A:A,0))</f>
        <v>0</v>
      </c>
      <c r="Y15" s="1472">
        <v>0.08</v>
      </c>
      <c r="Z15" s="1451">
        <f t="shared" si="5"/>
        <v>0</v>
      </c>
      <c r="AA15" s="1453">
        <f>INDEX('2026-5任务'!AJ:AJ,MATCH(B15,'2026-5任务'!A:A,0))</f>
        <v>0</v>
      </c>
      <c r="AB15" s="1454">
        <f>INDEX('2026-5任务'!AK:AK,MATCH(B15,'2026-5任务'!A:A,0))</f>
        <v>0</v>
      </c>
      <c r="AC15" s="1305">
        <v>0.1</v>
      </c>
      <c r="AD15" s="1451">
        <f t="shared" si="6"/>
        <v>0</v>
      </c>
      <c r="AE15" s="1443">
        <f>INDEX('2026-5任务'!AV:AV,MATCH($B15,'2026-5任务'!A:A,0))</f>
        <v>0</v>
      </c>
      <c r="AF15" s="1443">
        <f>INDEX('2026-5任务'!AU:AU,MATCH('05月业务提成'!B15,'2026-5任务'!A:A,0))</f>
        <v>0</v>
      </c>
      <c r="AG15" s="1443">
        <f>INDEX('2026-5任务'!AR:AR,MATCH('05月业务提成'!B15,'2026-5任务'!A:A,0))</f>
        <v>0</v>
      </c>
      <c r="AH15" s="1443">
        <f>INDEX('2026-5任务'!AQ:AQ,MATCH('05月业务提成'!B15,'2026-5任务'!A:A,0))</f>
        <v>0</v>
      </c>
      <c r="AI15" s="1454" t="e">
        <f>INDEX('2026-5任务'!AW:AW,MATCH(B15,'2026-5任务'!A:A,0))</f>
        <v>#DIV/0!</v>
      </c>
      <c r="AJ15" s="1443">
        <v>35</v>
      </c>
      <c r="AK15" s="1443">
        <v>25</v>
      </c>
      <c r="AL15" s="1443">
        <v>50</v>
      </c>
      <c r="AM15" s="1448">
        <f t="shared" si="7"/>
        <v>0</v>
      </c>
      <c r="AN15" s="1483">
        <f>INDEX('2026-5任务'!BJ:BJ,MATCH(B15,'2026-5任务'!A:A,0))</f>
        <v>0</v>
      </c>
      <c r="AO15" s="1469"/>
      <c r="AP15" s="1483">
        <v>25</v>
      </c>
      <c r="AQ15" s="1449">
        <f t="shared" si="19"/>
        <v>0</v>
      </c>
      <c r="AR15" s="1443">
        <f>INDEX('2026-5任务'!BN:BN,MATCH(B15,'2026-5任务'!A:A,0))</f>
        <v>0</v>
      </c>
      <c r="AS15" s="1443">
        <f>INDEX('2026-5任务'!BM:BM,MATCH(B15,'2026-5任务'!A:A,0))</f>
        <v>0</v>
      </c>
      <c r="AT15" s="1342">
        <f>INDEX('2026-5任务'!BO:BO,MATCH(B15,'2026-5任务'!A:A,0))</f>
        <v>0</v>
      </c>
      <c r="AU15" s="1483">
        <v>20</v>
      </c>
      <c r="AV15" s="1449">
        <f t="shared" si="8"/>
        <v>0</v>
      </c>
      <c r="AW15" s="1448">
        <f>INDEX('2026-5任务'!BA:BA,MATCH(B15,'2026-5任务'!A:A,0))</f>
        <v>0</v>
      </c>
      <c r="AX15" s="1448"/>
      <c r="AY15" s="1448">
        <f>INDEX('2026-5任务'!BG:BG,MATCH(B15,'2026-5任务'!A:A,0))</f>
        <v>0</v>
      </c>
      <c r="AZ15" s="1448">
        <f>INDEX('2026-5任务'!BE:BE,MATCH(B15,'2026-5任务'!A:A,0))</f>
        <v>0</v>
      </c>
      <c r="BA15" s="1449">
        <f>SUMIF('4月续保推荐事故'!I:I,'05月业务提成'!B15,'4月续保推荐事故'!L:L)</f>
        <v>0</v>
      </c>
      <c r="BB15" s="1467">
        <f>INDEX('2026-5任务'!BC:BC,MATCH('05月业务提成'!B15,'2026-5任务'!A:A,0))</f>
        <v>0</v>
      </c>
      <c r="BC15" s="1472"/>
      <c r="BD15" s="1469">
        <v>200</v>
      </c>
      <c r="BE15" s="1469"/>
      <c r="BF15" s="1456">
        <f t="shared" si="9"/>
        <v>0</v>
      </c>
      <c r="BG15" s="1460">
        <f t="shared" ref="BG15:BG23" si="26">(E15+I15+M15+P15+V15+Z15+AM15+AQ15+AW15+AX15+AY15+BF15+AV15+AZ15+BA15+AD15)</f>
        <v>6915.3248590000003</v>
      </c>
      <c r="BH15" s="1458"/>
      <c r="BI15" s="1489"/>
      <c r="BJ15" s="1460">
        <f t="shared" si="10"/>
        <v>6915.3248590000003</v>
      </c>
      <c r="BK15" s="1461">
        <f>INDEX('05月提成-武侯售后'!I:I,MATCH(B15,'05月提成-武侯售后'!C:C,0))</f>
        <v>900</v>
      </c>
      <c r="BL15" s="1445">
        <f>INDEX('05月提成-武侯售后'!J:J,MATCH(B15,'05月提成-武侯售后'!C:C,0))</f>
        <v>0</v>
      </c>
      <c r="BM15" s="1469"/>
      <c r="BN15" s="1445">
        <f>SUMIF('05月业务提成'!C:C,'05月业务提成'!B15,'05月业务提成'!O:O)+SUMIF('05基本'!C:C,'05月业务提成'!B15,'05基本'!N:N)</f>
        <v>0</v>
      </c>
      <c r="BO15" s="1473">
        <f t="shared" si="20"/>
        <v>6015.3248590000003</v>
      </c>
      <c r="BP15" s="1474">
        <f>SUMIF('05月提成-武侯售后'!C:C,'05月业务提成'!B15,'05月提成-武侯售后'!K:K)</f>
        <v>6015.3248590000003</v>
      </c>
      <c r="BQ15" s="1391">
        <f t="shared" si="11"/>
        <v>0</v>
      </c>
      <c r="BR15" s="1486"/>
      <c r="BS15" s="1487"/>
      <c r="BT15" s="1488"/>
      <c r="BU15" s="1488"/>
      <c r="BV15" s="1488"/>
      <c r="BW15" s="1488"/>
    </row>
    <row r="16" spans="1:75" s="44" customFormat="1" ht="18" customHeight="1">
      <c r="A16" s="1745"/>
      <c r="B16" s="1480" t="s">
        <v>63</v>
      </c>
      <c r="C16" s="1443">
        <f>INDEX('2026-5任务'!C:C,MATCH(B16,'2026-5任务'!A:A,0))+INDEX('2026-5任务'!D:D,MATCH(B16,'2026-5任务'!A:A,0))+INDEX('2026-5任务'!G:G,MATCH(B16,'2026-5任务'!A:A,0))+INDEX('2026-5任务'!E:E,MATCH(B16,'2026-5任务'!A:A,0))</f>
        <v>62</v>
      </c>
      <c r="D16" s="1303">
        <v>8</v>
      </c>
      <c r="E16" s="1467">
        <f t="shared" ref="E16:E21" si="27">C16*D16</f>
        <v>496</v>
      </c>
      <c r="F16" s="1445">
        <f>INDEX('2026-5任务'!X:X,MATCH(B16,'2026-5任务'!A:A,0))-J16</f>
        <v>0</v>
      </c>
      <c r="G16" s="1454">
        <f>INDEX('2026-5任务'!W:W,MATCH(B16,'2026-5任务'!A:A,0))</f>
        <v>0.95778076923076905</v>
      </c>
      <c r="H16" s="1468">
        <v>0.02</v>
      </c>
      <c r="I16" s="1443">
        <f t="shared" ref="I16:I21" si="28">F16*H16*0.95</f>
        <v>0</v>
      </c>
      <c r="J16" s="1448">
        <f>INDEX('2026-5任务'!R:R,MATCH(B16,'2026-5任务'!A:A,0))+INDEX('2026-5任务'!U:U,MATCH(B16,'2026-5任务'!A:A,0))</f>
        <v>498046</v>
      </c>
      <c r="K16" s="1469"/>
      <c r="L16" s="1468">
        <v>1.6E-2</v>
      </c>
      <c r="M16" s="1448">
        <f t="shared" ref="M16:M29" si="29">J16*L16*0.95</f>
        <v>7570.2992000000004</v>
      </c>
      <c r="N16" s="1445">
        <f>INDEX('2026-5任务'!AN:AN,MATCH(B16,'2026-5任务'!A:A,0))+INDEX('2026-5任务'!AO:AO,MATCH(B16,'2026-5任务'!A:A,0))</f>
        <v>3453.35</v>
      </c>
      <c r="O16" s="1304">
        <v>5.0000000000000001E-3</v>
      </c>
      <c r="P16" s="1451">
        <f t="shared" si="3"/>
        <v>16.403412500000002</v>
      </c>
      <c r="Q16" s="1470">
        <f>INDEX('2026-5任务'!Z:Z,MATCH(B16,'2026-5任务'!A:A,0))+INDEX('2026-5任务'!AA:AA,MATCH(B16,'2026-5任务'!A:A,0))</f>
        <v>0</v>
      </c>
      <c r="R16" s="1454">
        <f>INDEX('2026-5任务'!AB:AB,MATCH(B16,'2026-5任务'!A:A,0))</f>
        <v>0</v>
      </c>
      <c r="S16" s="1305">
        <v>0.06</v>
      </c>
      <c r="T16" s="1445">
        <f>INDEX('2026-5任务'!AA:AA,MATCH(B16,'2026-5任务'!A:A,0))</f>
        <v>0</v>
      </c>
      <c r="U16" s="1452">
        <v>0.1</v>
      </c>
      <c r="V16" s="1453">
        <f t="shared" ref="V16:V21" si="30">(Q16*S16)*0.95+T16*U16</f>
        <v>0</v>
      </c>
      <c r="W16" s="1471">
        <f>INDEX('2026-5任务'!AD:AD,MATCH(B16,'2026-5任务'!A:A,0))</f>
        <v>0</v>
      </c>
      <c r="X16" s="1454">
        <f>INDEX('2026-5任务'!AF:AF,MATCH(B16,'2026-5任务'!A:A,0))</f>
        <v>0</v>
      </c>
      <c r="Y16" s="1305">
        <v>0.08</v>
      </c>
      <c r="Z16" s="1451">
        <f t="shared" ref="Z16:Z21" si="31">(W16*Y16)*0.95</f>
        <v>0</v>
      </c>
      <c r="AA16" s="1453">
        <f>INDEX('2026-5任务'!AJ:AJ,MATCH(B16,'2026-5任务'!A:A,0))</f>
        <v>0</v>
      </c>
      <c r="AB16" s="1454">
        <f>INDEX('2026-5任务'!AK:AK,MATCH(B16,'2026-5任务'!A:A,0))</f>
        <v>0</v>
      </c>
      <c r="AC16" s="1305">
        <v>0.1</v>
      </c>
      <c r="AD16" s="1451">
        <f t="shared" ref="AD16:AD21" si="32">(AA16*AC16)*0.95</f>
        <v>0</v>
      </c>
      <c r="AE16" s="1443">
        <f>INDEX('2026-5任务'!AV:AV,MATCH($B16,'2026-5任务'!A:A,0))</f>
        <v>0</v>
      </c>
      <c r="AF16" s="1443">
        <f>INDEX('2026-5任务'!AU:AU,MATCH('05月业务提成'!B16,'2026-5任务'!A:A,0))</f>
        <v>0</v>
      </c>
      <c r="AG16" s="1443">
        <f>INDEX('2026-5任务'!AR:AR,MATCH('05月业务提成'!B16,'2026-5任务'!A:A,0))</f>
        <v>0</v>
      </c>
      <c r="AH16" s="1443">
        <f>INDEX('2026-5任务'!AQ:AQ,MATCH('05月业务提成'!B16,'2026-5任务'!A:A,0))</f>
        <v>0</v>
      </c>
      <c r="AI16" s="1490" t="e">
        <f>INDEX('2026-5任务'!AW:AW,MATCH(B16,'2026-5任务'!A:A,0))</f>
        <v>#DIV/0!</v>
      </c>
      <c r="AJ16" s="1443">
        <v>35</v>
      </c>
      <c r="AK16" s="1443">
        <v>25</v>
      </c>
      <c r="AL16" s="1443">
        <v>50</v>
      </c>
      <c r="AM16" s="1448">
        <f t="shared" ref="AM16:AM21" si="33">(AE16*AJ16+AF16*AK16)+IF(AG16=AH16,AG16*AL16,IF(AG16&gt;AH16,(AG16*50+(AG16-AH16)*30),IF(AG16&lt;AH16,AG16*AL16-(AH16-AG16)*50)))</f>
        <v>0</v>
      </c>
      <c r="AN16" s="1467">
        <f>INDEX('2026-5任务'!BJ:BJ,MATCH(B16,'2026-5任务'!A:A,0))</f>
        <v>0</v>
      </c>
      <c r="AO16" s="1469"/>
      <c r="AP16" s="1483">
        <v>25</v>
      </c>
      <c r="AQ16" s="1449">
        <f t="shared" ref="AQ16:AQ21" si="34">AN16*AP16</f>
        <v>0</v>
      </c>
      <c r="AR16" s="1303">
        <f>INDEX('2026-5任务'!BN:BN,MATCH(B16,'2026-5任务'!A:A,0))</f>
        <v>0</v>
      </c>
      <c r="AS16" s="1303">
        <f>INDEX('2026-5任务'!BM:BM,MATCH(B16,'2026-5任务'!A:A,0))</f>
        <v>0</v>
      </c>
      <c r="AT16" s="1305">
        <f>INDEX('2026-5任务'!BO:BO,MATCH(B16,'2026-5任务'!A:A,0))</f>
        <v>0</v>
      </c>
      <c r="AU16" s="1483">
        <v>20</v>
      </c>
      <c r="AV16" s="1449">
        <f t="shared" ref="AV16:AV21" si="35">IF(AT16&gt;=0.8,AS16*AU16,AS16*AU16+AR16*AU16)</f>
        <v>0</v>
      </c>
      <c r="AW16" s="1448">
        <f>INDEX('2026-5任务'!BA:BA,MATCH(B16,'2026-5任务'!A:A,0))</f>
        <v>0</v>
      </c>
      <c r="AX16" s="1448"/>
      <c r="AY16" s="1448">
        <f>INDEX('2026-5任务'!BG:BG,MATCH(B16,'2026-5任务'!A:A,0))</f>
        <v>0</v>
      </c>
      <c r="AZ16" s="1448">
        <f>INDEX('2026-5任务'!BE:BE,MATCH(B16,'2026-5任务'!A:A,0))</f>
        <v>0</v>
      </c>
      <c r="BA16" s="1449">
        <f>SUMIF('4月续保推荐事故'!I:I,'05月业务提成'!B16,'4月续保推荐事故'!L:L)</f>
        <v>0</v>
      </c>
      <c r="BB16" s="1467">
        <f>INDEX('2026-5任务'!BC:BC,MATCH('05月业务提成'!B16,'2026-5任务'!A:A,0))</f>
        <v>0</v>
      </c>
      <c r="BC16" s="1472"/>
      <c r="BD16" s="1469">
        <v>200</v>
      </c>
      <c r="BE16" s="1469"/>
      <c r="BF16" s="1456">
        <f t="shared" ref="BF16:BF21" si="36">BB16*BD16</f>
        <v>0</v>
      </c>
      <c r="BG16" s="1460">
        <f t="shared" si="26"/>
        <v>8082.7026125000002</v>
      </c>
      <c r="BH16" s="1491"/>
      <c r="BI16" s="1459"/>
      <c r="BJ16" s="1460">
        <f t="shared" ref="BJ16:BJ21" si="37">BG16+BH16+BI16</f>
        <v>8082.7026125000002</v>
      </c>
      <c r="BK16" s="1461">
        <f>INDEX('05月提成-武侯售后'!I:I,MATCH(B16,'05月提成-武侯售后'!C:C,0))</f>
        <v>900</v>
      </c>
      <c r="BL16" s="1449">
        <f>INDEX('05月提成-武侯售后'!J:J,MATCH(B16,'05月提成-武侯售后'!C:C,0))</f>
        <v>0</v>
      </c>
      <c r="BM16" s="1469"/>
      <c r="BN16" s="1449">
        <f>SUMIF('05月业务提成'!C:C,'05月业务提成'!B16,'05月业务提成'!O:O)+SUMIF('05基本'!C:C,'05月业务提成'!B16,'05基本'!N:N)</f>
        <v>0</v>
      </c>
      <c r="BO16" s="1473">
        <f t="shared" si="20"/>
        <v>7182.7026125000002</v>
      </c>
      <c r="BP16" s="1474">
        <f>SUMIF('05月提成-武侯售后'!C:C,'05月业务提成'!B16,'05月提成-武侯售后'!K:K)</f>
        <v>7182.7026125000002</v>
      </c>
      <c r="BQ16" s="1391">
        <f t="shared" ref="BQ16:BQ21" si="38">BP16-BO16</f>
        <v>0</v>
      </c>
      <c r="BR16" s="1463"/>
      <c r="BS16" s="1464"/>
      <c r="BT16" s="1465"/>
      <c r="BU16" s="1465"/>
      <c r="BV16" s="1465"/>
      <c r="BW16" s="1465"/>
    </row>
    <row r="17" spans="1:75" s="44" customFormat="1" ht="18" customHeight="1">
      <c r="A17" s="1745"/>
      <c r="B17" s="1480" t="s">
        <v>71</v>
      </c>
      <c r="C17" s="1443">
        <f>INDEX('2026-5任务'!C:C,MATCH(B17,'2026-5任务'!A:A,0))+INDEX('2026-5任务'!D:D,MATCH(B17,'2026-5任务'!A:A,0))+INDEX('2026-5任务'!G:G,MATCH(B17,'2026-5任务'!A:A,0))+INDEX('2026-5任务'!E:E,MATCH(B17,'2026-5任务'!A:A,0))</f>
        <v>83</v>
      </c>
      <c r="D17" s="1303">
        <v>8</v>
      </c>
      <c r="E17" s="1467">
        <f t="shared" si="27"/>
        <v>664</v>
      </c>
      <c r="F17" s="1445">
        <f>INDEX('2026-5任务'!X:X,MATCH(B17,'2026-5任务'!A:A,0))-J17</f>
        <v>-706</v>
      </c>
      <c r="G17" s="1454">
        <f>INDEX('2026-5任务'!W:W,MATCH(B17,'2026-5任务'!A:A,0))</f>
        <v>1.39254428571429</v>
      </c>
      <c r="H17" s="1468">
        <v>0.02</v>
      </c>
      <c r="I17" s="1443">
        <f t="shared" si="28"/>
        <v>-13.414</v>
      </c>
      <c r="J17" s="1448">
        <f>INDEX('2026-5任务'!R:R,MATCH(B17,'2026-5任务'!A:A,0))+INDEX('2026-5任务'!U:U,MATCH(B17,'2026-5任务'!A:A,0))</f>
        <v>975487</v>
      </c>
      <c r="K17" s="1469"/>
      <c r="L17" s="1468">
        <v>1.6E-2</v>
      </c>
      <c r="M17" s="1448">
        <f t="shared" si="29"/>
        <v>14827.402400000001</v>
      </c>
      <c r="N17" s="1445">
        <f>INDEX('2026-5任务'!AN:AN,MATCH(B17,'2026-5任务'!A:A,0))+INDEX('2026-5任务'!AO:AO,MATCH(B17,'2026-5任务'!A:A,0))</f>
        <v>2283.79</v>
      </c>
      <c r="O17" s="1304">
        <v>5.0000000000000001E-3</v>
      </c>
      <c r="P17" s="1451">
        <f t="shared" si="3"/>
        <v>10.8480025</v>
      </c>
      <c r="Q17" s="1470">
        <f>INDEX('2026-5任务'!Z:Z,MATCH(B17,'2026-5任务'!A:A,0))+INDEX('2026-5任务'!AA:AA,MATCH(B17,'2026-5任务'!A:A,0))</f>
        <v>0</v>
      </c>
      <c r="R17" s="1454">
        <f>INDEX('2026-5任务'!AB:AB,MATCH(B17,'2026-5任务'!A:A,0))</f>
        <v>0</v>
      </c>
      <c r="S17" s="1305">
        <v>0.06</v>
      </c>
      <c r="T17" s="1445">
        <f>INDEX('2026-5任务'!AA:AA,MATCH(B17,'2026-5任务'!A:A,0))</f>
        <v>0</v>
      </c>
      <c r="U17" s="1452">
        <v>0.1</v>
      </c>
      <c r="V17" s="1453">
        <f t="shared" si="30"/>
        <v>0</v>
      </c>
      <c r="W17" s="1471">
        <f>INDEX('2026-5任务'!AD:AD,MATCH(B17,'2026-5任务'!A:A,0))</f>
        <v>226</v>
      </c>
      <c r="X17" s="1454">
        <f>INDEX('2026-5任务'!AF:AF,MATCH(B17,'2026-5任务'!A:A,0))</f>
        <v>0</v>
      </c>
      <c r="Y17" s="1305">
        <v>0.08</v>
      </c>
      <c r="Z17" s="1451">
        <f t="shared" si="31"/>
        <v>17.175999999999998</v>
      </c>
      <c r="AA17" s="1453">
        <f>INDEX('2026-5任务'!AJ:AJ,MATCH(B17,'2026-5任务'!A:A,0))</f>
        <v>480</v>
      </c>
      <c r="AB17" s="1454">
        <f>INDEX('2026-5任务'!AK:AK,MATCH(B17,'2026-5任务'!A:A,0))</f>
        <v>0</v>
      </c>
      <c r="AC17" s="1305">
        <v>0.1</v>
      </c>
      <c r="AD17" s="1451">
        <f t="shared" si="32"/>
        <v>45.6</v>
      </c>
      <c r="AE17" s="1443">
        <f>INDEX('2026-5任务'!AV:AV,MATCH($B17,'2026-5任务'!A:A,0))</f>
        <v>0</v>
      </c>
      <c r="AF17" s="1443">
        <f>INDEX('2026-5任务'!AU:AU,MATCH('05月业务提成'!B17,'2026-5任务'!A:A,0))</f>
        <v>0</v>
      </c>
      <c r="AG17" s="1443">
        <f>INDEX('2026-5任务'!AR:AR,MATCH('05月业务提成'!B17,'2026-5任务'!A:A,0))</f>
        <v>0</v>
      </c>
      <c r="AH17" s="1443">
        <f>INDEX('2026-5任务'!AQ:AQ,MATCH('05月业务提成'!B17,'2026-5任务'!A:A,0))</f>
        <v>0</v>
      </c>
      <c r="AI17" s="1492" t="e">
        <f>INDEX('2026-5任务'!AW:AW,MATCH(B17,'2026-5任务'!A:A,0))</f>
        <v>#DIV/0!</v>
      </c>
      <c r="AJ17" s="1443">
        <v>35</v>
      </c>
      <c r="AK17" s="1443">
        <v>25</v>
      </c>
      <c r="AL17" s="1443">
        <v>50</v>
      </c>
      <c r="AM17" s="1448">
        <f t="shared" si="33"/>
        <v>0</v>
      </c>
      <c r="AN17" s="1483">
        <f>INDEX('2026-5任务'!BJ:BJ,MATCH(B17,'2026-5任务'!A:A,0))</f>
        <v>0</v>
      </c>
      <c r="AO17" s="1469"/>
      <c r="AP17" s="1483">
        <v>25</v>
      </c>
      <c r="AQ17" s="1449">
        <f t="shared" si="34"/>
        <v>0</v>
      </c>
      <c r="AR17" s="1483">
        <f>INDEX('2026-5任务'!BN:BN,MATCH(B17,'2026-5任务'!A:A,0))</f>
        <v>0</v>
      </c>
      <c r="AS17" s="1483">
        <f>INDEX('2026-5任务'!BM:BM,MATCH(B17,'2026-5任务'!A:A,0))</f>
        <v>0</v>
      </c>
      <c r="AT17" s="1472">
        <f>INDEX('2026-5任务'!BO:BO,MATCH(B17,'2026-5任务'!A:A,0))</f>
        <v>0</v>
      </c>
      <c r="AU17" s="1483">
        <v>20</v>
      </c>
      <c r="AV17" s="1449">
        <f t="shared" si="35"/>
        <v>0</v>
      </c>
      <c r="AW17" s="1448">
        <f>INDEX('2026-5任务'!BA:BA,MATCH(B17,'2026-5任务'!A:A,0))</f>
        <v>0</v>
      </c>
      <c r="AX17" s="1448"/>
      <c r="AY17" s="1448">
        <f>INDEX('2026-5任务'!BG:BG,MATCH(B17,'2026-5任务'!A:A,0))</f>
        <v>0</v>
      </c>
      <c r="AZ17" s="1448">
        <f>INDEX('2026-5任务'!BE:BE,MATCH(B17,'2026-5任务'!A:A,0))</f>
        <v>0</v>
      </c>
      <c r="BA17" s="1449">
        <f>SUMIF('4月续保推荐事故'!I:I,'05月业务提成'!B17,'4月续保推荐事故'!L:L)</f>
        <v>0</v>
      </c>
      <c r="BB17" s="1483">
        <f>INDEX('2026-5任务'!BC:BC,MATCH('05月业务提成'!B17,'2026-5任务'!A:A,0))</f>
        <v>0</v>
      </c>
      <c r="BC17" s="1472"/>
      <c r="BD17" s="1469">
        <v>200</v>
      </c>
      <c r="BE17" s="1469"/>
      <c r="BF17" s="1456">
        <f t="shared" si="36"/>
        <v>0</v>
      </c>
      <c r="BG17" s="1460">
        <f t="shared" si="26"/>
        <v>15551.612402500001</v>
      </c>
      <c r="BH17" s="1491"/>
      <c r="BI17" s="1459"/>
      <c r="BJ17" s="1460">
        <f t="shared" si="37"/>
        <v>15551.612402500001</v>
      </c>
      <c r="BK17" s="1461">
        <f>INDEX('05月提成-武侯售后'!I:I,MATCH(B17,'05月提成-武侯售后'!C:C,0))</f>
        <v>900</v>
      </c>
      <c r="BL17" s="1449">
        <f>INDEX('05月提成-武侯售后'!J:J,MATCH(B17,'05月提成-武侯售后'!C:C,0))</f>
        <v>0</v>
      </c>
      <c r="BM17" s="1469"/>
      <c r="BN17" s="1449">
        <f>SUMIF('05月业务提成'!C:C,'05月业务提成'!B17,'05月业务提成'!O:O)+SUMIF('05基本'!C:C,'05月业务提成'!B17,'05基本'!N:N)</f>
        <v>0</v>
      </c>
      <c r="BO17" s="1473">
        <f t="shared" si="20"/>
        <v>14651.612402500001</v>
      </c>
      <c r="BP17" s="1474">
        <f>SUMIF('05月提成-武侯售后'!C:C,'05月业务提成'!B17,'05月提成-武侯售后'!K:K)</f>
        <v>14651.612402500001</v>
      </c>
      <c r="BQ17" s="1391">
        <f t="shared" si="38"/>
        <v>0</v>
      </c>
      <c r="BR17" s="1463"/>
      <c r="BS17" s="1464"/>
      <c r="BT17" s="1465"/>
      <c r="BU17" s="1465"/>
      <c r="BV17" s="1465"/>
      <c r="BW17" s="1465"/>
    </row>
    <row r="18" spans="1:75" s="44" customFormat="1" ht="18" customHeight="1">
      <c r="A18" s="1745"/>
      <c r="B18" s="1480" t="s">
        <v>72</v>
      </c>
      <c r="C18" s="1443">
        <f>INDEX('2026-5任务'!C:C,MATCH(B18,'2026-5任务'!A:A,0))+INDEX('2026-5任务'!D:D,MATCH(B18,'2026-5任务'!A:A,0))+INDEX('2026-5任务'!G:G,MATCH(B18,'2026-5任务'!A:A,0))+INDEX('2026-5任务'!E:E,MATCH(B18,'2026-5任务'!A:A,0))</f>
        <v>62</v>
      </c>
      <c r="D18" s="1303">
        <v>8</v>
      </c>
      <c r="E18" s="1467">
        <f t="shared" si="27"/>
        <v>496</v>
      </c>
      <c r="F18" s="1445">
        <f>INDEX('2026-5任务'!X:X,MATCH(B18,'2026-5任务'!A:A,0))-J18</f>
        <v>0</v>
      </c>
      <c r="G18" s="1454">
        <f>INDEX('2026-5任务'!W:W,MATCH(B18,'2026-5任务'!A:A,0))</f>
        <v>0.84438888888888897</v>
      </c>
      <c r="H18" s="1468">
        <v>0.02</v>
      </c>
      <c r="I18" s="1443">
        <f t="shared" si="28"/>
        <v>0</v>
      </c>
      <c r="J18" s="1448">
        <f>INDEX('2026-5任务'!R:R,MATCH(B18,'2026-5任务'!A:A,0))+INDEX('2026-5任务'!U:U,MATCH(B18,'2026-5任务'!A:A,0))</f>
        <v>379975</v>
      </c>
      <c r="K18" s="1469"/>
      <c r="L18" s="1468">
        <v>1.6E-2</v>
      </c>
      <c r="M18" s="1448">
        <f t="shared" si="29"/>
        <v>5775.62</v>
      </c>
      <c r="N18" s="1445">
        <f>INDEX('2026-5任务'!AN:AN,MATCH(B18,'2026-5任务'!A:A,0))+INDEX('2026-5任务'!AO:AO,MATCH(B18,'2026-5任务'!A:A,0))</f>
        <v>887.8</v>
      </c>
      <c r="O18" s="1304">
        <v>5.0000000000000001E-3</v>
      </c>
      <c r="P18" s="1451">
        <f t="shared" si="3"/>
        <v>4.2170500000000004</v>
      </c>
      <c r="Q18" s="1470">
        <f>INDEX('2026-5任务'!Z:Z,MATCH(B18,'2026-5任务'!A:A,0))+INDEX('2026-5任务'!AA:AA,MATCH(B18,'2026-5任务'!A:A,0))</f>
        <v>0</v>
      </c>
      <c r="R18" s="1454">
        <f>INDEX('2026-5任务'!AB:AB,MATCH(B18,'2026-5任务'!A:A,0))</f>
        <v>0</v>
      </c>
      <c r="S18" s="1305">
        <v>0.06</v>
      </c>
      <c r="T18" s="1445"/>
      <c r="U18" s="1452">
        <v>0.1</v>
      </c>
      <c r="V18" s="1453">
        <f t="shared" si="30"/>
        <v>0</v>
      </c>
      <c r="W18" s="1471">
        <f>INDEX('2026-5任务'!AD:AD,MATCH(B18,'2026-5任务'!A:A,0))</f>
        <v>0</v>
      </c>
      <c r="X18" s="1454">
        <f>INDEX('2026-5任务'!AF:AF,MATCH(B18,'2026-5任务'!A:A,0))</f>
        <v>0</v>
      </c>
      <c r="Y18" s="1305">
        <v>0.08</v>
      </c>
      <c r="Z18" s="1451">
        <f t="shared" si="31"/>
        <v>0</v>
      </c>
      <c r="AA18" s="1453">
        <f>INDEX('2026-5任务'!AJ:AJ,MATCH(B18,'2026-5任务'!A:A,0))</f>
        <v>0</v>
      </c>
      <c r="AB18" s="1454">
        <f>INDEX('2026-5任务'!AK:AK,MATCH(B18,'2026-5任务'!A:A,0))</f>
        <v>0</v>
      </c>
      <c r="AC18" s="1305">
        <v>0.1</v>
      </c>
      <c r="AD18" s="1451">
        <f t="shared" si="32"/>
        <v>0</v>
      </c>
      <c r="AE18" s="1443">
        <f>INDEX('2026-5任务'!AV:AV,MATCH($B18,'2026-5任务'!A:A,0))</f>
        <v>0</v>
      </c>
      <c r="AF18" s="1443">
        <f>INDEX('2026-5任务'!AU:AU,MATCH('05月业务提成'!B18,'2026-5任务'!A:A,0))</f>
        <v>0</v>
      </c>
      <c r="AG18" s="1443">
        <f>INDEX('2026-5任务'!AR:AR,MATCH('05月业务提成'!B18,'2026-5任务'!A:A,0))</f>
        <v>0</v>
      </c>
      <c r="AH18" s="1443">
        <f>INDEX('2026-5任务'!AQ:AQ,MATCH('05月业务提成'!B18,'2026-5任务'!A:A,0))</f>
        <v>0</v>
      </c>
      <c r="AI18" s="1492" t="e">
        <f>INDEX('2026-5任务'!AW:AW,MATCH(B18,'2026-5任务'!A:A,0))</f>
        <v>#DIV/0!</v>
      </c>
      <c r="AJ18" s="1443">
        <v>35</v>
      </c>
      <c r="AK18" s="1443">
        <v>25</v>
      </c>
      <c r="AL18" s="1443">
        <v>50</v>
      </c>
      <c r="AM18" s="1448">
        <f t="shared" si="33"/>
        <v>0</v>
      </c>
      <c r="AN18" s="1483"/>
      <c r="AO18" s="1469"/>
      <c r="AP18" s="1483">
        <v>25</v>
      </c>
      <c r="AQ18" s="1449">
        <f t="shared" si="34"/>
        <v>0</v>
      </c>
      <c r="AR18" s="1483"/>
      <c r="AS18" s="1483"/>
      <c r="AT18" s="1472">
        <f>INDEX('2026-5任务'!BO:BO,MATCH(B18,'2026-5任务'!A:A,0))</f>
        <v>0</v>
      </c>
      <c r="AU18" s="1483">
        <v>20</v>
      </c>
      <c r="AV18" s="1449">
        <f t="shared" si="35"/>
        <v>0</v>
      </c>
      <c r="AW18" s="1449">
        <f>INDEX('2026-5任务'!BA:BA,MATCH(B18,'2026-5任务'!A:A,0))</f>
        <v>0</v>
      </c>
      <c r="AX18" s="1449">
        <f>INDEX('2026-5任务'!BB:BB,MATCH(B18,'2026-5任务'!A:A,0))</f>
        <v>0</v>
      </c>
      <c r="AY18" s="1449">
        <f>INDEX('2026-5任务'!BG:BG,MATCH(B18,'2026-5任务'!A:A,0))</f>
        <v>0</v>
      </c>
      <c r="AZ18" s="1449">
        <f>INDEX('2026-5任务'!BE:BE,MATCH(B18,'2026-5任务'!A:A,0))</f>
        <v>0</v>
      </c>
      <c r="BA18" s="1449">
        <f>SUMIF('4月续保推荐事故'!I:I,'05月业务提成'!B18,'4月续保推荐事故'!L:L)</f>
        <v>0</v>
      </c>
      <c r="BB18" s="1483">
        <f>INDEX('2026-5任务'!BC:BC,MATCH('05月业务提成'!B18,'2026-5任务'!A:A,0))</f>
        <v>0</v>
      </c>
      <c r="BC18" s="1472"/>
      <c r="BD18" s="1469">
        <v>200</v>
      </c>
      <c r="BE18" s="1469"/>
      <c r="BF18" s="1456">
        <f t="shared" si="36"/>
        <v>0</v>
      </c>
      <c r="BG18" s="1460">
        <f t="shared" si="26"/>
        <v>6275.8370500000001</v>
      </c>
      <c r="BH18" s="1458"/>
      <c r="BI18" s="1459"/>
      <c r="BJ18" s="1460">
        <f t="shared" si="37"/>
        <v>6275.8370500000001</v>
      </c>
      <c r="BK18" s="1461">
        <f>INDEX('05月提成-武侯售后'!I:I,MATCH(B18,'05月提成-武侯售后'!C:C,0))</f>
        <v>900</v>
      </c>
      <c r="BL18" s="1449">
        <f>INDEX('05月提成-武侯售后'!J:J,MATCH(B18,'05月提成-武侯售后'!C:C,0))</f>
        <v>0</v>
      </c>
      <c r="BM18" s="1469"/>
      <c r="BN18" s="1449">
        <f>SUMIF('05月业务提成'!C:C,'05月业务提成'!B18,'05月业务提成'!O:O)+SUMIF('05基本'!C:C,'05月业务提成'!B18,'05基本'!N:N)</f>
        <v>0</v>
      </c>
      <c r="BO18" s="1473">
        <f>BJ18+BL18+BM18</f>
        <v>6275.8370500000001</v>
      </c>
      <c r="BP18" s="1474">
        <f>SUMIF('05月提成-武侯售后'!C:C,'05月业务提成'!B18,'05月提成-武侯售后'!K:K)</f>
        <v>6275.8370500000001</v>
      </c>
      <c r="BQ18" s="1391">
        <f t="shared" si="38"/>
        <v>0</v>
      </c>
      <c r="BR18" s="1463"/>
      <c r="BS18" s="1464"/>
      <c r="BT18" s="1465"/>
      <c r="BU18" s="1465"/>
      <c r="BV18" s="1465"/>
      <c r="BW18" s="1465"/>
    </row>
    <row r="19" spans="1:75" s="44" customFormat="1" ht="18" customHeight="1">
      <c r="A19" s="1745"/>
      <c r="B19" s="1480" t="s">
        <v>73</v>
      </c>
      <c r="C19" s="1443">
        <f>INDEX('2026-5任务'!C:C,MATCH(B19,'2026-5任务'!A:A,0))+INDEX('2026-5任务'!D:D,MATCH(B19,'2026-5任务'!A:A,0))+INDEX('2026-5任务'!G:G,MATCH(B19,'2026-5任务'!A:A,0))+INDEX('2026-5任务'!E:E,MATCH(B19,'2026-5任务'!A:A,0))</f>
        <v>96</v>
      </c>
      <c r="D19" s="1303">
        <v>8</v>
      </c>
      <c r="E19" s="1467">
        <f t="shared" si="27"/>
        <v>768</v>
      </c>
      <c r="F19" s="1445">
        <f>INDEX('2026-5任务'!X:X,MATCH(B19,'2026-5任务'!A:A,0))-J19</f>
        <v>0</v>
      </c>
      <c r="G19" s="1454">
        <f>INDEX('2026-5任务'!W:W,MATCH(B19,'2026-5任务'!A:A,0))</f>
        <v>1.1904538461538501</v>
      </c>
      <c r="H19" s="1468">
        <v>0.02</v>
      </c>
      <c r="I19" s="1443">
        <f t="shared" si="28"/>
        <v>0</v>
      </c>
      <c r="J19" s="1448">
        <f>INDEX('2026-5任务'!R:R,MATCH(B19,'2026-5任务'!A:A,0))+INDEX('2026-5任务'!U:U,MATCH(B19,'2026-5任务'!A:A,0))</f>
        <v>619036</v>
      </c>
      <c r="K19" s="1469"/>
      <c r="L19" s="1468">
        <v>1.6E-2</v>
      </c>
      <c r="M19" s="1448">
        <f t="shared" si="29"/>
        <v>9409.3472000000002</v>
      </c>
      <c r="N19" s="1445">
        <f>INDEX('2026-5任务'!AN:AN,MATCH(B19,'2026-5任务'!A:A,0))+INDEX('2026-5任务'!AO:AO,MATCH(B19,'2026-5任务'!A:A,0))</f>
        <v>0</v>
      </c>
      <c r="O19" s="1304">
        <v>5.0000000000000001E-3</v>
      </c>
      <c r="P19" s="1451">
        <f t="shared" si="3"/>
        <v>0</v>
      </c>
      <c r="Q19" s="1470">
        <f>INDEX('2026-5任务'!Z:Z,MATCH(B19,'2026-5任务'!A:A,0))+INDEX('2026-5任务'!AA:AA,MATCH(B19,'2026-5任务'!A:A,0))</f>
        <v>0</v>
      </c>
      <c r="R19" s="1454">
        <f>INDEX('2026-5任务'!AB:AB,MATCH(B19,'2026-5任务'!A:A,0))</f>
        <v>0</v>
      </c>
      <c r="S19" s="1305">
        <v>0.06</v>
      </c>
      <c r="T19" s="1445"/>
      <c r="U19" s="1452">
        <v>0.1</v>
      </c>
      <c r="V19" s="1453">
        <f t="shared" si="30"/>
        <v>0</v>
      </c>
      <c r="W19" s="1471">
        <f>INDEX('2026-5任务'!AD:AD,MATCH(B19,'2026-5任务'!A:A,0))</f>
        <v>0</v>
      </c>
      <c r="X19" s="1454">
        <f>INDEX('2026-5任务'!AF:AF,MATCH(B19,'2026-5任务'!A:A,0))</f>
        <v>0</v>
      </c>
      <c r="Y19" s="1305">
        <v>0.08</v>
      </c>
      <c r="Z19" s="1451">
        <f t="shared" si="31"/>
        <v>0</v>
      </c>
      <c r="AA19" s="1453">
        <f>INDEX('2026-5任务'!AJ:AJ,MATCH(B19,'2026-5任务'!A:A,0))</f>
        <v>0</v>
      </c>
      <c r="AB19" s="1454">
        <f>INDEX('2026-5任务'!AK:AK,MATCH(B19,'2026-5任务'!A:A,0))</f>
        <v>0</v>
      </c>
      <c r="AC19" s="1305">
        <v>0.1</v>
      </c>
      <c r="AD19" s="1451">
        <f t="shared" si="32"/>
        <v>0</v>
      </c>
      <c r="AE19" s="1443">
        <f>INDEX('2026-5任务'!AV:AV,MATCH($B19,'2026-5任务'!A:A,0))</f>
        <v>0</v>
      </c>
      <c r="AF19" s="1443">
        <f>INDEX('2026-5任务'!AU:AU,MATCH('05月业务提成'!B19,'2026-5任务'!A:A,0))</f>
        <v>0</v>
      </c>
      <c r="AG19" s="1443">
        <f>INDEX('2026-5任务'!AR:AR,MATCH('05月业务提成'!B19,'2026-5任务'!A:A,0))</f>
        <v>0</v>
      </c>
      <c r="AH19" s="1443">
        <f>INDEX('2026-5任务'!AQ:AQ,MATCH('05月业务提成'!B19,'2026-5任务'!A:A,0))</f>
        <v>0</v>
      </c>
      <c r="AI19" s="1492" t="e">
        <f>INDEX('2026-5任务'!AW:AW,MATCH(B19,'2026-5任务'!A:A,0))</f>
        <v>#DIV/0!</v>
      </c>
      <c r="AJ19" s="1443">
        <v>35</v>
      </c>
      <c r="AK19" s="1443">
        <v>25</v>
      </c>
      <c r="AL19" s="1443">
        <v>50</v>
      </c>
      <c r="AM19" s="1448">
        <f t="shared" si="33"/>
        <v>0</v>
      </c>
      <c r="AN19" s="1483"/>
      <c r="AO19" s="1469"/>
      <c r="AP19" s="1483">
        <v>25</v>
      </c>
      <c r="AQ19" s="1449">
        <f t="shared" si="34"/>
        <v>0</v>
      </c>
      <c r="AR19" s="1483"/>
      <c r="AS19" s="1483"/>
      <c r="AT19" s="1472">
        <f>INDEX('2026-5任务'!BO:BO,MATCH(B19,'2026-5任务'!A:A,0))</f>
        <v>0</v>
      </c>
      <c r="AU19" s="1483">
        <v>20</v>
      </c>
      <c r="AV19" s="1449">
        <f t="shared" si="35"/>
        <v>0</v>
      </c>
      <c r="AW19" s="1449">
        <f>INDEX('2026-5任务'!BA:BA,MATCH(B19,'2026-5任务'!A:A,0))</f>
        <v>0</v>
      </c>
      <c r="AX19" s="1449">
        <f>INDEX('2026-5任务'!BB:BB,MATCH(B19,'2026-5任务'!A:A,0))</f>
        <v>0</v>
      </c>
      <c r="AY19" s="1449">
        <f>INDEX('2026-5任务'!BG:BG,MATCH(B19,'2026-5任务'!A:A,0))</f>
        <v>0</v>
      </c>
      <c r="AZ19" s="1449">
        <f>INDEX('2026-5任务'!BE:BE,MATCH(B19,'2026-5任务'!A:A,0))</f>
        <v>0</v>
      </c>
      <c r="BA19" s="1449">
        <f>SUMIF('4月续保推荐事故'!I:I,'05月业务提成'!B19,'4月续保推荐事故'!L:L)</f>
        <v>0</v>
      </c>
      <c r="BB19" s="1483">
        <f>INDEX('2026-5任务'!BC:BC,MATCH('05月业务提成'!B19,'2026-5任务'!A:A,0))</f>
        <v>0</v>
      </c>
      <c r="BC19" s="1472"/>
      <c r="BD19" s="1469">
        <v>200</v>
      </c>
      <c r="BE19" s="1469"/>
      <c r="BF19" s="1456">
        <f t="shared" si="36"/>
        <v>0</v>
      </c>
      <c r="BG19" s="1460">
        <f t="shared" si="26"/>
        <v>10177.3472</v>
      </c>
      <c r="BH19" s="1458"/>
      <c r="BI19" s="1459"/>
      <c r="BJ19" s="1460">
        <f t="shared" si="37"/>
        <v>10177.3472</v>
      </c>
      <c r="BK19" s="1461">
        <f>INDEX('05月提成-武侯售后'!I:I,MATCH(B19,'05月提成-武侯售后'!C:C,0))</f>
        <v>900</v>
      </c>
      <c r="BL19" s="1449">
        <f>INDEX('05月提成-武侯售后'!J:J,MATCH(B19,'05月提成-武侯售后'!C:C,0))</f>
        <v>0</v>
      </c>
      <c r="BM19" s="1469"/>
      <c r="BN19" s="1449">
        <f>SUMIF('05月业务提成'!C:C,'05月业务提成'!B19,'05月业务提成'!O:O)+SUMIF('05基本'!C:C,'05月业务提成'!B19,'05基本'!N:N)</f>
        <v>0</v>
      </c>
      <c r="BO19" s="1473">
        <f t="shared" si="20"/>
        <v>9277.3472000000002</v>
      </c>
      <c r="BP19" s="1474">
        <f>SUMIF('05月提成-武侯售后'!C:C,'05月业务提成'!B19,'05月提成-武侯售后'!K:K)</f>
        <v>9277.3472000000002</v>
      </c>
      <c r="BQ19" s="1391">
        <f t="shared" si="38"/>
        <v>0</v>
      </c>
      <c r="BR19" s="1463"/>
      <c r="BS19" s="1464"/>
      <c r="BT19" s="1465"/>
      <c r="BU19" s="1465"/>
      <c r="BV19" s="1465"/>
      <c r="BW19" s="1465"/>
    </row>
    <row r="20" spans="1:75" s="44" customFormat="1" ht="18" customHeight="1">
      <c r="A20" s="1745"/>
      <c r="B20" s="1480" t="s">
        <v>70</v>
      </c>
      <c r="C20" s="1443">
        <f>INDEX('2026-5任务'!C:C,MATCH(B20,'2026-5任务'!A:A,0))+INDEX('2026-5任务'!D:D,MATCH(B20,'2026-5任务'!A:A,0))+INDEX('2026-5任务'!G:G,MATCH(B20,'2026-5任务'!A:A,0))+INDEX('2026-5任务'!E:E,MATCH(B20,'2026-5任务'!A:A,0))</f>
        <v>46</v>
      </c>
      <c r="D20" s="1303">
        <v>8</v>
      </c>
      <c r="E20" s="1467">
        <f t="shared" si="27"/>
        <v>368</v>
      </c>
      <c r="F20" s="1445">
        <f>INDEX('2026-5任务'!X:X,MATCH(B20,'2026-5任务'!A:A,0))-J20</f>
        <v>-88</v>
      </c>
      <c r="G20" s="1454">
        <f>INDEX('2026-5任务'!W:W,MATCH(B20,'2026-5任务'!A:A,0))</f>
        <v>0.57283333333333297</v>
      </c>
      <c r="H20" s="1468">
        <v>0.02</v>
      </c>
      <c r="I20" s="1443">
        <f t="shared" si="28"/>
        <v>-1.6719999999999999</v>
      </c>
      <c r="J20" s="1448">
        <f>INDEX('2026-5任务'!R:R,MATCH(B20,'2026-5任务'!A:A,0))+INDEX('2026-5任务'!U:U,MATCH(B20,'2026-5任务'!A:A,0))</f>
        <v>257863</v>
      </c>
      <c r="K20" s="1469"/>
      <c r="L20" s="1468">
        <v>1.6E-2</v>
      </c>
      <c r="M20" s="1448">
        <f t="shared" si="29"/>
        <v>3919.5176000000001</v>
      </c>
      <c r="N20" s="1445">
        <f>INDEX('2026-5任务'!AN:AN,MATCH(B20,'2026-5任务'!A:A,0))+INDEX('2026-5任务'!AO:AO,MATCH(B20,'2026-5任务'!A:A,0))</f>
        <v>169.06</v>
      </c>
      <c r="O20" s="1304">
        <v>5.0000000000000001E-3</v>
      </c>
      <c r="P20" s="1451">
        <f t="shared" si="3"/>
        <v>0.80303500000000005</v>
      </c>
      <c r="Q20" s="1470">
        <f>INDEX('2026-5任务'!Z:Z,MATCH(B20,'2026-5任务'!A:A,0))+INDEX('2026-5任务'!AA:AA,MATCH(B20,'2026-5任务'!A:A,0))</f>
        <v>0</v>
      </c>
      <c r="R20" s="1454">
        <f>INDEX('2026-5任务'!AB:AB,MATCH(B20,'2026-5任务'!A:A,0))</f>
        <v>0</v>
      </c>
      <c r="S20" s="1305">
        <v>0.06</v>
      </c>
      <c r="T20" s="1445"/>
      <c r="U20" s="1452">
        <v>0.1</v>
      </c>
      <c r="V20" s="1453">
        <f t="shared" si="30"/>
        <v>0</v>
      </c>
      <c r="W20" s="1471">
        <f>INDEX('2026-5任务'!AD:AD,MATCH(B20,'2026-5任务'!A:A,0))</f>
        <v>88</v>
      </c>
      <c r="X20" s="1454">
        <f>INDEX('2026-5任务'!AF:AF,MATCH(B20,'2026-5任务'!A:A,0))</f>
        <v>0</v>
      </c>
      <c r="Y20" s="1305">
        <v>0.08</v>
      </c>
      <c r="Z20" s="1451">
        <f t="shared" si="31"/>
        <v>6.6879999999999997</v>
      </c>
      <c r="AA20" s="1453">
        <f>INDEX('2026-5任务'!AJ:AJ,MATCH(B20,'2026-5任务'!A:A,0))</f>
        <v>0</v>
      </c>
      <c r="AB20" s="1454">
        <f>INDEX('2026-5任务'!AK:AK,MATCH(B20,'2026-5任务'!A:A,0))</f>
        <v>0</v>
      </c>
      <c r="AC20" s="1305">
        <v>0.1</v>
      </c>
      <c r="AD20" s="1451">
        <f t="shared" si="32"/>
        <v>0</v>
      </c>
      <c r="AE20" s="1443"/>
      <c r="AF20" s="1443"/>
      <c r="AG20" s="1443"/>
      <c r="AH20" s="1443"/>
      <c r="AI20" s="1492"/>
      <c r="AJ20" s="1443">
        <v>35</v>
      </c>
      <c r="AK20" s="1443">
        <v>25</v>
      </c>
      <c r="AL20" s="1443">
        <v>50</v>
      </c>
      <c r="AM20" s="1448">
        <f t="shared" si="33"/>
        <v>0</v>
      </c>
      <c r="AN20" s="1483"/>
      <c r="AO20" s="1469"/>
      <c r="AP20" s="1483">
        <v>25</v>
      </c>
      <c r="AQ20" s="1449">
        <f t="shared" si="34"/>
        <v>0</v>
      </c>
      <c r="AR20" s="1483"/>
      <c r="AS20" s="1483"/>
      <c r="AT20" s="1472"/>
      <c r="AU20" s="1483">
        <v>20</v>
      </c>
      <c r="AV20" s="1449">
        <f t="shared" si="35"/>
        <v>0</v>
      </c>
      <c r="AW20" s="1449"/>
      <c r="AX20" s="1449"/>
      <c r="AY20" s="1449"/>
      <c r="AZ20" s="1449"/>
      <c r="BA20" s="1449">
        <f>SUMIF('4月续保推荐事故'!I:I,'05月业务提成'!B20,'4月续保推荐事故'!L:L)</f>
        <v>0</v>
      </c>
      <c r="BB20" s="1483"/>
      <c r="BC20" s="1472"/>
      <c r="BD20" s="1469">
        <v>200</v>
      </c>
      <c r="BE20" s="1469"/>
      <c r="BF20" s="1456">
        <f t="shared" si="36"/>
        <v>0</v>
      </c>
      <c r="BG20" s="1460">
        <f t="shared" si="26"/>
        <v>4293.3366349999997</v>
      </c>
      <c r="BH20" s="1458"/>
      <c r="BI20" s="1459"/>
      <c r="BJ20" s="1460">
        <f t="shared" si="37"/>
        <v>4293.3366349999997</v>
      </c>
      <c r="BK20" s="1461">
        <f>INDEX('05月提成-武侯售后'!I:I,MATCH(B20,'05月提成-武侯售后'!C:C,0))</f>
        <v>900</v>
      </c>
      <c r="BL20" s="1449"/>
      <c r="BM20" s="1469"/>
      <c r="BN20" s="1449">
        <f>SUMIF('05月业务提成'!C:C,'05月业务提成'!B20,'05月业务提成'!O:O)+SUMIF('05基本'!C:C,'05月业务提成'!B20,'05基本'!N:N)</f>
        <v>0</v>
      </c>
      <c r="BO20" s="1473">
        <f t="shared" si="20"/>
        <v>3393.3366350000001</v>
      </c>
      <c r="BP20" s="1474">
        <f>SUMIF('05月提成-武侯售后'!C:C,'05月业务提成'!B20,'05月提成-武侯售后'!K:K)</f>
        <v>3393.3366350000001</v>
      </c>
      <c r="BQ20" s="1391">
        <f t="shared" si="38"/>
        <v>0</v>
      </c>
      <c r="BR20" s="1463"/>
      <c r="BS20" s="1464"/>
      <c r="BT20" s="1465"/>
      <c r="BU20" s="1465"/>
      <c r="BV20" s="1465"/>
      <c r="BW20" s="1465"/>
    </row>
    <row r="21" spans="1:75" s="44" customFormat="1" ht="18" customHeight="1">
      <c r="A21" s="1746"/>
      <c r="B21" s="1480" t="s">
        <v>76</v>
      </c>
      <c r="C21" s="1443">
        <f>INDEX('2026-5任务'!C:C,MATCH(B21,'2026-5任务'!A:A,0))+INDEX('2026-5任务'!D:D,MATCH(B21,'2026-5任务'!A:A,0))+INDEX('2026-5任务'!G:G,MATCH(B21,'2026-5任务'!A:A,0))+INDEX('2026-5任务'!E:E,MATCH(B21,'2026-5任务'!A:A,0))</f>
        <v>0</v>
      </c>
      <c r="D21" s="1303">
        <v>4</v>
      </c>
      <c r="E21" s="1467">
        <f t="shared" si="27"/>
        <v>0</v>
      </c>
      <c r="F21" s="1445">
        <f>INDEX('2026-5任务'!X:X,MATCH(B21,'2026-5任务'!A:A,0))-J21</f>
        <v>0</v>
      </c>
      <c r="G21" s="1454">
        <f>INDEX('2026-5任务'!W:W,MATCH(B21,'2026-5任务'!A:A,0))</f>
        <v>0</v>
      </c>
      <c r="H21" s="1468">
        <v>0.02</v>
      </c>
      <c r="I21" s="1443">
        <f t="shared" si="28"/>
        <v>0</v>
      </c>
      <c r="J21" s="1448">
        <f>INDEX('2026-5任务'!R:R,MATCH(B21,'2026-5任务'!A:A,0))+INDEX('2026-5任务'!U:U,MATCH(B21,'2026-5任务'!A:A,0))</f>
        <v>0</v>
      </c>
      <c r="K21" s="1469"/>
      <c r="L21" s="1468">
        <v>1.6E-2</v>
      </c>
      <c r="M21" s="1448">
        <f t="shared" si="29"/>
        <v>0</v>
      </c>
      <c r="N21" s="1445">
        <f>INDEX('2026-5任务'!AN:AN,MATCH(B21,'2026-5任务'!A:A,0))+INDEX('2026-5任务'!AO:AO,MATCH(B21,'2026-5任务'!A:A,0))</f>
        <v>0</v>
      </c>
      <c r="O21" s="1304">
        <v>5.0000000000000001E-3</v>
      </c>
      <c r="P21" s="1451">
        <f t="shared" si="3"/>
        <v>0</v>
      </c>
      <c r="Q21" s="1470">
        <f>INDEX('2026-5任务'!Z:Z,MATCH(B21,'2026-5任务'!A:A,0))+INDEX('2026-5任务'!AA:AA,MATCH(B21,'2026-5任务'!A:A,0))</f>
        <v>0</v>
      </c>
      <c r="R21" s="1454">
        <f>INDEX('2026-5任务'!AB:AB,MATCH(B21,'2026-5任务'!A:A,0))</f>
        <v>0</v>
      </c>
      <c r="S21" s="1305">
        <v>0.06</v>
      </c>
      <c r="T21" s="1445">
        <f>INDEX('2026-5任务'!AA:AA,MATCH(B21,'2026-5任务'!A:A,0))</f>
        <v>0</v>
      </c>
      <c r="U21" s="1452">
        <v>0.1</v>
      </c>
      <c r="V21" s="1453">
        <f t="shared" si="30"/>
        <v>0</v>
      </c>
      <c r="W21" s="1471">
        <f>INDEX('2026-5任务'!AD:AD,MATCH(B21,'2026-5任务'!A:A,0))</f>
        <v>0</v>
      </c>
      <c r="X21" s="1454">
        <f>INDEX('2026-5任务'!AF:AF,MATCH(B21,'2026-5任务'!A:A,0))</f>
        <v>0</v>
      </c>
      <c r="Y21" s="1305">
        <v>0.08</v>
      </c>
      <c r="Z21" s="1451">
        <f t="shared" si="31"/>
        <v>0</v>
      </c>
      <c r="AA21" s="1453">
        <f>INDEX('2026-5任务'!AJ:AJ,MATCH(B21,'2026-5任务'!A:A,0))</f>
        <v>0</v>
      </c>
      <c r="AB21" s="1454">
        <f>INDEX('2026-5任务'!AK:AK,MATCH(B21,'2026-5任务'!A:A,0))</f>
        <v>0</v>
      </c>
      <c r="AC21" s="1305">
        <v>0.1</v>
      </c>
      <c r="AD21" s="1451">
        <f t="shared" si="32"/>
        <v>0</v>
      </c>
      <c r="AE21" s="1443">
        <f>INDEX('2026-5任务'!AV:AV,MATCH($B21,'2026-5任务'!A:A,0))</f>
        <v>0</v>
      </c>
      <c r="AF21" s="1443">
        <f>INDEX('2026-5任务'!AU:AU,MATCH('05月业务提成'!B21,'2026-5任务'!A:A,0))</f>
        <v>0</v>
      </c>
      <c r="AG21" s="1443">
        <f>INDEX('2026-5任务'!AR:AR,MATCH('05月业务提成'!B21,'2026-5任务'!A:A,0))</f>
        <v>0</v>
      </c>
      <c r="AH21" s="1443">
        <f>INDEX('2026-5任务'!AQ:AQ,MATCH('05月业务提成'!B21,'2026-5任务'!A:A,0))</f>
        <v>0</v>
      </c>
      <c r="AI21" s="1490">
        <f>INDEX('2026-5任务'!AW:AW,MATCH(B21,'2026-5任务'!A:A,0))</f>
        <v>0</v>
      </c>
      <c r="AJ21" s="1443">
        <v>35</v>
      </c>
      <c r="AK21" s="1443">
        <v>25</v>
      </c>
      <c r="AL21" s="1443">
        <v>50</v>
      </c>
      <c r="AM21" s="1448">
        <f t="shared" si="33"/>
        <v>0</v>
      </c>
      <c r="AN21" s="1467">
        <f>INDEX('2026-5任务'!BJ:BJ,MATCH(B21,'2026-5任务'!A:A,0))</f>
        <v>0</v>
      </c>
      <c r="AO21" s="1302"/>
      <c r="AP21" s="1303">
        <v>25</v>
      </c>
      <c r="AQ21" s="1449">
        <f t="shared" si="34"/>
        <v>0</v>
      </c>
      <c r="AR21" s="1303">
        <f>INDEX('2026-5任务'!BN:BN,MATCH(B21,'2026-5任务'!A:A,0))</f>
        <v>0</v>
      </c>
      <c r="AS21" s="1303">
        <f>INDEX('2026-5任务'!BM:BM,MATCH(B21,'2026-5任务'!A:A,0))</f>
        <v>0</v>
      </c>
      <c r="AT21" s="1472">
        <f>INDEX('2026-5任务'!BO:BO,MATCH(B21,'2026-5任务'!A:A,0))</f>
        <v>0</v>
      </c>
      <c r="AU21" s="1303">
        <v>20</v>
      </c>
      <c r="AV21" s="1449">
        <f t="shared" si="35"/>
        <v>0</v>
      </c>
      <c r="AW21" s="1448">
        <f>INDEX('2026-5任务'!BA:BA,MATCH(B21,'2026-5任务'!A:A,0))</f>
        <v>0</v>
      </c>
      <c r="AX21" s="1448">
        <f>INDEX('2026-5任务'!BB:BB,MATCH(B21,'2026-5任务'!A:A,0))</f>
        <v>0</v>
      </c>
      <c r="AY21" s="1448">
        <f>INDEX('2026-5任务'!BG:BG,MATCH(B21,'2026-5任务'!A:A,0))</f>
        <v>0</v>
      </c>
      <c r="AZ21" s="1448">
        <f>INDEX('2026-5任务'!BE:BE,MATCH(B21,'2026-5任务'!A:A,0))</f>
        <v>0</v>
      </c>
      <c r="BA21" s="1448">
        <f>SUMIF('4月续保推荐事故'!I:I,'05月业务提成'!B21,'4月续保推荐事故'!L:L)</f>
        <v>0</v>
      </c>
      <c r="BB21" s="1467">
        <f>INDEX('2026-5任务'!BC:BC,MATCH('05月业务提成'!B21,'2026-5任务'!A:A,0))</f>
        <v>0</v>
      </c>
      <c r="BC21" s="1342"/>
      <c r="BD21" s="1476">
        <v>200</v>
      </c>
      <c r="BE21" s="1476"/>
      <c r="BF21" s="1456">
        <f t="shared" si="36"/>
        <v>0</v>
      </c>
      <c r="BG21" s="1460">
        <f t="shared" si="26"/>
        <v>0</v>
      </c>
      <c r="BH21" s="1458"/>
      <c r="BI21" s="1459"/>
      <c r="BJ21" s="1460">
        <f t="shared" si="37"/>
        <v>0</v>
      </c>
      <c r="BK21" s="1461"/>
      <c r="BL21" s="1445">
        <f>INDEX('05月提成-武侯售后'!J:J,MATCH(B21,'05月提成-武侯售后'!C:C,0))</f>
        <v>0</v>
      </c>
      <c r="BM21" s="1469"/>
      <c r="BN21" s="1449">
        <f>SUMIF('05月业务提成'!C:C,'05月业务提成'!B21,'05月业务提成'!O:O)+SUMIF('05基本'!C:C,'05月业务提成'!B21,'05基本'!N:N)</f>
        <v>0</v>
      </c>
      <c r="BO21" s="1473">
        <f t="shared" si="20"/>
        <v>0</v>
      </c>
      <c r="BP21" s="1474">
        <f>SUMIF('05月提成-武侯售后'!C:C,'05月业务提成'!B21,'05月提成-武侯售后'!K:K)</f>
        <v>20355.839599999999</v>
      </c>
      <c r="BQ21" s="1391">
        <f t="shared" si="38"/>
        <v>20355.839599999999</v>
      </c>
      <c r="BR21" s="1463"/>
      <c r="BS21" s="1464"/>
      <c r="BT21" s="1465"/>
      <c r="BU21" s="1465"/>
      <c r="BV21" s="1465"/>
      <c r="BW21" s="1465"/>
    </row>
    <row r="22" spans="1:75" s="44" customFormat="1" ht="18" customHeight="1">
      <c r="A22" s="1744" t="s">
        <v>310</v>
      </c>
      <c r="B22" s="1466" t="s">
        <v>206</v>
      </c>
      <c r="C22" s="1443">
        <f>INDEX('2026-5任务'!C:C,MATCH(B22,'2026-5任务'!A:A,0))+INDEX('2026-5任务'!D:D,MATCH(B22,'2026-5任务'!A:A,0))+INDEX('2026-5任务'!G:G,MATCH(B22,'2026-5任务'!A:A,0))+INDEX('2026-5任务'!E:E,MATCH(B22,'2026-5任务'!A:A,0))</f>
        <v>236</v>
      </c>
      <c r="D22" s="1303">
        <v>4</v>
      </c>
      <c r="E22" s="1467">
        <f t="shared" ref="E22:E24" si="39">C22*D22</f>
        <v>944</v>
      </c>
      <c r="F22" s="1445">
        <f>INDEX('2026-5任务'!X:X,MATCH(B22,'2026-5任务'!A:A,0))-J22</f>
        <v>33714.51</v>
      </c>
      <c r="G22" s="1454">
        <f>INDEX('2026-5任务'!W:W,MATCH(B22,'2026-5任务'!A:A,0))</f>
        <v>0.93651416666666698</v>
      </c>
      <c r="H22" s="1468">
        <v>0.02</v>
      </c>
      <c r="I22" s="1443">
        <f t="shared" ref="I22:I24" si="40">F22*H22*0.95</f>
        <v>640.57569000000001</v>
      </c>
      <c r="J22" s="1448">
        <f>INDEX('2026-5任务'!R:R,MATCH(B22,'2026-5任务'!A:A,0))+INDEX('2026-5任务'!U:U,MATCH(B22,'2026-5任务'!A:A,0))</f>
        <v>0</v>
      </c>
      <c r="K22" s="1469"/>
      <c r="L22" s="1468">
        <v>1.6E-2</v>
      </c>
      <c r="M22" s="1448">
        <f t="shared" si="29"/>
        <v>0</v>
      </c>
      <c r="N22" s="1445">
        <f>INDEX('2026-5任务'!AN:AN,MATCH(B22,'2026-5任务'!A:A,0))+INDEX('2026-5任务'!AO:AO,MATCH(B22,'2026-5任务'!A:A,0))</f>
        <v>96597.72</v>
      </c>
      <c r="O22" s="1304">
        <v>5.0000000000000001E-3</v>
      </c>
      <c r="P22" s="1451">
        <f t="shared" si="3"/>
        <v>458.83917000000002</v>
      </c>
      <c r="Q22" s="1470">
        <f>INDEX('2026-5任务'!Z:Z,MATCH(B22,'2026-5任务'!A:A,0))+INDEX('2026-5任务'!AA:AA,MATCH(B22,'2026-5任务'!A:A,0))</f>
        <v>16310</v>
      </c>
      <c r="R22" s="1454">
        <f>INDEX('2026-5任务'!AB:AB,MATCH(B22,'2026-5任务'!A:A,0))</f>
        <v>0.8155</v>
      </c>
      <c r="S22" s="1305">
        <v>0.06</v>
      </c>
      <c r="T22" s="1445">
        <f>INDEX('2026-5任务'!AA:AA,MATCH(B22,'2026-5任务'!A:A,0))</f>
        <v>0</v>
      </c>
      <c r="U22" s="1452">
        <v>0.1</v>
      </c>
      <c r="V22" s="1453">
        <f t="shared" ref="V22:V24" si="41">(Q22*S22)*0.95+T22*U22</f>
        <v>929.67</v>
      </c>
      <c r="W22" s="1471">
        <f>INDEX('2026-5任务'!AD:AD,MATCH(B22,'2026-5任务'!A:A,0))</f>
        <v>9552.49</v>
      </c>
      <c r="X22" s="1454">
        <f>INDEX('2026-5任务'!AF:AF,MATCH(B22,'2026-5任务'!A:A,0))</f>
        <v>0.81974928571428596</v>
      </c>
      <c r="Y22" s="1305">
        <v>0.08</v>
      </c>
      <c r="Z22" s="1451">
        <f t="shared" ref="Z22:Z24" si="42">(W22*Y22)*0.95</f>
        <v>725.98924</v>
      </c>
      <c r="AA22" s="1453">
        <f>INDEX('2026-5任务'!AJ:AJ,MATCH(B22,'2026-5任务'!A:A,0))</f>
        <v>9508</v>
      </c>
      <c r="AB22" s="1454">
        <f>INDEX('2026-5任务'!AK:AK,MATCH(B22,'2026-5任务'!A:A,0))</f>
        <v>0.95079999999999998</v>
      </c>
      <c r="AC22" s="1305">
        <v>0.1</v>
      </c>
      <c r="AD22" s="1451">
        <f t="shared" ref="AD22:AD24" si="43">(AA22*AC22)*0.95</f>
        <v>903.26</v>
      </c>
      <c r="AE22" s="1443">
        <f>INDEX('2026-5任务'!AV:AV,MATCH($B22,'2026-5任务'!A:A,0))</f>
        <v>0</v>
      </c>
      <c r="AF22" s="1443">
        <f>INDEX('2026-5任务'!AU:AU,MATCH('05月业务提成'!B22,'2026-5任务'!A:A,0))</f>
        <v>5</v>
      </c>
      <c r="AG22" s="1443">
        <f>INDEX('2026-5任务'!AR:AR,MATCH('05月业务提成'!B22,'2026-5任务'!A:A,0))</f>
        <v>24</v>
      </c>
      <c r="AH22" s="1443">
        <f>INDEX('2026-5任务'!AQ:AQ,MATCH('05月业务提成'!B22,'2026-5任务'!A:A,0))</f>
        <v>12</v>
      </c>
      <c r="AI22" s="1492">
        <f>INDEX('2026-5任务'!AW:AW,MATCH(B22,'2026-5任务'!A:A,0))</f>
        <v>0.25</v>
      </c>
      <c r="AJ22" s="1443">
        <v>35</v>
      </c>
      <c r="AK22" s="1443">
        <v>25</v>
      </c>
      <c r="AL22" s="1443">
        <v>50</v>
      </c>
      <c r="AM22" s="1448">
        <f t="shared" ref="AM22:AM24" si="44">(AE22*AJ22+AF22*AK22)+IF(AG22=AH22,AG22*AL22,IF(AG22&gt;AH22,(AG22*50+(AG22-AH22)*30),IF(AG22&lt;AH22,AG22*AL22-(AH22-AG22)*50)))</f>
        <v>1685</v>
      </c>
      <c r="AN22" s="1483">
        <f>INDEX('2026-5任务'!BJ:BJ,MATCH(B22,'2026-5任务'!A:A,0))</f>
        <v>0</v>
      </c>
      <c r="AO22" s="1469"/>
      <c r="AP22" s="1483">
        <v>25</v>
      </c>
      <c r="AQ22" s="1449">
        <f t="shared" ref="AQ22:AQ26" si="45">AN22*AP22</f>
        <v>0</v>
      </c>
      <c r="AR22" s="1483">
        <f>INDEX('2026-5任务'!BN:BN,MATCH(B22,'2026-5任务'!A:A,0))</f>
        <v>0</v>
      </c>
      <c r="AS22" s="1483">
        <f>INDEX('2026-5任务'!BM:BM,MATCH(B22,'2026-5任务'!A:A,0))</f>
        <v>0</v>
      </c>
      <c r="AT22" s="1472">
        <f>INDEX('2026-5任务'!BO:BO,MATCH(B22,'2026-5任务'!A:A,0))</f>
        <v>0</v>
      </c>
      <c r="AU22" s="1483">
        <v>20</v>
      </c>
      <c r="AV22" s="1449">
        <f t="shared" ref="AV22:AV28" si="46">IF(AT22&gt;=0.8,AS22*AU22,AS22*AU22+AR22*AU22)</f>
        <v>0</v>
      </c>
      <c r="AW22" s="1449">
        <f>INDEX('2026-5任务'!BA:BA,MATCH(B22,'2026-5任务'!A:A,0))</f>
        <v>0</v>
      </c>
      <c r="AX22" s="1449">
        <f>INDEX('2026-5任务'!BB:BB,MATCH(B22,'2026-5任务'!A:A,0))</f>
        <v>0</v>
      </c>
      <c r="AY22" s="1449">
        <f>INDEX('2026-5任务'!BG:BG,MATCH(B22,'2026-5任务'!A:A,0))</f>
        <v>0</v>
      </c>
      <c r="AZ22" s="1449">
        <f>INDEX('2026-5任务'!BE:BE,MATCH(B22,'2026-5任务'!A:A,0))</f>
        <v>0</v>
      </c>
      <c r="BA22" s="1449">
        <f>SUMIF('4月续保推荐事故'!I:I,'05月业务提成'!B22,'4月续保推荐事故'!L:L)</f>
        <v>0</v>
      </c>
      <c r="BB22" s="1483">
        <f>INDEX('2026-5任务'!BC:BC,MATCH('05月业务提成'!B22,'2026-5任务'!A:A,0))</f>
        <v>0</v>
      </c>
      <c r="BC22" s="1472"/>
      <c r="BD22" s="1469">
        <v>200</v>
      </c>
      <c r="BE22" s="1469"/>
      <c r="BF22" s="1456">
        <f t="shared" ref="BF22:BF24" si="47">BB22*BD22</f>
        <v>0</v>
      </c>
      <c r="BG22" s="1460">
        <f t="shared" si="26"/>
        <v>6287.3341</v>
      </c>
      <c r="BH22" s="1458"/>
      <c r="BI22" s="1459"/>
      <c r="BJ22" s="1460">
        <f t="shared" ref="BJ22:BJ24" si="48">BG22+BH22+BI22</f>
        <v>6287.3341</v>
      </c>
      <c r="BK22" s="1461">
        <f>INDEX('05月提成-机场售后'!I:I,MATCH(B22,'05月提成-机场售后'!C:C,0))</f>
        <v>900</v>
      </c>
      <c r="BL22" s="1445">
        <f>INDEX('05月提成-机场售后'!J:J,MATCH(B22,'05月提成-机场售后'!C:C,0))</f>
        <v>0</v>
      </c>
      <c r="BM22" s="1469"/>
      <c r="BN22" s="1445">
        <f>SUMIF('05月业务提成'!C:C,'05月业务提成'!B22,'05月业务提成'!O:O)+SUMIF('05基本'!C:C,'05月业务提成'!B22,'05基本'!N:N)</f>
        <v>0</v>
      </c>
      <c r="BO22" s="1473">
        <f t="shared" si="20"/>
        <v>5387.3341</v>
      </c>
      <c r="BP22" s="1391">
        <f>SUMIF('05月提成-机场售后'!C:C,'05月业务提成'!B22,'05月提成-机场售后'!K:K)</f>
        <v>5387.3341</v>
      </c>
      <c r="BQ22" s="1391">
        <f t="shared" ref="BQ22:BQ24" si="49">BP22-BO22</f>
        <v>0</v>
      </c>
      <c r="BR22" s="1463"/>
      <c r="BS22" s="1464"/>
      <c r="BT22" s="1465"/>
      <c r="BU22" s="1465"/>
      <c r="BV22" s="1465"/>
      <c r="BW22" s="1465"/>
    </row>
    <row r="23" spans="1:75" s="44" customFormat="1" ht="15.9" customHeight="1">
      <c r="A23" s="1745"/>
      <c r="B23" s="1466" t="s">
        <v>211</v>
      </c>
      <c r="C23" s="1443">
        <f>INDEX('2026-5任务'!C:C,MATCH(B23,'2026-5任务'!A:A,0))+INDEX('2026-5任务'!D:D,MATCH(B23,'2026-5任务'!A:A,0))+INDEX('2026-5任务'!G:G,MATCH(B23,'2026-5任务'!A:A,0))+INDEX('2026-5任务'!E:E,MATCH(B23,'2026-5任务'!A:A,0))</f>
        <v>89</v>
      </c>
      <c r="D23" s="1303">
        <v>30</v>
      </c>
      <c r="E23" s="1467">
        <f t="shared" si="39"/>
        <v>2670</v>
      </c>
      <c r="F23" s="1445">
        <f>INDEX('2026-5任务'!X:X,MATCH(B23,'2026-5任务'!A:A,0))-J23</f>
        <v>-380</v>
      </c>
      <c r="G23" s="1454">
        <f>INDEX('2026-5任务'!W:W,MATCH(B23,'2026-5任务'!A:A,0))</f>
        <v>1.0831666666666699</v>
      </c>
      <c r="H23" s="1468">
        <v>0.02</v>
      </c>
      <c r="I23" s="1443">
        <f t="shared" si="40"/>
        <v>-7.22</v>
      </c>
      <c r="J23" s="1448">
        <f>INDEX('2026-5任务'!R:R,MATCH(B23,'2026-5任务'!A:A,0))+INDEX('2026-5任务'!U:U,MATCH(B23,'2026-5任务'!A:A,0))</f>
        <v>487805</v>
      </c>
      <c r="K23" s="1469"/>
      <c r="L23" s="1468">
        <v>1.6E-2</v>
      </c>
      <c r="M23" s="1448">
        <f t="shared" si="29"/>
        <v>7414.6360000000004</v>
      </c>
      <c r="N23" s="1445">
        <f>INDEX('2026-5任务'!AN:AN,MATCH(B23,'2026-5任务'!A:A,0))+INDEX('2026-5任务'!AO:AO,MATCH(B23,'2026-5任务'!A:A,0))</f>
        <v>866.23</v>
      </c>
      <c r="O23" s="1304">
        <v>5.0000000000000001E-3</v>
      </c>
      <c r="P23" s="1451">
        <f t="shared" si="3"/>
        <v>4.1145924999999997</v>
      </c>
      <c r="Q23" s="1470">
        <f>INDEX('2026-5任务'!Z:Z,MATCH(B23,'2026-5任务'!A:A,0))+INDEX('2026-5任务'!AA:AA,MATCH(B23,'2026-5任务'!A:A,0))</f>
        <v>0</v>
      </c>
      <c r="R23" s="1454">
        <f>INDEX('2026-5任务'!AB:AB,MATCH(B23,'2026-5任务'!A:A,0))</f>
        <v>0</v>
      </c>
      <c r="S23" s="1305">
        <v>0.06</v>
      </c>
      <c r="T23" s="1445">
        <f>INDEX('2026-5任务'!AA:AA,MATCH(B23,'2026-5任务'!A:A,0))</f>
        <v>0</v>
      </c>
      <c r="U23" s="1452">
        <v>0.1</v>
      </c>
      <c r="V23" s="1453">
        <f t="shared" si="41"/>
        <v>0</v>
      </c>
      <c r="W23" s="1471">
        <f>INDEX('2026-5任务'!AD:AD,MATCH(B23,'2026-5任务'!A:A,0))</f>
        <v>380</v>
      </c>
      <c r="X23" s="1454">
        <f>INDEX('2026-5任务'!AF:AF,MATCH(B23,'2026-5任务'!A:A,0))</f>
        <v>0</v>
      </c>
      <c r="Y23" s="1305">
        <v>0.08</v>
      </c>
      <c r="Z23" s="1451">
        <f t="shared" si="42"/>
        <v>28.88</v>
      </c>
      <c r="AA23" s="1453">
        <f>INDEX('2026-5任务'!AJ:AJ,MATCH(B23,'2026-5任务'!A:A,0))</f>
        <v>0</v>
      </c>
      <c r="AB23" s="1454">
        <f>INDEX('2026-5任务'!AK:AK,MATCH(B23,'2026-5任务'!A:A,0))</f>
        <v>0</v>
      </c>
      <c r="AC23" s="1305">
        <v>0.1</v>
      </c>
      <c r="AD23" s="1451">
        <f t="shared" si="43"/>
        <v>0</v>
      </c>
      <c r="AE23" s="1443">
        <f>INDEX('2026-5任务'!AV:AV,MATCH($B23,'2026-5任务'!A:A,0))</f>
        <v>0</v>
      </c>
      <c r="AF23" s="1443">
        <f>INDEX('2026-5任务'!AU:AU,MATCH('05月业务提成'!B23,'2026-5任务'!A:A,0))</f>
        <v>0</v>
      </c>
      <c r="AG23" s="1443">
        <f>INDEX('2026-5任务'!AR:AR,MATCH('05月业务提成'!B23,'2026-5任务'!A:A,0))</f>
        <v>0</v>
      </c>
      <c r="AH23" s="1443">
        <f>INDEX('2026-5任务'!AQ:AQ,MATCH('05月业务提成'!B23,'2026-5任务'!A:A,0))</f>
        <v>0</v>
      </c>
      <c r="AI23" s="1492" t="e">
        <f>INDEX('2026-5任务'!AW:AW,MATCH(B23,'2026-5任务'!A:A,0))</f>
        <v>#DIV/0!</v>
      </c>
      <c r="AJ23" s="1443">
        <v>35</v>
      </c>
      <c r="AK23" s="1443">
        <v>25</v>
      </c>
      <c r="AL23" s="1443">
        <v>50</v>
      </c>
      <c r="AM23" s="1448">
        <f t="shared" si="44"/>
        <v>0</v>
      </c>
      <c r="AN23" s="1483">
        <f>INDEX('2026-5任务'!BJ:BJ,MATCH(B23,'2026-5任务'!A:A,0))</f>
        <v>0</v>
      </c>
      <c r="AO23" s="1469"/>
      <c r="AP23" s="1483">
        <v>25</v>
      </c>
      <c r="AQ23" s="1449">
        <f t="shared" si="45"/>
        <v>0</v>
      </c>
      <c r="AR23" s="1483">
        <f>INDEX('2026-5任务'!BN:BN,MATCH(B23,'2026-5任务'!A:A,0))</f>
        <v>0</v>
      </c>
      <c r="AS23" s="1483">
        <f>INDEX('2026-5任务'!BM:BM,MATCH(B23,'2026-5任务'!A:A,0))</f>
        <v>0</v>
      </c>
      <c r="AT23" s="1472">
        <f>INDEX('2026-5任务'!BO:BO,MATCH(B23,'2026-5任务'!A:A,0))</f>
        <v>0</v>
      </c>
      <c r="AU23" s="1483">
        <v>20</v>
      </c>
      <c r="AV23" s="1449">
        <f t="shared" si="46"/>
        <v>0</v>
      </c>
      <c r="AW23" s="1449">
        <f>INDEX('2026-5任务'!BA:BA,MATCH(B23,'2026-5任务'!A:A,0))</f>
        <v>0</v>
      </c>
      <c r="AX23" s="1449">
        <f>INDEX('2026-5任务'!BB:BB,MATCH(B23,'2026-5任务'!A:A,0))</f>
        <v>0</v>
      </c>
      <c r="AY23" s="1449">
        <f>INDEX('2026-5任务'!BG:BG,MATCH(B23,'2026-5任务'!A:A,0))</f>
        <v>0</v>
      </c>
      <c r="AZ23" s="1449">
        <f>INDEX('2026-5任务'!BE:BE,MATCH(B23,'2026-5任务'!A:A,0))</f>
        <v>0</v>
      </c>
      <c r="BA23" s="1449">
        <f>SUMIF('4月续保推荐事故'!I:I,'05月业务提成'!B23,'4月续保推荐事故'!L:L)</f>
        <v>0</v>
      </c>
      <c r="BB23" s="1483">
        <f>INDEX('2026-5任务'!BC:BC,MATCH('05月业务提成'!B23,'2026-5任务'!A:A,0))</f>
        <v>0</v>
      </c>
      <c r="BC23" s="1472"/>
      <c r="BD23" s="1469">
        <v>200</v>
      </c>
      <c r="BE23" s="1469"/>
      <c r="BF23" s="1456">
        <f t="shared" si="47"/>
        <v>0</v>
      </c>
      <c r="BG23" s="1460">
        <f t="shared" si="26"/>
        <v>10110.4105925</v>
      </c>
      <c r="BH23" s="1458"/>
      <c r="BI23" s="1459"/>
      <c r="BJ23" s="1460">
        <f t="shared" si="48"/>
        <v>10110.4105925</v>
      </c>
      <c r="BK23" s="1461">
        <f>INDEX('05月提成-机场售后'!I:I,MATCH(B23,'05月提成-机场售后'!C:C,0))</f>
        <v>850</v>
      </c>
      <c r="BL23" s="1445">
        <f>INDEX('05月提成-机场售后'!J:J,MATCH(B23,'05月提成-机场售后'!C:C,0))</f>
        <v>0</v>
      </c>
      <c r="BM23" s="1469"/>
      <c r="BN23" s="1445">
        <f>SUMIF('05月业务提成'!C:C,'05月业务提成'!B23,'05月业务提成'!O:O)+SUMIF('05基本'!C:C,'05月业务提成'!B23,'05基本'!N:N)</f>
        <v>50</v>
      </c>
      <c r="BO23" s="1473">
        <f t="shared" si="20"/>
        <v>9260.4105925000003</v>
      </c>
      <c r="BP23" s="1391">
        <f>SUMIF('05月提成-机场售后'!C:C,'05月业务提成'!B23,'05月提成-机场售后'!K:K)</f>
        <v>9260.4105925000003</v>
      </c>
      <c r="BQ23" s="1391">
        <f t="shared" si="49"/>
        <v>0</v>
      </c>
      <c r="BR23" s="1463"/>
      <c r="BS23" s="1464"/>
      <c r="BT23" s="1465"/>
      <c r="BU23" s="1465"/>
      <c r="BV23" s="1465"/>
      <c r="BW23" s="1465"/>
    </row>
    <row r="24" spans="1:75" s="1385" customFormat="1" ht="18" customHeight="1">
      <c r="A24" s="1745"/>
      <c r="B24" s="1466" t="s">
        <v>207</v>
      </c>
      <c r="C24" s="1443">
        <f>INDEX('2026-5任务'!C:C,MATCH(B24,'2026-5任务'!A:A,0))+INDEX('2026-5任务'!D:D,MATCH(B24,'2026-5任务'!A:A,0))+INDEX('2026-5任务'!G:G,MATCH(B24,'2026-5任务'!A:A,0))+INDEX('2026-5任务'!E:E,MATCH(B24,'2026-5任务'!A:A,0))</f>
        <v>280</v>
      </c>
      <c r="D24" s="1303">
        <v>4</v>
      </c>
      <c r="E24" s="1467">
        <f t="shared" si="39"/>
        <v>1120</v>
      </c>
      <c r="F24" s="1445">
        <f>INDEX('2026-5任务'!X:X,MATCH(B24,'2026-5任务'!A:A,0))-J24</f>
        <v>37115.15</v>
      </c>
      <c r="G24" s="1454">
        <f>INDEX('2026-5任务'!W:W,MATCH(B24,'2026-5任务'!A:A,0))</f>
        <v>1.0309763888888901</v>
      </c>
      <c r="H24" s="1468">
        <v>0.02</v>
      </c>
      <c r="I24" s="1443">
        <f t="shared" si="40"/>
        <v>705.18785000000003</v>
      </c>
      <c r="J24" s="1448">
        <f>INDEX('2026-5任务'!R:R,MATCH(B24,'2026-5任务'!A:A,0))+INDEX('2026-5任务'!U:U,MATCH(B24,'2026-5任务'!A:A,0))</f>
        <v>0</v>
      </c>
      <c r="K24" s="1469"/>
      <c r="L24" s="1468">
        <v>1.6E-2</v>
      </c>
      <c r="M24" s="1448">
        <f t="shared" si="29"/>
        <v>0</v>
      </c>
      <c r="N24" s="1445">
        <f>INDEX('2026-5任务'!AN:AN,MATCH(B24,'2026-5任务'!A:A,0))+INDEX('2026-5任务'!AO:AO,MATCH(B24,'2026-5任务'!A:A,0))</f>
        <v>112112.1</v>
      </c>
      <c r="O24" s="1304">
        <v>5.0000000000000001E-3</v>
      </c>
      <c r="P24" s="1451">
        <f t="shared" si="3"/>
        <v>532.53247499999998</v>
      </c>
      <c r="Q24" s="1470">
        <f>INDEX('2026-5任务'!Z:Z,MATCH(B24,'2026-5任务'!A:A,0))+INDEX('2026-5任务'!AA:AA,MATCH(B24,'2026-5任务'!A:A,0))</f>
        <v>21168</v>
      </c>
      <c r="R24" s="1454">
        <f>INDEX('2026-5任务'!AB:AB,MATCH(B24,'2026-5任务'!A:A,0))</f>
        <v>1.0584</v>
      </c>
      <c r="S24" s="1305">
        <v>0.06</v>
      </c>
      <c r="T24" s="1445">
        <f>INDEX('2026-5任务'!AA:AA,MATCH(B24,'2026-5任务'!A:A,0))</f>
        <v>0</v>
      </c>
      <c r="U24" s="1452">
        <v>0.1</v>
      </c>
      <c r="V24" s="1453">
        <f t="shared" si="41"/>
        <v>1206.576</v>
      </c>
      <c r="W24" s="1471">
        <f>INDEX('2026-5任务'!AD:AD,MATCH(B24,'2026-5任务'!A:A,0))</f>
        <v>10902.85</v>
      </c>
      <c r="X24" s="1454">
        <f>INDEX('2026-5任务'!AF:AF,MATCH(B24,'2026-5任务'!A:A,0))</f>
        <v>1.09870357142857</v>
      </c>
      <c r="Y24" s="1305">
        <v>0.08</v>
      </c>
      <c r="Z24" s="1451">
        <f t="shared" si="42"/>
        <v>828.61659999999995</v>
      </c>
      <c r="AA24" s="1453">
        <f>INDEX('2026-5任务'!AJ:AJ,MATCH(B24,'2026-5任务'!A:A,0))</f>
        <v>11642</v>
      </c>
      <c r="AB24" s="1454">
        <f>INDEX('2026-5任务'!AK:AK,MATCH(B24,'2026-5任务'!A:A,0))</f>
        <v>1.1641999999999999</v>
      </c>
      <c r="AC24" s="1305">
        <v>0.1</v>
      </c>
      <c r="AD24" s="1451">
        <f t="shared" si="43"/>
        <v>1105.99</v>
      </c>
      <c r="AE24" s="1443">
        <f>INDEX('2026-5任务'!AV:AV,MATCH($B24,'2026-5任务'!A:A,0))</f>
        <v>2</v>
      </c>
      <c r="AF24" s="1443">
        <f>INDEX('2026-5任务'!AU:AU,MATCH('05月业务提成'!B24,'2026-5任务'!A:A,0))</f>
        <v>1</v>
      </c>
      <c r="AG24" s="1443">
        <f>INDEX('2026-5任务'!AR:AR,MATCH('05月业务提成'!B24,'2026-5任务'!A:A,0))</f>
        <v>17</v>
      </c>
      <c r="AH24" s="1443">
        <f>INDEX('2026-5任务'!AQ:AQ,MATCH('05月业务提成'!B24,'2026-5任务'!A:A,0))</f>
        <v>12</v>
      </c>
      <c r="AI24" s="1492">
        <f>INDEX('2026-5任务'!AW:AW,MATCH(B24,'2026-5任务'!A:A,0))</f>
        <v>0.15</v>
      </c>
      <c r="AJ24" s="1443">
        <v>35</v>
      </c>
      <c r="AK24" s="1443">
        <v>25</v>
      </c>
      <c r="AL24" s="1443">
        <v>50</v>
      </c>
      <c r="AM24" s="1448">
        <f t="shared" si="44"/>
        <v>1095</v>
      </c>
      <c r="AN24" s="1483">
        <f>INDEX('2026-5任务'!BJ:BJ,MATCH(B24,'2026-5任务'!A:A,0))</f>
        <v>0</v>
      </c>
      <c r="AO24" s="1469"/>
      <c r="AP24" s="1483">
        <v>25</v>
      </c>
      <c r="AQ24" s="1449">
        <f t="shared" si="45"/>
        <v>0</v>
      </c>
      <c r="AR24" s="1483">
        <f>INDEX('2026-5任务'!BN:BN,MATCH(B24,'2026-5任务'!A:A,0))</f>
        <v>0</v>
      </c>
      <c r="AS24" s="1483">
        <f>INDEX('2026-5任务'!BM:BM,MATCH(B24,'2026-5任务'!A:A,0))</f>
        <v>0</v>
      </c>
      <c r="AT24" s="1472">
        <f>INDEX('2026-5任务'!BO:BO,MATCH(B24,'2026-5任务'!A:A,0))</f>
        <v>0</v>
      </c>
      <c r="AU24" s="1483">
        <v>20</v>
      </c>
      <c r="AV24" s="1449">
        <f t="shared" si="46"/>
        <v>0</v>
      </c>
      <c r="AW24" s="1449">
        <f>INDEX('2026-5任务'!BA:BA,MATCH(B24,'2026-5任务'!A:A,0))</f>
        <v>0</v>
      </c>
      <c r="AX24" s="1449">
        <f>INDEX('2026-5任务'!BB:BB,MATCH(B24,'2026-5任务'!A:A,0))</f>
        <v>0</v>
      </c>
      <c r="AY24" s="1449">
        <f>INDEX('2026-5任务'!BG:BG,MATCH(B24,'2026-5任务'!A:A,0))</f>
        <v>0</v>
      </c>
      <c r="AZ24" s="1449">
        <f>INDEX('2026-5任务'!BE:BE,MATCH(B24,'2026-5任务'!A:A,0))</f>
        <v>0</v>
      </c>
      <c r="BA24" s="1449">
        <f>SUMIF('4月续保推荐事故'!I:I,'05月业务提成'!B24,'4月续保推荐事故'!L:L)</f>
        <v>0</v>
      </c>
      <c r="BB24" s="1483">
        <f>INDEX('2026-5任务'!BC:BC,MATCH('05月业务提成'!B24,'2026-5任务'!A:A,0))</f>
        <v>0</v>
      </c>
      <c r="BC24" s="1472"/>
      <c r="BD24" s="1469">
        <v>200</v>
      </c>
      <c r="BE24" s="1469"/>
      <c r="BF24" s="1456">
        <f t="shared" si="47"/>
        <v>0</v>
      </c>
      <c r="BG24" s="1460">
        <f t="shared" ref="BG24:BG29" si="50">(E24+I24+M24+P24+V24+Z24+AM24+AQ24+AW24+AX24+AY24+BF24+AV24+AZ24+BA24+AD24)</f>
        <v>6593.9029250000003</v>
      </c>
      <c r="BH24" s="1458"/>
      <c r="BI24" s="1459"/>
      <c r="BJ24" s="1460">
        <f t="shared" si="48"/>
        <v>6593.9029250000003</v>
      </c>
      <c r="BK24" s="1461">
        <f>INDEX('05月提成-机场售后'!I:I,MATCH(B24,'05月提成-机场售后'!C:C,0))</f>
        <v>900</v>
      </c>
      <c r="BL24" s="1445">
        <f>INDEX('05月提成-机场售后'!J:J,MATCH(B24,'05月提成-机场售后'!C:C,0))</f>
        <v>0</v>
      </c>
      <c r="BM24" s="1469"/>
      <c r="BN24" s="1445">
        <f>SUMIF('05月业务提成'!C:C,'05月业务提成'!B24,'05月业务提成'!O:O)+SUMIF('05基本'!C:C,'05月业务提成'!B24,'05基本'!N:N)</f>
        <v>0</v>
      </c>
      <c r="BO24" s="1473">
        <f t="shared" si="20"/>
        <v>5693.9029250000003</v>
      </c>
      <c r="BP24" s="1391">
        <f>SUMIF('05月提成-机场售后'!C:C,'05月业务提成'!B24,'05月提成-机场售后'!K:K)</f>
        <v>5693.9029250000003</v>
      </c>
      <c r="BQ24" s="1391">
        <f t="shared" si="49"/>
        <v>0</v>
      </c>
      <c r="BR24" s="1486"/>
      <c r="BS24" s="1487"/>
      <c r="BT24" s="1488"/>
      <c r="BU24" s="1488"/>
      <c r="BV24" s="1488"/>
      <c r="BW24" s="1488"/>
    </row>
    <row r="25" spans="1:75" s="1385" customFormat="1" ht="18" customHeight="1">
      <c r="A25" s="1745"/>
      <c r="B25" s="1466" t="s">
        <v>205</v>
      </c>
      <c r="C25" s="1443">
        <f>INDEX('2026-5任务'!C:C,MATCH(B25,'2026-5任务'!A:A,0))+INDEX('2026-5任务'!D:D,MATCH(B25,'2026-5任务'!A:A,0))+INDEX('2026-5任务'!G:G,MATCH(B25,'2026-5任务'!A:A,0))+INDEX('2026-5任务'!E:E,MATCH(B25,'2026-5任务'!A:A,0))</f>
        <v>240</v>
      </c>
      <c r="D25" s="1303">
        <v>4</v>
      </c>
      <c r="E25" s="1467">
        <f t="shared" ref="E25" si="51">C25*D25</f>
        <v>960</v>
      </c>
      <c r="F25" s="1445">
        <f>INDEX('2026-5任务'!X:X,MATCH(B25,'2026-5任务'!A:A,0))-J25</f>
        <v>35622.99</v>
      </c>
      <c r="G25" s="1454">
        <f>INDEX('2026-5任务'!W:W,MATCH(B25,'2026-5任务'!A:A,0))</f>
        <v>1.0061941666666701</v>
      </c>
      <c r="H25" s="1468">
        <v>0.02</v>
      </c>
      <c r="I25" s="1443">
        <f t="shared" ref="I25" si="52">F25*H25*0.95</f>
        <v>676.83681000000001</v>
      </c>
      <c r="J25" s="1448">
        <f>INDEX('2026-5任务'!R:R,MATCH(B25,'2026-5任务'!A:A,0))+INDEX('2026-5任务'!U:U,MATCH(B25,'2026-5任务'!A:A,0))</f>
        <v>600</v>
      </c>
      <c r="K25" s="1469"/>
      <c r="L25" s="1468">
        <v>1.6E-2</v>
      </c>
      <c r="M25" s="1448">
        <f t="shared" si="29"/>
        <v>9.1199999999999992</v>
      </c>
      <c r="N25" s="1445">
        <f>INDEX('2026-5任务'!AN:AN,MATCH(B25,'2026-5任务'!A:A,0))+INDEX('2026-5任务'!AO:AO,MATCH(B25,'2026-5任务'!A:A,0))</f>
        <v>93716.34</v>
      </c>
      <c r="O25" s="1304">
        <v>5.0000000000000001E-3</v>
      </c>
      <c r="P25" s="1451">
        <f t="shared" si="3"/>
        <v>445.15261500000003</v>
      </c>
      <c r="Q25" s="1470">
        <f>INDEX('2026-5任务'!Z:Z,MATCH(B25,'2026-5任务'!A:A,0))+INDEX('2026-5任务'!AA:AA,MATCH(B25,'2026-5任务'!A:A,0))</f>
        <v>25480</v>
      </c>
      <c r="R25" s="1454">
        <f>INDEX('2026-5任务'!AB:AB,MATCH(B25,'2026-5任务'!A:A,0))</f>
        <v>1.274</v>
      </c>
      <c r="S25" s="1305">
        <v>0.06</v>
      </c>
      <c r="T25" s="1445"/>
      <c r="U25" s="1452">
        <v>0.1</v>
      </c>
      <c r="V25" s="1453">
        <f t="shared" ref="V25" si="53">(Q25*S25)*0.95+T25*U25</f>
        <v>1452.36</v>
      </c>
      <c r="W25" s="1471">
        <f>INDEX('2026-5任务'!AD:AD,MATCH(B25,'2026-5任务'!A:A,0))</f>
        <v>12090.01</v>
      </c>
      <c r="X25" s="1454">
        <f>INDEX('2026-5任务'!AF:AF,MATCH(B25,'2026-5任务'!A:A,0))</f>
        <v>0.98828642857142901</v>
      </c>
      <c r="Y25" s="1305">
        <v>0.08</v>
      </c>
      <c r="Z25" s="1451">
        <f t="shared" ref="Z25" si="54">(W25*Y25)*0.95</f>
        <v>918.84076000000005</v>
      </c>
      <c r="AA25" s="1453">
        <f>INDEX('2026-5任务'!AJ:AJ,MATCH(B25,'2026-5任务'!A:A,0))</f>
        <v>12408</v>
      </c>
      <c r="AB25" s="1454">
        <f>INDEX('2026-5任务'!AK:AK,MATCH(B25,'2026-5任务'!A:A,0))</f>
        <v>1.2407999999999999</v>
      </c>
      <c r="AC25" s="1305">
        <v>0.1</v>
      </c>
      <c r="AD25" s="1451">
        <f t="shared" ref="AD25" si="55">(AA25*AC25)*0.95</f>
        <v>1178.76</v>
      </c>
      <c r="AE25" s="1443">
        <f>INDEX('2026-5任务'!AV:AV,MATCH($B25,'2026-5任务'!A:A,0))</f>
        <v>0</v>
      </c>
      <c r="AF25" s="1443">
        <f>INDEX('2026-5任务'!AU:AU,MATCH('05月业务提成'!B25,'2026-5任务'!A:A,0))</f>
        <v>3</v>
      </c>
      <c r="AG25" s="1443">
        <f>INDEX('2026-5任务'!AR:AR,MATCH('05月业务提成'!B25,'2026-5任务'!A:A,0))</f>
        <v>21</v>
      </c>
      <c r="AH25" s="1443">
        <f>INDEX('2026-5任务'!AQ:AQ,MATCH('05月业务提成'!B25,'2026-5任务'!A:A,0))</f>
        <v>12</v>
      </c>
      <c r="AI25" s="1492">
        <f>INDEX('2026-5任务'!AW:AW,MATCH(B25,'2026-5任务'!A:A,0))</f>
        <v>0.15</v>
      </c>
      <c r="AJ25" s="1443">
        <v>35</v>
      </c>
      <c r="AK25" s="1443">
        <v>25</v>
      </c>
      <c r="AL25" s="1443">
        <v>50</v>
      </c>
      <c r="AM25" s="1448">
        <f t="shared" ref="AM25" si="56">(AE25*AJ25+AF25*AK25)+IF(AG25=AH25,AG25*AL25,IF(AG25&gt;AH25,(AG25*50+(AG25-AH25)*30),IF(AG25&lt;AH25,AG25*AL25-(AH25-AG25)*50)))</f>
        <v>1395</v>
      </c>
      <c r="AN25" s="1483"/>
      <c r="AO25" s="1469"/>
      <c r="AP25" s="1483">
        <v>25</v>
      </c>
      <c r="AQ25" s="1449">
        <f t="shared" si="45"/>
        <v>0</v>
      </c>
      <c r="AR25" s="1483">
        <f>INDEX('2026-5任务'!BN:BN,MATCH(B25,'2026-5任务'!A:A,0))</f>
        <v>0</v>
      </c>
      <c r="AS25" s="1483">
        <f>INDEX('2026-5任务'!BM:BM,MATCH(B25,'2026-5任务'!A:A,0))</f>
        <v>0</v>
      </c>
      <c r="AT25" s="1472">
        <f>INDEX('2026-5任务'!BO:BO,MATCH(B25,'2026-5任务'!A:A,0))</f>
        <v>0</v>
      </c>
      <c r="AU25" s="1483">
        <v>20</v>
      </c>
      <c r="AV25" s="1449">
        <f t="shared" si="46"/>
        <v>0</v>
      </c>
      <c r="AW25" s="1449">
        <f>INDEX('2026-5任务'!BA:BA,MATCH(B25,'2026-5任务'!A:A,0))</f>
        <v>0</v>
      </c>
      <c r="AX25" s="1449">
        <f>INDEX('2026-5任务'!BB:BB,MATCH(B25,'2026-5任务'!A:A,0))</f>
        <v>0</v>
      </c>
      <c r="AY25" s="1449">
        <f>INDEX('2026-5任务'!BG:BG,MATCH(B25,'2026-5任务'!A:A,0))</f>
        <v>0</v>
      </c>
      <c r="AZ25" s="1449">
        <f>INDEX('2026-5任务'!BE:BE,MATCH(B25,'2026-5任务'!A:A,0))</f>
        <v>0</v>
      </c>
      <c r="BA25" s="1449">
        <f>SUMIF('4月续保推荐事故'!I:I,'05月业务提成'!B25,'4月续保推荐事故'!L:L)</f>
        <v>0</v>
      </c>
      <c r="BB25" s="1483">
        <f>INDEX('2026-5任务'!BC:BC,MATCH('05月业务提成'!B25,'2026-5任务'!A:A,0))</f>
        <v>0</v>
      </c>
      <c r="BC25" s="1472"/>
      <c r="BD25" s="1469">
        <v>200</v>
      </c>
      <c r="BE25" s="1469"/>
      <c r="BF25" s="1456">
        <f t="shared" ref="BF25" si="57">BB25*BD25</f>
        <v>0</v>
      </c>
      <c r="BG25" s="1460">
        <f t="shared" si="50"/>
        <v>7036.0701849999996</v>
      </c>
      <c r="BH25" s="1458"/>
      <c r="BI25" s="1459"/>
      <c r="BJ25" s="1460">
        <f t="shared" ref="BJ25:BJ28" si="58">BG25+BH25+BI25</f>
        <v>7036.0701849999996</v>
      </c>
      <c r="BK25" s="1461">
        <f>INDEX('05月提成-机场售后'!I:I,MATCH(B25,'05月提成-机场售后'!C:C,0))</f>
        <v>900</v>
      </c>
      <c r="BL25" s="1445"/>
      <c r="BM25" s="1469"/>
      <c r="BN25" s="1445">
        <f>SUMIF('05月业务提成'!C:C,'05月业务提成'!B25,'05月业务提成'!O:O)+SUMIF('05基本'!C:C,'05月业务提成'!B25,'05基本'!N:N)</f>
        <v>0</v>
      </c>
      <c r="BO25" s="1473">
        <f t="shared" si="20"/>
        <v>6136.0701849999996</v>
      </c>
      <c r="BP25" s="1391">
        <f>SUMIF('05月提成-机场售后'!C:C,'05月业务提成'!B25,'05月提成-机场售后'!K:K)</f>
        <v>6136.0701849999996</v>
      </c>
      <c r="BQ25" s="1391">
        <f t="shared" ref="BQ25:BQ29" si="59">BP25-BO25</f>
        <v>0</v>
      </c>
      <c r="BR25" s="1486"/>
      <c r="BS25" s="1487"/>
      <c r="BT25" s="1488"/>
      <c r="BU25" s="1488"/>
      <c r="BV25" s="1488"/>
      <c r="BW25" s="1488"/>
    </row>
    <row r="26" spans="1:75" s="44" customFormat="1" ht="18" customHeight="1">
      <c r="A26" s="1745"/>
      <c r="B26" s="1466" t="s">
        <v>75</v>
      </c>
      <c r="C26" s="1443">
        <f>INDEX('2026-5任务'!C:C,MATCH(B26,'2026-5任务'!A:A,0))+INDEX('2026-5任务'!D:D,MATCH(B26,'2026-5任务'!A:A,0))+INDEX('2026-5任务'!G:G,MATCH(B26,'2026-5任务'!A:A,0))+INDEX('2026-5任务'!E:E,MATCH(B26,'2026-5任务'!A:A,0))</f>
        <v>0</v>
      </c>
      <c r="D26" s="1303">
        <v>4</v>
      </c>
      <c r="E26" s="1467">
        <f t="shared" ref="E26:E29" si="60">C26*D26</f>
        <v>0</v>
      </c>
      <c r="F26" s="1445">
        <f>INDEX('2026-5任务'!X:X,MATCH(B26,'2026-5任务'!A:A,0))-J26</f>
        <v>0</v>
      </c>
      <c r="G26" s="1454">
        <f>INDEX('2026-5任务'!W:W,MATCH(B26,'2026-5任务'!A:A,0))</f>
        <v>0</v>
      </c>
      <c r="H26" s="1468">
        <v>0.02</v>
      </c>
      <c r="I26" s="1443">
        <f t="shared" ref="I26:I29" si="61">F26*H26*0.95</f>
        <v>0</v>
      </c>
      <c r="J26" s="1448">
        <f>INDEX('2026-5任务'!R:R,MATCH(B26,'2026-5任务'!A:A,0))+INDEX('2026-5任务'!U:U,MATCH(B26,'2026-5任务'!A:A,0))</f>
        <v>0</v>
      </c>
      <c r="K26" s="1469"/>
      <c r="L26" s="1468">
        <v>1.6E-2</v>
      </c>
      <c r="M26" s="1448">
        <f t="shared" si="29"/>
        <v>0</v>
      </c>
      <c r="N26" s="1445">
        <f>INDEX('2026-5任务'!AN:AN,MATCH(B26,'2026-5任务'!A:A,0))+INDEX('2026-5任务'!AO:AO,MATCH(B26,'2026-5任务'!A:A,0))</f>
        <v>0</v>
      </c>
      <c r="O26" s="1304">
        <v>5.0000000000000001E-3</v>
      </c>
      <c r="P26" s="1451">
        <f t="shared" si="3"/>
        <v>0</v>
      </c>
      <c r="Q26" s="1470">
        <f>INDEX('2026-5任务'!Z:Z,MATCH(B26,'2026-5任务'!A:A,0))+INDEX('2026-5任务'!AA:AA,MATCH(B26,'2026-5任务'!A:A,0))</f>
        <v>0</v>
      </c>
      <c r="R26" s="1454">
        <f>INDEX('2026-5任务'!AB:AB,MATCH(B26,'2026-5任务'!A:A,0))</f>
        <v>0</v>
      </c>
      <c r="S26" s="1305">
        <v>0.06</v>
      </c>
      <c r="T26" s="1445">
        <f>INDEX('2026-5任务'!AA:AA,MATCH(B26,'2026-5任务'!A:A,0))</f>
        <v>0</v>
      </c>
      <c r="U26" s="1452">
        <v>0.1</v>
      </c>
      <c r="V26" s="1453">
        <f t="shared" ref="V26:V27" si="62">(Q26*S26)*0.95+T26*U26</f>
        <v>0</v>
      </c>
      <c r="W26" s="1471">
        <f>INDEX('2026-5任务'!AD:AD,MATCH(B26,'2026-5任务'!A:A,0))</f>
        <v>0</v>
      </c>
      <c r="X26" s="1454">
        <f>INDEX('2026-5任务'!AF:AF,MATCH(B26,'2026-5任务'!A:A,0))</f>
        <v>0</v>
      </c>
      <c r="Y26" s="1305">
        <v>0.08</v>
      </c>
      <c r="Z26" s="1451">
        <f t="shared" ref="Z26:Z27" si="63">(W26*Y26)*0.95</f>
        <v>0</v>
      </c>
      <c r="AA26" s="1453">
        <f>INDEX('2026-5任务'!AJ:AJ,MATCH(B26,'2026-5任务'!A:A,0))</f>
        <v>0</v>
      </c>
      <c r="AB26" s="1454">
        <f>INDEX('2026-5任务'!AK:AK,MATCH(B26,'2026-5任务'!A:A,0))</f>
        <v>0</v>
      </c>
      <c r="AC26" s="1305">
        <v>0.1</v>
      </c>
      <c r="AD26" s="1451">
        <f t="shared" ref="AD26:AD27" si="64">(AA26*AC26)*0.95</f>
        <v>0</v>
      </c>
      <c r="AE26" s="1443">
        <f>INDEX('2026-5任务'!AV:AV,MATCH($B26,'2026-5任务'!A:A,0))</f>
        <v>0</v>
      </c>
      <c r="AF26" s="1443">
        <f>INDEX('2026-5任务'!AU:AU,MATCH('05月业务提成'!B26,'2026-5任务'!A:A,0))</f>
        <v>0</v>
      </c>
      <c r="AG26" s="1443">
        <f>INDEX('2026-5任务'!AR:AR,MATCH('05月业务提成'!B26,'2026-5任务'!A:A,0))</f>
        <v>0</v>
      </c>
      <c r="AH26" s="1443">
        <f>INDEX('2026-5任务'!AQ:AQ,MATCH('05月业务提成'!B26,'2026-5任务'!A:A,0))</f>
        <v>0</v>
      </c>
      <c r="AI26" s="1492">
        <f>INDEX('2026-5任务'!AW:AW,MATCH(B26,'2026-5任务'!A:A,0))</f>
        <v>0</v>
      </c>
      <c r="AJ26" s="1443">
        <v>35</v>
      </c>
      <c r="AK26" s="1443">
        <v>25</v>
      </c>
      <c r="AL26" s="1443">
        <v>50</v>
      </c>
      <c r="AM26" s="1448">
        <f t="shared" ref="AM26:AM27" si="65">(AE26*AJ26+AF26*AK26)+IF(AG26=AH26,AG26*AL26,IF(AG26&gt;AH26,(AG26*50+(AG26-AH26)*30),IF(AG26&lt;AH26,AG26*AL26-(AH26-AG26)*50)))</f>
        <v>0</v>
      </c>
      <c r="AN26" s="1483">
        <f>INDEX('2026-5任务'!BJ:BJ,MATCH(B26,'2026-5任务'!A:A,0))</f>
        <v>0</v>
      </c>
      <c r="AO26" s="1469"/>
      <c r="AP26" s="1483">
        <v>25</v>
      </c>
      <c r="AQ26" s="1449">
        <f t="shared" si="45"/>
        <v>0</v>
      </c>
      <c r="AR26" s="1483">
        <f>INDEX('2026-5任务'!BN:BN,MATCH(B26,'2026-5任务'!A:A,0))</f>
        <v>0</v>
      </c>
      <c r="AS26" s="1483">
        <f>INDEX('2026-5任务'!BM:BM,MATCH(B26,'2026-5任务'!A:A,0))</f>
        <v>0</v>
      </c>
      <c r="AT26" s="1472">
        <f>INDEX('2026-5任务'!BO:BO,MATCH(B26,'2026-5任务'!A:A,0))</f>
        <v>0</v>
      </c>
      <c r="AU26" s="1483">
        <v>20</v>
      </c>
      <c r="AV26" s="1449">
        <f t="shared" si="46"/>
        <v>0</v>
      </c>
      <c r="AW26" s="1449">
        <f>INDEX('2026-5任务'!BA:BA,MATCH(B26,'2026-5任务'!A:A,0))</f>
        <v>0</v>
      </c>
      <c r="AX26" s="1449">
        <f>INDEX('2026-5任务'!BB:BB,MATCH(B26,'2026-5任务'!A:A,0))</f>
        <v>0</v>
      </c>
      <c r="AY26" s="1449">
        <f>INDEX('2026-5任务'!BG:BG,MATCH(B26,'2026-5任务'!A:A,0))</f>
        <v>0</v>
      </c>
      <c r="AZ26" s="1449">
        <f>INDEX('2026-5任务'!BE:BE,MATCH(B26,'2026-5任务'!A:A,0))</f>
        <v>0</v>
      </c>
      <c r="BA26" s="1449">
        <f>SUMIF('4月续保推荐事故'!I:I,'05月业务提成'!B26,'4月续保推荐事故'!L:L)</f>
        <v>0</v>
      </c>
      <c r="BB26" s="1483">
        <f>INDEX('2026-5任务'!BC:BC,MATCH('05月业务提成'!B26,'2026-5任务'!A:A,0))</f>
        <v>0</v>
      </c>
      <c r="BC26" s="1472"/>
      <c r="BD26" s="1469">
        <v>200</v>
      </c>
      <c r="BE26" s="1469"/>
      <c r="BF26" s="1456">
        <f t="shared" ref="BF26:BF27" si="66">BB26*BD26</f>
        <v>0</v>
      </c>
      <c r="BG26" s="1460">
        <f t="shared" si="50"/>
        <v>0</v>
      </c>
      <c r="BH26" s="1458"/>
      <c r="BI26" s="1459"/>
      <c r="BJ26" s="1460">
        <f t="shared" si="58"/>
        <v>0</v>
      </c>
      <c r="BK26" s="1461"/>
      <c r="BL26" s="1445"/>
      <c r="BM26" s="1469"/>
      <c r="BN26" s="1445">
        <f>SUMIF('05月业务提成'!C:C,'05月业务提成'!B26,'05月业务提成'!O:O)+SUMIF('05基本'!C:C,'05月业务提成'!B26,'05基本'!N:N)</f>
        <v>75</v>
      </c>
      <c r="BO26" s="1473">
        <f t="shared" si="20"/>
        <v>0</v>
      </c>
      <c r="BP26" s="1391">
        <f>SUMIF('05月提成-机场售后'!C:C,'05月业务提成'!B26,'05月提成-机场售后'!K:K)</f>
        <v>0</v>
      </c>
      <c r="BQ26" s="1391">
        <f t="shared" si="59"/>
        <v>0</v>
      </c>
      <c r="BR26" s="1463"/>
      <c r="BS26" s="1464"/>
      <c r="BT26" s="1465"/>
      <c r="BU26" s="1465"/>
      <c r="BV26" s="1465"/>
      <c r="BW26" s="1465"/>
    </row>
    <row r="27" spans="1:75" s="44" customFormat="1" ht="18" customHeight="1">
      <c r="A27" s="1745"/>
      <c r="B27" s="1466" t="s">
        <v>212</v>
      </c>
      <c r="C27" s="1443">
        <f>INDEX('2026-5任务'!C:C,MATCH(B27,'2026-5任务'!A:A,0))+INDEX('2026-5任务'!D:D,MATCH(B27,'2026-5任务'!A:A,0))+INDEX('2026-5任务'!G:G,MATCH(B27,'2026-5任务'!A:A,0))+INDEX('2026-5任务'!E:E,MATCH(B27,'2026-5任务'!A:A,0))</f>
        <v>0</v>
      </c>
      <c r="D27" s="1303">
        <v>0</v>
      </c>
      <c r="E27" s="1467">
        <f t="shared" si="60"/>
        <v>0</v>
      </c>
      <c r="F27" s="1445">
        <f>INDEX('2026-5任务'!X:X,MATCH(B27,'2026-5任务'!A:A,0))-J27</f>
        <v>0</v>
      </c>
      <c r="G27" s="1454">
        <f>INDEX('2026-5任务'!W:W,MATCH(B27,'2026-5任务'!A:A,0))</f>
        <v>0</v>
      </c>
      <c r="H27" s="1468">
        <v>0.02</v>
      </c>
      <c r="I27" s="1443">
        <f t="shared" si="61"/>
        <v>0</v>
      </c>
      <c r="J27" s="1448">
        <f>INDEX('2026-5任务'!R:R,MATCH(B27,'2026-5任务'!A:A,0))+INDEX('2026-5任务'!U:U,MATCH(B27,'2026-5任务'!A:A,0))</f>
        <v>0</v>
      </c>
      <c r="K27" s="1469"/>
      <c r="L27" s="1468">
        <v>1.6E-2</v>
      </c>
      <c r="M27" s="1448">
        <f t="shared" si="29"/>
        <v>0</v>
      </c>
      <c r="N27" s="1445">
        <f>INDEX('2026-5任务'!AN:AN,MATCH(B27,'2026-5任务'!A:A,0))+INDEX('2026-5任务'!AO:AO,MATCH(B27,'2026-5任务'!A:A,0))</f>
        <v>0</v>
      </c>
      <c r="O27" s="1304">
        <v>5.0000000000000001E-3</v>
      </c>
      <c r="P27" s="1451">
        <f t="shared" si="3"/>
        <v>0</v>
      </c>
      <c r="Q27" s="1470">
        <f>INDEX('2026-5任务'!Z:Z,MATCH(B27,'2026-5任务'!A:A,0))+INDEX('2026-5任务'!AA:AA,MATCH(B27,'2026-5任务'!A:A,0))</f>
        <v>0</v>
      </c>
      <c r="R27" s="1454">
        <f>INDEX('2026-5任务'!AB:AB,MATCH(B27,'2026-5任务'!A:A,0))</f>
        <v>0</v>
      </c>
      <c r="S27" s="1305">
        <v>0.06</v>
      </c>
      <c r="T27" s="1445"/>
      <c r="U27" s="1452">
        <v>0.1</v>
      </c>
      <c r="V27" s="1453">
        <f t="shared" si="62"/>
        <v>0</v>
      </c>
      <c r="W27" s="1471">
        <f>INDEX('2026-5任务'!AD:AD,MATCH(B27,'2026-5任务'!A:A,0))</f>
        <v>0</v>
      </c>
      <c r="X27" s="1454">
        <f>INDEX('2026-5任务'!AF:AF,MATCH(B27,'2026-5任务'!A:A,0))</f>
        <v>0</v>
      </c>
      <c r="Y27" s="1305">
        <v>0.08</v>
      </c>
      <c r="Z27" s="1451">
        <f t="shared" si="63"/>
        <v>0</v>
      </c>
      <c r="AA27" s="1453">
        <f>INDEX('2026-5任务'!AJ:AJ,MATCH(B27,'2026-5任务'!A:A,0))</f>
        <v>0</v>
      </c>
      <c r="AB27" s="1454">
        <f>INDEX('2026-5任务'!AK:AK,MATCH(B27,'2026-5任务'!A:A,0))</f>
        <v>0</v>
      </c>
      <c r="AC27" s="1305">
        <v>0.1</v>
      </c>
      <c r="AD27" s="1451">
        <f t="shared" si="64"/>
        <v>0</v>
      </c>
      <c r="AE27" s="1443">
        <f>INDEX('2026-5任务'!AV:AV,MATCH($B27,'2026-5任务'!A:A,0))</f>
        <v>0</v>
      </c>
      <c r="AF27" s="1443">
        <f>INDEX('2026-5任务'!AU:AU,MATCH('05月业务提成'!B27,'2026-5任务'!A:A,0))</f>
        <v>0</v>
      </c>
      <c r="AG27" s="1443">
        <f>INDEX('2026-5任务'!AR:AR,MATCH('05月业务提成'!B27,'2026-5任务'!A:A,0))</f>
        <v>0</v>
      </c>
      <c r="AH27" s="1443">
        <f>INDEX('2026-5任务'!AQ:AQ,MATCH('05月业务提成'!B27,'2026-5任务'!A:A,0))</f>
        <v>0</v>
      </c>
      <c r="AI27" s="1492" t="e">
        <f>INDEX('2026-5任务'!AW:AW,MATCH(B27,'2026-5任务'!A:A,0))</f>
        <v>#DIV/0!</v>
      </c>
      <c r="AJ27" s="1443">
        <v>35</v>
      </c>
      <c r="AK27" s="1443">
        <v>25</v>
      </c>
      <c r="AL27" s="1443">
        <v>50</v>
      </c>
      <c r="AM27" s="1448">
        <f t="shared" si="65"/>
        <v>0</v>
      </c>
      <c r="AN27" s="1483"/>
      <c r="AO27" s="1469"/>
      <c r="AP27" s="1483">
        <v>25</v>
      </c>
      <c r="AQ27" s="1449">
        <f t="shared" ref="AQ27" si="67">AN27*AP27</f>
        <v>0</v>
      </c>
      <c r="AR27" s="1483"/>
      <c r="AS27" s="1483"/>
      <c r="AT27" s="1472"/>
      <c r="AU27" s="1483">
        <v>20</v>
      </c>
      <c r="AV27" s="1449">
        <f t="shared" si="46"/>
        <v>0</v>
      </c>
      <c r="AW27" s="1449">
        <f>INDEX('2026-5任务'!BA:BA,MATCH(B27,'2026-5任务'!A:A,0))</f>
        <v>0</v>
      </c>
      <c r="AX27" s="1449">
        <f>INDEX('2026-5任务'!BB:BB,MATCH(B27,'2026-5任务'!A:A,0))</f>
        <v>0</v>
      </c>
      <c r="AY27" s="1449">
        <f>INDEX('2026-5任务'!BG:BG,MATCH(B27,'2026-5任务'!A:A,0))</f>
        <v>0</v>
      </c>
      <c r="AZ27" s="1449">
        <f>INDEX('2026-5任务'!BE:BE,MATCH(B27,'2026-5任务'!A:A,0))</f>
        <v>0</v>
      </c>
      <c r="BA27" s="1449">
        <f>SUMIF('4月续保推荐事故'!I:I,'05月业务提成'!B27,'4月续保推荐事故'!L:L)</f>
        <v>0</v>
      </c>
      <c r="BB27" s="1483">
        <f>INDEX('2026-5任务'!BC:BC,MATCH('05月业务提成'!B27,'2026-5任务'!A:A,0))</f>
        <v>0</v>
      </c>
      <c r="BC27" s="1472"/>
      <c r="BD27" s="1469">
        <v>200</v>
      </c>
      <c r="BE27" s="1469"/>
      <c r="BF27" s="1456">
        <f t="shared" si="66"/>
        <v>0</v>
      </c>
      <c r="BG27" s="1460">
        <f t="shared" si="50"/>
        <v>0</v>
      </c>
      <c r="BH27" s="1458"/>
      <c r="BI27" s="1459"/>
      <c r="BJ27" s="1460">
        <f t="shared" si="58"/>
        <v>0</v>
      </c>
      <c r="BK27" s="1461"/>
      <c r="BL27" s="1445">
        <f>INDEX('05月提成-机场售后'!J:J,MATCH(B27,'05月提成-机场售后'!C:C,0))</f>
        <v>0</v>
      </c>
      <c r="BM27" s="1469"/>
      <c r="BN27" s="1445">
        <f>SUMIF('05月业务提成'!C:C,'05月业务提成'!B27,'05月业务提成'!O:O)+SUMIF('05基本'!C:C,'05月业务提成'!B27,'05基本'!N:N)</f>
        <v>0</v>
      </c>
      <c r="BO27" s="1473">
        <f t="shared" si="20"/>
        <v>0</v>
      </c>
      <c r="BP27" s="1391">
        <f>SUMIF('05月提成-机场售后'!C:C,'05月业务提成'!B27,'05月提成-机场售后'!K:K)</f>
        <v>10672.231072750001</v>
      </c>
      <c r="BQ27" s="1391">
        <f t="shared" si="59"/>
        <v>10672.231072750001</v>
      </c>
      <c r="BR27" s="1463"/>
      <c r="BS27" s="1464"/>
      <c r="BT27" s="1465"/>
      <c r="BU27" s="1465"/>
      <c r="BV27" s="1465"/>
      <c r="BW27" s="1465"/>
    </row>
    <row r="28" spans="1:75" s="44" customFormat="1" ht="18" customHeight="1">
      <c r="A28" s="1745"/>
      <c r="B28" s="1480" t="s">
        <v>209</v>
      </c>
      <c r="C28" s="1443">
        <f>INDEX('2026-5任务'!C:C,MATCH(B28,'2026-5任务'!A:A,0))+INDEX('2026-5任务'!D:D,MATCH(B28,'2026-5任务'!A:A,0))+INDEX('2026-5任务'!G:G,MATCH(B28,'2026-5任务'!A:A,0))+INDEX('2026-5任务'!E:E,MATCH(B28,'2026-5任务'!A:A,0))</f>
        <v>92</v>
      </c>
      <c r="D28" s="1303">
        <v>30</v>
      </c>
      <c r="E28" s="1467">
        <f t="shared" si="60"/>
        <v>2760</v>
      </c>
      <c r="F28" s="1445">
        <f>INDEX('2026-5任务'!X:X,MATCH(B28,'2026-5任务'!A:A,0))-J28</f>
        <v>-138</v>
      </c>
      <c r="G28" s="1454">
        <f>INDEX('2026-5任务'!W:W,MATCH(B28,'2026-5任务'!A:A,0))</f>
        <v>1.13794444444444</v>
      </c>
      <c r="H28" s="1468">
        <v>0.02</v>
      </c>
      <c r="I28" s="1443">
        <f t="shared" si="61"/>
        <v>-2.6219999999999999</v>
      </c>
      <c r="J28" s="1448">
        <f>INDEX('2026-5任务'!R:R,MATCH(B28,'2026-5任务'!A:A,0))+INDEX('2026-5任务'!U:U,MATCH(B28,'2026-5任务'!A:A,0))</f>
        <v>512213</v>
      </c>
      <c r="K28" s="1469"/>
      <c r="L28" s="1468">
        <v>1.6E-2</v>
      </c>
      <c r="M28" s="1448">
        <f t="shared" si="29"/>
        <v>7785.6376</v>
      </c>
      <c r="N28" s="1445">
        <f>INDEX('2026-5任务'!AN:AN,MATCH(B28,'2026-5任务'!A:A,0))+INDEX('2026-5任务'!AO:AO,MATCH(B28,'2026-5任务'!A:A,0))</f>
        <v>1448.22</v>
      </c>
      <c r="O28" s="1304">
        <v>5.0000000000000001E-3</v>
      </c>
      <c r="P28" s="1451">
        <f t="shared" si="3"/>
        <v>6.8790449999999996</v>
      </c>
      <c r="Q28" s="1470">
        <f>INDEX('2026-5任务'!Z:Z,MATCH(B28,'2026-5任务'!A:A,0))+INDEX('2026-5任务'!AA:AA,MATCH(B28,'2026-5任务'!A:A,0))</f>
        <v>0</v>
      </c>
      <c r="R28" s="1454">
        <f>INDEX('2026-5任务'!AB:AB,MATCH(B28,'2026-5任务'!A:A,0))</f>
        <v>0</v>
      </c>
      <c r="S28" s="1305">
        <v>0.06</v>
      </c>
      <c r="T28" s="1445">
        <f>INDEX('2026-5任务'!AA:AA,MATCH(B28,'2026-5任务'!A:A,0))</f>
        <v>0</v>
      </c>
      <c r="U28" s="1452">
        <v>0.1</v>
      </c>
      <c r="V28" s="1453">
        <f t="shared" ref="V28:V29" si="68">(Q28*S28)*0.95+T28*U28</f>
        <v>0</v>
      </c>
      <c r="W28" s="1471">
        <f>INDEX('2026-5任务'!AD:AD,MATCH(B28,'2026-5任务'!A:A,0))</f>
        <v>138</v>
      </c>
      <c r="X28" s="1454">
        <f>INDEX('2026-5任务'!AF:AF,MATCH(B28,'2026-5任务'!A:A,0))</f>
        <v>0</v>
      </c>
      <c r="Y28" s="1305">
        <v>0.08</v>
      </c>
      <c r="Z28" s="1451">
        <f t="shared" ref="Z28:Z29" si="69">(W28*Y28)*0.95</f>
        <v>10.488</v>
      </c>
      <c r="AA28" s="1453">
        <f>INDEX('2026-5任务'!AJ:AJ,MATCH(B28,'2026-5任务'!A:A,0))</f>
        <v>0</v>
      </c>
      <c r="AB28" s="1454">
        <f>INDEX('2026-5任务'!AK:AK,MATCH(B28,'2026-5任务'!A:A,0))</f>
        <v>0</v>
      </c>
      <c r="AC28" s="1305">
        <v>0.1</v>
      </c>
      <c r="AD28" s="1451">
        <f t="shared" ref="AD28:AD29" si="70">(AA28*AC28)*0.95</f>
        <v>0</v>
      </c>
      <c r="AE28" s="1443">
        <f>INDEX('2026-5任务'!AV:AV,MATCH($B28,'2026-5任务'!A:A,0))</f>
        <v>0</v>
      </c>
      <c r="AF28" s="1443">
        <f>INDEX('2026-5任务'!AU:AU,MATCH('05月业务提成'!B28,'2026-5任务'!A:A,0))</f>
        <v>0</v>
      </c>
      <c r="AG28" s="1443">
        <f>INDEX('2026-5任务'!AR:AR,MATCH('05月业务提成'!B28,'2026-5任务'!A:A,0))</f>
        <v>0</v>
      </c>
      <c r="AH28" s="1443">
        <f>INDEX('2026-5任务'!AQ:AQ,MATCH('05月业务提成'!B28,'2026-5任务'!A:A,0))</f>
        <v>0</v>
      </c>
      <c r="AI28" s="1492" t="e">
        <f>INDEX('2026-5任务'!AW:AW,MATCH(B28,'2026-5任务'!A:A,0))</f>
        <v>#DIV/0!</v>
      </c>
      <c r="AJ28" s="1443">
        <v>35</v>
      </c>
      <c r="AK28" s="1443">
        <v>25</v>
      </c>
      <c r="AL28" s="1443">
        <v>50</v>
      </c>
      <c r="AM28" s="1448">
        <f t="shared" ref="AM28:AM29" si="71">(AE28*AJ28+AF28*AK28)+IF(AG28=AH28,AG28*AL28,IF(AG28&gt;AH28,(AG28*50+(AG28-AH28)*30),IF(AG28&lt;AH28,AG28*AL28-(AH28-AG28)*50)))</f>
        <v>0</v>
      </c>
      <c r="AN28" s="1483">
        <f>INDEX('2026-5任务'!BJ:BJ,MATCH(B28,'2026-5任务'!A:A,0))</f>
        <v>0</v>
      </c>
      <c r="AO28" s="1469"/>
      <c r="AP28" s="1483">
        <v>25</v>
      </c>
      <c r="AQ28" s="1449">
        <f t="shared" ref="AQ28:AQ29" si="72">AN28*AP28</f>
        <v>0</v>
      </c>
      <c r="AR28" s="1483">
        <f>INDEX('2026-5任务'!BN:BN,MATCH(B28,'2026-5任务'!A:A,0))</f>
        <v>0</v>
      </c>
      <c r="AS28" s="1483">
        <f>INDEX('2026-5任务'!BM:BM,MATCH(B28,'2026-5任务'!A:A,0))</f>
        <v>0</v>
      </c>
      <c r="AT28" s="1472">
        <f>INDEX('2026-5任务'!BO:BO,MATCH(B28,'2026-5任务'!A:A,0))</f>
        <v>0</v>
      </c>
      <c r="AU28" s="1483">
        <v>20</v>
      </c>
      <c r="AV28" s="1449">
        <f t="shared" si="46"/>
        <v>0</v>
      </c>
      <c r="AW28" s="1449">
        <f>INDEX('2026-5任务'!BA:BA,MATCH(B28,'2026-5任务'!A:A,0))</f>
        <v>0</v>
      </c>
      <c r="AX28" s="1449">
        <f>INDEX('2026-5任务'!BB:BB,MATCH(B28,'2026-5任务'!A:A,0))</f>
        <v>0</v>
      </c>
      <c r="AY28" s="1449">
        <f>INDEX('2026-5任务'!BG:BG,MATCH(B28,'2026-5任务'!A:A,0))</f>
        <v>0</v>
      </c>
      <c r="AZ28" s="1449">
        <f>INDEX('2026-5任务'!BE:BE,MATCH(B28,'2026-5任务'!A:A,0))</f>
        <v>0</v>
      </c>
      <c r="BA28" s="1449">
        <f>SUMIF('4月续保推荐事故'!I:I,'05月业务提成'!B28,'4月续保推荐事故'!L:L)</f>
        <v>0</v>
      </c>
      <c r="BB28" s="1483">
        <f>INDEX('2026-5任务'!BC:BC,MATCH('05月业务提成'!B28,'2026-5任务'!A:A,0))</f>
        <v>0</v>
      </c>
      <c r="BC28" s="1472"/>
      <c r="BD28" s="1469">
        <v>200</v>
      </c>
      <c r="BE28" s="1469"/>
      <c r="BF28" s="1456">
        <f t="shared" ref="BF28" si="73">BB28*BD28</f>
        <v>0</v>
      </c>
      <c r="BG28" s="1460">
        <f t="shared" si="50"/>
        <v>10560.382645</v>
      </c>
      <c r="BH28" s="1491"/>
      <c r="BI28" s="1459"/>
      <c r="BJ28" s="1460">
        <f t="shared" si="58"/>
        <v>10560.382645</v>
      </c>
      <c r="BK28" s="1461">
        <f>INDEX('05月提成-机场售后'!I:I,MATCH(B28,'05月提成-机场售后'!C:C,0))</f>
        <v>900</v>
      </c>
      <c r="BL28" s="1445">
        <f>INDEX('05月提成-机场售后'!J:J,MATCH(B28,'05月提成-机场售后'!C:C,0))</f>
        <v>0</v>
      </c>
      <c r="BM28" s="1469"/>
      <c r="BN28" s="1449">
        <f>SUMIF('05月业务提成'!C:C,'05月业务提成'!B28,'05月业务提成'!O:O)+SUMIF('05基本'!C:C,'05月业务提成'!B28,'05基本'!N:N)</f>
        <v>0</v>
      </c>
      <c r="BO28" s="1473">
        <f t="shared" si="20"/>
        <v>9660.3826449999997</v>
      </c>
      <c r="BP28" s="1391">
        <f>SUMIF('05月提成-机场售后'!C:C,'05月业务提成'!B28,'05月提成-机场售后'!K:K)</f>
        <v>9660.3826449999997</v>
      </c>
      <c r="BQ28" s="1391">
        <f t="shared" si="59"/>
        <v>0</v>
      </c>
      <c r="BR28" s="1463"/>
      <c r="BS28" s="1464"/>
      <c r="BT28" s="1465"/>
      <c r="BU28" s="1465"/>
      <c r="BV28" s="1465"/>
      <c r="BW28" s="1465"/>
    </row>
    <row r="29" spans="1:75" s="348" customFormat="1" ht="18" customHeight="1">
      <c r="A29" s="1746"/>
      <c r="B29" s="1481" t="s">
        <v>203</v>
      </c>
      <c r="C29" s="1443">
        <f>INDEX('2026-5任务'!C:C,MATCH(B29,'2026-5任务'!A:A,0))+INDEX('2026-5任务'!D:D,MATCH(B29,'2026-5任务'!A:A,0))+INDEX('2026-5任务'!G:G,MATCH(B29,'2026-5任务'!A:A,0))+INDEX('2026-5任务'!E:E,MATCH(B29,'2026-5任务'!A:A,0))</f>
        <v>257</v>
      </c>
      <c r="D29" s="1467">
        <v>4</v>
      </c>
      <c r="E29" s="1467">
        <f t="shared" si="60"/>
        <v>1028</v>
      </c>
      <c r="F29" s="1445">
        <f>INDEX('2026-5任务'!X:X,MATCH(B29,'2026-5任务'!A:A,0))-J29</f>
        <v>42842.94</v>
      </c>
      <c r="G29" s="1454">
        <f>INDEX('2026-5任务'!W:W,MATCH(B29,'2026-5任务'!A:A,0))</f>
        <v>1.19008166666667</v>
      </c>
      <c r="H29" s="1475">
        <v>0.02</v>
      </c>
      <c r="I29" s="1443">
        <f t="shared" si="61"/>
        <v>814.01585999999998</v>
      </c>
      <c r="J29" s="1448">
        <f>INDEX('2026-5任务'!R:R,MATCH(B29,'2026-5任务'!A:A,0))+INDEX('2026-5任务'!U:U,MATCH(B29,'2026-5任务'!A:A,0))</f>
        <v>0</v>
      </c>
      <c r="K29" s="1476"/>
      <c r="L29" s="1475">
        <v>1.6E-2</v>
      </c>
      <c r="M29" s="1448">
        <f t="shared" si="29"/>
        <v>0</v>
      </c>
      <c r="N29" s="1445">
        <f>INDEX('2026-5任务'!AN:AN,MATCH(B29,'2026-5任务'!A:A,0))+INDEX('2026-5任务'!AO:AO,MATCH(B29,'2026-5任务'!A:A,0))</f>
        <v>89985.74</v>
      </c>
      <c r="O29" s="1477">
        <v>5.0000000000000001E-3</v>
      </c>
      <c r="P29" s="1451">
        <f t="shared" si="3"/>
        <v>427.43226499999997</v>
      </c>
      <c r="Q29" s="1470">
        <f>INDEX('2026-5任务'!Z:Z,MATCH(B29,'2026-5任务'!A:A,0))+INDEX('2026-5任务'!AA:AA,MATCH(B29,'2026-5任务'!A:A,0))</f>
        <v>19938</v>
      </c>
      <c r="R29" s="1454">
        <f>INDEX('2026-5任务'!AB:AB,MATCH(B29,'2026-5任务'!A:A,0))</f>
        <v>0.99690000000000001</v>
      </c>
      <c r="S29" s="1342">
        <v>0.06</v>
      </c>
      <c r="T29" s="1445"/>
      <c r="U29" s="1452">
        <v>0.1</v>
      </c>
      <c r="V29" s="1453">
        <f t="shared" si="68"/>
        <v>1136.4659999999999</v>
      </c>
      <c r="W29" s="1471">
        <f>INDEX('2026-5任务'!AD:AD,MATCH(B29,'2026-5任务'!A:A,0))</f>
        <v>8321.24</v>
      </c>
      <c r="X29" s="1454">
        <f>INDEX('2026-5任务'!AF:AF,MATCH(B29,'2026-5任务'!A:A,0))</f>
        <v>0.77987428571428596</v>
      </c>
      <c r="Y29" s="1342">
        <v>0.08</v>
      </c>
      <c r="Z29" s="1451">
        <f t="shared" si="69"/>
        <v>632.41423999999995</v>
      </c>
      <c r="AA29" s="1453">
        <f>INDEX('2026-5任务'!AJ:AJ,MATCH(B29,'2026-5任务'!A:A,0))</f>
        <v>13426</v>
      </c>
      <c r="AB29" s="1454">
        <f>INDEX('2026-5任务'!AK:AK,MATCH(B29,'2026-5任务'!A:A,0))</f>
        <v>1.3426</v>
      </c>
      <c r="AC29" s="1305">
        <v>0.1</v>
      </c>
      <c r="AD29" s="1451">
        <f t="shared" si="70"/>
        <v>1275.47</v>
      </c>
      <c r="AE29" s="1443">
        <f>INDEX('2026-5任务'!AV:AV,MATCH($B29,'2026-5任务'!A:A,0))</f>
        <v>0</v>
      </c>
      <c r="AF29" s="1443">
        <f>INDEX('2026-5任务'!AU:AU,MATCH('05月业务提成'!B29,'2026-5任务'!A:A,0))</f>
        <v>5</v>
      </c>
      <c r="AG29" s="1443">
        <f>INDEX('2026-5任务'!AR:AR,MATCH('05月业务提成'!B29,'2026-5任务'!A:A,0))</f>
        <v>9</v>
      </c>
      <c r="AH29" s="1443">
        <f>INDEX('2026-5任务'!AQ:AQ,MATCH('05月业务提成'!B29,'2026-5任务'!A:A,0))</f>
        <v>12</v>
      </c>
      <c r="AI29" s="1492">
        <f>INDEX('2026-5任务'!AW:AW,MATCH(B29,'2026-5任务'!A:A,0))</f>
        <v>0.25</v>
      </c>
      <c r="AJ29" s="1443">
        <v>35</v>
      </c>
      <c r="AK29" s="1443">
        <v>25</v>
      </c>
      <c r="AL29" s="1443">
        <v>50</v>
      </c>
      <c r="AM29" s="1448">
        <f t="shared" si="71"/>
        <v>425</v>
      </c>
      <c r="AN29" s="1467"/>
      <c r="AO29" s="1476"/>
      <c r="AP29" s="1467">
        <v>25</v>
      </c>
      <c r="AQ29" s="1449">
        <f t="shared" si="72"/>
        <v>0</v>
      </c>
      <c r="AR29" s="1443">
        <f>INDEX('2026-5任务'!BN:BN,MATCH(B29,'2026-5任务'!A:A,0))</f>
        <v>0</v>
      </c>
      <c r="AS29" s="1443">
        <f>INDEX('2026-5任务'!BM:BM,MATCH(B29,'2026-5任务'!A:A,0))</f>
        <v>0</v>
      </c>
      <c r="AT29" s="1342">
        <f>INDEX('2026-5任务'!BO:BO,MATCH(B29,'2026-5任务'!A:A,0))</f>
        <v>0</v>
      </c>
      <c r="AU29" s="1467">
        <v>20</v>
      </c>
      <c r="AV29" s="1449">
        <f t="shared" ref="AV29" si="74">IF(AT29&gt;=0.8,AS29*AU29,AS29*AU29+AR29*AU29)</f>
        <v>0</v>
      </c>
      <c r="AW29" s="1448">
        <f>INDEX('2026-5任务'!BA:BA,MATCH(B29,'2026-5任务'!A:A,0))</f>
        <v>0</v>
      </c>
      <c r="AX29" s="1448"/>
      <c r="AY29" s="1448">
        <f>INDEX('2026-5任务'!BG:BG,MATCH(B29,'2026-5任务'!A:A,0))</f>
        <v>0</v>
      </c>
      <c r="AZ29" s="1448">
        <f>INDEX('2026-5任务'!BE:BE,MATCH(B29,'2026-5任务'!A:A,0))</f>
        <v>0</v>
      </c>
      <c r="BA29" s="1448">
        <f>SUMIF('4月续保推荐事故'!I:I,'05月业务提成'!B29,'4月续保推荐事故'!L:L)</f>
        <v>0</v>
      </c>
      <c r="BB29" s="1467">
        <f>INDEX('2026-5任务'!BC:BC,MATCH('05月业务提成'!B29,'2026-5任务'!A:A,0))</f>
        <v>0</v>
      </c>
      <c r="BC29" s="1342"/>
      <c r="BD29" s="1332">
        <v>200</v>
      </c>
      <c r="BE29" s="1476"/>
      <c r="BF29" s="1456"/>
      <c r="BG29" s="1460">
        <f t="shared" si="50"/>
        <v>5738.7983649999996</v>
      </c>
      <c r="BH29" s="1458"/>
      <c r="BI29" s="1478"/>
      <c r="BJ29" s="1460">
        <f t="shared" ref="BJ29" si="75">BG29+BH29+BI29</f>
        <v>5738.7983649999996</v>
      </c>
      <c r="BK29" s="1461">
        <f>INDEX('05月提成-机场售后'!I:I,MATCH(B29,'05月提成-机场售后'!C:C,0))</f>
        <v>900</v>
      </c>
      <c r="BL29" s="1445">
        <f>INDEX('05月提成-机场售后'!J:J,MATCH(B29,'05月提成-机场售后'!C:C,0))</f>
        <v>0</v>
      </c>
      <c r="BM29" s="1469"/>
      <c r="BN29" s="1445">
        <f>SUMIF('05月业务提成'!C:C,'05月业务提成'!B29,'05月业务提成'!O:O)+SUMIF('05基本'!C:C,'05月业务提成'!B29,'05基本'!N:N)</f>
        <v>0</v>
      </c>
      <c r="BO29" s="1473">
        <f t="shared" si="20"/>
        <v>4838.7983649999996</v>
      </c>
      <c r="BP29" s="1493">
        <f>SUMIF('05月提成-武侯售后'!C:C,'05月业务提成'!B29,'05月提成-武侯售后'!K:K)</f>
        <v>0</v>
      </c>
      <c r="BQ29" s="1494">
        <f t="shared" si="59"/>
        <v>-4838.7983649999996</v>
      </c>
      <c r="BR29" s="1495"/>
      <c r="BS29" s="1496"/>
      <c r="BT29" s="1497"/>
      <c r="BU29" s="1497"/>
      <c r="BV29" s="1497"/>
      <c r="BW29" s="1497"/>
    </row>
    <row r="30" spans="1:75" ht="18.75" customHeight="1">
      <c r="A30" s="1739" t="s">
        <v>311</v>
      </c>
      <c r="B30" s="1740"/>
      <c r="C30" s="1498">
        <f>SUM(C6:C29)</f>
        <v>3647</v>
      </c>
      <c r="D30" s="1499">
        <v>4</v>
      </c>
      <c r="E30" s="1499">
        <f>SUM(E6:E29)</f>
        <v>21002</v>
      </c>
      <c r="F30" s="1499">
        <f>SUM(F6:F29)</f>
        <v>548331.49</v>
      </c>
      <c r="G30" s="1499"/>
      <c r="H30" s="1499">
        <v>2</v>
      </c>
      <c r="I30" s="1499">
        <f>SUM(I6:I29)</f>
        <v>10418.29831</v>
      </c>
      <c r="J30" s="1499">
        <f>SUM(J6:J29)</f>
        <v>4150432.37</v>
      </c>
      <c r="K30" s="1499"/>
      <c r="L30" s="1499"/>
      <c r="M30" s="1499">
        <f t="shared" ref="M30:S30" si="76">SUM(M6:M29)</f>
        <v>63086.572024000001</v>
      </c>
      <c r="N30" s="1499">
        <f t="shared" si="76"/>
        <v>1542234.28</v>
      </c>
      <c r="O30" s="1500">
        <f t="shared" si="76"/>
        <v>0.12</v>
      </c>
      <c r="P30" s="1499">
        <f t="shared" si="76"/>
        <v>7325.61283</v>
      </c>
      <c r="Q30" s="1499">
        <f t="shared" si="76"/>
        <v>247587.27</v>
      </c>
      <c r="R30" s="1499">
        <f t="shared" si="76"/>
        <v>11.1529391489362</v>
      </c>
      <c r="S30" s="1499">
        <f t="shared" si="76"/>
        <v>1.44</v>
      </c>
      <c r="T30" s="1499"/>
      <c r="U30" s="1499"/>
      <c r="V30" s="1499">
        <f t="shared" ref="V30:AI30" si="77">SUM(V6:V29)</f>
        <v>14112.474389999999</v>
      </c>
      <c r="W30" s="1499">
        <f t="shared" si="77"/>
        <v>129750.7</v>
      </c>
      <c r="X30" s="1499">
        <f t="shared" si="77"/>
        <v>9.4988974603174601</v>
      </c>
      <c r="Y30" s="1499">
        <f t="shared" si="77"/>
        <v>1.92</v>
      </c>
      <c r="Z30" s="1499">
        <f t="shared" si="77"/>
        <v>9861.0532000000003</v>
      </c>
      <c r="AA30" s="1499">
        <f t="shared" si="77"/>
        <v>153124</v>
      </c>
      <c r="AB30" s="1499">
        <f t="shared" si="77"/>
        <v>12.826092307692299</v>
      </c>
      <c r="AC30" s="1499">
        <f t="shared" si="77"/>
        <v>2.4</v>
      </c>
      <c r="AD30" s="1499">
        <f t="shared" si="77"/>
        <v>14546.78</v>
      </c>
      <c r="AE30" s="1499">
        <f t="shared" si="77"/>
        <v>9</v>
      </c>
      <c r="AF30" s="1499">
        <f t="shared" si="77"/>
        <v>77</v>
      </c>
      <c r="AG30" s="1499">
        <f t="shared" si="77"/>
        <v>253</v>
      </c>
      <c r="AH30" s="1499">
        <f t="shared" si="77"/>
        <v>144</v>
      </c>
      <c r="AI30" s="1499" t="e">
        <f t="shared" si="77"/>
        <v>#DIV/0!</v>
      </c>
      <c r="AJ30" s="1499">
        <v>35</v>
      </c>
      <c r="AK30" s="1499">
        <v>25</v>
      </c>
      <c r="AL30" s="1499">
        <v>50</v>
      </c>
      <c r="AM30" s="1499">
        <f>SUM(AM6:AM29)</f>
        <v>18100</v>
      </c>
      <c r="AN30" s="1499">
        <f>SUM(AN6:AN29)</f>
        <v>0</v>
      </c>
      <c r="AO30" s="1499">
        <f>SUM(AO6:AO29)</f>
        <v>0</v>
      </c>
      <c r="AP30" s="1499">
        <v>25</v>
      </c>
      <c r="AQ30" s="1499">
        <f>SUM(AQ6:AQ29)</f>
        <v>0</v>
      </c>
      <c r="AR30" s="1499">
        <f>SUM(AR6:AR29)</f>
        <v>0</v>
      </c>
      <c r="AS30" s="1499"/>
      <c r="AT30" s="1499">
        <f>SUM(AT6:AT29)</f>
        <v>0</v>
      </c>
      <c r="AU30" s="1499">
        <v>20</v>
      </c>
      <c r="AV30" s="1499">
        <f>SUM(AV6:AV29)</f>
        <v>0</v>
      </c>
      <c r="AW30" s="1499">
        <f>SUM(AW6:AW29)</f>
        <v>0</v>
      </c>
      <c r="AX30" s="1499">
        <f>SUM(AX6:AX29)</f>
        <v>0</v>
      </c>
      <c r="AY30" s="1499">
        <f>SUM(AY6:AY29)</f>
        <v>450</v>
      </c>
      <c r="AZ30" s="1499">
        <f>SUM(AZ6:AZ29)</f>
        <v>275</v>
      </c>
      <c r="BA30" s="1501"/>
      <c r="BB30" s="1501">
        <f>SUM(BB6:BB29)</f>
        <v>0</v>
      </c>
      <c r="BC30" s="1501">
        <f>SUM(BC6:BC29)</f>
        <v>0</v>
      </c>
      <c r="BD30" s="1501">
        <v>200</v>
      </c>
      <c r="BE30" s="1501">
        <f>SUM(BE6:BE29)</f>
        <v>0</v>
      </c>
      <c r="BF30" s="1499">
        <f>SUM(BF6:BF29)</f>
        <v>0</v>
      </c>
      <c r="BG30" s="1502">
        <f>SUM(BG6:BG29)</f>
        <v>159177.79075399999</v>
      </c>
      <c r="BH30" s="1498">
        <f>SUM(BH6:BH29)</f>
        <v>0</v>
      </c>
      <c r="BI30" s="1499"/>
      <c r="BJ30" s="1499">
        <f t="shared" ref="BJ30:BO30" si="78">SUM(BJ6:BJ29)</f>
        <v>159177.79075399999</v>
      </c>
      <c r="BK30" s="1503">
        <f t="shared" si="78"/>
        <v>18198</v>
      </c>
      <c r="BL30" s="1504">
        <f t="shared" si="78"/>
        <v>0</v>
      </c>
      <c r="BM30" s="1504">
        <f t="shared" si="78"/>
        <v>0</v>
      </c>
      <c r="BN30" s="1504">
        <f t="shared" si="78"/>
        <v>125</v>
      </c>
      <c r="BO30" s="1505">
        <f t="shared" si="78"/>
        <v>141879.79075399999</v>
      </c>
      <c r="BP30" s="1391">
        <f>SUMIF('05月提成-武侯售后'!C:C,'05月业务提成'!A30,'05月提成-武侯售后'!K:K)</f>
        <v>0</v>
      </c>
      <c r="BQ30" s="1391"/>
      <c r="BR30" s="1463">
        <f>BO30/C30</f>
        <v>38.903150741431297</v>
      </c>
      <c r="BS30" s="1506">
        <f>F30/C30</f>
        <v>150.35138195777299</v>
      </c>
      <c r="BT30" s="1465">
        <f>F30/C30</f>
        <v>150.35138195777299</v>
      </c>
      <c r="BU30" s="1465">
        <f>N30/C30</f>
        <v>422.877510282424</v>
      </c>
      <c r="BV30" s="1465">
        <f>Q30/C30</f>
        <v>67.887927063339703</v>
      </c>
      <c r="BW30" s="1465">
        <f>W30/C30</f>
        <v>35.577378667397902</v>
      </c>
    </row>
    <row r="31" spans="1:75" ht="15.6">
      <c r="B31" s="1507" t="s">
        <v>212</v>
      </c>
      <c r="C31" s="1508">
        <f>C30-'2026-5任务'!C36-'2026-5任务'!D36-'2026-5任务'!E36-'2026-5任务'!G36</f>
        <v>-1</v>
      </c>
      <c r="F31" s="38">
        <f>F30-'2026-5任务'!N40-'2026-5任务'!T40-'2026-5任务'!P46-'2026-5任务'!N41+'2026-5任务'!AG36</f>
        <v>0</v>
      </c>
      <c r="J31" s="1509">
        <f>J30-'2026-5任务'!R36-'2026-5任务'!U36</f>
        <v>0</v>
      </c>
      <c r="N31" s="38">
        <f>N30-'2026-5任务'!AN46-'2026-5任务'!AO46</f>
        <v>1.04773789644241E-8</v>
      </c>
      <c r="Q31" s="38">
        <f>Q30-'2026-5任务'!Z36-'2026-5任务'!AA36</f>
        <v>0</v>
      </c>
      <c r="R31" s="38"/>
      <c r="S31" s="38"/>
      <c r="U31" s="38"/>
      <c r="V31" s="1509"/>
      <c r="W31" s="38">
        <f>W30-'2026-5任务'!AD36</f>
        <v>0</v>
      </c>
      <c r="X31" s="38"/>
      <c r="Y31" s="38"/>
      <c r="Z31" s="1509"/>
      <c r="AA31" s="38">
        <f>AA30-'2026-5任务'!AJ36</f>
        <v>0</v>
      </c>
      <c r="AB31" s="38"/>
      <c r="AC31" s="38"/>
      <c r="AD31" s="1509"/>
      <c r="AE31" s="38"/>
      <c r="AF31" s="38"/>
      <c r="AG31" s="38"/>
      <c r="AH31" s="38"/>
      <c r="AI31" s="38"/>
      <c r="AJ31" s="38"/>
      <c r="AK31" s="38"/>
      <c r="AL31" s="38"/>
      <c r="AM31" s="1509"/>
      <c r="AN31" s="38"/>
      <c r="AO31" s="38"/>
      <c r="AP31" s="38"/>
      <c r="AQ31" s="1509"/>
      <c r="AR31" s="38"/>
      <c r="AS31" s="38"/>
      <c r="AT31" s="38"/>
      <c r="AU31" s="38"/>
      <c r="AV31" s="1509"/>
      <c r="AW31" s="1509"/>
      <c r="AX31" s="1509"/>
      <c r="AY31" s="1509"/>
      <c r="AZ31" s="1509"/>
      <c r="BA31" s="1509"/>
      <c r="BB31" s="1509"/>
      <c r="BC31" s="1509"/>
      <c r="BE31" s="1509"/>
      <c r="BF31" s="1509"/>
      <c r="BG31" s="38"/>
      <c r="BH31" s="38"/>
      <c r="BI31" s="38"/>
      <c r="BJ31" s="1509"/>
      <c r="BO31" s="1510">
        <f>'05月提成-武侯售后'!K42-'05月提成-武侯售后'!K27+SUM('05月提成-机场售后'!K11:K14,'05月提成-机场售后'!K17:K18)</f>
        <v>141879.79075399999</v>
      </c>
      <c r="BT31" s="44"/>
      <c r="BU31" s="1391"/>
      <c r="BV31" s="1391"/>
      <c r="BW31" s="1391"/>
    </row>
    <row r="32" spans="1:75">
      <c r="B32" s="1507" t="s">
        <v>312</v>
      </c>
      <c r="G32" s="38"/>
      <c r="O32" s="1387"/>
      <c r="P32" s="30"/>
      <c r="S32" s="1387"/>
      <c r="T32" s="1389"/>
      <c r="U32" s="1387"/>
      <c r="V32" s="30"/>
      <c r="Y32" s="1387"/>
      <c r="Z32" s="30"/>
      <c r="AC32" s="1387"/>
      <c r="AD32" s="30"/>
      <c r="AL32" s="1387"/>
      <c r="AM32" s="30"/>
      <c r="AP32" s="1387"/>
      <c r="AQ32" s="30"/>
      <c r="AU32" s="1387"/>
      <c r="BF32" s="38"/>
      <c r="BH32" s="1387"/>
      <c r="BI32" s="1387"/>
      <c r="BJ32" s="30"/>
      <c r="BM32" s="1388"/>
      <c r="BR32" s="30"/>
      <c r="BT32" s="44"/>
      <c r="BU32" s="1391"/>
      <c r="BV32" s="1391"/>
    </row>
    <row r="33" spans="2:75">
      <c r="B33" s="73"/>
      <c r="F33" s="38"/>
      <c r="G33" s="38"/>
      <c r="J33" s="1389"/>
      <c r="N33" s="38"/>
      <c r="BG33" s="30"/>
      <c r="BI33" s="1388"/>
      <c r="BN33" s="1388" t="s">
        <v>313</v>
      </c>
      <c r="BO33" s="1388">
        <f>BO31-BO30</f>
        <v>0</v>
      </c>
      <c r="BT33" s="44"/>
      <c r="BU33" s="1391"/>
      <c r="BV33" s="1391"/>
    </row>
    <row r="34" spans="2:75">
      <c r="B34" s="73"/>
      <c r="F34" s="38"/>
      <c r="G34" s="38"/>
      <c r="AJ34" s="1511"/>
      <c r="BG34" s="30"/>
    </row>
    <row r="35" spans="2:75">
      <c r="B35" s="73"/>
      <c r="F35" s="38"/>
      <c r="BG35" s="30"/>
    </row>
    <row r="36" spans="2:75">
      <c r="B36" s="73"/>
      <c r="F36" s="38"/>
      <c r="BG36" s="30"/>
    </row>
    <row r="37" spans="2:75">
      <c r="B37" s="73"/>
      <c r="F37" s="38"/>
      <c r="I37" s="1509"/>
    </row>
    <row r="38" spans="2:75">
      <c r="B38" s="73"/>
      <c r="F38" s="38"/>
    </row>
    <row r="39" spans="2:75">
      <c r="B39" s="73"/>
      <c r="E39" s="30"/>
      <c r="I39" s="30"/>
      <c r="J39" s="30"/>
      <c r="K39" s="30"/>
      <c r="L39" s="30"/>
      <c r="M39" s="30"/>
      <c r="P39" s="30"/>
      <c r="V39" s="30"/>
      <c r="Z39" s="30"/>
      <c r="AD39" s="30"/>
      <c r="AM39" s="30"/>
      <c r="AQ39" s="30"/>
      <c r="AV39" s="30"/>
      <c r="AW39" s="30"/>
      <c r="AX39" s="30"/>
      <c r="AY39" s="30"/>
      <c r="AZ39" s="30"/>
      <c r="BA39" s="30"/>
      <c r="BB39" s="30"/>
      <c r="BC39" s="30"/>
      <c r="BD39" s="30"/>
      <c r="BE39" s="30"/>
      <c r="BF39" s="30"/>
      <c r="BG39" s="30"/>
      <c r="BJ39" s="30"/>
      <c r="BN39" s="30"/>
      <c r="BO39" s="30"/>
      <c r="BP39" s="30"/>
      <c r="BQ39" s="30"/>
      <c r="BR39" s="30"/>
      <c r="BV39" s="30"/>
      <c r="BW39" s="30"/>
    </row>
    <row r="40" spans="2:75">
      <c r="B40" s="73"/>
      <c r="E40" s="30"/>
      <c r="I40" s="30"/>
      <c r="J40" s="30"/>
      <c r="K40" s="30"/>
      <c r="L40" s="30"/>
      <c r="M40" s="30"/>
      <c r="P40" s="30"/>
      <c r="V40" s="30"/>
      <c r="Z40" s="30"/>
      <c r="AD40" s="30"/>
      <c r="AM40" s="30"/>
      <c r="AQ40" s="30"/>
      <c r="AV40" s="30"/>
      <c r="AW40" s="30"/>
      <c r="AX40" s="30"/>
      <c r="AY40" s="30"/>
      <c r="AZ40" s="30"/>
      <c r="BA40" s="30"/>
      <c r="BB40" s="30"/>
      <c r="BC40" s="30"/>
      <c r="BD40" s="30"/>
      <c r="BE40" s="30"/>
      <c r="BF40" s="30"/>
      <c r="BG40" s="30"/>
      <c r="BJ40" s="30"/>
      <c r="BN40" s="30"/>
      <c r="BO40" s="30"/>
      <c r="BP40" s="30"/>
      <c r="BQ40" s="30"/>
      <c r="BR40" s="30"/>
      <c r="BV40" s="30"/>
      <c r="BW40" s="30"/>
    </row>
    <row r="41" spans="2:75">
      <c r="B41" s="73"/>
      <c r="E41" s="30"/>
      <c r="I41" s="30"/>
      <c r="J41" s="30"/>
      <c r="K41" s="30"/>
      <c r="L41" s="30"/>
      <c r="M41" s="30"/>
      <c r="P41" s="30"/>
      <c r="V41" s="30"/>
      <c r="Z41" s="30"/>
      <c r="AD41" s="30"/>
      <c r="AM41" s="30"/>
      <c r="AQ41" s="30"/>
      <c r="AV41" s="30"/>
      <c r="AW41" s="30"/>
      <c r="AX41" s="30"/>
      <c r="AY41" s="30"/>
      <c r="AZ41" s="30"/>
      <c r="BA41" s="30"/>
      <c r="BB41" s="30"/>
      <c r="BC41" s="30"/>
      <c r="BD41" s="30"/>
      <c r="BE41" s="30"/>
      <c r="BF41" s="30"/>
      <c r="BG41" s="30"/>
      <c r="BJ41" s="30"/>
      <c r="BN41" s="30"/>
      <c r="BO41" s="30"/>
      <c r="BP41" s="30"/>
      <c r="BQ41" s="30"/>
      <c r="BR41" s="30"/>
      <c r="BV41" s="30"/>
      <c r="BW41" s="30"/>
    </row>
    <row r="42" spans="2:75">
      <c r="B42" s="42"/>
      <c r="E42" s="30"/>
      <c r="I42" s="30"/>
      <c r="J42" s="30"/>
      <c r="K42" s="30"/>
      <c r="L42" s="30"/>
      <c r="M42" s="30"/>
      <c r="P42" s="30"/>
      <c r="V42" s="30"/>
      <c r="Z42" s="30"/>
      <c r="AD42" s="30"/>
      <c r="AM42" s="30"/>
      <c r="AQ42" s="30"/>
      <c r="AV42" s="30"/>
      <c r="AW42" s="30"/>
      <c r="AX42" s="30"/>
      <c r="AY42" s="30"/>
      <c r="AZ42" s="30"/>
      <c r="BA42" s="30"/>
      <c r="BB42" s="30"/>
      <c r="BC42" s="30"/>
      <c r="BD42" s="30"/>
      <c r="BE42" s="30"/>
      <c r="BF42" s="30"/>
      <c r="BG42" s="30"/>
      <c r="BJ42" s="30"/>
      <c r="BN42" s="30"/>
      <c r="BO42" s="30"/>
      <c r="BP42" s="30"/>
      <c r="BQ42" s="30"/>
      <c r="BR42" s="30"/>
      <c r="BV42" s="30"/>
      <c r="BW42" s="30"/>
    </row>
    <row r="43" spans="2:75">
      <c r="B43" s="42"/>
      <c r="E43" s="30"/>
      <c r="I43" s="30"/>
      <c r="J43" s="30"/>
      <c r="K43" s="30"/>
      <c r="L43" s="30"/>
      <c r="M43" s="30"/>
      <c r="P43" s="30"/>
      <c r="V43" s="30"/>
      <c r="Z43" s="30"/>
      <c r="AD43" s="30"/>
      <c r="AM43" s="30"/>
      <c r="AQ43" s="30"/>
      <c r="AV43" s="30"/>
      <c r="AW43" s="30"/>
      <c r="AX43" s="30"/>
      <c r="AY43" s="30"/>
      <c r="AZ43" s="30"/>
      <c r="BA43" s="30"/>
      <c r="BB43" s="30"/>
      <c r="BC43" s="30"/>
      <c r="BD43" s="30"/>
      <c r="BE43" s="30"/>
      <c r="BF43" s="30"/>
      <c r="BG43" s="30"/>
      <c r="BJ43" s="30"/>
      <c r="BN43" s="30"/>
      <c r="BO43" s="30"/>
      <c r="BP43" s="30"/>
      <c r="BQ43" s="30"/>
      <c r="BR43" s="30"/>
      <c r="BV43" s="30"/>
      <c r="BW43" s="30"/>
    </row>
    <row r="44" spans="2:75">
      <c r="B44" s="42"/>
    </row>
  </sheetData>
  <autoFilter ref="A4:BW33" xr:uid="{00000000-0009-0000-0000-000002000000}"/>
  <mergeCells count="24">
    <mergeCell ref="BG3:BG4"/>
    <mergeCell ref="BJ3:BJ4"/>
    <mergeCell ref="BO2:BO4"/>
    <mergeCell ref="A30:B30"/>
    <mergeCell ref="A2:A4"/>
    <mergeCell ref="A6:A21"/>
    <mergeCell ref="A22:A29"/>
    <mergeCell ref="B2:B4"/>
    <mergeCell ref="A1:J1"/>
    <mergeCell ref="C2:W2"/>
    <mergeCell ref="BK2:BN2"/>
    <mergeCell ref="C3:E3"/>
    <mergeCell ref="F3:I3"/>
    <mergeCell ref="J3:M3"/>
    <mergeCell ref="N3:P3"/>
    <mergeCell ref="Q3:V3"/>
    <mergeCell ref="W3:Z3"/>
    <mergeCell ref="AA3:AD3"/>
    <mergeCell ref="AE3:AM3"/>
    <mergeCell ref="AN3:AQ3"/>
    <mergeCell ref="AR3:AV3"/>
    <mergeCell ref="BB3:BF3"/>
    <mergeCell ref="BH3:BI3"/>
    <mergeCell ref="BK3:BN3"/>
  </mergeCells>
  <phoneticPr fontId="5" type="noConversion"/>
  <conditionalFormatting sqref="B7">
    <cfRule type="duplicateValues" dxfId="1438" priority="32"/>
  </conditionalFormatting>
  <conditionalFormatting sqref="B10:B11">
    <cfRule type="duplicateValues" dxfId="1437" priority="8"/>
  </conditionalFormatting>
  <conditionalFormatting sqref="B12">
    <cfRule type="duplicateValues" dxfId="1436" priority="13713"/>
  </conditionalFormatting>
  <conditionalFormatting sqref="B13">
    <cfRule type="duplicateValues" dxfId="1435" priority="31"/>
  </conditionalFormatting>
  <conditionalFormatting sqref="B15">
    <cfRule type="duplicateValues" dxfId="1434" priority="41"/>
  </conditionalFormatting>
  <conditionalFormatting sqref="B18:B19">
    <cfRule type="duplicateValues" dxfId="1433" priority="5"/>
  </conditionalFormatting>
  <conditionalFormatting sqref="B20:B21">
    <cfRule type="duplicateValues" dxfId="1432" priority="7"/>
  </conditionalFormatting>
  <conditionalFormatting sqref="B21">
    <cfRule type="duplicateValues" dxfId="1431" priority="6"/>
  </conditionalFormatting>
  <conditionalFormatting sqref="B24">
    <cfRule type="duplicateValues" dxfId="1430" priority="3"/>
  </conditionalFormatting>
  <conditionalFormatting sqref="B29">
    <cfRule type="duplicateValues" dxfId="1429" priority="1"/>
  </conditionalFormatting>
  <conditionalFormatting sqref="B31">
    <cfRule type="duplicateValues" dxfId="1428" priority="19"/>
    <cfRule type="expression" dxfId="1427" priority="20" stopIfTrue="1">
      <formula>AND(COUNTIF($C$145:$C$65152,B31)+COUNTIF($C$134:$C$143,B31)+COUNTIF($C$1:$C$7,B31)+COUNTIF($C$83:$C$85,B31)+COUNTIF(#REF!,B31)+COUNTIF($C$13:$C$21,B31)+COUNTIF($C$86:$C$95,B31)+COUNTIF($C$78:$C$82,B31)+COUNTIF($C$113:$C$113,B31)+COUNTIF($C$41:$C$47,B31)+COUNTIF($C$32:$C$32,B31)+COUNTIF($C$54:$C$61,B31)+COUNTIF($C$26:$C$26,B31)+COUNTIF($C$102:$C$102,B31)+COUNTIF($C$125:$C$133,B31)+COUNTIF($C$106:$C$109,B31)+COUNTIF($C$63:$C$76,B31)&gt;1,NOT(ISBLANK(B31)))</formula>
    </cfRule>
    <cfRule type="expression" dxfId="1426" priority="21" stopIfTrue="1">
      <formula>AND(COUNTIF($C$145:$C$65152,B31)+COUNTIF($C$134:$C$143,B31)+COUNTIF(#REF!,B31)+COUNTIF($C$1:$C$7,B31)+COUNTIF($C$13:$C$21,B31)+COUNTIF($C$86:$C$95,B31)+COUNTIF($C$32:$C$32,B31)+COUNTIF($C$54:$C$61,B31)+COUNTIF($C$113:$C$113,B31)+COUNTIF($C$26:$C$26,B31)+COUNTIF($C$78:$C$85,B31)+COUNTIF($C$102:$C$102,B31)+COUNTIF($C$125:$C$133,B31)+COUNTIF($C$41:$C$47,B31)+COUNTIF($C$106:$C$109,B31)+COUNTIF($C$63:$C$76,B31)&gt;1,NOT(ISBLANK(B31)))</formula>
    </cfRule>
    <cfRule type="expression" dxfId="1425" priority="22" stopIfTrue="1">
      <formula>AND(COUNTIF($C$134:$C$65152,B31)+COUNTIF($C$113:$C$113,B31)+COUNTIF($C$1:$C$22,B31)+COUNTIF($C$125:$C$133,B31)+COUNTIF($C$41:$C$47,B31)+COUNTIF($C$26:$C$32,B31)+COUNTIF($C$54:$C$95,B31)+COUNTIF($C$102:$C$109,B31)&gt;1,NOT(ISBLANK(B31)))</formula>
    </cfRule>
  </conditionalFormatting>
  <conditionalFormatting sqref="B31:B32">
    <cfRule type="duplicateValues" dxfId="1424" priority="9"/>
  </conditionalFormatting>
  <conditionalFormatting sqref="B32">
    <cfRule type="duplicateValues" dxfId="1423" priority="15"/>
    <cfRule type="expression" dxfId="1422" priority="16" stopIfTrue="1">
      <formula>AND(COUNTIF($C$145:$C$65152,B32)+COUNTIF($C$134:$C$143,B32)+COUNTIF($C$1:$C$7,B32)+COUNTIF($C$83:$C$85,B32)+COUNTIF(#REF!,B32)+COUNTIF($C$13:$C$21,B32)+COUNTIF($C$86:$C$95,B32)+COUNTIF($C$78:$C$82,B32)+COUNTIF($C$113:$C$113,B32)+COUNTIF($C$41:$C$47,B32)+COUNTIF($C$32:$C$32,B32)+COUNTIF($C$54:$C$61,B32)+COUNTIF($C$26:$C$26,B32)+COUNTIF($C$102:$C$102,B32)+COUNTIF($C$125:$C$133,B32)+COUNTIF($C$106:$C$109,B32)+COUNTIF($C$63:$C$76,B32)&gt;1,NOT(ISBLANK(B32)))</formula>
    </cfRule>
    <cfRule type="expression" dxfId="1421" priority="17" stopIfTrue="1">
      <formula>AND(COUNTIF($C$145:$C$65152,B32)+COUNTIF($C$134:$C$143,B32)+COUNTIF(#REF!,B32)+COUNTIF($C$1:$C$7,B32)+COUNTIF($C$13:$C$21,B32)+COUNTIF($C$86:$C$95,B32)+COUNTIF($C$32:$C$32,B32)+COUNTIF($C$54:$C$61,B32)+COUNTIF($C$113:$C$113,B32)+COUNTIF($C$26:$C$26,B32)+COUNTIF($C$78:$C$85,B32)+COUNTIF($C$102:$C$102,B32)+COUNTIF($C$125:$C$133,B32)+COUNTIF($C$41:$C$47,B32)+COUNTIF($C$106:$C$109,B32)+COUNTIF($C$63:$C$76,B32)&gt;1,NOT(ISBLANK(B32)))</formula>
    </cfRule>
    <cfRule type="expression" dxfId="1420" priority="18" stopIfTrue="1">
      <formula>AND(COUNTIF($C$134:$C$65152,B32)+COUNTIF($C$113:$C$113,B32)+COUNTIF($C$1:$C$22,B32)+COUNTIF($C$125:$C$133,B32)+COUNTIF($C$41:$C$47,B32)+COUNTIF($C$26:$C$32,B32)+COUNTIF($C$54:$C$95,B32)+COUNTIF($C$102:$C$109,B32)&gt;1,NOT(ISBLANK(B32)))</formula>
    </cfRule>
  </conditionalFormatting>
  <conditionalFormatting sqref="B33:B1048576 B22:B23 B1:B9 B13:B17 B25:B28 B30">
    <cfRule type="duplicateValues" dxfId="1419" priority="12512"/>
  </conditionalFormatting>
  <conditionalFormatting sqref="B47">
    <cfRule type="duplicateValues" dxfId="1418" priority="333"/>
  </conditionalFormatting>
  <conditionalFormatting sqref="B48:B65541 B2:B5">
    <cfRule type="duplicateValues" dxfId="1417" priority="340" stopIfTrue="1"/>
  </conditionalFormatting>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00B0F0"/>
  </sheetPr>
  <dimension ref="A1:AI120"/>
  <sheetViews>
    <sheetView workbookViewId="0">
      <pane xSplit="3" ySplit="3" topLeftCell="D59" activePane="bottomRight" state="frozen"/>
      <selection pane="topRight"/>
      <selection pane="bottomLeft"/>
      <selection pane="bottomRight" activeCell="E4" sqref="E4"/>
    </sheetView>
  </sheetViews>
  <sheetFormatPr defaultColWidth="9" defaultRowHeight="14.4"/>
  <cols>
    <col min="1" max="1" width="8.21875" style="1252" customWidth="1"/>
    <col min="2" max="2" width="15.33203125" style="30" customWidth="1"/>
    <col min="3" max="3" width="10.44140625" style="30" customWidth="1"/>
    <col min="4" max="4" width="17.21875" style="1253" customWidth="1"/>
    <col min="5" max="5" width="18" style="1254" customWidth="1"/>
    <col min="6" max="6" width="15.88671875" style="1254" customWidth="1"/>
    <col min="7" max="7" width="10.88671875" style="1254" customWidth="1"/>
    <col min="8" max="8" width="7.33203125" style="1255" customWidth="1"/>
    <col min="9" max="9" width="18.44140625" style="1254" customWidth="1"/>
    <col min="10" max="10" width="15.44140625" style="1254" customWidth="1"/>
    <col min="11" max="11" width="17.109375" style="1254" customWidth="1"/>
    <col min="12" max="12" width="13.6640625" style="1254" customWidth="1"/>
    <col min="13" max="13" width="10.109375" style="1254" customWidth="1"/>
    <col min="14" max="14" width="12" style="1254" customWidth="1"/>
    <col min="15" max="15" width="15.33203125" style="1254" customWidth="1"/>
    <col min="16" max="16" width="15.33203125" style="1256" customWidth="1"/>
    <col min="17" max="17" width="18.109375" style="1254" customWidth="1"/>
    <col min="18" max="18" width="11.88671875" style="1254" customWidth="1"/>
    <col min="19" max="19" width="13.88671875" style="1257" customWidth="1"/>
    <col min="20" max="20" width="8.21875" style="1254" customWidth="1"/>
    <col min="21" max="21" width="10.88671875" style="1253" customWidth="1"/>
    <col min="22" max="22" width="17.44140625" style="1254" customWidth="1"/>
    <col min="23" max="23" width="11.77734375" style="1254" customWidth="1"/>
    <col min="24" max="24" width="14.21875" style="1254" customWidth="1"/>
    <col min="25" max="25" width="12.33203125" style="1254" customWidth="1"/>
    <col min="26" max="35" width="9" style="1254"/>
    <col min="36" max="16384" width="9" style="30"/>
  </cols>
  <sheetData>
    <row r="1" spans="1:35" s="1245" customFormat="1" ht="22.2">
      <c r="A1" s="1755" t="s">
        <v>314</v>
      </c>
      <c r="B1" s="1755"/>
      <c r="C1" s="1755"/>
      <c r="D1" s="1755"/>
      <c r="E1" s="1755"/>
      <c r="F1" s="1755"/>
      <c r="G1" s="1755"/>
      <c r="H1" s="1755"/>
      <c r="I1" s="1755"/>
      <c r="J1" s="1755"/>
      <c r="K1" s="1755"/>
      <c r="L1" s="1755"/>
      <c r="M1" s="1755"/>
      <c r="N1" s="1755"/>
      <c r="O1" s="1755"/>
      <c r="P1" s="1755"/>
      <c r="Q1" s="1755"/>
      <c r="R1" s="1755"/>
      <c r="S1" s="1756"/>
      <c r="T1" s="1755"/>
      <c r="U1" s="1258"/>
      <c r="V1" s="1258"/>
      <c r="W1" s="1259"/>
    </row>
    <row r="2" spans="1:35" s="1246" customFormat="1" ht="21.75" customHeight="1">
      <c r="A2" s="1757" t="s">
        <v>1</v>
      </c>
      <c r="B2" s="1758"/>
      <c r="C2" s="1758"/>
      <c r="D2" s="1260"/>
      <c r="E2" s="1260">
        <f>E4+E5-E6</f>
        <v>0</v>
      </c>
      <c r="F2" s="1260">
        <f>F4+F5-F6</f>
        <v>0</v>
      </c>
      <c r="G2" s="1260"/>
      <c r="H2" s="1260"/>
      <c r="I2" s="1260"/>
      <c r="J2" s="1260"/>
      <c r="K2" s="1261"/>
      <c r="L2" s="1261"/>
      <c r="M2" s="1261"/>
      <c r="N2" s="1261"/>
      <c r="O2" s="1262"/>
      <c r="P2" s="1263"/>
      <c r="Q2" s="1264"/>
      <c r="R2" s="1264"/>
      <c r="S2" s="1265"/>
      <c r="T2" s="1260"/>
      <c r="U2" s="1266"/>
      <c r="V2" s="1267"/>
      <c r="W2" s="1268"/>
      <c r="X2" s="1268"/>
      <c r="Y2" s="1268"/>
      <c r="Z2" s="1268"/>
      <c r="AA2" s="1268"/>
      <c r="AB2" s="1268"/>
      <c r="AC2" s="1268"/>
      <c r="AD2" s="1268"/>
      <c r="AE2" s="1268"/>
      <c r="AF2" s="1268"/>
      <c r="AG2" s="1268"/>
      <c r="AH2" s="1268"/>
      <c r="AI2" s="1268"/>
    </row>
    <row r="3" spans="1:35" s="1247" customFormat="1" ht="30.9" customHeight="1">
      <c r="A3" s="1269" t="s">
        <v>315</v>
      </c>
      <c r="B3" s="1270" t="s">
        <v>316</v>
      </c>
      <c r="C3" s="1270" t="s">
        <v>33</v>
      </c>
      <c r="D3" s="1271" t="s">
        <v>317</v>
      </c>
      <c r="E3" s="1272" t="s">
        <v>318</v>
      </c>
      <c r="F3" s="1272" t="s">
        <v>274</v>
      </c>
      <c r="G3" s="1272" t="s">
        <v>319</v>
      </c>
      <c r="H3" s="1273" t="s">
        <v>320</v>
      </c>
      <c r="I3" s="1272" t="s">
        <v>321</v>
      </c>
      <c r="J3" s="1274" t="s">
        <v>322</v>
      </c>
      <c r="K3" s="1272" t="s">
        <v>323</v>
      </c>
      <c r="L3" s="1272" t="s">
        <v>324</v>
      </c>
      <c r="M3" s="1272" t="s">
        <v>9</v>
      </c>
      <c r="N3" s="1272" t="s">
        <v>325</v>
      </c>
      <c r="O3" s="1272" t="s">
        <v>326</v>
      </c>
      <c r="P3" s="1275" t="s">
        <v>327</v>
      </c>
      <c r="Q3" s="1276" t="s">
        <v>328</v>
      </c>
      <c r="R3" s="1272" t="s">
        <v>329</v>
      </c>
      <c r="S3" s="1277" t="s">
        <v>24</v>
      </c>
      <c r="T3" s="1272" t="s">
        <v>25</v>
      </c>
      <c r="U3" s="1278" t="s">
        <v>330</v>
      </c>
      <c r="V3" s="1279" t="s">
        <v>331</v>
      </c>
      <c r="W3" s="1279" t="s">
        <v>332</v>
      </c>
      <c r="X3" s="1279"/>
      <c r="Y3" s="1279"/>
      <c r="Z3" s="1279"/>
      <c r="AA3" s="1279"/>
      <c r="AB3" s="1279"/>
      <c r="AC3" s="1279"/>
      <c r="AD3" s="1279"/>
      <c r="AE3" s="1279"/>
      <c r="AF3" s="1279"/>
      <c r="AG3" s="1279"/>
      <c r="AH3" s="1279"/>
      <c r="AI3" s="1279"/>
    </row>
    <row r="4" spans="1:35" s="1248" customFormat="1" ht="20.100000000000001" customHeight="1">
      <c r="A4" s="1280" t="s">
        <v>333</v>
      </c>
      <c r="B4" s="1281"/>
      <c r="C4" s="1282" t="s">
        <v>334</v>
      </c>
      <c r="D4" s="1283"/>
      <c r="E4" s="1284">
        <f>'2026-5任务'!N38+'2026-5任务'!R38+'2026-5任务'!T38+'2026-5任务'!U38+'2026-5任务'!AH38+'2026-5任务'!AN38+'2026-5任务'!AO38+I6+'2026-5任务'!P38+'5月车间产值'!H34+'2026-5任务'!Q38+'2026-5任务'!AJ38</f>
        <v>6871549.2038999898</v>
      </c>
      <c r="F4" s="1284">
        <f>'2026-5任务'!AN38</f>
        <v>1147126.9299999899</v>
      </c>
      <c r="G4" s="1285"/>
      <c r="H4" s="1286"/>
      <c r="I4" s="1287">
        <f>2974347.01-1198314.8</f>
        <v>1776032.21</v>
      </c>
      <c r="J4" s="1288">
        <f>SUM('2026-5任务'!R6:R22)</f>
        <v>2891951.37</v>
      </c>
      <c r="K4" s="1287"/>
      <c r="L4" s="1284"/>
      <c r="M4" s="1284"/>
      <c r="N4" s="1284"/>
      <c r="O4" s="1288"/>
      <c r="P4" s="1289"/>
      <c r="Q4" s="1284"/>
      <c r="R4" s="1284"/>
      <c r="S4" s="1290"/>
      <c r="T4" s="1284"/>
      <c r="U4" s="1291"/>
      <c r="V4" s="1292"/>
      <c r="W4" s="1293"/>
      <c r="X4" s="1293"/>
      <c r="Y4" s="1293"/>
      <c r="Z4" s="1293"/>
      <c r="AA4" s="1293"/>
      <c r="AB4" s="1293"/>
      <c r="AC4" s="1293"/>
      <c r="AD4" s="1293"/>
      <c r="AE4" s="1293"/>
      <c r="AF4" s="1293"/>
      <c r="AG4" s="1268"/>
      <c r="AH4" s="1268"/>
      <c r="AI4" s="1268"/>
    </row>
    <row r="5" spans="1:35" s="1248" customFormat="1" ht="18" customHeight="1">
      <c r="A5" s="1280" t="s">
        <v>333</v>
      </c>
      <c r="B5" s="1281"/>
      <c r="C5" s="1282" t="s">
        <v>335</v>
      </c>
      <c r="D5" s="1283"/>
      <c r="E5" s="1294">
        <f>'2026-5任务'!N39+'2026-5任务'!R39+'2026-5任务'!T39+'2026-5任务'!U39+'2026-5任务'!AH39+'2026-5任务'!AN39+'2026-5任务'!AO39+'2026-5任务'!P39+'2026-5任务'!Q39+'2026-5任务'!AJ39</f>
        <v>1728296.53</v>
      </c>
      <c r="F5" s="1284">
        <f>'2026-5任务'!AN39</f>
        <v>395107.35000000102</v>
      </c>
      <c r="G5" s="1285"/>
      <c r="H5" s="1286"/>
      <c r="I5" s="1287">
        <f>167412.7-167402.7</f>
        <v>10</v>
      </c>
      <c r="J5" s="1288">
        <f>SUM('2026-5任务'!R23:R28)</f>
        <v>1258481</v>
      </c>
      <c r="K5" s="1287"/>
      <c r="L5" s="1284"/>
      <c r="M5" s="1284"/>
      <c r="N5" s="1284"/>
      <c r="O5" s="1288"/>
      <c r="P5" s="1289"/>
      <c r="Q5" s="1284"/>
      <c r="R5" s="1284"/>
      <c r="S5" s="1290"/>
      <c r="T5" s="1284"/>
      <c r="U5" s="1291"/>
      <c r="V5" s="1292"/>
      <c r="W5" s="1293"/>
      <c r="X5" s="1293"/>
      <c r="Y5" s="1293"/>
      <c r="Z5" s="1293"/>
      <c r="AA5" s="1293"/>
      <c r="AB5" s="1293"/>
      <c r="AC5" s="1293"/>
      <c r="AD5" s="1293"/>
      <c r="AE5" s="1293"/>
      <c r="AF5" s="1293"/>
      <c r="AG5" s="1268"/>
      <c r="AH5" s="1268"/>
      <c r="AI5" s="1268"/>
    </row>
    <row r="6" spans="1:35" s="1248" customFormat="1" ht="23.25" customHeight="1">
      <c r="A6" s="1295">
        <v>1</v>
      </c>
      <c r="B6" s="1759" t="s">
        <v>35</v>
      </c>
      <c r="C6" s="1297" t="s">
        <v>36</v>
      </c>
      <c r="D6" s="1283">
        <v>3605000</v>
      </c>
      <c r="E6" s="1284">
        <f>'2026-5任务'!N40+'2026-5任务'!R40+'2026-5任务'!T40+'2026-5任务'!U40+'2026-5任务'!AH40+'2026-5任务'!AN40+'2026-5任务'!AO40+I6+'2026-5任务'!P40+'5月车间产值'!H34+'2026-5任务'!Q40+'2026-5任务'!AJ40</f>
        <v>8599845.7338999901</v>
      </c>
      <c r="F6" s="1284">
        <f>'2026-5任务'!AN40</f>
        <v>1542234.27999999</v>
      </c>
      <c r="G6" s="1285">
        <f>1175+2425</f>
        <v>3600</v>
      </c>
      <c r="H6" s="1286">
        <f>'5月车间产值'!D20</f>
        <v>919</v>
      </c>
      <c r="I6" s="1287">
        <f>I4+I5</f>
        <v>1776042.21</v>
      </c>
      <c r="J6" s="1288">
        <f>'2026-5任务'!R38+'2026-5任务'!R39</f>
        <v>4150432.37</v>
      </c>
      <c r="K6" s="1287">
        <v>24258</v>
      </c>
      <c r="L6" s="1284"/>
      <c r="M6" s="1284"/>
      <c r="N6" s="1288"/>
      <c r="O6" s="1288">
        <f>104000/12</f>
        <v>8666.6666666666697</v>
      </c>
      <c r="P6" s="1289"/>
      <c r="Q6" s="1284">
        <f t="shared" ref="Q6:Q13" si="0">(N6+O6+M6+P6)</f>
        <v>8666.6666666666697</v>
      </c>
      <c r="R6" s="1284"/>
      <c r="S6" s="1290"/>
      <c r="T6" s="1284"/>
      <c r="U6" s="1291"/>
      <c r="V6" s="1292" t="s">
        <v>336</v>
      </c>
      <c r="W6" s="1293"/>
      <c r="X6" s="1293">
        <f>INDEX('05月提成-武侯售后'!K:K,MATCH(C6,'05月提成-武侯售后'!C:C,0))-Q6</f>
        <v>0</v>
      </c>
      <c r="Y6" s="1293"/>
      <c r="Z6" s="1293"/>
      <c r="AA6" s="1293"/>
      <c r="AB6" s="1293"/>
      <c r="AC6" s="1293"/>
      <c r="AD6" s="1293"/>
      <c r="AE6" s="1293"/>
      <c r="AF6" s="1293"/>
      <c r="AG6" s="1268"/>
      <c r="AH6" s="1268"/>
      <c r="AI6" s="1268"/>
    </row>
    <row r="7" spans="1:35" s="1248" customFormat="1" ht="15" customHeight="1">
      <c r="A7" s="1298">
        <v>2</v>
      </c>
      <c r="B7" s="1760"/>
      <c r="C7" s="616" t="s">
        <v>37</v>
      </c>
      <c r="D7" s="1283"/>
      <c r="E7" s="1289"/>
      <c r="F7" s="1289"/>
      <c r="H7" s="1299"/>
      <c r="I7" s="1289"/>
      <c r="J7" s="1289"/>
      <c r="K7" s="1289"/>
      <c r="L7" s="1289"/>
      <c r="M7" s="1289"/>
      <c r="N7" s="1288"/>
      <c r="O7" s="1288">
        <v>10833.33</v>
      </c>
      <c r="P7" s="1289"/>
      <c r="Q7" s="1284">
        <f t="shared" si="0"/>
        <v>10833.33</v>
      </c>
      <c r="R7" s="1284"/>
      <c r="S7" s="1290"/>
      <c r="T7" s="1284"/>
      <c r="U7" s="1291"/>
      <c r="V7" s="1292"/>
      <c r="W7" s="1293">
        <f t="shared" ref="W7:W12" si="1">N7+O7-Q7</f>
        <v>0</v>
      </c>
      <c r="X7" s="1293">
        <f>INDEX('05月提成-武侯售后'!K:K,MATCH(C7,'05月提成-武侯售后'!C:C,0))-Q7</f>
        <v>0</v>
      </c>
      <c r="Y7" s="1293"/>
      <c r="Z7" s="1293"/>
      <c r="AA7" s="1293"/>
      <c r="AB7" s="1293"/>
      <c r="AC7" s="1293"/>
      <c r="AD7" s="1293"/>
      <c r="AE7" s="1293"/>
      <c r="AF7" s="1293"/>
      <c r="AG7" s="1268"/>
      <c r="AH7" s="1268"/>
      <c r="AI7" s="1268"/>
    </row>
    <row r="8" spans="1:35" s="1249" customFormat="1" ht="14.25" customHeight="1">
      <c r="A8" s="1295">
        <v>3</v>
      </c>
      <c r="B8" s="1760" t="s">
        <v>9</v>
      </c>
      <c r="C8" s="1300" t="s">
        <v>60</v>
      </c>
      <c r="D8" s="1301"/>
      <c r="E8" s="1302"/>
      <c r="F8" s="1302"/>
      <c r="G8" s="1289"/>
      <c r="H8" s="1303"/>
      <c r="I8" s="1302"/>
      <c r="J8" s="1302"/>
      <c r="K8" s="1302"/>
      <c r="L8" s="1304">
        <v>4.0000000000000001E-3</v>
      </c>
      <c r="M8" s="1302"/>
      <c r="N8" s="1302"/>
      <c r="O8" s="1302">
        <f>$J$4*L8*0.95</f>
        <v>10989.415206</v>
      </c>
      <c r="P8" s="1305"/>
      <c r="Q8" s="1284">
        <f t="shared" si="0"/>
        <v>10989.415206</v>
      </c>
      <c r="R8" s="1302">
        <f t="shared" ref="R8:R13" si="2">SUM(S8:T8)</f>
        <v>830.08647399999995</v>
      </c>
      <c r="S8" s="1306">
        <f>J6*L8*0.05</f>
        <v>830.08647399999995</v>
      </c>
      <c r="T8" s="1302"/>
      <c r="U8" s="1307"/>
      <c r="V8" s="1308" t="s">
        <v>337</v>
      </c>
      <c r="W8" s="1308">
        <f t="shared" si="1"/>
        <v>0</v>
      </c>
      <c r="X8" s="1293">
        <f>INDEX('05月提成-武侯售后'!K:K,MATCH(C8,'05月提成-武侯售后'!C:C,0))-Q8</f>
        <v>0</v>
      </c>
      <c r="Y8" s="1293"/>
      <c r="Z8" s="1308"/>
      <c r="AA8" s="1308"/>
      <c r="AB8" s="1308"/>
      <c r="AC8" s="1308"/>
      <c r="AD8" s="1308"/>
      <c r="AE8" s="1308"/>
      <c r="AF8" s="1308"/>
      <c r="AG8" s="1309"/>
      <c r="AH8" s="1309"/>
      <c r="AI8" s="1309"/>
    </row>
    <row r="9" spans="1:35" s="1249" customFormat="1" ht="14.25" customHeight="1">
      <c r="A9" s="1298">
        <v>4</v>
      </c>
      <c r="B9" s="1760"/>
      <c r="C9" s="1300" t="s">
        <v>38</v>
      </c>
      <c r="D9" s="1301"/>
      <c r="E9" s="1302"/>
      <c r="F9" s="1302"/>
      <c r="G9" s="1302"/>
      <c r="H9" s="1303"/>
      <c r="I9" s="1302"/>
      <c r="J9" s="1302"/>
      <c r="K9" s="1302"/>
      <c r="L9" s="1304">
        <v>2.7000000000000001E-3</v>
      </c>
      <c r="M9" s="1302"/>
      <c r="N9" s="1302"/>
      <c r="O9" s="1302">
        <f>(E4-I4)*L9*0.95*0.9</f>
        <v>11763.000980418101</v>
      </c>
      <c r="P9" s="1305"/>
      <c r="Q9" s="1284">
        <f t="shared" si="0"/>
        <v>11763.000980418101</v>
      </c>
      <c r="R9" s="1302">
        <f t="shared" si="2"/>
        <v>116.09791740765</v>
      </c>
      <c r="S9" s="1306">
        <f>E6*0.005*L9</f>
        <v>116.09791740765</v>
      </c>
      <c r="T9" s="1302"/>
      <c r="U9" s="1307"/>
      <c r="V9" s="1308" t="s">
        <v>337</v>
      </c>
      <c r="W9" s="1308"/>
      <c r="X9" s="1293"/>
      <c r="Y9" s="1293"/>
      <c r="Z9" s="1308"/>
      <c r="AA9" s="1308"/>
      <c r="AB9" s="1308"/>
      <c r="AC9" s="1308"/>
      <c r="AD9" s="1308"/>
      <c r="AE9" s="1308"/>
      <c r="AF9" s="1308"/>
      <c r="AG9" s="1309"/>
      <c r="AH9" s="1309"/>
      <c r="AI9" s="1309"/>
    </row>
    <row r="10" spans="1:35" s="1249" customFormat="1" ht="14.1" customHeight="1">
      <c r="A10" s="1295">
        <v>5</v>
      </c>
      <c r="B10" s="1760"/>
      <c r="C10" s="1300" t="s">
        <v>45</v>
      </c>
      <c r="D10" s="1301"/>
      <c r="E10" s="1302"/>
      <c r="F10" s="1302"/>
      <c r="G10" s="1302"/>
      <c r="H10" s="1303"/>
      <c r="I10" s="1302"/>
      <c r="J10" s="1302"/>
      <c r="K10" s="1302"/>
      <c r="L10" s="1304"/>
      <c r="M10" s="1302"/>
      <c r="N10" s="1302"/>
      <c r="O10" s="1302">
        <f>留修员!M37</f>
        <v>5342.8</v>
      </c>
      <c r="P10" s="1305"/>
      <c r="Q10" s="1284">
        <f t="shared" si="0"/>
        <v>5342.8</v>
      </c>
      <c r="R10" s="1302">
        <f t="shared" si="2"/>
        <v>281.2</v>
      </c>
      <c r="S10" s="1306">
        <f>留修员!L37</f>
        <v>281.2</v>
      </c>
      <c r="T10" s="1302"/>
      <c r="U10" s="1307"/>
      <c r="V10" s="1308" t="s">
        <v>337</v>
      </c>
      <c r="W10" s="1308">
        <f t="shared" si="1"/>
        <v>0</v>
      </c>
      <c r="X10" s="1293">
        <f>INDEX('05月提成-武侯售后'!K:K,MATCH(C10,'05月提成-武侯售后'!C:C,0))-Q10</f>
        <v>0</v>
      </c>
      <c r="Y10" s="1293"/>
      <c r="Z10" s="1308"/>
      <c r="AA10" s="1308"/>
      <c r="AB10" s="1308"/>
      <c r="AC10" s="1308"/>
      <c r="AD10" s="1308"/>
      <c r="AE10" s="1308"/>
      <c r="AF10" s="1308"/>
      <c r="AG10" s="1309"/>
      <c r="AH10" s="1309"/>
      <c r="AI10" s="1309"/>
    </row>
    <row r="11" spans="1:35" s="1249" customFormat="1" ht="14.1" customHeight="1">
      <c r="A11" s="1298">
        <v>6</v>
      </c>
      <c r="B11" s="1760"/>
      <c r="C11" s="1300" t="s">
        <v>213</v>
      </c>
      <c r="D11" s="1301"/>
      <c r="E11" s="1302"/>
      <c r="F11" s="1302"/>
      <c r="G11" s="1302"/>
      <c r="H11" s="1303"/>
      <c r="I11" s="1302"/>
      <c r="J11" s="1302"/>
      <c r="K11" s="1302"/>
      <c r="L11" s="1304"/>
      <c r="M11" s="1302"/>
      <c r="N11" s="1302"/>
      <c r="O11" s="1302">
        <f>留修员!K38</f>
        <v>6232</v>
      </c>
      <c r="P11" s="1305"/>
      <c r="Q11" s="1284">
        <f t="shared" si="0"/>
        <v>6232</v>
      </c>
      <c r="R11" s="1302">
        <f t="shared" si="2"/>
        <v>311.60000000000002</v>
      </c>
      <c r="S11" s="1306">
        <f>留修员!L38</f>
        <v>311.60000000000002</v>
      </c>
      <c r="T11" s="1302"/>
      <c r="U11" s="1307"/>
      <c r="V11" s="1308" t="s">
        <v>337</v>
      </c>
      <c r="W11" s="1308"/>
      <c r="X11" s="1293"/>
      <c r="Y11" s="1293"/>
      <c r="Z11" s="1308"/>
      <c r="AA11" s="1308"/>
      <c r="AB11" s="1308"/>
      <c r="AC11" s="1308"/>
      <c r="AD11" s="1308"/>
      <c r="AE11" s="1308"/>
      <c r="AF11" s="1308"/>
      <c r="AG11" s="1309"/>
      <c r="AH11" s="1309"/>
      <c r="AI11" s="1309"/>
    </row>
    <row r="12" spans="1:35" s="1249" customFormat="1" ht="14.1" customHeight="1">
      <c r="A12" s="1295">
        <v>7</v>
      </c>
      <c r="B12" s="1760"/>
      <c r="C12" s="1300" t="s">
        <v>221</v>
      </c>
      <c r="D12" s="1301"/>
      <c r="E12" s="1302"/>
      <c r="F12" s="1302"/>
      <c r="G12" s="1302"/>
      <c r="H12" s="1303"/>
      <c r="I12" s="1302"/>
      <c r="J12" s="1302"/>
      <c r="K12" s="1302"/>
      <c r="L12" s="1304"/>
      <c r="M12" s="1302"/>
      <c r="N12" s="1302">
        <f>2000</f>
        <v>2000</v>
      </c>
      <c r="O12" s="1302">
        <f>((E5-I5)*L12*0.95)</f>
        <v>0</v>
      </c>
      <c r="P12" s="1305"/>
      <c r="Q12" s="1284">
        <f t="shared" si="0"/>
        <v>2000</v>
      </c>
      <c r="R12" s="1302">
        <f t="shared" si="2"/>
        <v>83.33</v>
      </c>
      <c r="S12" s="1306">
        <v>83.33</v>
      </c>
      <c r="T12" s="1302"/>
      <c r="U12" s="1307"/>
      <c r="V12" s="1308" t="s">
        <v>337</v>
      </c>
      <c r="W12" s="1308">
        <f t="shared" si="1"/>
        <v>0</v>
      </c>
      <c r="X12" s="1293" t="e">
        <f>INDEX('05月提成-武侯售后'!K:K,MATCH(C12,'05月提成-武侯售后'!C:C,0))-Q12</f>
        <v>#N/A</v>
      </c>
      <c r="Y12" s="1293"/>
      <c r="Z12" s="1308"/>
      <c r="AA12" s="1308"/>
      <c r="AB12" s="1308"/>
      <c r="AC12" s="1308"/>
      <c r="AD12" s="1308"/>
      <c r="AE12" s="1308"/>
      <c r="AF12" s="1308"/>
      <c r="AG12" s="1309"/>
      <c r="AH12" s="1309"/>
      <c r="AI12" s="1309"/>
    </row>
    <row r="13" spans="1:35" s="1249" customFormat="1" ht="14.1" customHeight="1">
      <c r="A13" s="1298">
        <v>8</v>
      </c>
      <c r="B13" s="1760"/>
      <c r="C13" s="1300" t="s">
        <v>47</v>
      </c>
      <c r="D13" s="1301"/>
      <c r="E13" s="1302"/>
      <c r="F13" s="1302"/>
      <c r="G13" s="1302"/>
      <c r="H13" s="1303"/>
      <c r="I13" s="1302"/>
      <c r="J13" s="1302">
        <f>E4-I4</f>
        <v>5095516.9938999899</v>
      </c>
      <c r="K13" s="1302"/>
      <c r="L13" s="1304">
        <v>1E-3</v>
      </c>
      <c r="M13" s="1302"/>
      <c r="N13" s="1302"/>
      <c r="O13" s="1302">
        <f>((E6-I6)*L13*0.95)</f>
        <v>6482.6133477049898</v>
      </c>
      <c r="P13" s="1305"/>
      <c r="Q13" s="1284">
        <f t="shared" si="0"/>
        <v>6482.6133477049898</v>
      </c>
      <c r="R13" s="1302">
        <f t="shared" si="2"/>
        <v>86.414326500000101</v>
      </c>
      <c r="S13" s="1306">
        <f>(E5-I5)*L13*0.05</f>
        <v>86.414326500000101</v>
      </c>
      <c r="T13" s="1302"/>
      <c r="U13" s="1307"/>
      <c r="V13" s="1308" t="s">
        <v>337</v>
      </c>
      <c r="W13" s="1308">
        <f t="shared" ref="W13:W18" si="3">N13+O13-Q13</f>
        <v>0</v>
      </c>
      <c r="X13" s="1293">
        <f>INDEX('05月提成-武侯售后'!K:K,MATCH(C13,'05月提成-武侯售后'!C:C,0))-Q13</f>
        <v>0</v>
      </c>
      <c r="Y13" s="1293"/>
      <c r="Z13" s="1308"/>
      <c r="AA13" s="1308"/>
      <c r="AB13" s="1308"/>
      <c r="AC13" s="1308"/>
      <c r="AD13" s="1308"/>
      <c r="AE13" s="1308"/>
      <c r="AF13" s="1308"/>
      <c r="AG13" s="1309"/>
      <c r="AH13" s="1309"/>
      <c r="AI13" s="1309"/>
    </row>
    <row r="14" spans="1:35" s="1248" customFormat="1" ht="14.1" customHeight="1">
      <c r="A14" s="1298"/>
      <c r="B14" s="1310"/>
      <c r="C14" s="1311" t="s">
        <v>232</v>
      </c>
      <c r="D14" s="1312"/>
      <c r="E14" s="1313"/>
      <c r="F14" s="1313"/>
      <c r="G14" s="1313"/>
      <c r="H14" s="1314"/>
      <c r="I14" s="1313"/>
      <c r="J14" s="1313"/>
      <c r="K14" s="1313"/>
      <c r="L14" s="1313"/>
      <c r="M14" s="1313">
        <f>SUM(M4:M8)</f>
        <v>0</v>
      </c>
      <c r="N14" s="1313">
        <f>SUM(N4:N8)</f>
        <v>0</v>
      </c>
      <c r="O14" s="1313">
        <f t="shared" ref="O14:T14" si="4">SUM(O4:O13)</f>
        <v>60309.826200789801</v>
      </c>
      <c r="P14" s="1313">
        <f t="shared" si="4"/>
        <v>0</v>
      </c>
      <c r="Q14" s="1313">
        <f t="shared" si="4"/>
        <v>62309.826200789801</v>
      </c>
      <c r="R14" s="1313">
        <f t="shared" si="4"/>
        <v>1708.72871790765</v>
      </c>
      <c r="S14" s="1315">
        <f t="shared" si="4"/>
        <v>1708.72871790765</v>
      </c>
      <c r="T14" s="1313">
        <f t="shared" si="4"/>
        <v>0</v>
      </c>
      <c r="U14" s="1291"/>
      <c r="V14" s="1293"/>
      <c r="W14" s="1293">
        <f t="shared" si="3"/>
        <v>-2000</v>
      </c>
      <c r="X14" s="1293">
        <f>INDEX('05月提成-武侯售后'!K:K,MATCH(C14,'05月提成-武侯售后'!C:C,0))-Q14</f>
        <v>-31046.828553705</v>
      </c>
      <c r="Y14" s="1293"/>
      <c r="Z14" s="1293"/>
      <c r="AA14" s="1293"/>
      <c r="AB14" s="1293"/>
      <c r="AC14" s="1293"/>
      <c r="AD14" s="1293"/>
      <c r="AE14" s="1293"/>
      <c r="AF14" s="1293"/>
      <c r="AG14" s="1268"/>
      <c r="AH14" s="1268"/>
      <c r="AI14" s="1268"/>
    </row>
    <row r="15" spans="1:35" s="1248" customFormat="1" ht="14.1" customHeight="1">
      <c r="A15" s="1298">
        <f>A13+1</f>
        <v>9</v>
      </c>
      <c r="B15" s="1761" t="s">
        <v>42</v>
      </c>
      <c r="C15" s="616" t="s">
        <v>41</v>
      </c>
      <c r="D15" s="1283"/>
      <c r="E15" s="1302"/>
      <c r="F15" s="1289"/>
      <c r="G15" s="1284"/>
      <c r="H15" s="1286"/>
      <c r="I15" s="1284"/>
      <c r="J15" s="1284"/>
      <c r="K15" s="1284"/>
      <c r="L15" s="1317">
        <v>1.8000000000000001E-4</v>
      </c>
      <c r="M15" s="1288"/>
      <c r="N15" s="1302">
        <v>5100</v>
      </c>
      <c r="O15" s="1302">
        <f>($E$6-$I$6)*L15</f>
        <v>1228.2846343020001</v>
      </c>
      <c r="P15" s="1284">
        <f>-N15/30*Y15</f>
        <v>0</v>
      </c>
      <c r="Q15" s="1284">
        <f>(N15+O15+M15+P15)</f>
        <v>6328.2846343020001</v>
      </c>
      <c r="R15" s="1302">
        <f>SUM(S15:T15)</f>
        <v>416.66666666666703</v>
      </c>
      <c r="S15" s="1306">
        <f>5000/12</f>
        <v>416.66666666666703</v>
      </c>
      <c r="T15" s="1284"/>
      <c r="U15" s="1291"/>
      <c r="V15" s="1293"/>
      <c r="W15" s="1293">
        <f t="shared" si="3"/>
        <v>0</v>
      </c>
      <c r="X15" s="1293">
        <f>INDEX('05月提成-武侯售后'!K:K,MATCH(C15,'05月提成-武侯售后'!C:C,0))-Q15</f>
        <v>0</v>
      </c>
      <c r="Y15" s="1293"/>
      <c r="Z15" s="1293"/>
      <c r="AA15" s="1293"/>
      <c r="AB15" s="1293"/>
      <c r="AC15" s="1293"/>
      <c r="AD15" s="1293"/>
      <c r="AE15" s="1293"/>
      <c r="AF15" s="1293"/>
      <c r="AG15" s="1268"/>
      <c r="AH15" s="1268"/>
      <c r="AI15" s="1268"/>
    </row>
    <row r="16" spans="1:35" s="1248" customFormat="1" ht="14.1" customHeight="1">
      <c r="A16" s="1298">
        <f>A15+1</f>
        <v>10</v>
      </c>
      <c r="B16" s="1761"/>
      <c r="C16" s="1318" t="s">
        <v>43</v>
      </c>
      <c r="D16" s="1283"/>
      <c r="E16" s="1289"/>
      <c r="F16" s="1289"/>
      <c r="G16" s="1284"/>
      <c r="H16" s="1286"/>
      <c r="I16" s="1284"/>
      <c r="J16" s="1284"/>
      <c r="K16" s="1284"/>
      <c r="L16" s="1317">
        <v>2.0000000000000001E-4</v>
      </c>
      <c r="M16" s="1288">
        <v>600</v>
      </c>
      <c r="N16" s="1302">
        <f>2500</f>
        <v>2500</v>
      </c>
      <c r="O16" s="1302">
        <f>($E$6-$I$6)*L16</f>
        <v>1364.76070478</v>
      </c>
      <c r="P16" s="1288"/>
      <c r="Q16" s="1284">
        <f>(N16+O16+M16+P16)</f>
        <v>4464.7607047800002</v>
      </c>
      <c r="R16" s="1284">
        <f>SUM(S16:T16)</f>
        <v>216.666666666667</v>
      </c>
      <c r="S16" s="1290">
        <f t="shared" ref="S16:S18" si="5">2600/12</f>
        <v>216.666666666667</v>
      </c>
      <c r="T16" s="1284"/>
      <c r="U16" s="1291"/>
      <c r="V16" s="1293"/>
      <c r="W16" s="1293">
        <f t="shared" si="3"/>
        <v>-600</v>
      </c>
      <c r="X16" s="1293">
        <f>INDEX('05月提成-武侯售后'!K:K,MATCH(C16,'05月提成-武侯售后'!C:C,0))-Q16</f>
        <v>0</v>
      </c>
      <c r="Y16" s="1293"/>
      <c r="Z16" s="1293"/>
      <c r="AA16" s="1293"/>
      <c r="AB16" s="1293"/>
      <c r="AC16" s="1293"/>
      <c r="AD16" s="1293"/>
      <c r="AE16" s="1293"/>
      <c r="AF16" s="1293"/>
      <c r="AG16" s="1268"/>
      <c r="AH16" s="1268"/>
      <c r="AI16" s="1268"/>
    </row>
    <row r="17" spans="1:35" s="1248" customFormat="1" ht="14.1" customHeight="1">
      <c r="A17" s="1298">
        <v>13</v>
      </c>
      <c r="B17" s="1761"/>
      <c r="C17" s="1318" t="s">
        <v>44</v>
      </c>
      <c r="D17" s="1283"/>
      <c r="E17" s="1289"/>
      <c r="F17" s="1289"/>
      <c r="G17" s="1284"/>
      <c r="H17" s="1286"/>
      <c r="I17" s="1284"/>
      <c r="J17" s="1284"/>
      <c r="K17" s="1284"/>
      <c r="L17" s="1317">
        <v>2.5000000000000001E-4</v>
      </c>
      <c r="M17" s="1288"/>
      <c r="N17" s="1302">
        <v>2500</v>
      </c>
      <c r="O17" s="1302">
        <f>($E$4-$I$6)*L17+$I$6*0.00025</f>
        <v>1717.887300975</v>
      </c>
      <c r="P17" s="1284">
        <f>-N17/30*Y17</f>
        <v>0</v>
      </c>
      <c r="Q17" s="1284">
        <f>(N17+O17+M17+P17)</f>
        <v>4217.8873009749996</v>
      </c>
      <c r="R17" s="1284">
        <f>SUM(S17:T17)</f>
        <v>216.666666666667</v>
      </c>
      <c r="S17" s="1290">
        <f t="shared" si="5"/>
        <v>216.666666666667</v>
      </c>
      <c r="T17" s="1284"/>
      <c r="U17" s="1291"/>
      <c r="V17" s="1293"/>
      <c r="W17" s="1293">
        <f t="shared" si="3"/>
        <v>0</v>
      </c>
      <c r="X17" s="1293">
        <f>INDEX('05月提成-武侯售后'!K:K,MATCH(C17,'05月提成-武侯售后'!C:C,0))-Q17</f>
        <v>0</v>
      </c>
      <c r="Y17" s="1293"/>
      <c r="Z17" s="1293"/>
      <c r="AA17" s="1293"/>
      <c r="AB17" s="1293"/>
      <c r="AC17" s="1293"/>
      <c r="AD17" s="1293"/>
      <c r="AE17" s="1293"/>
      <c r="AF17" s="1293"/>
      <c r="AG17" s="1268"/>
      <c r="AH17" s="1268"/>
      <c r="AI17" s="1268"/>
    </row>
    <row r="18" spans="1:35" s="1248" customFormat="1" ht="14.1" customHeight="1">
      <c r="A18" s="1298">
        <f>A17+1</f>
        <v>14</v>
      </c>
      <c r="B18" s="1761"/>
      <c r="C18" s="1318" t="s">
        <v>198</v>
      </c>
      <c r="D18" s="1283"/>
      <c r="E18" s="1289"/>
      <c r="F18" s="1289"/>
      <c r="G18" s="1284"/>
      <c r="H18" s="1286"/>
      <c r="I18" s="1284"/>
      <c r="J18" s="1284"/>
      <c r="K18" s="1284"/>
      <c r="L18" s="1317">
        <v>8.9999999999999998E-4</v>
      </c>
      <c r="M18" s="1288"/>
      <c r="N18" s="1302">
        <v>2300</v>
      </c>
      <c r="O18" s="1302">
        <f>(($E$5-$I$5)*L18+L18*E18)</f>
        <v>1555.4578770000001</v>
      </c>
      <c r="P18" s="1284">
        <f>-N18/30*Y18</f>
        <v>0</v>
      </c>
      <c r="Q18" s="1284">
        <f>(N18+O18+M18+P18)</f>
        <v>3855.4578769999998</v>
      </c>
      <c r="R18" s="1284">
        <f>SUM(S18:T18)</f>
        <v>216.666666666667</v>
      </c>
      <c r="S18" s="1290">
        <f t="shared" si="5"/>
        <v>216.666666666667</v>
      </c>
      <c r="T18" s="1284"/>
      <c r="U18" s="1291"/>
      <c r="V18" s="1293"/>
      <c r="W18" s="1293">
        <f t="shared" si="3"/>
        <v>0</v>
      </c>
      <c r="X18" s="1293" t="e">
        <f>INDEX('05月提成-武侯售后'!K:K,MATCH(C18,'05月提成-武侯售后'!C:C,0))-Q18</f>
        <v>#N/A</v>
      </c>
      <c r="Y18" s="1293"/>
      <c r="Z18" s="1293"/>
      <c r="AA18" s="1293"/>
      <c r="AB18" s="1293"/>
      <c r="AC18" s="1293"/>
      <c r="AD18" s="1293"/>
      <c r="AE18" s="1293"/>
      <c r="AF18" s="1293"/>
      <c r="AG18" s="1268"/>
      <c r="AH18" s="1268"/>
      <c r="AI18" s="1268"/>
    </row>
    <row r="19" spans="1:35" s="1248" customFormat="1" ht="14.1" customHeight="1">
      <c r="A19" s="1298"/>
      <c r="B19" s="1761"/>
      <c r="C19" s="1311" t="s">
        <v>232</v>
      </c>
      <c r="D19" s="1312"/>
      <c r="E19" s="1313"/>
      <c r="F19" s="1313"/>
      <c r="G19" s="1313"/>
      <c r="H19" s="1314"/>
      <c r="I19" s="1313"/>
      <c r="J19" s="1313"/>
      <c r="K19" s="1313"/>
      <c r="L19" s="1319">
        <f t="shared" ref="L19:T19" si="6">SUM(L15:L18)</f>
        <v>1.5299999999999999E-3</v>
      </c>
      <c r="M19" s="1313">
        <f t="shared" si="6"/>
        <v>600</v>
      </c>
      <c r="N19" s="1313">
        <f t="shared" si="6"/>
        <v>12400</v>
      </c>
      <c r="O19" s="1313">
        <f t="shared" si="6"/>
        <v>5866.3905170569897</v>
      </c>
      <c r="P19" s="1313">
        <f t="shared" si="6"/>
        <v>0</v>
      </c>
      <c r="Q19" s="1313">
        <f t="shared" si="6"/>
        <v>18866.390517057</v>
      </c>
      <c r="R19" s="1313">
        <f t="shared" si="6"/>
        <v>1066.6666666666699</v>
      </c>
      <c r="S19" s="1315">
        <f t="shared" si="6"/>
        <v>1066.6666666666699</v>
      </c>
      <c r="T19" s="1313">
        <f t="shared" si="6"/>
        <v>0</v>
      </c>
      <c r="U19" s="1291"/>
      <c r="V19" s="1293"/>
      <c r="W19" s="1293">
        <f t="shared" ref="W19:W27" si="7">N19+O19-Q19</f>
        <v>-600.00000000000705</v>
      </c>
      <c r="X19" s="1293">
        <f>INDEX('05月提成-武侯售后'!K:K,MATCH(C19,'05月提成-武侯售后'!C:C,0))-Q19</f>
        <v>12396.6071300278</v>
      </c>
      <c r="Y19" s="1293"/>
      <c r="Z19" s="1293"/>
      <c r="AA19" s="1293"/>
      <c r="AB19" s="1293"/>
      <c r="AC19" s="1293"/>
      <c r="AD19" s="1293"/>
      <c r="AE19" s="1293"/>
      <c r="AF19" s="1293"/>
      <c r="AG19" s="1268"/>
      <c r="AH19" s="1268"/>
      <c r="AI19" s="1268"/>
    </row>
    <row r="20" spans="1:35" s="1248" customFormat="1" ht="14.1" customHeight="1">
      <c r="A20" s="1298">
        <f>A18+1</f>
        <v>15</v>
      </c>
      <c r="B20" s="1759" t="s">
        <v>338</v>
      </c>
      <c r="C20" s="616" t="s">
        <v>53</v>
      </c>
      <c r="D20" s="1283"/>
      <c r="E20" s="1284"/>
      <c r="F20" s="1284"/>
      <c r="G20" s="1284"/>
      <c r="H20" s="1286"/>
      <c r="I20" s="1284"/>
      <c r="J20" s="1284"/>
      <c r="K20" s="1284"/>
      <c r="L20" s="1284"/>
      <c r="M20" s="1284"/>
      <c r="N20" s="1302"/>
      <c r="O20" s="1320">
        <f>SUMIF(回访提成方案!S:S,C20,回访提成方案!T:T)</f>
        <v>4387</v>
      </c>
      <c r="P20" s="1321"/>
      <c r="Q20" s="1302">
        <f t="shared" ref="Q20:Q27" si="8">(N20+O20+M20+P20)</f>
        <v>4387</v>
      </c>
      <c r="R20" s="1302">
        <f t="shared" ref="R20:R27" si="9">SUM(S20:T20)</f>
        <v>83.34</v>
      </c>
      <c r="S20" s="1306">
        <v>83.34</v>
      </c>
      <c r="T20" s="1284"/>
      <c r="U20" s="1291"/>
      <c r="V20" s="1322"/>
      <c r="W20" s="1293">
        <f t="shared" si="7"/>
        <v>0</v>
      </c>
      <c r="X20" s="1293">
        <f>INDEX('05月提成-武侯售后'!K:K,MATCH(C20,'05月提成-武侯售后'!C:C,0))-Q20</f>
        <v>0</v>
      </c>
      <c r="Y20" s="1293"/>
      <c r="Z20" s="1293"/>
      <c r="AA20" s="1293"/>
      <c r="AB20" s="1293"/>
      <c r="AC20" s="1293"/>
      <c r="AD20" s="1293"/>
      <c r="AE20" s="1293"/>
      <c r="AF20" s="1293"/>
      <c r="AG20" s="1268"/>
      <c r="AH20" s="1268"/>
      <c r="AI20" s="1268"/>
    </row>
    <row r="21" spans="1:35" s="1248" customFormat="1" ht="14.1" customHeight="1">
      <c r="A21" s="1298">
        <f>A20+1</f>
        <v>16</v>
      </c>
      <c r="B21" s="1759"/>
      <c r="C21" s="616" t="s">
        <v>55</v>
      </c>
      <c r="D21" s="1283"/>
      <c r="E21" s="1284"/>
      <c r="F21" s="1284"/>
      <c r="G21" s="1284"/>
      <c r="H21" s="1286"/>
      <c r="I21" s="1284"/>
      <c r="J21" s="1284"/>
      <c r="K21" s="1284"/>
      <c r="L21" s="1284"/>
      <c r="M21" s="1284"/>
      <c r="N21" s="1302"/>
      <c r="O21" s="1320">
        <f>SUMIF(回访提成方案!S:S,C21,回访提成方案!T:T)</f>
        <v>5244</v>
      </c>
      <c r="P21" s="1321"/>
      <c r="Q21" s="1302">
        <f t="shared" si="8"/>
        <v>5244</v>
      </c>
      <c r="R21" s="1302">
        <f t="shared" si="9"/>
        <v>83.34</v>
      </c>
      <c r="S21" s="1306">
        <v>83.34</v>
      </c>
      <c r="T21" s="1284"/>
      <c r="U21" s="1291"/>
      <c r="V21" s="1322"/>
      <c r="W21" s="1293">
        <f t="shared" si="7"/>
        <v>0</v>
      </c>
      <c r="X21" s="1293">
        <f>INDEX('05月提成-武侯售后'!K:K,MATCH(C21,'05月提成-武侯售后'!C:C,0))-Q21</f>
        <v>0</v>
      </c>
      <c r="Y21" s="1293"/>
      <c r="Z21" s="1293"/>
      <c r="AA21" s="1293"/>
      <c r="AB21" s="1293"/>
      <c r="AC21" s="1293"/>
      <c r="AD21" s="1293"/>
      <c r="AE21" s="1293"/>
      <c r="AF21" s="1293"/>
      <c r="AG21" s="1268"/>
      <c r="AH21" s="1268"/>
      <c r="AI21" s="1268"/>
    </row>
    <row r="22" spans="1:35" s="1248" customFormat="1" ht="14.1" customHeight="1">
      <c r="A22" s="1298">
        <f>A20+1</f>
        <v>16</v>
      </c>
      <c r="B22" s="1759"/>
      <c r="C22" s="616" t="s">
        <v>54</v>
      </c>
      <c r="D22" s="1283"/>
      <c r="E22" s="1284"/>
      <c r="F22" s="1284"/>
      <c r="G22" s="1284"/>
      <c r="H22" s="1286"/>
      <c r="I22" s="1284"/>
      <c r="J22" s="1284"/>
      <c r="K22" s="1284"/>
      <c r="L22" s="1284"/>
      <c r="M22" s="1284"/>
      <c r="N22" s="1302"/>
      <c r="O22" s="1320">
        <f>SUMIF(回访提成方案!S:S,C22,回访提成方案!T:T)</f>
        <v>3868</v>
      </c>
      <c r="P22" s="1321"/>
      <c r="Q22" s="1302">
        <f t="shared" si="8"/>
        <v>3868</v>
      </c>
      <c r="R22" s="1302">
        <f t="shared" si="9"/>
        <v>83.34</v>
      </c>
      <c r="S22" s="1306">
        <v>83.34</v>
      </c>
      <c r="T22" s="1284"/>
      <c r="U22" s="1291"/>
      <c r="V22" s="1322"/>
      <c r="W22" s="1293">
        <f t="shared" si="7"/>
        <v>0</v>
      </c>
      <c r="X22" s="1293">
        <f>INDEX('05月提成-武侯售后'!K:K,MATCH(C22,'05月提成-武侯售后'!C:C,0))-Q22</f>
        <v>0</v>
      </c>
      <c r="Y22" s="1293"/>
      <c r="Z22" s="1293"/>
      <c r="AA22" s="1293"/>
      <c r="AB22" s="1293"/>
      <c r="AC22" s="1293"/>
      <c r="AD22" s="1293"/>
      <c r="AE22" s="1293"/>
      <c r="AF22" s="1293"/>
      <c r="AG22" s="1268"/>
      <c r="AH22" s="1268"/>
      <c r="AI22" s="1268"/>
    </row>
    <row r="23" spans="1:35" s="1248" customFormat="1" ht="14.1" customHeight="1">
      <c r="A23" s="1298">
        <f>A22+1</f>
        <v>17</v>
      </c>
      <c r="B23" s="1759"/>
      <c r="C23" s="616" t="s">
        <v>57</v>
      </c>
      <c r="D23" s="1283"/>
      <c r="E23" s="1284"/>
      <c r="F23" s="1284"/>
      <c r="G23" s="1284"/>
      <c r="H23" s="1286"/>
      <c r="I23" s="1284"/>
      <c r="J23" s="1284"/>
      <c r="K23" s="1284"/>
      <c r="L23" s="1284"/>
      <c r="M23" s="1284"/>
      <c r="N23" s="1302"/>
      <c r="O23" s="1320">
        <f>SUMIF(回访提成方案!S:S,C23,回访提成方案!T:T)</f>
        <v>5058</v>
      </c>
      <c r="P23" s="1321"/>
      <c r="Q23" s="1302">
        <f t="shared" si="8"/>
        <v>5058</v>
      </c>
      <c r="R23" s="1302">
        <f t="shared" si="9"/>
        <v>83.34</v>
      </c>
      <c r="S23" s="1306">
        <v>83.34</v>
      </c>
      <c r="T23" s="1284"/>
      <c r="U23" s="1291"/>
      <c r="V23" s="1322"/>
      <c r="W23" s="1293">
        <f t="shared" si="7"/>
        <v>0</v>
      </c>
      <c r="X23" s="1293">
        <f>INDEX('05月提成-武侯售后'!K:K,MATCH(C23,'05月提成-武侯售后'!C:C,0))-Q23</f>
        <v>0</v>
      </c>
      <c r="Y23" s="1293"/>
      <c r="Z23" s="1293"/>
      <c r="AA23" s="1293"/>
      <c r="AB23" s="1293"/>
      <c r="AC23" s="1293"/>
      <c r="AD23" s="1293"/>
      <c r="AE23" s="1293"/>
      <c r="AF23" s="1293"/>
      <c r="AG23" s="1268"/>
      <c r="AH23" s="1268"/>
      <c r="AI23" s="1268"/>
    </row>
    <row r="24" spans="1:35" s="1248" customFormat="1" ht="14.1" customHeight="1">
      <c r="A24" s="1298">
        <f>A22+1</f>
        <v>17</v>
      </c>
      <c r="B24" s="1759"/>
      <c r="C24" s="616" t="s">
        <v>58</v>
      </c>
      <c r="D24" s="1283"/>
      <c r="E24" s="1284"/>
      <c r="F24" s="1284"/>
      <c r="G24" s="1284"/>
      <c r="H24" s="1286"/>
      <c r="I24" s="1284"/>
      <c r="J24" s="1284"/>
      <c r="K24" s="1284"/>
      <c r="L24" s="1284"/>
      <c r="M24" s="1284"/>
      <c r="N24" s="1302"/>
      <c r="O24" s="1320">
        <f>SUMIF(回访提成方案!S:S,C24,回访提成方案!T:T)</f>
        <v>4773</v>
      </c>
      <c r="P24" s="1323"/>
      <c r="Q24" s="1302">
        <f t="shared" si="8"/>
        <v>4773</v>
      </c>
      <c r="R24" s="1302">
        <f t="shared" si="9"/>
        <v>83.34</v>
      </c>
      <c r="S24" s="1306">
        <v>83.34</v>
      </c>
      <c r="T24" s="1284"/>
      <c r="U24" s="1291"/>
      <c r="V24" s="1322"/>
      <c r="W24" s="1293">
        <f t="shared" si="7"/>
        <v>0</v>
      </c>
      <c r="X24" s="1293">
        <f>INDEX('05月提成-武侯售后'!K:K,MATCH(C24,'05月提成-武侯售后'!C:C,0))-Q24</f>
        <v>0</v>
      </c>
      <c r="Y24" s="1293"/>
      <c r="Z24" s="1293"/>
      <c r="AA24" s="1293"/>
      <c r="AB24" s="1293"/>
      <c r="AC24" s="1293"/>
      <c r="AD24" s="1293"/>
      <c r="AE24" s="1293"/>
      <c r="AF24" s="1293"/>
      <c r="AG24" s="1268"/>
      <c r="AH24" s="1268"/>
      <c r="AI24" s="1268"/>
    </row>
    <row r="25" spans="1:35" s="1248" customFormat="1" ht="14.1" customHeight="1">
      <c r="A25" s="1298">
        <f>A24+1</f>
        <v>18</v>
      </c>
      <c r="B25" s="1759"/>
      <c r="C25" s="616" t="s">
        <v>59</v>
      </c>
      <c r="D25" s="1283"/>
      <c r="E25" s="1284"/>
      <c r="F25" s="1284"/>
      <c r="G25" s="1284"/>
      <c r="H25" s="1286"/>
      <c r="I25" s="1284"/>
      <c r="J25" s="1284"/>
      <c r="K25" s="1284"/>
      <c r="L25" s="1284"/>
      <c r="M25" s="1284"/>
      <c r="N25" s="1302"/>
      <c r="O25" s="1320">
        <f>SUMIF(回访提成方案!S:S,C25,回访提成方案!T:T)</f>
        <v>4010</v>
      </c>
      <c r="P25" s="1323"/>
      <c r="Q25" s="1302">
        <f t="shared" si="8"/>
        <v>4010</v>
      </c>
      <c r="R25" s="1302">
        <f t="shared" si="9"/>
        <v>83.34</v>
      </c>
      <c r="S25" s="1306">
        <v>83.34</v>
      </c>
      <c r="T25" s="1284"/>
      <c r="U25" s="1291"/>
      <c r="V25" s="1322"/>
      <c r="W25" s="1293">
        <f t="shared" si="7"/>
        <v>0</v>
      </c>
      <c r="X25" s="1293">
        <f>INDEX('05月提成-武侯售后'!K:K,MATCH(C25,'05月提成-武侯售后'!C:C,0))-Q25</f>
        <v>0</v>
      </c>
      <c r="Y25" s="1293"/>
      <c r="Z25" s="1293"/>
      <c r="AA25" s="1293"/>
      <c r="AB25" s="1293"/>
      <c r="AC25" s="1293"/>
      <c r="AD25" s="1293"/>
      <c r="AE25" s="1293"/>
      <c r="AF25" s="1293"/>
      <c r="AG25" s="1268"/>
      <c r="AH25" s="1268"/>
      <c r="AI25" s="1268"/>
    </row>
    <row r="26" spans="1:35" s="1248" customFormat="1" ht="14.1" customHeight="1">
      <c r="A26" s="1298">
        <f>A24+1</f>
        <v>18</v>
      </c>
      <c r="B26" s="1759"/>
      <c r="C26" s="616" t="s">
        <v>220</v>
      </c>
      <c r="D26" s="1283"/>
      <c r="E26" s="1284"/>
      <c r="F26" s="1284"/>
      <c r="G26" s="1284"/>
      <c r="H26" s="1286"/>
      <c r="I26" s="1284"/>
      <c r="J26" s="1284"/>
      <c r="K26" s="1284"/>
      <c r="L26" s="1284"/>
      <c r="M26" s="1284"/>
      <c r="N26" s="1302"/>
      <c r="O26" s="1320">
        <f>SUMIF(回访提成方案!S:S,C26,回访提成方案!T:T)</f>
        <v>8027</v>
      </c>
      <c r="P26" s="1323"/>
      <c r="Q26" s="1302">
        <f t="shared" si="8"/>
        <v>8027</v>
      </c>
      <c r="R26" s="1302">
        <f t="shared" si="9"/>
        <v>83.34</v>
      </c>
      <c r="S26" s="1306">
        <v>83.34</v>
      </c>
      <c r="T26" s="1284"/>
      <c r="U26" s="1291"/>
      <c r="V26" s="1322"/>
      <c r="W26" s="1293">
        <f t="shared" si="7"/>
        <v>0</v>
      </c>
      <c r="X26" s="1293" t="e">
        <f>INDEX('05月提成-武侯售后'!K:K,MATCH(C26,'05月提成-武侯售后'!C:C,0))-Q26</f>
        <v>#N/A</v>
      </c>
      <c r="Y26" s="1293"/>
      <c r="Z26" s="1293"/>
      <c r="AA26" s="1293"/>
      <c r="AB26" s="1293"/>
      <c r="AC26" s="1293"/>
      <c r="AD26" s="1293"/>
      <c r="AE26" s="1293"/>
      <c r="AF26" s="1293"/>
      <c r="AG26" s="1268"/>
      <c r="AH26" s="1268"/>
      <c r="AI26" s="1268"/>
    </row>
    <row r="27" spans="1:35" s="1248" customFormat="1" ht="14.1" customHeight="1">
      <c r="A27" s="1298">
        <f>A26+1</f>
        <v>19</v>
      </c>
      <c r="B27" s="1759"/>
      <c r="C27" s="616" t="s">
        <v>219</v>
      </c>
      <c r="D27" s="1283"/>
      <c r="E27" s="1284"/>
      <c r="F27" s="1284"/>
      <c r="G27" s="1284"/>
      <c r="H27" s="1286"/>
      <c r="I27" s="1284"/>
      <c r="J27" s="1284"/>
      <c r="K27" s="1284"/>
      <c r="L27" s="1284"/>
      <c r="M27" s="1284"/>
      <c r="N27" s="1302"/>
      <c r="O27" s="1320">
        <f>SUMIF(回访提成方案!S:S,C27,回访提成方案!T:T)</f>
        <v>5942</v>
      </c>
      <c r="P27" s="1323"/>
      <c r="Q27" s="1302">
        <f t="shared" si="8"/>
        <v>5942</v>
      </c>
      <c r="R27" s="1302">
        <f t="shared" si="9"/>
        <v>83.34</v>
      </c>
      <c r="S27" s="1306">
        <v>83.34</v>
      </c>
      <c r="T27" s="1284"/>
      <c r="U27" s="1291"/>
      <c r="V27" s="1322"/>
      <c r="W27" s="1293">
        <f t="shared" si="7"/>
        <v>0</v>
      </c>
      <c r="X27" s="1293" t="e">
        <f>INDEX('05月提成-武侯售后'!K:K,MATCH(C27,'05月提成-武侯售后'!C:C,0))-Q27</f>
        <v>#N/A</v>
      </c>
      <c r="Y27" s="1293"/>
      <c r="Z27" s="1293"/>
      <c r="AA27" s="1293"/>
      <c r="AB27" s="1293"/>
      <c r="AC27" s="1293"/>
      <c r="AD27" s="1293"/>
      <c r="AE27" s="1293"/>
      <c r="AF27" s="1293"/>
      <c r="AG27" s="1268"/>
      <c r="AH27" s="1268"/>
      <c r="AI27" s="1268"/>
    </row>
    <row r="28" spans="1:35" s="1248" customFormat="1" ht="14.1" customHeight="1">
      <c r="A28" s="1298"/>
      <c r="B28" s="1316"/>
      <c r="C28" s="1311" t="s">
        <v>232</v>
      </c>
      <c r="D28" s="1312"/>
      <c r="E28" s="1313"/>
      <c r="F28" s="1313"/>
      <c r="G28" s="1313"/>
      <c r="H28" s="1314"/>
      <c r="I28" s="1313"/>
      <c r="J28" s="1313"/>
      <c r="K28" s="1313"/>
      <c r="L28" s="1313">
        <f t="shared" ref="L28:T28" si="10">SUM(L20:L27)</f>
        <v>0</v>
      </c>
      <c r="M28" s="1313">
        <f t="shared" si="10"/>
        <v>0</v>
      </c>
      <c r="N28" s="1313">
        <f t="shared" si="10"/>
        <v>0</v>
      </c>
      <c r="O28" s="1313">
        <f t="shared" si="10"/>
        <v>41309</v>
      </c>
      <c r="P28" s="1313">
        <f t="shared" si="10"/>
        <v>0</v>
      </c>
      <c r="Q28" s="1313">
        <f t="shared" si="10"/>
        <v>41309</v>
      </c>
      <c r="R28" s="1313">
        <f t="shared" si="10"/>
        <v>666.72</v>
      </c>
      <c r="S28" s="1315">
        <f t="shared" si="10"/>
        <v>666.72</v>
      </c>
      <c r="T28" s="1313">
        <f t="shared" si="10"/>
        <v>0</v>
      </c>
      <c r="U28" s="1291"/>
      <c r="V28" s="1293"/>
      <c r="W28" s="1293">
        <f t="shared" ref="W28:W34" si="11">N28+O28-Q28</f>
        <v>0</v>
      </c>
      <c r="X28" s="1293">
        <f>INDEX('05月提成-武侯售后'!K:K,MATCH(C28,'05月提成-武侯售后'!C:C,0))-Q28</f>
        <v>-10046.0023529152</v>
      </c>
      <c r="Y28" s="1293"/>
      <c r="Z28" s="1293"/>
      <c r="AA28" s="1293"/>
      <c r="AB28" s="1293"/>
      <c r="AC28" s="1293"/>
      <c r="AD28" s="1293"/>
      <c r="AE28" s="1293"/>
      <c r="AF28" s="1293"/>
      <c r="AG28" s="1268"/>
      <c r="AH28" s="1268"/>
      <c r="AI28" s="1268"/>
    </row>
    <row r="29" spans="1:35" s="1248" customFormat="1" ht="15" customHeight="1">
      <c r="A29" s="1298">
        <v>20</v>
      </c>
      <c r="B29" s="1759" t="s">
        <v>83</v>
      </c>
      <c r="C29" s="616" t="s">
        <v>77</v>
      </c>
      <c r="D29" s="1283"/>
      <c r="E29" s="1284"/>
      <c r="F29" s="1284"/>
      <c r="G29" s="1284"/>
      <c r="H29" s="1286"/>
      <c r="I29" s="1284"/>
      <c r="J29" s="1284"/>
      <c r="K29" s="1284"/>
      <c r="L29" s="1284"/>
      <c r="M29" s="1284"/>
      <c r="N29" s="1302"/>
      <c r="O29" s="1320">
        <f>SUMIF('05保明细'!A:A,C29,'05保明细'!AD:AD)</f>
        <v>9870</v>
      </c>
      <c r="P29" s="1321"/>
      <c r="Q29" s="1302">
        <f t="shared" ref="Q29:Q34" si="12">(N29+O29+M29+P29)</f>
        <v>9870</v>
      </c>
      <c r="R29" s="1302">
        <f t="shared" ref="R29:R34" si="13">SUM(S29:T29)</f>
        <v>166.67</v>
      </c>
      <c r="S29" s="1306">
        <v>166.67</v>
      </c>
      <c r="T29" s="1284"/>
      <c r="U29" s="1291"/>
      <c r="V29" s="1322"/>
      <c r="W29" s="1293">
        <f t="shared" si="11"/>
        <v>0</v>
      </c>
      <c r="X29" s="1293">
        <f>INDEX('05月提成-武侯售后'!K:K,MATCH(C29,'05月提成-武侯售后'!C:C,0))-Q29</f>
        <v>0</v>
      </c>
      <c r="Y29" s="1293"/>
      <c r="Z29" s="1293"/>
      <c r="AA29" s="1293"/>
      <c r="AB29" s="1293"/>
      <c r="AC29" s="1293"/>
      <c r="AD29" s="1293"/>
      <c r="AE29" s="1293"/>
      <c r="AF29" s="1293"/>
      <c r="AG29" s="1268"/>
      <c r="AH29" s="1268"/>
      <c r="AI29" s="1268"/>
    </row>
    <row r="30" spans="1:35" s="1248" customFormat="1" ht="14.1" customHeight="1">
      <c r="A30" s="1298">
        <v>21</v>
      </c>
      <c r="B30" s="1760"/>
      <c r="C30" s="616" t="s">
        <v>78</v>
      </c>
      <c r="D30" s="1283"/>
      <c r="E30" s="1284"/>
      <c r="F30" s="1284"/>
      <c r="G30" s="1284"/>
      <c r="H30" s="1286"/>
      <c r="I30" s="1284"/>
      <c r="J30" s="1284"/>
      <c r="K30" s="1284"/>
      <c r="L30" s="1284"/>
      <c r="M30" s="1284"/>
      <c r="N30" s="1302"/>
      <c r="O30" s="1320">
        <f>SUMIF('05保明细'!A:A,C30,'05保明细'!AD:AD)</f>
        <v>7485</v>
      </c>
      <c r="P30" s="1321"/>
      <c r="Q30" s="1302">
        <f t="shared" si="12"/>
        <v>7485</v>
      </c>
      <c r="R30" s="1302">
        <f t="shared" si="13"/>
        <v>83.34</v>
      </c>
      <c r="S30" s="1306">
        <v>83.34</v>
      </c>
      <c r="T30" s="1284"/>
      <c r="U30" s="1291"/>
      <c r="V30" s="1322"/>
      <c r="W30" s="1293">
        <f t="shared" si="11"/>
        <v>0</v>
      </c>
      <c r="X30" s="1293">
        <f>INDEX('05月提成-武侯售后'!K:K,MATCH(C30,'05月提成-武侯售后'!C:C,0))-Q30</f>
        <v>0</v>
      </c>
      <c r="Y30" s="1293"/>
      <c r="Z30" s="1293"/>
      <c r="AA30" s="1293"/>
      <c r="AB30" s="1293"/>
      <c r="AC30" s="1293"/>
      <c r="AD30" s="1293"/>
      <c r="AE30" s="1293"/>
      <c r="AF30" s="1293"/>
      <c r="AG30" s="1268"/>
      <c r="AH30" s="1268"/>
      <c r="AI30" s="1268"/>
    </row>
    <row r="31" spans="1:35" s="1248" customFormat="1" ht="14.1" customHeight="1">
      <c r="A31" s="1298">
        <v>22</v>
      </c>
      <c r="B31" s="1760"/>
      <c r="C31" s="616" t="s">
        <v>80</v>
      </c>
      <c r="D31" s="1283"/>
      <c r="E31" s="1284"/>
      <c r="F31" s="1284"/>
      <c r="G31" s="1284"/>
      <c r="H31" s="1286"/>
      <c r="I31" s="1284"/>
      <c r="J31" s="1284"/>
      <c r="K31" s="1284"/>
      <c r="L31" s="1284"/>
      <c r="M31" s="1284"/>
      <c r="N31" s="1302"/>
      <c r="O31" s="1320">
        <f>SUMIF('05保明细'!A:A,C31,'05保明细'!AD:AD)</f>
        <v>18235</v>
      </c>
      <c r="P31" s="1321"/>
      <c r="Q31" s="1302">
        <f t="shared" si="12"/>
        <v>18235</v>
      </c>
      <c r="R31" s="1302">
        <f t="shared" si="13"/>
        <v>83.34</v>
      </c>
      <c r="S31" s="1306">
        <v>83.34</v>
      </c>
      <c r="T31" s="1284"/>
      <c r="U31" s="1291"/>
      <c r="V31" s="1322"/>
      <c r="W31" s="1293">
        <f t="shared" si="11"/>
        <v>0</v>
      </c>
      <c r="X31" s="1293">
        <f>INDEX('05月提成-武侯售后'!K:K,MATCH(C31,'05月提成-武侯售后'!C:C,0))-Q31</f>
        <v>0</v>
      </c>
      <c r="Y31" s="1293"/>
      <c r="Z31" s="1293"/>
      <c r="AA31" s="1293"/>
      <c r="AB31" s="1293"/>
      <c r="AC31" s="1293"/>
      <c r="AD31" s="1293"/>
      <c r="AE31" s="1293"/>
      <c r="AF31" s="1293"/>
      <c r="AG31" s="1268"/>
      <c r="AH31" s="1268"/>
      <c r="AI31" s="1268"/>
    </row>
    <row r="32" spans="1:35" s="1248" customFormat="1" ht="14.1" customHeight="1">
      <c r="A32" s="1298">
        <v>24</v>
      </c>
      <c r="B32" s="1760"/>
      <c r="C32" s="616" t="s">
        <v>79</v>
      </c>
      <c r="D32" s="1283"/>
      <c r="E32" s="1284"/>
      <c r="F32" s="1284"/>
      <c r="G32" s="1284"/>
      <c r="H32" s="1286"/>
      <c r="I32" s="1284"/>
      <c r="J32" s="1284"/>
      <c r="K32" s="1284"/>
      <c r="L32" s="1284"/>
      <c r="M32" s="1284"/>
      <c r="N32" s="1302"/>
      <c r="O32" s="1320">
        <f>SUMIF('05保明细'!A:A,C32,'05保明细'!AD:AD)</f>
        <v>5820</v>
      </c>
      <c r="P32" s="1321"/>
      <c r="Q32" s="1302">
        <f t="shared" si="12"/>
        <v>5820</v>
      </c>
      <c r="R32" s="1302">
        <f t="shared" si="13"/>
        <v>83.34</v>
      </c>
      <c r="S32" s="1306">
        <v>83.34</v>
      </c>
      <c r="T32" s="1284"/>
      <c r="U32" s="1291"/>
      <c r="V32" s="1322"/>
      <c r="W32" s="1293">
        <f t="shared" si="11"/>
        <v>0</v>
      </c>
      <c r="X32" s="1293">
        <f>INDEX('05月提成-武侯售后'!K:K,MATCH(C32,'05月提成-武侯售后'!C:C,0))-Q32</f>
        <v>0</v>
      </c>
      <c r="Y32" s="1293"/>
      <c r="Z32" s="1293"/>
      <c r="AA32" s="1293"/>
      <c r="AB32" s="1293"/>
      <c r="AC32" s="1293"/>
      <c r="AD32" s="1293"/>
      <c r="AE32" s="1293"/>
      <c r="AF32" s="1293"/>
      <c r="AG32" s="1268"/>
      <c r="AH32" s="1268"/>
      <c r="AI32" s="1268"/>
    </row>
    <row r="33" spans="1:35" s="1248" customFormat="1" ht="14.1" customHeight="1">
      <c r="A33" s="1298">
        <v>25</v>
      </c>
      <c r="B33" s="1760"/>
      <c r="C33" s="1324" t="s">
        <v>81</v>
      </c>
      <c r="D33" s="1283"/>
      <c r="E33" s="1284"/>
      <c r="F33" s="1284"/>
      <c r="G33" s="1284"/>
      <c r="H33" s="1286"/>
      <c r="I33" s="1284"/>
      <c r="J33" s="1284"/>
      <c r="K33" s="1284"/>
      <c r="L33" s="1284"/>
      <c r="M33" s="1284"/>
      <c r="N33" s="1302"/>
      <c r="O33" s="1320">
        <f>SUMIF('05保明细'!A:A,C33,'05保明细'!AD:AD)</f>
        <v>1980</v>
      </c>
      <c r="P33" s="1325"/>
      <c r="Q33" s="1302">
        <f t="shared" si="12"/>
        <v>1980</v>
      </c>
      <c r="R33" s="1302">
        <f t="shared" si="13"/>
        <v>83.34</v>
      </c>
      <c r="S33" s="1306">
        <v>83.34</v>
      </c>
      <c r="T33" s="1284"/>
      <c r="U33" s="1291"/>
      <c r="V33" s="1322"/>
      <c r="W33" s="1293">
        <f t="shared" si="11"/>
        <v>0</v>
      </c>
      <c r="X33" s="1293">
        <f>INDEX('05月提成-武侯售后'!K:K,MATCH(C33,'05月提成-武侯售后'!C:C,0))-Q33</f>
        <v>0</v>
      </c>
      <c r="Y33" s="1293"/>
      <c r="Z33" s="1293"/>
      <c r="AA33" s="1293"/>
      <c r="AB33" s="1293"/>
      <c r="AC33" s="1293"/>
      <c r="AD33" s="1293"/>
      <c r="AE33" s="1293"/>
      <c r="AF33" s="1293"/>
      <c r="AG33" s="1268"/>
      <c r="AH33" s="1268"/>
      <c r="AI33" s="1268"/>
    </row>
    <row r="34" spans="1:35" s="1248" customFormat="1" ht="14.1" customHeight="1">
      <c r="A34" s="1298">
        <v>25</v>
      </c>
      <c r="B34" s="1760"/>
      <c r="C34" s="1324" t="s">
        <v>82</v>
      </c>
      <c r="D34" s="1283"/>
      <c r="E34" s="1284"/>
      <c r="F34" s="1284"/>
      <c r="G34" s="1284"/>
      <c r="H34" s="1286"/>
      <c r="I34" s="1284"/>
      <c r="J34" s="1284"/>
      <c r="K34" s="1284"/>
      <c r="L34" s="1284"/>
      <c r="M34" s="1284"/>
      <c r="N34" s="1302"/>
      <c r="O34" s="1320">
        <f>SUMIF('05保明细'!A:A,C34,'05保明细'!AD:AD)</f>
        <v>615</v>
      </c>
      <c r="P34" s="1325"/>
      <c r="Q34" s="1302">
        <f t="shared" si="12"/>
        <v>615</v>
      </c>
      <c r="R34" s="1302">
        <f t="shared" si="13"/>
        <v>83.34</v>
      </c>
      <c r="S34" s="1306">
        <v>83.34</v>
      </c>
      <c r="T34" s="1284"/>
      <c r="U34" s="1291"/>
      <c r="V34" s="1322"/>
      <c r="W34" s="1293">
        <f t="shared" si="11"/>
        <v>0</v>
      </c>
      <c r="X34" s="1293">
        <f>INDEX('05月提成-武侯售后'!K:K,MATCH(C34,'05月提成-武侯售后'!C:C,0))-Q34</f>
        <v>0</v>
      </c>
      <c r="Y34" s="1293"/>
      <c r="Z34" s="1293"/>
      <c r="AA34" s="1293"/>
      <c r="AB34" s="1293"/>
      <c r="AC34" s="1293"/>
      <c r="AD34" s="1293"/>
      <c r="AE34" s="1293"/>
      <c r="AF34" s="1293"/>
      <c r="AG34" s="1268"/>
      <c r="AH34" s="1268"/>
      <c r="AI34" s="1268"/>
    </row>
    <row r="35" spans="1:35" s="1248" customFormat="1" ht="14.1" customHeight="1">
      <c r="A35" s="1298">
        <v>26</v>
      </c>
      <c r="B35" s="1760"/>
      <c r="C35" s="1324" t="s">
        <v>87</v>
      </c>
      <c r="D35" s="1283"/>
      <c r="E35" s="1284"/>
      <c r="F35" s="1284"/>
      <c r="G35" s="1284"/>
      <c r="H35" s="1286"/>
      <c r="I35" s="1284"/>
      <c r="J35" s="1284"/>
      <c r="K35" s="1284"/>
      <c r="L35" s="1284"/>
      <c r="M35" s="1284"/>
      <c r="N35" s="1302"/>
      <c r="O35" s="1320">
        <f>SUMIF('05保明细'!A:A,C35,'05保明细'!AD:AD)</f>
        <v>3770</v>
      </c>
      <c r="P35" s="1325"/>
      <c r="Q35" s="1302">
        <f t="shared" ref="Q35:Q38" si="14">(N35+O35+M35+P35)</f>
        <v>3770</v>
      </c>
      <c r="R35" s="1302">
        <f t="shared" ref="R35:R38" si="15">SUM(S35:T35)</f>
        <v>83.34</v>
      </c>
      <c r="S35" s="1306">
        <v>83.34</v>
      </c>
      <c r="T35" s="1284"/>
      <c r="U35" s="1291"/>
      <c r="V35" s="1322"/>
      <c r="W35" s="1293">
        <f t="shared" ref="W35:W41" si="16">N35+O35-Q35</f>
        <v>0</v>
      </c>
      <c r="X35" s="1293">
        <f>INDEX('05月提成-武侯售后'!K:K,MATCH(C35,'05月提成-武侯售后'!C:C,0))-Q35</f>
        <v>0</v>
      </c>
      <c r="Y35" s="1293"/>
      <c r="Z35" s="1293"/>
      <c r="AA35" s="1293"/>
      <c r="AB35" s="1293"/>
      <c r="AC35" s="1293"/>
      <c r="AD35" s="1293"/>
      <c r="AE35" s="1293"/>
      <c r="AF35" s="1293"/>
      <c r="AG35" s="1268"/>
      <c r="AH35" s="1268"/>
      <c r="AI35" s="1268"/>
    </row>
    <row r="36" spans="1:35" s="1248" customFormat="1" ht="14.1" customHeight="1">
      <c r="A36" s="1298">
        <v>25</v>
      </c>
      <c r="B36" s="1760"/>
      <c r="C36" s="1324" t="s">
        <v>84</v>
      </c>
      <c r="D36" s="1283"/>
      <c r="E36" s="1284"/>
      <c r="F36" s="1284"/>
      <c r="G36" s="1284"/>
      <c r="H36" s="1286"/>
      <c r="I36" s="1284"/>
      <c r="J36" s="1284"/>
      <c r="K36" s="1284"/>
      <c r="L36" s="1284"/>
      <c r="M36" s="1284"/>
      <c r="N36" s="1302"/>
      <c r="O36" s="1320">
        <f>SUMIF('05保明细'!A:A,C36,'05保明细'!AD:AD)</f>
        <v>1913.3333333333301</v>
      </c>
      <c r="P36" s="1325"/>
      <c r="Q36" s="1302">
        <f t="shared" si="14"/>
        <v>1913.3333333333301</v>
      </c>
      <c r="R36" s="1302">
        <f t="shared" si="15"/>
        <v>83.34</v>
      </c>
      <c r="S36" s="1306">
        <v>83.34</v>
      </c>
      <c r="T36" s="1284"/>
      <c r="U36" s="1291"/>
      <c r="V36" s="1322"/>
      <c r="W36" s="1293">
        <f t="shared" si="16"/>
        <v>0</v>
      </c>
      <c r="X36" s="1293">
        <f>INDEX('05月提成-武侯售后'!K:K,MATCH(C36,'05月提成-武侯售后'!C:C,0))-Q36</f>
        <v>0</v>
      </c>
      <c r="Y36" s="1293"/>
      <c r="Z36" s="1293"/>
      <c r="AA36" s="1293"/>
      <c r="AB36" s="1293"/>
      <c r="AC36" s="1293"/>
      <c r="AD36" s="1293"/>
      <c r="AE36" s="1293"/>
      <c r="AF36" s="1293"/>
      <c r="AG36" s="1268"/>
      <c r="AH36" s="1268"/>
      <c r="AI36" s="1268"/>
    </row>
    <row r="37" spans="1:35" s="1248" customFormat="1" ht="14.1" customHeight="1">
      <c r="A37" s="1298">
        <v>26</v>
      </c>
      <c r="B37" s="1760"/>
      <c r="C37" s="1324" t="s">
        <v>85</v>
      </c>
      <c r="D37" s="1283"/>
      <c r="E37" s="1284"/>
      <c r="F37" s="1284"/>
      <c r="G37" s="1284"/>
      <c r="H37" s="1286"/>
      <c r="I37" s="1284"/>
      <c r="J37" s="1284"/>
      <c r="K37" s="1284"/>
      <c r="L37" s="1284"/>
      <c r="M37" s="1284"/>
      <c r="N37" s="1302"/>
      <c r="O37" s="1320">
        <f>SUMIF('05保明细'!A:A,C37,'05保明细'!AD:AD)</f>
        <v>956.66666666666697</v>
      </c>
      <c r="P37" s="1325"/>
      <c r="Q37" s="1302">
        <f t="shared" si="14"/>
        <v>956.66666666666697</v>
      </c>
      <c r="R37" s="1302">
        <f t="shared" si="15"/>
        <v>83.34</v>
      </c>
      <c r="S37" s="1306">
        <v>83.34</v>
      </c>
      <c r="T37" s="1284"/>
      <c r="U37" s="1291"/>
      <c r="V37" s="1322"/>
      <c r="W37" s="1293">
        <f t="shared" si="16"/>
        <v>0</v>
      </c>
      <c r="X37" s="1293">
        <f>INDEX('05月提成-武侯售后'!K:K,MATCH(C37,'05月提成-武侯售后'!C:C,0))-Q37</f>
        <v>0</v>
      </c>
      <c r="Y37" s="1293"/>
      <c r="Z37" s="1293"/>
      <c r="AA37" s="1293"/>
      <c r="AB37" s="1293"/>
      <c r="AC37" s="1293"/>
      <c r="AD37" s="1293"/>
      <c r="AE37" s="1293"/>
      <c r="AF37" s="1293"/>
      <c r="AG37" s="1268"/>
      <c r="AH37" s="1268"/>
      <c r="AI37" s="1268"/>
    </row>
    <row r="38" spans="1:35" s="1248" customFormat="1" ht="14.1" customHeight="1">
      <c r="A38" s="1298">
        <v>26</v>
      </c>
      <c r="B38" s="1760"/>
      <c r="C38" s="1324" t="s">
        <v>89</v>
      </c>
      <c r="D38" s="1283"/>
      <c r="E38" s="1284"/>
      <c r="F38" s="1284"/>
      <c r="G38" s="1284"/>
      <c r="H38" s="1286"/>
      <c r="I38" s="1284"/>
      <c r="J38" s="1284"/>
      <c r="K38" s="1284"/>
      <c r="L38" s="1284"/>
      <c r="M38" s="1284"/>
      <c r="N38" s="1302"/>
      <c r="O38" s="1320">
        <f>SUMIF('05保明细'!A:A,C38,'05保明细'!AD:AD)</f>
        <v>0</v>
      </c>
      <c r="P38" s="1325"/>
      <c r="Q38" s="1302">
        <f t="shared" si="14"/>
        <v>0</v>
      </c>
      <c r="R38" s="1302">
        <f t="shared" si="15"/>
        <v>0</v>
      </c>
      <c r="S38" s="1306"/>
      <c r="T38" s="1284"/>
      <c r="U38" s="1291"/>
      <c r="V38" s="1322"/>
      <c r="W38" s="1293">
        <f t="shared" si="16"/>
        <v>0</v>
      </c>
      <c r="X38" s="1293">
        <f>INDEX('05月提成-武侯售后'!K:K,MATCH(C38,'05月提成-武侯售后'!C:C,0))-Q38</f>
        <v>0</v>
      </c>
      <c r="Y38" s="1293"/>
      <c r="Z38" s="1293"/>
      <c r="AA38" s="1293"/>
      <c r="AB38" s="1293"/>
      <c r="AC38" s="1293"/>
      <c r="AD38" s="1293"/>
      <c r="AE38" s="1293"/>
      <c r="AF38" s="1293"/>
      <c r="AG38" s="1268"/>
      <c r="AH38" s="1268"/>
      <c r="AI38" s="1268"/>
    </row>
    <row r="39" spans="1:35" s="1248" customFormat="1" ht="14.1" customHeight="1">
      <c r="A39" s="1298">
        <v>27</v>
      </c>
      <c r="B39" s="1760"/>
      <c r="C39" s="1324" t="s">
        <v>88</v>
      </c>
      <c r="D39" s="1283"/>
      <c r="E39" s="1284"/>
      <c r="F39" s="1284"/>
      <c r="G39" s="1284"/>
      <c r="H39" s="1286"/>
      <c r="I39" s="1284"/>
      <c r="J39" s="1284"/>
      <c r="K39" s="1284"/>
      <c r="L39" s="1284"/>
      <c r="M39" s="1284"/>
      <c r="N39" s="1302"/>
      <c r="O39" s="1320">
        <f>SUMIF('05保明细'!A:A,C39,'05保明细'!AD:AD)</f>
        <v>2490</v>
      </c>
      <c r="P39" s="1325"/>
      <c r="Q39" s="1302">
        <f t="shared" ref="Q39:Q44" si="17">(N39+O39+M39+P39)</f>
        <v>2490</v>
      </c>
      <c r="R39" s="1302">
        <f t="shared" ref="R39:R44" si="18">SUM(S39:T39)</f>
        <v>83.34</v>
      </c>
      <c r="S39" s="1306">
        <v>83.34</v>
      </c>
      <c r="T39" s="1284"/>
      <c r="U39" s="1291"/>
      <c r="V39" s="1322"/>
      <c r="W39" s="1293">
        <f t="shared" si="16"/>
        <v>0</v>
      </c>
      <c r="X39" s="1293">
        <f>INDEX('05月提成-武侯售后'!K:K,MATCH(C39,'05月提成-武侯售后'!C:C,0))-Q39</f>
        <v>0</v>
      </c>
      <c r="Y39" s="1293"/>
      <c r="Z39" s="1293"/>
      <c r="AA39" s="1293"/>
      <c r="AB39" s="1293"/>
      <c r="AC39" s="1293"/>
      <c r="AD39" s="1293"/>
      <c r="AE39" s="1293"/>
      <c r="AF39" s="1293"/>
      <c r="AG39" s="1268"/>
      <c r="AH39" s="1268"/>
      <c r="AI39" s="1268"/>
    </row>
    <row r="40" spans="1:35" s="1248" customFormat="1" ht="14.1" customHeight="1">
      <c r="A40" s="1298">
        <v>28</v>
      </c>
      <c r="B40" s="1760"/>
      <c r="C40" s="1324" t="s">
        <v>86</v>
      </c>
      <c r="D40" s="1283"/>
      <c r="E40" s="1284"/>
      <c r="F40" s="1284"/>
      <c r="G40" s="1284"/>
      <c r="H40" s="1286"/>
      <c r="I40" s="1284"/>
      <c r="J40" s="1284"/>
      <c r="K40" s="1284"/>
      <c r="L40" s="1284"/>
      <c r="M40" s="1284"/>
      <c r="N40" s="1302"/>
      <c r="O40" s="1320">
        <f>SUMIF('05保明细'!A:A,C40,'05保明细'!AD:AD)</f>
        <v>4010</v>
      </c>
      <c r="P40" s="1325"/>
      <c r="Q40" s="1302">
        <f t="shared" si="17"/>
        <v>4010</v>
      </c>
      <c r="R40" s="1302">
        <f t="shared" si="18"/>
        <v>83.34</v>
      </c>
      <c r="S40" s="1306">
        <v>83.34</v>
      </c>
      <c r="T40" s="1284"/>
      <c r="U40" s="1291"/>
      <c r="V40" s="1322"/>
      <c r="W40" s="1293">
        <f t="shared" si="16"/>
        <v>0</v>
      </c>
      <c r="X40" s="1293">
        <f>INDEX('05月提成-武侯售后'!K:K,MATCH(C40,'05月提成-武侯售后'!C:C,0))-Q40</f>
        <v>0</v>
      </c>
      <c r="Y40" s="1293"/>
      <c r="Z40" s="1293"/>
      <c r="AA40" s="1293"/>
      <c r="AB40" s="1293"/>
      <c r="AC40" s="1293"/>
      <c r="AD40" s="1293"/>
      <c r="AE40" s="1293"/>
      <c r="AF40" s="1293"/>
      <c r="AG40" s="1268"/>
      <c r="AH40" s="1268"/>
      <c r="AI40" s="1268"/>
    </row>
    <row r="41" spans="1:35" s="1248" customFormat="1" ht="14.1" customHeight="1">
      <c r="A41" s="1298">
        <v>28</v>
      </c>
      <c r="B41" s="1760"/>
      <c r="C41" s="1324" t="s">
        <v>214</v>
      </c>
      <c r="D41" s="1283"/>
      <c r="E41" s="1284"/>
      <c r="F41" s="1284"/>
      <c r="G41" s="1284"/>
      <c r="H41" s="1286"/>
      <c r="I41" s="1284"/>
      <c r="J41" s="1284"/>
      <c r="K41" s="1284"/>
      <c r="L41" s="1284"/>
      <c r="M41" s="1284"/>
      <c r="N41" s="1302"/>
      <c r="O41" s="1320">
        <f>SUMIF('05保明细'!A:A,C41,'05保明细'!AD:AD)</f>
        <v>6150</v>
      </c>
      <c r="P41" s="1325"/>
      <c r="Q41" s="1302">
        <f t="shared" si="17"/>
        <v>6150</v>
      </c>
      <c r="R41" s="1302">
        <f t="shared" si="18"/>
        <v>246</v>
      </c>
      <c r="S41" s="1306">
        <f>SUMIF('05保明细'!A:A,C41,'05保明细'!AE:AE)</f>
        <v>246</v>
      </c>
      <c r="T41" s="1284"/>
      <c r="U41" s="1291"/>
      <c r="V41" s="1322"/>
      <c r="W41" s="1293">
        <f t="shared" si="16"/>
        <v>0</v>
      </c>
      <c r="X41" s="1293" t="e">
        <f>INDEX('05月提成-武侯售后'!K:K,MATCH(C41,'05月提成-武侯售后'!C:C,0))-Q41</f>
        <v>#N/A</v>
      </c>
      <c r="Y41" s="1293"/>
      <c r="Z41" s="1293"/>
      <c r="AA41" s="1293"/>
      <c r="AB41" s="1293"/>
      <c r="AC41" s="1293"/>
      <c r="AD41" s="1293"/>
      <c r="AE41" s="1293"/>
      <c r="AF41" s="1293"/>
      <c r="AG41" s="1268"/>
      <c r="AH41" s="1268"/>
      <c r="AI41" s="1268"/>
    </row>
    <row r="42" spans="1:35" s="1248" customFormat="1" ht="14.1" customHeight="1">
      <c r="A42" s="1298">
        <v>29</v>
      </c>
      <c r="B42" s="1762"/>
      <c r="C42" s="616" t="s">
        <v>216</v>
      </c>
      <c r="D42" s="1283"/>
      <c r="E42" s="1284"/>
      <c r="F42" s="1284"/>
      <c r="G42" s="1284"/>
      <c r="H42" s="1286"/>
      <c r="I42" s="1284"/>
      <c r="J42" s="1284"/>
      <c r="K42" s="1284"/>
      <c r="L42" s="1284"/>
      <c r="M42" s="1284"/>
      <c r="N42" s="1302"/>
      <c r="O42" s="1320">
        <f>SUMIF('05保明细'!A:A,C42,'05保明细'!AD:AD)</f>
        <v>0</v>
      </c>
      <c r="P42" s="1321"/>
      <c r="Q42" s="1302">
        <f t="shared" si="17"/>
        <v>0</v>
      </c>
      <c r="R42" s="1302">
        <f t="shared" si="18"/>
        <v>0</v>
      </c>
      <c r="S42" s="1306">
        <f>SUMIF('05保明细'!A:A,C42,'05保明细'!AE:AE)</f>
        <v>0</v>
      </c>
      <c r="T42" s="1284"/>
      <c r="U42" s="1291"/>
      <c r="V42" s="1322"/>
      <c r="W42" s="1293">
        <f t="shared" ref="W42:W47" si="19">N42+O42-Q42</f>
        <v>0</v>
      </c>
      <c r="X42" s="1293" t="e">
        <f>INDEX('05月提成-武侯售后'!K:K,MATCH(C42,'05月提成-武侯售后'!C:C,0))-Q42</f>
        <v>#N/A</v>
      </c>
      <c r="Y42" s="1293"/>
      <c r="Z42" s="1293"/>
      <c r="AA42" s="1293"/>
      <c r="AB42" s="1293"/>
      <c r="AC42" s="1293"/>
      <c r="AD42" s="1293"/>
      <c r="AE42" s="1293"/>
      <c r="AF42" s="1293"/>
      <c r="AG42" s="1268"/>
      <c r="AH42" s="1268"/>
      <c r="AI42" s="1268"/>
    </row>
    <row r="43" spans="1:35" s="1248" customFormat="1" ht="14.1" customHeight="1">
      <c r="A43" s="1298">
        <v>30</v>
      </c>
      <c r="B43" s="1762"/>
      <c r="C43" s="616" t="s">
        <v>218</v>
      </c>
      <c r="D43" s="1283"/>
      <c r="E43" s="1284"/>
      <c r="F43" s="1284"/>
      <c r="G43" s="1284"/>
      <c r="H43" s="1286"/>
      <c r="I43" s="1284"/>
      <c r="J43" s="1284"/>
      <c r="K43" s="1284"/>
      <c r="L43" s="1284"/>
      <c r="M43" s="1284"/>
      <c r="N43" s="1302"/>
      <c r="O43" s="1320">
        <f>SUMIF('05保明细'!A:A,C43,'05保明细'!AD:AD)</f>
        <v>4590</v>
      </c>
      <c r="P43" s="1321"/>
      <c r="Q43" s="1302">
        <f t="shared" si="17"/>
        <v>4590</v>
      </c>
      <c r="R43" s="1302">
        <f t="shared" si="18"/>
        <v>159</v>
      </c>
      <c r="S43" s="1306">
        <f>SUMIF('05保明细'!A:A,C43,'05保明细'!AE:AE)</f>
        <v>159</v>
      </c>
      <c r="T43" s="1284"/>
      <c r="U43" s="1291"/>
      <c r="V43" s="1322"/>
      <c r="W43" s="1293">
        <f t="shared" si="19"/>
        <v>0</v>
      </c>
      <c r="X43" s="1293" t="e">
        <f>INDEX('05月提成-武侯售后'!K:K,MATCH(C43,'05月提成-武侯售后'!C:C,0))-Q43</f>
        <v>#N/A</v>
      </c>
      <c r="Y43" s="1293"/>
      <c r="Z43" s="1293"/>
      <c r="AA43" s="1293"/>
      <c r="AB43" s="1293"/>
      <c r="AC43" s="1293"/>
      <c r="AD43" s="1293"/>
      <c r="AE43" s="1293"/>
      <c r="AF43" s="1293"/>
      <c r="AG43" s="1268"/>
      <c r="AH43" s="1268"/>
      <c r="AI43" s="1268"/>
    </row>
    <row r="44" spans="1:35" s="1248" customFormat="1" ht="14.1" customHeight="1">
      <c r="A44" s="1298">
        <v>31</v>
      </c>
      <c r="B44" s="1762"/>
      <c r="C44" s="616" t="s">
        <v>215</v>
      </c>
      <c r="D44" s="1283"/>
      <c r="E44" s="1284"/>
      <c r="F44" s="1284"/>
      <c r="G44" s="1284"/>
      <c r="H44" s="1286"/>
      <c r="I44" s="1284"/>
      <c r="J44" s="1284"/>
      <c r="K44" s="1284"/>
      <c r="L44" s="1284"/>
      <c r="M44" s="1284"/>
      <c r="N44" s="1302"/>
      <c r="O44" s="1320">
        <f>SUMIF('05保明细'!A:A,C44,'05保明细'!AD:AD)</f>
        <v>4240</v>
      </c>
      <c r="P44" s="1321"/>
      <c r="Q44" s="1302">
        <f t="shared" si="17"/>
        <v>4240</v>
      </c>
      <c r="R44" s="1302">
        <f t="shared" si="18"/>
        <v>141</v>
      </c>
      <c r="S44" s="1306">
        <f>SUMIF('05保明细'!A:A,C44,'05保明细'!AE:AE)</f>
        <v>141</v>
      </c>
      <c r="T44" s="1284"/>
      <c r="U44" s="1291"/>
      <c r="V44" s="1322"/>
      <c r="W44" s="1293">
        <f t="shared" si="19"/>
        <v>0</v>
      </c>
      <c r="X44" s="1293" t="e">
        <f>INDEX('05月提成-武侯售后'!K:K,MATCH(C44,'05月提成-武侯售后'!C:C,0))-Q44</f>
        <v>#N/A</v>
      </c>
      <c r="Y44" s="1293"/>
      <c r="Z44" s="1293"/>
      <c r="AA44" s="1293"/>
      <c r="AB44" s="1293"/>
      <c r="AC44" s="1293"/>
      <c r="AD44" s="1293"/>
      <c r="AE44" s="1293"/>
      <c r="AF44" s="1293"/>
      <c r="AG44" s="1268"/>
      <c r="AH44" s="1268"/>
      <c r="AI44" s="1268"/>
    </row>
    <row r="45" spans="1:35" s="1248" customFormat="1" ht="14.1" customHeight="1">
      <c r="A45" s="1298"/>
      <c r="B45" s="1316"/>
      <c r="C45" s="1311" t="s">
        <v>232</v>
      </c>
      <c r="D45" s="1312"/>
      <c r="E45" s="1313"/>
      <c r="F45" s="1313"/>
      <c r="G45" s="1313"/>
      <c r="H45" s="1314"/>
      <c r="I45" s="1313"/>
      <c r="J45" s="1313"/>
      <c r="K45" s="1313"/>
      <c r="L45" s="1313">
        <f t="shared" ref="L45:T45" si="20">SUM(L29:L44)</f>
        <v>0</v>
      </c>
      <c r="M45" s="1313">
        <f t="shared" si="20"/>
        <v>0</v>
      </c>
      <c r="N45" s="1313">
        <f t="shared" si="20"/>
        <v>0</v>
      </c>
      <c r="O45" s="1313">
        <f t="shared" si="20"/>
        <v>72125</v>
      </c>
      <c r="P45" s="1313">
        <f t="shared" si="20"/>
        <v>0</v>
      </c>
      <c r="Q45" s="1313">
        <f t="shared" si="20"/>
        <v>72125</v>
      </c>
      <c r="R45" s="1313">
        <f t="shared" si="20"/>
        <v>1546.07</v>
      </c>
      <c r="S45" s="1315">
        <f t="shared" si="20"/>
        <v>1546.07</v>
      </c>
      <c r="T45" s="1313">
        <f t="shared" si="20"/>
        <v>0</v>
      </c>
      <c r="U45" s="1326"/>
      <c r="V45" s="1293"/>
      <c r="W45" s="1293">
        <f t="shared" si="19"/>
        <v>0</v>
      </c>
      <c r="X45" s="1293">
        <f>INDEX('05月提成-武侯售后'!K:K,MATCH(C45,'05月提成-武侯售后'!C:C,0))-Q45</f>
        <v>-40862.002352915202</v>
      </c>
      <c r="Y45" s="1293"/>
      <c r="Z45" s="1293"/>
      <c r="AA45" s="1293"/>
      <c r="AB45" s="1293"/>
      <c r="AC45" s="1293"/>
      <c r="AD45" s="1293"/>
      <c r="AE45" s="1293"/>
      <c r="AF45" s="1293"/>
      <c r="AG45" s="1268"/>
      <c r="AH45" s="1268"/>
      <c r="AI45" s="1268"/>
    </row>
    <row r="46" spans="1:35" s="1248" customFormat="1" ht="17.399999999999999" customHeight="1">
      <c r="A46" s="1298">
        <v>32</v>
      </c>
      <c r="B46" s="1761" t="s">
        <v>97</v>
      </c>
      <c r="C46" s="616" t="s">
        <v>90</v>
      </c>
      <c r="D46" s="1283"/>
      <c r="E46" s="1284"/>
      <c r="F46" s="1284"/>
      <c r="G46" s="1284"/>
      <c r="H46" s="1286"/>
      <c r="I46" s="1284"/>
      <c r="J46" s="1284"/>
      <c r="K46" s="1287"/>
      <c r="L46" s="1284">
        <v>0.55000000000000004</v>
      </c>
      <c r="M46" s="1284"/>
      <c r="N46" s="1284"/>
      <c r="O46" s="1288">
        <f>((F4-K46)*0.014*0.95+H6*2+(G6/1.16)*0.3)*L46</f>
        <v>9914.2024584671708</v>
      </c>
      <c r="P46" s="1321"/>
      <c r="Q46" s="1284">
        <f>(N46+O46+M46)</f>
        <v>9914.2024584671708</v>
      </c>
      <c r="R46" s="1284">
        <f>SUM(S46:T46)</f>
        <v>593.76019779999694</v>
      </c>
      <c r="S46" s="1290">
        <f>F6*0.05*0.014*0.55</f>
        <v>593.76019779999694</v>
      </c>
      <c r="T46" s="1284"/>
      <c r="U46" s="1291"/>
      <c r="V46" s="1293"/>
      <c r="W46" s="1293">
        <f t="shared" si="19"/>
        <v>0</v>
      </c>
      <c r="X46" s="1293">
        <f>INDEX('05月提成-武侯售后'!K:K,MATCH(C46,'05月提成-武侯售后'!C:C,0))-Q46</f>
        <v>0</v>
      </c>
      <c r="Y46" s="1293"/>
      <c r="Z46" s="1293"/>
      <c r="AA46" s="1293"/>
      <c r="AB46" s="1293"/>
      <c r="AC46" s="1293"/>
      <c r="AD46" s="1293"/>
      <c r="AE46" s="1293"/>
      <c r="AF46" s="1293"/>
      <c r="AG46" s="1268"/>
      <c r="AH46" s="1268"/>
      <c r="AI46" s="1268"/>
    </row>
    <row r="47" spans="1:35" s="1248" customFormat="1" ht="14.1" customHeight="1">
      <c r="A47" s="1298">
        <v>33</v>
      </c>
      <c r="B47" s="1761"/>
      <c r="C47" s="1297" t="s">
        <v>91</v>
      </c>
      <c r="D47" s="1283"/>
      <c r="E47" s="1284"/>
      <c r="F47" s="1284"/>
      <c r="G47" s="1284"/>
      <c r="H47" s="1286"/>
      <c r="I47" s="1284"/>
      <c r="J47" s="1284"/>
      <c r="K47" s="1284"/>
      <c r="L47" s="1284"/>
      <c r="M47" s="1284"/>
      <c r="N47" s="1284">
        <f>'05月二网专员绩效'!K2</f>
        <v>5197.6570000000002</v>
      </c>
      <c r="O47" s="1284">
        <f>(F4*0.014*0.95+H6*2+(G6/1.16)*0.3)*L47</f>
        <v>0</v>
      </c>
      <c r="P47" s="1321"/>
      <c r="Q47" s="1284">
        <f>(N47+O47+M47)+SUMIFS('05月业务提成'!$BO$6:$BO$29,'05月业务提成'!$B$6:$B$29,C80)</f>
        <v>5197.6570000000002</v>
      </c>
      <c r="R47" s="1284">
        <f>SUM(S47:T47)</f>
        <v>166.666666666667</v>
      </c>
      <c r="S47" s="1290">
        <f>2000/12</f>
        <v>166.666666666667</v>
      </c>
      <c r="T47" s="1284"/>
      <c r="U47" s="1291"/>
      <c r="V47" s="1293"/>
      <c r="W47" s="1293">
        <f t="shared" si="19"/>
        <v>0</v>
      </c>
      <c r="X47" s="1293">
        <f>INDEX('05月提成-武侯售后'!K:K,MATCH(C47,'05月提成-武侯售后'!C:C,0))-Q47</f>
        <v>0</v>
      </c>
      <c r="Y47" s="1293"/>
      <c r="Z47" s="1293"/>
      <c r="AA47" s="1293"/>
      <c r="AB47" s="1293"/>
      <c r="AC47" s="1293"/>
      <c r="AD47" s="1293"/>
      <c r="AE47" s="1293"/>
      <c r="AF47" s="1293"/>
      <c r="AG47" s="1268"/>
      <c r="AH47" s="1268"/>
      <c r="AI47" s="1268"/>
    </row>
    <row r="48" spans="1:35" s="1248" customFormat="1" ht="14.1" customHeight="1">
      <c r="A48" s="1298">
        <v>35</v>
      </c>
      <c r="B48" s="1761"/>
      <c r="C48" s="616" t="s">
        <v>92</v>
      </c>
      <c r="D48" s="1283"/>
      <c r="E48" s="1284"/>
      <c r="F48" s="1284"/>
      <c r="G48" s="1284"/>
      <c r="H48" s="1286"/>
      <c r="I48" s="1284"/>
      <c r="J48" s="1284"/>
      <c r="K48" s="1284"/>
      <c r="L48" s="1284">
        <v>0.35</v>
      </c>
      <c r="M48" s="1284"/>
      <c r="N48" s="1284"/>
      <c r="O48" s="1288">
        <f>((F4-K46)*0.014*0.95+H6*2+(G6/1.16)*0.3)*L48</f>
        <v>6309.0379281154701</v>
      </c>
      <c r="P48" s="1321"/>
      <c r="Q48" s="1284">
        <f>(N48+O48+M48)+SUMIFS('05月业务提成'!$BO$6:$BO$29,'05月业务提成'!$B$6:$B$29,C82)</f>
        <v>6309.0379281154701</v>
      </c>
      <c r="R48" s="1284">
        <f>SUM(S48:T48)</f>
        <v>485.80379819999803</v>
      </c>
      <c r="S48" s="1290">
        <f>F6*0.05*0.014*0.45</f>
        <v>485.80379819999803</v>
      </c>
      <c r="T48" s="1284"/>
      <c r="U48" s="1291"/>
      <c r="V48" s="1293"/>
      <c r="W48" s="1293">
        <f t="shared" ref="W48:W54" si="21">N48+O48-Q48</f>
        <v>0</v>
      </c>
      <c r="X48" s="1293">
        <f>INDEX('05月提成-武侯售后'!K:K,MATCH(C48,'05月提成-武侯售后'!C:C,0))-Q48</f>
        <v>0</v>
      </c>
      <c r="Y48" s="1293"/>
      <c r="Z48" s="1293"/>
      <c r="AA48" s="1293"/>
      <c r="AB48" s="1293"/>
      <c r="AC48" s="1293"/>
      <c r="AD48" s="1293"/>
      <c r="AE48" s="1293"/>
      <c r="AF48" s="1293"/>
      <c r="AG48" s="1268"/>
      <c r="AH48" s="1268"/>
      <c r="AI48" s="1268"/>
    </row>
    <row r="49" spans="1:35" s="1248" customFormat="1" ht="14.1" customHeight="1">
      <c r="A49" s="1298"/>
      <c r="B49" s="1761"/>
      <c r="C49" s="1311" t="s">
        <v>232</v>
      </c>
      <c r="D49" s="1312"/>
      <c r="E49" s="1313"/>
      <c r="F49" s="1313"/>
      <c r="G49" s="1313"/>
      <c r="H49" s="1314"/>
      <c r="I49" s="1313"/>
      <c r="J49" s="1313"/>
      <c r="K49" s="1313"/>
      <c r="L49" s="1313">
        <f t="shared" ref="L49:T49" si="22">SUM(L46:L48)</f>
        <v>0.9</v>
      </c>
      <c r="M49" s="1313">
        <f t="shared" si="22"/>
        <v>0</v>
      </c>
      <c r="N49" s="1313">
        <f t="shared" si="22"/>
        <v>5197.6570000000002</v>
      </c>
      <c r="O49" s="1313">
        <f t="shared" si="22"/>
        <v>16223.2403865826</v>
      </c>
      <c r="P49" s="1313">
        <f t="shared" si="22"/>
        <v>0</v>
      </c>
      <c r="Q49" s="1313">
        <f t="shared" si="22"/>
        <v>21420.897386582601</v>
      </c>
      <c r="R49" s="1313">
        <f t="shared" si="22"/>
        <v>1246.23066266666</v>
      </c>
      <c r="S49" s="1315">
        <f t="shared" si="22"/>
        <v>1246.23066266666</v>
      </c>
      <c r="T49" s="1313">
        <f t="shared" si="22"/>
        <v>0</v>
      </c>
      <c r="U49" s="1291"/>
      <c r="V49" s="1293"/>
      <c r="W49" s="1293">
        <f t="shared" si="21"/>
        <v>-4.0017766878008797E-11</v>
      </c>
      <c r="X49" s="1293">
        <f>INDEX('05月提成-武侯售后'!K:K,MATCH(C49,'05月提成-武侯售后'!C:C,0))-Q49</f>
        <v>9842.1002605021295</v>
      </c>
      <c r="Y49" s="1293"/>
      <c r="Z49" s="1293"/>
      <c r="AA49" s="1293"/>
      <c r="AB49" s="1293"/>
      <c r="AC49" s="1293"/>
      <c r="AD49" s="1293"/>
      <c r="AE49" s="1293"/>
      <c r="AF49" s="1293"/>
      <c r="AG49" s="1268"/>
      <c r="AH49" s="1268"/>
      <c r="AI49" s="1268"/>
    </row>
    <row r="50" spans="1:35" s="1249" customFormat="1" ht="13.65" customHeight="1">
      <c r="A50" s="1327">
        <v>36</v>
      </c>
      <c r="B50" s="1761" t="s">
        <v>339</v>
      </c>
      <c r="C50" s="1300" t="s">
        <v>93</v>
      </c>
      <c r="D50" s="1301"/>
      <c r="E50" s="1302"/>
      <c r="F50" s="1302"/>
      <c r="G50" s="1302"/>
      <c r="H50" s="1303"/>
      <c r="I50" s="1302"/>
      <c r="J50" s="1328">
        <f>E6-I6-E5</f>
        <v>5095506.9938999899</v>
      </c>
      <c r="K50" s="1329">
        <f>I6</f>
        <v>1776042.21</v>
      </c>
      <c r="L50" s="1330">
        <v>2.3E-3</v>
      </c>
      <c r="M50" s="1331">
        <v>5.0000000000000001E-4</v>
      </c>
      <c r="N50" s="1302">
        <f>SUMIF(综合考核!AY:AY,'05月其他部门提成'!C50,综合考核!AZ:AZ)</f>
        <v>282</v>
      </c>
      <c r="O50" s="1302">
        <f>(J50)*L50*0.95+K50*M50*0.95</f>
        <v>11977.302831421501</v>
      </c>
      <c r="P50" s="1289"/>
      <c r="Q50" s="1302">
        <f t="shared" ref="Q50:Q55" si="23">(N50+O50+M50)</f>
        <v>12259.303331421501</v>
      </c>
      <c r="R50" s="1302">
        <f>SUM(S50:T50)</f>
        <v>426.13950539849901</v>
      </c>
      <c r="S50" s="1306">
        <f>(J50-K50)*0.05*L50+K50*M50*0.05</f>
        <v>426.13950539849901</v>
      </c>
      <c r="T50" s="1302"/>
      <c r="U50" s="1291"/>
      <c r="V50" s="1308"/>
      <c r="W50" s="1293">
        <f t="shared" si="21"/>
        <v>-5.0000000010186297E-4</v>
      </c>
      <c r="X50" s="1293">
        <f>INDEX('05月提成-武侯售后'!K:K,MATCH(C50,'05月提成-武侯售后'!C:C,0))-Q50</f>
        <v>0</v>
      </c>
      <c r="Y50" s="1293"/>
      <c r="Z50" s="1308"/>
      <c r="AA50" s="1308"/>
      <c r="AB50" s="1308"/>
      <c r="AC50" s="1308"/>
      <c r="AD50" s="1308"/>
      <c r="AE50" s="1308"/>
      <c r="AF50" s="1308"/>
      <c r="AG50" s="1309"/>
      <c r="AH50" s="1309"/>
      <c r="AI50" s="1309"/>
    </row>
    <row r="51" spans="1:35" s="1248" customFormat="1" ht="14.1" customHeight="1">
      <c r="A51" s="1327">
        <v>37</v>
      </c>
      <c r="B51" s="1761"/>
      <c r="C51" s="1300" t="s">
        <v>94</v>
      </c>
      <c r="D51" s="1283"/>
      <c r="E51" s="1284"/>
      <c r="F51" s="1284"/>
      <c r="G51" s="1284"/>
      <c r="H51" s="1286"/>
      <c r="I51" s="1302"/>
      <c r="J51" s="1284"/>
      <c r="K51" s="1284"/>
      <c r="L51" s="1289">
        <v>0.4</v>
      </c>
      <c r="M51" s="1284"/>
      <c r="N51" s="1302">
        <f>SUMIF(综合考核!AY:AY,'05月其他部门提成'!C51,综合考核!AZ:AZ)</f>
        <v>183.3</v>
      </c>
      <c r="O51" s="1302">
        <f>$E$4*0.95*0.005*(L51/$L$56)</f>
        <v>6254.9434616058898</v>
      </c>
      <c r="P51" s="1289"/>
      <c r="Q51" s="1302">
        <f t="shared" si="23"/>
        <v>6438.2434616058899</v>
      </c>
      <c r="R51" s="1284">
        <f>SUM(S51:T51)</f>
        <v>2493.9552628309998</v>
      </c>
      <c r="S51" s="1290">
        <f>E6*0.05*0.0058</f>
        <v>2493.9552628309998</v>
      </c>
      <c r="T51" s="1284"/>
      <c r="U51" s="1291"/>
      <c r="V51" s="1293"/>
      <c r="W51" s="1293">
        <f t="shared" si="21"/>
        <v>0</v>
      </c>
      <c r="X51" s="1293">
        <f>INDEX('05月提成-武侯售后'!K:K,MATCH(C51,'05月提成-武侯售后'!C:C,0))-Q51</f>
        <v>0</v>
      </c>
      <c r="Y51" s="1293"/>
      <c r="Z51" s="1293"/>
      <c r="AA51" s="1293"/>
      <c r="AB51" s="1293"/>
      <c r="AC51" s="1293"/>
      <c r="AD51" s="1293"/>
      <c r="AE51" s="1293"/>
      <c r="AF51" s="1293"/>
      <c r="AG51" s="1268"/>
      <c r="AH51" s="1268"/>
      <c r="AI51" s="1268"/>
    </row>
    <row r="52" spans="1:35" s="1249" customFormat="1" ht="14.1" customHeight="1">
      <c r="A52" s="1327">
        <v>38</v>
      </c>
      <c r="B52" s="1761"/>
      <c r="C52" s="1300" t="s">
        <v>95</v>
      </c>
      <c r="D52" s="1301"/>
      <c r="E52" s="1302"/>
      <c r="F52" s="1302"/>
      <c r="G52" s="1302"/>
      <c r="H52" s="1303"/>
      <c r="I52" s="1302"/>
      <c r="J52" s="1302"/>
      <c r="K52" s="1302"/>
      <c r="L52" s="1332">
        <v>0.39500000000000002</v>
      </c>
      <c r="M52" s="1284"/>
      <c r="N52" s="1302">
        <f>SUMIF(综合考核!AY:AY,'05月其他部门提成'!C52,综合考核!AZ:AZ)</f>
        <v>183.3</v>
      </c>
      <c r="O52" s="1302">
        <f>$E$4*0.95*0.005*(L52/$L$56)</f>
        <v>6176.75666833582</v>
      </c>
      <c r="P52" s="1289"/>
      <c r="Q52" s="1302">
        <f t="shared" si="23"/>
        <v>6360.0566683358202</v>
      </c>
      <c r="R52" s="1302"/>
      <c r="S52" s="1306"/>
      <c r="T52" s="1302"/>
      <c r="U52" s="1291"/>
      <c r="V52" s="1293"/>
      <c r="W52" s="1293">
        <f t="shared" si="21"/>
        <v>0</v>
      </c>
      <c r="X52" s="1293">
        <f>INDEX('05月提成-武侯售后'!K:K,MATCH(C52,'05月提成-武侯售后'!C:C,0))-Q52</f>
        <v>0</v>
      </c>
      <c r="Y52" s="1293"/>
      <c r="Z52" s="1308"/>
      <c r="AA52" s="1308"/>
      <c r="AB52" s="1308"/>
      <c r="AC52" s="1308"/>
      <c r="AD52" s="1308"/>
      <c r="AE52" s="1308"/>
      <c r="AF52" s="1309"/>
      <c r="AG52" s="1309"/>
      <c r="AH52" s="1309"/>
      <c r="AI52" s="1268"/>
    </row>
    <row r="53" spans="1:35" s="1249" customFormat="1" ht="14.1" customHeight="1">
      <c r="A53" s="1327">
        <v>39</v>
      </c>
      <c r="B53" s="1761"/>
      <c r="C53" s="1300" t="s">
        <v>96</v>
      </c>
      <c r="D53" s="1301"/>
      <c r="E53" s="1302"/>
      <c r="F53" s="1302"/>
      <c r="G53" s="1302"/>
      <c r="H53" s="1303"/>
      <c r="I53" s="1302"/>
      <c r="J53" s="1302"/>
      <c r="K53" s="1302"/>
      <c r="L53" s="1332">
        <v>0.43</v>
      </c>
      <c r="M53" s="1284"/>
      <c r="N53" s="1302">
        <f>SUMIF(综合考核!AY:AY,'05月其他部门提成'!C53,综合考核!AZ:AZ)</f>
        <v>197.4</v>
      </c>
      <c r="O53" s="1302">
        <f>$E$4*0.95*0.005*(L53/$L$56)</f>
        <v>6724.0642212263401</v>
      </c>
      <c r="P53" s="1289"/>
      <c r="Q53" s="1302">
        <f t="shared" si="23"/>
        <v>6921.4642212263398</v>
      </c>
      <c r="R53" s="1302"/>
      <c r="S53" s="1306"/>
      <c r="T53" s="1302"/>
      <c r="U53" s="1291"/>
      <c r="V53" s="1293"/>
      <c r="W53" s="1293">
        <f t="shared" si="21"/>
        <v>0</v>
      </c>
      <c r="X53" s="1293">
        <f>INDEX('05月提成-武侯售后'!K:K,MATCH(C53,'05月提成-武侯售后'!C:C,0))-Q53</f>
        <v>0</v>
      </c>
      <c r="Y53" s="1293"/>
      <c r="Z53" s="1308"/>
      <c r="AA53" s="1308"/>
      <c r="AB53" s="1308"/>
      <c r="AC53" s="1308"/>
      <c r="AD53" s="1308"/>
      <c r="AE53" s="1308"/>
      <c r="AF53" s="1309"/>
      <c r="AG53" s="1309"/>
      <c r="AH53" s="1309"/>
      <c r="AI53" s="1268"/>
    </row>
    <row r="54" spans="1:35" s="1249" customFormat="1" ht="14.1" customHeight="1">
      <c r="A54" s="1327">
        <v>40</v>
      </c>
      <c r="B54" s="1761"/>
      <c r="C54" s="1300" t="s">
        <v>99</v>
      </c>
      <c r="D54" s="1301"/>
      <c r="E54" s="1302"/>
      <c r="F54" s="1302"/>
      <c r="G54" s="1302"/>
      <c r="H54" s="1303"/>
      <c r="I54" s="1302"/>
      <c r="J54" s="1302"/>
      <c r="K54" s="1302"/>
      <c r="L54" s="1332">
        <v>0.43</v>
      </c>
      <c r="M54" s="1284"/>
      <c r="N54" s="1302">
        <f>SUMIF(综合考核!AY:AY,'05月其他部门提成'!C54,综合考核!AZ:AZ)</f>
        <v>197.4</v>
      </c>
      <c r="O54" s="1302">
        <f>$E$4*0.95*0.005*(L54/$L$56)</f>
        <v>6724.0642212263401</v>
      </c>
      <c r="P54" s="1289"/>
      <c r="Q54" s="1302">
        <f t="shared" si="23"/>
        <v>6921.4642212263398</v>
      </c>
      <c r="R54" s="1302"/>
      <c r="S54" s="1306"/>
      <c r="T54" s="1302"/>
      <c r="U54" s="1291"/>
      <c r="V54" s="1293"/>
      <c r="W54" s="1293">
        <f t="shared" si="21"/>
        <v>0</v>
      </c>
      <c r="X54" s="1293">
        <f>INDEX('05月提成-武侯售后'!K:K,MATCH(C54,'05月提成-武侯售后'!C:C,0))-Q54</f>
        <v>0</v>
      </c>
      <c r="Y54" s="1293"/>
      <c r="Z54" s="1308"/>
      <c r="AA54" s="1308"/>
      <c r="AB54" s="1308"/>
      <c r="AC54" s="1308"/>
      <c r="AD54" s="1308"/>
      <c r="AE54" s="1308"/>
      <c r="AF54" s="1309"/>
      <c r="AG54" s="1309"/>
      <c r="AH54" s="1309"/>
      <c r="AI54" s="1268"/>
    </row>
    <row r="55" spans="1:35" s="1249" customFormat="1" ht="14.1" customHeight="1">
      <c r="A55" s="1327">
        <v>41</v>
      </c>
      <c r="B55" s="1761"/>
      <c r="C55" s="1300" t="s">
        <v>100</v>
      </c>
      <c r="D55" s="1301"/>
      <c r="E55" s="1302"/>
      <c r="F55" s="1302"/>
      <c r="G55" s="1302"/>
      <c r="H55" s="1303"/>
      <c r="I55" s="1302"/>
      <c r="J55" s="1302"/>
      <c r="K55" s="1302"/>
      <c r="L55" s="1332">
        <v>0.43</v>
      </c>
      <c r="M55" s="1284"/>
      <c r="N55" s="1302">
        <f>SUMIF(综合考核!AY:AY,'05月其他部门提成'!C55,综合考核!AZ:AZ)</f>
        <v>169.2</v>
      </c>
      <c r="O55" s="1302">
        <f>$E$4*0.95*0.005*(L55/$L$56)</f>
        <v>6724.0642212263401</v>
      </c>
      <c r="P55" s="1289"/>
      <c r="Q55" s="1302">
        <f t="shared" si="23"/>
        <v>6893.2642212263399</v>
      </c>
      <c r="R55" s="1302"/>
      <c r="S55" s="1306"/>
      <c r="T55" s="1302"/>
      <c r="U55" s="1291"/>
      <c r="V55" s="1293"/>
      <c r="W55" s="1293">
        <f t="shared" ref="W55:W65" si="24">N55+O55-Q55</f>
        <v>0</v>
      </c>
      <c r="X55" s="1293">
        <f>INDEX('05月提成-武侯售后'!K:K,MATCH(C55,'05月提成-武侯售后'!C:C,0))-Q55</f>
        <v>0</v>
      </c>
      <c r="Y55" s="1293"/>
      <c r="Z55" s="1308"/>
      <c r="AA55" s="1308"/>
      <c r="AB55" s="1308"/>
      <c r="AC55" s="1308"/>
      <c r="AD55" s="1308"/>
      <c r="AE55" s="1308"/>
      <c r="AF55" s="1309"/>
      <c r="AG55" s="1309"/>
      <c r="AH55" s="1309"/>
      <c r="AI55" s="1268"/>
    </row>
    <row r="56" spans="1:35" s="1248" customFormat="1" ht="14.1" customHeight="1">
      <c r="A56" s="1327"/>
      <c r="B56" s="1761"/>
      <c r="C56" s="1311" t="s">
        <v>232</v>
      </c>
      <c r="D56" s="1312"/>
      <c r="E56" s="1313"/>
      <c r="F56" s="1313"/>
      <c r="G56" s="1313"/>
      <c r="H56" s="1314"/>
      <c r="I56" s="1313">
        <f>SUM(I50:I55)</f>
        <v>0</v>
      </c>
      <c r="J56" s="1313"/>
      <c r="K56" s="1313"/>
      <c r="L56" s="1313">
        <f t="shared" ref="L56:T56" si="25">SUM(L50:L55)</f>
        <v>2.0872999999999999</v>
      </c>
      <c r="M56" s="1333">
        <f t="shared" si="25"/>
        <v>5.0000000000000001E-4</v>
      </c>
      <c r="N56" s="1313">
        <f t="shared" si="25"/>
        <v>1212.5999999999999</v>
      </c>
      <c r="O56" s="1313">
        <f t="shared" si="25"/>
        <v>44581.195625042201</v>
      </c>
      <c r="P56" s="1313">
        <f t="shared" si="25"/>
        <v>0</v>
      </c>
      <c r="Q56" s="1313">
        <f t="shared" si="25"/>
        <v>45793.796125042201</v>
      </c>
      <c r="R56" s="1313">
        <f t="shared" si="25"/>
        <v>2920.0947682295</v>
      </c>
      <c r="S56" s="1315">
        <f t="shared" si="25"/>
        <v>2920.0947682295</v>
      </c>
      <c r="T56" s="1313">
        <f t="shared" si="25"/>
        <v>0</v>
      </c>
      <c r="U56" s="1291"/>
      <c r="V56" s="1293"/>
      <c r="W56" s="1293">
        <f t="shared" si="24"/>
        <v>-5.0000000919680999E-4</v>
      </c>
      <c r="X56" s="1293">
        <f>INDEX('05月提成-武侯售后'!K:K,MATCH(C56,'05月提成-武侯售后'!C:C,0))-Q56</f>
        <v>-14530.7984779574</v>
      </c>
      <c r="Y56" s="1293"/>
      <c r="Z56" s="1293"/>
      <c r="AA56" s="1293"/>
      <c r="AB56" s="1293"/>
      <c r="AC56" s="1293"/>
      <c r="AD56" s="1293"/>
      <c r="AE56" s="1293"/>
      <c r="AF56" s="1268"/>
      <c r="AG56" s="1268"/>
      <c r="AH56" s="1268"/>
      <c r="AI56" s="1268"/>
    </row>
    <row r="57" spans="1:35" s="1250" customFormat="1" ht="14.1" customHeight="1">
      <c r="A57" s="1298">
        <f>A55+1</f>
        <v>42</v>
      </c>
      <c r="B57" s="1761" t="s">
        <v>115</v>
      </c>
      <c r="C57" s="1334" t="s">
        <v>101</v>
      </c>
      <c r="D57" s="1335"/>
      <c r="E57" s="1336"/>
      <c r="F57" s="1336"/>
      <c r="G57" s="1336"/>
      <c r="H57" s="1337"/>
      <c r="I57" s="1336"/>
      <c r="J57" s="1338">
        <f>E4-K57-I4</f>
        <v>2203565.6238999902</v>
      </c>
      <c r="K57" s="1336">
        <f>J4</f>
        <v>2891951.37</v>
      </c>
      <c r="L57" s="1339">
        <v>3.0000000000000001E-3</v>
      </c>
      <c r="M57" s="1340">
        <v>2.2000000000000001E-3</v>
      </c>
      <c r="N57" s="1289"/>
      <c r="O57" s="1341">
        <f>(J57*0.95*L57+K57*0.95*M57)</f>
        <v>12324.340391415</v>
      </c>
      <c r="P57" s="1342"/>
      <c r="Q57" s="1336">
        <f>(N57+O57+P57)</f>
        <v>12324.340391415</v>
      </c>
      <c r="R57" s="1336">
        <f>SUM(S57:T57)</f>
        <v>648.64949428499904</v>
      </c>
      <c r="S57" s="1343">
        <f>J57*0.05*L57+K57*0.05*M57</f>
        <v>648.64949428499904</v>
      </c>
      <c r="T57" s="1336"/>
      <c r="U57" s="1291"/>
      <c r="V57" s="1293"/>
      <c r="W57" s="1293">
        <f t="shared" si="24"/>
        <v>0</v>
      </c>
      <c r="X57" s="1293">
        <f>INDEX('05月提成-武侯售后'!K:K,MATCH(C57,'05月提成-武侯售后'!C:C,0))-Q57</f>
        <v>0</v>
      </c>
      <c r="Y57" s="1293"/>
      <c r="Z57" s="1344"/>
      <c r="AA57" s="1344"/>
      <c r="AB57" s="1344"/>
      <c r="AC57" s="1344"/>
      <c r="AD57" s="1344"/>
      <c r="AE57" s="1344"/>
      <c r="AF57" s="1345"/>
      <c r="AG57" s="1345"/>
      <c r="AH57" s="1345"/>
      <c r="AI57" s="1268"/>
    </row>
    <row r="58" spans="1:35" s="1251" customFormat="1" ht="14.1" customHeight="1">
      <c r="A58" s="1327">
        <v>42</v>
      </c>
      <c r="B58" s="1761"/>
      <c r="C58" s="1346" t="s">
        <v>102</v>
      </c>
      <c r="D58" s="1347"/>
      <c r="E58" s="1341"/>
      <c r="F58" s="1341"/>
      <c r="G58" s="1341"/>
      <c r="H58" s="1348"/>
      <c r="I58" s="1341"/>
      <c r="J58" s="1338">
        <f>E4-K57-I4</f>
        <v>2203565.6238999902</v>
      </c>
      <c r="K58" s="1341">
        <f>J4</f>
        <v>2891951.37</v>
      </c>
      <c r="L58" s="1349">
        <v>3.0000000000000001E-3</v>
      </c>
      <c r="M58" s="1350">
        <v>2.2000000000000001E-3</v>
      </c>
      <c r="N58" s="1302"/>
      <c r="O58" s="1341">
        <f>(J58*0.95*L58+K58*0.95*M58)</f>
        <v>12324.340391415</v>
      </c>
      <c r="P58" s="1342"/>
      <c r="Q58" s="1336">
        <f>(N58+O58+P58)</f>
        <v>12324.340391415</v>
      </c>
      <c r="R58" s="1341">
        <f>SUM(S58:T58)</f>
        <v>648.64949428499904</v>
      </c>
      <c r="S58" s="1351">
        <f>J58*0.05*L58+K58*0.05*M58</f>
        <v>648.64949428499904</v>
      </c>
      <c r="T58" s="1341"/>
      <c r="U58" s="1307"/>
      <c r="V58" s="1308"/>
      <c r="W58" s="1308">
        <f t="shared" si="24"/>
        <v>0</v>
      </c>
      <c r="X58" s="1293">
        <f>INDEX('05月提成-武侯售后'!K:K,MATCH(C58,'05月提成-武侯售后'!C:C,0))-Q58</f>
        <v>0</v>
      </c>
      <c r="Y58" s="1293"/>
      <c r="Z58" s="1352"/>
      <c r="AA58" s="1352"/>
      <c r="AB58" s="1352"/>
      <c r="AC58" s="1352"/>
      <c r="AD58" s="1352"/>
      <c r="AE58" s="1352"/>
      <c r="AF58" s="1353"/>
      <c r="AG58" s="1353"/>
      <c r="AH58" s="1353"/>
      <c r="AI58" s="1309"/>
    </row>
    <row r="59" spans="1:35" s="1248" customFormat="1" ht="14.1" customHeight="1">
      <c r="A59" s="1298">
        <v>43</v>
      </c>
      <c r="B59" s="1761"/>
      <c r="C59" s="1334" t="s">
        <v>105</v>
      </c>
      <c r="D59" s="1283"/>
      <c r="E59" s="1284"/>
      <c r="F59" s="1284"/>
      <c r="G59" s="1284"/>
      <c r="H59" s="1286"/>
      <c r="I59" s="1284"/>
      <c r="J59" s="1284"/>
      <c r="K59" s="1284"/>
      <c r="L59" s="1354">
        <v>1.8E-3</v>
      </c>
      <c r="M59" s="1340"/>
      <c r="N59" s="1289"/>
      <c r="O59" s="1302">
        <f>($E$4-$I$6)*0.95*L59</f>
        <v>8713.3169595689797</v>
      </c>
      <c r="P59" s="1342"/>
      <c r="Q59" s="1336">
        <f t="shared" ref="Q59:Q65" si="26">(N59+O59+P59)</f>
        <v>8713.3169595689797</v>
      </c>
      <c r="R59" s="1336">
        <f t="shared" ref="R59:R65" si="27">SUM(S59:T59)</f>
        <v>614.14231715099902</v>
      </c>
      <c r="S59" s="1290">
        <f>($E$6-$I$6)*0.05*L59</f>
        <v>614.14231715099902</v>
      </c>
      <c r="T59" s="1284"/>
      <c r="U59" s="1291"/>
      <c r="V59" s="1293"/>
      <c r="W59" s="1293">
        <f t="shared" si="24"/>
        <v>0</v>
      </c>
      <c r="X59" s="1293">
        <f>INDEX('05月提成-武侯售后'!K:K,MATCH(C59,'05月提成-武侯售后'!C:C,0))-Q59</f>
        <v>0</v>
      </c>
      <c r="Y59" s="1293"/>
      <c r="Z59" s="1293"/>
      <c r="AA59" s="1293"/>
      <c r="AB59" s="1293"/>
      <c r="AC59" s="1293"/>
      <c r="AD59" s="1293"/>
      <c r="AE59" s="1293"/>
      <c r="AF59" s="1268"/>
      <c r="AG59" s="1268"/>
      <c r="AH59" s="1268"/>
      <c r="AI59" s="1268"/>
    </row>
    <row r="60" spans="1:35" s="1248" customFormat="1" ht="14.1" customHeight="1">
      <c r="A60" s="1327">
        <v>44</v>
      </c>
      <c r="B60" s="1761"/>
      <c r="C60" s="1334" t="s">
        <v>107</v>
      </c>
      <c r="D60" s="1283"/>
      <c r="E60" s="1284"/>
      <c r="F60" s="1284"/>
      <c r="G60" s="1284"/>
      <c r="H60" s="1286"/>
      <c r="I60" s="1284"/>
      <c r="J60" s="1284"/>
      <c r="K60" s="1284"/>
      <c r="L60" s="1354">
        <v>1.8E-3</v>
      </c>
      <c r="M60" s="1340"/>
      <c r="N60" s="1289"/>
      <c r="O60" s="1302">
        <f>($E$4-$I$6)*0.95*L60</f>
        <v>8713.3169595689797</v>
      </c>
      <c r="P60" s="1342"/>
      <c r="Q60" s="1336">
        <f t="shared" si="26"/>
        <v>8713.3169595689797</v>
      </c>
      <c r="R60" s="1336">
        <f t="shared" si="27"/>
        <v>614.14231715099902</v>
      </c>
      <c r="S60" s="1290">
        <f>($E$6-$I$6)*0.05*L60</f>
        <v>614.14231715099902</v>
      </c>
      <c r="T60" s="1284"/>
      <c r="U60" s="1291"/>
      <c r="V60" s="1293"/>
      <c r="W60" s="1293">
        <f t="shared" si="24"/>
        <v>0</v>
      </c>
      <c r="X60" s="1293">
        <f>INDEX('05月提成-武侯售后'!K:K,MATCH(C60,'05月提成-武侯售后'!C:C,0))-Q60</f>
        <v>0</v>
      </c>
      <c r="Y60" s="1293"/>
      <c r="Z60" s="1293"/>
      <c r="AA60" s="1293"/>
      <c r="AB60" s="1293"/>
      <c r="AC60" s="1293"/>
      <c r="AD60" s="1293"/>
      <c r="AE60" s="1293"/>
      <c r="AF60" s="1268"/>
      <c r="AG60" s="1268"/>
      <c r="AH60" s="1268"/>
      <c r="AI60" s="1268"/>
    </row>
    <row r="61" spans="1:35" s="1248" customFormat="1" ht="14.1" customHeight="1">
      <c r="A61" s="1298">
        <v>45</v>
      </c>
      <c r="B61" s="1761"/>
      <c r="C61" s="1346" t="s">
        <v>108</v>
      </c>
      <c r="D61" s="1301"/>
      <c r="E61" s="1302"/>
      <c r="F61" s="1302"/>
      <c r="G61" s="1302"/>
      <c r="H61" s="1303"/>
      <c r="I61" s="1302"/>
      <c r="J61" s="1302"/>
      <c r="K61" s="1302">
        <f>J4</f>
        <v>2891951.37</v>
      </c>
      <c r="L61" s="1355">
        <v>3.8999999999999998E-3</v>
      </c>
      <c r="M61" s="1340"/>
      <c r="N61" s="1289"/>
      <c r="O61" s="1302">
        <f>K61*L61*0.95</f>
        <v>10714.67982585</v>
      </c>
      <c r="P61" s="1342"/>
      <c r="Q61" s="1336">
        <f t="shared" si="26"/>
        <v>10714.67982585</v>
      </c>
      <c r="R61" s="1284">
        <f t="shared" si="27"/>
        <v>563.93051715000001</v>
      </c>
      <c r="S61" s="1306">
        <f>K61*0.05*L61</f>
        <v>563.93051715000001</v>
      </c>
      <c r="T61" s="1289"/>
      <c r="U61" s="1291"/>
      <c r="V61" s="1293"/>
      <c r="W61" s="1293">
        <f t="shared" si="24"/>
        <v>0</v>
      </c>
      <c r="X61" s="1293">
        <f>INDEX('05月提成-武侯售后'!K:K,MATCH(C61,'05月提成-武侯售后'!C:C,0))-Q61</f>
        <v>0</v>
      </c>
      <c r="Y61" s="1293"/>
      <c r="Z61" s="1356"/>
      <c r="AA61" s="1356"/>
      <c r="AB61" s="1356"/>
      <c r="AC61" s="1356"/>
      <c r="AD61" s="1356"/>
      <c r="AE61" s="1356"/>
      <c r="AF61" s="1357"/>
      <c r="AG61" s="1357"/>
      <c r="AH61" s="1357"/>
      <c r="AI61" s="1268"/>
    </row>
    <row r="62" spans="1:35" s="1248" customFormat="1" ht="14.1" customHeight="1">
      <c r="A62" s="1298"/>
      <c r="B62" s="1761"/>
      <c r="C62" s="1311" t="s">
        <v>232</v>
      </c>
      <c r="D62" s="1312"/>
      <c r="E62" s="1313"/>
      <c r="F62" s="1313"/>
      <c r="G62" s="1313"/>
      <c r="H62" s="1314"/>
      <c r="I62" s="1313"/>
      <c r="J62" s="1313"/>
      <c r="K62" s="1313"/>
      <c r="L62" s="1358">
        <f t="shared" ref="L62:T62" si="28">SUM(L57:L61)</f>
        <v>1.35E-2</v>
      </c>
      <c r="M62" s="1358">
        <f t="shared" si="28"/>
        <v>4.4000000000000003E-3</v>
      </c>
      <c r="N62" s="1358">
        <f t="shared" si="28"/>
        <v>0</v>
      </c>
      <c r="O62" s="1313">
        <f t="shared" si="28"/>
        <v>52789.9945278179</v>
      </c>
      <c r="P62" s="1358">
        <f t="shared" si="28"/>
        <v>0</v>
      </c>
      <c r="Q62" s="1313">
        <f t="shared" si="28"/>
        <v>52789.9945278179</v>
      </c>
      <c r="R62" s="1358">
        <f t="shared" si="28"/>
        <v>3089.514140022</v>
      </c>
      <c r="S62" s="1315">
        <f t="shared" si="28"/>
        <v>3089.514140022</v>
      </c>
      <c r="T62" s="1358">
        <f t="shared" si="28"/>
        <v>0</v>
      </c>
      <c r="U62" s="1291"/>
      <c r="V62" s="1293"/>
      <c r="W62" s="1293">
        <f t="shared" si="24"/>
        <v>0</v>
      </c>
      <c r="X62" s="1293">
        <f>INDEX('05月提成-武侯售后'!K:K,MATCH(C62,'05月提成-武侯售后'!C:C,0))-Q62</f>
        <v>-21526.996880733099</v>
      </c>
      <c r="Y62" s="1293"/>
      <c r="Z62" s="1293"/>
      <c r="AA62" s="1293"/>
      <c r="AB62" s="1293"/>
      <c r="AC62" s="1293"/>
      <c r="AD62" s="1293"/>
      <c r="AE62" s="1293"/>
      <c r="AF62" s="1268"/>
      <c r="AG62" s="1268"/>
      <c r="AH62" s="1268"/>
      <c r="AI62" s="1268"/>
    </row>
    <row r="63" spans="1:35" s="1250" customFormat="1" ht="14.1" customHeight="1">
      <c r="A63" s="1298">
        <v>46</v>
      </c>
      <c r="B63" s="1760" t="s">
        <v>340</v>
      </c>
      <c r="C63" s="1334" t="s">
        <v>196</v>
      </c>
      <c r="D63" s="1335"/>
      <c r="E63" s="1336"/>
      <c r="F63" s="1336"/>
      <c r="G63" s="1336"/>
      <c r="H63" s="1337"/>
      <c r="I63" s="1336"/>
      <c r="J63" s="1338"/>
      <c r="K63" s="1336"/>
      <c r="L63" s="1339"/>
      <c r="M63" s="1340"/>
      <c r="N63" s="1288"/>
      <c r="O63" s="1341">
        <v>6800</v>
      </c>
      <c r="P63" s="1342"/>
      <c r="Q63" s="1336">
        <f t="shared" si="26"/>
        <v>6800</v>
      </c>
      <c r="R63" s="1336">
        <f t="shared" si="27"/>
        <v>0</v>
      </c>
      <c r="S63" s="1359">
        <f>J63*0.014*0.05</f>
        <v>0</v>
      </c>
      <c r="T63" s="1336"/>
      <c r="U63" s="1291"/>
      <c r="V63" s="1293"/>
      <c r="W63" s="1293">
        <f t="shared" si="24"/>
        <v>0</v>
      </c>
      <c r="X63" s="1293" t="e">
        <f>INDEX('05月提成-武侯售后'!K:K,MATCH(C63,'05月提成-武侯售后'!C:C,0))-Q63</f>
        <v>#N/A</v>
      </c>
      <c r="Y63" s="1293"/>
      <c r="Z63" s="1344"/>
      <c r="AA63" s="1344"/>
      <c r="AB63" s="1344"/>
      <c r="AC63" s="1344"/>
      <c r="AD63" s="1344"/>
      <c r="AE63" s="1344"/>
      <c r="AF63" s="1345"/>
      <c r="AG63" s="1345"/>
      <c r="AH63" s="1345"/>
      <c r="AI63" s="1268"/>
    </row>
    <row r="64" spans="1:35" s="1250" customFormat="1" ht="14.1" customHeight="1">
      <c r="A64" s="1298">
        <v>46</v>
      </c>
      <c r="B64" s="1760"/>
      <c r="C64" s="1334" t="s">
        <v>212</v>
      </c>
      <c r="D64" s="1335"/>
      <c r="E64" s="1336"/>
      <c r="F64" s="1336"/>
      <c r="G64" s="1336"/>
      <c r="H64" s="1337"/>
      <c r="I64" s="1336"/>
      <c r="J64" s="1338">
        <f>$E$5</f>
        <v>1728296.53</v>
      </c>
      <c r="K64" s="1336"/>
      <c r="L64" s="1339">
        <v>6.4999999999999997E-3</v>
      </c>
      <c r="M64" s="1340"/>
      <c r="N64" s="1288"/>
      <c r="O64" s="1341">
        <f>J64*L64*0.95</f>
        <v>10672.231072750001</v>
      </c>
      <c r="P64" s="1342"/>
      <c r="Q64" s="1336">
        <f t="shared" si="26"/>
        <v>10672.231072750001</v>
      </c>
      <c r="R64" s="1336">
        <f t="shared" si="27"/>
        <v>561.69637224999997</v>
      </c>
      <c r="S64" s="1360">
        <f>J64*L64*0.05</f>
        <v>561.69637224999997</v>
      </c>
      <c r="T64" s="1336"/>
      <c r="U64" s="1291"/>
      <c r="V64" s="1293"/>
      <c r="W64" s="1293">
        <f t="shared" si="24"/>
        <v>0</v>
      </c>
      <c r="X64" s="1293" t="e">
        <f>INDEX('05月提成-武侯售后'!K:K,MATCH(C64,'05月提成-武侯售后'!C:C,0))-Q64</f>
        <v>#N/A</v>
      </c>
      <c r="Y64" s="1293"/>
      <c r="Z64" s="1344"/>
      <c r="AA64" s="1344"/>
      <c r="AB64" s="1344"/>
      <c r="AC64" s="1344"/>
      <c r="AD64" s="1344"/>
      <c r="AE64" s="1344"/>
      <c r="AF64" s="1345"/>
      <c r="AG64" s="1345"/>
      <c r="AH64" s="1345"/>
      <c r="AI64" s="1268"/>
    </row>
    <row r="65" spans="1:35" s="1250" customFormat="1" ht="14.1" customHeight="1">
      <c r="A65" s="1298">
        <v>47</v>
      </c>
      <c r="B65" s="1760" t="s">
        <v>335</v>
      </c>
      <c r="C65" s="1334" t="s">
        <v>222</v>
      </c>
      <c r="D65" s="1335"/>
      <c r="E65" s="1336"/>
      <c r="F65" s="1336"/>
      <c r="G65" s="1336"/>
      <c r="H65" s="1337"/>
      <c r="I65" s="1336"/>
      <c r="J65" s="1338">
        <f>$E$5</f>
        <v>1728296.53</v>
      </c>
      <c r="K65" s="1336"/>
      <c r="L65" s="1339">
        <v>6.1999999999999998E-3</v>
      </c>
      <c r="M65" s="1340"/>
      <c r="N65" s="1289"/>
      <c r="O65" s="1341">
        <f>$J$65*$L$65*0.95</f>
        <v>10179.6665617</v>
      </c>
      <c r="P65" s="1342"/>
      <c r="Q65" s="1336">
        <f t="shared" si="26"/>
        <v>10179.6665617</v>
      </c>
      <c r="R65" s="1336">
        <f t="shared" si="27"/>
        <v>691.31861200000105</v>
      </c>
      <c r="S65" s="1360">
        <f>J65*0.008*0.05</f>
        <v>691.31861200000105</v>
      </c>
      <c r="T65" s="1336"/>
      <c r="U65" s="1291"/>
      <c r="V65" s="1293"/>
      <c r="W65" s="1293">
        <f t="shared" si="24"/>
        <v>0</v>
      </c>
      <c r="X65" s="1293" t="e">
        <f>INDEX('05月提成-武侯售后'!K:K,MATCH(C65,'05月提成-武侯售后'!C:C,0))-Q65</f>
        <v>#N/A</v>
      </c>
      <c r="Y65" s="1293"/>
      <c r="Z65" s="1344"/>
      <c r="AA65" s="1344"/>
      <c r="AB65" s="1344"/>
      <c r="AC65" s="1344"/>
      <c r="AD65" s="1344"/>
      <c r="AE65" s="1344"/>
      <c r="AF65" s="1345"/>
      <c r="AG65" s="1345"/>
      <c r="AH65" s="1345"/>
      <c r="AI65" s="1268"/>
    </row>
    <row r="66" spans="1:35" s="1250" customFormat="1" ht="14.1" customHeight="1">
      <c r="A66" s="1298">
        <v>48</v>
      </c>
      <c r="B66" s="1760"/>
      <c r="C66" s="1361" t="s">
        <v>223</v>
      </c>
      <c r="D66" s="1335"/>
      <c r="E66" s="1336"/>
      <c r="F66" s="1336"/>
      <c r="G66" s="1336"/>
      <c r="H66" s="1337"/>
      <c r="I66" s="1336"/>
      <c r="J66" s="1338">
        <f>J65</f>
        <v>1728296.53</v>
      </c>
      <c r="K66" s="1336"/>
      <c r="L66" s="1339">
        <v>6.1999999999999998E-3</v>
      </c>
      <c r="M66" s="1340"/>
      <c r="N66" s="1289"/>
      <c r="O66" s="1341">
        <f>$J$66*$L$66*0.95</f>
        <v>10179.6665617</v>
      </c>
      <c r="P66" s="1342"/>
      <c r="Q66" s="1336">
        <f t="shared" ref="Q66:Q69" si="29">(N66+O66+P66)</f>
        <v>10179.6665617</v>
      </c>
      <c r="R66" s="1336">
        <f t="shared" ref="R66:R69" si="30">SUM(S66:T66)</f>
        <v>267.88596215000001</v>
      </c>
      <c r="S66" s="1360">
        <f>J66*L66/30*15*0.05</f>
        <v>267.88596215000001</v>
      </c>
      <c r="T66" s="1336"/>
      <c r="U66" s="1291"/>
      <c r="V66" s="1293"/>
      <c r="W66" s="1293"/>
      <c r="X66" s="1293"/>
      <c r="Y66" s="1293"/>
      <c r="Z66" s="1344"/>
      <c r="AA66" s="1344"/>
      <c r="AB66" s="1344"/>
      <c r="AC66" s="1344"/>
      <c r="AD66" s="1344"/>
      <c r="AE66" s="1344"/>
      <c r="AF66" s="1345"/>
      <c r="AG66" s="1345"/>
      <c r="AH66" s="1345"/>
      <c r="AI66" s="1268"/>
    </row>
    <row r="67" spans="1:35" s="1251" customFormat="1" ht="14.1" customHeight="1">
      <c r="A67" s="1298">
        <v>49</v>
      </c>
      <c r="B67" s="1760"/>
      <c r="C67" s="1346" t="s">
        <v>201</v>
      </c>
      <c r="D67" s="1347"/>
      <c r="E67" s="1341"/>
      <c r="F67" s="1341"/>
      <c r="G67" s="1341"/>
      <c r="H67" s="1348"/>
      <c r="I67" s="1341"/>
      <c r="J67" s="1338"/>
      <c r="K67" s="1341"/>
      <c r="L67" s="1349"/>
      <c r="M67" s="1350"/>
      <c r="N67" s="1302">
        <v>4100</v>
      </c>
      <c r="O67" s="1362"/>
      <c r="P67" s="1342"/>
      <c r="Q67" s="1341">
        <f t="shared" si="29"/>
        <v>4100</v>
      </c>
      <c r="R67" s="1341">
        <f t="shared" si="30"/>
        <v>83.34</v>
      </c>
      <c r="S67" s="1306">
        <v>83.34</v>
      </c>
      <c r="T67" s="1341"/>
      <c r="U67" s="1307"/>
      <c r="V67" s="1308"/>
      <c r="W67" s="1308">
        <f>N67+O67-Q67</f>
        <v>0</v>
      </c>
      <c r="X67" s="1293" t="e">
        <f>INDEX('05月提成-武侯售后'!K:K,MATCH(C67,'05月提成-武侯售后'!C:C,0))-Q67</f>
        <v>#N/A</v>
      </c>
      <c r="Y67" s="1293"/>
      <c r="Z67" s="1352"/>
      <c r="AA67" s="1352"/>
      <c r="AB67" s="1352"/>
      <c r="AC67" s="1352"/>
      <c r="AD67" s="1352"/>
      <c r="AE67" s="1352"/>
      <c r="AF67" s="1353"/>
      <c r="AG67" s="1353"/>
      <c r="AH67" s="1353"/>
      <c r="AI67" s="1309"/>
    </row>
    <row r="68" spans="1:35" s="1251" customFormat="1" ht="14.1" customHeight="1">
      <c r="A68" s="1298">
        <v>50</v>
      </c>
      <c r="B68" s="1760"/>
      <c r="C68" s="1346" t="s">
        <v>202</v>
      </c>
      <c r="D68" s="1347"/>
      <c r="E68" s="1341"/>
      <c r="F68" s="1341"/>
      <c r="G68" s="1341"/>
      <c r="H68" s="1348"/>
      <c r="I68" s="1341"/>
      <c r="J68" s="1338"/>
      <c r="K68" s="1341"/>
      <c r="L68" s="1349"/>
      <c r="M68" s="1350"/>
      <c r="N68" s="1302">
        <v>5500</v>
      </c>
      <c r="O68" s="1362"/>
      <c r="P68" s="1342"/>
      <c r="Q68" s="1341">
        <f t="shared" si="29"/>
        <v>5500</v>
      </c>
      <c r="R68" s="1341">
        <f t="shared" si="30"/>
        <v>83.34</v>
      </c>
      <c r="S68" s="1306">
        <v>83.34</v>
      </c>
      <c r="T68" s="1341"/>
      <c r="U68" s="1307"/>
      <c r="V68" s="1308"/>
      <c r="W68" s="1308">
        <f>N68+O68-Q68</f>
        <v>0</v>
      </c>
      <c r="X68" s="1293" t="e">
        <f>INDEX('05月提成-武侯售后'!K:K,MATCH(C68,'05月提成-武侯售后'!C:C,0))-Q68</f>
        <v>#N/A</v>
      </c>
      <c r="Y68" s="1293"/>
      <c r="Z68" s="1352"/>
      <c r="AA68" s="1352"/>
      <c r="AB68" s="1352"/>
      <c r="AC68" s="1352"/>
      <c r="AD68" s="1352"/>
      <c r="AE68" s="1352"/>
      <c r="AF68" s="1353"/>
      <c r="AG68" s="1353"/>
      <c r="AH68" s="1353"/>
      <c r="AI68" s="1309"/>
    </row>
    <row r="69" spans="1:35" s="1248" customFormat="1" ht="14.1" customHeight="1">
      <c r="A69" s="1298">
        <v>51</v>
      </c>
      <c r="B69" s="1760"/>
      <c r="C69" s="1334" t="s">
        <v>200</v>
      </c>
      <c r="D69" s="1283"/>
      <c r="E69" s="1284"/>
      <c r="F69" s="1284"/>
      <c r="G69" s="1284"/>
      <c r="H69" s="1286"/>
      <c r="I69" s="1284"/>
      <c r="J69" s="1284">
        <f>E5-I5</f>
        <v>1728286.53</v>
      </c>
      <c r="K69" s="1284"/>
      <c r="L69" s="1354">
        <v>6.0000000000000001E-3</v>
      </c>
      <c r="M69" s="1340"/>
      <c r="N69" s="1289"/>
      <c r="O69" s="1341">
        <f>$J$69*$L$69*0.95</f>
        <v>9851.2332210000095</v>
      </c>
      <c r="P69" s="1342"/>
      <c r="Q69" s="1336">
        <f t="shared" si="29"/>
        <v>9851.2332210000095</v>
      </c>
      <c r="R69" s="1336">
        <f t="shared" si="30"/>
        <v>518.48895900000002</v>
      </c>
      <c r="S69" s="1351">
        <f>$J$65*$L$69*0.05</f>
        <v>518.48895900000002</v>
      </c>
      <c r="T69" s="1284"/>
      <c r="U69" s="1291"/>
      <c r="V69" s="1293"/>
      <c r="W69" s="1293">
        <f>N69+O69-Q69</f>
        <v>0</v>
      </c>
      <c r="X69" s="1293" t="e">
        <f>INDEX('05月提成-武侯售后'!K:K,MATCH(C69,'05月提成-武侯售后'!C:C,0))-Q69</f>
        <v>#N/A</v>
      </c>
      <c r="Y69" s="1293"/>
      <c r="Z69" s="1293"/>
      <c r="AA69" s="1293"/>
      <c r="AB69" s="1293"/>
      <c r="AC69" s="1293"/>
      <c r="AD69" s="1293"/>
      <c r="AE69" s="1293"/>
      <c r="AF69" s="1268"/>
      <c r="AG69" s="1268"/>
      <c r="AH69" s="1268"/>
      <c r="AI69" s="1268"/>
    </row>
    <row r="70" spans="1:35" s="1248" customFormat="1" ht="14.1" customHeight="1">
      <c r="A70" s="1298"/>
      <c r="B70" s="1316"/>
      <c r="C70" s="1311" t="s">
        <v>232</v>
      </c>
      <c r="D70" s="1313">
        <f t="shared" ref="D70:I70" si="31">SUM(D65:D69)</f>
        <v>0</v>
      </c>
      <c r="E70" s="1313">
        <f t="shared" si="31"/>
        <v>0</v>
      </c>
      <c r="F70" s="1313">
        <f t="shared" si="31"/>
        <v>0</v>
      </c>
      <c r="G70" s="1313">
        <f t="shared" si="31"/>
        <v>0</v>
      </c>
      <c r="H70" s="1313">
        <f t="shared" si="31"/>
        <v>0</v>
      </c>
      <c r="I70" s="1313">
        <f t="shared" si="31"/>
        <v>0</v>
      </c>
      <c r="J70" s="1313"/>
      <c r="K70" s="1313">
        <f t="shared" ref="K70:S70" si="32">SUM(K63:K69)</f>
        <v>0</v>
      </c>
      <c r="L70" s="1313">
        <f t="shared" si="32"/>
        <v>2.4899999999999999E-2</v>
      </c>
      <c r="M70" s="1313">
        <f t="shared" si="32"/>
        <v>0</v>
      </c>
      <c r="N70" s="1313">
        <f t="shared" si="32"/>
        <v>9600</v>
      </c>
      <c r="O70" s="1313">
        <f t="shared" si="32"/>
        <v>47682.797417150003</v>
      </c>
      <c r="P70" s="1313">
        <f t="shared" si="32"/>
        <v>0</v>
      </c>
      <c r="Q70" s="1313">
        <f t="shared" si="32"/>
        <v>57282.797417150003</v>
      </c>
      <c r="R70" s="1313">
        <f t="shared" si="32"/>
        <v>2206.0699054000002</v>
      </c>
      <c r="S70" s="1313">
        <f t="shared" si="32"/>
        <v>2206.0699054000002</v>
      </c>
      <c r="T70" s="1313">
        <f>SUM(T65:T69)</f>
        <v>0</v>
      </c>
      <c r="U70" s="1313">
        <f>SUM(U65:U69)</f>
        <v>0</v>
      </c>
      <c r="V70" s="1293"/>
      <c r="W70" s="1293">
        <f>N70+O70-Q70</f>
        <v>0</v>
      </c>
      <c r="X70" s="1293">
        <f>INDEX('05月提成-武侯售后'!K:K,MATCH(C70,'05月提成-武侯售后'!C:C,0))-Q70</f>
        <v>-26019.799770065201</v>
      </c>
      <c r="Y70" s="1293"/>
      <c r="Z70" s="1293"/>
      <c r="AA70" s="1293"/>
      <c r="AB70" s="1293"/>
      <c r="AC70" s="1293"/>
      <c r="AD70" s="1293"/>
      <c r="AE70" s="1293"/>
      <c r="AF70" s="1268"/>
      <c r="AG70" s="1268"/>
      <c r="AH70" s="1268"/>
      <c r="AI70" s="1268"/>
    </row>
    <row r="71" spans="1:35" s="1248" customFormat="1" ht="14.1" customHeight="1">
      <c r="A71" s="1363">
        <v>52</v>
      </c>
      <c r="B71" s="1760" t="s">
        <v>181</v>
      </c>
      <c r="C71" s="1364" t="s">
        <v>176</v>
      </c>
      <c r="D71" s="1365"/>
      <c r="E71" s="1366"/>
      <c r="F71" s="1366"/>
      <c r="G71" s="1366"/>
      <c r="H71" s="1367"/>
      <c r="I71" s="1366">
        <v>12</v>
      </c>
      <c r="J71" s="1366"/>
      <c r="K71" s="1368">
        <v>757</v>
      </c>
      <c r="L71" s="1369">
        <v>0.32</v>
      </c>
      <c r="M71" s="1370"/>
      <c r="N71" s="1289">
        <f>综合考核!Z27</f>
        <v>0</v>
      </c>
      <c r="O71" s="1302">
        <f>K71*I71*L71</f>
        <v>2906.88</v>
      </c>
      <c r="P71" s="1371"/>
      <c r="Q71" s="1284">
        <f>O71+M71+N71</f>
        <v>2906.88</v>
      </c>
      <c r="R71" s="1372">
        <v>83.34</v>
      </c>
      <c r="S71" s="1373">
        <v>83.34</v>
      </c>
      <c r="T71" s="1366"/>
      <c r="U71" s="1291"/>
      <c r="V71" s="1356">
        <v>1300</v>
      </c>
      <c r="W71" s="1293">
        <f>3500</f>
        <v>3500</v>
      </c>
      <c r="X71" s="1293">
        <f>INDEX('05月提成-武侯售后'!K:K,MATCH(C71,'05月提成-武侯售后'!C:C,0))-Q71</f>
        <v>0</v>
      </c>
      <c r="Y71" s="1356"/>
      <c r="Z71" s="1356"/>
      <c r="AA71" s="1356">
        <f>V71+O71</f>
        <v>4206.88</v>
      </c>
      <c r="AB71" s="1356"/>
      <c r="AC71" s="1356"/>
      <c r="AD71" s="1356"/>
      <c r="AE71" s="1356"/>
      <c r="AF71" s="1357"/>
      <c r="AG71" s="1357"/>
      <c r="AH71" s="1357"/>
      <c r="AI71" s="1268"/>
    </row>
    <row r="72" spans="1:35" s="1248" customFormat="1" ht="14.1" customHeight="1">
      <c r="A72" s="1363">
        <v>53</v>
      </c>
      <c r="B72" s="1762"/>
      <c r="C72" s="1364" t="s">
        <v>178</v>
      </c>
      <c r="D72" s="1365"/>
      <c r="E72" s="1366"/>
      <c r="F72" s="1366"/>
      <c r="G72" s="1366"/>
      <c r="H72" s="1367"/>
      <c r="I72" s="1366">
        <v>12</v>
      </c>
      <c r="J72" s="1366"/>
      <c r="K72" s="1368">
        <v>757</v>
      </c>
      <c r="L72" s="1369">
        <v>0.32</v>
      </c>
      <c r="M72" s="1370"/>
      <c r="N72" s="1289">
        <f>综合考核!Z27</f>
        <v>0</v>
      </c>
      <c r="O72" s="1302">
        <f>K72*I72*L72</f>
        <v>2906.88</v>
      </c>
      <c r="P72" s="1371"/>
      <c r="Q72" s="1284">
        <f>O72+M72+N72</f>
        <v>2906.88</v>
      </c>
      <c r="R72" s="1372">
        <f>SUM(S72:T72)</f>
        <v>83.34</v>
      </c>
      <c r="S72" s="1373">
        <v>83.34</v>
      </c>
      <c r="T72" s="1366"/>
      <c r="U72" s="1291"/>
      <c r="V72" s="1356">
        <v>1250</v>
      </c>
      <c r="W72" s="1293">
        <v>3500</v>
      </c>
      <c r="X72" s="1293">
        <f>INDEX('05月提成-武侯售后'!K:K,MATCH(C72,'05月提成-武侯售后'!C:C,0))-Q72</f>
        <v>0</v>
      </c>
      <c r="Y72" s="1356"/>
      <c r="Z72" s="1356"/>
      <c r="AA72" s="1356">
        <f>V72+O72</f>
        <v>4156.88</v>
      </c>
      <c r="AB72" s="1356"/>
      <c r="AC72" s="1356"/>
      <c r="AD72" s="1356"/>
      <c r="AE72" s="1356"/>
      <c r="AF72" s="1356"/>
      <c r="AG72" s="1357"/>
      <c r="AH72" s="1357"/>
      <c r="AI72" s="1357"/>
    </row>
    <row r="73" spans="1:35" s="1248" customFormat="1" ht="14.1" customHeight="1">
      <c r="A73" s="1363">
        <v>53</v>
      </c>
      <c r="B73" s="1762"/>
      <c r="C73" s="1364" t="s">
        <v>177</v>
      </c>
      <c r="D73" s="1365"/>
      <c r="E73" s="1366"/>
      <c r="F73" s="1366"/>
      <c r="G73" s="1366"/>
      <c r="H73" s="1367"/>
      <c r="I73" s="1366">
        <v>12</v>
      </c>
      <c r="J73" s="1366"/>
      <c r="K73" s="1368">
        <v>757</v>
      </c>
      <c r="L73" s="1369">
        <v>0.36</v>
      </c>
      <c r="M73" s="1370"/>
      <c r="N73" s="1289">
        <f>综合考核!Z28</f>
        <v>0</v>
      </c>
      <c r="O73" s="1302">
        <f>K73*I73*L73</f>
        <v>3270.24</v>
      </c>
      <c r="P73" s="1371"/>
      <c r="Q73" s="1284">
        <f>O73+M73+N73</f>
        <v>3270.24</v>
      </c>
      <c r="R73" s="1372">
        <f>SUM(S73:T73)</f>
        <v>83.34</v>
      </c>
      <c r="S73" s="1373">
        <v>83.34</v>
      </c>
      <c r="T73" s="1366"/>
      <c r="U73" s="1291"/>
      <c r="V73" s="1356">
        <v>1250</v>
      </c>
      <c r="W73" s="1293">
        <v>3500</v>
      </c>
      <c r="X73" s="1293">
        <f>INDEX('05月提成-武侯售后'!K:K,MATCH(C73,'05月提成-武侯售后'!C:C,0))-Q73</f>
        <v>0</v>
      </c>
      <c r="Y73" s="1356"/>
      <c r="Z73" s="1356"/>
      <c r="AA73" s="1356">
        <f>V73+O73</f>
        <v>4520.24</v>
      </c>
      <c r="AB73" s="1356"/>
      <c r="AC73" s="1356"/>
      <c r="AD73" s="1356"/>
      <c r="AE73" s="1356"/>
      <c r="AF73" s="1356"/>
      <c r="AG73" s="1357"/>
      <c r="AH73" s="1357"/>
      <c r="AI73" s="1357"/>
    </row>
    <row r="74" spans="1:35" s="1248" customFormat="1" ht="14.1" customHeight="1">
      <c r="A74" s="1363"/>
      <c r="B74" s="1296"/>
      <c r="C74" s="1311" t="s">
        <v>232</v>
      </c>
      <c r="D74" s="1312"/>
      <c r="E74" s="1313"/>
      <c r="F74" s="1313"/>
      <c r="G74" s="1313"/>
      <c r="H74" s="1314"/>
      <c r="I74" s="1313"/>
      <c r="J74" s="1313"/>
      <c r="K74" s="1313"/>
      <c r="L74" s="1358">
        <f>SUM(L71:L73)</f>
        <v>1</v>
      </c>
      <c r="M74" s="1358">
        <f>SUM(M71:M73)</f>
        <v>0</v>
      </c>
      <c r="N74" s="1358">
        <f>SUM(N71:N73)</f>
        <v>0</v>
      </c>
      <c r="O74" s="1313">
        <f>SUM(O71:O73)</f>
        <v>9084</v>
      </c>
      <c r="P74" s="1313">
        <f t="shared" ref="P74:U74" si="33">SUM(P71:P73)</f>
        <v>0</v>
      </c>
      <c r="Q74" s="1313">
        <f t="shared" si="33"/>
        <v>9084</v>
      </c>
      <c r="R74" s="1313">
        <f t="shared" si="33"/>
        <v>250.02</v>
      </c>
      <c r="S74" s="1315">
        <f t="shared" si="33"/>
        <v>250.02</v>
      </c>
      <c r="T74" s="1313">
        <f t="shared" si="33"/>
        <v>0</v>
      </c>
      <c r="U74" s="1313">
        <f t="shared" si="33"/>
        <v>0</v>
      </c>
      <c r="V74" s="1356"/>
      <c r="W74" s="1293"/>
      <c r="X74" s="1293"/>
      <c r="Y74" s="1356"/>
      <c r="Z74" s="1356"/>
      <c r="AA74" s="1356"/>
      <c r="AB74" s="1356"/>
      <c r="AC74" s="1356"/>
      <c r="AD74" s="1356"/>
      <c r="AE74" s="1356"/>
      <c r="AF74" s="1356"/>
      <c r="AG74" s="1357"/>
      <c r="AH74" s="1357"/>
      <c r="AI74" s="1357"/>
    </row>
    <row r="75" spans="1:35" s="1248" customFormat="1" ht="14.1" customHeight="1">
      <c r="A75" s="1374"/>
      <c r="B75" s="1375"/>
      <c r="C75" s="1375" t="s">
        <v>311</v>
      </c>
      <c r="D75" s="1376">
        <f t="shared" ref="D75:O75" si="34">D14+D49+D56+D62+D19+D28+D70+D74+D45</f>
        <v>0</v>
      </c>
      <c r="E75" s="1376">
        <f t="shared" si="34"/>
        <v>0</v>
      </c>
      <c r="F75" s="1376">
        <f t="shared" si="34"/>
        <v>0</v>
      </c>
      <c r="G75" s="1376">
        <f t="shared" si="34"/>
        <v>0</v>
      </c>
      <c r="H75" s="1376">
        <f t="shared" si="34"/>
        <v>0</v>
      </c>
      <c r="I75" s="1376">
        <f t="shared" si="34"/>
        <v>0</v>
      </c>
      <c r="J75" s="1376">
        <f t="shared" si="34"/>
        <v>0</v>
      </c>
      <c r="K75" s="1376">
        <f t="shared" si="34"/>
        <v>0</v>
      </c>
      <c r="L75" s="1376">
        <f t="shared" si="34"/>
        <v>4.0272300000000003</v>
      </c>
      <c r="M75" s="1376">
        <f t="shared" si="34"/>
        <v>600.00490000000002</v>
      </c>
      <c r="N75" s="1376">
        <f t="shared" si="34"/>
        <v>28410.257000000001</v>
      </c>
      <c r="O75" s="1376">
        <f t="shared" si="34"/>
        <v>349971.44467444002</v>
      </c>
      <c r="P75" s="1376">
        <f t="shared" ref="P75:T75" si="35">P14+P49+P56+P62+P19+P28+P70+P74+P45</f>
        <v>0</v>
      </c>
      <c r="Q75" s="1376">
        <f t="shared" si="35"/>
        <v>380981.70217444003</v>
      </c>
      <c r="R75" s="1376">
        <f t="shared" si="35"/>
        <v>14700.1148608925</v>
      </c>
      <c r="S75" s="1376">
        <f t="shared" si="35"/>
        <v>14700.1148608925</v>
      </c>
      <c r="T75" s="1376">
        <f t="shared" si="35"/>
        <v>0</v>
      </c>
      <c r="U75" s="1376"/>
      <c r="V75" s="1293"/>
      <c r="W75" s="1293"/>
      <c r="X75" s="1293"/>
      <c r="Y75" s="1293"/>
      <c r="Z75" s="1293"/>
      <c r="AA75" s="1293"/>
      <c r="AB75" s="1293"/>
      <c r="AC75" s="1293"/>
      <c r="AD75" s="1293"/>
      <c r="AE75" s="1293"/>
      <c r="AF75" s="1293"/>
      <c r="AG75" s="1293"/>
      <c r="AH75" s="1293"/>
      <c r="AI75" s="1293"/>
    </row>
    <row r="76" spans="1:35" s="1248" customFormat="1" ht="10.8">
      <c r="A76" s="1377"/>
      <c r="D76" s="1357"/>
      <c r="E76" s="1268"/>
      <c r="F76" s="1268"/>
      <c r="G76" s="1268"/>
      <c r="H76" s="1378"/>
      <c r="I76" s="1268"/>
      <c r="J76" s="1268"/>
      <c r="K76" s="1268"/>
      <c r="L76" s="1268"/>
      <c r="M76" s="1268"/>
      <c r="N76" s="1268"/>
      <c r="O76" s="1268"/>
      <c r="P76" s="1379"/>
      <c r="Q76" s="1380"/>
      <c r="R76" s="1268"/>
      <c r="S76" s="1381"/>
      <c r="T76" s="1268"/>
      <c r="U76" s="1357"/>
      <c r="V76" s="1268">
        <f>3500/30*18</f>
        <v>2100</v>
      </c>
      <c r="W76" s="1268"/>
      <c r="X76" s="1268"/>
      <c r="Y76" s="1268"/>
      <c r="Z76" s="1268"/>
      <c r="AA76" s="1268"/>
      <c r="AB76" s="1268"/>
      <c r="AC76" s="1268"/>
      <c r="AD76" s="1268"/>
      <c r="AE76" s="1268"/>
      <c r="AF76" s="1268"/>
      <c r="AG76" s="1268"/>
      <c r="AH76" s="1268"/>
      <c r="AI76" s="1268"/>
    </row>
    <row r="77" spans="1:35" s="1248" customFormat="1" ht="10.8">
      <c r="A77" s="1377"/>
      <c r="D77" s="1357"/>
      <c r="E77" s="1268"/>
      <c r="F77" s="1268"/>
      <c r="G77" s="1268"/>
      <c r="H77" s="1378"/>
      <c r="I77" s="1268"/>
      <c r="J77" s="1268"/>
      <c r="K77" s="1268"/>
      <c r="L77" s="1268"/>
      <c r="M77" s="1268"/>
      <c r="N77" s="1268"/>
      <c r="O77" s="1268"/>
      <c r="P77" s="1379"/>
      <c r="Q77" s="1268"/>
      <c r="R77" s="1268"/>
      <c r="S77" s="1381"/>
      <c r="T77" s="1268"/>
      <c r="U77" s="1357"/>
      <c r="V77" s="1268"/>
      <c r="W77" s="1268"/>
      <c r="X77" s="1268"/>
      <c r="Y77" s="1268"/>
      <c r="Z77" s="1268"/>
      <c r="AA77" s="1268"/>
      <c r="AB77" s="1268"/>
      <c r="AC77" s="1268"/>
      <c r="AD77" s="1268"/>
      <c r="AE77" s="1268"/>
      <c r="AF77" s="1268"/>
      <c r="AG77" s="1268"/>
      <c r="AH77" s="1268"/>
      <c r="AI77" s="1268"/>
    </row>
    <row r="78" spans="1:35" s="1248" customFormat="1" ht="10.8">
      <c r="A78" s="1382" t="s">
        <v>341</v>
      </c>
      <c r="D78" s="1356">
        <v>30760000</v>
      </c>
      <c r="E78" s="1268"/>
      <c r="F78" s="1268"/>
      <c r="G78" s="1268"/>
      <c r="H78" s="1378"/>
      <c r="I78" s="1268"/>
      <c r="J78" s="1268"/>
      <c r="K78" s="1268"/>
      <c r="L78" s="1268"/>
      <c r="M78" s="1268"/>
      <c r="N78" s="1268"/>
      <c r="O78" s="1268"/>
      <c r="P78" s="1379"/>
      <c r="Q78" s="1268"/>
      <c r="R78" s="1268"/>
      <c r="S78" s="1381"/>
      <c r="T78" s="1268"/>
      <c r="U78" s="1357"/>
      <c r="V78" s="1268"/>
      <c r="W78" s="1268"/>
      <c r="X78" s="1268"/>
      <c r="Y78" s="1268"/>
      <c r="Z78" s="1268"/>
      <c r="AA78" s="1268"/>
      <c r="AB78" s="1268"/>
      <c r="AC78" s="1268"/>
      <c r="AD78" s="1268"/>
      <c r="AE78" s="1268"/>
      <c r="AF78" s="1268"/>
      <c r="AG78" s="1268"/>
      <c r="AH78" s="1268"/>
      <c r="AI78" s="1268"/>
    </row>
    <row r="79" spans="1:35" s="1248" customFormat="1" ht="10.8">
      <c r="A79" s="1382" t="s">
        <v>342</v>
      </c>
      <c r="D79" s="1356">
        <f>D78/12</f>
        <v>2563333.3333333302</v>
      </c>
      <c r="E79" s="1268"/>
      <c r="F79" s="1268"/>
      <c r="G79" s="1268"/>
      <c r="H79" s="1378"/>
      <c r="I79" s="1268"/>
      <c r="J79" s="1268"/>
      <c r="K79" s="1268"/>
      <c r="L79" s="1268"/>
      <c r="M79" s="1268"/>
      <c r="N79" s="1268"/>
      <c r="O79" s="1268"/>
      <c r="P79" s="1379"/>
      <c r="Q79" s="1268"/>
      <c r="R79" s="1268"/>
      <c r="S79" s="1381"/>
      <c r="T79" s="1268"/>
      <c r="U79" s="1357"/>
      <c r="V79" s="1268"/>
      <c r="W79" s="1268"/>
      <c r="X79" s="1268"/>
      <c r="Y79" s="1268"/>
      <c r="Z79" s="1268"/>
      <c r="AA79" s="1268"/>
      <c r="AB79" s="1268"/>
      <c r="AC79" s="1268"/>
      <c r="AD79" s="1268"/>
      <c r="AE79" s="1268"/>
      <c r="AF79" s="1268"/>
      <c r="AG79" s="1268"/>
      <c r="AH79" s="1268"/>
      <c r="AI79" s="1268"/>
    </row>
    <row r="80" spans="1:35" s="1248" customFormat="1" ht="10.8">
      <c r="A80" s="1377"/>
      <c r="C80" s="1377"/>
      <c r="D80" s="1356"/>
      <c r="E80" s="1268"/>
      <c r="F80" s="1268"/>
      <c r="G80" s="1268"/>
      <c r="H80" s="1378"/>
      <c r="I80" s="1268"/>
      <c r="J80" s="1268"/>
      <c r="K80" s="1268"/>
      <c r="L80" s="1268"/>
      <c r="M80" s="1268"/>
      <c r="N80" s="1268"/>
      <c r="O80" s="1268"/>
      <c r="P80" s="1379"/>
      <c r="Q80" s="1268"/>
      <c r="R80" s="1268"/>
      <c r="S80" s="1381"/>
      <c r="T80" s="1268"/>
      <c r="U80" s="1357"/>
      <c r="V80" s="1268"/>
      <c r="W80" s="1268"/>
      <c r="X80" s="1268"/>
      <c r="Y80" s="1268"/>
      <c r="Z80" s="1268"/>
      <c r="AA80" s="1268"/>
      <c r="AB80" s="1268"/>
      <c r="AC80" s="1268"/>
      <c r="AD80" s="1268"/>
      <c r="AE80" s="1268"/>
      <c r="AF80" s="1268"/>
      <c r="AG80" s="1268"/>
      <c r="AH80" s="1268"/>
      <c r="AI80" s="1268"/>
    </row>
    <row r="81" spans="1:35" s="1248" customFormat="1" ht="10.8">
      <c r="A81" s="1377"/>
      <c r="C81" s="1377"/>
      <c r="D81" s="1357"/>
      <c r="E81" s="1268"/>
      <c r="F81" s="1268"/>
      <c r="G81" s="1268"/>
      <c r="H81" s="1378"/>
      <c r="I81" s="1268"/>
      <c r="J81" s="1268"/>
      <c r="K81" s="1268"/>
      <c r="L81" s="1268"/>
      <c r="M81" s="1268"/>
      <c r="N81" s="1268"/>
      <c r="O81" s="1268"/>
      <c r="P81" s="1379"/>
      <c r="Q81" s="1268"/>
      <c r="R81" s="1268"/>
      <c r="S81" s="1381"/>
      <c r="T81" s="1268"/>
      <c r="U81" s="1357"/>
      <c r="V81" s="1268"/>
      <c r="W81" s="1268"/>
      <c r="X81" s="1268"/>
      <c r="Y81" s="1268"/>
      <c r="Z81" s="1268"/>
      <c r="AA81" s="1268"/>
      <c r="AB81" s="1268"/>
      <c r="AC81" s="1268"/>
      <c r="AD81" s="1268"/>
      <c r="AE81" s="1268"/>
      <c r="AF81" s="1268"/>
      <c r="AG81" s="1268"/>
      <c r="AH81" s="1268"/>
      <c r="AI81" s="1268"/>
    </row>
    <row r="82" spans="1:35" s="1248" customFormat="1" ht="10.8">
      <c r="A82" s="1377"/>
      <c r="C82" s="1377"/>
      <c r="D82" s="1357"/>
      <c r="E82" s="1268"/>
      <c r="F82" s="1268"/>
      <c r="G82" s="1268"/>
      <c r="H82" s="1378"/>
      <c r="I82" s="1268"/>
      <c r="J82" s="1268"/>
      <c r="K82" s="1268"/>
      <c r="L82" s="1268"/>
      <c r="M82" s="1268"/>
      <c r="N82" s="1268"/>
      <c r="O82" s="1268"/>
      <c r="P82" s="1379"/>
      <c r="Q82" s="1268"/>
      <c r="R82" s="1268"/>
      <c r="S82" s="1381"/>
      <c r="T82" s="1268"/>
      <c r="U82" s="1357"/>
      <c r="V82" s="1268"/>
      <c r="W82" s="1268"/>
      <c r="X82" s="1268"/>
      <c r="Y82" s="1268"/>
      <c r="Z82" s="1268"/>
      <c r="AA82" s="1268"/>
      <c r="AB82" s="1268"/>
      <c r="AC82" s="1268"/>
      <c r="AD82" s="1268"/>
      <c r="AE82" s="1268"/>
      <c r="AF82" s="1268"/>
      <c r="AG82" s="1268"/>
      <c r="AH82" s="1268"/>
      <c r="AI82" s="1268"/>
    </row>
    <row r="83" spans="1:35" s="1248" customFormat="1" ht="10.8">
      <c r="A83" s="1377"/>
      <c r="B83" s="1248" t="s">
        <v>343</v>
      </c>
      <c r="C83" s="1377"/>
      <c r="D83" s="1357"/>
      <c r="E83" s="1268"/>
      <c r="F83" s="1268"/>
      <c r="G83" s="1268"/>
      <c r="H83" s="1378"/>
      <c r="I83" s="1268"/>
      <c r="J83" s="1268"/>
      <c r="K83" s="1268"/>
      <c r="L83" s="1268"/>
      <c r="M83" s="1268"/>
      <c r="N83" s="1268"/>
      <c r="O83" s="1268"/>
      <c r="P83" s="1379"/>
      <c r="Q83" s="1268"/>
      <c r="R83" s="1268"/>
      <c r="S83" s="1381"/>
      <c r="T83" s="1268"/>
      <c r="U83" s="1357"/>
      <c r="V83" s="1268"/>
      <c r="W83" s="1268"/>
      <c r="X83" s="1268"/>
      <c r="Y83" s="1268"/>
      <c r="Z83" s="1268"/>
      <c r="AA83" s="1268"/>
      <c r="AB83" s="1268"/>
      <c r="AC83" s="1268"/>
      <c r="AD83" s="1268"/>
      <c r="AE83" s="1268"/>
      <c r="AF83" s="1268"/>
      <c r="AG83" s="1268"/>
      <c r="AH83" s="1268"/>
      <c r="AI83" s="1268"/>
    </row>
    <row r="84" spans="1:35">
      <c r="B84" s="30" t="s">
        <v>343</v>
      </c>
      <c r="C84" s="1377"/>
    </row>
    <row r="85" spans="1:35">
      <c r="B85" s="30" t="s">
        <v>344</v>
      </c>
      <c r="C85" s="1377"/>
    </row>
    <row r="86" spans="1:35">
      <c r="B86" s="30" t="s">
        <v>345</v>
      </c>
      <c r="C86" s="1377"/>
    </row>
    <row r="87" spans="1:35">
      <c r="B87" s="30" t="s">
        <v>345</v>
      </c>
      <c r="C87" s="1377"/>
    </row>
    <row r="88" spans="1:35">
      <c r="B88" s="30" t="s">
        <v>346</v>
      </c>
      <c r="C88" s="1377"/>
    </row>
    <row r="89" spans="1:35">
      <c r="B89" s="30" t="s">
        <v>346</v>
      </c>
      <c r="C89" s="1377"/>
    </row>
    <row r="90" spans="1:35">
      <c r="B90" s="30" t="s">
        <v>346</v>
      </c>
      <c r="C90" s="73"/>
    </row>
    <row r="91" spans="1:35">
      <c r="B91" s="30" t="s">
        <v>347</v>
      </c>
      <c r="C91" s="73"/>
    </row>
    <row r="92" spans="1:35">
      <c r="C92" s="73"/>
    </row>
    <row r="93" spans="1:35">
      <c r="C93" s="73"/>
    </row>
    <row r="94" spans="1:35">
      <c r="C94" s="73"/>
    </row>
    <row r="95" spans="1:35">
      <c r="C95" s="73"/>
    </row>
    <row r="96" spans="1:35">
      <c r="C96" s="73"/>
    </row>
    <row r="97" spans="3:3">
      <c r="C97" s="73"/>
    </row>
    <row r="98" spans="3:3">
      <c r="C98" s="73"/>
    </row>
    <row r="99" spans="3:3">
      <c r="C99" s="73"/>
    </row>
    <row r="100" spans="3:3">
      <c r="C100" s="73"/>
    </row>
    <row r="101" spans="3:3">
      <c r="C101" s="73"/>
    </row>
    <row r="102" spans="3:3">
      <c r="C102" s="73"/>
    </row>
    <row r="103" spans="3:3">
      <c r="C103" s="73"/>
    </row>
    <row r="104" spans="3:3">
      <c r="C104" s="73"/>
    </row>
    <row r="105" spans="3:3">
      <c r="C105" s="73"/>
    </row>
    <row r="106" spans="3:3">
      <c r="C106" s="73"/>
    </row>
    <row r="107" spans="3:3">
      <c r="C107" s="73"/>
    </row>
    <row r="108" spans="3:3">
      <c r="C108" s="73"/>
    </row>
    <row r="109" spans="3:3">
      <c r="C109" s="73"/>
    </row>
    <row r="110" spans="3:3">
      <c r="C110" s="73"/>
    </row>
    <row r="111" spans="3:3">
      <c r="C111" s="73"/>
    </row>
    <row r="112" spans="3:3">
      <c r="C112" s="73"/>
    </row>
    <row r="113" spans="3:3">
      <c r="C113" s="73"/>
    </row>
    <row r="114" spans="3:3">
      <c r="C114" s="73"/>
    </row>
    <row r="115" spans="3:3">
      <c r="C115" s="73"/>
    </row>
    <row r="116" spans="3:3">
      <c r="C116" s="73"/>
    </row>
    <row r="117" spans="3:3">
      <c r="C117" s="73"/>
    </row>
    <row r="118" spans="3:3">
      <c r="C118" s="73"/>
    </row>
    <row r="119" spans="3:3">
      <c r="C119" s="73"/>
    </row>
    <row r="120" spans="3:3">
      <c r="C120" s="73"/>
    </row>
  </sheetData>
  <autoFilter ref="A3:AI79" xr:uid="{00000000-0009-0000-0000-000003000000}"/>
  <mergeCells count="13">
    <mergeCell ref="B63:B64"/>
    <mergeCell ref="B65:B69"/>
    <mergeCell ref="B71:B73"/>
    <mergeCell ref="B20:B27"/>
    <mergeCell ref="B29:B44"/>
    <mergeCell ref="B46:B49"/>
    <mergeCell ref="B50:B56"/>
    <mergeCell ref="B57:B62"/>
    <mergeCell ref="A1:T1"/>
    <mergeCell ref="A2:C2"/>
    <mergeCell ref="B6:B7"/>
    <mergeCell ref="B8:B13"/>
    <mergeCell ref="B15:B19"/>
  </mergeCells>
  <phoneticPr fontId="5" type="noConversion"/>
  <conditionalFormatting sqref="C1:C8 C10:C11 C14:C15 C17 C19 C28 C46 C48:C52 C55:C62 C69:C71 C73:C79 C90:C65554 C65:C67">
    <cfRule type="expression" dxfId="1416" priority="3738" stopIfTrue="1">
      <formula>AND(COUNTIF($C$55:$C$65554,C1)+COUNTIF($C$28:$C$28,C1)+COUNTIF($C$1:$C$8,C1)+COUNTIF($C$19:$C$19,C1)+COUNTIF($C$10:$C$17,C1)+COUNTIF($C$48:$C$52,C1)+COUNTIF($C$46:$C$46,C1)&gt;1,NOT(ISBLANK(C1)))</formula>
    </cfRule>
  </conditionalFormatting>
  <conditionalFormatting sqref="C1:C11 C13:C23 C28:C33 C35 C39 C41 C43:C71 C73:C1048576">
    <cfRule type="duplicateValues" dxfId="1415" priority="67"/>
  </conditionalFormatting>
  <conditionalFormatting sqref="C1:C11 C14:C15 C17 C19:C22 C28:C31 C45:C62 C65:C66 C69:C71 C73:C79 C90:C65554">
    <cfRule type="duplicateValues" dxfId="1414" priority="352" stopIfTrue="1"/>
  </conditionalFormatting>
  <conditionalFormatting sqref="C1:C11 C14:C15 C17 C19:C22 C28:C31 C45:C62 C71 C73:C79 C90:C65554">
    <cfRule type="duplicateValues" dxfId="1413" priority="365" stopIfTrue="1"/>
  </conditionalFormatting>
  <conditionalFormatting sqref="C1:C11 C14:C17 C19:C23 C28:C33 C35 C39 C41 C44:C63 C65:C71 C73:C1048576">
    <cfRule type="duplicateValues" dxfId="1412" priority="93"/>
  </conditionalFormatting>
  <conditionalFormatting sqref="C1:C23 C28:C33 C35 C39:C1048576">
    <cfRule type="duplicateValues" dxfId="1411" priority="42"/>
  </conditionalFormatting>
  <conditionalFormatting sqref="C9">
    <cfRule type="duplicateValues" dxfId="1410" priority="384"/>
  </conditionalFormatting>
  <conditionalFormatting sqref="C12">
    <cfRule type="expression" dxfId="1409" priority="47" stopIfTrue="1">
      <formula>AND(COUNTIF($C$55:$C$65554,C12)+COUNTIF($C$28:$C$28,C12)+COUNTIF($C$1:$C$8,C12)+COUNTIF($C$19:$C$19,C12)+COUNTIF($C$10:$C$17,C12)+COUNTIF($C$48:$C$52,C12)+COUNTIF($C$46:$C$46,C12)&gt;1,NOT(ISBLANK(C12)))</formula>
    </cfRule>
    <cfRule type="duplicateValues" dxfId="1408" priority="43"/>
    <cfRule type="duplicateValues" dxfId="1407" priority="46" stopIfTrue="1"/>
    <cfRule type="duplicateValues" dxfId="1406" priority="45" stopIfTrue="1"/>
  </conditionalFormatting>
  <conditionalFormatting sqref="C13">
    <cfRule type="expression" dxfId="1405" priority="80" stopIfTrue="1">
      <formula>AND(COUNTIF($C$55:$C$65554,C13)+COUNTIF($C$28:$C$28,C13)+COUNTIF($C$1:$C$8,C13)+COUNTIF($C$19:$C$19,C13)+COUNTIF($C$10:$C$17,C13)+COUNTIF($C$48:$C$52,C13)+COUNTIF($C$46:$C$46,C13)&gt;1,NOT(ISBLANK(C13)))</formula>
    </cfRule>
    <cfRule type="duplicateValues" dxfId="1404" priority="79" stopIfTrue="1"/>
    <cfRule type="duplicateValues" dxfId="1403" priority="77"/>
    <cfRule type="duplicateValues" dxfId="1402" priority="78" stopIfTrue="1"/>
  </conditionalFormatting>
  <conditionalFormatting sqref="C16">
    <cfRule type="expression" dxfId="1401" priority="12528" stopIfTrue="1">
      <formula>AND(COUNTIF($C$55:$C$65554,C16)+COUNTIF($C$28:$C$28,C16)+COUNTIF($C$1:$C$8,C16)+COUNTIF($C$19:$C$19,C16)+COUNTIF($C$10:$C$17,C16)+COUNTIF($C$48:$C$52,C16)+COUNTIF($C$46:$C$46,C16)&gt;1,NOT(ISBLANK(C16)))</formula>
    </cfRule>
    <cfRule type="duplicateValues" dxfId="1400" priority="12527" stopIfTrue="1"/>
    <cfRule type="duplicateValues" dxfId="1399" priority="12526" stopIfTrue="1"/>
  </conditionalFormatting>
  <conditionalFormatting sqref="C18">
    <cfRule type="expression" dxfId="1398" priority="84" stopIfTrue="1">
      <formula>AND(COUNTIF($C$55:$C$65554,C18)+COUNTIF($C$28:$C$28,C18)+COUNTIF($C$1:$C$8,C18)+COUNTIF($C$19:$C$19,C18)+COUNTIF($C$10:$C$17,C18)+COUNTIF($C$48:$C$52,C18)+COUNTIF($C$46:$C$46,C18)&gt;1,NOT(ISBLANK(C18)))</formula>
    </cfRule>
    <cfRule type="duplicateValues" dxfId="1397" priority="83" stopIfTrue="1"/>
    <cfRule type="duplicateValues" dxfId="1396" priority="82" stopIfTrue="1"/>
    <cfRule type="duplicateValues" dxfId="1395" priority="81"/>
  </conditionalFormatting>
  <conditionalFormatting sqref="C20 C22">
    <cfRule type="duplicateValues" dxfId="1394" priority="3739" stopIfTrue="1"/>
  </conditionalFormatting>
  <conditionalFormatting sqref="C21">
    <cfRule type="duplicateValues" dxfId="1393" priority="388"/>
  </conditionalFormatting>
  <conditionalFormatting sqref="C23">
    <cfRule type="duplicateValues" dxfId="1392" priority="172"/>
    <cfRule type="duplicateValues" dxfId="1391" priority="171" stopIfTrue="1"/>
    <cfRule type="duplicateValues" dxfId="1390" priority="170" stopIfTrue="1"/>
  </conditionalFormatting>
  <conditionalFormatting sqref="C24">
    <cfRule type="duplicateValues" dxfId="1389" priority="35" stopIfTrue="1"/>
    <cfRule type="duplicateValues" dxfId="1388" priority="36"/>
    <cfRule type="duplicateValues" dxfId="1387" priority="34" stopIfTrue="1"/>
  </conditionalFormatting>
  <conditionalFormatting sqref="C24:C27">
    <cfRule type="duplicateValues" dxfId="1386" priority="27"/>
  </conditionalFormatting>
  <conditionalFormatting sqref="C25">
    <cfRule type="duplicateValues" dxfId="1385" priority="31" stopIfTrue="1"/>
    <cfRule type="duplicateValues" dxfId="1384" priority="33"/>
    <cfRule type="duplicateValues" dxfId="1383" priority="32" stopIfTrue="1"/>
  </conditionalFormatting>
  <conditionalFormatting sqref="C26">
    <cfRule type="duplicateValues" dxfId="1382" priority="29" stopIfTrue="1"/>
    <cfRule type="duplicateValues" dxfId="1381" priority="30"/>
    <cfRule type="duplicateValues" dxfId="1380" priority="28" stopIfTrue="1"/>
  </conditionalFormatting>
  <conditionalFormatting sqref="C27">
    <cfRule type="duplicateValues" dxfId="1379" priority="39"/>
    <cfRule type="duplicateValues" dxfId="1378" priority="37" stopIfTrue="1"/>
    <cfRule type="duplicateValues" dxfId="1377" priority="38" stopIfTrue="1"/>
  </conditionalFormatting>
  <conditionalFormatting sqref="C29 C32 C41">
    <cfRule type="expression" dxfId="1376" priority="5311" stopIfTrue="1">
      <formula>AND(COUNTIF(#REF!,C29)+COUNTIF($C$29:$C$29,C29)&gt;1,NOT(ISBLANK(C29)))</formula>
    </cfRule>
  </conditionalFormatting>
  <conditionalFormatting sqref="C30">
    <cfRule type="duplicateValues" dxfId="1375" priority="374"/>
  </conditionalFormatting>
  <conditionalFormatting sqref="C31">
    <cfRule type="duplicateValues" dxfId="1374" priority="366"/>
  </conditionalFormatting>
  <conditionalFormatting sqref="C32 C41">
    <cfRule type="duplicateValues" dxfId="1373" priority="335" stopIfTrue="1"/>
    <cfRule type="duplicateValues" dxfId="1372" priority="334" stopIfTrue="1"/>
  </conditionalFormatting>
  <conditionalFormatting sqref="C33">
    <cfRule type="duplicateValues" dxfId="1371" priority="149" stopIfTrue="1"/>
    <cfRule type="expression" dxfId="1370" priority="154" stopIfTrue="1">
      <formula>AND(COUNTIF(#REF!,C33)+COUNTIF($C$29:$C$29,C33)&gt;1,NOT(ISBLANK(C33)))</formula>
    </cfRule>
    <cfRule type="duplicateValues" dxfId="1369" priority="150" stopIfTrue="1"/>
  </conditionalFormatting>
  <conditionalFormatting sqref="C34">
    <cfRule type="expression" dxfId="1368" priority="24" stopIfTrue="1">
      <formula>AND(COUNTIF(#REF!,C34)+COUNTIF($C$29:$C$29,C34)&gt;1,NOT(ISBLANK(C34)))</formula>
    </cfRule>
    <cfRule type="duplicateValues" dxfId="1367" priority="23" stopIfTrue="1"/>
    <cfRule type="duplicateValues" dxfId="1366" priority="21"/>
    <cfRule type="duplicateValues" dxfId="1365" priority="22" stopIfTrue="1"/>
  </conditionalFormatting>
  <conditionalFormatting sqref="C35">
    <cfRule type="duplicateValues" dxfId="1364" priority="101" stopIfTrue="1"/>
    <cfRule type="duplicateValues" dxfId="1363" priority="100" stopIfTrue="1"/>
    <cfRule type="expression" dxfId="1362" priority="102" stopIfTrue="1">
      <formula>AND(COUNTIF(#REF!,C35)+COUNTIF($C$29:$C$29,C35)&gt;1,NOT(ISBLANK(C35)))</formula>
    </cfRule>
  </conditionalFormatting>
  <conditionalFormatting sqref="C36">
    <cfRule type="duplicateValues" dxfId="1361" priority="9"/>
    <cfRule type="duplicateValues" dxfId="1360" priority="10" stopIfTrue="1"/>
    <cfRule type="duplicateValues" dxfId="1359" priority="11" stopIfTrue="1"/>
    <cfRule type="expression" dxfId="1358" priority="12" stopIfTrue="1">
      <formula>AND(COUNTIF(#REF!,C36)+COUNTIF($C$29:$C$29,C36)&gt;1,NOT(ISBLANK(C36)))</formula>
    </cfRule>
  </conditionalFormatting>
  <conditionalFormatting sqref="C37">
    <cfRule type="duplicateValues" dxfId="1357" priority="17" stopIfTrue="1"/>
    <cfRule type="expression" dxfId="1356" priority="18" stopIfTrue="1">
      <formula>AND(COUNTIF(#REF!,C37)+COUNTIF($C$29:$C$29,C37)&gt;1,NOT(ISBLANK(C37)))</formula>
    </cfRule>
    <cfRule type="duplicateValues" dxfId="1355" priority="13"/>
    <cfRule type="duplicateValues" dxfId="1354" priority="16" stopIfTrue="1"/>
  </conditionalFormatting>
  <conditionalFormatting sqref="C38">
    <cfRule type="duplicateValues" dxfId="1353" priority="5" stopIfTrue="1"/>
    <cfRule type="expression" dxfId="1352" priority="6" stopIfTrue="1">
      <formula>AND(COUNTIF(#REF!,C38)+COUNTIF($C$29:$C$29,C38)&gt;1,NOT(ISBLANK(C38)))</formula>
    </cfRule>
    <cfRule type="duplicateValues" dxfId="1351" priority="4" stopIfTrue="1"/>
    <cfRule type="duplicateValues" dxfId="1350" priority="3"/>
  </conditionalFormatting>
  <conditionalFormatting sqref="C39">
    <cfRule type="duplicateValues" dxfId="1349" priority="146" stopIfTrue="1"/>
    <cfRule type="duplicateValues" dxfId="1348" priority="147" stopIfTrue="1"/>
    <cfRule type="expression" dxfId="1347" priority="148" stopIfTrue="1">
      <formula>AND(COUNTIF(#REF!,C39)+COUNTIF($C$29:$C$29,C39)&gt;1,NOT(ISBLANK(C39)))</formula>
    </cfRule>
  </conditionalFormatting>
  <conditionalFormatting sqref="C40">
    <cfRule type="duplicateValues" dxfId="1346" priority="48"/>
    <cfRule type="duplicateValues" dxfId="1345" priority="49" stopIfTrue="1"/>
    <cfRule type="expression" dxfId="1344" priority="51" stopIfTrue="1">
      <formula>AND(COUNTIF(#REF!,C40)+COUNTIF($C$29:$C$29,C40)&gt;1,NOT(ISBLANK(C40)))</formula>
    </cfRule>
    <cfRule type="duplicateValues" dxfId="1343" priority="50" stopIfTrue="1"/>
  </conditionalFormatting>
  <conditionalFormatting sqref="C42">
    <cfRule type="duplicateValues" dxfId="1342" priority="53"/>
    <cfRule type="duplicateValues" dxfId="1341" priority="54" stopIfTrue="1"/>
    <cfRule type="duplicateValues" dxfId="1340" priority="55" stopIfTrue="1"/>
    <cfRule type="duplicateValues" dxfId="1339" priority="56"/>
  </conditionalFormatting>
  <conditionalFormatting sqref="C43">
    <cfRule type="duplicateValues" dxfId="1338" priority="76"/>
    <cfRule type="duplicateValues" dxfId="1337" priority="74" stopIfTrue="1"/>
    <cfRule type="duplicateValues" dxfId="1336" priority="73"/>
    <cfRule type="duplicateValues" dxfId="1335" priority="75" stopIfTrue="1"/>
  </conditionalFormatting>
  <conditionalFormatting sqref="C44">
    <cfRule type="duplicateValues" dxfId="1334" priority="112" stopIfTrue="1"/>
    <cfRule type="duplicateValues" dxfId="1333" priority="113" stopIfTrue="1"/>
    <cfRule type="duplicateValues" dxfId="1332" priority="114"/>
  </conditionalFormatting>
  <conditionalFormatting sqref="C45">
    <cfRule type="duplicateValues" dxfId="1331" priority="378"/>
  </conditionalFormatting>
  <conditionalFormatting sqref="C47">
    <cfRule type="duplicateValues" dxfId="1330" priority="380"/>
  </conditionalFormatting>
  <conditionalFormatting sqref="C53">
    <cfRule type="duplicateValues" dxfId="1329" priority="383"/>
  </conditionalFormatting>
  <conditionalFormatting sqref="C54">
    <cfRule type="duplicateValues" dxfId="1328" priority="382"/>
  </conditionalFormatting>
  <conditionalFormatting sqref="C63">
    <cfRule type="duplicateValues" dxfId="1327" priority="9218" stopIfTrue="1"/>
    <cfRule type="expression" dxfId="1326" priority="9219" stopIfTrue="1">
      <formula>AND(COUNTIF($C$55:$C$65554,C63)+COUNTIF($C$28:$C$28,C63)+COUNTIF($C$1:$C$8,C63)+COUNTIF($C$19:$C$19,C63)+COUNTIF($C$10:$C$17,C63)+COUNTIF($C$48:$C$52,C63)+COUNTIF($C$46:$C$46,C63)&gt;1,NOT(ISBLANK(C63)))</formula>
    </cfRule>
    <cfRule type="duplicateValues" dxfId="1325" priority="9220" stopIfTrue="1"/>
  </conditionalFormatting>
  <conditionalFormatting sqref="C64">
    <cfRule type="duplicateValues" dxfId="1324" priority="72" stopIfTrue="1"/>
    <cfRule type="expression" dxfId="1323" priority="71" stopIfTrue="1">
      <formula>AND(COUNTIF($C$55:$C$65554,C64)+COUNTIF($C$28:$C$28,C64)+COUNTIF($C$1:$C$8,C64)+COUNTIF($C$19:$C$19,C64)+COUNTIF($C$10:$C$17,C64)+COUNTIF($C$48:$C$52,C64)+COUNTIF($C$46:$C$46,C64)&gt;1,NOT(ISBLANK(C64)))</formula>
    </cfRule>
    <cfRule type="duplicateValues" dxfId="1322" priority="70" stopIfTrue="1"/>
    <cfRule type="duplicateValues" dxfId="1321" priority="68"/>
  </conditionalFormatting>
  <conditionalFormatting sqref="C65:C66">
    <cfRule type="duplicateValues" dxfId="1320" priority="5336" stopIfTrue="1"/>
  </conditionalFormatting>
  <conditionalFormatting sqref="C67">
    <cfRule type="duplicateValues" dxfId="1319" priority="8885" stopIfTrue="1"/>
    <cfRule type="duplicateValues" dxfId="1318" priority="8886" stopIfTrue="1"/>
  </conditionalFormatting>
  <conditionalFormatting sqref="C68">
    <cfRule type="duplicateValues" dxfId="1317" priority="140" stopIfTrue="1"/>
    <cfRule type="duplicateValues" dxfId="1316" priority="141" stopIfTrue="1"/>
    <cfRule type="expression" dxfId="1315" priority="139" stopIfTrue="1">
      <formula>AND(COUNTIF($C$55:$C$65554,C68)+COUNTIF($C$28:$C$28,C68)+COUNTIF($C$1:$C$8,C68)+COUNTIF($C$19:$C$19,C68)+COUNTIF($C$10:$C$17,C68)+COUNTIF($C$48:$C$52,C68)+COUNTIF($C$46:$C$46,C68)&gt;1,NOT(ISBLANK(C68)))</formula>
    </cfRule>
  </conditionalFormatting>
  <conditionalFormatting sqref="C69">
    <cfRule type="duplicateValues" dxfId="1314" priority="9245" stopIfTrue="1"/>
  </conditionalFormatting>
  <conditionalFormatting sqref="C70">
    <cfRule type="duplicateValues" dxfId="1313" priority="4689" stopIfTrue="1"/>
  </conditionalFormatting>
  <conditionalFormatting sqref="C72">
    <cfRule type="duplicateValues" dxfId="1312" priority="59" stopIfTrue="1"/>
    <cfRule type="duplicateValues" dxfId="1311" priority="57"/>
    <cfRule type="duplicateValues" dxfId="1310" priority="60" stopIfTrue="1"/>
    <cfRule type="expression" dxfId="1309" priority="61" stopIfTrue="1">
      <formula>AND(COUNTIF($C$55:$C$65554,C72)+COUNTIF($C$28:$C$28,C72)+COUNTIF($C$1:$C$8,C72)+COUNTIF($C$19:$C$19,C72)+COUNTIF($C$10:$C$17,C72)+COUNTIF($C$48:$C$52,C72)+COUNTIF($C$46:$C$46,C72)&gt;1,NOT(ISBLANK(C72)))</formula>
    </cfRule>
  </conditionalFormatting>
  <conditionalFormatting sqref="J57:J58">
    <cfRule type="duplicateValues" dxfId="1308" priority="393"/>
  </conditionalFormatting>
  <conditionalFormatting sqref="J63">
    <cfRule type="duplicateValues" dxfId="1307" priority="181"/>
  </conditionalFormatting>
  <conditionalFormatting sqref="J64">
    <cfRule type="duplicateValues" dxfId="1306" priority="69"/>
  </conditionalFormatting>
  <conditionalFormatting sqref="J65:J66">
    <cfRule type="duplicateValues" dxfId="1305" priority="5335"/>
  </conditionalFormatting>
  <conditionalFormatting sqref="J67">
    <cfRule type="duplicateValues" dxfId="1304" priority="8887"/>
  </conditionalFormatting>
  <conditionalFormatting sqref="J68">
    <cfRule type="duplicateValues" dxfId="1303" priority="142"/>
  </conditionalFormatting>
  <conditionalFormatting sqref="J50:K50">
    <cfRule type="duplicateValues" dxfId="1302" priority="401"/>
  </conditionalFormatting>
  <pageMargins left="0.69930555555555596" right="0.69930555555555596"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70C0"/>
  </sheetPr>
  <dimension ref="A1:X55"/>
  <sheetViews>
    <sheetView workbookViewId="0">
      <pane xSplit="3" ySplit="3" topLeftCell="K22" activePane="bottomRight" state="frozen"/>
      <selection pane="topRight"/>
      <selection pane="bottomLeft"/>
      <selection pane="bottomRight" activeCell="O27" sqref="O27:X33"/>
    </sheetView>
  </sheetViews>
  <sheetFormatPr defaultColWidth="9" defaultRowHeight="14.25" customHeight="1"/>
  <cols>
    <col min="1" max="1" width="4.109375" style="1153" customWidth="1"/>
    <col min="2" max="2" width="13.109375" style="1153" customWidth="1"/>
    <col min="3" max="3" width="7.109375" style="1154" customWidth="1"/>
    <col min="4" max="4" width="10.77734375" style="283" customWidth="1"/>
    <col min="5" max="6" width="12.77734375" style="1155" customWidth="1"/>
    <col min="7" max="7" width="12.21875" style="1155" customWidth="1"/>
    <col min="8" max="8" width="11.6640625" style="1155" customWidth="1"/>
    <col min="9" max="9" width="12.109375" style="1153" customWidth="1"/>
    <col min="10" max="10" width="12.77734375" style="1154" customWidth="1"/>
    <col min="11" max="11" width="14.6640625" style="1153" customWidth="1"/>
    <col min="12" max="12" width="18.33203125" style="1153" customWidth="1"/>
    <col min="13" max="13" width="14.44140625" style="1153" customWidth="1"/>
    <col min="14" max="14" width="19" style="1153" customWidth="1"/>
    <col min="15" max="15" width="11.44140625" style="1154" customWidth="1"/>
    <col min="16" max="16" width="8.77734375" style="1154" customWidth="1"/>
    <col min="17" max="17" width="13.88671875" style="1154" customWidth="1"/>
    <col min="18" max="18" width="11.33203125" style="1154" customWidth="1"/>
    <col min="19" max="19" width="12.109375" style="1153" customWidth="1"/>
    <col min="20" max="20" width="16.33203125" style="1153" customWidth="1"/>
    <col min="21" max="21" width="11.21875" style="1156" customWidth="1"/>
    <col min="22" max="22" width="12.109375" style="1157" customWidth="1"/>
    <col min="23" max="23" width="11.6640625" style="1153" customWidth="1"/>
    <col min="24" max="24" width="13.6640625" style="1153" customWidth="1"/>
    <col min="25" max="16384" width="9" style="1153"/>
  </cols>
  <sheetData>
    <row r="1" spans="1:24" ht="24.9" customHeight="1">
      <c r="A1" s="1763" t="s">
        <v>348</v>
      </c>
      <c r="B1" s="1764"/>
      <c r="C1" s="1764"/>
      <c r="D1" s="1764"/>
      <c r="E1" s="1764"/>
      <c r="F1" s="1764"/>
      <c r="G1" s="1764"/>
      <c r="H1" s="1764"/>
      <c r="I1" s="1764"/>
      <c r="J1" s="1764"/>
      <c r="K1" s="1764"/>
      <c r="L1" s="1764"/>
      <c r="M1" s="1764"/>
      <c r="N1" s="1764"/>
      <c r="O1" s="1764"/>
      <c r="P1" s="1764"/>
      <c r="Q1" s="1764"/>
      <c r="R1" s="1764"/>
      <c r="S1" s="1764"/>
      <c r="T1" s="1764"/>
    </row>
    <row r="2" spans="1:24" ht="18" customHeight="1">
      <c r="A2" s="1158" t="s">
        <v>349</v>
      </c>
      <c r="B2" s="1159"/>
      <c r="C2" s="1160"/>
      <c r="D2" s="1161"/>
      <c r="E2" s="1162"/>
      <c r="F2" s="1162"/>
      <c r="G2" s="1163"/>
      <c r="H2" s="1163"/>
      <c r="I2" s="1164"/>
      <c r="J2" s="1165"/>
      <c r="K2" s="1166"/>
      <c r="L2" s="1166"/>
      <c r="M2" s="1162"/>
      <c r="N2" s="1162"/>
      <c r="O2" s="1162"/>
      <c r="P2" s="1162"/>
      <c r="Q2" s="1162"/>
      <c r="R2" s="1162"/>
      <c r="S2" s="1162"/>
      <c r="T2" s="1162"/>
    </row>
    <row r="3" spans="1:24" s="1150" customFormat="1" ht="38.1" customHeight="1">
      <c r="A3" s="1765" t="s">
        <v>350</v>
      </c>
      <c r="B3" s="1765"/>
      <c r="C3" s="1168" t="s">
        <v>351</v>
      </c>
      <c r="D3" s="1169" t="s">
        <v>352</v>
      </c>
      <c r="E3" s="1170" t="s">
        <v>353</v>
      </c>
      <c r="F3" s="1170" t="s">
        <v>354</v>
      </c>
      <c r="G3" s="1171" t="s">
        <v>355</v>
      </c>
      <c r="H3" s="1171" t="s">
        <v>356</v>
      </c>
      <c r="I3" s="1172" t="s">
        <v>357</v>
      </c>
      <c r="J3" s="1173" t="s">
        <v>358</v>
      </c>
      <c r="K3" s="1174" t="s">
        <v>359</v>
      </c>
      <c r="L3" s="1173" t="s">
        <v>360</v>
      </c>
      <c r="M3" s="1168" t="s">
        <v>361</v>
      </c>
      <c r="N3" s="1168" t="s">
        <v>362</v>
      </c>
      <c r="O3" s="1168" t="s">
        <v>363</v>
      </c>
      <c r="P3" s="1167" t="s">
        <v>364</v>
      </c>
      <c r="Q3" s="1167" t="s">
        <v>365</v>
      </c>
      <c r="R3" s="1175" t="s">
        <v>366</v>
      </c>
      <c r="S3" s="1167" t="s">
        <v>367</v>
      </c>
      <c r="T3" s="1168" t="s">
        <v>368</v>
      </c>
      <c r="U3" s="1176" t="s">
        <v>369</v>
      </c>
      <c r="V3" s="1176" t="s">
        <v>370</v>
      </c>
      <c r="W3" s="1177" t="s">
        <v>371</v>
      </c>
      <c r="X3" s="1153"/>
    </row>
    <row r="4" spans="1:24" s="1150" customFormat="1" ht="22.65" customHeight="1">
      <c r="A4" s="1772" t="s">
        <v>372</v>
      </c>
      <c r="B4" s="410" t="s">
        <v>125</v>
      </c>
      <c r="C4" s="1178" t="s">
        <v>109</v>
      </c>
      <c r="D4" s="1179">
        <v>210</v>
      </c>
      <c r="E4" s="1180">
        <v>15932.212</v>
      </c>
      <c r="F4" s="1180">
        <v>0</v>
      </c>
      <c r="G4" s="1181">
        <v>23829</v>
      </c>
      <c r="H4" s="1181">
        <v>1176.788</v>
      </c>
      <c r="I4" s="1179"/>
      <c r="J4" s="1179"/>
      <c r="K4" s="1182"/>
      <c r="L4" s="1183">
        <f>M4-F4</f>
        <v>40938</v>
      </c>
      <c r="M4" s="1179">
        <f>SUM(E4:K4)</f>
        <v>40938</v>
      </c>
      <c r="N4" s="1179">
        <v>192.5</v>
      </c>
      <c r="O4" s="1179"/>
      <c r="P4" s="1184"/>
      <c r="Q4" s="1180">
        <v>57085</v>
      </c>
      <c r="R4" s="1180"/>
      <c r="S4" s="1185"/>
      <c r="T4" s="1184">
        <f t="shared" ref="T4:T12" si="0">Q4+S4-R4</f>
        <v>57085</v>
      </c>
      <c r="U4" s="1186">
        <v>1058</v>
      </c>
      <c r="V4" s="1187">
        <v>140</v>
      </c>
      <c r="W4" s="1188">
        <v>0</v>
      </c>
      <c r="X4" s="1153"/>
    </row>
    <row r="5" spans="1:24" s="1150" customFormat="1" ht="22.65" customHeight="1">
      <c r="A5" s="1772"/>
      <c r="B5" s="410" t="s">
        <v>130</v>
      </c>
      <c r="C5" s="1178" t="s">
        <v>111</v>
      </c>
      <c r="D5" s="1179">
        <v>195</v>
      </c>
      <c r="E5" s="1180">
        <v>15920.181</v>
      </c>
      <c r="F5" s="1180">
        <v>0</v>
      </c>
      <c r="G5" s="1181">
        <v>28110</v>
      </c>
      <c r="H5" s="1181">
        <v>1310.819</v>
      </c>
      <c r="I5" s="1179"/>
      <c r="J5" s="1189"/>
      <c r="K5" s="1182"/>
      <c r="L5" s="1183">
        <f t="shared" ref="L5:L12" si="1">M5-F5</f>
        <v>45341</v>
      </c>
      <c r="M5" s="1179">
        <f t="shared" ref="M5:M12" si="2">SUM(E5:K5)</f>
        <v>45341</v>
      </c>
      <c r="N5" s="1179">
        <v>197</v>
      </c>
      <c r="O5" s="1179"/>
      <c r="P5" s="1184"/>
      <c r="Q5" s="1180">
        <v>49645</v>
      </c>
      <c r="R5" s="1180"/>
      <c r="S5" s="1179"/>
      <c r="T5" s="1184">
        <f t="shared" si="0"/>
        <v>49645</v>
      </c>
      <c r="U5" s="1186">
        <v>1636</v>
      </c>
      <c r="V5" s="1187">
        <v>112</v>
      </c>
      <c r="W5" s="1188">
        <v>0</v>
      </c>
      <c r="X5" s="1153"/>
    </row>
    <row r="6" spans="1:24" s="1150" customFormat="1" ht="22.65" customHeight="1">
      <c r="A6" s="1772"/>
      <c r="B6" s="410" t="s">
        <v>135</v>
      </c>
      <c r="C6" s="1178" t="s">
        <v>114</v>
      </c>
      <c r="D6" s="1179">
        <v>207</v>
      </c>
      <c r="E6" s="1180">
        <v>17050.296999999999</v>
      </c>
      <c r="F6" s="1180">
        <v>0</v>
      </c>
      <c r="G6" s="1181">
        <v>24450</v>
      </c>
      <c r="H6" s="1181">
        <v>1559.703</v>
      </c>
      <c r="I6" s="1179"/>
      <c r="J6" s="1179"/>
      <c r="K6" s="1182"/>
      <c r="L6" s="1183">
        <f t="shared" si="1"/>
        <v>43060</v>
      </c>
      <c r="M6" s="1179">
        <f t="shared" si="2"/>
        <v>43060</v>
      </c>
      <c r="N6" s="1179">
        <v>194.2</v>
      </c>
      <c r="O6" s="1179"/>
      <c r="P6" s="1184"/>
      <c r="Q6" s="1180">
        <v>53789</v>
      </c>
      <c r="R6" s="1180"/>
      <c r="S6" s="1179"/>
      <c r="T6" s="1184">
        <f t="shared" si="0"/>
        <v>53789</v>
      </c>
      <c r="U6" s="1186">
        <v>812</v>
      </c>
      <c r="V6" s="1187">
        <v>98</v>
      </c>
      <c r="W6" s="1188">
        <v>0</v>
      </c>
      <c r="X6" s="1153"/>
    </row>
    <row r="7" spans="1:24" s="1150" customFormat="1" ht="22.65" customHeight="1">
      <c r="A7" s="1772"/>
      <c r="B7" s="410" t="s">
        <v>139</v>
      </c>
      <c r="C7" s="1178" t="s">
        <v>117</v>
      </c>
      <c r="D7" s="1179">
        <v>121</v>
      </c>
      <c r="E7" s="1180">
        <v>13669.69</v>
      </c>
      <c r="F7" s="1180">
        <v>0</v>
      </c>
      <c r="G7" s="1181">
        <v>13663</v>
      </c>
      <c r="H7" s="1181">
        <v>1200.31</v>
      </c>
      <c r="I7" s="1179"/>
      <c r="J7" s="1179"/>
      <c r="K7" s="1182"/>
      <c r="L7" s="1183">
        <f t="shared" si="1"/>
        <v>28533</v>
      </c>
      <c r="M7" s="1179">
        <f t="shared" si="2"/>
        <v>28533</v>
      </c>
      <c r="N7" s="1179">
        <v>139.19999999999999</v>
      </c>
      <c r="O7" s="1179"/>
      <c r="P7" s="1184"/>
      <c r="Q7" s="1180">
        <v>46122</v>
      </c>
      <c r="R7" s="1180"/>
      <c r="S7" s="1179"/>
      <c r="T7" s="1184">
        <f t="shared" si="0"/>
        <v>46122</v>
      </c>
      <c r="U7" s="1186">
        <v>2174</v>
      </c>
      <c r="V7" s="1187">
        <v>56</v>
      </c>
      <c r="W7" s="1188">
        <v>0</v>
      </c>
      <c r="X7" s="1153"/>
    </row>
    <row r="8" spans="1:24" s="1150" customFormat="1" ht="22.65" customHeight="1">
      <c r="A8" s="1772"/>
      <c r="B8" s="411" t="s">
        <v>144</v>
      </c>
      <c r="C8" s="411" t="s">
        <v>118</v>
      </c>
      <c r="D8" s="1179">
        <v>168</v>
      </c>
      <c r="E8" s="1180">
        <v>19472.185000000001</v>
      </c>
      <c r="F8" s="1180">
        <v>0</v>
      </c>
      <c r="G8" s="1181">
        <v>19950</v>
      </c>
      <c r="H8" s="1181">
        <v>1057.8150000000001</v>
      </c>
      <c r="I8" s="1179"/>
      <c r="J8" s="1179"/>
      <c r="K8" s="1182"/>
      <c r="L8" s="1183">
        <f t="shared" si="1"/>
        <v>40480</v>
      </c>
      <c r="M8" s="1179">
        <f t="shared" si="2"/>
        <v>40480</v>
      </c>
      <c r="N8" s="1179">
        <v>189.2</v>
      </c>
      <c r="O8" s="1179"/>
      <c r="P8" s="1184"/>
      <c r="Q8" s="1180">
        <v>51439</v>
      </c>
      <c r="R8" s="1180"/>
      <c r="S8" s="1179"/>
      <c r="T8" s="1184">
        <f t="shared" si="0"/>
        <v>51439</v>
      </c>
      <c r="U8" s="1186">
        <v>2816</v>
      </c>
      <c r="V8" s="1187">
        <v>76</v>
      </c>
      <c r="W8" s="1188">
        <v>0</v>
      </c>
      <c r="X8" s="1153"/>
    </row>
    <row r="9" spans="1:24" s="1151" customFormat="1" ht="21.75" customHeight="1">
      <c r="A9" s="1772"/>
      <c r="B9" s="411" t="s">
        <v>149</v>
      </c>
      <c r="C9" s="411" t="s">
        <v>373</v>
      </c>
      <c r="D9" s="1179">
        <v>177</v>
      </c>
      <c r="E9" s="1180">
        <v>11989.144</v>
      </c>
      <c r="F9" s="1180">
        <v>0</v>
      </c>
      <c r="G9" s="1181">
        <v>21804</v>
      </c>
      <c r="H9" s="1181">
        <v>1100.856</v>
      </c>
      <c r="I9" s="1179"/>
      <c r="J9" s="1179"/>
      <c r="K9" s="1182"/>
      <c r="L9" s="1183">
        <f t="shared" si="1"/>
        <v>34894</v>
      </c>
      <c r="M9" s="1179">
        <f t="shared" si="2"/>
        <v>34894</v>
      </c>
      <c r="N9" s="1179">
        <v>169.2</v>
      </c>
      <c r="O9" s="1179"/>
      <c r="P9" s="1184"/>
      <c r="Q9" s="1180">
        <v>46893</v>
      </c>
      <c r="R9" s="1180"/>
      <c r="S9" s="1179"/>
      <c r="T9" s="1184">
        <f t="shared" si="0"/>
        <v>46893</v>
      </c>
      <c r="U9" s="1186">
        <v>576</v>
      </c>
      <c r="V9" s="1187">
        <v>136</v>
      </c>
      <c r="W9" s="1188">
        <v>0</v>
      </c>
      <c r="X9" s="1153"/>
    </row>
    <row r="10" spans="1:24" s="1152" customFormat="1" ht="21.75" customHeight="1">
      <c r="A10" s="1772"/>
      <c r="B10" s="411" t="s">
        <v>154</v>
      </c>
      <c r="C10" s="411" t="s">
        <v>123</v>
      </c>
      <c r="D10" s="1179">
        <v>239</v>
      </c>
      <c r="E10" s="1180">
        <v>23271.798999999999</v>
      </c>
      <c r="F10" s="1180">
        <v>60</v>
      </c>
      <c r="G10" s="1181">
        <v>20989</v>
      </c>
      <c r="H10" s="1181">
        <v>1825.201</v>
      </c>
      <c r="I10" s="1179"/>
      <c r="J10" s="1190"/>
      <c r="K10" s="1182"/>
      <c r="L10" s="1183">
        <f t="shared" si="1"/>
        <v>46086</v>
      </c>
      <c r="M10" s="1179">
        <f t="shared" si="2"/>
        <v>46146</v>
      </c>
      <c r="N10" s="1191">
        <v>179.2</v>
      </c>
      <c r="O10" s="1191"/>
      <c r="P10" s="1192"/>
      <c r="Q10" s="1193">
        <v>66797</v>
      </c>
      <c r="R10" s="1180"/>
      <c r="S10" s="1191"/>
      <c r="T10" s="1184">
        <f t="shared" si="0"/>
        <v>66797</v>
      </c>
      <c r="U10" s="1186">
        <v>466</v>
      </c>
      <c r="V10" s="1187">
        <v>156</v>
      </c>
      <c r="W10" s="1194">
        <v>0</v>
      </c>
      <c r="X10" s="1195"/>
    </row>
    <row r="11" spans="1:24" s="1151" customFormat="1" ht="21.75" customHeight="1">
      <c r="A11" s="1772"/>
      <c r="B11" s="411" t="s">
        <v>374</v>
      </c>
      <c r="C11" s="411" t="s">
        <v>375</v>
      </c>
      <c r="D11" s="1179"/>
      <c r="E11" s="1180">
        <v>0</v>
      </c>
      <c r="F11" s="1180">
        <v>0</v>
      </c>
      <c r="G11" s="1181">
        <v>0</v>
      </c>
      <c r="H11" s="1181">
        <v>0</v>
      </c>
      <c r="I11" s="1179"/>
      <c r="J11" s="1179"/>
      <c r="K11" s="1182"/>
      <c r="L11" s="1183">
        <f t="shared" si="1"/>
        <v>0</v>
      </c>
      <c r="M11" s="1179">
        <f t="shared" si="2"/>
        <v>0</v>
      </c>
      <c r="N11" s="1191">
        <v>0</v>
      </c>
      <c r="O11" s="1191"/>
      <c r="P11" s="1192"/>
      <c r="Q11" s="1193">
        <v>0</v>
      </c>
      <c r="R11" s="1180"/>
      <c r="S11" s="1191"/>
      <c r="T11" s="1184">
        <f t="shared" si="0"/>
        <v>0</v>
      </c>
      <c r="U11" s="1186">
        <v>0</v>
      </c>
      <c r="V11" s="1187">
        <v>0</v>
      </c>
      <c r="W11" s="1194">
        <v>0</v>
      </c>
      <c r="X11" s="1195"/>
    </row>
    <row r="12" spans="1:24" s="1151" customFormat="1" ht="22.65" customHeight="1">
      <c r="A12" s="1772"/>
      <c r="B12" s="411" t="s">
        <v>159</v>
      </c>
      <c r="C12" s="411" t="s">
        <v>126</v>
      </c>
      <c r="D12" s="1179">
        <v>230</v>
      </c>
      <c r="E12" s="1180">
        <v>18837.0625</v>
      </c>
      <c r="F12" s="1180">
        <v>0</v>
      </c>
      <c r="G12" s="1181">
        <v>28385</v>
      </c>
      <c r="H12" s="1181">
        <v>1417.9375</v>
      </c>
      <c r="I12" s="1179">
        <f>59*30</f>
        <v>1770</v>
      </c>
      <c r="J12" s="1190"/>
      <c r="K12" s="1182"/>
      <c r="L12" s="1183">
        <f t="shared" si="1"/>
        <v>50410</v>
      </c>
      <c r="M12" s="1179">
        <f t="shared" si="2"/>
        <v>50410</v>
      </c>
      <c r="N12" s="1191">
        <v>166.4</v>
      </c>
      <c r="O12" s="1191"/>
      <c r="P12" s="1192"/>
      <c r="Q12" s="1193">
        <v>52238</v>
      </c>
      <c r="R12" s="1180"/>
      <c r="S12" s="1191"/>
      <c r="T12" s="1184">
        <f t="shared" si="0"/>
        <v>52238</v>
      </c>
      <c r="U12" s="1186">
        <v>3230</v>
      </c>
      <c r="V12" s="1187">
        <v>200</v>
      </c>
      <c r="W12" s="1194">
        <v>0</v>
      </c>
      <c r="X12" s="1195"/>
    </row>
    <row r="13" spans="1:24" s="1151" customFormat="1" ht="22.65" customHeight="1">
      <c r="A13" s="1772"/>
      <c r="B13" s="411"/>
      <c r="C13" s="411"/>
      <c r="D13" s="1179"/>
      <c r="E13" s="1180">
        <v>0</v>
      </c>
      <c r="F13" s="1180">
        <v>0</v>
      </c>
      <c r="G13" s="1181">
        <v>0</v>
      </c>
      <c r="H13" s="1181">
        <v>0</v>
      </c>
      <c r="I13" s="1179"/>
      <c r="J13" s="1190"/>
      <c r="K13" s="1182"/>
      <c r="L13" s="1183"/>
      <c r="M13" s="1179"/>
      <c r="N13" s="1191">
        <v>0</v>
      </c>
      <c r="O13" s="1191"/>
      <c r="P13" s="1192"/>
      <c r="Q13" s="1193">
        <v>0</v>
      </c>
      <c r="R13" s="1180"/>
      <c r="S13" s="1191"/>
      <c r="T13" s="1184"/>
      <c r="U13" s="1186">
        <v>0</v>
      </c>
      <c r="V13" s="1187">
        <v>0</v>
      </c>
      <c r="W13" s="1194"/>
      <c r="X13" s="1195"/>
    </row>
    <row r="14" spans="1:24" s="1151" customFormat="1" ht="22.65" customHeight="1">
      <c r="A14" s="1772"/>
      <c r="B14" s="411" t="s">
        <v>161</v>
      </c>
      <c r="C14" s="411" t="s">
        <v>129</v>
      </c>
      <c r="D14" s="1179">
        <v>111</v>
      </c>
      <c r="E14" s="1180">
        <v>15356.108</v>
      </c>
      <c r="F14" s="1180">
        <v>1743</v>
      </c>
      <c r="G14" s="1181">
        <v>9890</v>
      </c>
      <c r="H14" s="1181">
        <v>593.89200000000005</v>
      </c>
      <c r="I14" s="1179"/>
      <c r="J14" s="1179"/>
      <c r="K14" s="1182"/>
      <c r="L14" s="1183">
        <f>M14-F14</f>
        <v>25840</v>
      </c>
      <c r="M14" s="1179">
        <f>SUM(E14:K14)</f>
        <v>27583</v>
      </c>
      <c r="N14" s="1191">
        <v>125.2</v>
      </c>
      <c r="O14" s="1191"/>
      <c r="P14" s="1192"/>
      <c r="Q14" s="1193">
        <v>27108</v>
      </c>
      <c r="R14" s="1180"/>
      <c r="S14" s="1191"/>
      <c r="T14" s="1184">
        <f t="shared" ref="T14:T28" si="3">Q14+S14-R14</f>
        <v>27108</v>
      </c>
      <c r="U14" s="1186">
        <v>274</v>
      </c>
      <c r="V14" s="1187">
        <v>38</v>
      </c>
      <c r="W14" s="1194">
        <v>0</v>
      </c>
      <c r="X14" s="1195"/>
    </row>
    <row r="15" spans="1:24" s="1151" customFormat="1" ht="22.65" customHeight="1">
      <c r="A15" s="1772"/>
      <c r="B15" s="411" t="s">
        <v>169</v>
      </c>
      <c r="C15" s="411" t="s">
        <v>131</v>
      </c>
      <c r="D15" s="1179">
        <v>192</v>
      </c>
      <c r="E15" s="1180">
        <v>19320.478999999999</v>
      </c>
      <c r="F15" s="1180">
        <v>0</v>
      </c>
      <c r="G15" s="1181">
        <v>19224</v>
      </c>
      <c r="H15" s="1181">
        <v>1719.521</v>
      </c>
      <c r="I15" s="1179"/>
      <c r="J15" s="1179"/>
      <c r="K15" s="1182"/>
      <c r="L15" s="1183">
        <f t="shared" ref="L15:L18" si="4">M15-F15</f>
        <v>40264</v>
      </c>
      <c r="M15" s="1179">
        <f t="shared" ref="M15:M18" si="5">SUM(E15:K15)</f>
        <v>40264</v>
      </c>
      <c r="N15" s="1191">
        <v>161.9</v>
      </c>
      <c r="O15" s="1191"/>
      <c r="P15" s="1192"/>
      <c r="Q15" s="1193">
        <v>64884</v>
      </c>
      <c r="R15" s="1180"/>
      <c r="S15" s="1191"/>
      <c r="T15" s="1184">
        <f t="shared" si="3"/>
        <v>64884</v>
      </c>
      <c r="U15" s="1186">
        <v>1606</v>
      </c>
      <c r="V15" s="1187">
        <v>204</v>
      </c>
      <c r="W15" s="1194">
        <v>0</v>
      </c>
      <c r="X15" s="1195"/>
    </row>
    <row r="16" spans="1:24" s="1151" customFormat="1" ht="22.65" customHeight="1">
      <c r="A16" s="1772"/>
      <c r="B16" s="411" t="s">
        <v>172</v>
      </c>
      <c r="C16" s="411" t="s">
        <v>136</v>
      </c>
      <c r="D16" s="1179">
        <v>196</v>
      </c>
      <c r="E16" s="1180">
        <v>16258.187</v>
      </c>
      <c r="F16" s="1180">
        <v>0</v>
      </c>
      <c r="G16" s="1181">
        <v>21880</v>
      </c>
      <c r="H16" s="1181">
        <v>1046.8130000000001</v>
      </c>
      <c r="I16" s="1179"/>
      <c r="J16" s="1190"/>
      <c r="K16" s="1182"/>
      <c r="L16" s="1183">
        <f t="shared" si="4"/>
        <v>39185</v>
      </c>
      <c r="M16" s="1179">
        <f t="shared" si="5"/>
        <v>39185</v>
      </c>
      <c r="N16" s="1191">
        <v>163.5</v>
      </c>
      <c r="O16" s="1191"/>
      <c r="P16" s="1192"/>
      <c r="Q16" s="1193">
        <v>50984</v>
      </c>
      <c r="R16" s="1180"/>
      <c r="S16" s="1194"/>
      <c r="T16" s="1184">
        <f t="shared" si="3"/>
        <v>50984</v>
      </c>
      <c r="U16" s="1186">
        <v>1921</v>
      </c>
      <c r="V16" s="1187">
        <v>182</v>
      </c>
      <c r="W16" s="1194">
        <v>0</v>
      </c>
      <c r="X16" s="1195"/>
    </row>
    <row r="17" spans="1:24" s="1151" customFormat="1" ht="30.15" customHeight="1">
      <c r="A17" s="1772"/>
      <c r="B17" s="412" t="s">
        <v>376</v>
      </c>
      <c r="C17" s="412" t="s">
        <v>162</v>
      </c>
      <c r="D17" s="1191">
        <v>400</v>
      </c>
      <c r="E17" s="1193">
        <v>4386.04</v>
      </c>
      <c r="F17" s="1180">
        <v>252562</v>
      </c>
      <c r="G17" s="1181">
        <v>50</v>
      </c>
      <c r="H17" s="1196">
        <v>713.96</v>
      </c>
      <c r="I17" s="1191"/>
      <c r="J17" s="1179"/>
      <c r="K17" s="1183"/>
      <c r="L17" s="1183">
        <f t="shared" si="4"/>
        <v>5150</v>
      </c>
      <c r="M17" s="1179">
        <f t="shared" si="5"/>
        <v>257712</v>
      </c>
      <c r="N17" s="1191">
        <v>59036.5</v>
      </c>
      <c r="O17" s="1191"/>
      <c r="P17" s="1192"/>
      <c r="Q17" s="1193">
        <v>0</v>
      </c>
      <c r="R17" s="1180"/>
      <c r="S17" s="1194"/>
      <c r="T17" s="1184">
        <f t="shared" si="3"/>
        <v>0</v>
      </c>
      <c r="U17" s="1186">
        <v>0</v>
      </c>
      <c r="V17" s="1187">
        <v>0</v>
      </c>
      <c r="W17" s="1194">
        <v>0</v>
      </c>
      <c r="X17" s="1195"/>
    </row>
    <row r="18" spans="1:24" s="1151" customFormat="1" ht="30.15" customHeight="1">
      <c r="A18" s="1772"/>
      <c r="B18" s="412" t="s">
        <v>179</v>
      </c>
      <c r="C18" s="412" t="s">
        <v>143</v>
      </c>
      <c r="D18" s="1191">
        <v>434</v>
      </c>
      <c r="E18" s="1193">
        <v>1601.7950000000001</v>
      </c>
      <c r="F18" s="1180">
        <v>253661.37</v>
      </c>
      <c r="G18" s="1181">
        <v>1186</v>
      </c>
      <c r="H18" s="1196">
        <v>128.20500000000001</v>
      </c>
      <c r="I18" s="1191"/>
      <c r="J18" s="1179"/>
      <c r="K18" s="1183"/>
      <c r="L18" s="1183">
        <f t="shared" si="4"/>
        <v>2916</v>
      </c>
      <c r="M18" s="1179">
        <f t="shared" si="5"/>
        <v>256577.37</v>
      </c>
      <c r="N18" s="1191">
        <v>4597.5</v>
      </c>
      <c r="O18" s="1191"/>
      <c r="P18" s="1192"/>
      <c r="Q18" s="1193">
        <v>12372</v>
      </c>
      <c r="R18" s="1180"/>
      <c r="S18" s="1194"/>
      <c r="T18" s="1184">
        <f t="shared" si="3"/>
        <v>12372</v>
      </c>
      <c r="U18" s="1186">
        <v>0</v>
      </c>
      <c r="V18" s="1187">
        <v>0</v>
      </c>
      <c r="W18" s="1194">
        <v>0</v>
      </c>
      <c r="X18" s="1195"/>
    </row>
    <row r="19" spans="1:24" s="1150" customFormat="1" ht="22.65" customHeight="1">
      <c r="A19" s="1772"/>
      <c r="B19" s="412"/>
      <c r="C19" s="1178"/>
      <c r="D19" s="1179"/>
      <c r="E19" s="1180"/>
      <c r="F19" s="1180"/>
      <c r="G19" s="1181"/>
      <c r="H19" s="1181"/>
      <c r="I19" s="1188"/>
      <c r="J19" s="1179"/>
      <c r="K19" s="1183"/>
      <c r="L19" s="1183"/>
      <c r="M19" s="1179"/>
      <c r="N19" s="1179"/>
      <c r="O19" s="1179"/>
      <c r="P19" s="1184"/>
      <c r="Q19" s="1180"/>
      <c r="R19" s="1180"/>
      <c r="S19" s="1179"/>
      <c r="T19" s="1184">
        <f t="shared" si="3"/>
        <v>0</v>
      </c>
      <c r="U19" s="1186"/>
      <c r="V19" s="1187"/>
      <c r="W19" s="1188">
        <v>0</v>
      </c>
      <c r="X19" s="1153"/>
    </row>
    <row r="20" spans="1:24" s="1150" customFormat="1" ht="22.65" customHeight="1">
      <c r="A20" s="1772"/>
      <c r="B20" s="1178" t="s">
        <v>377</v>
      </c>
      <c r="C20" s="1178"/>
      <c r="D20" s="1179">
        <v>919</v>
      </c>
      <c r="E20" s="1180">
        <v>0</v>
      </c>
      <c r="F20" s="1180">
        <v>0</v>
      </c>
      <c r="G20" s="1181">
        <v>0</v>
      </c>
      <c r="H20" s="1181">
        <v>0</v>
      </c>
      <c r="I20" s="1188">
        <v>50290</v>
      </c>
      <c r="J20" s="1190"/>
      <c r="K20" s="1179"/>
      <c r="L20" s="1183">
        <f t="shared" ref="L20:L25" si="6">M20-F20</f>
        <v>50290</v>
      </c>
      <c r="M20" s="1179">
        <f t="shared" ref="M20:M26" si="7">SUM(E20:K20)</f>
        <v>50290</v>
      </c>
      <c r="N20" s="1179">
        <v>0</v>
      </c>
      <c r="O20" s="1179"/>
      <c r="P20" s="1184"/>
      <c r="Q20" s="1180">
        <v>0</v>
      </c>
      <c r="R20" s="1180"/>
      <c r="S20" s="1179"/>
      <c r="T20" s="1184">
        <v>0</v>
      </c>
      <c r="U20" s="1186">
        <v>0</v>
      </c>
      <c r="V20" s="1187">
        <v>0</v>
      </c>
      <c r="W20" s="1188">
        <v>0</v>
      </c>
      <c r="X20" s="1153"/>
    </row>
    <row r="21" spans="1:24" s="1150" customFormat="1" ht="22.65" customHeight="1">
      <c r="A21" s="1772"/>
      <c r="B21" s="1178" t="s">
        <v>174</v>
      </c>
      <c r="C21" s="1197" t="s">
        <v>138</v>
      </c>
      <c r="D21" s="1179">
        <v>208</v>
      </c>
      <c r="E21" s="1180">
        <v>0</v>
      </c>
      <c r="F21" s="1180">
        <v>66774.600000000006</v>
      </c>
      <c r="G21" s="1181">
        <v>404</v>
      </c>
      <c r="H21" s="1181">
        <v>0</v>
      </c>
      <c r="I21" s="1198"/>
      <c r="J21" s="1179"/>
      <c r="K21" s="1179"/>
      <c r="L21" s="1183">
        <f t="shared" si="6"/>
        <v>404</v>
      </c>
      <c r="M21" s="1179">
        <f t="shared" si="7"/>
        <v>67178.600000000006</v>
      </c>
      <c r="N21" s="1179">
        <v>2682.75</v>
      </c>
      <c r="O21" s="1179"/>
      <c r="P21" s="1184"/>
      <c r="Q21" s="1180">
        <v>0</v>
      </c>
      <c r="R21" s="1180"/>
      <c r="S21" s="1179"/>
      <c r="T21" s="1184">
        <v>0</v>
      </c>
      <c r="U21" s="1186">
        <v>0</v>
      </c>
      <c r="V21" s="1187">
        <v>0</v>
      </c>
      <c r="W21" s="1188">
        <v>0</v>
      </c>
      <c r="X21" s="1153"/>
    </row>
    <row r="22" spans="1:24" s="1150" customFormat="1" ht="22.65" customHeight="1">
      <c r="A22" s="1772"/>
      <c r="B22" s="1178" t="s">
        <v>378</v>
      </c>
      <c r="C22" s="1197"/>
      <c r="D22" s="1179"/>
      <c r="E22" s="1180">
        <v>0</v>
      </c>
      <c r="F22" s="1180">
        <v>0</v>
      </c>
      <c r="G22" s="1181">
        <v>8840</v>
      </c>
      <c r="H22" s="1181">
        <v>0</v>
      </c>
      <c r="I22" s="1198"/>
      <c r="J22" s="1179"/>
      <c r="K22" s="1179"/>
      <c r="L22" s="1183">
        <f t="shared" si="6"/>
        <v>8840</v>
      </c>
      <c r="M22" s="1179">
        <f t="shared" si="7"/>
        <v>8840</v>
      </c>
      <c r="N22" s="1179">
        <v>0</v>
      </c>
      <c r="O22" s="1179"/>
      <c r="P22" s="1184"/>
      <c r="Q22" s="1180">
        <v>0</v>
      </c>
      <c r="R22" s="1180"/>
      <c r="S22" s="1179"/>
      <c r="T22" s="1184">
        <v>0</v>
      </c>
      <c r="U22" s="1186">
        <v>0</v>
      </c>
      <c r="V22" s="1187">
        <v>0</v>
      </c>
      <c r="W22" s="1188"/>
      <c r="X22" s="1153"/>
    </row>
    <row r="23" spans="1:24" s="1150" customFormat="1" ht="22.65" customHeight="1">
      <c r="A23" s="1772"/>
      <c r="B23" s="1178" t="s">
        <v>234</v>
      </c>
      <c r="C23" s="1197" t="s">
        <v>224</v>
      </c>
      <c r="D23" s="1179">
        <v>313</v>
      </c>
      <c r="E23" s="1180">
        <v>24360.190999999999</v>
      </c>
      <c r="F23" s="1180">
        <v>0</v>
      </c>
      <c r="G23" s="1181">
        <v>26932</v>
      </c>
      <c r="H23" s="1181">
        <v>1715.809</v>
      </c>
      <c r="I23" s="1198"/>
      <c r="J23" s="1188"/>
      <c r="K23" s="1179"/>
      <c r="L23" s="1183">
        <f t="shared" si="6"/>
        <v>53008</v>
      </c>
      <c r="M23" s="1179">
        <f t="shared" si="7"/>
        <v>53008</v>
      </c>
      <c r="N23" s="1179">
        <v>100</v>
      </c>
      <c r="O23" s="1179"/>
      <c r="P23" s="1184"/>
      <c r="Q23" s="1180">
        <v>84919</v>
      </c>
      <c r="R23" s="1180"/>
      <c r="S23" s="1179"/>
      <c r="T23" s="1184">
        <f t="shared" si="3"/>
        <v>84919</v>
      </c>
      <c r="U23" s="1186">
        <v>3049</v>
      </c>
      <c r="V23" s="1187">
        <v>290</v>
      </c>
      <c r="W23" s="1188">
        <v>0</v>
      </c>
      <c r="X23" s="1153"/>
    </row>
    <row r="24" spans="1:24" s="1150" customFormat="1" ht="22.65" customHeight="1">
      <c r="A24" s="1772"/>
      <c r="B24" s="1178" t="s">
        <v>239</v>
      </c>
      <c r="C24" s="1197" t="s">
        <v>226</v>
      </c>
      <c r="D24" s="1179">
        <v>306</v>
      </c>
      <c r="E24" s="1180">
        <v>17527.089599999999</v>
      </c>
      <c r="F24" s="1180">
        <v>0</v>
      </c>
      <c r="G24" s="1181">
        <v>27346</v>
      </c>
      <c r="H24" s="1181">
        <v>1458.9104</v>
      </c>
      <c r="I24" s="1198"/>
      <c r="J24" s="1188"/>
      <c r="K24" s="1179"/>
      <c r="L24" s="1183">
        <f t="shared" si="6"/>
        <v>46332</v>
      </c>
      <c r="M24" s="1179">
        <f t="shared" si="7"/>
        <v>46332</v>
      </c>
      <c r="N24" s="1179">
        <v>0</v>
      </c>
      <c r="O24" s="1179"/>
      <c r="P24" s="1184"/>
      <c r="Q24" s="1180">
        <v>56669</v>
      </c>
      <c r="R24" s="1180"/>
      <c r="S24" s="1179"/>
      <c r="T24" s="1184">
        <f t="shared" si="3"/>
        <v>56669</v>
      </c>
      <c r="U24" s="1186">
        <v>1458</v>
      </c>
      <c r="V24" s="1187">
        <v>52</v>
      </c>
      <c r="W24" s="1188">
        <v>0</v>
      </c>
      <c r="X24" s="1153"/>
    </row>
    <row r="25" spans="1:24" s="1151" customFormat="1" ht="22.65" customHeight="1">
      <c r="A25" s="1772"/>
      <c r="B25" s="411" t="s">
        <v>241</v>
      </c>
      <c r="C25" s="411" t="s">
        <v>228</v>
      </c>
      <c r="D25" s="1179">
        <v>584</v>
      </c>
      <c r="E25" s="1180">
        <v>28828.126</v>
      </c>
      <c r="F25" s="1180">
        <v>22202</v>
      </c>
      <c r="G25" s="1181">
        <v>37729</v>
      </c>
      <c r="H25" s="1181">
        <v>1750.874</v>
      </c>
      <c r="I25" s="1179"/>
      <c r="J25" s="1179"/>
      <c r="K25" s="1182"/>
      <c r="L25" s="1183">
        <f t="shared" si="6"/>
        <v>68308</v>
      </c>
      <c r="M25" s="1179">
        <f t="shared" si="7"/>
        <v>90510</v>
      </c>
      <c r="N25" s="1191">
        <v>0</v>
      </c>
      <c r="O25" s="1191"/>
      <c r="P25" s="1192"/>
      <c r="Q25" s="1193">
        <v>97705</v>
      </c>
      <c r="R25" s="1180"/>
      <c r="S25" s="1191"/>
      <c r="T25" s="1184">
        <f t="shared" si="3"/>
        <v>97705</v>
      </c>
      <c r="U25" s="1186">
        <v>6239</v>
      </c>
      <c r="V25" s="1187">
        <v>480</v>
      </c>
      <c r="W25" s="1194">
        <v>0</v>
      </c>
      <c r="X25" s="1195"/>
    </row>
    <row r="26" spans="1:24" s="1150" customFormat="1" ht="22.65" customHeight="1">
      <c r="A26" s="1772"/>
      <c r="B26" s="1178" t="s">
        <v>379</v>
      </c>
      <c r="C26" s="1197"/>
      <c r="D26" s="1179">
        <v>166</v>
      </c>
      <c r="E26" s="1180">
        <v>3350</v>
      </c>
      <c r="F26" s="1180">
        <v>117430</v>
      </c>
      <c r="G26" s="1181">
        <v>0</v>
      </c>
      <c r="H26" s="1181">
        <v>0</v>
      </c>
      <c r="I26" s="1198"/>
      <c r="J26" s="1188"/>
      <c r="K26" s="1179"/>
      <c r="L26" s="1183">
        <f t="shared" ref="L26:L29" si="8">M26-F26</f>
        <v>3350</v>
      </c>
      <c r="M26" s="1179">
        <f t="shared" si="7"/>
        <v>120780</v>
      </c>
      <c r="N26" s="1179">
        <v>0</v>
      </c>
      <c r="O26" s="1179"/>
      <c r="P26" s="1184"/>
      <c r="Q26" s="1180">
        <v>0</v>
      </c>
      <c r="R26" s="1180"/>
      <c r="S26" s="1179"/>
      <c r="T26" s="1184">
        <v>0</v>
      </c>
      <c r="U26" s="1186">
        <v>0</v>
      </c>
      <c r="V26" s="1187">
        <v>0</v>
      </c>
      <c r="W26" s="1188">
        <v>0</v>
      </c>
      <c r="X26" s="1153"/>
    </row>
    <row r="27" spans="1:24" s="1150" customFormat="1" ht="22.65" customHeight="1">
      <c r="A27" s="1772"/>
      <c r="B27" s="1178" t="s">
        <v>380</v>
      </c>
      <c r="C27" s="1197"/>
      <c r="D27" s="1179">
        <v>171</v>
      </c>
      <c r="E27" s="1180">
        <v>810</v>
      </c>
      <c r="F27" s="1180">
        <v>64776</v>
      </c>
      <c r="G27" s="1181">
        <v>0</v>
      </c>
      <c r="H27" s="1181">
        <v>0</v>
      </c>
      <c r="I27" s="1198"/>
      <c r="J27" s="1188"/>
      <c r="K27" s="1179"/>
      <c r="L27" s="1183">
        <f t="shared" si="8"/>
        <v>810</v>
      </c>
      <c r="M27" s="1179">
        <f t="shared" ref="M27:M29" si="9">SUM(E27:K27)</f>
        <v>65586</v>
      </c>
      <c r="N27" s="1179">
        <v>27369.119999999999</v>
      </c>
      <c r="O27" s="1179"/>
      <c r="P27" s="1184"/>
      <c r="Q27" s="1180">
        <v>3019</v>
      </c>
      <c r="R27" s="1180"/>
      <c r="S27" s="1179"/>
      <c r="T27" s="1184">
        <f t="shared" si="3"/>
        <v>3019</v>
      </c>
      <c r="U27" s="1186">
        <v>0</v>
      </c>
      <c r="V27" s="1187">
        <v>0</v>
      </c>
      <c r="W27" s="1188">
        <v>0</v>
      </c>
      <c r="X27" s="1153"/>
    </row>
    <row r="28" spans="1:24" s="1150" customFormat="1" ht="22.65" customHeight="1">
      <c r="A28" s="1772"/>
      <c r="B28" s="1178" t="s">
        <v>381</v>
      </c>
      <c r="C28" s="1197"/>
      <c r="D28" s="1179"/>
      <c r="E28" s="1180">
        <v>0</v>
      </c>
      <c r="F28" s="1180">
        <v>0</v>
      </c>
      <c r="G28" s="1181">
        <v>0</v>
      </c>
      <c r="H28" s="1181">
        <v>0</v>
      </c>
      <c r="I28" s="1198"/>
      <c r="J28" s="1188"/>
      <c r="K28" s="1179"/>
      <c r="L28" s="1183">
        <f t="shared" si="8"/>
        <v>0</v>
      </c>
      <c r="M28" s="1179">
        <f t="shared" si="9"/>
        <v>0</v>
      </c>
      <c r="N28" s="1179">
        <v>0</v>
      </c>
      <c r="O28" s="1179"/>
      <c r="P28" s="1184"/>
      <c r="Q28" s="1180">
        <v>3988</v>
      </c>
      <c r="R28" s="1180"/>
      <c r="S28" s="1179"/>
      <c r="T28" s="1184">
        <f t="shared" si="3"/>
        <v>3988</v>
      </c>
      <c r="U28" s="1186">
        <v>0</v>
      </c>
      <c r="V28" s="1187">
        <v>0</v>
      </c>
      <c r="W28" s="1188">
        <v>0</v>
      </c>
      <c r="X28" s="1153"/>
    </row>
    <row r="29" spans="1:24" s="1150" customFormat="1" ht="22.65" customHeight="1">
      <c r="A29" s="1772"/>
      <c r="B29" s="1178" t="s">
        <v>382</v>
      </c>
      <c r="C29" s="1178"/>
      <c r="D29" s="1179"/>
      <c r="E29" s="1180">
        <v>0</v>
      </c>
      <c r="F29" s="1180">
        <v>0</v>
      </c>
      <c r="G29" s="1181">
        <v>0</v>
      </c>
      <c r="H29" s="1181">
        <v>0</v>
      </c>
      <c r="I29" s="1179"/>
      <c r="J29" s="1188"/>
      <c r="K29" s="1179"/>
      <c r="L29" s="1183">
        <f t="shared" si="8"/>
        <v>0</v>
      </c>
      <c r="M29" s="1179">
        <f t="shared" si="9"/>
        <v>0</v>
      </c>
      <c r="N29" s="1179">
        <v>0</v>
      </c>
      <c r="O29" s="1179"/>
      <c r="P29" s="1184"/>
      <c r="Q29" s="1180">
        <v>0</v>
      </c>
      <c r="R29" s="1180"/>
      <c r="S29" s="1179"/>
      <c r="T29" s="1184">
        <v>0</v>
      </c>
      <c r="U29" s="1186">
        <v>0</v>
      </c>
      <c r="V29" s="1187">
        <v>0</v>
      </c>
      <c r="W29" s="1188">
        <v>0</v>
      </c>
      <c r="X29" s="1153"/>
    </row>
    <row r="30" spans="1:24" s="1150" customFormat="1" ht="21.9" customHeight="1">
      <c r="A30" s="1199"/>
      <c r="B30" s="1200" t="s">
        <v>383</v>
      </c>
      <c r="C30" s="1201"/>
      <c r="D30" s="1202">
        <v>143</v>
      </c>
      <c r="E30" s="1203">
        <v>0</v>
      </c>
      <c r="F30" s="1202">
        <v>144</v>
      </c>
      <c r="G30" s="1202">
        <v>6040</v>
      </c>
      <c r="H30" s="1203">
        <v>0</v>
      </c>
      <c r="I30" s="1204"/>
      <c r="J30" s="1204"/>
      <c r="K30" s="1205"/>
      <c r="L30" s="1183">
        <f t="shared" ref="L30:L33" si="10">M30-F30</f>
        <v>6040</v>
      </c>
      <c r="M30" s="1179">
        <f t="shared" ref="M30:M33" si="11">SUM(E30:K30)</f>
        <v>6184</v>
      </c>
      <c r="N30" s="1206">
        <v>0</v>
      </c>
      <c r="O30" s="1204"/>
      <c r="P30" s="1204"/>
      <c r="Q30" s="1207">
        <v>0</v>
      </c>
      <c r="R30" s="1208"/>
      <c r="S30" s="1208"/>
      <c r="T30" s="1184">
        <v>0</v>
      </c>
      <c r="U30" s="1209">
        <v>0</v>
      </c>
      <c r="V30" s="1210">
        <v>0</v>
      </c>
      <c r="W30" s="1211"/>
    </row>
    <row r="31" spans="1:24" s="1150" customFormat="1" ht="21.9" customHeight="1">
      <c r="A31" s="1766" t="s">
        <v>384</v>
      </c>
      <c r="B31" s="1766"/>
      <c r="C31" s="1201"/>
      <c r="D31" s="1207"/>
      <c r="E31" s="1204"/>
      <c r="F31" s="1204"/>
      <c r="G31" s="1204"/>
      <c r="H31" s="1212"/>
      <c r="I31" s="1204"/>
      <c r="J31" s="1204"/>
      <c r="K31" s="1205"/>
      <c r="L31" s="1183">
        <f t="shared" si="10"/>
        <v>0</v>
      </c>
      <c r="M31" s="1179">
        <f t="shared" si="11"/>
        <v>0</v>
      </c>
      <c r="N31" s="1206"/>
      <c r="O31" s="1204"/>
      <c r="P31" s="1204"/>
      <c r="Q31" s="1207"/>
      <c r="R31" s="1208"/>
      <c r="S31" s="1207"/>
      <c r="T31" s="1213">
        <f t="shared" ref="T31" si="12">Q31+S31-R31</f>
        <v>0</v>
      </c>
      <c r="U31" s="1209">
        <v>0</v>
      </c>
      <c r="V31" s="1210">
        <v>0</v>
      </c>
      <c r="W31" s="1211"/>
    </row>
    <row r="32" spans="1:24" s="1150" customFormat="1" ht="21.9" customHeight="1">
      <c r="A32" s="1766" t="s">
        <v>385</v>
      </c>
      <c r="B32" s="1766"/>
      <c r="C32" s="1201"/>
      <c r="D32" s="1207"/>
      <c r="E32" s="1204"/>
      <c r="F32" s="1204"/>
      <c r="G32" s="1204"/>
      <c r="H32" s="1212"/>
      <c r="I32" s="1204"/>
      <c r="J32" s="1214"/>
      <c r="K32" s="1205"/>
      <c r="L32" s="1183">
        <f t="shared" si="10"/>
        <v>0</v>
      </c>
      <c r="M32" s="1179">
        <f t="shared" si="11"/>
        <v>0</v>
      </c>
      <c r="N32" s="1206"/>
      <c r="O32" s="1204"/>
      <c r="P32" s="1204"/>
      <c r="Q32" s="1207"/>
      <c r="R32" s="1208"/>
      <c r="S32" s="1214"/>
      <c r="T32" s="1215">
        <f>-'2026-5任务'!O45-'2026-5任务'!Q45</f>
        <v>-19924.04</v>
      </c>
      <c r="U32" s="1209">
        <v>0</v>
      </c>
      <c r="V32" s="1210">
        <f>T32+U32</f>
        <v>-19924.04</v>
      </c>
      <c r="W32" s="1211"/>
    </row>
    <row r="33" spans="1:24" s="1150" customFormat="1" ht="21.9" customHeight="1">
      <c r="A33" s="1766" t="s">
        <v>386</v>
      </c>
      <c r="B33" s="1766"/>
      <c r="C33" s="1201"/>
      <c r="D33" s="1207"/>
      <c r="E33" s="1204">
        <v>0</v>
      </c>
      <c r="F33" s="1204">
        <v>4</v>
      </c>
      <c r="G33" s="1204"/>
      <c r="H33" s="1212">
        <v>0</v>
      </c>
      <c r="I33" s="1204"/>
      <c r="J33" s="1204"/>
      <c r="K33" s="1205"/>
      <c r="L33" s="1183">
        <f t="shared" si="10"/>
        <v>0</v>
      </c>
      <c r="M33" s="1179">
        <f t="shared" si="11"/>
        <v>4</v>
      </c>
      <c r="N33" s="1206">
        <v>9881.08</v>
      </c>
      <c r="O33" s="1204"/>
      <c r="P33" s="1204"/>
      <c r="Q33" s="1207">
        <v>7142</v>
      </c>
      <c r="R33" s="1208"/>
      <c r="S33" s="1207">
        <v>0</v>
      </c>
      <c r="T33" s="1215">
        <v>-314</v>
      </c>
      <c r="U33" s="1209"/>
      <c r="V33" s="1210">
        <v>0</v>
      </c>
      <c r="W33" s="1211"/>
    </row>
    <row r="34" spans="1:24" s="1150" customFormat="1" ht="21.9" customHeight="1">
      <c r="A34" s="1767" t="s">
        <v>387</v>
      </c>
      <c r="B34" s="1767"/>
      <c r="C34" s="1216"/>
      <c r="D34" s="1217">
        <f>SUM(D1:D33)</f>
        <v>5690</v>
      </c>
      <c r="E34" s="1217">
        <f t="shared" ref="E34:K34" si="13">SUM(E4:E33)</f>
        <v>267940.58610000001</v>
      </c>
      <c r="F34" s="1217">
        <f t="shared" si="13"/>
        <v>779356.97</v>
      </c>
      <c r="G34" s="1217">
        <f t="shared" si="13"/>
        <v>340701</v>
      </c>
      <c r="H34" s="1217">
        <f t="shared" si="13"/>
        <v>19777.4139</v>
      </c>
      <c r="I34" s="1217">
        <f t="shared" si="13"/>
        <v>52060</v>
      </c>
      <c r="J34" s="1217">
        <f t="shared" si="13"/>
        <v>0</v>
      </c>
      <c r="K34" s="1217">
        <f t="shared" si="13"/>
        <v>0</v>
      </c>
      <c r="L34" s="1217">
        <f t="shared" ref="L34:Q34" si="14">SUM(L1:L33)</f>
        <v>680479</v>
      </c>
      <c r="M34" s="1217">
        <f t="shared" si="14"/>
        <v>1459835.97</v>
      </c>
      <c r="N34" s="1217">
        <f t="shared" si="14"/>
        <v>105544.45</v>
      </c>
      <c r="O34" s="1217">
        <f t="shared" si="14"/>
        <v>0</v>
      </c>
      <c r="P34" s="1217">
        <f t="shared" si="14"/>
        <v>0</v>
      </c>
      <c r="Q34" s="1217">
        <f t="shared" si="14"/>
        <v>832798</v>
      </c>
      <c r="R34" s="1217">
        <f>SUM(R1:R29)</f>
        <v>0</v>
      </c>
      <c r="S34" s="1217">
        <f>SUM(S1:S33)</f>
        <v>0</v>
      </c>
      <c r="T34" s="1217">
        <f>SUM(T4:T29)</f>
        <v>825656</v>
      </c>
      <c r="U34" s="1218">
        <f>SUM(U1:U33)</f>
        <v>27315</v>
      </c>
      <c r="V34" s="1218">
        <f>SUM(V1:V29)</f>
        <v>2220</v>
      </c>
      <c r="W34" s="1219">
        <v>0</v>
      </c>
      <c r="X34" s="1153"/>
    </row>
    <row r="35" spans="1:24" s="1150" customFormat="1" ht="21.9" customHeight="1">
      <c r="A35" s="1768" t="s">
        <v>388</v>
      </c>
      <c r="B35" s="1769"/>
      <c r="C35" s="1201"/>
      <c r="D35" s="1220"/>
      <c r="E35" s="1220">
        <f>E34-'2026-5任务'!N44</f>
        <v>3.0861000000149899</v>
      </c>
      <c r="F35" s="1220">
        <f>F34-'2026-5任务'!R44</f>
        <v>0</v>
      </c>
      <c r="G35" s="1220">
        <f>G34-'2026-5任务'!AN44</f>
        <v>0</v>
      </c>
      <c r="H35" s="1220">
        <f>H34-'2026-5任务'!O44</f>
        <v>-3.0861000000004402</v>
      </c>
      <c r="I35" s="1220"/>
      <c r="J35" s="1220">
        <f>'2026-5任务'!T44+'2026-5任务'!U44+'2026-5任务'!AO44-J34</f>
        <v>0</v>
      </c>
      <c r="K35" s="1205"/>
      <c r="L35" s="1221"/>
      <c r="M35" s="1221">
        <f>SUM('2026-5任务'!N44:CI44)-(M34-K34-I34)</f>
        <v>0</v>
      </c>
      <c r="N35" s="1220"/>
      <c r="O35" s="1221"/>
      <c r="P35" s="1221"/>
      <c r="Q35" s="1220">
        <f>'2026-5任务'!N45+'2026-5任务'!AH45+'2026-5任务'!O45+'2026-5任务'!Q45+'2026-5任务'!AJ45-Q34-U34+T33</f>
        <v>0</v>
      </c>
      <c r="R35" s="1222"/>
      <c r="S35" s="1222">
        <f>S34-'2026-5任务'!T45-'2026-5任务'!U45</f>
        <v>0</v>
      </c>
      <c r="T35" s="1213">
        <f>'2026-5任务'!N45+'2026-5任务'!AH45+'2026-5任务'!AJ45-Q34-T32+T33-U34</f>
        <v>-3.6379788070917097E-11</v>
      </c>
      <c r="U35" s="1223"/>
      <c r="V35" s="1223"/>
      <c r="W35" s="1211"/>
    </row>
    <row r="36" spans="1:24" s="1150" customFormat="1" ht="21.9" customHeight="1">
      <c r="A36" s="1224"/>
      <c r="B36" s="1225"/>
      <c r="C36" s="1226"/>
      <c r="D36" s="1227"/>
      <c r="E36" s="1227"/>
      <c r="F36" s="1227"/>
      <c r="G36" s="1227"/>
      <c r="H36" s="1227"/>
      <c r="I36" s="1227"/>
      <c r="J36" s="1227"/>
      <c r="K36" s="1227"/>
      <c r="L36" s="1228"/>
      <c r="M36" s="1228"/>
      <c r="N36" s="1227"/>
      <c r="O36" s="1228"/>
      <c r="P36" s="1228"/>
      <c r="Q36" s="1227"/>
      <c r="R36" s="1162"/>
      <c r="S36" s="1162"/>
      <c r="T36" s="1160"/>
      <c r="U36" s="1156"/>
      <c r="V36" s="1156"/>
    </row>
    <row r="37" spans="1:24" s="1150" customFormat="1" ht="21.9" customHeight="1">
      <c r="A37" s="1229" t="s">
        <v>389</v>
      </c>
      <c r="B37" s="1159" t="s">
        <v>390</v>
      </c>
      <c r="C37" s="1160"/>
      <c r="D37" s="1230"/>
      <c r="E37" s="1163"/>
      <c r="F37" s="1163"/>
      <c r="G37" s="1163"/>
      <c r="H37" s="1163"/>
      <c r="I37" s="1163"/>
      <c r="J37" s="1163"/>
      <c r="K37" s="1163"/>
      <c r="L37" s="1163"/>
      <c r="M37" s="1163"/>
      <c r="N37" s="1162"/>
      <c r="O37" s="1162"/>
      <c r="P37" s="1154"/>
      <c r="Q37" s="1162"/>
      <c r="R37" s="1162"/>
      <c r="S37" s="1162"/>
      <c r="T37" s="1160"/>
      <c r="U37" s="1156"/>
      <c r="V37" s="1157"/>
      <c r="W37" s="1153"/>
      <c r="X37" s="1153"/>
    </row>
    <row r="38" spans="1:24" s="1150" customFormat="1" ht="39.15" customHeight="1">
      <c r="A38" s="1231"/>
      <c r="B38" s="1770" t="s">
        <v>391</v>
      </c>
      <c r="C38" s="1771"/>
      <c r="D38" s="1770"/>
      <c r="E38" s="1770"/>
      <c r="F38" s="1770"/>
      <c r="G38" s="1770"/>
      <c r="H38" s="1770"/>
      <c r="I38" s="1770"/>
      <c r="J38" s="1771"/>
      <c r="K38" s="1233"/>
      <c r="L38" s="1233"/>
      <c r="M38" s="1234"/>
      <c r="Q38" s="1162"/>
      <c r="U38" s="1235"/>
      <c r="V38" s="1235"/>
    </row>
    <row r="39" spans="1:24" s="1150" customFormat="1" ht="21.9" customHeight="1">
      <c r="A39" s="1231"/>
      <c r="B39" s="1770" t="s">
        <v>392</v>
      </c>
      <c r="C39" s="1771"/>
      <c r="D39" s="1770"/>
      <c r="E39" s="1770"/>
      <c r="F39" s="1770"/>
      <c r="G39" s="1770"/>
      <c r="H39" s="1770"/>
      <c r="I39" s="1770"/>
      <c r="J39" s="1160"/>
      <c r="K39" s="1232"/>
      <c r="L39" s="1232"/>
      <c r="M39" s="1234"/>
      <c r="U39" s="1235"/>
      <c r="V39" s="1235"/>
    </row>
    <row r="40" spans="1:24" s="1150" customFormat="1" ht="21.9" customHeight="1">
      <c r="A40" s="1231"/>
      <c r="B40" s="1163" t="s">
        <v>393</v>
      </c>
      <c r="C40" s="1162"/>
      <c r="D40" s="1161"/>
      <c r="E40" s="1162"/>
      <c r="F40" s="1162"/>
      <c r="G40" s="1155"/>
      <c r="H40" s="1162"/>
      <c r="I40" s="1236" t="s">
        <v>394</v>
      </c>
      <c r="J40" s="1165"/>
      <c r="K40" s="1237" t="s">
        <v>395</v>
      </c>
      <c r="L40" s="1237"/>
      <c r="M40" s="1234"/>
      <c r="U40" s="1235"/>
      <c r="V40" s="1235"/>
    </row>
    <row r="41" spans="1:24" s="1150" customFormat="1" ht="22.65" customHeight="1">
      <c r="A41" s="1153"/>
      <c r="B41" s="1178"/>
      <c r="C41" s="1178"/>
      <c r="D41" s="1179"/>
      <c r="E41" s="1180"/>
      <c r="F41" s="1180"/>
      <c r="G41" s="1181"/>
      <c r="H41" s="1181"/>
      <c r="I41" s="1179"/>
      <c r="J41" s="1190"/>
      <c r="K41" s="1179"/>
      <c r="L41" s="1183"/>
      <c r="M41" s="1179"/>
      <c r="N41" s="1179"/>
      <c r="O41" s="1179"/>
      <c r="P41" s="1184"/>
      <c r="Q41" s="1180"/>
      <c r="R41" s="1180"/>
      <c r="S41" s="1179"/>
      <c r="T41" s="1184"/>
      <c r="U41" s="1186"/>
      <c r="V41" s="1187"/>
      <c r="W41" s="1188"/>
      <c r="X41" s="1153"/>
    </row>
    <row r="42" spans="1:24" ht="15.6">
      <c r="E42" s="1238"/>
      <c r="F42" s="1238"/>
      <c r="G42" s="1239"/>
      <c r="H42" s="1153"/>
    </row>
    <row r="43" spans="1:24" ht="15.6">
      <c r="E43" s="1238"/>
      <c r="F43" s="1238"/>
      <c r="G43" s="1239"/>
      <c r="H43" s="1153"/>
      <c r="R43" s="1773"/>
      <c r="S43" s="1773"/>
      <c r="T43" s="1773"/>
      <c r="U43" s="1773"/>
    </row>
    <row r="44" spans="1:24" ht="15.6">
      <c r="E44" s="1238"/>
      <c r="F44" s="1238"/>
      <c r="G44" s="1239"/>
      <c r="H44" s="1153"/>
      <c r="R44" s="1773"/>
      <c r="S44" s="1773"/>
      <c r="T44" s="1773"/>
      <c r="U44" s="1773"/>
    </row>
    <row r="45" spans="1:24" ht="15.6">
      <c r="E45" s="1153"/>
      <c r="F45" s="1153"/>
      <c r="G45" s="1153"/>
      <c r="H45" s="1153"/>
      <c r="I45" s="1153" t="s">
        <v>396</v>
      </c>
      <c r="Q45" s="1240"/>
      <c r="R45" s="1240"/>
    </row>
    <row r="46" spans="1:24" ht="48">
      <c r="B46" s="1241" t="s">
        <v>351</v>
      </c>
      <c r="C46" s="1241" t="s">
        <v>397</v>
      </c>
      <c r="D46" s="1242" t="s">
        <v>398</v>
      </c>
      <c r="E46" s="1242" t="s">
        <v>399</v>
      </c>
      <c r="F46" s="1242" t="s">
        <v>398</v>
      </c>
      <c r="G46" s="1242" t="s">
        <v>400</v>
      </c>
      <c r="H46" s="1242" t="s">
        <v>401</v>
      </c>
      <c r="I46" s="1242" t="s">
        <v>402</v>
      </c>
      <c r="J46" s="1242" t="s">
        <v>403</v>
      </c>
      <c r="K46" s="1242" t="s">
        <v>404</v>
      </c>
      <c r="L46" s="1242" t="s">
        <v>405</v>
      </c>
      <c r="M46" s="1242" t="s">
        <v>406</v>
      </c>
      <c r="N46" s="1242" t="s">
        <v>407</v>
      </c>
      <c r="P46" s="1240"/>
    </row>
    <row r="47" spans="1:24" ht="24">
      <c r="B47" s="1241" t="s">
        <v>162</v>
      </c>
      <c r="C47" s="1241" t="s">
        <v>408</v>
      </c>
      <c r="D47" s="1243">
        <v>0</v>
      </c>
      <c r="E47" s="1243">
        <v>0</v>
      </c>
      <c r="F47" s="1243">
        <v>0</v>
      </c>
      <c r="G47" s="1243">
        <v>0</v>
      </c>
      <c r="H47" s="1243">
        <v>0</v>
      </c>
      <c r="I47" s="1243">
        <v>0</v>
      </c>
      <c r="J47" s="1243">
        <v>0</v>
      </c>
      <c r="K47" s="1243">
        <v>0</v>
      </c>
      <c r="L47" s="1243">
        <v>0</v>
      </c>
      <c r="M47" s="1243">
        <v>0</v>
      </c>
      <c r="N47" s="1243">
        <v>0</v>
      </c>
      <c r="P47" s="1240"/>
    </row>
    <row r="48" spans="1:24" ht="15.6">
      <c r="B48" s="1241"/>
      <c r="C48" s="1241"/>
      <c r="D48" s="1243"/>
      <c r="E48" s="1243"/>
      <c r="F48" s="1243"/>
      <c r="G48" s="1243"/>
      <c r="H48" s="1243"/>
      <c r="I48" s="1243"/>
      <c r="J48" s="1243"/>
      <c r="K48" s="1243"/>
      <c r="L48" s="1243"/>
      <c r="M48" s="1243"/>
      <c r="N48" s="1243"/>
      <c r="P48" s="1240"/>
    </row>
    <row r="49" spans="2:23" ht="15.6">
      <c r="B49" s="1241"/>
      <c r="C49" s="1241"/>
      <c r="D49" s="1243"/>
      <c r="E49" s="1243"/>
      <c r="F49" s="1243"/>
      <c r="G49" s="1243"/>
      <c r="H49" s="1243"/>
      <c r="I49" s="1243"/>
      <c r="J49" s="1243"/>
      <c r="K49" s="1243"/>
      <c r="L49" s="1243"/>
      <c r="M49" s="1243"/>
      <c r="N49" s="1243"/>
      <c r="P49" s="1240"/>
    </row>
    <row r="50" spans="2:23" ht="15.6">
      <c r="E50" s="1153"/>
      <c r="F50" s="1153"/>
      <c r="G50" s="1153"/>
      <c r="H50" s="1153"/>
      <c r="P50" s="1240"/>
    </row>
    <row r="51" spans="2:23" ht="15.6">
      <c r="H51" s="1153"/>
    </row>
    <row r="52" spans="2:23" ht="15.6">
      <c r="H52" s="1153"/>
    </row>
    <row r="53" spans="2:23" ht="15.6">
      <c r="H53" s="1153"/>
    </row>
    <row r="54" spans="2:23" ht="15.6">
      <c r="D54" s="1244"/>
      <c r="E54" s="1244"/>
      <c r="F54" s="1244"/>
      <c r="G54" s="1244"/>
      <c r="H54" s="1244"/>
      <c r="I54" s="1244"/>
      <c r="J54" s="1244"/>
      <c r="K54" s="1244"/>
      <c r="L54" s="1244"/>
      <c r="M54" s="1244"/>
      <c r="N54" s="1244"/>
      <c r="O54" s="1244"/>
      <c r="P54" s="1244"/>
      <c r="Q54" s="1244"/>
      <c r="R54" s="1244"/>
      <c r="S54" s="1244"/>
      <c r="T54" s="1244"/>
      <c r="U54" s="1244"/>
      <c r="V54" s="1244"/>
      <c r="W54" s="1244"/>
    </row>
    <row r="55" spans="2:23" ht="15.6">
      <c r="H55" s="1153"/>
    </row>
  </sheetData>
  <mergeCells count="11">
    <mergeCell ref="R43:U44"/>
    <mergeCell ref="A34:B34"/>
    <mergeCell ref="A35:B35"/>
    <mergeCell ref="B38:J38"/>
    <mergeCell ref="B39:I39"/>
    <mergeCell ref="A4:A29"/>
    <mergeCell ref="A1:T1"/>
    <mergeCell ref="A3:B3"/>
    <mergeCell ref="A31:B31"/>
    <mergeCell ref="A32:B32"/>
    <mergeCell ref="A33:B33"/>
  </mergeCells>
  <phoneticPr fontId="5" type="noConversion"/>
  <pageMargins left="0.69930555555555596" right="0.69930555555555596"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5" tint="-0.249977111117893"/>
  </sheetPr>
  <dimension ref="A1:AK93"/>
  <sheetViews>
    <sheetView workbookViewId="0">
      <pane xSplit="3" ySplit="4" topLeftCell="M68" activePane="bottomRight" state="frozen"/>
      <selection pane="topRight"/>
      <selection pane="bottomLeft"/>
      <selection pane="bottomRight" activeCell="Y85" sqref="Y85"/>
    </sheetView>
  </sheetViews>
  <sheetFormatPr defaultColWidth="9" defaultRowHeight="12"/>
  <cols>
    <col min="1" max="1" width="9.109375" style="1062" customWidth="1"/>
    <col min="2" max="2" width="9.109375" style="1063" customWidth="1"/>
    <col min="3" max="3" width="8.88671875" style="259" customWidth="1"/>
    <col min="4" max="4" width="14.21875" style="1062" customWidth="1"/>
    <col min="5" max="5" width="14.88671875" style="1062" customWidth="1"/>
    <col min="6" max="6" width="13.88671875" style="1062" customWidth="1"/>
    <col min="7" max="7" width="10.109375" style="1064" customWidth="1"/>
    <col min="8" max="8" width="8" style="1064" customWidth="1"/>
    <col min="9" max="9" width="15.77734375" style="1062" customWidth="1"/>
    <col min="10" max="10" width="14.109375" style="1062" customWidth="1"/>
    <col min="11" max="11" width="7.44140625" style="1062" customWidth="1"/>
    <col min="12" max="12" width="15.6640625" style="1062" customWidth="1"/>
    <col min="13" max="13" width="11" style="1062" customWidth="1"/>
    <col min="14" max="14" width="12" style="1062" customWidth="1"/>
    <col min="15" max="15" width="13.88671875" style="1062" customWidth="1"/>
    <col min="16" max="16" width="12.77734375" style="1062" customWidth="1"/>
    <col min="17" max="17" width="14.21875" style="1062" hidden="1" customWidth="1"/>
    <col min="18" max="18" width="10.44140625" style="1062" hidden="1" customWidth="1"/>
    <col min="19" max="19" width="13.33203125" style="1062" hidden="1" customWidth="1"/>
    <col min="20" max="20" width="11.44140625" style="1062" customWidth="1"/>
    <col min="21" max="21" width="11.33203125" style="1062" customWidth="1"/>
    <col min="22" max="22" width="15" style="1065" customWidth="1"/>
    <col min="23" max="23" width="13.21875" style="1062" customWidth="1"/>
    <col min="24" max="24" width="15.33203125" style="1062" customWidth="1"/>
    <col min="25" max="27" width="14.109375" style="1062" customWidth="1"/>
    <col min="28" max="28" width="11.109375" style="1062" hidden="1" customWidth="1"/>
    <col min="29" max="29" width="17" style="1062" hidden="1" customWidth="1"/>
    <col min="30" max="30" width="12.109375" style="1062" hidden="1" customWidth="1"/>
    <col min="31" max="31" width="9.21875" style="1062" hidden="1" customWidth="1"/>
    <col min="32" max="33" width="9" style="1062" hidden="1" customWidth="1"/>
    <col min="34" max="36" width="9" style="1066" hidden="1" customWidth="1"/>
    <col min="37" max="37" width="9" style="1066"/>
    <col min="38" max="38" width="11.109375" style="1066"/>
    <col min="39" max="39" width="12" style="1066"/>
    <col min="40" max="16384" width="9" style="1066"/>
  </cols>
  <sheetData>
    <row r="1" spans="1:33" ht="18.75" customHeight="1">
      <c r="A1" s="1774" t="s">
        <v>409</v>
      </c>
      <c r="B1" s="1774"/>
      <c r="C1" s="1774"/>
      <c r="D1" s="1774"/>
      <c r="E1" s="1774"/>
      <c r="F1" s="1774"/>
      <c r="G1" s="1774"/>
      <c r="H1" s="1774"/>
      <c r="I1" s="1774"/>
      <c r="J1" s="1774"/>
      <c r="K1" s="1774"/>
      <c r="L1" s="1774"/>
      <c r="M1" s="1774"/>
      <c r="N1" s="1774"/>
      <c r="O1" s="1774"/>
      <c r="P1" s="1774"/>
      <c r="Q1" s="1774"/>
      <c r="R1" s="1774"/>
      <c r="S1" s="1774"/>
      <c r="T1" s="1774"/>
      <c r="U1" s="1774"/>
      <c r="V1" s="1774"/>
      <c r="W1" s="1774"/>
      <c r="X1" s="1774"/>
      <c r="Y1" s="1067"/>
      <c r="Z1" s="1067"/>
      <c r="AA1" s="1067"/>
    </row>
    <row r="2" spans="1:33" ht="15" customHeight="1">
      <c r="A2" s="1068" t="s">
        <v>410</v>
      </c>
      <c r="B2" s="1068"/>
      <c r="C2" s="1069"/>
      <c r="D2" s="1070"/>
      <c r="E2" s="1070"/>
      <c r="F2" s="1070"/>
      <c r="G2" s="1071"/>
      <c r="H2" s="1071"/>
      <c r="I2" s="1070"/>
      <c r="J2" s="1070"/>
      <c r="K2" s="1070"/>
      <c r="L2" s="1070"/>
      <c r="M2" s="1070"/>
      <c r="N2" s="1070"/>
      <c r="O2" s="1070"/>
      <c r="P2" s="1070"/>
      <c r="Q2" s="1070"/>
      <c r="R2" s="1070"/>
      <c r="S2" s="1070"/>
      <c r="T2" s="1070"/>
      <c r="U2" s="1070"/>
      <c r="V2" s="1072"/>
      <c r="W2" s="1070"/>
    </row>
    <row r="3" spans="1:33" ht="30.9" customHeight="1">
      <c r="A3" s="1775" t="s">
        <v>315</v>
      </c>
      <c r="B3" s="1777" t="s">
        <v>316</v>
      </c>
      <c r="C3" s="1777" t="s">
        <v>411</v>
      </c>
      <c r="D3" s="1783" t="s">
        <v>412</v>
      </c>
      <c r="E3" s="1783" t="s">
        <v>354</v>
      </c>
      <c r="F3" s="1783" t="s">
        <v>413</v>
      </c>
      <c r="G3" s="1785" t="s">
        <v>414</v>
      </c>
      <c r="H3" s="1785" t="s">
        <v>415</v>
      </c>
      <c r="I3" s="1783" t="s">
        <v>416</v>
      </c>
      <c r="J3" s="1787" t="s">
        <v>417</v>
      </c>
      <c r="K3" s="1787" t="s">
        <v>418</v>
      </c>
      <c r="L3" s="1787" t="s">
        <v>419</v>
      </c>
      <c r="M3" s="1789" t="s">
        <v>257</v>
      </c>
      <c r="N3" s="1791" t="s">
        <v>420</v>
      </c>
      <c r="O3" s="1793" t="s">
        <v>421</v>
      </c>
      <c r="P3" s="1777" t="s">
        <v>300</v>
      </c>
      <c r="Q3" s="1777" t="s">
        <v>301</v>
      </c>
      <c r="R3" s="1777" t="s">
        <v>303</v>
      </c>
      <c r="S3" s="1777" t="s">
        <v>302</v>
      </c>
      <c r="T3" s="1777" t="s">
        <v>324</v>
      </c>
      <c r="U3" s="1795" t="s">
        <v>9</v>
      </c>
      <c r="V3" s="1795" t="s">
        <v>422</v>
      </c>
      <c r="W3" s="1797" t="s">
        <v>328</v>
      </c>
      <c r="X3" s="1799" t="s">
        <v>423</v>
      </c>
      <c r="Y3" s="1801" t="s">
        <v>424</v>
      </c>
      <c r="Z3" s="1073"/>
      <c r="AA3" s="1073"/>
    </row>
    <row r="4" spans="1:33" ht="6.75" customHeight="1">
      <c r="A4" s="1776"/>
      <c r="B4" s="1778"/>
      <c r="C4" s="1778"/>
      <c r="D4" s="1784"/>
      <c r="E4" s="1784"/>
      <c r="F4" s="1784"/>
      <c r="G4" s="1786"/>
      <c r="H4" s="1786"/>
      <c r="I4" s="1784"/>
      <c r="J4" s="1788"/>
      <c r="K4" s="1788"/>
      <c r="L4" s="1788"/>
      <c r="M4" s="1790"/>
      <c r="N4" s="1792"/>
      <c r="O4" s="1794"/>
      <c r="P4" s="1778"/>
      <c r="Q4" s="1778"/>
      <c r="R4" s="1778"/>
      <c r="S4" s="1778"/>
      <c r="T4" s="1778"/>
      <c r="U4" s="1796"/>
      <c r="V4" s="1796"/>
      <c r="W4" s="1798"/>
      <c r="X4" s="1800"/>
      <c r="Y4" s="1801"/>
      <c r="Z4" s="1073"/>
      <c r="AA4" s="1073"/>
    </row>
    <row r="5" spans="1:33" ht="13.65" customHeight="1">
      <c r="A5" s="1074">
        <v>1</v>
      </c>
      <c r="B5" s="1779" t="s">
        <v>122</v>
      </c>
      <c r="C5" s="1076" t="s">
        <v>109</v>
      </c>
      <c r="D5" s="1077"/>
      <c r="E5" s="1077"/>
      <c r="F5" s="1077"/>
      <c r="G5" s="1078"/>
      <c r="H5" s="1078"/>
      <c r="I5" s="1077"/>
      <c r="J5" s="1077"/>
      <c r="K5" s="1077"/>
      <c r="L5" s="1077"/>
      <c r="M5" s="1077"/>
      <c r="N5" s="1077"/>
      <c r="O5" s="1077"/>
      <c r="P5" s="1079">
        <f>INDEX('05月提成-武侯售后'!I:I,MATCH(C5,'05月提成-武侯售后'!C:C,0))</f>
        <v>1140</v>
      </c>
      <c r="Q5" s="1079">
        <f>INDEX('05月提成-武侯售后'!J:J,MATCH(C5,'05月提成-武侯售后'!C:C,0))</f>
        <v>0</v>
      </c>
      <c r="R5" s="1079">
        <f>INDEX('05基本'!O:O,MATCH(C5,'05基本'!C:C,0))+INDEX('05基本'!N:N,MATCH(C5,'05基本'!C:C,0))</f>
        <v>0</v>
      </c>
      <c r="S5" s="1079">
        <f>INDEX('05月提成-武侯售后'!D:D,MATCH(C5,'05月提成-武侯售后'!C:C,0))</f>
        <v>40</v>
      </c>
      <c r="T5" s="1079">
        <v>1</v>
      </c>
      <c r="U5" s="1079"/>
      <c r="V5" s="1079"/>
      <c r="W5" s="1077">
        <f>$O$7/$T$7*T5-R5-P5+Q5+S5+U5+V5</f>
        <v>6056.6058571428603</v>
      </c>
      <c r="X5" s="1080"/>
      <c r="Y5" s="1062">
        <f>W5+P5</f>
        <v>7196.6058571428603</v>
      </c>
      <c r="Z5" s="1062">
        <f>SUMIF('05月提成-武侯售后'!C:C,C5,'05月提成-武侯售后'!K:K)-W5</f>
        <v>0</v>
      </c>
      <c r="AC5" s="1062">
        <f>INDEX('05月提成-武侯售后'!K:K,MATCH(C5,'05月提成-武侯售后'!C:C,0))-W5</f>
        <v>0</v>
      </c>
    </row>
    <row r="6" spans="1:33" ht="13.65" customHeight="1">
      <c r="A6" s="1074">
        <v>2</v>
      </c>
      <c r="B6" s="1779"/>
      <c r="C6" s="1076" t="s">
        <v>110</v>
      </c>
      <c r="D6" s="1077"/>
      <c r="E6" s="1077"/>
      <c r="F6" s="1077"/>
      <c r="G6" s="1078"/>
      <c r="H6" s="1078"/>
      <c r="I6" s="1077"/>
      <c r="J6" s="1077"/>
      <c r="K6" s="1077"/>
      <c r="L6" s="1077"/>
      <c r="M6" s="1077"/>
      <c r="N6" s="1077"/>
      <c r="O6" s="1077"/>
      <c r="P6" s="1079">
        <f>INDEX('05月提成-武侯售后'!I:I,MATCH(C6,'05月提成-武侯售后'!C:C,0))</f>
        <v>940</v>
      </c>
      <c r="Q6" s="1079">
        <f>INDEX('05月提成-武侯售后'!J:J,MATCH(C6,'05月提成-武侯售后'!C:C,0))</f>
        <v>0</v>
      </c>
      <c r="R6" s="1079">
        <f>INDEX('05基本'!O:O,MATCH(C6,'05基本'!C:C,0))+INDEX('05基本'!N:N,MATCH(C6,'05基本'!C:C,0))</f>
        <v>0</v>
      </c>
      <c r="S6" s="1079">
        <f>INDEX('05月提成-武侯售后'!D:D,MATCH(C6,'05月提成-武侯售后'!C:C,0))</f>
        <v>40</v>
      </c>
      <c r="T6" s="1079">
        <v>0.75</v>
      </c>
      <c r="U6" s="1079"/>
      <c r="V6" s="1079"/>
      <c r="W6" s="1077">
        <f>$O$7/$T$7*T6-R6-P6+Q6+S6+U6+V6</f>
        <v>4467.4543928571402</v>
      </c>
      <c r="X6" s="1080"/>
      <c r="Y6" s="1062">
        <f t="shared" ref="Y6:Y32" si="0">W6+P6</f>
        <v>5407.4543928571402</v>
      </c>
      <c r="Z6" s="1062">
        <f>SUMIF('05月提成-武侯售后'!C:C,C6,'05月提成-武侯售后'!K:K)-W6</f>
        <v>0</v>
      </c>
      <c r="AC6" s="1062">
        <f>INDEX('05月提成-武侯售后'!K:K,MATCH(C6,'05月提成-武侯售后'!C:C,0))-W6</f>
        <v>0</v>
      </c>
    </row>
    <row r="7" spans="1:33" ht="24">
      <c r="A7" s="1074"/>
      <c r="B7" s="1779"/>
      <c r="C7" s="1081" t="s">
        <v>125</v>
      </c>
      <c r="D7" s="1082">
        <f>INDEX('5月车间产值'!L:L,MATCH(C7,'5月车间产值'!B:B,0))</f>
        <v>40938</v>
      </c>
      <c r="E7" s="1082">
        <f>INDEX('5月车间产值'!F:F,MATCH(C7,'5月车间产值'!B:B,0))</f>
        <v>0</v>
      </c>
      <c r="F7" s="1082">
        <f>INDEX('5月车间产值'!N:N,MATCH(C7,'5月车间产值'!B:B,0))</f>
        <v>192.5</v>
      </c>
      <c r="G7" s="1083">
        <v>0.28999999999999998</v>
      </c>
      <c r="H7" s="1083">
        <v>0.33</v>
      </c>
      <c r="I7" s="1082">
        <f>((D7-F7)*G7+E7*H7)*0.95</f>
        <v>11225.385249999999</v>
      </c>
      <c r="J7" s="1082">
        <f>INDEX('5月车间产值'!T:T,MATCH(C7,'5月车间产值'!B:B,0))</f>
        <v>57085</v>
      </c>
      <c r="K7" s="1082">
        <v>0.02</v>
      </c>
      <c r="L7" s="1082">
        <f>J7*0.95*K7</f>
        <v>1084.615</v>
      </c>
      <c r="M7" s="1082">
        <f>INDEX('5月车间产值'!U:U,MATCH(C7,'5月车间产值'!B:B,0))*0.07+INDEX('5月车间产值'!V:V,MATCH(C7,'5月车间产值'!B:B,0))</f>
        <v>214.06</v>
      </c>
      <c r="N7" s="1082">
        <f>SUMIFS(综合考核!AZ:AZ,综合考核!AX:AX,'05月车间提成'!C7)</f>
        <v>0</v>
      </c>
      <c r="O7" s="1082">
        <f>I7+L7+M7+N7</f>
        <v>12524.06025</v>
      </c>
      <c r="P7" s="1081">
        <f>SUM(P5:P6)</f>
        <v>2080</v>
      </c>
      <c r="Q7" s="1081">
        <f t="shared" ref="Q7:W7" si="1">SUM(Q5:Q6)</f>
        <v>0</v>
      </c>
      <c r="R7" s="1081">
        <f t="shared" si="1"/>
        <v>0</v>
      </c>
      <c r="S7" s="1081">
        <f t="shared" si="1"/>
        <v>80</v>
      </c>
      <c r="T7" s="1081">
        <f t="shared" si="1"/>
        <v>1.75</v>
      </c>
      <c r="U7" s="1081">
        <f t="shared" si="1"/>
        <v>0</v>
      </c>
      <c r="V7" s="1081">
        <f t="shared" si="1"/>
        <v>0</v>
      </c>
      <c r="W7" s="1081">
        <f t="shared" si="1"/>
        <v>10524.06025</v>
      </c>
      <c r="X7" s="1080"/>
      <c r="Y7" s="1062">
        <f t="shared" si="0"/>
        <v>12604.06025</v>
      </c>
      <c r="Z7" s="1062">
        <f>SUMIF('05月提成-武侯售后'!C:C,C7,'05月提成-武侯售后'!K:K)-W7</f>
        <v>0</v>
      </c>
    </row>
    <row r="8" spans="1:33" s="61" customFormat="1" ht="13.65" customHeight="1">
      <c r="A8" s="1074">
        <v>3</v>
      </c>
      <c r="B8" s="1779" t="s">
        <v>425</v>
      </c>
      <c r="C8" s="1076" t="s">
        <v>111</v>
      </c>
      <c r="D8" s="1077"/>
      <c r="E8" s="1077"/>
      <c r="F8" s="1077"/>
      <c r="G8" s="1078"/>
      <c r="H8" s="1078"/>
      <c r="I8" s="1077"/>
      <c r="J8" s="1077"/>
      <c r="K8" s="1077"/>
      <c r="L8" s="1077"/>
      <c r="M8" s="1077"/>
      <c r="N8" s="1077"/>
      <c r="O8" s="1077"/>
      <c r="P8" s="1079">
        <f>INDEX('05月提成-武侯售后'!I:I,MATCH(C8,'05月提成-武侯售后'!C:C,0))</f>
        <v>1130</v>
      </c>
      <c r="Q8" s="1079">
        <f>INDEX('05月提成-武侯售后'!J:J,MATCH(C8,'05月提成-武侯售后'!C:C,0))</f>
        <v>0</v>
      </c>
      <c r="R8" s="1079">
        <f>INDEX('05基本'!O:O,MATCH(C8,'05基本'!C:C,0))+INDEX('05基本'!N:N,MATCH(C8,'05基本'!C:C,0))</f>
        <v>0</v>
      </c>
      <c r="S8" s="1079"/>
      <c r="T8" s="1084">
        <v>1</v>
      </c>
      <c r="U8" s="1084"/>
      <c r="V8" s="1079"/>
      <c r="W8" s="1085">
        <f>$O$10/$T$10*T8-R8-P8+Q8+S8+U8+V8</f>
        <v>7243.5058461538501</v>
      </c>
      <c r="X8" s="1080"/>
      <c r="Y8" s="1062">
        <f t="shared" si="0"/>
        <v>8373.5058461538501</v>
      </c>
      <c r="Z8" s="1062">
        <f>SUMIF('05月提成-武侯售后'!C:C,C8,'05月提成-武侯售后'!K:K)-W8</f>
        <v>0</v>
      </c>
      <c r="AA8" s="1062"/>
      <c r="AB8" s="1063"/>
      <c r="AC8" s="1063"/>
      <c r="AD8" s="1063"/>
      <c r="AE8" s="1063"/>
      <c r="AF8" s="1063"/>
      <c r="AG8" s="1063"/>
    </row>
    <row r="9" spans="1:33" s="61" customFormat="1" ht="13.65" customHeight="1">
      <c r="A9" s="1074">
        <v>4</v>
      </c>
      <c r="B9" s="1779"/>
      <c r="C9" s="1076" t="s">
        <v>112</v>
      </c>
      <c r="D9" s="1077"/>
      <c r="E9" s="1077"/>
      <c r="F9" s="1077"/>
      <c r="G9" s="1078"/>
      <c r="H9" s="1078"/>
      <c r="I9" s="1077"/>
      <c r="J9" s="1077"/>
      <c r="K9" s="1077"/>
      <c r="L9" s="1077"/>
      <c r="M9" s="1077"/>
      <c r="N9" s="1077"/>
      <c r="O9" s="1077"/>
      <c r="P9" s="1079">
        <f>INDEX('05月提成-武侯售后'!I:I,MATCH(C9,'05月提成-武侯售后'!C:C,0))</f>
        <v>900</v>
      </c>
      <c r="Q9" s="1079">
        <f>INDEX('05月提成-武侯售后'!J:J,MATCH(C9,'05月提成-武侯售后'!C:C,0))</f>
        <v>0</v>
      </c>
      <c r="R9" s="1079">
        <f>INDEX('05基本'!O:O,MATCH(C9,'05基本'!C:C,0))+INDEX('05基本'!N:N,MATCH(C9,'05基本'!C:C,0))</f>
        <v>30</v>
      </c>
      <c r="S9" s="1079"/>
      <c r="T9" s="1084">
        <v>0.625</v>
      </c>
      <c r="U9" s="1084"/>
      <c r="V9" s="1079"/>
      <c r="W9" s="1085">
        <f>$O$10/$T$10*T9-R9-P9+Q9+S9+U9+V9</f>
        <v>4303.44115384615</v>
      </c>
      <c r="X9" s="1080"/>
      <c r="Y9" s="1062">
        <f t="shared" si="0"/>
        <v>5203.44115384615</v>
      </c>
      <c r="Z9" s="1062">
        <f>SUMIF('05月提成-武侯售后'!C:C,C9,'05月提成-武侯售后'!K:K)-W9</f>
        <v>0</v>
      </c>
      <c r="AA9" s="1062"/>
      <c r="AB9" s="1062"/>
      <c r="AC9" s="1062"/>
      <c r="AD9" s="1062"/>
      <c r="AE9" s="1062"/>
      <c r="AF9" s="1062"/>
      <c r="AG9" s="1062"/>
    </row>
    <row r="10" spans="1:33" ht="24">
      <c r="A10" s="1074"/>
      <c r="B10" s="1779"/>
      <c r="C10" s="1081" t="s">
        <v>130</v>
      </c>
      <c r="D10" s="1082">
        <f>INDEX('5月车间产值'!L:L,MATCH(C10,'5月车间产值'!B:B,0))</f>
        <v>45341</v>
      </c>
      <c r="E10" s="1082">
        <f>INDEX('5月车间产值'!F:F,MATCH(C10,'5月车间产值'!B:B,0))</f>
        <v>0</v>
      </c>
      <c r="F10" s="1082">
        <f>INDEX('5月车间产值'!N:N,MATCH(C10,'5月车间产值'!B:B,0))</f>
        <v>197</v>
      </c>
      <c r="G10" s="1083">
        <v>0.28999999999999998</v>
      </c>
      <c r="H10" s="1083">
        <v>0.33</v>
      </c>
      <c r="I10" s="1082">
        <f>((D10-F10)*G10+E10*H10)*0.95</f>
        <v>12437.172</v>
      </c>
      <c r="J10" s="1082">
        <f>INDEX('5月车间产值'!T:T,MATCH(C10,'5月车间产值'!B:B,0))</f>
        <v>49645</v>
      </c>
      <c r="K10" s="1082">
        <v>0.02</v>
      </c>
      <c r="L10" s="1082">
        <f>J10*0.95*K10</f>
        <v>943.255</v>
      </c>
      <c r="M10" s="1082">
        <f>INDEX('5月车间产值'!U:U,MATCH(C10,'5月车间产值'!B:B,0))*0.07+INDEX('5月车间产值'!V:V,MATCH(C10,'5月车间产值'!B:B,0))</f>
        <v>226.52</v>
      </c>
      <c r="N10" s="1082">
        <f>SUMIFS(综合考核!AZ:AZ,综合考核!AX:AX,'05月车间提成'!C10)</f>
        <v>0</v>
      </c>
      <c r="O10" s="1082">
        <f>I10+L10+M10+N10</f>
        <v>13606.947</v>
      </c>
      <c r="P10" s="1081">
        <f>SUM(P8:P9)</f>
        <v>2030</v>
      </c>
      <c r="Q10" s="1081">
        <f t="shared" ref="Q10:W10" si="2">SUM(Q8:Q9)</f>
        <v>0</v>
      </c>
      <c r="R10" s="1081">
        <f t="shared" si="2"/>
        <v>30</v>
      </c>
      <c r="S10" s="1081">
        <f t="shared" si="2"/>
        <v>0</v>
      </c>
      <c r="T10" s="1081">
        <f t="shared" si="2"/>
        <v>1.625</v>
      </c>
      <c r="U10" s="1081">
        <f t="shared" si="2"/>
        <v>0</v>
      </c>
      <c r="V10" s="1081">
        <f t="shared" si="2"/>
        <v>0</v>
      </c>
      <c r="W10" s="1081">
        <f t="shared" si="2"/>
        <v>11546.947</v>
      </c>
      <c r="X10" s="1080"/>
      <c r="Y10" s="1062">
        <f t="shared" si="0"/>
        <v>13576.947</v>
      </c>
      <c r="Z10" s="1062">
        <f>SUMIF('05月提成-武侯售后'!C:C,C10,'05月提成-武侯售后'!K:K)-W10</f>
        <v>0</v>
      </c>
    </row>
    <row r="11" spans="1:33" ht="13.65" customHeight="1">
      <c r="A11" s="1074">
        <v>5</v>
      </c>
      <c r="B11" s="1779" t="s">
        <v>132</v>
      </c>
      <c r="C11" s="1076" t="s">
        <v>114</v>
      </c>
      <c r="D11" s="1086"/>
      <c r="E11" s="1077"/>
      <c r="F11" s="1077"/>
      <c r="G11" s="1078"/>
      <c r="H11" s="1078"/>
      <c r="I11" s="1077"/>
      <c r="J11" s="1077"/>
      <c r="K11" s="1077"/>
      <c r="L11" s="1077"/>
      <c r="M11" s="1077"/>
      <c r="N11" s="1077"/>
      <c r="O11" s="1077"/>
      <c r="P11" s="1079">
        <f>INDEX('05月提成-武侯售后'!I:I,MATCH(C11,'05月提成-武侯售后'!C:C,0))</f>
        <v>1140</v>
      </c>
      <c r="Q11" s="1079">
        <f>INDEX('05月提成-武侯售后'!J:J,MATCH(C11,'05月提成-武侯售后'!C:C,0))</f>
        <v>0</v>
      </c>
      <c r="R11" s="1079">
        <f>INDEX('05基本'!O:O,MATCH(C11,'05基本'!C:C,0))+INDEX('05基本'!N:N,MATCH(C11,'05基本'!C:C,0))</f>
        <v>0</v>
      </c>
      <c r="S11" s="1079">
        <f>INDEX('05月提成-武侯售后'!D:D,MATCH(C11,'05月提成-武侯售后'!C:C,0))</f>
        <v>40</v>
      </c>
      <c r="T11" s="1079">
        <v>1</v>
      </c>
      <c r="U11" s="1079"/>
      <c r="V11" s="1079"/>
      <c r="W11" s="1085">
        <f>$O$13/$T$13*T11-R11-P11+Q11+S11+U11+V11</f>
        <v>6867.0913496932499</v>
      </c>
      <c r="X11" s="1080"/>
      <c r="Y11" s="1062">
        <f t="shared" si="0"/>
        <v>8007.0913496932499</v>
      </c>
      <c r="Z11" s="1062">
        <f>SUMIF('05月提成-武侯售后'!C:C,C11,'05月提成-武侯售后'!K:K)-W11</f>
        <v>0</v>
      </c>
    </row>
    <row r="12" spans="1:33" ht="13.65" customHeight="1">
      <c r="A12" s="1074">
        <v>6</v>
      </c>
      <c r="B12" s="1779"/>
      <c r="C12" s="1076" t="s">
        <v>116</v>
      </c>
      <c r="D12" s="1086"/>
      <c r="E12" s="1077"/>
      <c r="F12" s="1077"/>
      <c r="G12" s="1078"/>
      <c r="H12" s="1078"/>
      <c r="I12" s="1077"/>
      <c r="J12" s="1077"/>
      <c r="K12" s="1077"/>
      <c r="L12" s="1077"/>
      <c r="M12" s="1077"/>
      <c r="N12" s="1077"/>
      <c r="O12" s="1077"/>
      <c r="P12" s="1079">
        <f>INDEX('05月提成-武侯售后'!I:I,MATCH(C12,'05月提成-武侯售后'!C:C,0))</f>
        <v>850</v>
      </c>
      <c r="Q12" s="1079">
        <f>INDEX('05月提成-武侯售后'!J:J,MATCH(C12,'05月提成-武侯售后'!C:C,0))</f>
        <v>0</v>
      </c>
      <c r="R12" s="1079">
        <f>INDEX('05基本'!O:O,MATCH(C12,'05基本'!C:C,0))+INDEX('05基本'!N:N,MATCH(C12,'05基本'!C:C,0))</f>
        <v>100</v>
      </c>
      <c r="S12" s="1079">
        <f>INDEX('05月提成-武侯售后'!D:D,MATCH(C12,'05月提成-武侯售后'!C:C,0))</f>
        <v>50</v>
      </c>
      <c r="T12" s="1087">
        <v>0.63</v>
      </c>
      <c r="U12" s="1079"/>
      <c r="V12" s="1079"/>
      <c r="W12" s="1085">
        <f>$O$13/$T$13*T12-R12-P12+Q12+S12+U12+V12</f>
        <v>4119.2675503067503</v>
      </c>
      <c r="X12" s="1080"/>
      <c r="Y12" s="1062">
        <f t="shared" si="0"/>
        <v>4969.2675503067503</v>
      </c>
      <c r="Z12" s="1062">
        <f>SUMIF('05月提成-武侯售后'!C:C,C12,'05月提成-武侯售后'!K:K)-W12</f>
        <v>0</v>
      </c>
    </row>
    <row r="13" spans="1:33" ht="24">
      <c r="A13" s="1074"/>
      <c r="B13" s="1779"/>
      <c r="C13" s="1081" t="s">
        <v>135</v>
      </c>
      <c r="D13" s="1082">
        <f>INDEX('5月车间产值'!L:L,MATCH(C13,'5月车间产值'!B:B,0))</f>
        <v>43060</v>
      </c>
      <c r="E13" s="1082">
        <f>INDEX('5月车间产值'!F:F,MATCH(C13,'5月车间产值'!B:B,0))</f>
        <v>0</v>
      </c>
      <c r="F13" s="1082">
        <f>INDEX('5月车间产值'!N:N,MATCH(C13,'5月车间产值'!B:B,0))</f>
        <v>194.2</v>
      </c>
      <c r="G13" s="1083">
        <v>0.28999999999999998</v>
      </c>
      <c r="H13" s="1083">
        <v>0.33</v>
      </c>
      <c r="I13" s="1082">
        <f>((D13-F13)*G13+E13*H13)*0.95</f>
        <v>11809.527899999999</v>
      </c>
      <c r="J13" s="1082">
        <f>INDEX('5月车间产值'!T:T,MATCH(C13,'5月车间产值'!B:B,0))</f>
        <v>53789</v>
      </c>
      <c r="K13" s="1082">
        <v>0.02</v>
      </c>
      <c r="L13" s="1082">
        <f>J13*0.95*K13</f>
        <v>1021.991</v>
      </c>
      <c r="M13" s="1082">
        <f>INDEX('5月车间产值'!U:U,MATCH(C13,'5月车间产值'!B:B,0))*0.07+INDEX('5月车间产值'!V:V,MATCH(C13,'5月车间产值'!B:B,0))</f>
        <v>154.84</v>
      </c>
      <c r="N13" s="1082">
        <f>SUMIFS(综合考核!AZ:AZ,综合考核!AX:AX,'05月车间提成'!C13)</f>
        <v>0</v>
      </c>
      <c r="O13" s="1082">
        <f>I13+L13+M13+N13</f>
        <v>12986.358899999999</v>
      </c>
      <c r="P13" s="1081">
        <f>SUM(P11:P12)</f>
        <v>1990</v>
      </c>
      <c r="Q13" s="1081">
        <f t="shared" ref="Q13:W13" si="3">SUM(Q11:Q12)</f>
        <v>0</v>
      </c>
      <c r="R13" s="1081">
        <f t="shared" si="3"/>
        <v>100</v>
      </c>
      <c r="S13" s="1081">
        <f t="shared" si="3"/>
        <v>90</v>
      </c>
      <c r="T13" s="1081">
        <f t="shared" si="3"/>
        <v>1.63</v>
      </c>
      <c r="U13" s="1081">
        <f t="shared" si="3"/>
        <v>0</v>
      </c>
      <c r="V13" s="1081">
        <f t="shared" si="3"/>
        <v>0</v>
      </c>
      <c r="W13" s="1081">
        <f t="shared" si="3"/>
        <v>10986.358899999999</v>
      </c>
      <c r="X13" s="1080"/>
      <c r="Y13" s="1062">
        <f t="shared" si="0"/>
        <v>12976.358899999999</v>
      </c>
      <c r="Z13" s="1062">
        <f>SUMIF('05月提成-武侯售后'!C:C,C13,'05月提成-武侯售后'!K:K)-W13</f>
        <v>0</v>
      </c>
    </row>
    <row r="14" spans="1:33" ht="13.65" customHeight="1">
      <c r="A14" s="1074">
        <v>7</v>
      </c>
      <c r="B14" s="1779" t="s">
        <v>426</v>
      </c>
      <c r="C14" s="1076" t="s">
        <v>117</v>
      </c>
      <c r="D14" s="1077"/>
      <c r="E14" s="1077"/>
      <c r="F14" s="1077"/>
      <c r="G14" s="1078"/>
      <c r="H14" s="1078"/>
      <c r="I14" s="1077"/>
      <c r="J14" s="1077"/>
      <c r="K14" s="1077"/>
      <c r="L14" s="1077"/>
      <c r="M14" s="1077"/>
      <c r="N14" s="1077"/>
      <c r="O14" s="1077"/>
      <c r="P14" s="1079">
        <f>INDEX('05月提成-武侯售后'!I:I,MATCH(C14,'05月提成-武侯售后'!C:C,0))</f>
        <v>1120</v>
      </c>
      <c r="Q14" s="1079">
        <f>INDEX('05月提成-武侯售后'!J:J,MATCH(C14,'05月提成-武侯售后'!C:C,0))</f>
        <v>0</v>
      </c>
      <c r="R14" s="1079">
        <f>INDEX('05基本'!O:O,MATCH(C14,'05基本'!C:C,0))+INDEX('05基本'!N:N,MATCH(C14,'05基本'!C:C,0))</f>
        <v>0</v>
      </c>
      <c r="S14" s="1079">
        <f>INDEX('05月提成-武侯售后'!D:D,MATCH(C14,'05月提成-武侯售后'!C:C,0))</f>
        <v>20</v>
      </c>
      <c r="T14" s="1087">
        <v>1</v>
      </c>
      <c r="U14" s="1079"/>
      <c r="V14" s="1079"/>
      <c r="W14" s="1088">
        <f>$O$15/$T$15*T14-R14-P14+Q14+S14+U14+V14</f>
        <v>7806.9898999999996</v>
      </c>
      <c r="X14" s="1080"/>
      <c r="Y14" s="1062">
        <f t="shared" si="0"/>
        <v>8926.9899000000005</v>
      </c>
      <c r="Z14" s="1062">
        <f>SUMIF('05月提成-武侯售后'!C:C,C14,'05月提成-武侯售后'!K:K)-W14</f>
        <v>0</v>
      </c>
    </row>
    <row r="15" spans="1:33" ht="24">
      <c r="A15" s="1074"/>
      <c r="B15" s="1779"/>
      <c r="C15" s="1081" t="s">
        <v>139</v>
      </c>
      <c r="D15" s="1082">
        <f>INDEX('5月车间产值'!L:L,MATCH(C15,'5月车间产值'!B:B,0))</f>
        <v>28533</v>
      </c>
      <c r="E15" s="1082">
        <f>INDEX('5月车间产值'!F:F,MATCH(C15,'5月车间产值'!B:B,0))</f>
        <v>0</v>
      </c>
      <c r="F15" s="1082">
        <f>INDEX('5月车间产值'!N:N,MATCH(C15,'5月车间产值'!B:B,0))</f>
        <v>139.19999999999999</v>
      </c>
      <c r="G15" s="1083">
        <v>0.28999999999999998</v>
      </c>
      <c r="H15" s="1083">
        <v>0.33</v>
      </c>
      <c r="I15" s="1082">
        <f>((D15-F15)*G15+E15*H15)*0.95</f>
        <v>7822.4919</v>
      </c>
      <c r="J15" s="1082">
        <f>INDEX('5月车间产值'!T:T,MATCH(C15,'5月车间产值'!B:B,0))</f>
        <v>46122</v>
      </c>
      <c r="K15" s="1082">
        <v>0.02</v>
      </c>
      <c r="L15" s="1082">
        <f>J15*0.95*K15</f>
        <v>876.31799999999998</v>
      </c>
      <c r="M15" s="1082">
        <f>INDEX('5月车间产值'!U:U,MATCH(C15,'5月车间产值'!B:B,0))*0.07+INDEX('5月车间产值'!V:V,MATCH(C15,'5月车间产值'!B:B,0))</f>
        <v>208.18</v>
      </c>
      <c r="N15" s="1082">
        <f>SUMIFS(综合考核!AZ:AZ,综合考核!AX:AX,'05月车间提成'!C15)</f>
        <v>0</v>
      </c>
      <c r="O15" s="1082">
        <f>I15+L15+M15+N15</f>
        <v>8906.9899000000005</v>
      </c>
      <c r="P15" s="1082">
        <f t="shared" ref="P15:W15" si="4">SUM(P14:P14)</f>
        <v>1120</v>
      </c>
      <c r="Q15" s="1082">
        <f t="shared" si="4"/>
        <v>0</v>
      </c>
      <c r="R15" s="1082">
        <f t="shared" si="4"/>
        <v>0</v>
      </c>
      <c r="S15" s="1082">
        <f t="shared" si="4"/>
        <v>20</v>
      </c>
      <c r="T15" s="1082">
        <f t="shared" si="4"/>
        <v>1</v>
      </c>
      <c r="U15" s="1082">
        <f t="shared" si="4"/>
        <v>0</v>
      </c>
      <c r="V15" s="1082">
        <f t="shared" si="4"/>
        <v>0</v>
      </c>
      <c r="W15" s="1082">
        <f t="shared" si="4"/>
        <v>7806.9898999999996</v>
      </c>
      <c r="X15" s="1080"/>
      <c r="Y15" s="1062">
        <f t="shared" si="0"/>
        <v>8926.9899000000005</v>
      </c>
      <c r="Z15" s="1062">
        <f>SUMIF('05月提成-武侯售后'!C:C,C15,'05月提成-武侯售后'!K:K)-W15</f>
        <v>0</v>
      </c>
    </row>
    <row r="16" spans="1:33" ht="13.65" customHeight="1">
      <c r="A16" s="1074">
        <v>8</v>
      </c>
      <c r="B16" s="1779" t="s">
        <v>141</v>
      </c>
      <c r="C16" s="1076" t="s">
        <v>118</v>
      </c>
      <c r="D16" s="1077"/>
      <c r="E16" s="1077"/>
      <c r="F16" s="1077"/>
      <c r="G16" s="1078"/>
      <c r="H16" s="1078"/>
      <c r="I16" s="1077"/>
      <c r="J16" s="1077"/>
      <c r="K16" s="1077"/>
      <c r="L16" s="1077"/>
      <c r="M16" s="1077"/>
      <c r="N16" s="1077"/>
      <c r="O16" s="1077"/>
      <c r="P16" s="1079">
        <f>INDEX('05月提成-武侯售后'!I:I,MATCH(C16,'05月提成-武侯售后'!C:C,0))</f>
        <v>1140</v>
      </c>
      <c r="Q16" s="1079">
        <f>INDEX('05月提成-武侯售后'!J:J,MATCH(C16,'05月提成-武侯售后'!C:C,0))</f>
        <v>0</v>
      </c>
      <c r="R16" s="1079">
        <f>INDEX('05基本'!O:O,MATCH(C16,'05基本'!C:C,0))+INDEX('05基本'!N:N,MATCH(C16,'05基本'!C:C,0))</f>
        <v>0</v>
      </c>
      <c r="S16" s="1079">
        <f>INDEX('05月提成-武侯售后'!D:D,MATCH(C16,'05月提成-武侯售后'!C:C,0))</f>
        <v>40</v>
      </c>
      <c r="T16" s="1089">
        <v>1</v>
      </c>
      <c r="U16" s="1079"/>
      <c r="V16" s="1079"/>
      <c r="W16" s="1088">
        <f>$O$18/$T$18*T16-R16-P16+Q16+S16+U16+V16</f>
        <v>6165.0449411764703</v>
      </c>
      <c r="X16" s="1080"/>
      <c r="Y16" s="1062">
        <f t="shared" si="0"/>
        <v>7305.0449411764703</v>
      </c>
      <c r="Z16" s="1062">
        <f>SUMIF('05月提成-武侯售后'!C:C,C16,'05月提成-武侯售后'!K:K)-W16</f>
        <v>0</v>
      </c>
    </row>
    <row r="17" spans="1:33" ht="13.65" customHeight="1">
      <c r="A17" s="1074">
        <v>9</v>
      </c>
      <c r="B17" s="1779"/>
      <c r="C17" s="1076" t="s">
        <v>119</v>
      </c>
      <c r="D17" s="1077"/>
      <c r="E17" s="1077"/>
      <c r="F17" s="1077"/>
      <c r="G17" s="1078"/>
      <c r="H17" s="1078"/>
      <c r="I17" s="1077"/>
      <c r="J17" s="1077"/>
      <c r="K17" s="1077"/>
      <c r="L17" s="1077"/>
      <c r="M17" s="1077"/>
      <c r="N17" s="1077"/>
      <c r="O17" s="1077"/>
      <c r="P17" s="1079">
        <f>INDEX('05月提成-武侯售后'!I:I,MATCH(C17,'05月提成-武侯售后'!C:C,0))</f>
        <v>950</v>
      </c>
      <c r="Q17" s="1079">
        <f>INDEX('05月提成-武侯售后'!J:J,MATCH(C17,'05月提成-武侯售后'!C:C,0))</f>
        <v>0</v>
      </c>
      <c r="R17" s="1079">
        <f>INDEX('05基本'!O:O,MATCH(C17,'05基本'!C:C,0))+INDEX('05基本'!N:N,MATCH(C17,'05基本'!C:C,0))</f>
        <v>0</v>
      </c>
      <c r="S17" s="1079">
        <f>INDEX('05月提成-武侯售后'!D:D,MATCH(C17,'05月提成-武侯售后'!C:C,0))</f>
        <v>50</v>
      </c>
      <c r="T17" s="1087">
        <v>0.7</v>
      </c>
      <c r="U17" s="1079"/>
      <c r="V17" s="1079"/>
      <c r="W17" s="1088">
        <f>$O$18/$T$18*T17-R17-P17+Q17+S17+U17+V17</f>
        <v>4185.5314588235296</v>
      </c>
      <c r="X17" s="1080"/>
      <c r="Y17" s="1062">
        <f t="shared" ref="Y17" si="5">W17+P17</f>
        <v>5135.5314588235296</v>
      </c>
      <c r="Z17" s="1062">
        <f>SUMIF('05月提成-武侯售后'!C:C,C17,'05月提成-武侯售后'!K:K)-W17</f>
        <v>0</v>
      </c>
    </row>
    <row r="18" spans="1:33" ht="24">
      <c r="A18" s="1074"/>
      <c r="B18" s="1779"/>
      <c r="C18" s="1081" t="s">
        <v>144</v>
      </c>
      <c r="D18" s="1082">
        <f>INDEX('5月车间产值'!L:L,MATCH(C18,'5月车间产值'!B:B,0))</f>
        <v>40480</v>
      </c>
      <c r="E18" s="1082">
        <f>INDEX('5月车间产值'!F:F,MATCH(C18,'5月车间产值'!B:B,0))</f>
        <v>0</v>
      </c>
      <c r="F18" s="1082">
        <f>INDEX('5月车间产值'!N:N,MATCH(C18,'5月车间产值'!B:B,0))</f>
        <v>189.2</v>
      </c>
      <c r="G18" s="1083">
        <v>0.28999999999999998</v>
      </c>
      <c r="H18" s="1083">
        <v>0.33</v>
      </c>
      <c r="I18" s="1082">
        <f>((D18-F18)*G18+E18*H18)*0.95</f>
        <v>11100.115400000001</v>
      </c>
      <c r="J18" s="1082">
        <f>INDEX('5月车间产值'!T:T,MATCH(C18,'5月车间产值'!B:B,0))</f>
        <v>51439</v>
      </c>
      <c r="K18" s="1082">
        <v>0.02</v>
      </c>
      <c r="L18" s="1082">
        <f>J18*0.95*K18</f>
        <v>977.34100000000001</v>
      </c>
      <c r="M18" s="1082">
        <f>INDEX('5月车间产值'!U:U,MATCH(C18,'5月车间产值'!B:B,0))*0.07+INDEX('5月车间产值'!V:V,MATCH(C18,'5月车间产值'!B:B,0))</f>
        <v>273.12</v>
      </c>
      <c r="N18" s="1082">
        <f>SUMIFS(综合考核!AZ:AZ,综合考核!AX:AX,'05月车间提成'!C18)</f>
        <v>0</v>
      </c>
      <c r="O18" s="1082">
        <f>I18+L18+M18+N18</f>
        <v>12350.5764</v>
      </c>
      <c r="P18" s="1082">
        <f t="shared" ref="P18:W18" si="6">SUM(P16:P17)</f>
        <v>2090</v>
      </c>
      <c r="Q18" s="1082">
        <f t="shared" si="6"/>
        <v>0</v>
      </c>
      <c r="R18" s="1082">
        <f t="shared" si="6"/>
        <v>0</v>
      </c>
      <c r="S18" s="1082">
        <f t="shared" si="6"/>
        <v>90</v>
      </c>
      <c r="T18" s="1082">
        <f t="shared" si="6"/>
        <v>1.7</v>
      </c>
      <c r="U18" s="1082">
        <f t="shared" si="6"/>
        <v>0</v>
      </c>
      <c r="V18" s="1082">
        <f t="shared" si="6"/>
        <v>0</v>
      </c>
      <c r="W18" s="1082">
        <f t="shared" si="6"/>
        <v>10350.5764</v>
      </c>
      <c r="X18" s="1082">
        <f t="shared" ref="X18" si="7">SUM(X16:X17)</f>
        <v>0</v>
      </c>
      <c r="Y18" s="1062">
        <f t="shared" si="0"/>
        <v>12440.5764</v>
      </c>
      <c r="Z18" s="1062">
        <f>SUMIF('05月提成-武侯售后'!C:C,C18,'05月提成-武侯售后'!K:K)-W18</f>
        <v>0</v>
      </c>
    </row>
    <row r="19" spans="1:33">
      <c r="A19" s="1074">
        <v>10</v>
      </c>
      <c r="B19" s="1780" t="s">
        <v>146</v>
      </c>
      <c r="C19" s="1076" t="s">
        <v>120</v>
      </c>
      <c r="D19" s="1077"/>
      <c r="E19" s="1077"/>
      <c r="F19" s="1077"/>
      <c r="G19" s="1078"/>
      <c r="H19" s="1078"/>
      <c r="I19" s="1077"/>
      <c r="J19" s="1077"/>
      <c r="K19" s="1077"/>
      <c r="L19" s="1077"/>
      <c r="M19" s="1077"/>
      <c r="N19" s="1077"/>
      <c r="O19" s="1077"/>
      <c r="P19" s="1079">
        <f>INDEX('05月提成-武侯售后'!I:I,MATCH(C19,'05月提成-武侯售后'!C:C,0))</f>
        <v>905</v>
      </c>
      <c r="Q19" s="1079">
        <f>INDEX('05月提成-武侯售后'!J:J,MATCH(C19,'05月提成-武侯售后'!C:C,0))</f>
        <v>0</v>
      </c>
      <c r="R19" s="1079">
        <f>INDEX('05基本'!O:O,MATCH(C19,'05基本'!C:C,0))+INDEX('05基本'!N:N,MATCH(C19,'05基本'!C:C,0))</f>
        <v>15</v>
      </c>
      <c r="S19" s="1079">
        <f>INDEX('05月提成-武侯售后'!D:D,MATCH(C19,'05月提成-武侯售后'!C:C,0))</f>
        <v>20</v>
      </c>
      <c r="T19" s="1079">
        <v>0.55000000000000004</v>
      </c>
      <c r="U19" s="1079">
        <v>500</v>
      </c>
      <c r="V19" s="1079"/>
      <c r="W19" s="1088">
        <f>$O$21/$T$21*T19-R19-P19+Q19+S19+U19+V19</f>
        <v>3373.3439806451602</v>
      </c>
      <c r="X19" s="1090"/>
      <c r="Y19" s="1062">
        <f t="shared" si="0"/>
        <v>4278.3439806451597</v>
      </c>
      <c r="Z19" s="1062">
        <f>SUMIF('05月提成-武侯售后'!C:C,C19,'05月提成-武侯售后'!K:K)-W19</f>
        <v>0</v>
      </c>
      <c r="AB19" s="1091"/>
      <c r="AC19" s="1091"/>
      <c r="AD19" s="1091"/>
      <c r="AE19" s="1091"/>
      <c r="AF19" s="1091"/>
      <c r="AG19" s="1091"/>
    </row>
    <row r="20" spans="1:33" s="1058" customFormat="1" ht="13.65" customHeight="1">
      <c r="A20" s="1074">
        <v>11</v>
      </c>
      <c r="B20" s="1779"/>
      <c r="C20" s="1076" t="s">
        <v>121</v>
      </c>
      <c r="D20" s="1085"/>
      <c r="E20" s="1085"/>
      <c r="F20" s="1085"/>
      <c r="G20" s="1092"/>
      <c r="H20" s="1092"/>
      <c r="I20" s="1085"/>
      <c r="J20" s="1085"/>
      <c r="K20" s="1085"/>
      <c r="L20" s="1085"/>
      <c r="M20" s="1085"/>
      <c r="N20" s="1085"/>
      <c r="O20" s="1085"/>
      <c r="P20" s="1079">
        <f>INDEX('05月提成-武侯售后'!I:I,MATCH(C20,'05月提成-武侯售后'!C:C,0))</f>
        <v>1120</v>
      </c>
      <c r="Q20" s="1079">
        <f>INDEX('05月提成-武侯售后'!J:J,MATCH(C20,'05月提成-武侯售后'!C:C,0))</f>
        <v>0</v>
      </c>
      <c r="R20" s="1079">
        <f>INDEX('05基本'!O:O,MATCH(C20,'05基本'!C:C,0))+INDEX('05基本'!N:N,MATCH(C20,'05基本'!C:C,0))</f>
        <v>0</v>
      </c>
      <c r="S20" s="1079">
        <f>INDEX('05月提成-武侯售后'!D:D,MATCH(C20,'05月提成-武侯售后'!C:C,0))</f>
        <v>20</v>
      </c>
      <c r="T20" s="1079">
        <v>1</v>
      </c>
      <c r="U20" s="1093"/>
      <c r="V20" s="1087"/>
      <c r="W20" s="1094">
        <f>$O$21/$T$21*T20-P20+R20+Q20+S20+U20+V20</f>
        <v>5760.6254193548402</v>
      </c>
      <c r="X20" s="1095"/>
      <c r="Y20" s="1096">
        <f t="shared" si="0"/>
        <v>6880.6254193548402</v>
      </c>
      <c r="Z20" s="1062">
        <f>SUMIF('05月提成-武侯售后'!C:C,C20,'05月提成-武侯售后'!K:K)-W20</f>
        <v>0</v>
      </c>
      <c r="AA20" s="1096"/>
      <c r="AB20" s="1096"/>
      <c r="AC20" s="1062"/>
      <c r="AD20" s="1062"/>
      <c r="AE20" s="1062"/>
      <c r="AF20" s="1096"/>
      <c r="AG20" s="1096"/>
    </row>
    <row r="21" spans="1:33" ht="13.65" customHeight="1">
      <c r="A21" s="1074"/>
      <c r="B21" s="1781"/>
      <c r="C21" s="1081" t="s">
        <v>149</v>
      </c>
      <c r="D21" s="1082">
        <f>INDEX('5月车间产值'!L:L,MATCH(C21,'5月车间产值'!B:B,0))</f>
        <v>34894</v>
      </c>
      <c r="E21" s="1082">
        <f>INDEX('5月车间产值'!F:F,MATCH(C21,'5月车间产值'!B:B,0))</f>
        <v>0</v>
      </c>
      <c r="F21" s="1082">
        <f>INDEX('5月车间产值'!N:N,MATCH(C21,'5月车间产值'!B:B,0))</f>
        <v>169.2</v>
      </c>
      <c r="G21" s="1083">
        <v>0.28999999999999998</v>
      </c>
      <c r="H21" s="1083">
        <v>0.33</v>
      </c>
      <c r="I21" s="1082">
        <f>((D21-F21)*G21+E21*H21)*0.95</f>
        <v>9566.6823999999997</v>
      </c>
      <c r="J21" s="1082">
        <f>INDEX('5月车间产值'!T:T,MATCH(C21,'5月车间产值'!B:B,0))</f>
        <v>46893</v>
      </c>
      <c r="K21" s="1082">
        <v>0.02</v>
      </c>
      <c r="L21" s="1082">
        <f>J21*0.95*K21</f>
        <v>890.96699999999998</v>
      </c>
      <c r="M21" s="1082">
        <f>INDEX('5月车间产值'!U:U,MATCH(C21,'5月车间产值'!B:B,0))*0.07+INDEX('5月车间产值'!V:V,MATCH(C21,'5月车间产值'!B:B,0))</f>
        <v>176.32</v>
      </c>
      <c r="N21" s="1082">
        <f>SUMIFS(综合考核!AZ:AZ,综合考核!AX:AX,'05月车间提成'!C21)</f>
        <v>0</v>
      </c>
      <c r="O21" s="1082">
        <f>I21+L21+M21+N21</f>
        <v>10633.9694</v>
      </c>
      <c r="P21" s="1082">
        <f>SUM(P19:P20)</f>
        <v>2025</v>
      </c>
      <c r="Q21" s="1082">
        <f t="shared" ref="Q21:W21" si="8">SUM(Q19:Q20)</f>
        <v>0</v>
      </c>
      <c r="R21" s="1082">
        <f t="shared" si="8"/>
        <v>15</v>
      </c>
      <c r="S21" s="1082">
        <f t="shared" si="8"/>
        <v>40</v>
      </c>
      <c r="T21" s="1082">
        <f t="shared" si="8"/>
        <v>1.55</v>
      </c>
      <c r="U21" s="1082">
        <f t="shared" si="8"/>
        <v>500</v>
      </c>
      <c r="V21" s="1082">
        <f t="shared" si="8"/>
        <v>0</v>
      </c>
      <c r="W21" s="1082">
        <f t="shared" si="8"/>
        <v>9133.9694</v>
      </c>
      <c r="X21" s="1097">
        <f t="shared" ref="X21" si="9">SUM(X19:X19)</f>
        <v>0</v>
      </c>
      <c r="Y21" s="1062">
        <f t="shared" si="0"/>
        <v>11158.9694</v>
      </c>
      <c r="Z21" s="1062">
        <f>SUMIF('05月提成-武侯售后'!C:C,C21,'05月提成-武侯售后'!K:K)-W21</f>
        <v>0</v>
      </c>
    </row>
    <row r="22" spans="1:33" ht="13.65" customHeight="1">
      <c r="A22" s="1074">
        <v>12</v>
      </c>
      <c r="B22" s="1779" t="s">
        <v>151</v>
      </c>
      <c r="C22" s="1076" t="s">
        <v>123</v>
      </c>
      <c r="D22" s="1077"/>
      <c r="E22" s="1077"/>
      <c r="F22" s="1077"/>
      <c r="G22" s="1078"/>
      <c r="H22" s="1078"/>
      <c r="I22" s="1077"/>
      <c r="J22" s="1077"/>
      <c r="K22" s="1077"/>
      <c r="L22" s="1077"/>
      <c r="M22" s="1077"/>
      <c r="N22" s="1077"/>
      <c r="O22" s="1077"/>
      <c r="P22" s="1079">
        <f>INDEX('05月提成-武侯售后'!I:I,MATCH(C22,'05月提成-武侯售后'!C:C,0))</f>
        <v>1110</v>
      </c>
      <c r="Q22" s="1079">
        <f>INDEX('05月提成-武侯售后'!J:J,MATCH(C22,'05月提成-武侯售后'!C:C,0))</f>
        <v>0</v>
      </c>
      <c r="R22" s="1079">
        <f>INDEX('05基本'!O:O,MATCH(C22,'05基本'!C:C,0))+INDEX('05基本'!N:N,MATCH(C22,'05基本'!C:C,0))</f>
        <v>0</v>
      </c>
      <c r="S22" s="1079">
        <f>INDEX('05月提成-武侯售后'!D:D,MATCH(C22,'05月提成-武侯售后'!C:C,0))</f>
        <v>10</v>
      </c>
      <c r="T22" s="1079">
        <v>1</v>
      </c>
      <c r="U22" s="1079"/>
      <c r="V22" s="1079"/>
      <c r="W22" s="1088">
        <f>$O$24/$T$24*T22-R22-P22+Q22+S22+U22+V22</f>
        <v>8315.9309333333294</v>
      </c>
      <c r="X22" s="1080"/>
      <c r="Y22" s="1062">
        <f t="shared" si="0"/>
        <v>9425.9309333333294</v>
      </c>
      <c r="Z22" s="1062">
        <f>SUMIF('05月提成-武侯售后'!C:C,C22,'05月提成-武侯售后'!K:K)-W22</f>
        <v>0</v>
      </c>
    </row>
    <row r="23" spans="1:33" ht="13.65" customHeight="1">
      <c r="A23" s="1074">
        <v>13</v>
      </c>
      <c r="B23" s="1779"/>
      <c r="C23" s="1076" t="s">
        <v>124</v>
      </c>
      <c r="D23" s="1077"/>
      <c r="E23" s="1077"/>
      <c r="F23" s="1077"/>
      <c r="G23" s="1078"/>
      <c r="H23" s="1078"/>
      <c r="I23" s="1077"/>
      <c r="J23" s="1077"/>
      <c r="K23" s="1077"/>
      <c r="L23" s="1077"/>
      <c r="M23" s="1077"/>
      <c r="N23" s="1077"/>
      <c r="O23" s="1077"/>
      <c r="P23" s="1079">
        <f>INDEX('05月提成-武侯售后'!I:I,MATCH(C23,'05月提成-武侯售后'!C:C,0))</f>
        <v>1010</v>
      </c>
      <c r="Q23" s="1079">
        <f>INDEX('05月提成-武侯售后'!J:J,MATCH(C23,'05月提成-武侯售后'!C:C,0))</f>
        <v>0</v>
      </c>
      <c r="R23" s="1079">
        <f>INDEX('05基本'!O:O,MATCH(C23,'05基本'!C:C,0))+INDEX('05基本'!N:N,MATCH(C23,'05基本'!C:C,0))</f>
        <v>0</v>
      </c>
      <c r="S23" s="1079">
        <f>INDEX('05月提成-武侯售后'!D:D,MATCH(C23,'05月提成-武侯售后'!C:C,0))</f>
        <v>10</v>
      </c>
      <c r="T23" s="1079">
        <v>0.5</v>
      </c>
      <c r="U23" s="1079">
        <v>500</v>
      </c>
      <c r="V23" s="1079"/>
      <c r="W23" s="1088">
        <f>$O$24/$T$24*T23-R23-P23+Q23+S23+U23+V23</f>
        <v>4207.9654666666702</v>
      </c>
      <c r="X23" s="1080"/>
      <c r="Y23" s="1062">
        <f t="shared" si="0"/>
        <v>5217.9654666666702</v>
      </c>
      <c r="Z23" s="1062">
        <f>SUMIF('05月提成-武侯售后'!C:C,C23,'05月提成-武侯售后'!K:K)-W23</f>
        <v>0</v>
      </c>
    </row>
    <row r="24" spans="1:33" ht="24">
      <c r="A24" s="1074"/>
      <c r="B24" s="1779"/>
      <c r="C24" s="1081" t="s">
        <v>154</v>
      </c>
      <c r="D24" s="1082">
        <f>INDEX('5月车间产值'!L:L,MATCH(C24,'5月车间产值'!B:B,0))</f>
        <v>46086</v>
      </c>
      <c r="E24" s="1082">
        <f>INDEX('5月车间产值'!F:F,MATCH(C24,'5月车间产值'!B:B,0))</f>
        <v>60</v>
      </c>
      <c r="F24" s="1082">
        <f>INDEX('5月车间产值'!N:N,MATCH(C24,'5月车间产值'!B:B,0))</f>
        <v>179.2</v>
      </c>
      <c r="G24" s="1083">
        <v>0.28999999999999998</v>
      </c>
      <c r="H24" s="1083">
        <v>0.33</v>
      </c>
      <c r="I24" s="1082">
        <f>((D24-F24)*G24+E24*H24)*0.95</f>
        <v>12666.133400000001</v>
      </c>
      <c r="J24" s="1082">
        <f>INDEX('5月车间产值'!T:T,MATCH(C24,'5月车间产值'!B:B,0))</f>
        <v>66797</v>
      </c>
      <c r="K24" s="1082">
        <v>0.02</v>
      </c>
      <c r="L24" s="1082">
        <f>J24*0.95*K24</f>
        <v>1269.143</v>
      </c>
      <c r="M24" s="1082">
        <f>INDEX('5月车间产值'!U:U,MATCH(C24,'5月车间产值'!B:B,0))*0.07+INDEX('5月车间产值'!V:V,MATCH(C24,'5月车间产值'!B:B,0))</f>
        <v>188.62</v>
      </c>
      <c r="N24" s="1082"/>
      <c r="O24" s="1082">
        <f>I24+L24+M24+N24</f>
        <v>14123.8964</v>
      </c>
      <c r="P24" s="1082">
        <f t="shared" ref="P24:W24" si="10">SUM(P22:P23)</f>
        <v>2120</v>
      </c>
      <c r="Q24" s="1082">
        <f t="shared" si="10"/>
        <v>0</v>
      </c>
      <c r="R24" s="1082">
        <f t="shared" si="10"/>
        <v>0</v>
      </c>
      <c r="S24" s="1082">
        <f t="shared" si="10"/>
        <v>20</v>
      </c>
      <c r="T24" s="1082">
        <f t="shared" si="10"/>
        <v>1.5</v>
      </c>
      <c r="U24" s="1082">
        <f t="shared" si="10"/>
        <v>500</v>
      </c>
      <c r="V24" s="1082">
        <f t="shared" si="10"/>
        <v>0</v>
      </c>
      <c r="W24" s="1082">
        <f t="shared" si="10"/>
        <v>12523.8964</v>
      </c>
      <c r="X24" s="1097"/>
      <c r="Y24" s="1062">
        <f t="shared" si="0"/>
        <v>14643.8964</v>
      </c>
      <c r="Z24" s="1062">
        <f>SUMIF('05月提成-武侯售后'!C:C,C24,'05月提成-武侯售后'!K:K)-W24</f>
        <v>0</v>
      </c>
    </row>
    <row r="25" spans="1:33" ht="13.65" customHeight="1">
      <c r="A25" s="1074">
        <v>14</v>
      </c>
      <c r="B25" s="1779" t="s">
        <v>427</v>
      </c>
      <c r="C25" s="1076" t="s">
        <v>428</v>
      </c>
      <c r="D25" s="1077"/>
      <c r="E25" s="1077"/>
      <c r="F25" s="1077"/>
      <c r="G25" s="1078"/>
      <c r="H25" s="1078"/>
      <c r="I25" s="1077"/>
      <c r="J25" s="1077"/>
      <c r="K25" s="1077"/>
      <c r="L25" s="1077"/>
      <c r="M25" s="1077"/>
      <c r="N25" s="1077"/>
      <c r="O25" s="1077"/>
      <c r="P25" s="1079"/>
      <c r="Q25" s="1079" t="e">
        <f>INDEX('05月提成-武侯售后'!J:J,MATCH(C25,'05月提成-武侯售后'!C:C,0))</f>
        <v>#N/A</v>
      </c>
      <c r="R25" s="1079" t="e">
        <f>INDEX('05基本'!O:O,MATCH(C25,'05基本'!C:C,0))+INDEX('05基本'!N:N,MATCH(C25,'05基本'!C:C,0))</f>
        <v>#N/A</v>
      </c>
      <c r="S25" s="1079" t="e">
        <f>INDEX('05月提成-武侯售后'!D:D,MATCH(C25,'05月提成-武侯售后'!C:C,0))</f>
        <v>#N/A</v>
      </c>
      <c r="T25" s="1079">
        <v>1</v>
      </c>
      <c r="U25" s="1079"/>
      <c r="V25" s="1079"/>
      <c r="W25" s="1088"/>
      <c r="X25" s="1080"/>
      <c r="Y25" s="1062">
        <f t="shared" si="0"/>
        <v>0</v>
      </c>
      <c r="Z25" s="1062">
        <f>SUMIF('05月提成-武侯售后'!C:C,C25,'05月提成-武侯售后'!K:K)-W25</f>
        <v>0</v>
      </c>
    </row>
    <row r="26" spans="1:33" ht="24">
      <c r="A26" s="1074"/>
      <c r="B26" s="1779"/>
      <c r="C26" s="1081" t="s">
        <v>374</v>
      </c>
      <c r="D26" s="1082">
        <f>INDEX('5月车间产值'!L:L,MATCH(C26,'5月车间产值'!B:B,0))</f>
        <v>0</v>
      </c>
      <c r="E26" s="1082">
        <f>INDEX('5月车间产值'!F:F,MATCH(C26,'5月车间产值'!B:B,0))</f>
        <v>0</v>
      </c>
      <c r="F26" s="1082">
        <f>INDEX('5月车间产值'!N:N,MATCH(C26,'5月车间产值'!B:B,0))</f>
        <v>0</v>
      </c>
      <c r="G26" s="1083">
        <v>0.28999999999999998</v>
      </c>
      <c r="H26" s="1083">
        <v>0.33</v>
      </c>
      <c r="I26" s="1082">
        <f>((D26-F26)*G26+E26*H26)*0.95</f>
        <v>0</v>
      </c>
      <c r="J26" s="1082">
        <f>INDEX('5月车间产值'!T:T,MATCH(C26,'5月车间产值'!B:B,0))</f>
        <v>0</v>
      </c>
      <c r="K26" s="1082">
        <v>0.02</v>
      </c>
      <c r="L26" s="1082">
        <f>J26*0.95*K26</f>
        <v>0</v>
      </c>
      <c r="M26" s="1082">
        <f>INDEX('5月车间产值'!U:U,MATCH(C26,'5月车间产值'!B:B,0))*0.07+INDEX('5月车间产值'!V:V,MATCH(C26,'5月车间产值'!B:B,0))</f>
        <v>0</v>
      </c>
      <c r="N26" s="1082"/>
      <c r="O26" s="1082">
        <f>I26+L26+M26+N26</f>
        <v>0</v>
      </c>
      <c r="P26" s="1082">
        <f>SUM(P25:P25)</f>
        <v>0</v>
      </c>
      <c r="Q26" s="1082" t="e">
        <f t="shared" ref="Q26:W26" si="11">SUM(Q25:Q25)</f>
        <v>#N/A</v>
      </c>
      <c r="R26" s="1082" t="e">
        <f t="shared" si="11"/>
        <v>#N/A</v>
      </c>
      <c r="S26" s="1082" t="e">
        <f t="shared" si="11"/>
        <v>#N/A</v>
      </c>
      <c r="T26" s="1082">
        <f t="shared" si="11"/>
        <v>1</v>
      </c>
      <c r="U26" s="1082">
        <f t="shared" si="11"/>
        <v>0</v>
      </c>
      <c r="V26" s="1082">
        <f t="shared" si="11"/>
        <v>0</v>
      </c>
      <c r="W26" s="1082">
        <f t="shared" si="11"/>
        <v>0</v>
      </c>
      <c r="X26" s="1097"/>
      <c r="Y26" s="1062">
        <f t="shared" si="0"/>
        <v>0</v>
      </c>
      <c r="Z26" s="1062">
        <f>SUMIF('05月提成-武侯售后'!C:C,C26,'05月提成-武侯售后'!K:K)-W26</f>
        <v>0</v>
      </c>
    </row>
    <row r="27" spans="1:33" s="1058" customFormat="1" ht="13.65" customHeight="1">
      <c r="A27" s="1074">
        <v>15</v>
      </c>
      <c r="B27" s="1780" t="s">
        <v>159</v>
      </c>
      <c r="C27" s="1076" t="s">
        <v>126</v>
      </c>
      <c r="D27" s="1085"/>
      <c r="E27" s="1085"/>
      <c r="F27" s="1085"/>
      <c r="G27" s="1092"/>
      <c r="H27" s="1092"/>
      <c r="I27" s="1085"/>
      <c r="J27" s="1085"/>
      <c r="K27" s="1085"/>
      <c r="L27" s="1085"/>
      <c r="M27" s="1085"/>
      <c r="N27" s="1085"/>
      <c r="O27" s="1085"/>
      <c r="P27" s="1087">
        <f>INDEX('05月提成-武侯售后'!I:I,MATCH(C27,'05月提成-武侯售后'!C:C,0))</f>
        <v>1120</v>
      </c>
      <c r="Q27" s="1087">
        <f>INDEX('05月提成-武侯售后'!J:J,MATCH(C27,'05月提成-武侯售后'!C:C,0))</f>
        <v>0</v>
      </c>
      <c r="R27" s="1087">
        <f>INDEX('05基本'!O:O,MATCH(C27,'05基本'!C:C,0))+INDEX('05基本'!N:N,MATCH(C27,'05基本'!C:C,0))</f>
        <v>0</v>
      </c>
      <c r="S27" s="1087">
        <f>INDEX('05月提成-武侯售后'!D:D,MATCH(C27,'05月提成-武侯售后'!C:C,0))</f>
        <v>20</v>
      </c>
      <c r="T27" s="1087">
        <v>1</v>
      </c>
      <c r="U27" s="1087"/>
      <c r="V27" s="1087"/>
      <c r="W27" s="1094">
        <f>$O$29/$T$29*T27-P27+R27+Q27+S27+U27+V27</f>
        <v>6845.9485161290304</v>
      </c>
      <c r="X27" s="1095"/>
      <c r="Y27" s="1096">
        <f t="shared" si="0"/>
        <v>7965.9485161290304</v>
      </c>
      <c r="Z27" s="1062">
        <f>SUMIF('05月提成-武侯售后'!C:C,C27,'05月提成-武侯售后'!K:K)-W27</f>
        <v>0</v>
      </c>
      <c r="AA27" s="1096"/>
      <c r="AB27" s="1096"/>
      <c r="AC27" s="1062"/>
      <c r="AD27" s="1062"/>
      <c r="AE27" s="1062"/>
      <c r="AF27" s="1096"/>
      <c r="AG27" s="1096"/>
    </row>
    <row r="28" spans="1:33" s="1058" customFormat="1" ht="13.65" customHeight="1">
      <c r="A28" s="1074">
        <v>16</v>
      </c>
      <c r="B28" s="1781"/>
      <c r="C28" s="1076" t="s">
        <v>128</v>
      </c>
      <c r="D28" s="1085"/>
      <c r="E28" s="1085"/>
      <c r="F28" s="1085"/>
      <c r="G28" s="1092"/>
      <c r="H28" s="1092"/>
      <c r="I28" s="1085"/>
      <c r="J28" s="1085"/>
      <c r="K28" s="1085"/>
      <c r="L28" s="1085"/>
      <c r="M28" s="1085"/>
      <c r="N28" s="1085"/>
      <c r="O28" s="1085"/>
      <c r="P28" s="1087">
        <f>INDEX('05月提成-武侯售后'!I:I,MATCH(C28,'05月提成-武侯售后'!C:C,0))</f>
        <v>920</v>
      </c>
      <c r="Q28" s="1087">
        <f>INDEX('05月提成-武侯售后'!J:J,MATCH(C28,'05月提成-武侯售后'!C:C,0))</f>
        <v>0</v>
      </c>
      <c r="R28" s="1087">
        <f>INDEX('05基本'!O:O,MATCH(C28,'05基本'!C:C,0))+INDEX('05基本'!N:N,MATCH(C28,'05基本'!C:C,0))</f>
        <v>0</v>
      </c>
      <c r="S28" s="1087">
        <f>INDEX('05月提成-武侯售后'!D:D,MATCH(C28,'05月提成-武侯售后'!C:C,0))</f>
        <v>20</v>
      </c>
      <c r="T28" s="1087">
        <v>0.55000000000000004</v>
      </c>
      <c r="U28" s="1093">
        <v>500</v>
      </c>
      <c r="V28" s="1087"/>
      <c r="W28" s="1094">
        <f>$O$29/$T$29*T28-P28+R28+Q28+S28+U28+V28</f>
        <v>3970.2716838709698</v>
      </c>
      <c r="X28" s="1095"/>
      <c r="Y28" s="1096">
        <f t="shared" si="0"/>
        <v>4890.2716838709703</v>
      </c>
      <c r="Z28" s="1062">
        <f>SUMIF('05月提成-武侯售后'!C:C,C28,'05月提成-武侯售后'!K:K)-W28</f>
        <v>0</v>
      </c>
      <c r="AA28" s="1096"/>
      <c r="AB28" s="1096"/>
      <c r="AC28" s="1062"/>
      <c r="AD28" s="1062"/>
      <c r="AE28" s="1062"/>
      <c r="AF28" s="1096"/>
      <c r="AG28" s="1096"/>
    </row>
    <row r="29" spans="1:33" ht="24">
      <c r="A29" s="1074"/>
      <c r="B29" s="1098"/>
      <c r="C29" s="1081" t="s">
        <v>159</v>
      </c>
      <c r="D29" s="1082">
        <f>INDEX('5月车间产值'!L:L,MATCH(C29,'5月车间产值'!B:B,0))</f>
        <v>50410</v>
      </c>
      <c r="E29" s="1082">
        <f>INDEX('5月车间产值'!F:F,MATCH(C29,'5月车间产值'!B:B,0))</f>
        <v>0</v>
      </c>
      <c r="F29" s="1082">
        <f>INDEX('5月车间产值'!N:N,MATCH(C29,'5月车间产值'!B:B,0))</f>
        <v>166.4</v>
      </c>
      <c r="G29" s="1099">
        <v>0.21</v>
      </c>
      <c r="H29" s="1083">
        <v>0.33</v>
      </c>
      <c r="I29" s="1082">
        <f>((D29-F29)*G29+E29*H29)*0.95</f>
        <v>10023.5982</v>
      </c>
      <c r="J29" s="1082">
        <f>INDEX('5月车间产值'!T:T,MATCH(C29,'5月车间产值'!B:B,0))</f>
        <v>52238</v>
      </c>
      <c r="K29" s="1082">
        <v>0.02</v>
      </c>
      <c r="L29" s="1082">
        <f>J29*0.95*K29</f>
        <v>992.52200000000005</v>
      </c>
      <c r="M29" s="1082">
        <f>INDEX('5月车间产值'!U:U,MATCH(C29,'5月车间产值'!B:B,0))*0.07+INDEX('5月车间产值'!V:V,MATCH(C29,'5月车间产值'!B:B,0))</f>
        <v>426.1</v>
      </c>
      <c r="N29" s="1082">
        <f>SUMIFS(综合考核!AZ:AZ,综合考核!AX:AX,'05月车间提成'!C29)</f>
        <v>874</v>
      </c>
      <c r="O29" s="1082">
        <f>I29+L29+M29+N29</f>
        <v>12316.2202</v>
      </c>
      <c r="P29" s="1082">
        <f t="shared" ref="P29:W29" si="12">SUM(P27:P28)</f>
        <v>2040</v>
      </c>
      <c r="Q29" s="1082">
        <f t="shared" si="12"/>
        <v>0</v>
      </c>
      <c r="R29" s="1082">
        <f t="shared" si="12"/>
        <v>0</v>
      </c>
      <c r="S29" s="1082">
        <f t="shared" si="12"/>
        <v>40</v>
      </c>
      <c r="T29" s="1082">
        <f t="shared" si="12"/>
        <v>1.55</v>
      </c>
      <c r="U29" s="1082">
        <f t="shared" si="12"/>
        <v>500</v>
      </c>
      <c r="V29" s="1082">
        <f t="shared" si="12"/>
        <v>0</v>
      </c>
      <c r="W29" s="1082">
        <f t="shared" si="12"/>
        <v>10816.2202</v>
      </c>
      <c r="X29" s="1080"/>
      <c r="Y29" s="1062">
        <f t="shared" si="0"/>
        <v>12856.2202</v>
      </c>
      <c r="Z29" s="1062">
        <f>SUMIF('05月提成-武侯售后'!C:C,C29,'05月提成-武侯售后'!K:K)-W29</f>
        <v>0</v>
      </c>
    </row>
    <row r="30" spans="1:33" s="1058" customFormat="1" ht="13.65" customHeight="1">
      <c r="A30" s="1074">
        <v>17</v>
      </c>
      <c r="B30" s="1100" t="s">
        <v>429</v>
      </c>
      <c r="C30" s="1076" t="s">
        <v>129</v>
      </c>
      <c r="D30" s="1085"/>
      <c r="E30" s="1085"/>
      <c r="F30" s="1085"/>
      <c r="G30" s="1092"/>
      <c r="H30" s="1092"/>
      <c r="I30" s="1085"/>
      <c r="J30" s="1085"/>
      <c r="K30" s="1085"/>
      <c r="L30" s="1085"/>
      <c r="M30" s="1085"/>
      <c r="N30" s="1085"/>
      <c r="O30" s="1085"/>
      <c r="P30" s="1087">
        <f>INDEX('05月提成-武侯售后'!I:I,MATCH(C30,'05月提成-武侯售后'!C:C,0))</f>
        <v>1060</v>
      </c>
      <c r="Q30" s="1087">
        <f>INDEX('05月提成-武侯售后'!J:J,MATCH(C30,'05月提成-武侯售后'!C:C,0))</f>
        <v>0</v>
      </c>
      <c r="R30" s="1087">
        <f>INDEX('05基本'!O:O,MATCH(C30,'05基本'!C:C,0))+INDEX('05基本'!N:N,MATCH(C30,'05基本'!C:C,0))</f>
        <v>50</v>
      </c>
      <c r="S30" s="1087">
        <f>INDEX('05月提成-武侯售后'!D:D,MATCH(C30,'05月提成-武侯售后'!C:C,0))</f>
        <v>10</v>
      </c>
      <c r="T30" s="1087">
        <v>1</v>
      </c>
      <c r="U30" s="1089"/>
      <c r="V30" s="1087"/>
      <c r="W30" s="1094">
        <f>$O$31/$T$31*T30-P30+R30+Q30+S30+U30+V30</f>
        <v>7203.0898999999999</v>
      </c>
      <c r="X30" s="1095"/>
      <c r="Y30" s="1096">
        <f t="shared" si="0"/>
        <v>8263.0899000000009</v>
      </c>
      <c r="Z30" s="1062">
        <f>SUMIF('05月提成-武侯售后'!C:C,C30,'05月提成-武侯售后'!K:K)-W30</f>
        <v>0</v>
      </c>
      <c r="AA30" s="1096"/>
      <c r="AB30" s="1096"/>
      <c r="AC30" s="1062"/>
      <c r="AD30" s="1062"/>
      <c r="AE30" s="1062"/>
      <c r="AF30" s="1096"/>
      <c r="AG30" s="1096"/>
    </row>
    <row r="31" spans="1:33" ht="26.1" customHeight="1">
      <c r="A31" s="1074"/>
      <c r="B31" s="1098"/>
      <c r="C31" s="1081" t="s">
        <v>161</v>
      </c>
      <c r="D31" s="1082">
        <f>INDEX('5月车间产值'!L:L,MATCH(C31,'5月车间产值'!B:B,0))</f>
        <v>25840</v>
      </c>
      <c r="E31" s="1082">
        <f>INDEX('5月车间产值'!F:F,MATCH(C31,'5月车间产值'!B:B,0))</f>
        <v>1743</v>
      </c>
      <c r="F31" s="1082">
        <f>INDEX('5月车间产值'!N:N,MATCH(C31,'5月车间产值'!B:B,0))</f>
        <v>125.2</v>
      </c>
      <c r="G31" s="1083">
        <v>0.28999999999999998</v>
      </c>
      <c r="H31" s="1083">
        <v>0.33</v>
      </c>
      <c r="I31" s="1082">
        <f>((D31-F31)*G31+E31*H31)*0.95</f>
        <v>7630.8579</v>
      </c>
      <c r="J31" s="1082">
        <f>INDEX('5月车间产值'!T:T,MATCH(C31,'5月车间产值'!B:B,0))</f>
        <v>27108</v>
      </c>
      <c r="K31" s="1082">
        <v>0.02</v>
      </c>
      <c r="L31" s="1082">
        <f>J31*0.95*K31</f>
        <v>515.05200000000002</v>
      </c>
      <c r="M31" s="1082">
        <f>INDEX('5月车间产值'!U:U,MATCH(C31,'5月车间产值'!B:B,0))*0.07+INDEX('5月车间产值'!V:V,MATCH(C31,'5月车间产值'!B:B,0))</f>
        <v>57.18</v>
      </c>
      <c r="N31" s="1082">
        <f>SUMIFS(综合考核!AZ:AZ,综合考核!AX:AX,'05月车间提成'!C31)</f>
        <v>0</v>
      </c>
      <c r="O31" s="1082">
        <f>I31+L31+M31+N31</f>
        <v>8203.0899000000009</v>
      </c>
      <c r="P31" s="1082">
        <f t="shared" ref="P31:W31" si="13">SUM(P30:P30)</f>
        <v>1060</v>
      </c>
      <c r="Q31" s="1082">
        <f t="shared" si="13"/>
        <v>0</v>
      </c>
      <c r="R31" s="1082">
        <f t="shared" si="13"/>
        <v>50</v>
      </c>
      <c r="S31" s="1082">
        <f t="shared" si="13"/>
        <v>10</v>
      </c>
      <c r="T31" s="1082">
        <f t="shared" si="13"/>
        <v>1</v>
      </c>
      <c r="U31" s="1082">
        <f t="shared" si="13"/>
        <v>0</v>
      </c>
      <c r="V31" s="1082">
        <f t="shared" si="13"/>
        <v>0</v>
      </c>
      <c r="W31" s="1082">
        <f t="shared" si="13"/>
        <v>7203.0898999999999</v>
      </c>
      <c r="X31" s="1080"/>
      <c r="Y31" s="1062">
        <f t="shared" si="0"/>
        <v>8263.0899000000009</v>
      </c>
      <c r="Z31" s="1062">
        <f>SUMIF('05月提成-武侯售后'!C:C,C31,'05月提成-武侯售后'!K:K)-W31</f>
        <v>0</v>
      </c>
    </row>
    <row r="32" spans="1:33" ht="13.65" customHeight="1">
      <c r="A32" s="1074">
        <v>18</v>
      </c>
      <c r="B32" s="1779" t="s">
        <v>164</v>
      </c>
      <c r="C32" s="1076" t="s">
        <v>131</v>
      </c>
      <c r="D32" s="1077"/>
      <c r="E32" s="1077"/>
      <c r="F32" s="1077"/>
      <c r="G32" s="1078"/>
      <c r="H32" s="1078"/>
      <c r="I32" s="1077"/>
      <c r="J32" s="1077"/>
      <c r="K32" s="1077"/>
      <c r="L32" s="1077"/>
      <c r="M32" s="1077"/>
      <c r="N32" s="1077"/>
      <c r="O32" s="1077"/>
      <c r="P32" s="1079">
        <f>INDEX('05月提成-武侯售后'!I:I,MATCH(C32,'05月提成-武侯售后'!C:C,0))</f>
        <v>1120</v>
      </c>
      <c r="Q32" s="1079">
        <f>INDEX('05月提成-武侯售后'!J:J,MATCH(C32,'05月提成-武侯售后'!C:C,0))+INDEX('05月提成-武侯售后'!D:D,MATCH(C32,'05月提成-武侯售后'!C:C,0))</f>
        <v>20</v>
      </c>
      <c r="R32" s="1079">
        <f>INDEX('05基本'!O:O,MATCH(C32,'05基本'!C:C,0))+INDEX('05基本'!N:N,MATCH(C32,'05基本'!C:C,0))</f>
        <v>0</v>
      </c>
      <c r="S32" s="1079">
        <f>INDEX('05月提成-武侯售后'!D:D,MATCH(C32,'05月提成-武侯售后'!C:C,0))</f>
        <v>20</v>
      </c>
      <c r="T32" s="1079">
        <v>1</v>
      </c>
      <c r="U32" s="1087"/>
      <c r="V32" s="1079"/>
      <c r="W32" s="1094">
        <f>$O$34/$T$34*T32-R32-P32+Q32+S32+U32+V32</f>
        <v>7918.1032500000001</v>
      </c>
      <c r="X32" s="1101"/>
      <c r="Y32" s="1062">
        <f t="shared" si="0"/>
        <v>9038.1032500000001</v>
      </c>
      <c r="Z32" s="1062">
        <f>SUMIF('05月提成-武侯售后'!C:C,C32,'05月提成-武侯售后'!K:K)-W32</f>
        <v>0</v>
      </c>
    </row>
    <row r="33" spans="1:33" ht="13.65" customHeight="1">
      <c r="A33" s="1074">
        <v>20</v>
      </c>
      <c r="B33" s="1779" t="s">
        <v>166</v>
      </c>
      <c r="C33" s="1076" t="s">
        <v>134</v>
      </c>
      <c r="D33" s="1077"/>
      <c r="E33" s="1077"/>
      <c r="F33" s="1077"/>
      <c r="G33" s="1078"/>
      <c r="H33" s="1078"/>
      <c r="I33" s="1077"/>
      <c r="J33" s="1077"/>
      <c r="K33" s="1077"/>
      <c r="L33" s="1077"/>
      <c r="M33" s="1077"/>
      <c r="N33" s="1077"/>
      <c r="O33" s="1077"/>
      <c r="P33" s="1079">
        <f>INDEX('05月提成-武侯售后'!I:I,MATCH(C33,'05月提成-武侯售后'!C:C,0))</f>
        <v>820</v>
      </c>
      <c r="Q33" s="1079">
        <f>INDEX('05月提成-武侯售后'!J:J,MATCH(C33,'05月提成-武侯售后'!C:C,0))+INDEX('05月提成-武侯售后'!D:D,MATCH(C33,'05月提成-武侯售后'!C:C,0))</f>
        <v>20</v>
      </c>
      <c r="R33" s="1079">
        <f>INDEX('05基本'!O:O,MATCH(C33,'05基本'!C:C,0))+INDEX('05基本'!N:N,MATCH(C33,'05基本'!C:C,0))</f>
        <v>100</v>
      </c>
      <c r="S33" s="1079">
        <f>INDEX('05月提成-武侯售后'!D:D,MATCH(C33,'05月提成-武侯售后'!C:C,0))</f>
        <v>20</v>
      </c>
      <c r="T33" s="1079">
        <v>0.4</v>
      </c>
      <c r="U33" s="1087">
        <v>500</v>
      </c>
      <c r="V33" s="1079"/>
      <c r="W33" s="1094">
        <f>$O$34/$T$34*T33-R33-P33+Q33+S33+U33+V33</f>
        <v>3219.2413000000001</v>
      </c>
      <c r="X33" s="1101"/>
      <c r="Y33" s="1062">
        <f t="shared" ref="Y33:Y35" si="14">W33+P33</f>
        <v>4039.2413000000001</v>
      </c>
      <c r="Z33" s="1062">
        <f>SUMIF('05月提成-武侯售后'!C:C,C33,'05月提成-武侯售后'!K:K)-W33</f>
        <v>0</v>
      </c>
    </row>
    <row r="34" spans="1:33" ht="24">
      <c r="A34" s="1074"/>
      <c r="B34" s="1779"/>
      <c r="C34" s="1081" t="s">
        <v>169</v>
      </c>
      <c r="D34" s="1082">
        <f>INDEX('5月车间产值'!L:L,MATCH(C34,'5月车间产值'!B:B,0))</f>
        <v>40264</v>
      </c>
      <c r="E34" s="1082">
        <f>INDEX('5月车间产值'!F:F,MATCH(C34,'5月车间产值'!B:B,0))</f>
        <v>0</v>
      </c>
      <c r="F34" s="1082">
        <f>INDEX('5月车间产值'!N:N,MATCH(C34,'5月车间产值'!B:B,0))</f>
        <v>161.9</v>
      </c>
      <c r="G34" s="1083">
        <v>0.28999999999999998</v>
      </c>
      <c r="H34" s="1083">
        <v>0.33</v>
      </c>
      <c r="I34" s="1082">
        <f>((D34-F34)*G34+E34*H34)*0.95</f>
        <v>11048.128549999999</v>
      </c>
      <c r="J34" s="1082">
        <f>INDEX('5月车间产值'!T:T,MATCH(C34,'5月车间产值'!B:B,0))</f>
        <v>64884</v>
      </c>
      <c r="K34" s="1082">
        <v>0.02</v>
      </c>
      <c r="L34" s="1082">
        <f>J34*0.95*K34</f>
        <v>1232.796</v>
      </c>
      <c r="M34" s="1082">
        <f>INDEX('5月车间产值'!U:U,MATCH(C34,'5月车间产值'!B:B,0))*0.07+INDEX('5月车间产值'!V:V,MATCH(C34,'5月车间产值'!B:B,0))</f>
        <v>316.42</v>
      </c>
      <c r="N34" s="1082">
        <f>SUMIFS(综合考核!AZ:AZ,综合考核!AX:AX,'05月车间提成'!C34)</f>
        <v>0</v>
      </c>
      <c r="O34" s="1082">
        <f>I34+L34+M34+N34</f>
        <v>12597.34455</v>
      </c>
      <c r="P34" s="1082">
        <f t="shared" ref="P34:W34" si="15">SUM(P32:P33)</f>
        <v>1940</v>
      </c>
      <c r="Q34" s="1082">
        <f t="shared" si="15"/>
        <v>40</v>
      </c>
      <c r="R34" s="1082">
        <f t="shared" si="15"/>
        <v>100</v>
      </c>
      <c r="S34" s="1082">
        <f t="shared" si="15"/>
        <v>40</v>
      </c>
      <c r="T34" s="1082">
        <f t="shared" si="15"/>
        <v>1.4</v>
      </c>
      <c r="U34" s="1082">
        <f t="shared" si="15"/>
        <v>500</v>
      </c>
      <c r="V34" s="1082">
        <f t="shared" si="15"/>
        <v>0</v>
      </c>
      <c r="W34" s="1082">
        <f t="shared" si="15"/>
        <v>11137.34455</v>
      </c>
      <c r="X34" s="1101"/>
      <c r="Y34" s="1062">
        <f t="shared" si="14"/>
        <v>13077.34455</v>
      </c>
      <c r="Z34" s="1062">
        <f>SUMIF('05月提成-武侯售后'!C:C,C34,'05月提成-武侯售后'!K:K)-W34</f>
        <v>3058.7397857142901</v>
      </c>
    </row>
    <row r="35" spans="1:33" ht="13.65" customHeight="1">
      <c r="A35" s="1074">
        <v>21</v>
      </c>
      <c r="B35" s="1779" t="s">
        <v>166</v>
      </c>
      <c r="C35" s="1076" t="s">
        <v>136</v>
      </c>
      <c r="D35" s="1077"/>
      <c r="E35" s="1077"/>
      <c r="F35" s="1077"/>
      <c r="G35" s="1078"/>
      <c r="H35" s="1078"/>
      <c r="I35" s="1077"/>
      <c r="J35" s="1077"/>
      <c r="K35" s="1077"/>
      <c r="L35" s="1077"/>
      <c r="M35" s="1077"/>
      <c r="N35" s="1077"/>
      <c r="O35" s="1077"/>
      <c r="P35" s="1079">
        <f>INDEX('05月提成-武侯售后'!I:I,MATCH(C35,'05月提成-武侯售后'!C:C,0))</f>
        <v>1150</v>
      </c>
      <c r="Q35" s="1079">
        <f>INDEX('05月提成-武侯售后'!J:J,MATCH(C35,'05月提成-武侯售后'!C:C,0))+INDEX('05月提成-武侯售后'!D:D,MATCH(C35,'05月提成-武侯售后'!C:C,0))</f>
        <v>50</v>
      </c>
      <c r="R35" s="1079">
        <f>INDEX('05基本'!O:O,MATCH(C35,'05基本'!C:C,0))+INDEX('05基本'!N:N,MATCH(C35,'05基本'!C:C,0))</f>
        <v>0</v>
      </c>
      <c r="S35" s="1079">
        <f>INDEX('05月提成-武侯售后'!D:D,MATCH(C35,'05月提成-武侯售后'!C:C,0))</f>
        <v>50</v>
      </c>
      <c r="T35" s="1079">
        <v>1</v>
      </c>
      <c r="U35" s="1087"/>
      <c r="V35" s="1079"/>
      <c r="W35" s="1094">
        <f>$O$37/$T$37*T35-R35-P35+Q35+S35+U35+V35</f>
        <v>7546.8494642857104</v>
      </c>
      <c r="X35" s="1101"/>
      <c r="Y35" s="1062">
        <f t="shared" si="14"/>
        <v>8696.8494642857095</v>
      </c>
      <c r="Z35" s="1062">
        <f>SUMIF('05月提成-武侯售后'!C:C,C35,'05月提成-武侯售后'!K:K)-W35</f>
        <v>0</v>
      </c>
    </row>
    <row r="36" spans="1:33">
      <c r="A36" s="1074"/>
      <c r="B36" s="1779"/>
      <c r="C36" s="1076" t="s">
        <v>133</v>
      </c>
      <c r="D36" s="1077"/>
      <c r="E36" s="1077"/>
      <c r="F36" s="1077"/>
      <c r="G36" s="1078"/>
      <c r="H36" s="1078"/>
      <c r="I36" s="1077"/>
      <c r="J36" s="1077"/>
      <c r="K36" s="1077"/>
      <c r="L36" s="1077"/>
      <c r="M36" s="1077"/>
      <c r="N36" s="1077"/>
      <c r="O36" s="1077"/>
      <c r="P36" s="1079">
        <f>INDEX('05月提成-武侯售后'!I:I,MATCH(C36,'05月提成-武侯售后'!C:C,0))</f>
        <v>920</v>
      </c>
      <c r="Q36" s="1079">
        <f>INDEX('05月提成-武侯售后'!J:J,MATCH(C36,'05月提成-武侯售后'!C:C,0))+INDEX('05月提成-武侯售后'!D:D,MATCH(C36,'05月提成-武侯售后'!C:C,0))</f>
        <v>20</v>
      </c>
      <c r="R36" s="1079">
        <f>INDEX('05基本'!O:O,MATCH(C36,'05基本'!C:C,0))+INDEX('05基本'!N:N,MATCH(C36,'05基本'!C:C,0))</f>
        <v>0</v>
      </c>
      <c r="S36" s="1079">
        <f>INDEX('05月提成-武侯售后'!D:D,MATCH(C36,'05月提成-武侯售后'!C:C,0))</f>
        <v>20</v>
      </c>
      <c r="T36" s="1079">
        <v>0.4</v>
      </c>
      <c r="U36" s="1087">
        <v>500</v>
      </c>
      <c r="V36" s="1079"/>
      <c r="W36" s="1094">
        <f>$O$37/$T$37*T36-R36-P36+Q36+S36+U36+V36</f>
        <v>3058.7397857142901</v>
      </c>
      <c r="X36" s="1101"/>
    </row>
    <row r="37" spans="1:33" ht="24">
      <c r="A37" s="1074"/>
      <c r="B37" s="1779"/>
      <c r="C37" s="1081" t="s">
        <v>172</v>
      </c>
      <c r="D37" s="1082">
        <f>INDEX('5月车间产值'!L:L,MATCH(C37,'5月车间产值'!B:B,0))</f>
        <v>39185</v>
      </c>
      <c r="E37" s="1082">
        <f>INDEX('5月车间产值'!F:F,MATCH(C37,'5月车间产值'!B:B,0))</f>
        <v>0</v>
      </c>
      <c r="F37" s="1082">
        <f>INDEX('5月车间产值'!N:N,MATCH(C37,'5月车间产值'!B:B,0))</f>
        <v>163.5</v>
      </c>
      <c r="G37" s="1083">
        <v>0.28999999999999998</v>
      </c>
      <c r="H37" s="1083">
        <v>0.33</v>
      </c>
      <c r="I37" s="1082">
        <f>((D37-F37)*G37+E37*H37)*0.95</f>
        <v>10750.42325</v>
      </c>
      <c r="J37" s="1082">
        <f>INDEX('5月车间产值'!T:T,MATCH(C37,'5月车间产值'!B:B,0))</f>
        <v>50984</v>
      </c>
      <c r="K37" s="1082">
        <v>0.02</v>
      </c>
      <c r="L37" s="1082">
        <f>J37*0.95*K37</f>
        <v>968.69600000000003</v>
      </c>
      <c r="M37" s="1082">
        <f>INDEX('5月车间产值'!U:U,MATCH(C37,'5月车间产值'!B:B,0))*0.07+INDEX('5月车间产值'!V:V,MATCH(C37,'5月车间产值'!B:B,0))</f>
        <v>316.47000000000003</v>
      </c>
      <c r="N37" s="1082">
        <f>SUMIFS(综合考核!AZ:AZ,综合考核!AX:AX,'05月车间提成'!C37)</f>
        <v>0</v>
      </c>
      <c r="O37" s="1082">
        <f>I37+L37+M37+N37</f>
        <v>12035.589250000001</v>
      </c>
      <c r="P37" s="1082">
        <f>SUM(P35:P36)</f>
        <v>2070</v>
      </c>
      <c r="Q37" s="1082">
        <f t="shared" ref="Q37:S37" si="16">SUM(Q35:Q35)</f>
        <v>50</v>
      </c>
      <c r="R37" s="1082">
        <f t="shared" si="16"/>
        <v>0</v>
      </c>
      <c r="S37" s="1082">
        <f t="shared" si="16"/>
        <v>50</v>
      </c>
      <c r="T37" s="1082">
        <f>SUM(T35:T36)</f>
        <v>1.4</v>
      </c>
      <c r="U37" s="1082">
        <f>SUM(U35:U36)</f>
        <v>500</v>
      </c>
      <c r="V37" s="1082">
        <f>SUM(V35:V36)</f>
        <v>0</v>
      </c>
      <c r="W37" s="1082">
        <f>SUM(W35:W36)</f>
        <v>10605.589250000001</v>
      </c>
      <c r="X37" s="1101"/>
      <c r="Y37" s="1062">
        <f>W37+P37</f>
        <v>12675.589250000001</v>
      </c>
      <c r="Z37" s="1062">
        <f>SUMIF('05月提成-武侯售后'!C:C,C37,'05月提成-武侯售后'!K:K)-W37</f>
        <v>-3058.7397857142901</v>
      </c>
    </row>
    <row r="38" spans="1:33" s="1059" customFormat="1" ht="13.65" customHeight="1">
      <c r="A38" s="1074">
        <v>23</v>
      </c>
      <c r="B38" s="1779"/>
      <c r="C38" s="1076" t="s">
        <v>138</v>
      </c>
      <c r="D38" s="1102"/>
      <c r="E38" s="1102"/>
      <c r="F38" s="1102"/>
      <c r="G38" s="1103"/>
      <c r="H38" s="1103"/>
      <c r="I38" s="1102"/>
      <c r="J38" s="1102"/>
      <c r="K38" s="1102"/>
      <c r="L38" s="1102"/>
      <c r="M38" s="1102"/>
      <c r="N38" s="1102"/>
      <c r="O38" s="1102"/>
      <c r="P38" s="1084">
        <f>INDEX('05月提成-武侯售后'!I:I,MATCH(C38,'05月提成-武侯售后'!C:C,0))</f>
        <v>950</v>
      </c>
      <c r="Q38" s="1084">
        <f>INDEX('05月提成-武侯售后'!J:J,MATCH(C38,'05月提成-武侯售后'!C:C,0))</f>
        <v>0</v>
      </c>
      <c r="R38" s="1084">
        <f>INDEX('05基本'!O:O,MATCH(C38,'05基本'!C:C,0))+INDEX('05基本'!N:N,MATCH(C38,'05基本'!C:C,0))</f>
        <v>0</v>
      </c>
      <c r="S38" s="1084">
        <f>INDEX('05月提成-武侯售后'!D:D,MATCH(C38,'05月提成-武侯售后'!C:C,0))</f>
        <v>50</v>
      </c>
      <c r="T38" s="1084">
        <v>1</v>
      </c>
      <c r="U38" s="1079"/>
      <c r="V38" s="1084"/>
      <c r="W38" s="1077">
        <f>$O$41/$T$41*T38-R38-P38+Q38+S38+U38+V38</f>
        <v>8682.6772393364899</v>
      </c>
      <c r="Y38" s="1063">
        <f>W38+P38</f>
        <v>9632.6772393364899</v>
      </c>
      <c r="Z38" s="1062">
        <f>SUMIF('05月提成-武侯售后'!C:C,C38,'05月提成-武侯售后'!K:K)-W38</f>
        <v>0</v>
      </c>
      <c r="AA38" s="1063"/>
      <c r="AB38" s="1104"/>
      <c r="AC38" s="1104"/>
      <c r="AD38" s="1104"/>
      <c r="AE38" s="1104"/>
      <c r="AF38" s="1104"/>
      <c r="AG38" s="1104"/>
    </row>
    <row r="39" spans="1:33" s="1059" customFormat="1" ht="13.65" customHeight="1">
      <c r="A39" s="1074">
        <v>24</v>
      </c>
      <c r="B39" s="1779"/>
      <c r="C39" s="1076" t="s">
        <v>142</v>
      </c>
      <c r="D39" s="1102"/>
      <c r="E39" s="1102"/>
      <c r="F39" s="1102"/>
      <c r="G39" s="1103"/>
      <c r="H39" s="1103"/>
      <c r="I39" s="1102"/>
      <c r="J39" s="1102"/>
      <c r="K39" s="1102"/>
      <c r="L39" s="1102"/>
      <c r="M39" s="1102"/>
      <c r="N39" s="1102"/>
      <c r="O39" s="1102"/>
      <c r="P39" s="1084">
        <f>INDEX('05月提成-武侯售后'!I:I,MATCH(C39,'05月提成-武侯售后'!C:C,0))</f>
        <v>900</v>
      </c>
      <c r="Q39" s="1084">
        <f>INDEX('05月提成-武侯售后'!J:J,MATCH(C39,'05月提成-武侯售后'!C:C,0))</f>
        <v>0</v>
      </c>
      <c r="R39" s="1084">
        <f>INDEX('05基本'!O:O,MATCH(C39,'05基本'!C:C,0))+INDEX('05基本'!N:N,MATCH(C39,'05基本'!C:C,0))</f>
        <v>0</v>
      </c>
      <c r="S39" s="1084">
        <f>INDEX('05月提成-武侯售后'!D:D,MATCH(C39,'05月提成-武侯售后'!C:C,0))</f>
        <v>0</v>
      </c>
      <c r="T39" s="1084">
        <v>0.61</v>
      </c>
      <c r="U39" s="1093"/>
      <c r="V39" s="1084"/>
      <c r="W39" s="1077">
        <f>$O$41/$T$41*T39-R39+Q39+S39+U39+V39</f>
        <v>5845.4331159952599</v>
      </c>
      <c r="X39" s="1105"/>
      <c r="Y39" s="1063">
        <f>W39+P39</f>
        <v>6745.4331159952599</v>
      </c>
      <c r="Z39" s="1062">
        <f>SUMIF('05月提成-武侯售后'!C:C,C39,'05月提成-武侯售后'!K:K)-W39</f>
        <v>0</v>
      </c>
      <c r="AA39" s="1063"/>
      <c r="AB39" s="1104"/>
      <c r="AC39" s="1104"/>
      <c r="AD39" s="1104"/>
      <c r="AE39" s="1104"/>
      <c r="AF39" s="1104"/>
      <c r="AG39" s="1104"/>
    </row>
    <row r="40" spans="1:33" s="1059" customFormat="1" ht="13.65" customHeight="1">
      <c r="A40" s="1074">
        <v>25</v>
      </c>
      <c r="B40" s="1779"/>
      <c r="C40" s="1076" t="s">
        <v>140</v>
      </c>
      <c r="D40" s="1102"/>
      <c r="E40" s="1102"/>
      <c r="F40" s="1102"/>
      <c r="G40" s="1103"/>
      <c r="H40" s="1103"/>
      <c r="I40" s="1102"/>
      <c r="J40" s="1102"/>
      <c r="K40" s="1102"/>
      <c r="L40" s="1102"/>
      <c r="M40" s="1102"/>
      <c r="N40" s="1102"/>
      <c r="O40" s="1102"/>
      <c r="P40" s="1084">
        <f>INDEX('05月提成-武侯售后'!I:I,MATCH(C40,'05月提成-武侯售后'!C:C,0))</f>
        <v>940</v>
      </c>
      <c r="Q40" s="1084">
        <f>INDEX('05月提成-武侯售后'!J:J,MATCH(C40,'05月提成-武侯售后'!C:C,0))</f>
        <v>0</v>
      </c>
      <c r="R40" s="1084">
        <f>INDEX('05基本'!O:O,MATCH(C40,'05基本'!C:C,0))+INDEX('05基本'!N:N,MATCH(C40,'05基本'!C:C,0))</f>
        <v>0</v>
      </c>
      <c r="S40" s="1084">
        <f>INDEX('05月提成-武侯售后'!D:D,MATCH(C40,'05月提成-武侯售后'!C:C,0))</f>
        <v>40</v>
      </c>
      <c r="T40" s="1084">
        <v>0.5</v>
      </c>
      <c r="U40" s="1093"/>
      <c r="V40" s="1084"/>
      <c r="W40" s="1077">
        <f>$O$41/$T$41*T40-R40+Q40+S40+U40+V40</f>
        <v>4831.3386196682504</v>
      </c>
      <c r="X40" s="1105"/>
      <c r="Y40" s="1063">
        <f>W40+P40</f>
        <v>5771.3386196682504</v>
      </c>
      <c r="Z40" s="1062">
        <f>SUMIF('05月提成-武侯售后'!C:C,C40,'05月提成-武侯售后'!K:K)-W40</f>
        <v>0</v>
      </c>
      <c r="AA40" s="1063"/>
      <c r="AB40" s="1104"/>
      <c r="AC40" s="1104"/>
      <c r="AD40" s="1104"/>
      <c r="AE40" s="1104"/>
      <c r="AF40" s="1104"/>
      <c r="AG40" s="1104"/>
    </row>
    <row r="41" spans="1:33" ht="14.1" customHeight="1">
      <c r="A41" s="1074"/>
      <c r="B41" s="1779"/>
      <c r="C41" s="1081" t="s">
        <v>174</v>
      </c>
      <c r="D41" s="1082">
        <f>INDEX('5月车间产值'!L:L,MATCH(C41,'5月车间产值'!B:B,0))</f>
        <v>404</v>
      </c>
      <c r="E41" s="1082">
        <f>INDEX('5月车间产值'!F:F,MATCH(C41,'5月车间产值'!B:B,0))</f>
        <v>66774.600000000006</v>
      </c>
      <c r="F41" s="1082">
        <f>INDEX('5月车间产值'!N:N,MATCH(C41,'5月车间产值'!B:B,0))</f>
        <v>2682.75</v>
      </c>
      <c r="G41" s="1106">
        <v>0.33</v>
      </c>
      <c r="H41" s="1106">
        <v>0.33</v>
      </c>
      <c r="I41" s="1082">
        <f>((D41-F41)*G41+E41*H41)*0.95</f>
        <v>20219.448974999999</v>
      </c>
      <c r="J41" s="1082">
        <f>INDEX('5月车间产值'!T:T,MATCH(C41,'5月车间产值'!B:B,0))+'5月车间产值'!S21</f>
        <v>0</v>
      </c>
      <c r="K41" s="1082">
        <v>0.02</v>
      </c>
      <c r="L41" s="1082">
        <f>J41*0.95*K41</f>
        <v>0</v>
      </c>
      <c r="M41" s="1107">
        <f>INDEX('5月车间产值'!U:U,MATCH(C41,'5月车间产值'!B:B,0))*0.07+INDEX('5月车间产值'!V:V,MATCH(C41,'5月车间产值'!B:B,0))</f>
        <v>0</v>
      </c>
      <c r="N41" s="1082">
        <f>SUMIFS(综合考核!AZ:AZ,综合考核!AX:AX,'05月车间提成'!C41)</f>
        <v>0</v>
      </c>
      <c r="O41" s="1082">
        <f>I41+L41+M41+N41</f>
        <v>20219.448974999999</v>
      </c>
      <c r="P41" s="1082">
        <f t="shared" ref="P41:W41" si="17">SUM(P38:P40)</f>
        <v>2790</v>
      </c>
      <c r="Q41" s="1082">
        <f t="shared" si="17"/>
        <v>0</v>
      </c>
      <c r="R41" s="1082">
        <f t="shared" si="17"/>
        <v>0</v>
      </c>
      <c r="S41" s="1082">
        <f t="shared" si="17"/>
        <v>90</v>
      </c>
      <c r="T41" s="1082">
        <f t="shared" si="17"/>
        <v>2.11</v>
      </c>
      <c r="U41" s="1082">
        <f t="shared" si="17"/>
        <v>0</v>
      </c>
      <c r="V41" s="1082">
        <f t="shared" si="17"/>
        <v>0</v>
      </c>
      <c r="W41" s="1082">
        <f t="shared" si="17"/>
        <v>19359.448974999999</v>
      </c>
      <c r="X41" s="1101"/>
      <c r="Z41" s="1062">
        <f>SUMIF('05月提成-武侯售后'!C:C,C41,'05月提成-武侯售后'!K:K)-W41</f>
        <v>0</v>
      </c>
    </row>
    <row r="42" spans="1:33" ht="13.65" customHeight="1">
      <c r="A42" s="1074">
        <v>26</v>
      </c>
      <c r="B42" s="1779" t="s">
        <v>179</v>
      </c>
      <c r="C42" s="1076" t="s">
        <v>143</v>
      </c>
      <c r="D42" s="1077"/>
      <c r="E42" s="1077"/>
      <c r="F42" s="1077"/>
      <c r="G42" s="1078"/>
      <c r="H42" s="1078"/>
      <c r="I42" s="1077"/>
      <c r="J42" s="1077"/>
      <c r="K42" s="1077"/>
      <c r="L42" s="1077"/>
      <c r="M42" s="1077"/>
      <c r="N42" s="1077"/>
      <c r="O42" s="1077"/>
      <c r="P42" s="1079">
        <f>INDEX('05月提成-武侯售后'!I:I,MATCH(C42,'05月提成-武侯售后'!C:C,0))</f>
        <v>1190</v>
      </c>
      <c r="Q42" s="1079">
        <f>INDEX('05月提成-武侯售后'!J:J,MATCH(C42,'05月提成-武侯售后'!C:C,0))</f>
        <v>0</v>
      </c>
      <c r="R42" s="1079">
        <f>INDEX('05基本'!O:O,MATCH(C42,'05基本'!C:C,0))+INDEX('05基本'!N:N,MATCH(C42,'05基本'!C:C,0))</f>
        <v>0</v>
      </c>
      <c r="S42" s="1079">
        <f>INDEX('05月提成-武侯售后'!D:D,MATCH(C42,'05月提成-武侯售后'!C:C,0))</f>
        <v>90</v>
      </c>
      <c r="T42" s="1108">
        <v>1</v>
      </c>
      <c r="U42" s="1108"/>
      <c r="V42" s="1079"/>
      <c r="W42" s="1088">
        <f t="shared" ref="W42:W52" si="18">$O$53/$T$53*T42-R42-P42+Q42+S42+U42+V42</f>
        <v>8874.2031874999993</v>
      </c>
      <c r="X42" s="1101"/>
      <c r="Y42" s="1062">
        <f t="shared" ref="Y42:Y52" si="19">W42+P42</f>
        <v>10064.203187499999</v>
      </c>
      <c r="Z42" s="1062">
        <f>SUMIF('05月提成-武侯售后'!C:C,C42,'05月提成-武侯售后'!K:K)-W42</f>
        <v>0</v>
      </c>
    </row>
    <row r="43" spans="1:33" ht="13.65" customHeight="1">
      <c r="A43" s="1074">
        <v>27</v>
      </c>
      <c r="B43" s="1779"/>
      <c r="C43" s="1076" t="s">
        <v>145</v>
      </c>
      <c r="D43" s="1077"/>
      <c r="E43" s="1077"/>
      <c r="F43" s="1077"/>
      <c r="G43" s="1078"/>
      <c r="H43" s="1078"/>
      <c r="I43" s="1077"/>
      <c r="J43" s="1077"/>
      <c r="K43" s="1077"/>
      <c r="L43" s="1077"/>
      <c r="M43" s="1077"/>
      <c r="N43" s="1077"/>
      <c r="O43" s="1077"/>
      <c r="P43" s="1079">
        <f>INDEX('05月提成-武侯售后'!I:I,MATCH(C43,'05月提成-武侯售后'!C:C,0))</f>
        <v>980</v>
      </c>
      <c r="Q43" s="1079">
        <f>INDEX('05月提成-武侯售后'!J:J,MATCH(C43,'05月提成-武侯售后'!C:C,0))</f>
        <v>0</v>
      </c>
      <c r="R43" s="1079">
        <f>INDEX('05基本'!O:O,MATCH(C43,'05基本'!C:C,0))+INDEX('05基本'!N:N,MATCH(C43,'05基本'!C:C,0))</f>
        <v>0</v>
      </c>
      <c r="S43" s="1079">
        <f>INDEX('05月提成-武侯售后'!D:D,MATCH(C43,'05月提成-武侯售后'!C:C,0))</f>
        <v>80</v>
      </c>
      <c r="T43" s="1108">
        <v>0.78</v>
      </c>
      <c r="U43" s="1108"/>
      <c r="V43" s="1079"/>
      <c r="W43" s="1088">
        <f t="shared" si="18"/>
        <v>6879.8784862499997</v>
      </c>
      <c r="X43" s="1109"/>
      <c r="Y43" s="1062">
        <f t="shared" si="19"/>
        <v>7859.8784862499997</v>
      </c>
      <c r="Z43" s="1062">
        <f>SUMIF('05月提成-武侯售后'!C:C,C43,'05月提成-武侯售后'!K:K)-W43</f>
        <v>0</v>
      </c>
    </row>
    <row r="44" spans="1:33" s="1060" customFormat="1" ht="13.65" customHeight="1">
      <c r="A44" s="1074">
        <v>28</v>
      </c>
      <c r="B44" s="1779"/>
      <c r="C44" s="1076" t="s">
        <v>147</v>
      </c>
      <c r="D44" s="1110"/>
      <c r="E44" s="1110"/>
      <c r="F44" s="1110"/>
      <c r="G44" s="1111"/>
      <c r="H44" s="1111"/>
      <c r="I44" s="1110"/>
      <c r="J44" s="1110"/>
      <c r="K44" s="1110"/>
      <c r="L44" s="1110"/>
      <c r="M44" s="1110"/>
      <c r="N44" s="1110"/>
      <c r="O44" s="1110"/>
      <c r="P44" s="1112">
        <f>INDEX('05月提成-武侯售后'!I:I,MATCH(C44,'05月提成-武侯售后'!C:C,0))</f>
        <v>970</v>
      </c>
      <c r="Q44" s="1112">
        <f>INDEX('05月提成-武侯售后'!J:J,MATCH(C44,'05月提成-武侯售后'!C:C,0))</f>
        <v>0</v>
      </c>
      <c r="R44" s="1112">
        <f>INDEX('05基本'!O:O,MATCH(C44,'05基本'!C:C,0))+INDEX('05基本'!N:N,MATCH(C44,'05基本'!C:C,0))</f>
        <v>0</v>
      </c>
      <c r="S44" s="1112">
        <f>INDEX('05月提成-武侯售后'!D:D,MATCH(C44,'05月提成-武侯售后'!C:C,0))</f>
        <v>70</v>
      </c>
      <c r="T44" s="1113">
        <v>0.6</v>
      </c>
      <c r="U44" s="1113"/>
      <c r="V44" s="1112"/>
      <c r="W44" s="1114">
        <f t="shared" si="18"/>
        <v>5084.5219125000003</v>
      </c>
      <c r="X44" s="1109"/>
      <c r="Y44" s="1115">
        <f t="shared" si="19"/>
        <v>6054.5219125000003</v>
      </c>
      <c r="Z44" s="1062">
        <f>SUMIF('05月提成-武侯售后'!C:C,C44,'05月提成-武侯售后'!K:K)-W44</f>
        <v>0</v>
      </c>
      <c r="AA44" s="1115"/>
      <c r="AB44" s="1115"/>
      <c r="AC44" s="1115"/>
      <c r="AD44" s="1115"/>
      <c r="AE44" s="1115"/>
      <c r="AF44" s="1115"/>
      <c r="AG44" s="1115"/>
    </row>
    <row r="45" spans="1:33" s="1060" customFormat="1" ht="13.65" customHeight="1">
      <c r="A45" s="1074">
        <v>29</v>
      </c>
      <c r="B45" s="1779"/>
      <c r="C45" s="1076" t="s">
        <v>148</v>
      </c>
      <c r="D45" s="1110"/>
      <c r="E45" s="1110"/>
      <c r="F45" s="1110"/>
      <c r="G45" s="1111"/>
      <c r="H45" s="1111"/>
      <c r="I45" s="1110"/>
      <c r="J45" s="1110"/>
      <c r="K45" s="1110"/>
      <c r="L45" s="1110"/>
      <c r="M45" s="1110"/>
      <c r="N45" s="1110"/>
      <c r="O45" s="1110"/>
      <c r="P45" s="1112">
        <f>INDEX('05月提成-武侯售后'!I:I,MATCH(C45,'05月提成-武侯售后'!C:C,0))</f>
        <v>870</v>
      </c>
      <c r="Q45" s="1116">
        <f>INDEX('05月提成-武侯售后'!J:J,MATCH(C45,'05月提成-武侯售后'!C:C,0))</f>
        <v>0</v>
      </c>
      <c r="R45" s="1116">
        <f>INDEX('05基本'!O:O,MATCH(C45,'05基本'!C:C,0))+INDEX('05基本'!N:N,MATCH(C45,'05基本'!C:C,0))</f>
        <v>100</v>
      </c>
      <c r="S45" s="1112">
        <f>INDEX('05月提成-武侯售后'!D:D,MATCH(C45,'05月提成-武侯售后'!C:C,0))</f>
        <v>70</v>
      </c>
      <c r="T45" s="1113">
        <v>0.45</v>
      </c>
      <c r="U45" s="1113"/>
      <c r="V45" s="1112"/>
      <c r="W45" s="1114">
        <f t="shared" si="18"/>
        <v>3588.3914343749998</v>
      </c>
      <c r="Y45" s="1115">
        <f t="shared" si="19"/>
        <v>4458.3914343750002</v>
      </c>
      <c r="Z45" s="1062">
        <f>SUMIF('05月提成-武侯售后'!C:C,C45,'05月提成-武侯售后'!K:K)-W45</f>
        <v>0</v>
      </c>
      <c r="AA45" s="1115"/>
      <c r="AB45" s="1115"/>
      <c r="AC45" s="1115"/>
      <c r="AD45" s="1115"/>
      <c r="AE45" s="1115"/>
      <c r="AF45" s="1115"/>
      <c r="AG45" s="1115"/>
    </row>
    <row r="46" spans="1:33" s="1061" customFormat="1" ht="13.65" customHeight="1">
      <c r="A46" s="1074">
        <v>30</v>
      </c>
      <c r="B46" s="1779"/>
      <c r="C46" s="1076" t="s">
        <v>150</v>
      </c>
      <c r="D46" s="1117"/>
      <c r="E46" s="1117"/>
      <c r="F46" s="1117"/>
      <c r="G46" s="1118"/>
      <c r="H46" s="1118"/>
      <c r="I46" s="1117"/>
      <c r="J46" s="1117"/>
      <c r="K46" s="1117"/>
      <c r="L46" s="1117"/>
      <c r="M46" s="1117"/>
      <c r="N46" s="1117"/>
      <c r="O46" s="1117"/>
      <c r="P46" s="1112">
        <f>INDEX('05月提成-武侯售后'!I:I,MATCH(C46,'05月提成-武侯售后'!C:C,0))</f>
        <v>970</v>
      </c>
      <c r="Q46" s="1116">
        <f>INDEX('05月提成-武侯售后'!J:J,MATCH(C46,'05月提成-武侯售后'!C:C,0))</f>
        <v>0</v>
      </c>
      <c r="R46" s="1116">
        <f>INDEX('05基本'!O:O,MATCH(C46,'05基本'!C:C,0))+INDEX('05基本'!N:N,MATCH(C46,'05基本'!C:C,0))</f>
        <v>0</v>
      </c>
      <c r="S46" s="1112">
        <f>INDEX('05月提成-武侯售后'!D:D,MATCH(C46,'05月提成-武侯售后'!C:C,0))</f>
        <v>70</v>
      </c>
      <c r="T46" s="1119">
        <v>0.82</v>
      </c>
      <c r="U46" s="1113"/>
      <c r="V46" s="1116"/>
      <c r="W46" s="1114">
        <f t="shared" si="18"/>
        <v>7278.84661375</v>
      </c>
      <c r="X46" s="1120"/>
      <c r="Y46" s="1121">
        <f t="shared" si="19"/>
        <v>8248.84661375</v>
      </c>
      <c r="Z46" s="1062">
        <f>SUMIF('05月提成-武侯售后'!C:C,C46,'05月提成-武侯售后'!K:K)-W46</f>
        <v>0</v>
      </c>
      <c r="AA46" s="1121"/>
      <c r="AB46" s="1122"/>
      <c r="AC46" s="1122"/>
      <c r="AD46" s="1122"/>
      <c r="AE46" s="1122"/>
      <c r="AF46" s="1122"/>
      <c r="AG46" s="1122"/>
    </row>
    <row r="47" spans="1:33" ht="13.65" customHeight="1">
      <c r="A47" s="1074">
        <v>31</v>
      </c>
      <c r="B47" s="1779"/>
      <c r="C47" s="1076" t="s">
        <v>152</v>
      </c>
      <c r="D47" s="1077"/>
      <c r="E47" s="1077"/>
      <c r="F47" s="1077"/>
      <c r="G47" s="1078"/>
      <c r="H47" s="1078"/>
      <c r="I47" s="1077"/>
      <c r="J47" s="1077"/>
      <c r="K47" s="1077"/>
      <c r="L47" s="1077"/>
      <c r="M47" s="1077"/>
      <c r="N47" s="1077"/>
      <c r="O47" s="1077"/>
      <c r="P47" s="1079">
        <f>INDEX('05月提成-武侯售后'!I:I,MATCH(C47,'05月提成-武侯售后'!C:C,0))</f>
        <v>990</v>
      </c>
      <c r="Q47" s="1079">
        <f>INDEX('05月提成-武侯售后'!J:J,MATCH(C47,'05月提成-武侯售后'!C:C,0))</f>
        <v>0</v>
      </c>
      <c r="R47" s="1079">
        <f>INDEX('05基本'!O:O,MATCH(C47,'05基本'!C:C,0))+INDEX('05基本'!N:N,MATCH(C47,'05基本'!C:C,0))</f>
        <v>0</v>
      </c>
      <c r="S47" s="1079">
        <f>INDEX('05月提成-武侯售后'!D:D,MATCH(C47,'05月提成-武侯售后'!C:C,0))</f>
        <v>90</v>
      </c>
      <c r="T47" s="1108">
        <v>0.74</v>
      </c>
      <c r="U47" s="1108"/>
      <c r="V47" s="1079"/>
      <c r="W47" s="1088">
        <f t="shared" si="18"/>
        <v>6480.9103587500003</v>
      </c>
      <c r="X47" s="1101"/>
      <c r="Y47" s="1062">
        <f t="shared" si="19"/>
        <v>7470.9103587500003</v>
      </c>
      <c r="Z47" s="1062">
        <f>SUMIF('05月提成-武侯售后'!C:C,C47,'05月提成-武侯售后'!K:K)-W47</f>
        <v>0</v>
      </c>
    </row>
    <row r="48" spans="1:33" ht="13.65" customHeight="1">
      <c r="A48" s="1074">
        <v>32</v>
      </c>
      <c r="B48" s="1779"/>
      <c r="C48" s="1076" t="s">
        <v>153</v>
      </c>
      <c r="D48" s="1077"/>
      <c r="E48" s="1077"/>
      <c r="F48" s="1077"/>
      <c r="G48" s="1078"/>
      <c r="H48" s="1078"/>
      <c r="I48" s="1077"/>
      <c r="J48" s="1077"/>
      <c r="K48" s="1077"/>
      <c r="L48" s="1077"/>
      <c r="M48" s="1077"/>
      <c r="N48" s="1077"/>
      <c r="O48" s="1077"/>
      <c r="P48" s="1079">
        <f>INDEX('05月提成-武侯售后'!I:I,MATCH(C48,'05月提成-武侯售后'!C:C,0))</f>
        <v>980</v>
      </c>
      <c r="Q48" s="1079">
        <f>INDEX('05月提成-武侯售后'!J:J,MATCH(C48,'05月提成-武侯售后'!C:C,0))</f>
        <v>0</v>
      </c>
      <c r="R48" s="1079">
        <f>INDEX('05基本'!O:O,MATCH(C48,'05基本'!C:C,0))+INDEX('05基本'!N:N,MATCH(C48,'05基本'!C:C,0))</f>
        <v>0</v>
      </c>
      <c r="S48" s="1079">
        <f>INDEX('05月提成-武侯售后'!D:D,MATCH(C48,'05月提成-武侯售后'!C:C,0))</f>
        <v>80</v>
      </c>
      <c r="T48" s="1108">
        <v>0.4</v>
      </c>
      <c r="U48" s="1108"/>
      <c r="V48" s="1079"/>
      <c r="W48" s="1088">
        <f t="shared" si="18"/>
        <v>3089.6812749999999</v>
      </c>
      <c r="X48" s="1109"/>
      <c r="Y48" s="1062">
        <f t="shared" si="19"/>
        <v>4069.6812749999999</v>
      </c>
      <c r="Z48" s="1062">
        <f>SUMIF('05月提成-武侯售后'!C:C,C48,'05月提成-武侯售后'!K:K)-W48</f>
        <v>0</v>
      </c>
    </row>
    <row r="49" spans="1:37" ht="13.65" customHeight="1">
      <c r="A49" s="1074">
        <v>33</v>
      </c>
      <c r="B49" s="1779"/>
      <c r="C49" s="1076" t="s">
        <v>157</v>
      </c>
      <c r="D49" s="1077"/>
      <c r="E49" s="1077"/>
      <c r="F49" s="1077"/>
      <c r="G49" s="1078"/>
      <c r="H49" s="1078"/>
      <c r="I49" s="1077"/>
      <c r="J49" s="1077"/>
      <c r="K49" s="1077"/>
      <c r="L49" s="1077"/>
      <c r="M49" s="1077"/>
      <c r="N49" s="1077"/>
      <c r="O49" s="1077"/>
      <c r="P49" s="1079">
        <f>INDEX('05月提成-武侯售后'!I:I,MATCH(C49,'05月提成-武侯售后'!C:C,0))</f>
        <v>960</v>
      </c>
      <c r="Q49" s="1079">
        <f>INDEX('05月提成-武侯售后'!J:J,MATCH(C49,'05月提成-武侯售后'!C:C,0))</f>
        <v>0</v>
      </c>
      <c r="R49" s="1079">
        <f>INDEX('05基本'!O:O,MATCH(C49,'05基本'!C:C,0))+INDEX('05基本'!N:N,MATCH(C49,'05基本'!C:C,0))</f>
        <v>30</v>
      </c>
      <c r="S49" s="1079">
        <f>INDEX('05月提成-武侯售后'!D:D,MATCH(C49,'05月提成-武侯售后'!C:C,0))</f>
        <v>90</v>
      </c>
      <c r="T49" s="1108">
        <v>0.3</v>
      </c>
      <c r="U49" s="1108"/>
      <c r="V49" s="1079"/>
      <c r="W49" s="1088">
        <f t="shared" si="18"/>
        <v>2092.2609562500002</v>
      </c>
      <c r="X49" s="1109"/>
      <c r="Y49" s="1062">
        <f t="shared" si="19"/>
        <v>3052.2609562500002</v>
      </c>
      <c r="Z49" s="1062">
        <f>SUMIF('05月提成-武侯售后'!C:C,C49,'05月提成-武侯售后'!K:K)-W49</f>
        <v>0</v>
      </c>
    </row>
    <row r="50" spans="1:37" s="1060" customFormat="1" ht="13.65" customHeight="1">
      <c r="A50" s="1074">
        <v>34</v>
      </c>
      <c r="B50" s="1779"/>
      <c r="C50" s="1076" t="s">
        <v>155</v>
      </c>
      <c r="D50" s="1110"/>
      <c r="E50" s="1110"/>
      <c r="F50" s="1110"/>
      <c r="G50" s="1111"/>
      <c r="H50" s="1111"/>
      <c r="I50" s="1110"/>
      <c r="J50" s="1110"/>
      <c r="K50" s="1110"/>
      <c r="L50" s="1110"/>
      <c r="M50" s="1110"/>
      <c r="N50" s="1110"/>
      <c r="O50" s="1110"/>
      <c r="P50" s="1112">
        <f>INDEX('05月提成-武侯售后'!I:I,MATCH(C50,'05月提成-武侯售后'!C:C,0))</f>
        <v>970</v>
      </c>
      <c r="Q50" s="1112">
        <f>INDEX('05月提成-武侯售后'!J:J,MATCH(C50,'05月提成-武侯售后'!C:C,0))</f>
        <v>0</v>
      </c>
      <c r="R50" s="1112">
        <f>INDEX('05基本'!O:O,MATCH(C50,'05基本'!C:C,0))+INDEX('05基本'!N:N,MATCH(C50,'05基本'!C:C,0))</f>
        <v>0</v>
      </c>
      <c r="S50" s="1112">
        <f>INDEX('05月提成-武侯售后'!D:D,MATCH(C50,'05月提成-武侯售后'!C:C,0))</f>
        <v>70</v>
      </c>
      <c r="T50" s="1113">
        <v>0.72</v>
      </c>
      <c r="U50" s="1113"/>
      <c r="V50" s="1112"/>
      <c r="W50" s="1114">
        <f t="shared" si="18"/>
        <v>6281.4262950000002</v>
      </c>
      <c r="Y50" s="1115">
        <f t="shared" si="19"/>
        <v>7251.4262950000002</v>
      </c>
      <c r="Z50" s="1062">
        <f>SUMIF('05月提成-武侯售后'!C:C,C50,'05月提成-武侯售后'!K:K)-W50</f>
        <v>0</v>
      </c>
      <c r="AA50" s="1115"/>
      <c r="AB50" s="1115"/>
      <c r="AC50" s="1115"/>
      <c r="AD50" s="1115"/>
      <c r="AE50" s="1115"/>
      <c r="AF50" s="1115"/>
      <c r="AG50" s="1115"/>
    </row>
    <row r="51" spans="1:37" s="1060" customFormat="1" ht="13.65" customHeight="1">
      <c r="A51" s="1074">
        <v>35</v>
      </c>
      <c r="B51" s="1779"/>
      <c r="C51" s="1076" t="s">
        <v>158</v>
      </c>
      <c r="D51" s="1110"/>
      <c r="E51" s="1110"/>
      <c r="F51" s="1110"/>
      <c r="G51" s="1111"/>
      <c r="H51" s="1111"/>
      <c r="I51" s="1110"/>
      <c r="J51" s="1110"/>
      <c r="K51" s="1110"/>
      <c r="L51" s="1110"/>
      <c r="M51" s="1110"/>
      <c r="N51" s="1110"/>
      <c r="O51" s="1110"/>
      <c r="P51" s="1112">
        <f>INDEX('05月提成-武侯售后'!I:I,MATCH(C51,'05月提成-武侯售后'!C:C,0))</f>
        <v>980</v>
      </c>
      <c r="Q51" s="1116">
        <f>INDEX('05月提成-武侯售后'!J:J,MATCH(C51,'05月提成-武侯售后'!C:C,0))</f>
        <v>0</v>
      </c>
      <c r="R51" s="1116">
        <f>INDEX('05基本'!O:O,MATCH(C51,'05基本'!C:C,0))+INDEX('05基本'!N:N,MATCH(C51,'05基本'!C:C,0))</f>
        <v>0</v>
      </c>
      <c r="S51" s="1112">
        <f>INDEX('05月提成-武侯售后'!D:D,MATCH(C51,'05月提成-武侯售后'!C:C,0))</f>
        <v>80</v>
      </c>
      <c r="T51" s="1113">
        <v>0.45</v>
      </c>
      <c r="U51" s="1113"/>
      <c r="V51" s="1112"/>
      <c r="W51" s="1114">
        <f t="shared" si="18"/>
        <v>3588.3914343749998</v>
      </c>
      <c r="X51" s="1109"/>
      <c r="Y51" s="1115">
        <f t="shared" si="19"/>
        <v>4568.3914343750002</v>
      </c>
      <c r="Z51" s="1062">
        <f>SUMIF('05月提成-武侯售后'!C:C,C51,'05月提成-武侯售后'!K:K)-W51</f>
        <v>0</v>
      </c>
      <c r="AA51" s="1115"/>
      <c r="AB51" s="1115"/>
      <c r="AC51" s="1115"/>
      <c r="AD51" s="1115"/>
      <c r="AE51" s="1115"/>
      <c r="AF51" s="1115"/>
      <c r="AG51" s="1115"/>
    </row>
    <row r="52" spans="1:37" s="1061" customFormat="1" ht="13.65" customHeight="1">
      <c r="A52" s="1074">
        <v>36</v>
      </c>
      <c r="B52" s="1779"/>
      <c r="C52" s="1076" t="s">
        <v>160</v>
      </c>
      <c r="D52" s="1117"/>
      <c r="E52" s="1117"/>
      <c r="F52" s="1117"/>
      <c r="G52" s="1118"/>
      <c r="H52" s="1118"/>
      <c r="I52" s="1117"/>
      <c r="J52" s="1117"/>
      <c r="K52" s="1117"/>
      <c r="L52" s="1117"/>
      <c r="M52" s="1117"/>
      <c r="N52" s="1117"/>
      <c r="O52" s="1117"/>
      <c r="P52" s="1112">
        <f>INDEX('05月提成-武侯售后'!I:I,MATCH(C52,'05月提成-武侯售后'!C:C,0))</f>
        <v>980</v>
      </c>
      <c r="Q52" s="1116">
        <f>INDEX('05月提成-武侯售后'!J:J,MATCH(C52,'05月提成-武侯售后'!C:C,0))</f>
        <v>0</v>
      </c>
      <c r="R52" s="1116">
        <f>INDEX('05基本'!O:O,MATCH(C52,'05基本'!C:C,0))+INDEX('05基本'!N:N,MATCH(C52,'05基本'!C:C,0))</f>
        <v>0</v>
      </c>
      <c r="S52" s="1112">
        <f>INDEX('05月提成-武侯售后'!D:D,MATCH(C52,'05月提成-武侯售后'!C:C,0))</f>
        <v>80</v>
      </c>
      <c r="T52" s="1119">
        <v>0.7</v>
      </c>
      <c r="U52" s="1113"/>
      <c r="V52" s="1116"/>
      <c r="W52" s="1114">
        <f t="shared" si="18"/>
        <v>6081.9422312500001</v>
      </c>
      <c r="X52" s="1120"/>
      <c r="Y52" s="1121">
        <f t="shared" si="19"/>
        <v>7061.9422312500001</v>
      </c>
      <c r="Z52" s="1062">
        <f>SUMIF('05月提成-武侯售后'!C:C,C52,'05月提成-武侯售后'!K:K)-W52</f>
        <v>0</v>
      </c>
      <c r="AA52" s="1121"/>
      <c r="AB52" s="1122"/>
      <c r="AC52" s="1122"/>
      <c r="AD52" s="1122"/>
      <c r="AE52" s="1122"/>
      <c r="AF52" s="1122"/>
      <c r="AG52" s="1122"/>
    </row>
    <row r="53" spans="1:37" ht="14.1" customHeight="1">
      <c r="A53" s="1074"/>
      <c r="B53" s="1779"/>
      <c r="C53" s="1081" t="s">
        <v>179</v>
      </c>
      <c r="D53" s="1082">
        <f>INDEX('5月车间产值'!L:L,MATCH(C53,'5月车间产值'!B:B,0))</f>
        <v>2916</v>
      </c>
      <c r="E53" s="1082">
        <f>INDEX('5月车间产值'!F:F,MATCH(C53,'5月车间产值'!B:B,0))</f>
        <v>253661.37</v>
      </c>
      <c r="F53" s="1082">
        <f>INDEX('5月车间产值'!N:N,MATCH(C53,'5月车间产值'!B:B,0))</f>
        <v>4597.5</v>
      </c>
      <c r="G53" s="1123">
        <v>0.28999999999999998</v>
      </c>
      <c r="H53" s="1123">
        <v>0.28999999999999998</v>
      </c>
      <c r="I53" s="1082">
        <f>((D53-F53)*G53+E53*H53)*0.95</f>
        <v>69420.454184999995</v>
      </c>
      <c r="J53" s="1082">
        <f>INDEX('5月车间产值'!T:T,MATCH(C53,'5月车间产值'!B:B,0))</f>
        <v>12372</v>
      </c>
      <c r="K53" s="1082"/>
      <c r="L53" s="1082">
        <f>J53*0.95*K53</f>
        <v>0</v>
      </c>
      <c r="M53" s="1107">
        <f>INDEX('5月车间产值'!U:U,MATCH(C53,'5月车间产值'!B:B,0))*0.07+INDEX('5月车间产值'!V:V,MATCH(C53,'5月车间产值'!B:B,0))</f>
        <v>0</v>
      </c>
      <c r="N53" s="1082">
        <f>SUMIFS(综合考核!AZ:AZ,综合考核!AX:AX,'05月车间提成'!C53)</f>
        <v>0</v>
      </c>
      <c r="O53" s="1124">
        <f>I53+L53+M53+N53</f>
        <v>69420.454184999995</v>
      </c>
      <c r="P53" s="1082">
        <f>SUM(P42:P52)</f>
        <v>10840</v>
      </c>
      <c r="Q53" s="1082">
        <f t="shared" ref="Q53:X53" si="20">SUM(Q42:Q52)</f>
        <v>0</v>
      </c>
      <c r="R53" s="1082">
        <f t="shared" si="20"/>
        <v>130</v>
      </c>
      <c r="S53" s="1082">
        <f t="shared" si="20"/>
        <v>870</v>
      </c>
      <c r="T53" s="1082">
        <f t="shared" si="20"/>
        <v>6.96</v>
      </c>
      <c r="U53" s="1082">
        <f t="shared" si="20"/>
        <v>0</v>
      </c>
      <c r="V53" s="1082">
        <f t="shared" si="20"/>
        <v>0</v>
      </c>
      <c r="W53" s="1082">
        <f t="shared" si="20"/>
        <v>59320.454185000002</v>
      </c>
      <c r="X53" s="1082">
        <f t="shared" si="20"/>
        <v>0</v>
      </c>
      <c r="Y53" s="1121">
        <f t="shared" ref="Y53:Y62" si="21">W53+P53</f>
        <v>70160.454184999995</v>
      </c>
      <c r="Z53" s="1062">
        <f>SUMIF('05月提成-武侯售后'!C:C,C53,'05月提成-武侯售后'!K:K)-W53</f>
        <v>0</v>
      </c>
    </row>
    <row r="54" spans="1:37" ht="13.65" customHeight="1">
      <c r="A54" s="1074">
        <v>37</v>
      </c>
      <c r="B54" s="1779" t="s">
        <v>180</v>
      </c>
      <c r="C54" s="1076" t="s">
        <v>162</v>
      </c>
      <c r="D54" s="1077"/>
      <c r="E54" s="1077"/>
      <c r="F54" s="1077"/>
      <c r="G54" s="1078"/>
      <c r="H54" s="1078"/>
      <c r="I54" s="1077"/>
      <c r="J54" s="1077"/>
      <c r="K54" s="1077"/>
      <c r="L54" s="1077"/>
      <c r="M54" s="1077"/>
      <c r="N54" s="1077"/>
      <c r="O54" s="1077"/>
      <c r="P54" s="1079">
        <f>INDEX('05月提成-武侯售后'!I:I,MATCH(C54,'05月提成-武侯售后'!C:C,0))</f>
        <v>1170</v>
      </c>
      <c r="Q54" s="1079">
        <f>INDEX('05月提成-武侯售后'!J:J,MATCH(C54,'05月提成-武侯售后'!C:C,0))</f>
        <v>0</v>
      </c>
      <c r="R54" s="1079">
        <f>INDEX('05基本'!O:O,MATCH(C54,'05基本'!C:C,0))+INDEX('05基本'!N:N,MATCH(C54,'05基本'!C:C,0))</f>
        <v>0</v>
      </c>
      <c r="S54" s="1079">
        <f>INDEX('05月提成-武侯售后'!D:D,MATCH(C54,'05月提成-武侯售后'!C:C,0))</f>
        <v>70</v>
      </c>
      <c r="T54" s="1125">
        <v>1</v>
      </c>
      <c r="U54" s="1077"/>
      <c r="V54" s="1079"/>
      <c r="W54" s="1094">
        <f>$O$63/$T$63*T54-R54-P54+Q54+S54+U54+V54</f>
        <v>7545.2453195610096</v>
      </c>
      <c r="X54" s="1101"/>
      <c r="Y54" s="1121">
        <f t="shared" si="21"/>
        <v>8715.2453195610105</v>
      </c>
      <c r="Z54" s="1062">
        <f>SUMIF('05月提成-武侯售后'!C:C,C54,'05月提成-武侯售后'!K:K)-W54</f>
        <v>0</v>
      </c>
      <c r="AA54" s="39" t="s">
        <v>170</v>
      </c>
      <c r="AB54" s="568"/>
      <c r="AC54" s="568">
        <v>31.5</v>
      </c>
      <c r="AD54" s="1062">
        <v>23.1</v>
      </c>
      <c r="AE54" s="1062">
        <v>7.7</v>
      </c>
      <c r="AF54" s="1062">
        <v>7.7</v>
      </c>
      <c r="AG54" s="1062">
        <v>237</v>
      </c>
      <c r="AK54" s="1066">
        <v>7465.5</v>
      </c>
    </row>
    <row r="55" spans="1:37" ht="13.65" customHeight="1">
      <c r="A55" s="1074">
        <v>38</v>
      </c>
      <c r="B55" s="1779"/>
      <c r="C55" s="1126" t="s">
        <v>163</v>
      </c>
      <c r="D55" s="1077"/>
      <c r="E55" s="1077"/>
      <c r="F55" s="1077"/>
      <c r="G55" s="1078"/>
      <c r="H55" s="1078"/>
      <c r="I55" s="1077"/>
      <c r="J55" s="1077"/>
      <c r="K55" s="1077"/>
      <c r="L55" s="1077"/>
      <c r="M55" s="1077"/>
      <c r="N55" s="1077"/>
      <c r="O55" s="1077"/>
      <c r="P55" s="1079">
        <f>INDEX('05月提成-武侯售后'!I:I,MATCH(C55,'05月提成-武侯售后'!C:C,0))</f>
        <v>970</v>
      </c>
      <c r="Q55" s="1079">
        <f>INDEX('05月提成-武侯售后'!J:J,MATCH(C55,'05月提成-武侯售后'!C:C,0))</f>
        <v>0</v>
      </c>
      <c r="R55" s="1079">
        <f>INDEX('05基本'!O:O,MATCH(C55,'05基本'!C:C,0))+INDEX('05基本'!N:N,MATCH(C55,'05基本'!C:C,0))</f>
        <v>0</v>
      </c>
      <c r="S55" s="1079">
        <f>INDEX('05月提成-武侯售后'!D:D,MATCH(C55,'05月提成-武侯售后'!C:C,0))</f>
        <v>70</v>
      </c>
      <c r="T55" s="1125">
        <v>0.83</v>
      </c>
      <c r="U55" s="1077"/>
      <c r="V55" s="1079"/>
      <c r="W55" s="1094">
        <f t="shared" ref="W55:W62" si="22">$O$63/$T$63*T55-R55-P55+Q55+S55+U55+V55</f>
        <v>6275.5536152356399</v>
      </c>
      <c r="X55" s="1101"/>
      <c r="Y55" s="1121">
        <f t="shared" si="21"/>
        <v>7245.5536152356399</v>
      </c>
      <c r="Z55" s="1062">
        <f>SUMIF('05月提成-武侯售后'!C:C,C55,'05月提成-武侯售后'!K:K)-W55</f>
        <v>0</v>
      </c>
      <c r="AA55" s="39" t="s">
        <v>430</v>
      </c>
      <c r="AB55" s="568"/>
      <c r="AC55" s="568">
        <v>31.5</v>
      </c>
      <c r="AD55" s="1062">
        <v>23.1</v>
      </c>
      <c r="AE55" s="1062">
        <v>7.7</v>
      </c>
      <c r="AF55" s="1062">
        <v>7.7</v>
      </c>
      <c r="AI55" s="1066">
        <v>910</v>
      </c>
      <c r="AK55" s="1066">
        <v>7007</v>
      </c>
    </row>
    <row r="56" spans="1:37" ht="13.65" customHeight="1">
      <c r="A56" s="1074">
        <v>39</v>
      </c>
      <c r="B56" s="1779"/>
      <c r="C56" s="1126" t="s">
        <v>165</v>
      </c>
      <c r="D56" s="1077"/>
      <c r="E56" s="1077"/>
      <c r="F56" s="1077"/>
      <c r="G56" s="1078"/>
      <c r="H56" s="1078"/>
      <c r="I56" s="1077"/>
      <c r="J56" s="1077"/>
      <c r="K56" s="1077"/>
      <c r="L56" s="1077"/>
      <c r="M56" s="1077"/>
      <c r="N56" s="1077"/>
      <c r="O56" s="1077"/>
      <c r="P56" s="1079">
        <f>INDEX('05月提成-武侯售后'!I:I,MATCH(C56,'05月提成-武侯售后'!C:C,0))</f>
        <v>970</v>
      </c>
      <c r="Q56" s="1079">
        <f>INDEX('05月提成-武侯售后'!J:J,MATCH(C56,'05月提成-武侯售后'!C:C,0))</f>
        <v>0</v>
      </c>
      <c r="R56" s="1079">
        <f>INDEX('05基本'!O:O,MATCH(C56,'05基本'!C:C,0))+INDEX('05基本'!N:N,MATCH(C56,'05基本'!C:C,0))</f>
        <v>0</v>
      </c>
      <c r="S56" s="1079">
        <f>INDEX('05月提成-武侯售后'!D:D,MATCH(C56,'05月提成-武侯售后'!C:C,0))</f>
        <v>70</v>
      </c>
      <c r="T56" s="1127">
        <v>0.82</v>
      </c>
      <c r="U56" s="1077"/>
      <c r="V56" s="1079"/>
      <c r="W56" s="1094">
        <f t="shared" si="22"/>
        <v>6189.1011620400204</v>
      </c>
      <c r="X56" s="1101"/>
      <c r="Y56" s="1121">
        <f t="shared" si="21"/>
        <v>7159.1011620400204</v>
      </c>
      <c r="Z56" s="1062">
        <f>SUMIF('05月提成-武侯售后'!C:C,C56,'05月提成-武侯售后'!K:K)-W56</f>
        <v>0</v>
      </c>
      <c r="AA56" s="39" t="s">
        <v>163</v>
      </c>
      <c r="AB56" s="568"/>
      <c r="AC56" s="568">
        <v>31.5</v>
      </c>
      <c r="AD56" s="1062">
        <v>23.1</v>
      </c>
      <c r="AE56" s="1062">
        <v>7.7</v>
      </c>
      <c r="AF56" s="1062">
        <v>7.7</v>
      </c>
      <c r="AJ56" s="1066">
        <v>925.5</v>
      </c>
      <c r="AK56" s="1066">
        <v>7126.35</v>
      </c>
    </row>
    <row r="57" spans="1:37" ht="13.65" customHeight="1">
      <c r="A57" s="1074">
        <v>40</v>
      </c>
      <c r="B57" s="1779"/>
      <c r="C57" s="1126" t="s">
        <v>167</v>
      </c>
      <c r="D57" s="1077"/>
      <c r="E57" s="1077"/>
      <c r="F57" s="1077"/>
      <c r="G57" s="1078"/>
      <c r="H57" s="1078"/>
      <c r="I57" s="1077"/>
      <c r="J57" s="1077"/>
      <c r="K57" s="1077"/>
      <c r="L57" s="1077"/>
      <c r="M57" s="1077"/>
      <c r="N57" s="1077"/>
      <c r="O57" s="1077"/>
      <c r="P57" s="1079">
        <f>INDEX('05月提成-武侯售后'!I:I,MATCH(C57,'05月提成-武侯售后'!C:C,0))</f>
        <v>970</v>
      </c>
      <c r="Q57" s="1079">
        <f>INDEX('05月提成-武侯售后'!J:J,MATCH(C57,'05月提成-武侯售后'!C:C,0))</f>
        <v>0</v>
      </c>
      <c r="R57" s="1079">
        <f>INDEX('05基本'!O:O,MATCH(C57,'05基本'!C:C,0))+INDEX('05基本'!N:N,MATCH(C57,'05基本'!C:C,0))</f>
        <v>0</v>
      </c>
      <c r="S57" s="1079">
        <f>INDEX('05月提成-武侯售后'!D:D,MATCH(C57,'05月提成-武侯售后'!C:C,0))</f>
        <v>70</v>
      </c>
      <c r="T57" s="1127">
        <v>0.92</v>
      </c>
      <c r="U57" s="1077"/>
      <c r="V57" s="1079"/>
      <c r="W57" s="1094">
        <f t="shared" si="22"/>
        <v>7053.6256939961304</v>
      </c>
      <c r="Y57" s="1121">
        <f t="shared" si="21"/>
        <v>8023.6256939961304</v>
      </c>
      <c r="Z57" s="1062">
        <f>SUMIF('05月提成-武侯售后'!C:C,C57,'05月提成-武侯售后'!K:K)-W57</f>
        <v>0</v>
      </c>
      <c r="AA57" s="39" t="s">
        <v>431</v>
      </c>
      <c r="AB57" s="568"/>
      <c r="AC57" s="568">
        <v>31.5</v>
      </c>
      <c r="AD57" s="1062">
        <v>23.1</v>
      </c>
      <c r="AE57" s="1062">
        <v>7.7</v>
      </c>
      <c r="AF57" s="1062">
        <v>7.7</v>
      </c>
      <c r="AG57" s="1062">
        <v>55</v>
      </c>
      <c r="AH57" s="1066">
        <v>275.5</v>
      </c>
      <c r="AI57" s="1066">
        <v>55.5</v>
      </c>
      <c r="AJ57" s="1066">
        <v>40</v>
      </c>
      <c r="AK57" s="1066">
        <v>8831.9</v>
      </c>
    </row>
    <row r="58" spans="1:37" ht="13.65" customHeight="1">
      <c r="A58" s="1074">
        <v>41</v>
      </c>
      <c r="B58" s="1779"/>
      <c r="C58" s="1126" t="s">
        <v>168</v>
      </c>
      <c r="D58" s="1077"/>
      <c r="E58" s="1077"/>
      <c r="F58" s="1077"/>
      <c r="G58" s="1078"/>
      <c r="H58" s="1078"/>
      <c r="I58" s="1077"/>
      <c r="J58" s="1077"/>
      <c r="K58" s="1077"/>
      <c r="L58" s="1077"/>
      <c r="M58" s="1077"/>
      <c r="N58" s="1077"/>
      <c r="O58" s="1077"/>
      <c r="P58" s="1079">
        <f>INDEX('05月提成-武侯售后'!I:I,MATCH(C58,'05月提成-武侯售后'!C:C,0))</f>
        <v>960</v>
      </c>
      <c r="Q58" s="1079">
        <f>INDEX('05月提成-武侯售后'!J:J,MATCH(C58,'05月提成-武侯售后'!C:C,0))</f>
        <v>0</v>
      </c>
      <c r="R58" s="1079">
        <f>INDEX('05基本'!O:O,MATCH(C58,'05基本'!C:C,0))+INDEX('05基本'!N:N,MATCH(C58,'05基本'!C:C,0))</f>
        <v>0</v>
      </c>
      <c r="S58" s="1079">
        <f>INDEX('05月提成-武侯售后'!D:D,MATCH(C58,'05月提成-武侯售后'!C:C,0))</f>
        <v>60</v>
      </c>
      <c r="T58" s="1125">
        <v>0.9</v>
      </c>
      <c r="U58" s="1077"/>
      <c r="V58" s="1079"/>
      <c r="W58" s="1094">
        <f t="shared" si="22"/>
        <v>6880.7207876049097</v>
      </c>
      <c r="X58" s="1101"/>
      <c r="Y58" s="1121">
        <f t="shared" si="21"/>
        <v>7840.7207876049097</v>
      </c>
      <c r="Z58" s="1062">
        <f>SUMIF('05月提成-武侯售后'!C:C,C58,'05月提成-武侯售后'!K:K)-W58</f>
        <v>0</v>
      </c>
      <c r="AA58" s="39" t="s">
        <v>165</v>
      </c>
      <c r="AB58" s="568"/>
      <c r="AC58" s="568">
        <v>31.5</v>
      </c>
      <c r="AD58" s="1062">
        <v>23.1</v>
      </c>
      <c r="AE58" s="1062">
        <v>7.7</v>
      </c>
      <c r="AF58" s="1062">
        <v>7.7</v>
      </c>
      <c r="AG58" s="1062">
        <v>226</v>
      </c>
      <c r="AK58" s="1066">
        <v>7119</v>
      </c>
    </row>
    <row r="59" spans="1:37" ht="13.65" customHeight="1">
      <c r="A59" s="1074">
        <v>42</v>
      </c>
      <c r="B59" s="1779"/>
      <c r="C59" s="1126" t="s">
        <v>170</v>
      </c>
      <c r="D59" s="1077"/>
      <c r="E59" s="1077"/>
      <c r="F59" s="1077"/>
      <c r="G59" s="1078"/>
      <c r="H59" s="1078"/>
      <c r="I59" s="1077"/>
      <c r="J59" s="1077"/>
      <c r="K59" s="1077"/>
      <c r="L59" s="1077"/>
      <c r="M59" s="1077"/>
      <c r="N59" s="1077"/>
      <c r="O59" s="1077"/>
      <c r="P59" s="1079">
        <f>INDEX('05月提成-武侯售后'!I:I,MATCH(C59,'05月提成-武侯售后'!C:C,0))</f>
        <v>970</v>
      </c>
      <c r="Q59" s="1079">
        <f>INDEX('05月提成-武侯售后'!J:J,MATCH(C59,'05月提成-武侯售后'!C:C,0))</f>
        <v>0</v>
      </c>
      <c r="R59" s="1079">
        <f>INDEX('05基本'!O:O,MATCH(C59,'05基本'!C:C,0))+INDEX('05基本'!N:N,MATCH(C59,'05基本'!C:C,0))</f>
        <v>0</v>
      </c>
      <c r="S59" s="1079">
        <f>INDEX('05月提成-武侯售后'!D:D,MATCH(C59,'05月提成-武侯售后'!C:C,0))</f>
        <v>70</v>
      </c>
      <c r="T59" s="1127">
        <v>0.86</v>
      </c>
      <c r="U59" s="1077"/>
      <c r="V59" s="1079"/>
      <c r="W59" s="1094">
        <f t="shared" si="22"/>
        <v>6534.9109748224701</v>
      </c>
      <c r="X59" s="1101"/>
      <c r="Y59" s="1121">
        <f t="shared" si="21"/>
        <v>7504.9109748224701</v>
      </c>
      <c r="Z59" s="1062">
        <f>SUMIF('05月提成-武侯售后'!C:C,C59,'05月提成-武侯售后'!K:K)-W59</f>
        <v>0</v>
      </c>
      <c r="AA59" s="39" t="s">
        <v>167</v>
      </c>
      <c r="AB59" s="568"/>
      <c r="AC59" s="568">
        <v>31.5</v>
      </c>
      <c r="AD59" s="1062">
        <v>23.1</v>
      </c>
      <c r="AE59" s="1062">
        <v>7.7</v>
      </c>
      <c r="AF59" s="1062">
        <v>7.7</v>
      </c>
      <c r="AH59" s="1066">
        <v>350</v>
      </c>
      <c r="AK59" s="1066">
        <v>8085</v>
      </c>
    </row>
    <row r="60" spans="1:37" ht="13.65" customHeight="1">
      <c r="A60" s="1074">
        <v>43</v>
      </c>
      <c r="B60" s="1779"/>
      <c r="C60" s="1126" t="s">
        <v>171</v>
      </c>
      <c r="D60" s="1077"/>
      <c r="E60" s="1077"/>
      <c r="F60" s="1077"/>
      <c r="G60" s="1078"/>
      <c r="H60" s="1078"/>
      <c r="I60" s="1077"/>
      <c r="J60" s="1077"/>
      <c r="K60" s="1077"/>
      <c r="L60" s="1077"/>
      <c r="M60" s="1077"/>
      <c r="N60" s="1077"/>
      <c r="O60" s="1077"/>
      <c r="P60" s="1079">
        <f>INDEX('05月提成-武侯售后'!I:I,MATCH(C60,'05月提成-武侯售后'!C:C,0))</f>
        <v>950</v>
      </c>
      <c r="Q60" s="1079">
        <f>INDEX('05月提成-武侯售后'!J:J,MATCH(C60,'05月提成-武侯售后'!C:C,0))</f>
        <v>0</v>
      </c>
      <c r="R60" s="1079">
        <f>INDEX('05基本'!O:O,MATCH(C60,'05基本'!C:C,0))+INDEX('05基本'!N:N,MATCH(C60,'05基本'!C:C,0))</f>
        <v>0</v>
      </c>
      <c r="S60" s="1079">
        <f>INDEX('05月提成-武侯售后'!D:D,MATCH(C60,'05月提成-武侯售后'!C:C,0))</f>
        <v>50</v>
      </c>
      <c r="T60" s="1125">
        <v>0.81</v>
      </c>
      <c r="U60" s="1077"/>
      <c r="V60" s="1079"/>
      <c r="W60" s="1094">
        <f t="shared" si="22"/>
        <v>6102.6487088444201</v>
      </c>
      <c r="X60" s="1101"/>
      <c r="Y60" s="1121">
        <f t="shared" si="21"/>
        <v>7052.6487088444201</v>
      </c>
      <c r="Z60" s="1062">
        <f>SUMIF('05月提成-武侯售后'!C:C,C60,'05月提成-武侯售后'!K:K)-W60</f>
        <v>0</v>
      </c>
      <c r="AA60" s="571" t="s">
        <v>168</v>
      </c>
      <c r="AB60" s="568"/>
      <c r="AC60" s="568">
        <v>31.5</v>
      </c>
      <c r="AD60" s="1062">
        <v>23.1</v>
      </c>
      <c r="AE60" s="1062">
        <v>7.7</v>
      </c>
      <c r="AF60" s="1062">
        <v>7.7</v>
      </c>
      <c r="AH60" s="1066">
        <v>340</v>
      </c>
      <c r="AK60" s="1066">
        <v>7854</v>
      </c>
    </row>
    <row r="61" spans="1:37" ht="13.65" customHeight="1">
      <c r="A61" s="1074">
        <v>44</v>
      </c>
      <c r="B61" s="1779"/>
      <c r="C61" s="1084" t="s">
        <v>173</v>
      </c>
      <c r="D61" s="1077"/>
      <c r="E61" s="1077"/>
      <c r="F61" s="1077"/>
      <c r="G61" s="1078"/>
      <c r="H61" s="1078"/>
      <c r="I61" s="1077"/>
      <c r="J61" s="1077"/>
      <c r="K61" s="1077"/>
      <c r="L61" s="1077"/>
      <c r="M61" s="1077"/>
      <c r="N61" s="1077"/>
      <c r="O61" s="1077"/>
      <c r="P61" s="1079">
        <f>INDEX('05月提成-武侯售后'!I:I,MATCH(C61,'05月提成-武侯售后'!C:C,0))</f>
        <v>970</v>
      </c>
      <c r="Q61" s="1079">
        <f>INDEX('05月提成-武侯售后'!J:J,MATCH(C61,'05月提成-武侯售后'!C:C,0))</f>
        <v>0</v>
      </c>
      <c r="R61" s="1079">
        <f>INDEX('05基本'!O:O,MATCH(C61,'05基本'!C:C,0))+INDEX('05基本'!N:N,MATCH(C61,'05基本'!C:C,0))</f>
        <v>0</v>
      </c>
      <c r="S61" s="1079">
        <f>INDEX('05月提成-武侯售后'!D:D,MATCH(C61,'05月提成-武侯售后'!C:C,0))</f>
        <v>70</v>
      </c>
      <c r="T61" s="1125">
        <v>0.82499999999999996</v>
      </c>
      <c r="U61" s="1077"/>
      <c r="V61" s="1079"/>
      <c r="W61" s="1128">
        <f t="shared" si="22"/>
        <v>6232.3273886378302</v>
      </c>
      <c r="X61" s="1101"/>
      <c r="Y61" s="1121">
        <f t="shared" si="21"/>
        <v>7202.3273886378302</v>
      </c>
      <c r="Z61" s="1062">
        <f>SUMIF('05月提成-武侯售后'!C:C,C61,'05月提成-武侯售后'!K:K)-W61</f>
        <v>0</v>
      </c>
      <c r="AA61" s="39" t="s">
        <v>432</v>
      </c>
      <c r="AB61" s="568"/>
      <c r="AC61" s="568">
        <v>31.5</v>
      </c>
      <c r="AD61" s="1062">
        <v>23.1</v>
      </c>
      <c r="AE61" s="1062">
        <v>7.7</v>
      </c>
      <c r="AF61" s="1062">
        <v>7.7</v>
      </c>
      <c r="AG61" s="1062">
        <v>229</v>
      </c>
      <c r="AK61" s="1066">
        <v>7213.5</v>
      </c>
    </row>
    <row r="62" spans="1:37" ht="13.65" customHeight="1">
      <c r="A62" s="1074">
        <v>45</v>
      </c>
      <c r="B62" s="1779"/>
      <c r="C62" s="1084" t="s">
        <v>175</v>
      </c>
      <c r="D62" s="1077"/>
      <c r="E62" s="1077"/>
      <c r="F62" s="1077"/>
      <c r="G62" s="1078"/>
      <c r="H62" s="1078"/>
      <c r="I62" s="1077"/>
      <c r="J62" s="1077"/>
      <c r="K62" s="1077"/>
      <c r="L62" s="1077"/>
      <c r="M62" s="1077"/>
      <c r="N62" s="1077"/>
      <c r="O62" s="1077"/>
      <c r="P62" s="1079">
        <f>INDEX('05月提成-武侯售后'!I:I,MATCH(C62,'05月提成-武侯售后'!C:C,0))</f>
        <v>970</v>
      </c>
      <c r="Q62" s="1079">
        <f>INDEX('05月提成-武侯售后'!J:J,MATCH(C62,'05月提成-武侯售后'!C:C,0))</f>
        <v>0</v>
      </c>
      <c r="R62" s="1079">
        <f>INDEX('05基本'!O:O,MATCH(C62,'05基本'!C:C,0))+INDEX('05基本'!N:N,MATCH(C62,'05基本'!C:C,0))</f>
        <v>0</v>
      </c>
      <c r="S62" s="1079">
        <f>INDEX('05月提成-武侯售后'!D:D,MATCH(C62,'05月提成-武侯售后'!C:C,0))</f>
        <v>70</v>
      </c>
      <c r="T62" s="1125">
        <v>0.78</v>
      </c>
      <c r="U62" s="1077"/>
      <c r="V62" s="1079"/>
      <c r="W62" s="1128">
        <f t="shared" si="22"/>
        <v>5843.2913492575899</v>
      </c>
      <c r="X62" s="1101"/>
      <c r="Y62" s="1121">
        <f t="shared" si="21"/>
        <v>6813.2913492575899</v>
      </c>
      <c r="Z62" s="1062">
        <f>SUMIF('05月提成-武侯售后'!C:C,C62,'05月提成-武侯售后'!K:K)-W62</f>
        <v>0</v>
      </c>
      <c r="AA62" s="39" t="s">
        <v>175</v>
      </c>
      <c r="AB62" s="568"/>
      <c r="AC62" s="568">
        <v>31.5</v>
      </c>
      <c r="AD62" s="1062">
        <v>23.1</v>
      </c>
      <c r="AE62" s="1062">
        <v>7.7</v>
      </c>
      <c r="AF62" s="1062">
        <v>7.7</v>
      </c>
      <c r="AG62" s="1062">
        <v>218.5</v>
      </c>
      <c r="AK62" s="1066">
        <v>6882.75</v>
      </c>
    </row>
    <row r="63" spans="1:37" ht="24">
      <c r="A63" s="1074"/>
      <c r="B63" s="1779"/>
      <c r="C63" s="1081" t="s">
        <v>376</v>
      </c>
      <c r="D63" s="1082">
        <f>INDEX('5月车间产值'!L:L,MATCH(C63,'5月车间产值'!B:B,0))</f>
        <v>5150</v>
      </c>
      <c r="E63" s="1082">
        <f>INDEX('5月车间产值'!F:F,MATCH(C63,'5月车间产值'!B:B,0))</f>
        <v>252562</v>
      </c>
      <c r="F63" s="1129">
        <f>油漆版面05月!J32</f>
        <v>965.5</v>
      </c>
      <c r="G63" s="1130">
        <f>73</f>
        <v>73</v>
      </c>
      <c r="H63" s="1131"/>
      <c r="I63" s="1082">
        <f>F63*G63*0.95</f>
        <v>66957.425000000003</v>
      </c>
      <c r="J63" s="1082">
        <f>'5月车间产值'!S17</f>
        <v>0</v>
      </c>
      <c r="K63" s="1082"/>
      <c r="L63" s="1082">
        <f>J63*0.95*K63</f>
        <v>0</v>
      </c>
      <c r="M63" s="1107">
        <f>'5月车间产值'!U17</f>
        <v>0</v>
      </c>
      <c r="N63" s="1082">
        <f>SUMIFS(综合考核!AZ:AZ,综合考核!AX:AX,'05月车间提成'!C63)</f>
        <v>0</v>
      </c>
      <c r="O63" s="1082">
        <f>I63+L63+M63+N63</f>
        <v>66957.425000000003</v>
      </c>
      <c r="P63" s="1082">
        <f>SUM(P54:P62)</f>
        <v>8900</v>
      </c>
      <c r="Q63" s="1082">
        <f>SUM(Q54:Q62)</f>
        <v>0</v>
      </c>
      <c r="R63" s="1082">
        <f>SUM(R54:R62)</f>
        <v>0</v>
      </c>
      <c r="S63" s="1082">
        <f>SUM(S54:S62)</f>
        <v>600</v>
      </c>
      <c r="T63" s="1082">
        <f>SUM(T54:T62)</f>
        <v>7.7450000000000001</v>
      </c>
      <c r="U63" s="1082">
        <f t="shared" ref="U63:Y63" si="23">SUM(U54:U62)</f>
        <v>0</v>
      </c>
      <c r="V63" s="1082">
        <f t="shared" si="23"/>
        <v>0</v>
      </c>
      <c r="W63" s="1082">
        <f t="shared" si="23"/>
        <v>58657.425000000003</v>
      </c>
      <c r="X63" s="1082">
        <f t="shared" si="23"/>
        <v>0</v>
      </c>
      <c r="Y63" s="1062">
        <f t="shared" si="23"/>
        <v>67557.425000000003</v>
      </c>
      <c r="Z63" s="1062">
        <f>SUMIF('05月提成-武侯售后'!C:C,C63,'05月提成-武侯售后'!K:K)-W63</f>
        <v>-58657.425000000003</v>
      </c>
      <c r="AA63" s="1132"/>
      <c r="AB63" s="1132"/>
      <c r="AC63" s="1132"/>
      <c r="AD63" s="1062">
        <f>AC63-AB63</f>
        <v>0</v>
      </c>
      <c r="AE63" s="1062">
        <f>AD63-AB63</f>
        <v>0</v>
      </c>
    </row>
    <row r="64" spans="1:37" ht="13.65" customHeight="1">
      <c r="A64" s="1074">
        <v>46</v>
      </c>
      <c r="B64" s="1782" t="s">
        <v>234</v>
      </c>
      <c r="C64" s="1076" t="s">
        <v>224</v>
      </c>
      <c r="D64" s="1085"/>
      <c r="E64" s="1085"/>
      <c r="F64" s="1085"/>
      <c r="G64" s="1128"/>
      <c r="H64" s="1133"/>
      <c r="I64" s="1085"/>
      <c r="J64" s="1085"/>
      <c r="K64" s="1085"/>
      <c r="L64" s="1085"/>
      <c r="M64" s="1085"/>
      <c r="N64" s="1085"/>
      <c r="O64" s="1085"/>
      <c r="P64" s="1087">
        <f>INDEX('05月提成-机场售后'!I:I,MATCH(C64,'05月提成-机场售后'!C:C,0))</f>
        <v>1140</v>
      </c>
      <c r="Q64" s="1079">
        <f>INDEX('05月提成-机场售后'!J:J,MATCH(C64,'05月提成-机场售后'!C:C,0))</f>
        <v>0</v>
      </c>
      <c r="R64" s="1079">
        <f>INDEX('05基本'!O:O,MATCH(C64,'05基本'!C:C,0))+INDEX('05基本'!N:N,MATCH(C64,'05基本'!C:C,0))</f>
        <v>0</v>
      </c>
      <c r="S64" s="1079">
        <f>INDEX('05月提成-机场售后'!D:D,MATCH(C64,'05月提成-机场售后'!C:C,0))</f>
        <v>40</v>
      </c>
      <c r="T64" s="1108">
        <v>1</v>
      </c>
      <c r="U64" s="1085"/>
      <c r="V64" s="1079"/>
      <c r="W64" s="1134">
        <f>$O$66/$T$66*T64+Q64+S64+U64+V64-P64</f>
        <v>8523.3874643874606</v>
      </c>
      <c r="X64" s="1101"/>
      <c r="Y64" s="1062">
        <f>P64+W64</f>
        <v>9663.3874643874606</v>
      </c>
      <c r="Z64" s="1062">
        <f>SUMIF('05月提成-机场售后'!C:C,C64,'05月提成-机场售后'!K:K)-W64</f>
        <v>0</v>
      </c>
      <c r="AC64" s="1062">
        <f>SUMIF(油漆版面05月!A:A,C64,油漆版面05月!L:L)</f>
        <v>0</v>
      </c>
    </row>
    <row r="65" spans="1:27" ht="13.65" customHeight="1">
      <c r="A65" s="1074">
        <v>47</v>
      </c>
      <c r="B65" s="1782"/>
      <c r="C65" s="1076" t="s">
        <v>225</v>
      </c>
      <c r="D65" s="1085"/>
      <c r="E65" s="1085"/>
      <c r="F65" s="1085"/>
      <c r="G65" s="1128"/>
      <c r="H65" s="1133"/>
      <c r="I65" s="1085"/>
      <c r="J65" s="1085"/>
      <c r="K65" s="1085"/>
      <c r="L65" s="1085"/>
      <c r="M65" s="1085"/>
      <c r="N65" s="1085"/>
      <c r="O65" s="1085"/>
      <c r="P65" s="1087">
        <f>INDEX('05月提成-机场售后'!I:I,MATCH(C65,'05月提成-机场售后'!C:C,0))</f>
        <v>930</v>
      </c>
      <c r="Q65" s="1079">
        <f>INDEX('05月提成-机场售后'!J:J,MATCH(C65,'05月提成-机场售后'!C:C,0))</f>
        <v>0</v>
      </c>
      <c r="R65" s="1079">
        <f>INDEX('05基本'!O:O,MATCH(C65,'05基本'!C:C,0))+INDEX('05基本'!N:N,MATCH(C65,'05基本'!C:C,0))</f>
        <v>0</v>
      </c>
      <c r="S65" s="1079">
        <f>INDEX('05月提成-机场售后'!D:D,MATCH(C65,'05月提成-机场售后'!C:C,0))</f>
        <v>30</v>
      </c>
      <c r="T65" s="1108">
        <v>0.755</v>
      </c>
      <c r="U65" s="1085"/>
      <c r="V65" s="1079"/>
      <c r="W65" s="1134">
        <f>$O$66/$T$66*T65+Q65+S65+U65+V65-P65</f>
        <v>6365.6575356125404</v>
      </c>
      <c r="X65" s="1101"/>
      <c r="Y65" s="1062">
        <f>P65+W65</f>
        <v>7295.6575356125404</v>
      </c>
      <c r="Z65" s="1062">
        <f>SUMIF('05月提成-机场售后'!C:C,C65,'05月提成-机场售后'!K:K)-W65</f>
        <v>0</v>
      </c>
    </row>
    <row r="66" spans="1:27" ht="13.65" customHeight="1">
      <c r="A66" s="1074"/>
      <c r="B66" s="1781"/>
      <c r="C66" s="1126" t="s">
        <v>234</v>
      </c>
      <c r="D66" s="1107">
        <f>INDEX('5月车间产值'!L:L,MATCH(C66,'5月车间产值'!B:B,0))</f>
        <v>53008</v>
      </c>
      <c r="E66" s="1107">
        <f>INDEX('5月车间产值'!F:F,MATCH(C66,'5月车间产值'!B:B,0))</f>
        <v>0</v>
      </c>
      <c r="F66" s="1107">
        <f>INDEX('5月车间产值'!N:N,MATCH(C66,'5月车间产值'!B:B,0))</f>
        <v>100</v>
      </c>
      <c r="G66" s="1135">
        <v>0.28999999999999998</v>
      </c>
      <c r="H66" s="1135">
        <v>0.33</v>
      </c>
      <c r="I66" s="1107">
        <f>((D66-F66)*G66+E66*H66)*0.95</f>
        <v>14576.154</v>
      </c>
      <c r="J66" s="1107">
        <f>INDEX('5月车间产值'!T:T,MATCH(C66,'5月车间产值'!B:B,0))</f>
        <v>84919</v>
      </c>
      <c r="K66" s="1107">
        <v>0.02</v>
      </c>
      <c r="L66" s="1107">
        <f>J66*0.95*K66</f>
        <v>1613.461</v>
      </c>
      <c r="M66" s="1107">
        <f>INDEX('5月车间产值'!U:U,MATCH(C66,'5月车间产值'!B:B,0))*0.07+INDEX('5月车间产值'!V:V,MATCH(C66,'5月车间产值'!B:B,0))</f>
        <v>503.43</v>
      </c>
      <c r="N66" s="1107">
        <f>SUMIFS(综合考核!AZ:AZ,综合考核!AX:AX,'05月车间提成'!C66)</f>
        <v>196</v>
      </c>
      <c r="O66" s="1107">
        <f>I66+L66+M66+N66</f>
        <v>16889.044999999998</v>
      </c>
      <c r="P66" s="1107">
        <f>SUM(P64:P65)</f>
        <v>2070</v>
      </c>
      <c r="Q66" s="1107">
        <f t="shared" ref="Q66:W66" si="24">SUM(Q64:Q65)</f>
        <v>0</v>
      </c>
      <c r="R66" s="1107">
        <f t="shared" si="24"/>
        <v>0</v>
      </c>
      <c r="S66" s="1107">
        <f t="shared" si="24"/>
        <v>70</v>
      </c>
      <c r="T66" s="1107">
        <f t="shared" si="24"/>
        <v>1.7549999999999999</v>
      </c>
      <c r="U66" s="1107">
        <f t="shared" si="24"/>
        <v>0</v>
      </c>
      <c r="V66" s="1107">
        <f t="shared" si="24"/>
        <v>0</v>
      </c>
      <c r="W66" s="1107">
        <f t="shared" si="24"/>
        <v>14889.045</v>
      </c>
      <c r="X66" s="1136"/>
      <c r="Y66" s="1062">
        <f>W66+P66</f>
        <v>16959.044999999998</v>
      </c>
      <c r="Z66" s="1062">
        <f>SUMIF('05月提成-机场售后'!C:C,C66,'05月提成-机场售后'!K:K)-W66</f>
        <v>-14889.045</v>
      </c>
    </row>
    <row r="67" spans="1:27" ht="13.65" customHeight="1">
      <c r="A67" s="1074">
        <v>48</v>
      </c>
      <c r="B67" s="1781" t="s">
        <v>239</v>
      </c>
      <c r="C67" s="1137" t="s">
        <v>226</v>
      </c>
      <c r="D67" s="1085"/>
      <c r="E67" s="1085"/>
      <c r="F67" s="1085"/>
      <c r="G67" s="1128"/>
      <c r="H67" s="1133"/>
      <c r="I67" s="1085"/>
      <c r="J67" s="1085"/>
      <c r="K67" s="1085"/>
      <c r="L67" s="1085"/>
      <c r="M67" s="1085"/>
      <c r="N67" s="1085"/>
      <c r="O67" s="1085"/>
      <c r="P67" s="1079">
        <f>INDEX('05月提成-机场售后'!I:I,MATCH(C67,'05月提成-机场售后'!C:C,0))</f>
        <v>1130</v>
      </c>
      <c r="Q67" s="1079">
        <f>INDEX('05月提成-机场售后'!J:J,MATCH(C67,'05月提成-机场售后'!C:C,0))</f>
        <v>0</v>
      </c>
      <c r="R67" s="1079">
        <f>INDEX('05基本'!O:O,MATCH(C67,'05基本'!C:C,0))+INDEX('05基本'!N:N,MATCH(C67,'05基本'!C:C,0))</f>
        <v>0</v>
      </c>
      <c r="S67" s="1079">
        <f>INDEX('05月提成-机场售后'!D:D,MATCH(C67,'05月提成-机场售后'!C:C,0))</f>
        <v>30</v>
      </c>
      <c r="T67" s="1108">
        <v>1</v>
      </c>
      <c r="U67" s="1085"/>
      <c r="V67" s="1079"/>
      <c r="W67" s="1134">
        <f>$O$69/$T$69*T67+Q67+S67+U67+V67-P67</f>
        <v>7944.3826923076904</v>
      </c>
      <c r="X67" s="1101"/>
      <c r="Y67" s="1062">
        <f>P67+W67</f>
        <v>9074.3826923076904</v>
      </c>
      <c r="Z67" s="1062">
        <f>SUMIF('05月提成-机场售后'!C:C,C67,'05月提成-机场售后'!K:K)-W67</f>
        <v>0</v>
      </c>
    </row>
    <row r="68" spans="1:27" ht="13.65" customHeight="1">
      <c r="A68" s="1074">
        <v>49</v>
      </c>
      <c r="B68" s="1781"/>
      <c r="C68" s="1137" t="s">
        <v>227</v>
      </c>
      <c r="D68" s="1085"/>
      <c r="E68" s="1085"/>
      <c r="F68" s="1085"/>
      <c r="G68" s="1128"/>
      <c r="H68" s="1133"/>
      <c r="I68" s="1085"/>
      <c r="J68" s="1085"/>
      <c r="K68" s="1085"/>
      <c r="L68" s="1085"/>
      <c r="M68" s="1085"/>
      <c r="N68" s="1085"/>
      <c r="O68" s="1085"/>
      <c r="P68" s="1079">
        <f>INDEX('05月提成-机场售后'!I:I,MATCH(C68,'05月提成-机场售后'!C:C,0))</f>
        <v>930</v>
      </c>
      <c r="Q68" s="1079">
        <f>INDEX('05月提成-机场售后'!J:J,MATCH(C68,'05月提成-机场售后'!C:C,0))</f>
        <v>0</v>
      </c>
      <c r="R68" s="1079">
        <f>INDEX('05基本'!O:O,MATCH(C68,'05基本'!C:C,0))+INDEX('05基本'!N:N,MATCH(C68,'05基本'!C:C,0))</f>
        <v>0</v>
      </c>
      <c r="S68" s="1079">
        <f>INDEX('05月提成-机场售后'!D:D,MATCH(C68,'05月提成-机场售后'!C:C,0))</f>
        <v>30</v>
      </c>
      <c r="T68" s="1108">
        <v>0.56000000000000005</v>
      </c>
      <c r="U68" s="1085"/>
      <c r="V68" s="1079"/>
      <c r="W68" s="1134">
        <f>$O$69/$T$69*T68+Q68+S68+U68+V68-P68</f>
        <v>4164.8543076923097</v>
      </c>
      <c r="X68" s="1101"/>
      <c r="Y68" s="1062">
        <f>P68+W68</f>
        <v>5094.8543076923097</v>
      </c>
      <c r="Z68" s="1062">
        <f>SUMIF('05月提成-机场售后'!C:C,C68,'05月提成-机场售后'!K:K)-W68</f>
        <v>0</v>
      </c>
    </row>
    <row r="69" spans="1:27" ht="24">
      <c r="A69" s="1074"/>
      <c r="B69" s="1779"/>
      <c r="C69" s="1081" t="s">
        <v>239</v>
      </c>
      <c r="D69" s="1082">
        <f>'5月车间产值'!M24</f>
        <v>46332</v>
      </c>
      <c r="E69" s="1082">
        <f>INDEX('5月车间产值'!F:F,MATCH(C69,'5月车间产值'!B:B,0))</f>
        <v>0</v>
      </c>
      <c r="F69" s="1107">
        <f>INDEX('5月车间产值'!N:N,MATCH(C69,'5月车间产值'!B:B,0))</f>
        <v>0</v>
      </c>
      <c r="G69" s="1138">
        <v>0.28999999999999998</v>
      </c>
      <c r="H69" s="1139">
        <v>0.33</v>
      </c>
      <c r="I69" s="1082">
        <f>((D69-F69)*G69+E69*H69)*0.95</f>
        <v>12764.466</v>
      </c>
      <c r="J69" s="1107">
        <f>INDEX('5月车间产值'!T:T,MATCH(C69,'5月车间产值'!B:B,0))</f>
        <v>56669</v>
      </c>
      <c r="K69" s="1082">
        <v>0.02</v>
      </c>
      <c r="L69" s="1082">
        <f>J69*0.95*K69</f>
        <v>1076.711</v>
      </c>
      <c r="M69" s="1107">
        <f>INDEX('5月车间产值'!U:U,MATCH(C69,'5月车间产值'!B:B,0))*0.07+INDEX('5月车间产值'!V:V,MATCH(C69,'5月车间产值'!B:B,0))</f>
        <v>154.06</v>
      </c>
      <c r="N69" s="1082">
        <f>SUMIFS(综合考核!AZ:AZ,综合考核!AX:AX,'05月车间提成'!C69)</f>
        <v>114</v>
      </c>
      <c r="O69" s="1082">
        <f>I69+L69+M69+N69</f>
        <v>14109.236999999999</v>
      </c>
      <c r="P69" s="1082">
        <f>SUM(P67:P68)</f>
        <v>2060</v>
      </c>
      <c r="Q69" s="1082">
        <f>SUM(Q64:Q68)</f>
        <v>0</v>
      </c>
      <c r="R69" s="1082">
        <f>SUM(R64:R68)</f>
        <v>0</v>
      </c>
      <c r="S69" s="1082">
        <f>SUM(S64:S68)</f>
        <v>200</v>
      </c>
      <c r="T69" s="1082">
        <f>SUM(T67:T68)</f>
        <v>1.56</v>
      </c>
      <c r="U69" s="1082"/>
      <c r="V69" s="1082">
        <f>SUM(V64:V68)</f>
        <v>0</v>
      </c>
      <c r="W69" s="1082">
        <f>SUM(W67:W68)</f>
        <v>12109.236999999999</v>
      </c>
      <c r="X69" s="1082">
        <f>SUM(X64:X68)</f>
        <v>0</v>
      </c>
      <c r="Z69" s="1062">
        <f>SUMIF('05月提成-机场售后'!C:C,C69,'05月提成-机场售后'!K:K)-W69</f>
        <v>0</v>
      </c>
    </row>
    <row r="70" spans="1:27" ht="13.65" customHeight="1">
      <c r="A70" s="1074">
        <v>50</v>
      </c>
      <c r="B70" s="1781" t="s">
        <v>241</v>
      </c>
      <c r="C70" s="1076" t="s">
        <v>228</v>
      </c>
      <c r="D70" s="1085"/>
      <c r="E70" s="1085"/>
      <c r="F70" s="1085"/>
      <c r="G70" s="1128"/>
      <c r="H70" s="1133"/>
      <c r="I70" s="1085"/>
      <c r="J70" s="1085"/>
      <c r="K70" s="1085"/>
      <c r="L70" s="1085"/>
      <c r="M70" s="1085"/>
      <c r="N70" s="1085"/>
      <c r="O70" s="1085"/>
      <c r="P70" s="1079">
        <f>INDEX('05月提成-机场售后'!I:I,MATCH(C70,'05月提成-机场售后'!C:C,0))</f>
        <v>1140</v>
      </c>
      <c r="Q70" s="1079">
        <f>INDEX('05月提成-机场售后'!J:J,MATCH(C70,'05月提成-机场售后'!C:C,0))</f>
        <v>0</v>
      </c>
      <c r="R70" s="1079">
        <f>INDEX('05基本'!O:O,MATCH(C70,'05基本'!C:C,0))+INDEX('05基本'!N:N,MATCH(C70,'05基本'!C:C,0))</f>
        <v>50</v>
      </c>
      <c r="S70" s="1079">
        <f>INDEX('05月提成-机场售后'!D:D,MATCH(C70,'05月提成-机场售后'!C:C,0))</f>
        <v>90</v>
      </c>
      <c r="T70" s="1108">
        <v>1</v>
      </c>
      <c r="U70" s="1085"/>
      <c r="V70" s="1079"/>
      <c r="W70" s="1134">
        <f>$O$73/$T$73*T70+Q70+S70+U70+V70-P70</f>
        <v>10181.36953125</v>
      </c>
      <c r="X70" s="1101"/>
      <c r="Y70" s="1062">
        <f>P70+W70</f>
        <v>11321.36953125</v>
      </c>
      <c r="Z70" s="1062">
        <f>SUMIF('05月提成-机场售后'!C:C,C70,'05月提成-机场售后'!K:K)-W70</f>
        <v>0</v>
      </c>
    </row>
    <row r="71" spans="1:27" ht="13.65" customHeight="1">
      <c r="A71" s="1074">
        <v>51</v>
      </c>
      <c r="B71" s="1781"/>
      <c r="C71" s="1137" t="s">
        <v>230</v>
      </c>
      <c r="D71" s="1085"/>
      <c r="E71" s="1085"/>
      <c r="F71" s="1085"/>
      <c r="G71" s="1128"/>
      <c r="H71" s="1133"/>
      <c r="I71" s="1085"/>
      <c r="J71" s="1085"/>
      <c r="K71" s="1085"/>
      <c r="L71" s="1085"/>
      <c r="M71" s="1085"/>
      <c r="N71" s="1085"/>
      <c r="O71" s="1085"/>
      <c r="P71" s="1079">
        <f>INDEX('05月提成-机场售后'!I:I,MATCH(C71,'05月提成-机场售后'!C:C,0))</f>
        <v>960</v>
      </c>
      <c r="Q71" s="1079">
        <f>INDEX('05月提成-机场售后'!J:J,MATCH(C71,'05月提成-机场售后'!C:C,0))</f>
        <v>0</v>
      </c>
      <c r="R71" s="1079">
        <f>INDEX('05基本'!O:O,MATCH(C71,'05基本'!C:C,0))+INDEX('05基本'!N:N,MATCH(C71,'05基本'!C:C,0))</f>
        <v>0</v>
      </c>
      <c r="S71" s="1079">
        <f>INDEX('05月提成-机场售后'!D:D,MATCH(C71,'05月提成-机场售后'!C:C,0))</f>
        <v>60</v>
      </c>
      <c r="T71" s="1108">
        <v>0.65</v>
      </c>
      <c r="U71" s="1085"/>
      <c r="V71" s="1079"/>
      <c r="W71" s="1134">
        <f>$O$73/$T$73*T71+Q71+S71+U71+V71-P71</f>
        <v>6400.3901953124996</v>
      </c>
      <c r="X71" s="1101"/>
      <c r="Y71" s="1062">
        <f>P71+W71</f>
        <v>7360.3901953124996</v>
      </c>
      <c r="Z71" s="1062">
        <f>SUMIF('05月提成-机场售后'!C:C,C71,'05月提成-机场售后'!K:K)-W71</f>
        <v>0</v>
      </c>
    </row>
    <row r="72" spans="1:27" ht="13.65" customHeight="1">
      <c r="A72" s="1074">
        <v>52</v>
      </c>
      <c r="B72" s="1781"/>
      <c r="C72" s="1076" t="s">
        <v>231</v>
      </c>
      <c r="D72" s="1085"/>
      <c r="E72" s="1085"/>
      <c r="F72" s="1085"/>
      <c r="G72" s="1128"/>
      <c r="H72" s="1133"/>
      <c r="I72" s="1085"/>
      <c r="J72" s="1085"/>
      <c r="K72" s="1085"/>
      <c r="L72" s="1085"/>
      <c r="M72" s="1085"/>
      <c r="N72" s="1085"/>
      <c r="O72" s="1085"/>
      <c r="P72" s="1079">
        <f>INDEX('05月提成-机场售后'!I:I,MATCH(C72,'05月提成-机场售后'!C:C,0))</f>
        <v>1000</v>
      </c>
      <c r="Q72" s="1079">
        <f>INDEX('05月提成-机场售后'!J:J,MATCH(C72,'05月提成-机场售后'!C:C,0))</f>
        <v>0</v>
      </c>
      <c r="R72" s="1079">
        <f>INDEX('05基本'!O:O,MATCH(C72,'05基本'!C:C,0))+INDEX('05基本'!N:N,MATCH(C72,'05基本'!C:C,0))</f>
        <v>0</v>
      </c>
      <c r="S72" s="1079">
        <f>INDEX('05月提成-机场售后'!D:D,MATCH(C72,'05月提成-机场售后'!C:C,0))</f>
        <v>100</v>
      </c>
      <c r="T72" s="1108">
        <v>0.91</v>
      </c>
      <c r="U72" s="1085"/>
      <c r="V72" s="1079"/>
      <c r="W72" s="1134">
        <f>$O$73/$T$73*T72+Q72+S72+U72+V72-P72</f>
        <v>9320.5462734374996</v>
      </c>
      <c r="X72" s="1101"/>
      <c r="Y72" s="1062">
        <f>P72+W72</f>
        <v>10320.5462734375</v>
      </c>
      <c r="Z72" s="1062">
        <f>SUMIF('05月提成-机场售后'!C:C,C72,'05月提成-机场售后'!K:K)-W72</f>
        <v>0</v>
      </c>
    </row>
    <row r="73" spans="1:27" ht="24">
      <c r="A73" s="1074"/>
      <c r="B73" s="1098"/>
      <c r="C73" s="1081" t="s">
        <v>241</v>
      </c>
      <c r="D73" s="1082">
        <f>'5月车间产值'!E25+'5月车间产值'!G25+'5月车间产值'!H25</f>
        <v>68308</v>
      </c>
      <c r="E73" s="1082">
        <f>INDEX('5月车间产值'!F:F,MATCH(C73,'5月车间产值'!B:B,0))</f>
        <v>22202</v>
      </c>
      <c r="F73" s="1107">
        <f>INDEX('5月车间产值'!N:N,MATCH(C73,'5月车间产值'!B:B,0))</f>
        <v>0</v>
      </c>
      <c r="G73" s="1138">
        <v>0.28999999999999998</v>
      </c>
      <c r="H73" s="1139">
        <v>0.33</v>
      </c>
      <c r="I73" s="1082">
        <f>((D73-F73)*G73+E73*H73)*0.95</f>
        <v>25779.181</v>
      </c>
      <c r="J73" s="1107">
        <f>INDEX('5月车间产值'!T:T,MATCH(C73,'5月车间产值'!B:B,0))</f>
        <v>97705</v>
      </c>
      <c r="K73" s="1082">
        <v>0.02</v>
      </c>
      <c r="L73" s="1082">
        <f>J73*0.95*K73</f>
        <v>1856.395</v>
      </c>
      <c r="M73" s="1107">
        <f>INDEX('5月车间产值'!U:U,MATCH(C73,'5月车间产值'!B:B,0))*0.07+INDEX('5月车间产值'!V:V,MATCH(C73,'5月车间产值'!B:B,0))</f>
        <v>916.73</v>
      </c>
      <c r="N73" s="1082">
        <f>SUMIFS(综合考核!AZ:AZ,综合考核!AX:AX,'05月车间提成'!C73)</f>
        <v>200</v>
      </c>
      <c r="O73" s="1082">
        <f>I73+L73+M73+N73</f>
        <v>28752.306</v>
      </c>
      <c r="P73" s="1082">
        <f>SUM(P71:P72)</f>
        <v>1960</v>
      </c>
      <c r="Q73" s="1082">
        <f>SUM(Q71:Q72)</f>
        <v>0</v>
      </c>
      <c r="R73" s="1082">
        <f>SUM(R71:R72)</f>
        <v>0</v>
      </c>
      <c r="S73" s="1082">
        <f>SUM(S71:S72)</f>
        <v>160</v>
      </c>
      <c r="T73" s="1082">
        <f>SUM(T70:T72)</f>
        <v>2.56</v>
      </c>
      <c r="U73" s="1082">
        <f>SUM(U71:U72)</f>
        <v>0</v>
      </c>
      <c r="V73" s="1082">
        <f>SUM(V71:V72)</f>
        <v>0</v>
      </c>
      <c r="W73" s="1082">
        <f>SUM(W70:W72)</f>
        <v>25902.306</v>
      </c>
      <c r="X73" s="1082">
        <f>SUM(X71:X72)</f>
        <v>0</v>
      </c>
      <c r="Z73" s="1062">
        <f>SUMIF('05月提成-机场售后'!C:C,C73,'05月提成-机场售后'!K:K)-W73</f>
        <v>0</v>
      </c>
      <c r="AA73" s="1062" t="s">
        <v>433</v>
      </c>
    </row>
    <row r="74" spans="1:27">
      <c r="A74" s="1074">
        <v>53</v>
      </c>
      <c r="B74" s="1779" t="s">
        <v>434</v>
      </c>
      <c r="C74" s="1137" t="s">
        <v>233</v>
      </c>
      <c r="D74" s="1085"/>
      <c r="E74" s="1085"/>
      <c r="F74" s="1085"/>
      <c r="G74" s="1128"/>
      <c r="H74" s="1133"/>
      <c r="I74" s="1085"/>
      <c r="J74" s="1085"/>
      <c r="K74" s="1085"/>
      <c r="L74" s="1085"/>
      <c r="M74" s="1085"/>
      <c r="N74" s="1085"/>
      <c r="O74" s="1085"/>
      <c r="P74" s="1079">
        <f>INDEX('05月提成-机场售后'!I:I,MATCH(C74,'05月提成-机场售后'!C:C,0))</f>
        <v>1500</v>
      </c>
      <c r="Q74" s="1079">
        <f>SUM(Q66:Q69)</f>
        <v>0</v>
      </c>
      <c r="R74" s="1079">
        <f>SUM(R66:R69)</f>
        <v>0</v>
      </c>
      <c r="S74" s="1079">
        <f>INDEX('05月提成-机场售后'!D:D,MATCH(C74,'05月提成-机场售后'!C:C,0))</f>
        <v>0</v>
      </c>
      <c r="T74" s="1108">
        <v>0.4</v>
      </c>
      <c r="U74" s="1085"/>
      <c r="V74" s="1079"/>
      <c r="W74" s="1134"/>
      <c r="X74" s="1101">
        <f>SUM(X66:X69)</f>
        <v>0</v>
      </c>
      <c r="Y74" s="1062">
        <f>P74+W74</f>
        <v>1500</v>
      </c>
      <c r="Z74" s="1062">
        <f>SUMIF('05月提成-机场售后'!C:C,C74,'05月提成-机场售后'!K:K)-W74</f>
        <v>7572.39</v>
      </c>
    </row>
    <row r="75" spans="1:27">
      <c r="A75" s="1074">
        <v>54</v>
      </c>
      <c r="B75" s="1779"/>
      <c r="C75" s="1137" t="s">
        <v>235</v>
      </c>
      <c r="D75" s="1085"/>
      <c r="E75" s="1085"/>
      <c r="F75" s="1085"/>
      <c r="G75" s="1128"/>
      <c r="H75" s="1133"/>
      <c r="I75" s="1085"/>
      <c r="J75" s="1085"/>
      <c r="K75" s="1085"/>
      <c r="L75" s="1085"/>
      <c r="M75" s="1085"/>
      <c r="N75" s="1085"/>
      <c r="O75" s="1085"/>
      <c r="P75" s="1079">
        <f>INDEX('05月提成-机场售后'!I:I,MATCH(C75,'05月提成-机场售后'!C:C,0))</f>
        <v>1500</v>
      </c>
      <c r="Q75" s="1079">
        <f>SUM(Q64:Q66)</f>
        <v>0</v>
      </c>
      <c r="R75" s="1079">
        <f>SUM(R64:R66)</f>
        <v>0</v>
      </c>
      <c r="S75" s="1079">
        <f>INDEX('05月提成-机场售后'!D:D,MATCH(C75,'05月提成-机场售后'!C:C,0))</f>
        <v>0</v>
      </c>
      <c r="T75" s="1108">
        <v>0.4</v>
      </c>
      <c r="U75" s="1085"/>
      <c r="V75" s="1079"/>
      <c r="W75" s="1134"/>
      <c r="X75" s="1101">
        <f>SUM(X64:X66)</f>
        <v>0</v>
      </c>
      <c r="Y75" s="1062">
        <f>P75+W75</f>
        <v>1500</v>
      </c>
      <c r="Z75" s="1062">
        <f>SUMIF('05月提成-机场售后'!C:C,C75,'05月提成-机场售后'!K:K)-W75</f>
        <v>7866</v>
      </c>
    </row>
    <row r="76" spans="1:27">
      <c r="A76" s="1074">
        <v>55</v>
      </c>
      <c r="B76" s="1779"/>
      <c r="C76" s="1137" t="s">
        <v>236</v>
      </c>
      <c r="D76" s="1085"/>
      <c r="E76" s="1085"/>
      <c r="F76" s="1085"/>
      <c r="G76" s="1128"/>
      <c r="H76" s="1133"/>
      <c r="I76" s="1085"/>
      <c r="J76" s="1085"/>
      <c r="K76" s="1085"/>
      <c r="L76" s="1085"/>
      <c r="M76" s="1085"/>
      <c r="N76" s="1085"/>
      <c r="O76" s="1085"/>
      <c r="P76" s="1079">
        <f>INDEX('05月提成-机场售后'!I:I,MATCH(C76,'05月提成-机场售后'!C:C,0))</f>
        <v>1500</v>
      </c>
      <c r="Q76" s="1079">
        <f>SUM(Q64:Q66)</f>
        <v>0</v>
      </c>
      <c r="R76" s="1079">
        <f>SUM(R64:R66)</f>
        <v>0</v>
      </c>
      <c r="S76" s="1079">
        <f>INDEX('05月提成-机场售后'!D:D,MATCH(C76,'05月提成-机场售后'!C:C,0))</f>
        <v>0</v>
      </c>
      <c r="T76" s="1108">
        <v>0.4</v>
      </c>
      <c r="U76" s="1085"/>
      <c r="V76" s="1079"/>
      <c r="W76" s="1134"/>
      <c r="X76" s="1101">
        <f>SUM(X64:X66)</f>
        <v>0</v>
      </c>
      <c r="Y76" s="1062">
        <f>P76+W76</f>
        <v>1500</v>
      </c>
      <c r="Z76" s="1062">
        <f>SUMIF('05月提成-机场售后'!C:C,C76,'05月提成-机场售后'!K:K)-W76</f>
        <v>7573.39</v>
      </c>
    </row>
    <row r="77" spans="1:27">
      <c r="A77" s="1074">
        <v>56</v>
      </c>
      <c r="B77" s="1779"/>
      <c r="C77" s="1137" t="s">
        <v>238</v>
      </c>
      <c r="D77" s="1085"/>
      <c r="E77" s="1085"/>
      <c r="F77" s="1085"/>
      <c r="G77" s="1128"/>
      <c r="H77" s="1133"/>
      <c r="I77" s="1085"/>
      <c r="J77" s="1085"/>
      <c r="K77" s="1085"/>
      <c r="L77" s="1085"/>
      <c r="M77" s="1085"/>
      <c r="N77" s="1085"/>
      <c r="O77" s="1085"/>
      <c r="P77" s="1079">
        <f>INDEX('05月提成-机场售后'!I:I,MATCH(C77,'05月提成-机场售后'!C:C,0))</f>
        <v>1500</v>
      </c>
      <c r="Q77" s="1079">
        <f>SUM(Q66:Q67)</f>
        <v>0</v>
      </c>
      <c r="R77" s="1079">
        <f>SUM(R66:R67)</f>
        <v>0</v>
      </c>
      <c r="S77" s="1079">
        <f>INDEX('05月提成-机场售后'!D:D,MATCH(C77,'05月提成-机场售后'!C:C,0))</f>
        <v>0</v>
      </c>
      <c r="T77" s="1108">
        <v>0.4</v>
      </c>
      <c r="U77" s="1085"/>
      <c r="V77" s="1079"/>
      <c r="W77" s="1134"/>
      <c r="X77" s="1101">
        <f>SUM(X66:X67)</f>
        <v>0</v>
      </c>
      <c r="Y77" s="1062">
        <f>P77+W77</f>
        <v>1500</v>
      </c>
      <c r="Z77" s="1062">
        <f>SUMIF('05月提成-机场售后'!C:C,C77,'05月提成-机场售后'!K:K)-W77</f>
        <v>6696.4333333333298</v>
      </c>
    </row>
    <row r="78" spans="1:27">
      <c r="A78" s="1074">
        <v>57</v>
      </c>
      <c r="B78" s="1779"/>
      <c r="C78" s="1137" t="s">
        <v>240</v>
      </c>
      <c r="D78" s="1085"/>
      <c r="E78" s="1085"/>
      <c r="F78" s="1085"/>
      <c r="G78" s="1128"/>
      <c r="H78" s="1133"/>
      <c r="I78" s="1085"/>
      <c r="J78" s="1085"/>
      <c r="K78" s="1085"/>
      <c r="L78" s="1085"/>
      <c r="M78" s="1085"/>
      <c r="N78" s="1085"/>
      <c r="O78" s="1085"/>
      <c r="P78" s="1079">
        <f>INDEX('05月提成-机场售后'!I:I,MATCH(C78,'05月提成-机场售后'!C:C,0))</f>
        <v>1500</v>
      </c>
      <c r="Q78" s="1079">
        <f>SUM(Q66:Q68)</f>
        <v>0</v>
      </c>
      <c r="R78" s="1079">
        <f>SUM(R66:R68)</f>
        <v>0</v>
      </c>
      <c r="S78" s="1079">
        <f>INDEX('05月提成-机场售后'!D:D,MATCH(C78,'05月提成-机场售后'!C:C,0))</f>
        <v>0</v>
      </c>
      <c r="T78" s="1108">
        <v>0.4</v>
      </c>
      <c r="U78" s="1085"/>
      <c r="V78" s="1079"/>
      <c r="W78" s="1134"/>
      <c r="X78" s="1101">
        <f>SUM(X66:X68)</f>
        <v>0</v>
      </c>
      <c r="Y78" s="1062">
        <f>P78+W78</f>
        <v>1500</v>
      </c>
      <c r="Z78" s="1062">
        <f>SUMIF('05月提成-机场售后'!C:C,C78,'05月提成-机场售后'!K:K)-W78</f>
        <v>7264.9</v>
      </c>
    </row>
    <row r="79" spans="1:27" ht="24">
      <c r="A79" s="1074"/>
      <c r="B79" s="1075"/>
      <c r="C79" s="1081" t="s">
        <v>380</v>
      </c>
      <c r="D79" s="1082">
        <f>'5月车间产值'!L26+'5月车间产值'!L27</f>
        <v>4160</v>
      </c>
      <c r="E79" s="1082">
        <f>'5月车间产值'!F26+'5月车间产值'!F27</f>
        <v>182206</v>
      </c>
      <c r="F79" s="1082">
        <f>'5月车间产值'!N26+'5月车间产值'!N27</f>
        <v>27369.119999999999</v>
      </c>
      <c r="G79" s="1123">
        <v>0.28999999999999998</v>
      </c>
      <c r="H79" s="1123">
        <v>0.28999999999999998</v>
      </c>
      <c r="I79" s="1082">
        <f>((D79-F79)*G79+E79*H79)*0.95</f>
        <v>43803.640440000003</v>
      </c>
      <c r="J79" s="1082">
        <f>INDEX('5月车间产值'!T:T,MATCH(C79,'5月车间产值'!B:B,0))</f>
        <v>3019</v>
      </c>
      <c r="K79" s="1082">
        <v>0.02</v>
      </c>
      <c r="L79" s="1082">
        <f>J79*0.95*K79</f>
        <v>57.360999999999997</v>
      </c>
      <c r="M79" s="1082">
        <f>INDEX('5月车间产值'!U:U,MATCH(C79,'5月车间产值'!B:B,0))*0.07+INDEX('5月车间产值'!V:V,MATCH(C79,'5月车间产值'!B:B,0))</f>
        <v>0</v>
      </c>
      <c r="N79" s="1082">
        <f>SUMIFS(综合考核!AZ:AZ,综合考核!AX:AX,'05月车间提成'!C79)</f>
        <v>0</v>
      </c>
      <c r="O79" s="1082">
        <f>I79+L79+M79+N79</f>
        <v>43861.00144</v>
      </c>
      <c r="P79" s="1082">
        <f>SUM(P74:P78)</f>
        <v>7500</v>
      </c>
      <c r="Q79" s="1082">
        <f t="shared" ref="Q79:X79" si="25">SUM(Q74:Q78)</f>
        <v>0</v>
      </c>
      <c r="R79" s="1082">
        <f t="shared" si="25"/>
        <v>0</v>
      </c>
      <c r="S79" s="1082">
        <f t="shared" si="25"/>
        <v>0</v>
      </c>
      <c r="T79" s="1082">
        <f t="shared" si="25"/>
        <v>2</v>
      </c>
      <c r="U79" s="1082">
        <f t="shared" si="25"/>
        <v>0</v>
      </c>
      <c r="V79" s="1082">
        <f t="shared" si="25"/>
        <v>0</v>
      </c>
      <c r="W79" s="1082">
        <f t="shared" si="25"/>
        <v>0</v>
      </c>
      <c r="X79" s="1082">
        <f t="shared" si="25"/>
        <v>0</v>
      </c>
      <c r="Z79" s="1062">
        <f>SUMIF('05月提成-机场售后'!C:C,C79,'05月提成-机场售后'!K:K)-W79</f>
        <v>0</v>
      </c>
    </row>
    <row r="80" spans="1:27">
      <c r="A80" s="1140" t="s">
        <v>311</v>
      </c>
      <c r="B80" s="1141"/>
      <c r="C80" s="1082"/>
      <c r="D80" s="1082">
        <f>D7+D10+D15+D18+D21+D29+D31+D63+D26+D13+D41+D37+D53+D69+D66+D79+D73</f>
        <v>528959</v>
      </c>
      <c r="E80" s="1082">
        <f t="shared" ref="E80:X80" si="26">E7+E10+E15+E18+E21+E29+E31+E63+E26+E13+E41+E37+E53+E69+E66+E79+E73</f>
        <v>779148.97</v>
      </c>
      <c r="F80" s="1082">
        <f t="shared" si="26"/>
        <v>37251.269999999997</v>
      </c>
      <c r="G80" s="1082">
        <f t="shared" si="26"/>
        <v>77.600000000000094</v>
      </c>
      <c r="H80" s="1082">
        <f t="shared" si="26"/>
        <v>5.2</v>
      </c>
      <c r="I80" s="1082">
        <f t="shared" si="26"/>
        <v>345887.02380000002</v>
      </c>
      <c r="J80" s="1082">
        <f t="shared" si="26"/>
        <v>689987</v>
      </c>
      <c r="K80" s="1082">
        <f t="shared" si="26"/>
        <v>0.3</v>
      </c>
      <c r="L80" s="1082">
        <f t="shared" si="26"/>
        <v>12874.684999999999</v>
      </c>
      <c r="M80" s="1082">
        <f t="shared" si="26"/>
        <v>3627.01</v>
      </c>
      <c r="N80" s="1082">
        <f t="shared" si="26"/>
        <v>1384</v>
      </c>
      <c r="O80" s="1082">
        <f t="shared" si="26"/>
        <v>363772.71879999997</v>
      </c>
      <c r="P80" s="1082">
        <f t="shared" si="26"/>
        <v>52625</v>
      </c>
      <c r="Q80" s="1082" t="e">
        <f t="shared" si="26"/>
        <v>#N/A</v>
      </c>
      <c r="R80" s="1082" t="e">
        <f t="shared" si="26"/>
        <v>#N/A</v>
      </c>
      <c r="S80" s="1082" t="e">
        <f t="shared" si="26"/>
        <v>#N/A</v>
      </c>
      <c r="T80" s="1082">
        <f t="shared" si="26"/>
        <v>38.895000000000003</v>
      </c>
      <c r="U80" s="1082">
        <f t="shared" si="26"/>
        <v>1500</v>
      </c>
      <c r="V80" s="1082">
        <f t="shared" si="26"/>
        <v>0</v>
      </c>
      <c r="W80" s="1082">
        <f>W7+W10+W15+W18+W21+W24+W29+W31+W63+W26+W13+W34+W37+W41+W53+W69+W66+W79+W73</f>
        <v>302872.95831000002</v>
      </c>
      <c r="X80" s="1082">
        <f t="shared" si="26"/>
        <v>0</v>
      </c>
    </row>
    <row r="81" spans="1:25" ht="25.5" customHeight="1">
      <c r="A81" s="1142" t="s">
        <v>388</v>
      </c>
      <c r="B81" s="1143"/>
      <c r="C81" s="1144"/>
      <c r="D81" s="1145">
        <f>D80-'5月车间产值'!L34+'5月车间产值'!L20+'5月车间产值'!L32</f>
        <v>-101230</v>
      </c>
      <c r="E81" s="1145">
        <f>E80-'5月车间产值'!F34</f>
        <v>-208</v>
      </c>
      <c r="F81" s="1145"/>
      <c r="G81" s="1146"/>
      <c r="H81" s="1146"/>
      <c r="I81" s="1145"/>
      <c r="J81" s="1145">
        <f>J80-SUM('5月车间产值'!T4:'5月车间产值'!T29)</f>
        <v>-135669</v>
      </c>
      <c r="K81" s="1145"/>
      <c r="L81" s="1145"/>
      <c r="M81" s="1145">
        <f>'5月车间产值'!U34*0.07-M80+'5月车间产值'!V34</f>
        <v>505.03999999999996</v>
      </c>
      <c r="N81" s="1145"/>
      <c r="O81" s="1145"/>
      <c r="P81" s="1145"/>
      <c r="Q81" s="1145"/>
      <c r="R81" s="1145"/>
      <c r="S81" s="1145"/>
      <c r="T81" s="1145"/>
      <c r="U81" s="1145"/>
      <c r="V81" s="1147"/>
      <c r="W81" s="1145"/>
      <c r="X81" s="1148"/>
    </row>
    <row r="82" spans="1:25" ht="21.15" customHeight="1">
      <c r="C82" s="259" t="s">
        <v>435</v>
      </c>
      <c r="D82" s="1062">
        <f>'5月车间产值'!E17+'5月车间产值'!G17+'5月车间产值'!H17+'5月车间产值'!J17</f>
        <v>5150</v>
      </c>
      <c r="E82" s="1062">
        <f>'5月车间产值'!F17</f>
        <v>252562</v>
      </c>
      <c r="F82" s="1062">
        <f>'5月车间产值'!N17</f>
        <v>59036.5</v>
      </c>
      <c r="G82" s="1064">
        <v>0.25</v>
      </c>
      <c r="H82" s="1064">
        <v>0.25</v>
      </c>
      <c r="I82" s="1062">
        <f>((D82+E82-F82)*G82*0.95)</f>
        <v>47185.431250000001</v>
      </c>
      <c r="W82" s="1149">
        <f>X82+Y82</f>
        <v>302872.95831000002</v>
      </c>
      <c r="X82" s="1149">
        <f>'05月提成-武侯售后'!K138-'05月提成-武侯售后'!K137-'05月提成-武侯售后'!K76</f>
        <v>249972.37031</v>
      </c>
      <c r="Y82" s="1149">
        <f>'05月提成-机场售后'!K45+'05月提成-机场售后'!K41+'05月提成-机场售后'!K38</f>
        <v>52900.588000000003</v>
      </c>
    </row>
    <row r="83" spans="1:25" ht="23.25" customHeight="1">
      <c r="C83" s="259" t="s">
        <v>436</v>
      </c>
      <c r="I83" s="1062">
        <f>I63-I82</f>
        <v>19771.993750000001</v>
      </c>
      <c r="W83" s="1104">
        <f>W82-W80</f>
        <v>0</v>
      </c>
      <c r="X83" s="1062">
        <f>W7+W10+W13+W15+W18+W21+W24+W26+W29+W31+W34+W37+W41+W53+W63</f>
        <v>249972.37031</v>
      </c>
      <c r="Y83" s="1062">
        <f>W66+W69+W73</f>
        <v>52900.588000000003</v>
      </c>
    </row>
    <row r="84" spans="1:25">
      <c r="X84" s="1062">
        <f>X82-X83</f>
        <v>0</v>
      </c>
      <c r="Y84" s="1062">
        <f>Y82-Y83</f>
        <v>0</v>
      </c>
    </row>
    <row r="85" spans="1:25">
      <c r="B85" s="1063" t="s">
        <v>343</v>
      </c>
    </row>
    <row r="86" spans="1:25">
      <c r="B86" s="1063" t="s">
        <v>343</v>
      </c>
    </row>
    <row r="87" spans="1:25">
      <c r="B87" s="1063" t="s">
        <v>344</v>
      </c>
    </row>
    <row r="88" spans="1:25">
      <c r="B88" s="1063" t="s">
        <v>345</v>
      </c>
    </row>
    <row r="89" spans="1:25">
      <c r="B89" s="1063" t="s">
        <v>345</v>
      </c>
    </row>
    <row r="90" spans="1:25">
      <c r="B90" s="1063" t="s">
        <v>346</v>
      </c>
    </row>
    <row r="91" spans="1:25">
      <c r="B91" s="1063" t="s">
        <v>346</v>
      </c>
    </row>
    <row r="92" spans="1:25">
      <c r="B92" s="1063" t="s">
        <v>346</v>
      </c>
    </row>
    <row r="93" spans="1:25">
      <c r="B93" s="1063" t="s">
        <v>347</v>
      </c>
    </row>
  </sheetData>
  <autoFilter ref="A4:AA93" xr:uid="{00000000-0009-0000-0000-000005000000}"/>
  <mergeCells count="44">
    <mergeCell ref="W3:W4"/>
    <mergeCell ref="X3:X4"/>
    <mergeCell ref="Y3:Y4"/>
    <mergeCell ref="R3:R4"/>
    <mergeCell ref="S3:S4"/>
    <mergeCell ref="T3:T4"/>
    <mergeCell ref="U3:U4"/>
    <mergeCell ref="V3:V4"/>
    <mergeCell ref="B74:B78"/>
    <mergeCell ref="C3:C4"/>
    <mergeCell ref="D3:D4"/>
    <mergeCell ref="E3:E4"/>
    <mergeCell ref="F3:F4"/>
    <mergeCell ref="B42:B53"/>
    <mergeCell ref="B54:B63"/>
    <mergeCell ref="B64:B66"/>
    <mergeCell ref="B67:B69"/>
    <mergeCell ref="B70:B72"/>
    <mergeCell ref="B25:B26"/>
    <mergeCell ref="B27:B28"/>
    <mergeCell ref="B32:B34"/>
    <mergeCell ref="B35:B37"/>
    <mergeCell ref="B38:B41"/>
    <mergeCell ref="B11:B13"/>
    <mergeCell ref="B14:B15"/>
    <mergeCell ref="B16:B18"/>
    <mergeCell ref="B19:B21"/>
    <mergeCell ref="B22:B24"/>
    <mergeCell ref="A1:X1"/>
    <mergeCell ref="A3:A4"/>
    <mergeCell ref="B3:B4"/>
    <mergeCell ref="B5:B7"/>
    <mergeCell ref="B8:B10"/>
    <mergeCell ref="G3:G4"/>
    <mergeCell ref="H3:H4"/>
    <mergeCell ref="I3:I4"/>
    <mergeCell ref="J3:J4"/>
    <mergeCell ref="K3:K4"/>
    <mergeCell ref="L3:L4"/>
    <mergeCell ref="M3:M4"/>
    <mergeCell ref="N3:N4"/>
    <mergeCell ref="O3:O4"/>
    <mergeCell ref="P3:P4"/>
    <mergeCell ref="Q3:Q4"/>
  </mergeCells>
  <phoneticPr fontId="5" type="noConversion"/>
  <conditionalFormatting sqref="C1:C21 C26:C27 C29:C31 C35:C38 C40:C47 C49:C60 C63:C64 C66:C67 C69 C73:C1048576">
    <cfRule type="duplicateValues" dxfId="1301" priority="35"/>
  </conditionalFormatting>
  <conditionalFormatting sqref="C22">
    <cfRule type="duplicateValues" dxfId="1300" priority="12"/>
  </conditionalFormatting>
  <conditionalFormatting sqref="C23">
    <cfRule type="duplicateValues" dxfId="1299" priority="11"/>
  </conditionalFormatting>
  <conditionalFormatting sqref="C24">
    <cfRule type="duplicateValues" dxfId="1298" priority="13"/>
  </conditionalFormatting>
  <conditionalFormatting sqref="C25">
    <cfRule type="duplicateValues" dxfId="1297" priority="22"/>
  </conditionalFormatting>
  <conditionalFormatting sqref="C28">
    <cfRule type="duplicateValues" dxfId="1296" priority="6"/>
  </conditionalFormatting>
  <conditionalFormatting sqref="C32:C34">
    <cfRule type="duplicateValues" dxfId="1295" priority="10"/>
  </conditionalFormatting>
  <conditionalFormatting sqref="C39">
    <cfRule type="duplicateValues" dxfId="1294" priority="9"/>
  </conditionalFormatting>
  <conditionalFormatting sqref="C48">
    <cfRule type="duplicateValues" dxfId="1293" priority="8"/>
  </conditionalFormatting>
  <conditionalFormatting sqref="C61">
    <cfRule type="duplicateValues" dxfId="1292" priority="5"/>
  </conditionalFormatting>
  <conditionalFormatting sqref="C62">
    <cfRule type="duplicateValues" dxfId="1291" priority="18"/>
  </conditionalFormatting>
  <conditionalFormatting sqref="C65">
    <cfRule type="duplicateValues" dxfId="1290" priority="16"/>
  </conditionalFormatting>
  <conditionalFormatting sqref="C68">
    <cfRule type="duplicateValues" dxfId="1289" priority="21"/>
  </conditionalFormatting>
  <conditionalFormatting sqref="C70">
    <cfRule type="duplicateValues" dxfId="1288" priority="20"/>
  </conditionalFormatting>
  <conditionalFormatting sqref="C71">
    <cfRule type="duplicateValues" dxfId="1287" priority="3"/>
  </conditionalFormatting>
  <conditionalFormatting sqref="C72">
    <cfRule type="duplicateValues" dxfId="1286" priority="26"/>
  </conditionalFormatting>
  <conditionalFormatting sqref="AA54:AA60 AA62">
    <cfRule type="duplicateValues" dxfId="1285" priority="7"/>
  </conditionalFormatting>
  <conditionalFormatting sqref="AA61">
    <cfRule type="duplicateValues" dxfId="1284" priority="4"/>
  </conditionalFormatting>
  <pageMargins left="0.69930555555555596" right="0.69930555555555596" top="0.75" bottom="0.75" header="0.3" footer="0.3"/>
  <pageSetup paperSize="256"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70C0"/>
  </sheetPr>
  <dimension ref="A1:CT57"/>
  <sheetViews>
    <sheetView workbookViewId="0">
      <pane xSplit="8" ySplit="4" topLeftCell="BZ29" activePane="bottomRight" state="frozen"/>
      <selection pane="topRight"/>
      <selection pane="bottomLeft"/>
      <selection pane="bottomRight" activeCell="N47" sqref="N47:CK47"/>
    </sheetView>
  </sheetViews>
  <sheetFormatPr defaultColWidth="9" defaultRowHeight="14.4"/>
  <cols>
    <col min="1" max="1" width="8.77734375" customWidth="1"/>
    <col min="2" max="2" width="10.6640625" style="211" customWidth="1"/>
    <col min="3" max="3" width="12.44140625" style="211" customWidth="1"/>
    <col min="4" max="4" width="10.21875" style="211" customWidth="1"/>
    <col min="5" max="5" width="9.21875" style="211" customWidth="1"/>
    <col min="6" max="6" width="9.109375" style="211" customWidth="1"/>
    <col min="7" max="7" width="11.21875" style="211" customWidth="1"/>
    <col min="8" max="8" width="7" customWidth="1"/>
    <col min="9" max="9" width="14.109375" customWidth="1"/>
    <col min="10" max="10" width="15.33203125" customWidth="1"/>
    <col min="11" max="11" width="13.109375" customWidth="1"/>
    <col min="12" max="12" width="8" customWidth="1"/>
    <col min="13" max="13" width="17.44140625" customWidth="1"/>
    <col min="14" max="14" width="13.88671875" style="840" customWidth="1"/>
    <col min="15" max="15" width="12.77734375" style="840" customWidth="1"/>
    <col min="16" max="16" width="13.88671875" customWidth="1"/>
    <col min="17" max="17" width="11.6640625" customWidth="1"/>
    <col min="18" max="18" width="13.109375" customWidth="1"/>
    <col min="19" max="19" width="17.77734375" customWidth="1"/>
    <col min="20" max="20" width="17.77734375" style="211" customWidth="1"/>
    <col min="21" max="21" width="9.88671875" style="211" customWidth="1"/>
    <col min="22" max="22" width="14.88671875" style="841" customWidth="1"/>
    <col min="23" max="23" width="16.6640625" style="211" customWidth="1"/>
    <col min="24" max="24" width="13.6640625" style="841" customWidth="1"/>
    <col min="25" max="25" width="12.21875" customWidth="1"/>
    <col min="26" max="26" width="11.33203125" customWidth="1"/>
    <col min="27" max="27" width="12.44140625" customWidth="1"/>
    <col min="28" max="28" width="7.44140625" customWidth="1"/>
    <col min="29" max="29" width="12.21875" customWidth="1"/>
    <col min="30" max="30" width="12.6640625" customWidth="1"/>
    <col min="31" max="31" width="12.21875" customWidth="1"/>
    <col min="32" max="33" width="10.88671875" customWidth="1"/>
    <col min="34" max="34" width="12.21875" style="840" customWidth="1"/>
    <col min="35" max="35" width="13.33203125" style="840" customWidth="1"/>
    <col min="36" max="36" width="13.6640625" style="840" customWidth="1"/>
    <col min="37" max="38" width="10.88671875" style="840" customWidth="1"/>
    <col min="39" max="39" width="12.21875" customWidth="1"/>
    <col min="40" max="40" width="13.21875" style="842" customWidth="1"/>
    <col min="41" max="41" width="11.33203125" customWidth="1"/>
    <col min="42" max="42" width="8.77734375" customWidth="1"/>
    <col min="43" max="45" width="7" style="842" customWidth="1"/>
    <col min="46" max="47" width="8.44140625" style="842" customWidth="1"/>
    <col min="48" max="48" width="10.109375" style="842" customWidth="1"/>
    <col min="49" max="51" width="6.88671875" customWidth="1"/>
    <col min="52" max="54" width="10.6640625" style="843" customWidth="1"/>
    <col min="55" max="55" width="9" style="844" customWidth="1"/>
    <col min="56" max="56" width="12.77734375" style="844" customWidth="1"/>
    <col min="57" max="58" width="12.44140625" customWidth="1"/>
    <col min="59" max="59" width="14.109375" customWidth="1"/>
    <col min="60" max="60" width="6.88671875" customWidth="1"/>
    <col min="61" max="61" width="5.77734375" style="845" customWidth="1"/>
    <col min="62" max="62" width="6" style="845" customWidth="1"/>
    <col min="63" max="63" width="6.6640625" customWidth="1"/>
    <col min="64" max="64" width="6.44140625" customWidth="1"/>
    <col min="65" max="66" width="6.109375" customWidth="1"/>
    <col min="67" max="67" width="9.109375" customWidth="1"/>
    <col min="68" max="72" width="9.109375" style="843" customWidth="1"/>
    <col min="73" max="73" width="9.77734375" style="843" customWidth="1"/>
    <col min="74" max="74" width="11" style="843" customWidth="1"/>
    <col min="75" max="75" width="10.6640625" style="843" customWidth="1"/>
    <col min="76" max="76" width="5.21875" customWidth="1"/>
    <col min="77" max="77" width="6.44140625" customWidth="1"/>
    <col min="78" max="78" width="9.109375" customWidth="1"/>
    <col min="79" max="79" width="5.21875" customWidth="1"/>
    <col min="80" max="80" width="5.33203125" customWidth="1"/>
    <col min="81" max="81" width="9.109375" customWidth="1"/>
    <col min="82" max="82" width="5.21875" customWidth="1"/>
    <col min="83" max="83" width="5.77734375" customWidth="1"/>
    <col min="84" max="84" width="9.109375" customWidth="1"/>
    <col min="85" max="85" width="5.21875" customWidth="1"/>
    <col min="86" max="86" width="7.6640625" customWidth="1"/>
    <col min="87" max="87" width="9.109375" customWidth="1"/>
    <col min="88" max="88" width="16.109375" style="846" customWidth="1"/>
    <col min="89" max="89" width="14.77734375" style="843" customWidth="1"/>
    <col min="90" max="91" width="9" style="843" customWidth="1"/>
    <col min="92" max="92" width="12.77734375" style="843" customWidth="1"/>
    <col min="93" max="95" width="9" style="843" customWidth="1"/>
    <col min="96" max="96" width="9.77734375" style="844" customWidth="1"/>
    <col min="97" max="97" width="9.77734375" customWidth="1"/>
    <col min="98" max="98" width="10.44140625" customWidth="1"/>
  </cols>
  <sheetData>
    <row r="1" spans="1:98" ht="17.399999999999999" customHeight="1">
      <c r="A1" s="847" t="s">
        <v>437</v>
      </c>
      <c r="B1" s="848"/>
      <c r="C1" s="848"/>
      <c r="D1" s="848"/>
      <c r="E1" s="848"/>
      <c r="F1" s="848"/>
      <c r="G1" s="848"/>
      <c r="H1" s="848"/>
      <c r="I1" s="848"/>
      <c r="J1" s="848"/>
      <c r="K1" s="848"/>
      <c r="L1" s="848"/>
      <c r="M1" s="849"/>
      <c r="N1" s="850"/>
      <c r="O1" s="850"/>
      <c r="P1" s="848"/>
      <c r="Q1" s="848"/>
      <c r="R1" s="848"/>
      <c r="S1" s="848"/>
      <c r="T1" s="848"/>
      <c r="U1" s="848"/>
      <c r="V1" s="850"/>
      <c r="W1" s="848"/>
      <c r="X1" s="850"/>
      <c r="Y1" s="848"/>
      <c r="Z1" s="848"/>
      <c r="AA1" s="848"/>
      <c r="AB1" s="848"/>
      <c r="AC1" s="848"/>
      <c r="AD1" s="848"/>
      <c r="AE1" s="848"/>
      <c r="AF1" s="848"/>
      <c r="AG1" s="848"/>
      <c r="AH1" s="850"/>
      <c r="AI1" s="850"/>
      <c r="AJ1" s="850"/>
      <c r="AK1" s="850"/>
      <c r="AL1" s="850"/>
      <c r="AM1" s="848"/>
      <c r="AN1" s="851"/>
      <c r="AO1" s="848"/>
      <c r="AP1" s="848"/>
      <c r="AQ1" s="851"/>
      <c r="AR1" s="851"/>
      <c r="AS1" s="851"/>
      <c r="AT1" s="851"/>
      <c r="AU1" s="851"/>
      <c r="AV1" s="851"/>
      <c r="AW1" s="848"/>
      <c r="AX1" s="852"/>
      <c r="AY1" s="852"/>
      <c r="BE1" s="852"/>
      <c r="BF1" s="852"/>
      <c r="BG1" s="852"/>
      <c r="BH1" s="852"/>
    </row>
    <row r="2" spans="1:98" s="210" customFormat="1" ht="18" customHeight="1">
      <c r="A2" s="1829" t="s">
        <v>33</v>
      </c>
      <c r="B2" s="1802" t="s">
        <v>438</v>
      </c>
      <c r="C2" s="1802"/>
      <c r="D2" s="1802"/>
      <c r="E2" s="1802"/>
      <c r="F2" s="1802"/>
      <c r="G2" s="1802"/>
      <c r="H2" s="1802"/>
      <c r="I2" s="1803" t="s">
        <v>318</v>
      </c>
      <c r="J2" s="1803"/>
      <c r="K2" s="1803"/>
      <c r="L2" s="1803"/>
      <c r="M2" s="1804" t="s">
        <v>439</v>
      </c>
      <c r="N2" s="1805"/>
      <c r="O2" s="1805"/>
      <c r="P2" s="1805"/>
      <c r="Q2" s="1805"/>
      <c r="R2" s="1805"/>
      <c r="S2" s="1805"/>
      <c r="T2" s="1805"/>
      <c r="U2" s="1805"/>
      <c r="V2" s="1805"/>
      <c r="W2" s="1805"/>
      <c r="X2" s="1806"/>
      <c r="Y2" s="1807" t="s">
        <v>440</v>
      </c>
      <c r="Z2" s="1808"/>
      <c r="AA2" s="1808"/>
      <c r="AB2" s="1808"/>
      <c r="AC2" s="1808"/>
      <c r="AD2" s="1808"/>
      <c r="AE2" s="1808"/>
      <c r="AF2" s="1808"/>
      <c r="AG2" s="1808"/>
      <c r="AH2" s="1809"/>
      <c r="AI2" s="1810" t="s">
        <v>441</v>
      </c>
      <c r="AJ2" s="1810"/>
      <c r="AK2" s="1811"/>
      <c r="AL2" s="853"/>
      <c r="AM2" s="1812" t="s">
        <v>274</v>
      </c>
      <c r="AN2" s="1812"/>
      <c r="AO2" s="1812"/>
      <c r="AP2" s="1812"/>
      <c r="AQ2" s="1813" t="s">
        <v>442</v>
      </c>
      <c r="AR2" s="1813"/>
      <c r="AS2" s="1813"/>
      <c r="AT2" s="1813"/>
      <c r="AU2" s="1813"/>
      <c r="AV2" s="1813"/>
      <c r="AW2" s="1813"/>
      <c r="AX2" s="854"/>
      <c r="AY2" s="854"/>
      <c r="AZ2" s="855" t="s">
        <v>443</v>
      </c>
      <c r="BA2" s="855" t="s">
        <v>292</v>
      </c>
      <c r="BB2" s="855" t="s">
        <v>293</v>
      </c>
      <c r="BC2" s="1814" t="s">
        <v>266</v>
      </c>
      <c r="BD2" s="1814"/>
      <c r="BE2" s="1815" t="s">
        <v>260</v>
      </c>
      <c r="BF2" s="1815"/>
      <c r="BG2" s="1815" t="s">
        <v>264</v>
      </c>
      <c r="BH2" s="1815"/>
      <c r="BI2" s="1816" t="s">
        <v>444</v>
      </c>
      <c r="BJ2" s="1817"/>
      <c r="BK2" s="1817"/>
      <c r="BL2" s="1818" t="s">
        <v>261</v>
      </c>
      <c r="BM2" s="1818"/>
      <c r="BN2" s="1818"/>
      <c r="BO2" s="1818"/>
      <c r="BP2" s="1819"/>
      <c r="BQ2" s="1819"/>
      <c r="BR2" s="1819"/>
      <c r="BS2" s="1820"/>
      <c r="BT2" s="1821"/>
      <c r="BU2" s="1822"/>
      <c r="BV2" s="857" t="s">
        <v>445</v>
      </c>
      <c r="BW2" s="858" t="s">
        <v>446</v>
      </c>
      <c r="BX2" s="1818" t="s">
        <v>447</v>
      </c>
      <c r="BY2" s="1818"/>
      <c r="BZ2" s="1818"/>
      <c r="CA2" s="1818" t="s">
        <v>448</v>
      </c>
      <c r="CB2" s="1818"/>
      <c r="CC2" s="1818"/>
      <c r="CD2" s="1818" t="s">
        <v>449</v>
      </c>
      <c r="CE2" s="1818"/>
      <c r="CF2" s="1818"/>
      <c r="CG2" s="1818" t="s">
        <v>450</v>
      </c>
      <c r="CH2" s="1818"/>
      <c r="CI2" s="1818"/>
      <c r="CJ2" s="1823" t="s">
        <v>451</v>
      </c>
      <c r="CK2" s="1823"/>
      <c r="CL2" s="1823"/>
      <c r="CM2" s="1823"/>
      <c r="CN2" s="1823"/>
      <c r="CO2" s="1824" t="s">
        <v>452</v>
      </c>
      <c r="CP2" s="1825"/>
      <c r="CQ2" s="1826"/>
      <c r="CR2" s="856" t="s">
        <v>453</v>
      </c>
    </row>
    <row r="3" spans="1:98" s="210" customFormat="1" ht="23.25" customHeight="1">
      <c r="A3" s="1829"/>
      <c r="B3" s="1830" t="s">
        <v>454</v>
      </c>
      <c r="C3" s="1830" t="s">
        <v>455</v>
      </c>
      <c r="D3" s="1830" t="s">
        <v>456</v>
      </c>
      <c r="E3" s="1830" t="s">
        <v>457</v>
      </c>
      <c r="F3" s="1832" t="s">
        <v>458</v>
      </c>
      <c r="G3" s="1834" t="s">
        <v>459</v>
      </c>
      <c r="H3" s="1832" t="s">
        <v>271</v>
      </c>
      <c r="I3" s="1836" t="s">
        <v>460</v>
      </c>
      <c r="J3" s="1836" t="s">
        <v>461</v>
      </c>
      <c r="K3" s="1836" t="s">
        <v>462</v>
      </c>
      <c r="L3" s="1832" t="s">
        <v>271</v>
      </c>
      <c r="M3" s="1839" t="s">
        <v>463</v>
      </c>
      <c r="N3" s="1827" t="s">
        <v>464</v>
      </c>
      <c r="O3" s="1805"/>
      <c r="P3" s="1805"/>
      <c r="Q3" s="1805"/>
      <c r="R3" s="1805"/>
      <c r="S3" s="1806"/>
      <c r="T3" s="1828" t="s">
        <v>465</v>
      </c>
      <c r="U3" s="1828"/>
      <c r="V3" s="1841" t="s">
        <v>466</v>
      </c>
      <c r="W3" s="1832" t="s">
        <v>271</v>
      </c>
      <c r="X3" s="1841" t="s">
        <v>467</v>
      </c>
      <c r="Y3" s="1844" t="s">
        <v>468</v>
      </c>
      <c r="Z3" s="1844" t="s">
        <v>469</v>
      </c>
      <c r="AA3" s="1844" t="s">
        <v>276</v>
      </c>
      <c r="AB3" s="1846" t="s">
        <v>271</v>
      </c>
      <c r="AC3" s="1848" t="s">
        <v>470</v>
      </c>
      <c r="AD3" s="1848" t="s">
        <v>471</v>
      </c>
      <c r="AE3" s="1848" t="s">
        <v>472</v>
      </c>
      <c r="AF3" s="1832" t="s">
        <v>271</v>
      </c>
      <c r="AG3" s="1850" t="s">
        <v>473</v>
      </c>
      <c r="AH3" s="1852" t="s">
        <v>474</v>
      </c>
      <c r="AI3" s="1850" t="s">
        <v>475</v>
      </c>
      <c r="AJ3" s="1854" t="s">
        <v>441</v>
      </c>
      <c r="AK3" s="1856" t="s">
        <v>271</v>
      </c>
      <c r="AL3" s="861"/>
      <c r="AM3" s="1858" t="s">
        <v>463</v>
      </c>
      <c r="AN3" s="862" t="s">
        <v>464</v>
      </c>
      <c r="AO3" s="863" t="s">
        <v>465</v>
      </c>
      <c r="AP3" s="1832" t="s">
        <v>271</v>
      </c>
      <c r="AQ3" s="1860" t="s">
        <v>476</v>
      </c>
      <c r="AR3" s="1862" t="s">
        <v>477</v>
      </c>
      <c r="AS3" s="1863" t="s">
        <v>271</v>
      </c>
      <c r="AT3" s="1864" t="s">
        <v>478</v>
      </c>
      <c r="AU3" s="1862" t="s">
        <v>281</v>
      </c>
      <c r="AV3" s="1866" t="s">
        <v>280</v>
      </c>
      <c r="AW3" s="1863" t="s">
        <v>271</v>
      </c>
      <c r="AX3" s="1868" t="s">
        <v>479</v>
      </c>
      <c r="AY3" s="1868" t="s">
        <v>480</v>
      </c>
      <c r="AZ3" s="1870" t="s">
        <v>443</v>
      </c>
      <c r="BA3" s="1870" t="s">
        <v>481</v>
      </c>
      <c r="BB3" s="1870" t="s">
        <v>482</v>
      </c>
      <c r="BC3" s="1872" t="s">
        <v>483</v>
      </c>
      <c r="BD3" s="1814" t="s">
        <v>484</v>
      </c>
      <c r="BE3" s="1873" t="s">
        <v>295</v>
      </c>
      <c r="BF3" s="1873" t="s">
        <v>485</v>
      </c>
      <c r="BG3" s="1875" t="s">
        <v>294</v>
      </c>
      <c r="BH3" s="1873" t="s">
        <v>486</v>
      </c>
      <c r="BI3" s="1877" t="s">
        <v>487</v>
      </c>
      <c r="BJ3" s="1877" t="s">
        <v>488</v>
      </c>
      <c r="BK3" s="1879" t="s">
        <v>271</v>
      </c>
      <c r="BL3" s="1881" t="s">
        <v>487</v>
      </c>
      <c r="BM3" s="1881" t="s">
        <v>488</v>
      </c>
      <c r="BN3" s="1881" t="s">
        <v>489</v>
      </c>
      <c r="BO3" s="1881" t="s">
        <v>271</v>
      </c>
      <c r="BP3" s="1883" t="s">
        <v>487</v>
      </c>
      <c r="BQ3" s="1883" t="s">
        <v>488</v>
      </c>
      <c r="BR3" s="1883" t="s">
        <v>271</v>
      </c>
      <c r="BS3" s="1885" t="s">
        <v>490</v>
      </c>
      <c r="BT3" s="1885" t="s">
        <v>491</v>
      </c>
      <c r="BU3" s="1885" t="s">
        <v>492</v>
      </c>
      <c r="BV3" s="1887" t="s">
        <v>493</v>
      </c>
      <c r="BW3" s="1887" t="s">
        <v>494</v>
      </c>
      <c r="BX3" s="1881" t="s">
        <v>487</v>
      </c>
      <c r="BY3" s="1881" t="s">
        <v>488</v>
      </c>
      <c r="BZ3" s="1881" t="s">
        <v>271</v>
      </c>
      <c r="CA3" s="1881" t="s">
        <v>487</v>
      </c>
      <c r="CB3" s="1881" t="s">
        <v>488</v>
      </c>
      <c r="CC3" s="1881" t="s">
        <v>271</v>
      </c>
      <c r="CD3" s="1881" t="s">
        <v>487</v>
      </c>
      <c r="CE3" s="1881" t="s">
        <v>488</v>
      </c>
      <c r="CF3" s="1881" t="s">
        <v>271</v>
      </c>
      <c r="CG3" s="1881" t="s">
        <v>487</v>
      </c>
      <c r="CH3" s="1881" t="s">
        <v>488</v>
      </c>
      <c r="CI3" s="1881" t="s">
        <v>271</v>
      </c>
      <c r="CJ3" s="1889" t="s">
        <v>495</v>
      </c>
      <c r="CK3" s="1891" t="s">
        <v>496</v>
      </c>
      <c r="CL3" s="1891" t="s">
        <v>497</v>
      </c>
      <c r="CM3" s="1891" t="s">
        <v>498</v>
      </c>
      <c r="CN3" s="1891" t="s">
        <v>453</v>
      </c>
      <c r="CO3" s="1893" t="s">
        <v>499</v>
      </c>
      <c r="CP3" s="1893" t="s">
        <v>500</v>
      </c>
      <c r="CQ3" s="1894" t="s">
        <v>501</v>
      </c>
      <c r="CR3" s="1896"/>
    </row>
    <row r="4" spans="1:98" s="210" customFormat="1" ht="33.75" customHeight="1">
      <c r="A4" s="1829"/>
      <c r="B4" s="1831"/>
      <c r="C4" s="1831"/>
      <c r="D4" s="1831"/>
      <c r="E4" s="1831"/>
      <c r="F4" s="1833"/>
      <c r="G4" s="1835"/>
      <c r="H4" s="1833"/>
      <c r="I4" s="1837"/>
      <c r="J4" s="1837"/>
      <c r="K4" s="1838"/>
      <c r="L4" s="1833"/>
      <c r="M4" s="1840"/>
      <c r="N4" s="864" t="s">
        <v>502</v>
      </c>
      <c r="O4" s="864" t="s">
        <v>503</v>
      </c>
      <c r="P4" s="860" t="s">
        <v>504</v>
      </c>
      <c r="Q4" s="860" t="s">
        <v>498</v>
      </c>
      <c r="R4" s="865" t="s">
        <v>505</v>
      </c>
      <c r="S4" s="859" t="s">
        <v>506</v>
      </c>
      <c r="T4" s="860" t="s">
        <v>507</v>
      </c>
      <c r="U4" s="860" t="s">
        <v>508</v>
      </c>
      <c r="V4" s="1842"/>
      <c r="W4" s="1843"/>
      <c r="X4" s="1842"/>
      <c r="Y4" s="1845"/>
      <c r="Z4" s="1845"/>
      <c r="AA4" s="1845"/>
      <c r="AB4" s="1847"/>
      <c r="AC4" s="1849"/>
      <c r="AD4" s="1849"/>
      <c r="AE4" s="1849"/>
      <c r="AF4" s="1833"/>
      <c r="AG4" s="1851"/>
      <c r="AH4" s="1853"/>
      <c r="AI4" s="1851"/>
      <c r="AJ4" s="1855"/>
      <c r="AK4" s="1857"/>
      <c r="AL4" s="866" t="s">
        <v>509</v>
      </c>
      <c r="AM4" s="1859"/>
      <c r="AN4" s="862" t="s">
        <v>510</v>
      </c>
      <c r="AO4" s="863" t="s">
        <v>510</v>
      </c>
      <c r="AP4" s="1833"/>
      <c r="AQ4" s="1861"/>
      <c r="AR4" s="1861"/>
      <c r="AS4" s="1863"/>
      <c r="AT4" s="1865"/>
      <c r="AU4" s="1861"/>
      <c r="AV4" s="1867"/>
      <c r="AW4" s="1863"/>
      <c r="AX4" s="1869"/>
      <c r="AY4" s="1869"/>
      <c r="AZ4" s="1871"/>
      <c r="BA4" s="1871"/>
      <c r="BB4" s="1871"/>
      <c r="BC4" s="1872"/>
      <c r="BD4" s="1814"/>
      <c r="BE4" s="1874"/>
      <c r="BF4" s="1874"/>
      <c r="BG4" s="1876"/>
      <c r="BH4" s="1874"/>
      <c r="BI4" s="1878"/>
      <c r="BJ4" s="1878"/>
      <c r="BK4" s="1880"/>
      <c r="BL4" s="1882"/>
      <c r="BM4" s="1882"/>
      <c r="BN4" s="1882"/>
      <c r="BO4" s="1882"/>
      <c r="BP4" s="1884"/>
      <c r="BQ4" s="1884"/>
      <c r="BR4" s="1884"/>
      <c r="BS4" s="1886"/>
      <c r="BT4" s="1886"/>
      <c r="BU4" s="1886"/>
      <c r="BV4" s="1888"/>
      <c r="BW4" s="1888"/>
      <c r="BX4" s="1882"/>
      <c r="BY4" s="1882"/>
      <c r="BZ4" s="1882"/>
      <c r="CA4" s="1882"/>
      <c r="CB4" s="1882"/>
      <c r="CC4" s="1882"/>
      <c r="CD4" s="1882"/>
      <c r="CE4" s="1882"/>
      <c r="CF4" s="1882"/>
      <c r="CG4" s="1882"/>
      <c r="CH4" s="1882"/>
      <c r="CI4" s="1882"/>
      <c r="CJ4" s="1890"/>
      <c r="CK4" s="1892"/>
      <c r="CL4" s="1892"/>
      <c r="CM4" s="1892"/>
      <c r="CN4" s="1892"/>
      <c r="CO4" s="1893"/>
      <c r="CP4" s="1893"/>
      <c r="CQ4" s="1895"/>
      <c r="CR4" s="1897"/>
    </row>
    <row r="5" spans="1:98" s="836" customFormat="1" ht="28.5" hidden="1" customHeight="1">
      <c r="A5" s="867" t="s">
        <v>268</v>
      </c>
      <c r="B5" s="868"/>
      <c r="C5" s="869"/>
      <c r="D5" s="869"/>
      <c r="E5" s="869"/>
      <c r="F5" s="870"/>
      <c r="G5" s="869"/>
      <c r="H5" s="870"/>
      <c r="I5" s="871"/>
      <c r="J5" s="871"/>
      <c r="K5" s="872"/>
      <c r="L5" s="870"/>
      <c r="M5" s="873"/>
      <c r="N5" s="874"/>
      <c r="O5" s="874"/>
      <c r="P5" s="873"/>
      <c r="Q5" s="873"/>
      <c r="R5" s="875"/>
      <c r="S5" s="876"/>
      <c r="T5" s="873"/>
      <c r="U5" s="873"/>
      <c r="V5" s="874"/>
      <c r="W5" s="870"/>
      <c r="X5" s="874"/>
      <c r="Y5" s="877"/>
      <c r="Z5" s="877"/>
      <c r="AA5" s="877"/>
      <c r="AB5" s="878"/>
      <c r="AC5" s="879"/>
      <c r="AD5" s="879"/>
      <c r="AE5" s="879"/>
      <c r="AF5" s="870"/>
      <c r="AG5" s="880"/>
      <c r="AH5" s="881"/>
      <c r="AI5" s="880"/>
      <c r="AJ5" s="880"/>
      <c r="AK5" s="882"/>
      <c r="AL5" s="883"/>
      <c r="AM5" s="884"/>
      <c r="AN5" s="885"/>
      <c r="AO5" s="884"/>
      <c r="AP5" s="870"/>
      <c r="AQ5" s="886"/>
      <c r="AR5" s="886"/>
      <c r="AS5" s="887"/>
      <c r="AT5" s="886"/>
      <c r="AU5" s="886"/>
      <c r="AV5" s="888"/>
      <c r="AW5" s="889"/>
      <c r="AX5" s="890"/>
      <c r="AY5" s="890"/>
      <c r="AZ5" s="891"/>
      <c r="BA5" s="891"/>
      <c r="BB5" s="891"/>
      <c r="BC5" s="892"/>
      <c r="BD5" s="893"/>
      <c r="BE5" s="894"/>
      <c r="BF5" s="894"/>
      <c r="BG5" s="894"/>
      <c r="BH5" s="894"/>
      <c r="BI5" s="895"/>
      <c r="BJ5" s="895"/>
      <c r="BK5" s="896"/>
      <c r="BL5" s="897"/>
      <c r="BM5" s="897"/>
      <c r="BN5" s="897"/>
      <c r="BO5" s="897"/>
      <c r="BP5" s="898"/>
      <c r="BQ5" s="898"/>
      <c r="BR5" s="898"/>
      <c r="BS5" s="899"/>
      <c r="BT5" s="899"/>
      <c r="BU5" s="899"/>
      <c r="BV5" s="891"/>
      <c r="BW5" s="891"/>
      <c r="BX5" s="897"/>
      <c r="BY5" s="897"/>
      <c r="BZ5" s="897"/>
      <c r="CA5" s="897"/>
      <c r="CB5" s="897"/>
      <c r="CC5" s="897"/>
      <c r="CD5" s="897"/>
      <c r="CE5" s="897"/>
      <c r="CF5" s="897"/>
      <c r="CG5" s="897"/>
      <c r="CH5" s="897"/>
      <c r="CI5" s="897"/>
      <c r="CJ5" s="900"/>
      <c r="CK5" s="900"/>
      <c r="CL5" s="900"/>
      <c r="CM5" s="900"/>
      <c r="CN5" s="900"/>
      <c r="CO5" s="901"/>
      <c r="CP5" s="901"/>
      <c r="CQ5" s="901"/>
      <c r="CR5" s="902"/>
    </row>
    <row r="6" spans="1:98" s="837" customFormat="1" ht="19.5" customHeight="1">
      <c r="A6" s="903" t="s">
        <v>74</v>
      </c>
      <c r="B6" s="904">
        <v>250</v>
      </c>
      <c r="C6" s="905">
        <v>166</v>
      </c>
      <c r="D6" s="905">
        <v>75</v>
      </c>
      <c r="E6" s="905">
        <v>23</v>
      </c>
      <c r="F6" s="906">
        <f>IF(B6,(C6+D6)/B6,0)</f>
        <v>0.96399999999999997</v>
      </c>
      <c r="G6" s="905">
        <v>0</v>
      </c>
      <c r="H6" s="907">
        <f>IF(B6,(C6+G6+D6)/B6,0)</f>
        <v>0.96399999999999997</v>
      </c>
      <c r="I6" s="908">
        <v>237500</v>
      </c>
      <c r="J6" s="909">
        <v>218856.14</v>
      </c>
      <c r="K6" s="910">
        <v>232096.14</v>
      </c>
      <c r="L6" s="911">
        <f>IF(I6,J6/I6,0)</f>
        <v>0.92149953684210595</v>
      </c>
      <c r="M6" s="912">
        <v>53000</v>
      </c>
      <c r="N6" s="913">
        <v>89092</v>
      </c>
      <c r="O6" s="914">
        <v>4290</v>
      </c>
      <c r="P6" s="915">
        <v>240</v>
      </c>
      <c r="Q6" s="915"/>
      <c r="R6" s="913">
        <v>0</v>
      </c>
      <c r="S6" s="916">
        <v>84802</v>
      </c>
      <c r="T6" s="917">
        <v>0</v>
      </c>
      <c r="U6" s="918"/>
      <c r="V6" s="918">
        <v>40106.15</v>
      </c>
      <c r="W6" s="919">
        <f>IF(M6,(V6)/M6,0)</f>
        <v>0.75671981132075505</v>
      </c>
      <c r="X6" s="920">
        <v>40106.15</v>
      </c>
      <c r="Y6" s="921">
        <v>23500</v>
      </c>
      <c r="Z6" s="922">
        <v>19368</v>
      </c>
      <c r="AA6" s="923">
        <v>0</v>
      </c>
      <c r="AB6" s="924">
        <f t="shared" ref="AB6:AB24" si="0">IF(Y6,Z6/Y6,0)</f>
        <v>0.82417021276595703</v>
      </c>
      <c r="AC6" s="925">
        <v>18000</v>
      </c>
      <c r="AD6" s="925">
        <v>9094.85</v>
      </c>
      <c r="AE6" s="925">
        <v>2993</v>
      </c>
      <c r="AF6" s="924">
        <f>IF(AC6,(AD6+AE6)/AC6,0)</f>
        <v>0.67154722222222196</v>
      </c>
      <c r="AG6" s="880">
        <v>0</v>
      </c>
      <c r="AH6" s="926">
        <v>31455.85</v>
      </c>
      <c r="AI6" s="880">
        <v>13000</v>
      </c>
      <c r="AJ6" s="880">
        <v>13480</v>
      </c>
      <c r="AK6" s="927">
        <f>IF(AI6,(AJ6)/AI6,0)</f>
        <v>1.0369230769230799</v>
      </c>
      <c r="AL6" s="928">
        <v>0</v>
      </c>
      <c r="AM6" s="929">
        <v>13000</v>
      </c>
      <c r="AN6" s="929">
        <v>147294.14000000001</v>
      </c>
      <c r="AO6" s="929">
        <v>0</v>
      </c>
      <c r="AP6" s="924">
        <f t="shared" ref="AP6:AP26" si="1">IF(AM6,(AN6+AO6)/AM6,0)</f>
        <v>11.3303184615385</v>
      </c>
      <c r="AQ6" s="930">
        <v>12</v>
      </c>
      <c r="AR6" s="930">
        <v>30</v>
      </c>
      <c r="AS6" s="931">
        <f>AR6/AQ6*100%</f>
        <v>2.5</v>
      </c>
      <c r="AT6" s="932">
        <v>20</v>
      </c>
      <c r="AU6" s="933">
        <v>3</v>
      </c>
      <c r="AV6" s="934">
        <v>0</v>
      </c>
      <c r="AW6" s="935">
        <f>(AV6+AU6)/AT6</f>
        <v>0.15</v>
      </c>
      <c r="AX6" s="936">
        <v>0.45454545454545497</v>
      </c>
      <c r="AY6" s="936">
        <v>0</v>
      </c>
      <c r="AZ6" s="937">
        <v>0</v>
      </c>
      <c r="BA6" s="937"/>
      <c r="BB6" s="937">
        <v>0</v>
      </c>
      <c r="BC6" s="938">
        <v>0</v>
      </c>
      <c r="BD6" s="893">
        <v>0</v>
      </c>
      <c r="BE6" s="939">
        <v>25</v>
      </c>
      <c r="BF6" s="940">
        <v>0.92857142857142905</v>
      </c>
      <c r="BG6" s="939">
        <v>20</v>
      </c>
      <c r="BH6" s="941">
        <v>0.125</v>
      </c>
      <c r="BI6" s="942">
        <v>100</v>
      </c>
      <c r="BJ6" s="943"/>
      <c r="BK6" s="944"/>
      <c r="BL6" s="945"/>
      <c r="BM6" s="945"/>
      <c r="BN6" s="945"/>
      <c r="BO6" s="946">
        <f>IF(BL6,BM6/BL6,0)</f>
        <v>0</v>
      </c>
      <c r="BP6" s="947"/>
      <c r="BQ6" s="947"/>
      <c r="BR6" s="948"/>
      <c r="BS6" s="949"/>
      <c r="BT6" s="949"/>
      <c r="BU6" s="950"/>
      <c r="BV6" s="951"/>
      <c r="BW6" s="951"/>
      <c r="BX6" s="945"/>
      <c r="BY6" s="945"/>
      <c r="BZ6" s="946">
        <f>IF(BX6,BY6/BX6,0)</f>
        <v>0</v>
      </c>
      <c r="CA6" s="945"/>
      <c r="CB6" s="945"/>
      <c r="CC6" s="946">
        <f>IF(CA6,CB6/CA6,0)</f>
        <v>0</v>
      </c>
      <c r="CD6" s="945"/>
      <c r="CE6" s="945"/>
      <c r="CF6" s="946">
        <f>IF(CD6,CE6/CD6,0)</f>
        <v>0</v>
      </c>
      <c r="CG6" s="945"/>
      <c r="CH6" s="945"/>
      <c r="CI6" s="946">
        <f>IF(CG6,CH6/CG6,0)</f>
        <v>0</v>
      </c>
      <c r="CJ6" s="952"/>
      <c r="CK6" s="952"/>
      <c r="CL6" s="953"/>
      <c r="CM6" s="953"/>
      <c r="CN6" s="954">
        <f>SUM(CJ6:CM6)</f>
        <v>0</v>
      </c>
      <c r="CO6" s="955"/>
      <c r="CP6" s="955"/>
      <c r="CQ6" s="955"/>
      <c r="CR6" s="956">
        <f>+CN6</f>
        <v>0</v>
      </c>
      <c r="CS6" s="957"/>
      <c r="CT6" s="958"/>
    </row>
    <row r="7" spans="1:98" s="837" customFormat="1" ht="21.15" customHeight="1">
      <c r="A7" s="903" t="s">
        <v>64</v>
      </c>
      <c r="B7" s="904">
        <v>250</v>
      </c>
      <c r="C7" s="905">
        <v>157</v>
      </c>
      <c r="D7" s="959">
        <v>62</v>
      </c>
      <c r="E7" s="905">
        <v>16</v>
      </c>
      <c r="F7" s="906">
        <f t="shared" ref="F7:F26" si="2">IF(B7,(C7+D7)/B7,0)</f>
        <v>0.876</v>
      </c>
      <c r="G7" s="905">
        <v>0</v>
      </c>
      <c r="H7" s="907">
        <f t="shared" ref="H7:H24" si="3">IF(B7,(C7+G7+D7)/B7,0)</f>
        <v>0.876</v>
      </c>
      <c r="I7" s="908">
        <v>237500</v>
      </c>
      <c r="J7" s="909">
        <v>268703.78000000003</v>
      </c>
      <c r="K7" s="910">
        <v>282381.78000000003</v>
      </c>
      <c r="L7" s="911">
        <f t="shared" ref="L7:L29" si="4">IF(I7,J7/I7,0)</f>
        <v>1.1313843368421099</v>
      </c>
      <c r="M7" s="912">
        <v>53000</v>
      </c>
      <c r="N7" s="913">
        <v>102631</v>
      </c>
      <c r="O7" s="914">
        <v>3360</v>
      </c>
      <c r="P7" s="915">
        <v>120</v>
      </c>
      <c r="Q7" s="915"/>
      <c r="R7" s="913">
        <v>1640</v>
      </c>
      <c r="S7" s="916">
        <v>100911</v>
      </c>
      <c r="T7" s="917">
        <v>0</v>
      </c>
      <c r="U7" s="918"/>
      <c r="V7" s="918">
        <v>52215.33</v>
      </c>
      <c r="W7" s="919">
        <f t="shared" ref="W7:W31" si="5">IF(M7,(V7)/M7,0)</f>
        <v>0.98519490566037704</v>
      </c>
      <c r="X7" s="920">
        <v>52215.33</v>
      </c>
      <c r="Y7" s="921">
        <v>23500</v>
      </c>
      <c r="Z7" s="922">
        <v>21178</v>
      </c>
      <c r="AA7" s="923">
        <v>0</v>
      </c>
      <c r="AB7" s="924">
        <f t="shared" si="0"/>
        <v>0.90119148936170201</v>
      </c>
      <c r="AC7" s="925">
        <v>18000</v>
      </c>
      <c r="AD7" s="925">
        <v>11526.67</v>
      </c>
      <c r="AE7" s="925">
        <v>2313</v>
      </c>
      <c r="AF7" s="924">
        <f t="shared" ref="AF7:AF33" si="6">IF(AC7,(AD7+AE7)/AC7,0)</f>
        <v>0.76887055555555595</v>
      </c>
      <c r="AG7" s="880">
        <v>0</v>
      </c>
      <c r="AH7" s="926">
        <v>35017.67</v>
      </c>
      <c r="AI7" s="880">
        <v>13000</v>
      </c>
      <c r="AJ7" s="880">
        <v>13798</v>
      </c>
      <c r="AK7" s="927">
        <f t="shared" ref="AK7:AK11" si="7">IF(AI7,(AJ7)/AI7,0)</f>
        <v>1.06138461538462</v>
      </c>
      <c r="AL7" s="928">
        <v>0</v>
      </c>
      <c r="AM7" s="929">
        <v>13000</v>
      </c>
      <c r="AN7" s="929">
        <v>181470.78</v>
      </c>
      <c r="AO7" s="929">
        <v>0</v>
      </c>
      <c r="AP7" s="924">
        <f t="shared" si="1"/>
        <v>13.959290769230799</v>
      </c>
      <c r="AQ7" s="930">
        <v>12</v>
      </c>
      <c r="AR7" s="930">
        <v>21</v>
      </c>
      <c r="AS7" s="931">
        <f t="shared" ref="AS7:AS24" si="8">AR7/AQ7*100%</f>
        <v>1.75</v>
      </c>
      <c r="AT7" s="932">
        <v>20</v>
      </c>
      <c r="AU7" s="933">
        <v>10</v>
      </c>
      <c r="AV7" s="934">
        <v>0</v>
      </c>
      <c r="AW7" s="935">
        <f t="shared" ref="AW7:AW29" si="9">(AV7+AU7)/AT7</f>
        <v>0.5</v>
      </c>
      <c r="AX7" s="960">
        <v>0.42156862745098</v>
      </c>
      <c r="AY7" s="960">
        <v>0</v>
      </c>
      <c r="AZ7" s="937">
        <v>0</v>
      </c>
      <c r="BA7" s="937"/>
      <c r="BB7" s="937">
        <v>0</v>
      </c>
      <c r="BC7" s="938">
        <v>0</v>
      </c>
      <c r="BD7" s="893">
        <v>0</v>
      </c>
      <c r="BE7" s="939">
        <v>25</v>
      </c>
      <c r="BF7" s="940">
        <v>1.5</v>
      </c>
      <c r="BG7" s="939">
        <v>90</v>
      </c>
      <c r="BH7" s="941">
        <v>0.375</v>
      </c>
      <c r="BI7" s="943">
        <v>100</v>
      </c>
      <c r="BJ7" s="943"/>
      <c r="BK7" s="944"/>
      <c r="BL7" s="945"/>
      <c r="BM7" s="945"/>
      <c r="BN7" s="945"/>
      <c r="BO7" s="946">
        <f>IF(BL7,BM7/BL7,0)</f>
        <v>0</v>
      </c>
      <c r="BP7" s="947"/>
      <c r="BQ7" s="947"/>
      <c r="BR7" s="948"/>
      <c r="BS7" s="949"/>
      <c r="BT7" s="949"/>
      <c r="BU7" s="950"/>
      <c r="BV7" s="951"/>
      <c r="BW7" s="951"/>
      <c r="BX7" s="945"/>
      <c r="BY7" s="945"/>
      <c r="BZ7" s="946">
        <f>IF(BX7,BY7/BX7,0)</f>
        <v>0</v>
      </c>
      <c r="CA7" s="945"/>
      <c r="CB7" s="945"/>
      <c r="CC7" s="946">
        <f>IF(CA7,CB7/CA7,0)</f>
        <v>0</v>
      </c>
      <c r="CD7" s="945"/>
      <c r="CE7" s="945"/>
      <c r="CF7" s="946">
        <f>IF(CD7,CE7/CD7,0)</f>
        <v>0</v>
      </c>
      <c r="CG7" s="945"/>
      <c r="CH7" s="945"/>
      <c r="CI7" s="946">
        <f>IF(CG7,CH7/CG7,0)</f>
        <v>0</v>
      </c>
      <c r="CJ7" s="952"/>
      <c r="CK7" s="952"/>
      <c r="CL7" s="953"/>
      <c r="CM7" s="953"/>
      <c r="CN7" s="954">
        <f>SUM(CJ7:CM7)</f>
        <v>0</v>
      </c>
      <c r="CO7" s="955"/>
      <c r="CP7" s="955"/>
      <c r="CQ7" s="955"/>
      <c r="CR7" s="956">
        <f>+CN7</f>
        <v>0</v>
      </c>
      <c r="CS7" s="957"/>
    </row>
    <row r="8" spans="1:98" s="837" customFormat="1" ht="21.15" customHeight="1">
      <c r="A8" s="903" t="s">
        <v>62</v>
      </c>
      <c r="B8" s="904">
        <v>250</v>
      </c>
      <c r="C8" s="905">
        <v>101</v>
      </c>
      <c r="D8" s="959">
        <v>43</v>
      </c>
      <c r="E8" s="905">
        <v>15</v>
      </c>
      <c r="F8" s="906">
        <f t="shared" si="2"/>
        <v>0.57599999999999996</v>
      </c>
      <c r="G8" s="905">
        <v>0</v>
      </c>
      <c r="H8" s="907">
        <f t="shared" si="3"/>
        <v>0.57599999999999996</v>
      </c>
      <c r="I8" s="908">
        <v>237500</v>
      </c>
      <c r="J8" s="909">
        <v>144628.97</v>
      </c>
      <c r="K8" s="910">
        <v>152516.97</v>
      </c>
      <c r="L8" s="911">
        <f t="shared" si="4"/>
        <v>0.60896408421052595</v>
      </c>
      <c r="M8" s="912">
        <v>53000</v>
      </c>
      <c r="N8" s="913">
        <v>75157</v>
      </c>
      <c r="O8" s="914">
        <v>3812</v>
      </c>
      <c r="P8" s="915">
        <v>68</v>
      </c>
      <c r="Q8" s="915"/>
      <c r="R8" s="913">
        <v>0</v>
      </c>
      <c r="S8" s="916">
        <v>71345</v>
      </c>
      <c r="T8" s="917">
        <v>0</v>
      </c>
      <c r="U8" s="918"/>
      <c r="V8" s="918">
        <v>40928.32</v>
      </c>
      <c r="W8" s="919">
        <f t="shared" si="5"/>
        <v>0.77223245283018904</v>
      </c>
      <c r="X8" s="920">
        <v>40928.32</v>
      </c>
      <c r="Y8" s="921">
        <v>23500</v>
      </c>
      <c r="Z8" s="922">
        <v>15196</v>
      </c>
      <c r="AA8" s="923">
        <v>0</v>
      </c>
      <c r="AB8" s="924">
        <f t="shared" si="0"/>
        <v>0.64663829787233995</v>
      </c>
      <c r="AC8" s="925">
        <v>18000</v>
      </c>
      <c r="AD8" s="925">
        <v>7058.68</v>
      </c>
      <c r="AE8" s="925">
        <v>274</v>
      </c>
      <c r="AF8" s="924">
        <f t="shared" si="6"/>
        <v>0.40737111111111102</v>
      </c>
      <c r="AG8" s="880">
        <v>0</v>
      </c>
      <c r="AH8" s="926">
        <v>22528.68</v>
      </c>
      <c r="AI8" s="880">
        <v>13000</v>
      </c>
      <c r="AJ8" s="880">
        <v>7956</v>
      </c>
      <c r="AK8" s="927">
        <f t="shared" si="7"/>
        <v>0.61199999999999999</v>
      </c>
      <c r="AL8" s="928">
        <v>0</v>
      </c>
      <c r="AM8" s="929">
        <v>13000</v>
      </c>
      <c r="AN8" s="929">
        <v>81171.97</v>
      </c>
      <c r="AO8" s="929">
        <v>0</v>
      </c>
      <c r="AP8" s="924">
        <f t="shared" si="1"/>
        <v>6.2439976923076896</v>
      </c>
      <c r="AQ8" s="930">
        <v>12</v>
      </c>
      <c r="AR8" s="930">
        <v>17</v>
      </c>
      <c r="AS8" s="931">
        <f t="shared" si="8"/>
        <v>1.4166666666666701</v>
      </c>
      <c r="AT8" s="932">
        <v>20</v>
      </c>
      <c r="AU8" s="933">
        <v>6</v>
      </c>
      <c r="AV8" s="934">
        <v>0</v>
      </c>
      <c r="AW8" s="935">
        <f t="shared" si="9"/>
        <v>0.3</v>
      </c>
      <c r="AX8" s="960">
        <v>0.35294117647058798</v>
      </c>
      <c r="AY8" s="960">
        <v>0</v>
      </c>
      <c r="AZ8" s="937">
        <v>0</v>
      </c>
      <c r="BA8" s="937"/>
      <c r="BB8" s="937">
        <v>0</v>
      </c>
      <c r="BC8" s="938">
        <v>0</v>
      </c>
      <c r="BD8" s="893">
        <v>0</v>
      </c>
      <c r="BE8" s="939">
        <v>0</v>
      </c>
      <c r="BF8" s="940">
        <v>0.875</v>
      </c>
      <c r="BG8" s="939">
        <v>0</v>
      </c>
      <c r="BH8" s="941">
        <v>0</v>
      </c>
      <c r="BI8" s="943">
        <v>91.176470588235304</v>
      </c>
      <c r="BJ8" s="943"/>
      <c r="BK8" s="944"/>
      <c r="BL8" s="945"/>
      <c r="BM8" s="945"/>
      <c r="BN8" s="945"/>
      <c r="BO8" s="946">
        <f>IF(BL8,BM8/BL8,0)</f>
        <v>0</v>
      </c>
      <c r="BP8" s="947"/>
      <c r="BQ8" s="947"/>
      <c r="BR8" s="948"/>
      <c r="BS8" s="949"/>
      <c r="BT8" s="949"/>
      <c r="BU8" s="950"/>
      <c r="BV8" s="951"/>
      <c r="BW8" s="951"/>
      <c r="BX8" s="945"/>
      <c r="BY8" s="945"/>
      <c r="BZ8" s="946">
        <f>IF(BX8,BY8/BX8,0)</f>
        <v>0</v>
      </c>
      <c r="CA8" s="945"/>
      <c r="CB8" s="945"/>
      <c r="CC8" s="946">
        <f>IF(CA8,CB8/CA8,0)</f>
        <v>0</v>
      </c>
      <c r="CD8" s="945"/>
      <c r="CE8" s="945"/>
      <c r="CF8" s="946">
        <f>IF(CD8,CE8/CD8,0)</f>
        <v>0</v>
      </c>
      <c r="CG8" s="945"/>
      <c r="CH8" s="945"/>
      <c r="CI8" s="946">
        <f>IF(CG8,CH8/CG8,0)</f>
        <v>0</v>
      </c>
      <c r="CJ8" s="952"/>
      <c r="CK8" s="952"/>
      <c r="CL8" s="953"/>
      <c r="CM8" s="953"/>
      <c r="CN8" s="954">
        <f>SUM(CJ8:CM8)</f>
        <v>0</v>
      </c>
      <c r="CO8" s="955"/>
      <c r="CP8" s="955"/>
      <c r="CQ8" s="955"/>
      <c r="CR8" s="956">
        <f>+CN8</f>
        <v>0</v>
      </c>
      <c r="CS8" s="957"/>
    </row>
    <row r="9" spans="1:98" s="837" customFormat="1" ht="21.15" customHeight="1">
      <c r="A9" s="903" t="s">
        <v>61</v>
      </c>
      <c r="B9" s="904">
        <v>250</v>
      </c>
      <c r="C9" s="905">
        <v>192</v>
      </c>
      <c r="D9" s="959">
        <v>60</v>
      </c>
      <c r="E9" s="905">
        <v>36</v>
      </c>
      <c r="F9" s="906">
        <f t="shared" si="2"/>
        <v>1.008</v>
      </c>
      <c r="G9" s="905">
        <v>0</v>
      </c>
      <c r="H9" s="907">
        <f t="shared" si="3"/>
        <v>1.008</v>
      </c>
      <c r="I9" s="908">
        <v>237500</v>
      </c>
      <c r="J9" s="909">
        <v>232718.35</v>
      </c>
      <c r="K9" s="910">
        <v>244855.35</v>
      </c>
      <c r="L9" s="911">
        <f t="shared" si="4"/>
        <v>0.97986673684210601</v>
      </c>
      <c r="M9" s="912">
        <v>53000</v>
      </c>
      <c r="N9" s="913">
        <v>111333</v>
      </c>
      <c r="O9" s="914">
        <v>4117.5</v>
      </c>
      <c r="P9" s="915">
        <v>801</v>
      </c>
      <c r="Q9" s="915"/>
      <c r="R9" s="913">
        <v>0</v>
      </c>
      <c r="S9" s="916">
        <v>107215.5</v>
      </c>
      <c r="T9" s="917">
        <v>0</v>
      </c>
      <c r="U9" s="918"/>
      <c r="V9" s="918">
        <v>64872.61</v>
      </c>
      <c r="W9" s="919">
        <f t="shared" si="5"/>
        <v>1.2240115094339601</v>
      </c>
      <c r="X9" s="920">
        <v>64872.61</v>
      </c>
      <c r="Y9" s="921">
        <v>23500</v>
      </c>
      <c r="Z9" s="922">
        <v>18046</v>
      </c>
      <c r="AA9" s="923">
        <v>0</v>
      </c>
      <c r="AB9" s="924">
        <f t="shared" si="0"/>
        <v>0.76791489361702103</v>
      </c>
      <c r="AC9" s="925">
        <v>18000</v>
      </c>
      <c r="AD9" s="925">
        <v>9421.89</v>
      </c>
      <c r="AE9" s="925">
        <v>2738</v>
      </c>
      <c r="AF9" s="924">
        <f t="shared" si="6"/>
        <v>0.67554944444444498</v>
      </c>
      <c r="AG9" s="880">
        <v>0</v>
      </c>
      <c r="AH9" s="926">
        <v>30205.89</v>
      </c>
      <c r="AI9" s="880">
        <v>13000</v>
      </c>
      <c r="AJ9" s="880">
        <v>12938</v>
      </c>
      <c r="AK9" s="927">
        <f t="shared" si="7"/>
        <v>0.99523076923076903</v>
      </c>
      <c r="AL9" s="928">
        <v>0</v>
      </c>
      <c r="AM9" s="929">
        <v>13000</v>
      </c>
      <c r="AN9" s="929">
        <v>137639.85</v>
      </c>
      <c r="AO9" s="929">
        <v>0</v>
      </c>
      <c r="AP9" s="924">
        <f t="shared" si="1"/>
        <v>10.587680769230801</v>
      </c>
      <c r="AQ9" s="930">
        <v>12</v>
      </c>
      <c r="AR9" s="930">
        <v>18</v>
      </c>
      <c r="AS9" s="931">
        <f t="shared" si="8"/>
        <v>1.5</v>
      </c>
      <c r="AT9" s="932">
        <v>20</v>
      </c>
      <c r="AU9" s="933">
        <v>7</v>
      </c>
      <c r="AV9" s="934">
        <v>2</v>
      </c>
      <c r="AW9" s="935">
        <f t="shared" si="9"/>
        <v>0.45</v>
      </c>
      <c r="AX9" s="960">
        <v>0.49</v>
      </c>
      <c r="AY9" s="960">
        <v>0</v>
      </c>
      <c r="AZ9" s="937">
        <v>0</v>
      </c>
      <c r="BA9" s="937"/>
      <c r="BB9" s="937">
        <v>0</v>
      </c>
      <c r="BC9" s="938">
        <v>0</v>
      </c>
      <c r="BD9" s="893">
        <v>0</v>
      </c>
      <c r="BE9" s="939">
        <v>50</v>
      </c>
      <c r="BF9" s="940">
        <v>0.83333333333333304</v>
      </c>
      <c r="BG9" s="939">
        <v>100</v>
      </c>
      <c r="BH9" s="941">
        <v>0.625</v>
      </c>
      <c r="BI9" s="943">
        <v>100</v>
      </c>
      <c r="BJ9" s="943"/>
      <c r="BK9" s="944"/>
      <c r="BL9" s="945"/>
      <c r="BM9" s="945"/>
      <c r="BN9" s="945"/>
      <c r="BO9" s="946">
        <f>IF(BL9,BM9/BL9,0)</f>
        <v>0</v>
      </c>
      <c r="BP9" s="947"/>
      <c r="BQ9" s="947"/>
      <c r="BR9" s="948"/>
      <c r="BS9" s="949"/>
      <c r="BT9" s="949"/>
      <c r="BU9" s="950"/>
      <c r="BV9" s="951"/>
      <c r="BW9" s="951"/>
      <c r="BX9" s="945"/>
      <c r="BY9" s="945"/>
      <c r="BZ9" s="946">
        <f>IF(BX9,BY9/BX9,0)</f>
        <v>0</v>
      </c>
      <c r="CA9" s="945"/>
      <c r="CB9" s="945"/>
      <c r="CC9" s="946">
        <f>IF(CA9,CB9/CA9,0)</f>
        <v>0</v>
      </c>
      <c r="CD9" s="945"/>
      <c r="CE9" s="945"/>
      <c r="CF9" s="946">
        <f>IF(CD9,CE9/CD9,0)</f>
        <v>0</v>
      </c>
      <c r="CG9" s="945"/>
      <c r="CH9" s="945"/>
      <c r="CI9" s="946">
        <f>IF(CG9,CH9/CG9,0)</f>
        <v>0</v>
      </c>
      <c r="CJ9" s="952"/>
      <c r="CK9" s="952"/>
      <c r="CL9" s="953"/>
      <c r="CM9" s="953"/>
      <c r="CN9" s="954">
        <f>SUM(CJ9:CM9)</f>
        <v>0</v>
      </c>
      <c r="CO9" s="955"/>
      <c r="CP9" s="955"/>
      <c r="CQ9" s="955"/>
      <c r="CR9" s="956">
        <f>+CN9</f>
        <v>0</v>
      </c>
      <c r="CS9" s="957"/>
    </row>
    <row r="10" spans="1:98" s="837" customFormat="1" ht="21.15" customHeight="1">
      <c r="A10" s="903" t="s">
        <v>68</v>
      </c>
      <c r="B10" s="904">
        <v>250</v>
      </c>
      <c r="C10" s="905">
        <v>163</v>
      </c>
      <c r="D10" s="959">
        <v>65</v>
      </c>
      <c r="E10" s="905">
        <v>22</v>
      </c>
      <c r="F10" s="906">
        <f t="shared" si="2"/>
        <v>0.91200000000000003</v>
      </c>
      <c r="G10" s="905">
        <v>0</v>
      </c>
      <c r="H10" s="907">
        <f t="shared" si="3"/>
        <v>0.91200000000000003</v>
      </c>
      <c r="I10" s="908">
        <v>237500</v>
      </c>
      <c r="J10" s="909">
        <v>201199.78</v>
      </c>
      <c r="K10" s="910">
        <v>210085.78</v>
      </c>
      <c r="L10" s="911">
        <f t="shared" si="4"/>
        <v>0.84715696842105304</v>
      </c>
      <c r="M10" s="912">
        <v>53000</v>
      </c>
      <c r="N10" s="913">
        <v>86264</v>
      </c>
      <c r="O10" s="914">
        <v>3617</v>
      </c>
      <c r="P10" s="915">
        <v>280</v>
      </c>
      <c r="Q10" s="915"/>
      <c r="R10" s="913">
        <v>0</v>
      </c>
      <c r="S10" s="916">
        <v>82647</v>
      </c>
      <c r="T10" s="917">
        <v>0</v>
      </c>
      <c r="U10" s="918"/>
      <c r="V10" s="918">
        <v>37049.08</v>
      </c>
      <c r="W10" s="919">
        <f t="shared" si="5"/>
        <v>0.69903924528301897</v>
      </c>
      <c r="X10" s="920">
        <v>37049.08</v>
      </c>
      <c r="Y10" s="921">
        <v>23500</v>
      </c>
      <c r="Z10" s="922">
        <v>26049.27</v>
      </c>
      <c r="AA10" s="923">
        <v>0</v>
      </c>
      <c r="AB10" s="924">
        <f t="shared" si="0"/>
        <v>1.10847957446808</v>
      </c>
      <c r="AC10" s="925">
        <v>18000</v>
      </c>
      <c r="AD10" s="925">
        <v>10574.65</v>
      </c>
      <c r="AE10" s="925">
        <v>88</v>
      </c>
      <c r="AF10" s="924">
        <f t="shared" si="6"/>
        <v>0.59236944444444495</v>
      </c>
      <c r="AG10" s="880">
        <v>0</v>
      </c>
      <c r="AH10" s="926">
        <v>36711.919999999998</v>
      </c>
      <c r="AI10" s="880">
        <v>13000</v>
      </c>
      <c r="AJ10" s="880">
        <v>9166</v>
      </c>
      <c r="AK10" s="927">
        <f t="shared" si="7"/>
        <v>0.70507692307692305</v>
      </c>
      <c r="AL10" s="928">
        <v>0</v>
      </c>
      <c r="AM10" s="929">
        <v>13000</v>
      </c>
      <c r="AN10" s="929">
        <v>127438.78</v>
      </c>
      <c r="AO10" s="929">
        <v>0</v>
      </c>
      <c r="AP10" s="924">
        <f t="shared" si="1"/>
        <v>9.8029830769230895</v>
      </c>
      <c r="AQ10" s="930">
        <v>12</v>
      </c>
      <c r="AR10" s="930">
        <v>26</v>
      </c>
      <c r="AS10" s="931">
        <f t="shared" si="8"/>
        <v>2.1666666666666701</v>
      </c>
      <c r="AT10" s="932">
        <v>20</v>
      </c>
      <c r="AU10" s="933">
        <v>9</v>
      </c>
      <c r="AV10" s="934">
        <v>0</v>
      </c>
      <c r="AW10" s="935">
        <f t="shared" si="9"/>
        <v>0.45</v>
      </c>
      <c r="AX10" s="960">
        <v>0.36842105263157898</v>
      </c>
      <c r="AY10" s="960">
        <v>0</v>
      </c>
      <c r="AZ10" s="937">
        <v>0</v>
      </c>
      <c r="BA10" s="937"/>
      <c r="BB10" s="937">
        <v>0</v>
      </c>
      <c r="BC10" s="938">
        <v>0</v>
      </c>
      <c r="BD10" s="893">
        <v>0</v>
      </c>
      <c r="BE10" s="939">
        <v>50</v>
      </c>
      <c r="BF10" s="940">
        <v>1</v>
      </c>
      <c r="BG10" s="939">
        <v>60</v>
      </c>
      <c r="BH10" s="941">
        <v>0.375</v>
      </c>
      <c r="BI10" s="943">
        <v>100</v>
      </c>
      <c r="BJ10" s="943"/>
      <c r="BK10" s="944"/>
      <c r="BL10" s="945"/>
      <c r="BM10" s="945"/>
      <c r="BN10" s="945"/>
      <c r="BO10" s="946">
        <f t="shared" ref="BO10:BO17" si="10">IF(BL10,BM10/BL10,0)</f>
        <v>0</v>
      </c>
      <c r="BP10" s="947"/>
      <c r="BQ10" s="947"/>
      <c r="BR10" s="948"/>
      <c r="BS10" s="949"/>
      <c r="BT10" s="949"/>
      <c r="BU10" s="950"/>
      <c r="BV10" s="951"/>
      <c r="BW10" s="951"/>
      <c r="BX10" s="945"/>
      <c r="BY10" s="945"/>
      <c r="BZ10" s="946">
        <f t="shared" ref="BZ10:BZ17" si="11">IF(BX10,BY10/BX10,0)</f>
        <v>0</v>
      </c>
      <c r="CA10" s="945"/>
      <c r="CB10" s="945"/>
      <c r="CC10" s="946">
        <f t="shared" ref="CC10:CC17" si="12">IF(CA10,CB10/CA10,0)</f>
        <v>0</v>
      </c>
      <c r="CD10" s="945"/>
      <c r="CE10" s="945"/>
      <c r="CF10" s="946">
        <f t="shared" ref="CF10:CF17" si="13">IF(CD10,CE10/CD10,0)</f>
        <v>0</v>
      </c>
      <c r="CG10" s="945"/>
      <c r="CH10" s="945"/>
      <c r="CI10" s="946">
        <f t="shared" ref="CI10:CI17" si="14">IF(CG10,CH10/CG10,0)</f>
        <v>0</v>
      </c>
      <c r="CJ10" s="952"/>
      <c r="CK10" s="952"/>
      <c r="CL10" s="953"/>
      <c r="CM10" s="953"/>
      <c r="CN10" s="954">
        <f t="shared" ref="CN10:CN17" si="15">SUM(CJ10:CM10)</f>
        <v>0</v>
      </c>
      <c r="CO10" s="955"/>
      <c r="CP10" s="955"/>
      <c r="CQ10" s="955"/>
      <c r="CR10" s="956">
        <f t="shared" ref="CR10:CR19" si="16">+CN10</f>
        <v>0</v>
      </c>
      <c r="CS10" s="957"/>
    </row>
    <row r="11" spans="1:98" s="837" customFormat="1" ht="21.15" customHeight="1">
      <c r="A11" s="903" t="s">
        <v>69</v>
      </c>
      <c r="B11" s="904">
        <v>250</v>
      </c>
      <c r="C11" s="905">
        <v>204</v>
      </c>
      <c r="D11" s="959">
        <v>76</v>
      </c>
      <c r="E11" s="905">
        <v>39</v>
      </c>
      <c r="F11" s="906">
        <f t="shared" si="2"/>
        <v>1.1200000000000001</v>
      </c>
      <c r="G11" s="905">
        <v>0</v>
      </c>
      <c r="H11" s="907">
        <f t="shared" si="3"/>
        <v>1.1200000000000001</v>
      </c>
      <c r="I11" s="908">
        <v>237500</v>
      </c>
      <c r="J11" s="909">
        <v>326841.31</v>
      </c>
      <c r="K11" s="910">
        <v>345440.31</v>
      </c>
      <c r="L11" s="911">
        <f t="shared" si="4"/>
        <v>1.37617393684211</v>
      </c>
      <c r="M11" s="912">
        <v>53000</v>
      </c>
      <c r="N11" s="913">
        <v>133239</v>
      </c>
      <c r="O11" s="914">
        <v>6390.72</v>
      </c>
      <c r="P11" s="915">
        <v>635</v>
      </c>
      <c r="Q11" s="915"/>
      <c r="R11" s="913">
        <v>3961</v>
      </c>
      <c r="S11" s="916">
        <v>130809.28</v>
      </c>
      <c r="T11" s="917">
        <v>0</v>
      </c>
      <c r="U11" s="918"/>
      <c r="V11" s="918">
        <v>69332.350000000006</v>
      </c>
      <c r="W11" s="919">
        <f t="shared" si="5"/>
        <v>1.3081575471698099</v>
      </c>
      <c r="X11" s="920">
        <v>69332.350000000006</v>
      </c>
      <c r="Y11" s="921">
        <v>23500</v>
      </c>
      <c r="Z11" s="922">
        <v>23402</v>
      </c>
      <c r="AA11" s="923">
        <v>0</v>
      </c>
      <c r="AB11" s="924">
        <f t="shared" si="0"/>
        <v>0.99582978723404303</v>
      </c>
      <c r="AC11" s="925">
        <v>18000</v>
      </c>
      <c r="AD11" s="925">
        <v>16631.93</v>
      </c>
      <c r="AE11" s="925">
        <v>2844</v>
      </c>
      <c r="AF11" s="924">
        <f t="shared" si="6"/>
        <v>1.08199611111111</v>
      </c>
      <c r="AG11" s="880">
        <v>2600</v>
      </c>
      <c r="AH11" s="926">
        <v>42877.93</v>
      </c>
      <c r="AI11" s="880">
        <v>13000</v>
      </c>
      <c r="AJ11" s="880">
        <v>16634</v>
      </c>
      <c r="AK11" s="927">
        <f t="shared" si="7"/>
        <v>1.27953846153846</v>
      </c>
      <c r="AL11" s="928">
        <v>158</v>
      </c>
      <c r="AM11" s="929">
        <v>13000</v>
      </c>
      <c r="AN11" s="929">
        <v>214631.03</v>
      </c>
      <c r="AO11" s="929">
        <v>0</v>
      </c>
      <c r="AP11" s="924">
        <f t="shared" si="1"/>
        <v>16.5100792307693</v>
      </c>
      <c r="AQ11" s="930">
        <v>12</v>
      </c>
      <c r="AR11" s="930">
        <v>25</v>
      </c>
      <c r="AS11" s="931">
        <f t="shared" si="8"/>
        <v>2.0833333333333299</v>
      </c>
      <c r="AT11" s="932">
        <v>20</v>
      </c>
      <c r="AU11" s="933">
        <v>6</v>
      </c>
      <c r="AV11" s="934">
        <v>3</v>
      </c>
      <c r="AW11" s="935">
        <f t="shared" si="9"/>
        <v>0.45</v>
      </c>
      <c r="AX11" s="960">
        <v>0.32</v>
      </c>
      <c r="AY11" s="960">
        <v>0</v>
      </c>
      <c r="AZ11" s="937">
        <v>0</v>
      </c>
      <c r="BA11" s="937"/>
      <c r="BB11" s="937">
        <v>0</v>
      </c>
      <c r="BC11" s="938">
        <v>0</v>
      </c>
      <c r="BD11" s="893">
        <v>0</v>
      </c>
      <c r="BE11" s="939">
        <v>75</v>
      </c>
      <c r="BF11" s="940">
        <v>0.7</v>
      </c>
      <c r="BG11" s="939">
        <v>20</v>
      </c>
      <c r="BH11" s="941">
        <v>0.125</v>
      </c>
      <c r="BI11" s="943">
        <v>100</v>
      </c>
      <c r="BJ11" s="943"/>
      <c r="BK11" s="944"/>
      <c r="BL11" s="945"/>
      <c r="BM11" s="945"/>
      <c r="BN11" s="945"/>
      <c r="BO11" s="946">
        <f t="shared" si="10"/>
        <v>0</v>
      </c>
      <c r="BP11" s="947"/>
      <c r="BQ11" s="947"/>
      <c r="BR11" s="948"/>
      <c r="BS11" s="949"/>
      <c r="BT11" s="949"/>
      <c r="BU11" s="950"/>
      <c r="BV11" s="951"/>
      <c r="BW11" s="951"/>
      <c r="BX11" s="945"/>
      <c r="BY11" s="945"/>
      <c r="BZ11" s="946">
        <f t="shared" si="11"/>
        <v>0</v>
      </c>
      <c r="CA11" s="945"/>
      <c r="CB11" s="945"/>
      <c r="CC11" s="946">
        <f t="shared" si="12"/>
        <v>0</v>
      </c>
      <c r="CD11" s="945"/>
      <c r="CE11" s="945"/>
      <c r="CF11" s="946">
        <f t="shared" si="13"/>
        <v>0</v>
      </c>
      <c r="CG11" s="945"/>
      <c r="CH11" s="945"/>
      <c r="CI11" s="946">
        <f t="shared" si="14"/>
        <v>0</v>
      </c>
      <c r="CJ11" s="952"/>
      <c r="CK11" s="952"/>
      <c r="CL11" s="953"/>
      <c r="CM11" s="953"/>
      <c r="CN11" s="954">
        <f t="shared" si="15"/>
        <v>0</v>
      </c>
      <c r="CO11" s="955"/>
      <c r="CP11" s="955"/>
      <c r="CQ11" s="955"/>
      <c r="CR11" s="956">
        <f t="shared" si="16"/>
        <v>0</v>
      </c>
      <c r="CS11" s="957"/>
    </row>
    <row r="12" spans="1:98" s="837" customFormat="1" ht="21.15" customHeight="1">
      <c r="A12" s="903" t="s">
        <v>511</v>
      </c>
      <c r="B12" s="904"/>
      <c r="C12" s="905"/>
      <c r="D12" s="959"/>
      <c r="E12" s="905"/>
      <c r="F12" s="906">
        <f t="shared" si="2"/>
        <v>0</v>
      </c>
      <c r="G12" s="905"/>
      <c r="H12" s="907">
        <f t="shared" si="3"/>
        <v>0</v>
      </c>
      <c r="I12" s="908"/>
      <c r="J12" s="909"/>
      <c r="K12" s="910"/>
      <c r="L12" s="911">
        <f t="shared" si="4"/>
        <v>0</v>
      </c>
      <c r="M12" s="912"/>
      <c r="N12" s="913"/>
      <c r="O12" s="914"/>
      <c r="P12" s="915"/>
      <c r="Q12" s="915"/>
      <c r="R12" s="913"/>
      <c r="S12" s="916"/>
      <c r="T12" s="917"/>
      <c r="U12" s="918"/>
      <c r="V12" s="918"/>
      <c r="W12" s="919">
        <f t="shared" si="5"/>
        <v>0</v>
      </c>
      <c r="X12" s="920"/>
      <c r="Y12" s="921"/>
      <c r="Z12" s="922"/>
      <c r="AA12" s="923"/>
      <c r="AB12" s="924">
        <f t="shared" ref="AB12:AB14" si="17">IF(Y12,Z12/Y12,0)</f>
        <v>0</v>
      </c>
      <c r="AC12" s="925"/>
      <c r="AD12" s="925"/>
      <c r="AE12" s="925"/>
      <c r="AF12" s="924">
        <f t="shared" si="6"/>
        <v>0</v>
      </c>
      <c r="AG12" s="880"/>
      <c r="AH12" s="926"/>
      <c r="AI12" s="880"/>
      <c r="AJ12" s="880"/>
      <c r="AK12" s="927">
        <f t="shared" ref="AK12:AK14" si="18">IF(AI12,(AJ12)/AI12,0)</f>
        <v>0</v>
      </c>
      <c r="AL12" s="928"/>
      <c r="AM12" s="929"/>
      <c r="AN12" s="929"/>
      <c r="AO12" s="929"/>
      <c r="AP12" s="924">
        <f t="shared" si="1"/>
        <v>0</v>
      </c>
      <c r="AQ12" s="930"/>
      <c r="AR12" s="930"/>
      <c r="AS12" s="931" t="e">
        <f t="shared" ref="AS12:AS14" si="19">AR12/AQ12*100%</f>
        <v>#DIV/0!</v>
      </c>
      <c r="AT12" s="932"/>
      <c r="AU12" s="933"/>
      <c r="AV12" s="934"/>
      <c r="AW12" s="935" t="e">
        <f t="shared" si="9"/>
        <v>#DIV/0!</v>
      </c>
      <c r="AX12" s="960"/>
      <c r="AY12" s="960"/>
      <c r="AZ12" s="937"/>
      <c r="BA12" s="937"/>
      <c r="BB12" s="937"/>
      <c r="BC12" s="938"/>
      <c r="BD12" s="893"/>
      <c r="BE12" s="939"/>
      <c r="BF12" s="940"/>
      <c r="BG12" s="939"/>
      <c r="BH12" s="941"/>
      <c r="BI12" s="943"/>
      <c r="BJ12" s="943"/>
      <c r="BK12" s="944"/>
      <c r="BL12" s="945"/>
      <c r="BM12" s="945"/>
      <c r="BN12" s="945"/>
      <c r="BO12" s="946">
        <f t="shared" ref="BO12:BO14" si="20">IF(BL12,BM12/BL12,0)</f>
        <v>0</v>
      </c>
      <c r="BP12" s="947"/>
      <c r="BQ12" s="947"/>
      <c r="BR12" s="948"/>
      <c r="BS12" s="949"/>
      <c r="BT12" s="949"/>
      <c r="BU12" s="950"/>
      <c r="BV12" s="951"/>
      <c r="BW12" s="951"/>
      <c r="BX12" s="945"/>
      <c r="BY12" s="945"/>
      <c r="BZ12" s="946">
        <f t="shared" ref="BZ12" si="21">IF(BX12,BY12/BX12,0)</f>
        <v>0</v>
      </c>
      <c r="CA12" s="945"/>
      <c r="CB12" s="945"/>
      <c r="CC12" s="946">
        <f t="shared" ref="CC12" si="22">IF(CA12,CB12/CA12,0)</f>
        <v>0</v>
      </c>
      <c r="CD12" s="945"/>
      <c r="CE12" s="945"/>
      <c r="CF12" s="946">
        <f t="shared" ref="CF12" si="23">IF(CD12,CE12/CD12,0)</f>
        <v>0</v>
      </c>
      <c r="CG12" s="945"/>
      <c r="CH12" s="945"/>
      <c r="CI12" s="946">
        <f t="shared" ref="CI12" si="24">IF(CG12,CH12/CG12,0)</f>
        <v>0</v>
      </c>
      <c r="CJ12" s="952"/>
      <c r="CK12" s="952"/>
      <c r="CL12" s="953"/>
      <c r="CM12" s="953"/>
      <c r="CN12" s="954">
        <f t="shared" ref="CN12" si="25">SUM(CJ12:CM12)</f>
        <v>0</v>
      </c>
      <c r="CO12" s="955"/>
      <c r="CP12" s="955"/>
      <c r="CQ12" s="955"/>
      <c r="CR12" s="956">
        <f t="shared" ref="CR12" si="26">+CN12</f>
        <v>0</v>
      </c>
      <c r="CS12" s="957"/>
    </row>
    <row r="13" spans="1:98" s="837" customFormat="1" ht="21.15" customHeight="1">
      <c r="A13" s="903" t="s">
        <v>512</v>
      </c>
      <c r="B13" s="904"/>
      <c r="C13" s="905"/>
      <c r="D13" s="959"/>
      <c r="E13" s="905"/>
      <c r="F13" s="906">
        <f t="shared" si="2"/>
        <v>0</v>
      </c>
      <c r="G13" s="905"/>
      <c r="H13" s="907">
        <f t="shared" si="3"/>
        <v>0</v>
      </c>
      <c r="I13" s="908"/>
      <c r="J13" s="909"/>
      <c r="K13" s="910"/>
      <c r="L13" s="911">
        <f t="shared" si="4"/>
        <v>0</v>
      </c>
      <c r="M13" s="961"/>
      <c r="N13" s="913"/>
      <c r="O13" s="914"/>
      <c r="P13" s="915"/>
      <c r="Q13" s="915"/>
      <c r="R13" s="913"/>
      <c r="S13" s="916"/>
      <c r="T13" s="917"/>
      <c r="U13" s="918"/>
      <c r="V13" s="918"/>
      <c r="W13" s="919">
        <f t="shared" si="5"/>
        <v>0</v>
      </c>
      <c r="X13" s="920"/>
      <c r="Y13" s="921"/>
      <c r="Z13" s="922"/>
      <c r="AA13" s="923"/>
      <c r="AB13" s="924">
        <f t="shared" si="17"/>
        <v>0</v>
      </c>
      <c r="AC13" s="925"/>
      <c r="AD13" s="925"/>
      <c r="AE13" s="925"/>
      <c r="AF13" s="924">
        <f t="shared" si="6"/>
        <v>0</v>
      </c>
      <c r="AG13" s="880"/>
      <c r="AH13" s="926"/>
      <c r="AI13" s="880"/>
      <c r="AJ13" s="880"/>
      <c r="AK13" s="927">
        <f t="shared" si="18"/>
        <v>0</v>
      </c>
      <c r="AL13" s="928"/>
      <c r="AM13" s="929"/>
      <c r="AN13" s="929"/>
      <c r="AO13" s="929"/>
      <c r="AP13" s="924">
        <f t="shared" si="1"/>
        <v>0</v>
      </c>
      <c r="AQ13" s="930"/>
      <c r="AR13" s="930"/>
      <c r="AS13" s="931" t="e">
        <f t="shared" si="19"/>
        <v>#DIV/0!</v>
      </c>
      <c r="AT13" s="932"/>
      <c r="AU13" s="933"/>
      <c r="AV13" s="934"/>
      <c r="AW13" s="935" t="e">
        <f t="shared" si="9"/>
        <v>#DIV/0!</v>
      </c>
      <c r="AX13" s="960"/>
      <c r="AY13" s="960"/>
      <c r="AZ13" s="937"/>
      <c r="BA13" s="937"/>
      <c r="BB13" s="937"/>
      <c r="BC13" s="938"/>
      <c r="BD13" s="893"/>
      <c r="BE13" s="939"/>
      <c r="BF13" s="940"/>
      <c r="BG13" s="939"/>
      <c r="BH13" s="941"/>
      <c r="BI13" s="943"/>
      <c r="BJ13" s="943"/>
      <c r="BK13" s="944"/>
      <c r="BL13" s="945"/>
      <c r="BM13" s="945"/>
      <c r="BN13" s="945"/>
      <c r="BO13" s="946">
        <f t="shared" si="20"/>
        <v>0</v>
      </c>
      <c r="BP13" s="947"/>
      <c r="BQ13" s="947"/>
      <c r="BR13" s="948"/>
      <c r="BS13" s="949"/>
      <c r="BT13" s="949"/>
      <c r="BU13" s="950"/>
      <c r="BV13" s="951"/>
      <c r="BW13" s="951"/>
      <c r="BX13" s="945"/>
      <c r="BY13" s="945"/>
      <c r="BZ13" s="946">
        <f t="shared" ref="BZ13:BZ14" si="27">IF(BX13,BY13/BX13,0)</f>
        <v>0</v>
      </c>
      <c r="CA13" s="945"/>
      <c r="CB13" s="945"/>
      <c r="CC13" s="946">
        <f t="shared" ref="CC13:CC14" si="28">IF(CA13,CB13/CA13,0)</f>
        <v>0</v>
      </c>
      <c r="CD13" s="945"/>
      <c r="CE13" s="945"/>
      <c r="CF13" s="946">
        <f t="shared" ref="CF13:CF14" si="29">IF(CD13,CE13/CD13,0)</f>
        <v>0</v>
      </c>
      <c r="CG13" s="945"/>
      <c r="CH13" s="945"/>
      <c r="CI13" s="946">
        <f t="shared" ref="CI13:CI14" si="30">IF(CG13,CH13/CG13,0)</f>
        <v>0</v>
      </c>
      <c r="CJ13" s="952"/>
      <c r="CK13" s="952"/>
      <c r="CL13" s="953"/>
      <c r="CM13" s="953"/>
      <c r="CN13" s="954">
        <f t="shared" ref="CN13:CN14" si="31">SUM(CJ13:CM13)</f>
        <v>0</v>
      </c>
      <c r="CO13" s="955"/>
      <c r="CP13" s="955"/>
      <c r="CQ13" s="955"/>
      <c r="CR13" s="956">
        <f t="shared" ref="CR13:CR14" si="32">+CN13</f>
        <v>0</v>
      </c>
      <c r="CS13" s="957"/>
    </row>
    <row r="14" spans="1:98" s="837" customFormat="1" ht="21.15" customHeight="1">
      <c r="A14" s="903" t="s">
        <v>513</v>
      </c>
      <c r="B14" s="904"/>
      <c r="C14" s="905"/>
      <c r="D14" s="959"/>
      <c r="E14" s="905"/>
      <c r="F14" s="906">
        <f t="shared" si="2"/>
        <v>0</v>
      </c>
      <c r="G14" s="905"/>
      <c r="H14" s="907">
        <f t="shared" si="3"/>
        <v>0</v>
      </c>
      <c r="I14" s="908"/>
      <c r="J14" s="909"/>
      <c r="K14" s="910"/>
      <c r="L14" s="911">
        <f t="shared" si="4"/>
        <v>0</v>
      </c>
      <c r="M14" s="961"/>
      <c r="N14" s="913"/>
      <c r="O14" s="914"/>
      <c r="P14" s="915"/>
      <c r="Q14" s="915"/>
      <c r="R14" s="913"/>
      <c r="S14" s="916"/>
      <c r="T14" s="917"/>
      <c r="U14" s="918"/>
      <c r="V14" s="918"/>
      <c r="W14" s="919">
        <f t="shared" si="5"/>
        <v>0</v>
      </c>
      <c r="X14" s="920"/>
      <c r="Y14" s="921"/>
      <c r="Z14" s="922"/>
      <c r="AA14" s="923"/>
      <c r="AB14" s="924">
        <f t="shared" si="17"/>
        <v>0</v>
      </c>
      <c r="AC14" s="925"/>
      <c r="AD14" s="925"/>
      <c r="AE14" s="925"/>
      <c r="AF14" s="924">
        <f t="shared" si="6"/>
        <v>0</v>
      </c>
      <c r="AG14" s="880"/>
      <c r="AH14" s="926"/>
      <c r="AI14" s="880"/>
      <c r="AJ14" s="880"/>
      <c r="AK14" s="927">
        <f t="shared" si="18"/>
        <v>0</v>
      </c>
      <c r="AL14" s="928"/>
      <c r="AM14" s="929"/>
      <c r="AN14" s="929"/>
      <c r="AO14" s="929"/>
      <c r="AP14" s="924">
        <f t="shared" si="1"/>
        <v>0</v>
      </c>
      <c r="AQ14" s="930"/>
      <c r="AR14" s="930"/>
      <c r="AS14" s="931" t="e">
        <f t="shared" si="19"/>
        <v>#DIV/0!</v>
      </c>
      <c r="AT14" s="932"/>
      <c r="AU14" s="933"/>
      <c r="AV14" s="934"/>
      <c r="AW14" s="935" t="e">
        <f t="shared" si="9"/>
        <v>#DIV/0!</v>
      </c>
      <c r="AX14" s="960"/>
      <c r="AY14" s="960"/>
      <c r="AZ14" s="937"/>
      <c r="BA14" s="937"/>
      <c r="BB14" s="937"/>
      <c r="BC14" s="938"/>
      <c r="BD14" s="893"/>
      <c r="BE14" s="939"/>
      <c r="BF14" s="940"/>
      <c r="BG14" s="939"/>
      <c r="BH14" s="941"/>
      <c r="BI14" s="943"/>
      <c r="BJ14" s="943"/>
      <c r="BK14" s="944"/>
      <c r="BL14" s="945"/>
      <c r="BM14" s="945"/>
      <c r="BN14" s="945"/>
      <c r="BO14" s="946">
        <f t="shared" si="20"/>
        <v>0</v>
      </c>
      <c r="BP14" s="947"/>
      <c r="BQ14" s="947"/>
      <c r="BR14" s="948"/>
      <c r="BS14" s="949"/>
      <c r="BT14" s="949"/>
      <c r="BU14" s="950"/>
      <c r="BV14" s="951"/>
      <c r="BW14" s="951"/>
      <c r="BX14" s="945"/>
      <c r="BY14" s="945"/>
      <c r="BZ14" s="946">
        <f t="shared" si="27"/>
        <v>0</v>
      </c>
      <c r="CA14" s="945"/>
      <c r="CB14" s="945"/>
      <c r="CC14" s="946">
        <f t="shared" si="28"/>
        <v>0</v>
      </c>
      <c r="CD14" s="945"/>
      <c r="CE14" s="945"/>
      <c r="CF14" s="946">
        <f t="shared" si="29"/>
        <v>0</v>
      </c>
      <c r="CG14" s="945"/>
      <c r="CH14" s="945"/>
      <c r="CI14" s="946">
        <f t="shared" si="30"/>
        <v>0</v>
      </c>
      <c r="CJ14" s="952"/>
      <c r="CK14" s="952"/>
      <c r="CL14" s="953"/>
      <c r="CM14" s="953"/>
      <c r="CN14" s="954">
        <f t="shared" si="31"/>
        <v>0</v>
      </c>
      <c r="CO14" s="955"/>
      <c r="CP14" s="955"/>
      <c r="CQ14" s="955"/>
      <c r="CR14" s="956">
        <f t="shared" si="32"/>
        <v>0</v>
      </c>
      <c r="CS14" s="957"/>
    </row>
    <row r="15" spans="1:98" s="837" customFormat="1" ht="21.15" customHeight="1">
      <c r="A15" s="903" t="s">
        <v>66</v>
      </c>
      <c r="B15" s="904">
        <v>250</v>
      </c>
      <c r="C15" s="905">
        <v>188</v>
      </c>
      <c r="D15" s="959">
        <v>82</v>
      </c>
      <c r="E15" s="905">
        <v>22</v>
      </c>
      <c r="F15" s="906">
        <f t="shared" ref="F15:F16" si="33">IF(B15,(C15+D15)/B15,0)</f>
        <v>1.08</v>
      </c>
      <c r="G15" s="905">
        <v>0</v>
      </c>
      <c r="H15" s="907">
        <f t="shared" ref="H15:H16" si="34">IF(B15,(C15+G15+D15)/B15,0)</f>
        <v>1.08</v>
      </c>
      <c r="I15" s="908">
        <v>237500</v>
      </c>
      <c r="J15" s="909">
        <v>223375.15</v>
      </c>
      <c r="K15" s="910">
        <v>241436.15</v>
      </c>
      <c r="L15" s="911">
        <f t="shared" si="4"/>
        <v>0.94052694736842102</v>
      </c>
      <c r="M15" s="961">
        <v>53000</v>
      </c>
      <c r="N15" s="913">
        <v>124099</v>
      </c>
      <c r="O15" s="914">
        <v>3744</v>
      </c>
      <c r="P15" s="915">
        <v>215</v>
      </c>
      <c r="Q15" s="915"/>
      <c r="R15" s="913">
        <v>0</v>
      </c>
      <c r="S15" s="916">
        <v>120355</v>
      </c>
      <c r="T15" s="917">
        <v>0</v>
      </c>
      <c r="U15" s="918"/>
      <c r="V15" s="918">
        <v>62290.42</v>
      </c>
      <c r="W15" s="919">
        <f t="shared" ref="W15:W16" si="35">IF(M15,(V15)/M15,0)</f>
        <v>1.17529094339623</v>
      </c>
      <c r="X15" s="920">
        <v>62290.42</v>
      </c>
      <c r="Y15" s="921">
        <v>23500</v>
      </c>
      <c r="Z15" s="922">
        <v>25552</v>
      </c>
      <c r="AA15" s="923">
        <v>0</v>
      </c>
      <c r="AB15" s="924">
        <f t="shared" ref="AB15:AB16" si="36">IF(Y15,Z15/Y15,0)</f>
        <v>1.08731914893617</v>
      </c>
      <c r="AC15" s="925">
        <v>18000</v>
      </c>
      <c r="AD15" s="925">
        <v>12016.58</v>
      </c>
      <c r="AE15" s="925">
        <v>2435</v>
      </c>
      <c r="AF15" s="924">
        <f t="shared" ref="AF15:AF16" si="37">IF(AC15,(AD15+AE15)/AC15,0)</f>
        <v>0.80286555555555605</v>
      </c>
      <c r="AG15" s="880">
        <v>0</v>
      </c>
      <c r="AH15" s="926">
        <v>40003.58</v>
      </c>
      <c r="AI15" s="880">
        <v>13000</v>
      </c>
      <c r="AJ15" s="880">
        <v>18276</v>
      </c>
      <c r="AK15" s="927">
        <f t="shared" ref="AK15:AK16" si="38">IF(AI15,(AJ15)/AI15,0)</f>
        <v>1.40584615384615</v>
      </c>
      <c r="AL15" s="928">
        <v>632</v>
      </c>
      <c r="AM15" s="929">
        <v>13000</v>
      </c>
      <c r="AN15" s="929">
        <v>121081.15</v>
      </c>
      <c r="AO15" s="929">
        <v>0</v>
      </c>
      <c r="AP15" s="924">
        <f t="shared" ref="AP15:AP16" si="39">IF(AM15,(AN15+AO15)/AM15,0)</f>
        <v>9.3139346153846194</v>
      </c>
      <c r="AQ15" s="930">
        <v>12</v>
      </c>
      <c r="AR15" s="930">
        <v>28</v>
      </c>
      <c r="AS15" s="931">
        <f t="shared" ref="AS15:AS16" si="40">AR15/AQ15*100%</f>
        <v>2.3333333333333299</v>
      </c>
      <c r="AT15" s="932">
        <v>20</v>
      </c>
      <c r="AU15" s="933">
        <v>8</v>
      </c>
      <c r="AV15" s="934">
        <v>2</v>
      </c>
      <c r="AW15" s="935">
        <f t="shared" ref="AW15:AW16" si="41">(AV15+AU15)/AT15</f>
        <v>0.5</v>
      </c>
      <c r="AX15" s="960">
        <v>0.44166666666666698</v>
      </c>
      <c r="AY15" s="960">
        <v>0</v>
      </c>
      <c r="AZ15" s="937">
        <v>0</v>
      </c>
      <c r="BA15" s="937"/>
      <c r="BB15" s="937">
        <v>0</v>
      </c>
      <c r="BC15" s="938">
        <v>0</v>
      </c>
      <c r="BD15" s="893">
        <v>0</v>
      </c>
      <c r="BE15" s="939">
        <v>50</v>
      </c>
      <c r="BF15" s="940">
        <v>0.78947368421052599</v>
      </c>
      <c r="BG15" s="939">
        <v>100</v>
      </c>
      <c r="BH15" s="941">
        <v>0.625</v>
      </c>
      <c r="BI15" s="943">
        <v>100</v>
      </c>
      <c r="BJ15" s="943"/>
      <c r="BK15" s="944"/>
      <c r="BL15" s="945"/>
      <c r="BM15" s="945"/>
      <c r="BN15" s="945"/>
      <c r="BO15" s="946">
        <f t="shared" ref="BO15:BO16" si="42">IF(BL15,BM15/BL15,0)</f>
        <v>0</v>
      </c>
      <c r="BP15" s="947"/>
      <c r="BQ15" s="947"/>
      <c r="BR15" s="948"/>
      <c r="BS15" s="949"/>
      <c r="BT15" s="949"/>
      <c r="BU15" s="950"/>
      <c r="BV15" s="951"/>
      <c r="BW15" s="951"/>
      <c r="BX15" s="945"/>
      <c r="BY15" s="945"/>
      <c r="BZ15" s="946">
        <f t="shared" ref="BZ15:BZ16" si="43">IF(BX15,BY15/BX15,0)</f>
        <v>0</v>
      </c>
      <c r="CA15" s="945"/>
      <c r="CB15" s="945"/>
      <c r="CC15" s="946">
        <f t="shared" ref="CC15:CC16" si="44">IF(CA15,CB15/CA15,0)</f>
        <v>0</v>
      </c>
      <c r="CD15" s="945"/>
      <c r="CE15" s="945"/>
      <c r="CF15" s="946">
        <f t="shared" ref="CF15:CF16" si="45">IF(CD15,CE15/CD15,0)</f>
        <v>0</v>
      </c>
      <c r="CG15" s="945"/>
      <c r="CH15" s="945"/>
      <c r="CI15" s="946">
        <f t="shared" ref="CI15:CI16" si="46">IF(CG15,CH15/CG15,0)</f>
        <v>0</v>
      </c>
      <c r="CJ15" s="952"/>
      <c r="CK15" s="952"/>
      <c r="CL15" s="953"/>
      <c r="CM15" s="953"/>
      <c r="CN15" s="954">
        <f t="shared" ref="CN15:CN16" si="47">SUM(CJ15:CM15)</f>
        <v>0</v>
      </c>
      <c r="CO15" s="955"/>
      <c r="CP15" s="955"/>
      <c r="CQ15" s="955"/>
      <c r="CR15" s="956">
        <f t="shared" ref="CR15:CR16" si="48">+CN15</f>
        <v>0</v>
      </c>
      <c r="CS15" s="957"/>
    </row>
    <row r="16" spans="1:98" s="837" customFormat="1" ht="21.15" customHeight="1">
      <c r="A16" s="903" t="s">
        <v>65</v>
      </c>
      <c r="B16" s="904">
        <v>250</v>
      </c>
      <c r="C16" s="905">
        <v>134</v>
      </c>
      <c r="D16" s="959">
        <v>72</v>
      </c>
      <c r="E16" s="905">
        <v>13</v>
      </c>
      <c r="F16" s="906">
        <f t="shared" si="33"/>
        <v>0.82399999999999995</v>
      </c>
      <c r="G16" s="905">
        <v>0</v>
      </c>
      <c r="H16" s="907">
        <f t="shared" si="34"/>
        <v>0.82399999999999995</v>
      </c>
      <c r="I16" s="908">
        <v>237500</v>
      </c>
      <c r="J16" s="909">
        <v>199342.67</v>
      </c>
      <c r="K16" s="910">
        <v>215194.67</v>
      </c>
      <c r="L16" s="911">
        <f t="shared" si="4"/>
        <v>0.83933755789473696</v>
      </c>
      <c r="M16" s="961">
        <v>53000</v>
      </c>
      <c r="N16" s="913">
        <v>89403</v>
      </c>
      <c r="O16" s="914">
        <v>3885.5</v>
      </c>
      <c r="P16" s="915">
        <v>160</v>
      </c>
      <c r="Q16" s="915"/>
      <c r="R16" s="913">
        <v>0</v>
      </c>
      <c r="S16" s="916">
        <v>85517.5</v>
      </c>
      <c r="T16" s="917">
        <v>0</v>
      </c>
      <c r="U16" s="918"/>
      <c r="V16" s="918">
        <v>39154.639999999999</v>
      </c>
      <c r="W16" s="919">
        <f t="shared" si="35"/>
        <v>0.73876679245282995</v>
      </c>
      <c r="X16" s="920">
        <v>39154.639999999999</v>
      </c>
      <c r="Y16" s="921">
        <v>23500</v>
      </c>
      <c r="Z16" s="922">
        <v>15900</v>
      </c>
      <c r="AA16" s="923">
        <v>0</v>
      </c>
      <c r="AB16" s="924">
        <f t="shared" si="36"/>
        <v>0.67659574468085104</v>
      </c>
      <c r="AC16" s="925">
        <v>18000</v>
      </c>
      <c r="AD16" s="925">
        <v>11726.86</v>
      </c>
      <c r="AE16" s="925">
        <v>2884</v>
      </c>
      <c r="AF16" s="924">
        <f t="shared" si="37"/>
        <v>0.81171444444444496</v>
      </c>
      <c r="AG16" s="880">
        <v>2600</v>
      </c>
      <c r="AH16" s="926">
        <v>30510.86</v>
      </c>
      <c r="AI16" s="880">
        <v>13000</v>
      </c>
      <c r="AJ16" s="880">
        <v>13412</v>
      </c>
      <c r="AK16" s="927">
        <f t="shared" si="38"/>
        <v>1.0316923076923099</v>
      </c>
      <c r="AL16" s="928">
        <v>1264</v>
      </c>
      <c r="AM16" s="929">
        <v>13000</v>
      </c>
      <c r="AN16" s="929">
        <v>129677.17</v>
      </c>
      <c r="AO16" s="929">
        <v>0</v>
      </c>
      <c r="AP16" s="924">
        <f t="shared" si="39"/>
        <v>9.9751669230769195</v>
      </c>
      <c r="AQ16" s="930">
        <v>12</v>
      </c>
      <c r="AR16" s="930">
        <v>17</v>
      </c>
      <c r="AS16" s="931">
        <f t="shared" si="40"/>
        <v>1.4166666666666701</v>
      </c>
      <c r="AT16" s="932">
        <v>20</v>
      </c>
      <c r="AU16" s="933">
        <v>14</v>
      </c>
      <c r="AV16" s="934">
        <v>0</v>
      </c>
      <c r="AW16" s="935">
        <f t="shared" si="41"/>
        <v>0.7</v>
      </c>
      <c r="AX16" s="960">
        <v>0.51724137931034497</v>
      </c>
      <c r="AY16" s="960">
        <v>0</v>
      </c>
      <c r="AZ16" s="937"/>
      <c r="BA16" s="937"/>
      <c r="BB16" s="937"/>
      <c r="BC16" s="938">
        <v>0</v>
      </c>
      <c r="BD16" s="893">
        <v>0</v>
      </c>
      <c r="BE16" s="939">
        <v>0</v>
      </c>
      <c r="BF16" s="940">
        <v>1</v>
      </c>
      <c r="BG16" s="939">
        <v>60</v>
      </c>
      <c r="BH16" s="941">
        <v>0.375</v>
      </c>
      <c r="BI16" s="943">
        <v>100</v>
      </c>
      <c r="BJ16" s="943"/>
      <c r="BK16" s="944"/>
      <c r="BL16" s="945"/>
      <c r="BM16" s="945"/>
      <c r="BN16" s="945"/>
      <c r="BO16" s="946">
        <f t="shared" si="42"/>
        <v>0</v>
      </c>
      <c r="BP16" s="947"/>
      <c r="BQ16" s="947"/>
      <c r="BR16" s="948"/>
      <c r="BS16" s="949"/>
      <c r="BT16" s="949"/>
      <c r="BU16" s="950"/>
      <c r="BV16" s="951"/>
      <c r="BW16" s="951"/>
      <c r="BX16" s="945"/>
      <c r="BY16" s="945"/>
      <c r="BZ16" s="946">
        <f t="shared" si="43"/>
        <v>0</v>
      </c>
      <c r="CA16" s="945"/>
      <c r="CB16" s="945"/>
      <c r="CC16" s="946">
        <f t="shared" si="44"/>
        <v>0</v>
      </c>
      <c r="CD16" s="945"/>
      <c r="CE16" s="945"/>
      <c r="CF16" s="946">
        <f t="shared" si="45"/>
        <v>0</v>
      </c>
      <c r="CG16" s="945"/>
      <c r="CH16" s="945"/>
      <c r="CI16" s="946">
        <f t="shared" si="46"/>
        <v>0</v>
      </c>
      <c r="CJ16" s="952"/>
      <c r="CK16" s="952"/>
      <c r="CL16" s="953"/>
      <c r="CM16" s="953"/>
      <c r="CN16" s="954">
        <f t="shared" si="47"/>
        <v>0</v>
      </c>
      <c r="CO16" s="955"/>
      <c r="CP16" s="955"/>
      <c r="CQ16" s="955"/>
      <c r="CR16" s="956">
        <f t="shared" si="48"/>
        <v>0</v>
      </c>
      <c r="CS16" s="957"/>
    </row>
    <row r="17" spans="1:97" s="837" customFormat="1" ht="21.15" customHeight="1">
      <c r="A17" s="903" t="s">
        <v>67</v>
      </c>
      <c r="B17" s="904">
        <v>100</v>
      </c>
      <c r="C17" s="905">
        <v>0</v>
      </c>
      <c r="D17" s="959">
        <v>78</v>
      </c>
      <c r="E17" s="905">
        <v>0</v>
      </c>
      <c r="F17" s="906">
        <f t="shared" si="2"/>
        <v>0.78</v>
      </c>
      <c r="G17" s="905">
        <v>0</v>
      </c>
      <c r="H17" s="907">
        <f t="shared" si="3"/>
        <v>0.78</v>
      </c>
      <c r="I17" s="908">
        <v>520000</v>
      </c>
      <c r="J17" s="909">
        <v>414115.43</v>
      </c>
      <c r="K17" s="910">
        <v>414115.43</v>
      </c>
      <c r="L17" s="911">
        <f t="shared" si="4"/>
        <v>0.79637582692307696</v>
      </c>
      <c r="M17" s="915">
        <v>520000</v>
      </c>
      <c r="N17" s="913">
        <v>0</v>
      </c>
      <c r="O17" s="914">
        <v>0</v>
      </c>
      <c r="P17" s="915">
        <v>0</v>
      </c>
      <c r="Q17" s="915"/>
      <c r="R17" s="913">
        <v>413806.37</v>
      </c>
      <c r="S17" s="916">
        <v>413806.37</v>
      </c>
      <c r="T17" s="917">
        <v>0</v>
      </c>
      <c r="U17" s="918"/>
      <c r="V17" s="918">
        <v>413806.37</v>
      </c>
      <c r="W17" s="919">
        <f t="shared" si="5"/>
        <v>0.79578148076923105</v>
      </c>
      <c r="X17" s="920">
        <v>413806.37</v>
      </c>
      <c r="Y17" s="921"/>
      <c r="Z17" s="922">
        <v>0</v>
      </c>
      <c r="AA17" s="923">
        <v>0</v>
      </c>
      <c r="AB17" s="924">
        <f t="shared" si="0"/>
        <v>0</v>
      </c>
      <c r="AC17" s="925"/>
      <c r="AD17" s="925">
        <v>0</v>
      </c>
      <c r="AE17" s="925">
        <v>0</v>
      </c>
      <c r="AF17" s="924">
        <f t="shared" si="6"/>
        <v>0</v>
      </c>
      <c r="AG17" s="880">
        <v>0</v>
      </c>
      <c r="AH17" s="926">
        <v>0</v>
      </c>
      <c r="AI17" s="880"/>
      <c r="AJ17" s="880">
        <v>0</v>
      </c>
      <c r="AK17" s="927">
        <f t="shared" ref="AK17:AK24" si="49">IF(AI17,(AJ17)/AI17,0)</f>
        <v>0</v>
      </c>
      <c r="AL17" s="928">
        <v>0</v>
      </c>
      <c r="AM17" s="929"/>
      <c r="AN17" s="929">
        <v>309.06</v>
      </c>
      <c r="AO17" s="929">
        <v>0</v>
      </c>
      <c r="AP17" s="924">
        <f t="shared" si="1"/>
        <v>0</v>
      </c>
      <c r="AQ17" s="930"/>
      <c r="AR17" s="930">
        <v>0</v>
      </c>
      <c r="AS17" s="931" t="e">
        <f t="shared" si="8"/>
        <v>#DIV/0!</v>
      </c>
      <c r="AT17" s="930"/>
      <c r="AU17" s="930">
        <v>0</v>
      </c>
      <c r="AV17" s="962">
        <v>0</v>
      </c>
      <c r="AW17" s="935" t="e">
        <f t="shared" si="9"/>
        <v>#DIV/0!</v>
      </c>
      <c r="AX17" s="960" t="e">
        <v>#N/A</v>
      </c>
      <c r="AY17" s="960" t="e">
        <v>#N/A</v>
      </c>
      <c r="AZ17" s="937">
        <v>0</v>
      </c>
      <c r="BA17" s="937"/>
      <c r="BB17" s="937">
        <v>0</v>
      </c>
      <c r="BC17" s="938">
        <v>0</v>
      </c>
      <c r="BD17" s="893">
        <v>0</v>
      </c>
      <c r="BE17" s="939">
        <v>0</v>
      </c>
      <c r="BF17" s="940">
        <v>2</v>
      </c>
      <c r="BG17" s="939">
        <v>0</v>
      </c>
      <c r="BH17" s="941" t="e">
        <v>#N/A</v>
      </c>
      <c r="BI17" s="943">
        <v>100</v>
      </c>
      <c r="BJ17" s="943"/>
      <c r="BK17" s="944"/>
      <c r="BL17" s="945"/>
      <c r="BM17" s="945"/>
      <c r="BN17" s="945"/>
      <c r="BO17" s="946">
        <f t="shared" si="10"/>
        <v>0</v>
      </c>
      <c r="BP17" s="947"/>
      <c r="BQ17" s="947"/>
      <c r="BR17" s="948"/>
      <c r="BS17" s="949"/>
      <c r="BT17" s="949"/>
      <c r="BU17" s="950"/>
      <c r="BV17" s="951"/>
      <c r="BW17" s="951"/>
      <c r="BX17" s="945"/>
      <c r="BY17" s="945"/>
      <c r="BZ17" s="946">
        <f t="shared" si="11"/>
        <v>0</v>
      </c>
      <c r="CA17" s="945"/>
      <c r="CB17" s="945"/>
      <c r="CC17" s="946">
        <f t="shared" si="12"/>
        <v>0</v>
      </c>
      <c r="CD17" s="945"/>
      <c r="CE17" s="945"/>
      <c r="CF17" s="946">
        <f t="shared" si="13"/>
        <v>0</v>
      </c>
      <c r="CG17" s="945"/>
      <c r="CH17" s="945"/>
      <c r="CI17" s="946">
        <f t="shared" si="14"/>
        <v>0</v>
      </c>
      <c r="CJ17" s="952"/>
      <c r="CK17" s="952"/>
      <c r="CL17" s="953"/>
      <c r="CM17" s="953"/>
      <c r="CN17" s="954">
        <f t="shared" si="15"/>
        <v>0</v>
      </c>
      <c r="CO17" s="955"/>
      <c r="CP17" s="955"/>
      <c r="CQ17" s="955"/>
      <c r="CR17" s="956">
        <f t="shared" si="16"/>
        <v>0</v>
      </c>
      <c r="CS17" s="957"/>
    </row>
    <row r="18" spans="1:97" s="837" customFormat="1" ht="21.15" customHeight="1">
      <c r="A18" s="903" t="s">
        <v>71</v>
      </c>
      <c r="B18" s="904">
        <v>100</v>
      </c>
      <c r="C18" s="905">
        <v>0</v>
      </c>
      <c r="D18" s="959">
        <v>83</v>
      </c>
      <c r="E18" s="905">
        <v>0</v>
      </c>
      <c r="F18" s="906">
        <f t="shared" si="2"/>
        <v>0.83</v>
      </c>
      <c r="G18" s="905">
        <v>0</v>
      </c>
      <c r="H18" s="907">
        <f t="shared" si="3"/>
        <v>0.83</v>
      </c>
      <c r="I18" s="908">
        <v>700000</v>
      </c>
      <c r="J18" s="909">
        <v>977290.79</v>
      </c>
      <c r="K18" s="910">
        <v>977770.79</v>
      </c>
      <c r="L18" s="911">
        <f t="shared" si="4"/>
        <v>1.3961296999999999</v>
      </c>
      <c r="M18" s="915">
        <v>700000</v>
      </c>
      <c r="N18" s="913">
        <v>0</v>
      </c>
      <c r="O18" s="914">
        <v>0</v>
      </c>
      <c r="P18" s="915">
        <v>0</v>
      </c>
      <c r="Q18" s="915"/>
      <c r="R18" s="913">
        <v>975487</v>
      </c>
      <c r="S18" s="916">
        <v>975487</v>
      </c>
      <c r="T18" s="917">
        <v>0</v>
      </c>
      <c r="U18" s="918"/>
      <c r="V18" s="918">
        <v>974781</v>
      </c>
      <c r="W18" s="919">
        <f t="shared" si="5"/>
        <v>1.39254428571429</v>
      </c>
      <c r="X18" s="920">
        <v>974781</v>
      </c>
      <c r="Y18" s="921"/>
      <c r="Z18" s="922">
        <v>0</v>
      </c>
      <c r="AA18" s="923">
        <v>0</v>
      </c>
      <c r="AB18" s="924">
        <f t="shared" si="0"/>
        <v>0</v>
      </c>
      <c r="AC18" s="925"/>
      <c r="AD18" s="925">
        <v>226</v>
      </c>
      <c r="AE18" s="925">
        <v>0</v>
      </c>
      <c r="AF18" s="924">
        <f t="shared" si="6"/>
        <v>0</v>
      </c>
      <c r="AG18" s="880">
        <v>0</v>
      </c>
      <c r="AH18" s="926">
        <v>226</v>
      </c>
      <c r="AI18" s="880"/>
      <c r="AJ18" s="880">
        <v>480</v>
      </c>
      <c r="AK18" s="927">
        <f t="shared" si="49"/>
        <v>0</v>
      </c>
      <c r="AL18" s="928">
        <v>0</v>
      </c>
      <c r="AM18" s="929"/>
      <c r="AN18" s="929">
        <v>2283.79</v>
      </c>
      <c r="AO18" s="929">
        <v>0</v>
      </c>
      <c r="AP18" s="924">
        <f t="shared" si="1"/>
        <v>0</v>
      </c>
      <c r="AQ18" s="930"/>
      <c r="AR18" s="930">
        <v>0</v>
      </c>
      <c r="AS18" s="931" t="e">
        <f t="shared" si="8"/>
        <v>#DIV/0!</v>
      </c>
      <c r="AT18" s="930"/>
      <c r="AU18" s="930">
        <v>0</v>
      </c>
      <c r="AV18" s="962">
        <v>0</v>
      </c>
      <c r="AW18" s="935" t="e">
        <f t="shared" si="9"/>
        <v>#DIV/0!</v>
      </c>
      <c r="AX18" s="960" t="e">
        <v>#N/A</v>
      </c>
      <c r="AY18" s="960" t="e">
        <v>#N/A</v>
      </c>
      <c r="AZ18" s="937">
        <v>0</v>
      </c>
      <c r="BA18" s="937"/>
      <c r="BB18" s="937">
        <v>0</v>
      </c>
      <c r="BC18" s="938">
        <v>0</v>
      </c>
      <c r="BD18" s="893">
        <v>0</v>
      </c>
      <c r="BE18" s="939">
        <v>0</v>
      </c>
      <c r="BF18" s="940">
        <v>0.25</v>
      </c>
      <c r="BG18" s="939">
        <v>0</v>
      </c>
      <c r="BH18" s="941" t="e">
        <v>#N/A</v>
      </c>
      <c r="BI18" s="943" t="e">
        <v>#N/A</v>
      </c>
      <c r="BJ18" s="943"/>
      <c r="BK18" s="944"/>
      <c r="BL18" s="945"/>
      <c r="BM18" s="945"/>
      <c r="BN18" s="945"/>
      <c r="BO18" s="946">
        <f t="shared" ref="BO18" si="50">IF(BL18,BM18/BL18,0)</f>
        <v>0</v>
      </c>
      <c r="BP18" s="947"/>
      <c r="BQ18" s="947"/>
      <c r="BR18" s="948"/>
      <c r="BS18" s="949"/>
      <c r="BT18" s="949"/>
      <c r="BU18" s="950"/>
      <c r="BV18" s="951"/>
      <c r="BW18" s="951"/>
      <c r="BX18" s="945"/>
      <c r="BY18" s="945"/>
      <c r="BZ18" s="946">
        <f t="shared" ref="BZ18" si="51">IF(BX18,BY18/BX18,0)</f>
        <v>0</v>
      </c>
      <c r="CA18" s="945"/>
      <c r="CB18" s="945"/>
      <c r="CC18" s="946">
        <f t="shared" ref="CC18" si="52">IF(CA18,CB18/CA18,0)</f>
        <v>0</v>
      </c>
      <c r="CD18" s="945"/>
      <c r="CE18" s="945"/>
      <c r="CF18" s="946">
        <f t="shared" ref="CF18" si="53">IF(CD18,CE18/CD18,0)</f>
        <v>0</v>
      </c>
      <c r="CG18" s="945"/>
      <c r="CH18" s="945"/>
      <c r="CI18" s="946">
        <f t="shared" ref="CI18" si="54">IF(CG18,CH18/CG18,0)</f>
        <v>0</v>
      </c>
      <c r="CJ18" s="952"/>
      <c r="CK18" s="952"/>
      <c r="CL18" s="953"/>
      <c r="CM18" s="953"/>
      <c r="CN18" s="954">
        <f t="shared" ref="CN18" si="55">SUM(CJ18:CM18)</f>
        <v>0</v>
      </c>
      <c r="CO18" s="955"/>
      <c r="CP18" s="955"/>
      <c r="CQ18" s="955"/>
      <c r="CR18" s="956">
        <f t="shared" ref="CR18" si="56">+CN18</f>
        <v>0</v>
      </c>
      <c r="CS18" s="957"/>
    </row>
    <row r="19" spans="1:97" s="837" customFormat="1" ht="21.15" customHeight="1">
      <c r="A19" s="903" t="s">
        <v>63</v>
      </c>
      <c r="B19" s="904">
        <v>100</v>
      </c>
      <c r="C19" s="905">
        <v>0</v>
      </c>
      <c r="D19" s="959">
        <v>60</v>
      </c>
      <c r="E19" s="905">
        <v>2</v>
      </c>
      <c r="F19" s="906">
        <f t="shared" si="2"/>
        <v>0.6</v>
      </c>
      <c r="G19" s="905">
        <v>0</v>
      </c>
      <c r="H19" s="907">
        <f t="shared" si="3"/>
        <v>0.6</v>
      </c>
      <c r="I19" s="908">
        <v>520000</v>
      </c>
      <c r="J19" s="909">
        <v>501499.35</v>
      </c>
      <c r="K19" s="910">
        <v>501499.35</v>
      </c>
      <c r="L19" s="911">
        <f t="shared" si="4"/>
        <v>0.96442182692307699</v>
      </c>
      <c r="M19" s="915">
        <v>520000</v>
      </c>
      <c r="N19" s="913">
        <v>0</v>
      </c>
      <c r="O19" s="914">
        <v>0</v>
      </c>
      <c r="P19" s="915">
        <v>0</v>
      </c>
      <c r="Q19" s="915"/>
      <c r="R19" s="913">
        <v>498046</v>
      </c>
      <c r="S19" s="916">
        <v>498046</v>
      </c>
      <c r="T19" s="917">
        <v>0</v>
      </c>
      <c r="U19" s="918"/>
      <c r="V19" s="918">
        <v>498046</v>
      </c>
      <c r="W19" s="919">
        <f t="shared" si="5"/>
        <v>0.95778076923076905</v>
      </c>
      <c r="X19" s="920">
        <v>498046</v>
      </c>
      <c r="Y19" s="921"/>
      <c r="Z19" s="922">
        <v>0</v>
      </c>
      <c r="AA19" s="923">
        <v>0</v>
      </c>
      <c r="AB19" s="924">
        <f t="shared" si="0"/>
        <v>0</v>
      </c>
      <c r="AC19" s="925"/>
      <c r="AD19" s="925">
        <v>0</v>
      </c>
      <c r="AE19" s="925">
        <v>0</v>
      </c>
      <c r="AF19" s="924">
        <f t="shared" si="6"/>
        <v>0</v>
      </c>
      <c r="AG19" s="880">
        <v>0</v>
      </c>
      <c r="AH19" s="926">
        <v>0</v>
      </c>
      <c r="AI19" s="880"/>
      <c r="AJ19" s="880">
        <v>0</v>
      </c>
      <c r="AK19" s="927">
        <f t="shared" si="49"/>
        <v>0</v>
      </c>
      <c r="AL19" s="928">
        <v>0</v>
      </c>
      <c r="AM19" s="929"/>
      <c r="AN19" s="929">
        <v>3453.35</v>
      </c>
      <c r="AO19" s="929">
        <v>0</v>
      </c>
      <c r="AP19" s="924">
        <f t="shared" si="1"/>
        <v>0</v>
      </c>
      <c r="AQ19" s="930"/>
      <c r="AR19" s="930">
        <v>0</v>
      </c>
      <c r="AS19" s="931" t="e">
        <f t="shared" si="8"/>
        <v>#DIV/0!</v>
      </c>
      <c r="AT19" s="930"/>
      <c r="AU19" s="930">
        <v>0</v>
      </c>
      <c r="AV19" s="962">
        <v>0</v>
      </c>
      <c r="AW19" s="935" t="e">
        <f t="shared" si="9"/>
        <v>#DIV/0!</v>
      </c>
      <c r="AX19" s="960" t="e">
        <v>#N/A</v>
      </c>
      <c r="AY19" s="960" t="e">
        <v>#N/A</v>
      </c>
      <c r="AZ19" s="937">
        <v>0</v>
      </c>
      <c r="BA19" s="937"/>
      <c r="BB19" s="937">
        <v>0</v>
      </c>
      <c r="BC19" s="938">
        <v>0</v>
      </c>
      <c r="BD19" s="963">
        <v>0</v>
      </c>
      <c r="BE19" s="939">
        <v>0</v>
      </c>
      <c r="BF19" s="940">
        <v>0.2</v>
      </c>
      <c r="BG19" s="939">
        <v>0</v>
      </c>
      <c r="BH19" s="941" t="e">
        <v>#N/A</v>
      </c>
      <c r="BI19" s="943" t="e">
        <v>#N/A</v>
      </c>
      <c r="BJ19" s="943"/>
      <c r="BK19" s="944"/>
      <c r="BL19" s="945"/>
      <c r="BM19" s="945"/>
      <c r="BN19" s="945"/>
      <c r="BO19" s="946"/>
      <c r="BP19" s="947"/>
      <c r="BQ19" s="947"/>
      <c r="BR19" s="948"/>
      <c r="BS19" s="949"/>
      <c r="BT19" s="949"/>
      <c r="BU19" s="950"/>
      <c r="BV19" s="951"/>
      <c r="BW19" s="951"/>
      <c r="BX19" s="945"/>
      <c r="BY19" s="945"/>
      <c r="BZ19" s="946"/>
      <c r="CA19" s="945"/>
      <c r="CB19" s="945"/>
      <c r="CC19" s="946"/>
      <c r="CD19" s="945"/>
      <c r="CE19" s="945"/>
      <c r="CF19" s="946"/>
      <c r="CG19" s="945"/>
      <c r="CH19" s="945"/>
      <c r="CI19" s="946"/>
      <c r="CJ19" s="952"/>
      <c r="CK19" s="952"/>
      <c r="CL19" s="953"/>
      <c r="CM19" s="953"/>
      <c r="CN19" s="954"/>
      <c r="CO19" s="955"/>
      <c r="CP19" s="955"/>
      <c r="CQ19" s="955"/>
      <c r="CR19" s="956">
        <f t="shared" si="16"/>
        <v>0</v>
      </c>
      <c r="CS19" s="957"/>
    </row>
    <row r="20" spans="1:97" s="837" customFormat="1" ht="21.15" customHeight="1">
      <c r="A20" s="903" t="s">
        <v>73</v>
      </c>
      <c r="B20" s="904">
        <v>100</v>
      </c>
      <c r="C20" s="905">
        <v>0</v>
      </c>
      <c r="D20" s="959">
        <v>96</v>
      </c>
      <c r="E20" s="905">
        <v>0</v>
      </c>
      <c r="F20" s="906">
        <f t="shared" ref="F20:F23" si="57">IF(B20,(C20+D20)/B20,0)</f>
        <v>0.96</v>
      </c>
      <c r="G20" s="905">
        <v>0</v>
      </c>
      <c r="H20" s="907">
        <f t="shared" ref="H20:H21" si="58">IF(B20,(C20+G20+D20)/B20,0)</f>
        <v>0.96</v>
      </c>
      <c r="I20" s="908">
        <v>520000</v>
      </c>
      <c r="J20" s="909">
        <v>619036</v>
      </c>
      <c r="K20" s="910">
        <v>619036</v>
      </c>
      <c r="L20" s="911">
        <f t="shared" si="4"/>
        <v>1.1904538461538501</v>
      </c>
      <c r="M20" s="915">
        <v>520000</v>
      </c>
      <c r="N20" s="913">
        <v>0</v>
      </c>
      <c r="O20" s="914">
        <v>0</v>
      </c>
      <c r="P20" s="915">
        <v>0</v>
      </c>
      <c r="Q20" s="915"/>
      <c r="R20" s="913">
        <v>619036</v>
      </c>
      <c r="S20" s="916">
        <v>619036</v>
      </c>
      <c r="T20" s="917">
        <v>0</v>
      </c>
      <c r="U20" s="918"/>
      <c r="V20" s="918">
        <v>619036</v>
      </c>
      <c r="W20" s="919">
        <f t="shared" ref="W20:W22" si="59">IF(M20,(V20)/M20,0)</f>
        <v>1.1904538461538501</v>
      </c>
      <c r="X20" s="920">
        <v>619036</v>
      </c>
      <c r="Y20" s="921"/>
      <c r="Z20" s="922">
        <v>0</v>
      </c>
      <c r="AA20" s="923">
        <v>0</v>
      </c>
      <c r="AB20" s="924">
        <f t="shared" ref="AB20:AB22" si="60">IF(Y20,Z20/Y20,0)</f>
        <v>0</v>
      </c>
      <c r="AC20" s="925"/>
      <c r="AD20" s="925">
        <v>0</v>
      </c>
      <c r="AE20" s="925">
        <v>0</v>
      </c>
      <c r="AF20" s="924">
        <f t="shared" ref="AF20:AF21" si="61">IF(AC20,(AD20+AE20)/AC20,0)</f>
        <v>0</v>
      </c>
      <c r="AG20" s="880">
        <v>0</v>
      </c>
      <c r="AH20" s="926">
        <v>0</v>
      </c>
      <c r="AI20" s="880"/>
      <c r="AJ20" s="880">
        <v>0</v>
      </c>
      <c r="AK20" s="927">
        <f t="shared" ref="AK20:AK21" si="62">IF(AI20,(AJ20)/AI20,0)</f>
        <v>0</v>
      </c>
      <c r="AL20" s="928">
        <v>0</v>
      </c>
      <c r="AM20" s="929"/>
      <c r="AN20" s="929">
        <v>0</v>
      </c>
      <c r="AO20" s="929">
        <v>0</v>
      </c>
      <c r="AP20" s="924">
        <f t="shared" ref="AP20:AP21" si="63">IF(AM20,(AN20+AO20)/AM20,0)</f>
        <v>0</v>
      </c>
      <c r="AQ20" s="930"/>
      <c r="AR20" s="930">
        <v>0</v>
      </c>
      <c r="AS20" s="931" t="e">
        <f t="shared" ref="AS20:AS21" si="64">AR20/AQ20*100%</f>
        <v>#DIV/0!</v>
      </c>
      <c r="AT20" s="930"/>
      <c r="AU20" s="930">
        <v>0</v>
      </c>
      <c r="AV20" s="962">
        <v>0</v>
      </c>
      <c r="AW20" s="935" t="e">
        <f t="shared" si="9"/>
        <v>#DIV/0!</v>
      </c>
      <c r="AX20" s="960" t="e">
        <v>#N/A</v>
      </c>
      <c r="AY20" s="960" t="e">
        <v>#N/A</v>
      </c>
      <c r="AZ20" s="937">
        <v>0</v>
      </c>
      <c r="BA20" s="937"/>
      <c r="BB20" s="937">
        <v>0</v>
      </c>
      <c r="BC20" s="938">
        <v>0</v>
      </c>
      <c r="BD20" s="963">
        <v>0</v>
      </c>
      <c r="BE20" s="939">
        <v>0</v>
      </c>
      <c r="BF20" s="940">
        <v>1.2</v>
      </c>
      <c r="BG20" s="939">
        <v>0</v>
      </c>
      <c r="BH20" s="941" t="e">
        <v>#N/A</v>
      </c>
      <c r="BI20" s="943">
        <v>100</v>
      </c>
      <c r="BJ20" s="943"/>
      <c r="BK20" s="944"/>
      <c r="BL20" s="945"/>
      <c r="BM20" s="945"/>
      <c r="BN20" s="945"/>
      <c r="BO20" s="946"/>
      <c r="BP20" s="947"/>
      <c r="BQ20" s="947"/>
      <c r="BR20" s="948"/>
      <c r="BS20" s="949"/>
      <c r="BT20" s="949"/>
      <c r="BU20" s="950"/>
      <c r="BV20" s="951"/>
      <c r="BW20" s="951"/>
      <c r="BX20" s="945"/>
      <c r="BY20" s="945"/>
      <c r="BZ20" s="946"/>
      <c r="CA20" s="945"/>
      <c r="CB20" s="945"/>
      <c r="CC20" s="946"/>
      <c r="CD20" s="945"/>
      <c r="CE20" s="945"/>
      <c r="CF20" s="946"/>
      <c r="CG20" s="945"/>
      <c r="CH20" s="945"/>
      <c r="CI20" s="946"/>
      <c r="CJ20" s="952"/>
      <c r="CK20" s="952"/>
      <c r="CL20" s="953"/>
      <c r="CM20" s="953"/>
      <c r="CN20" s="954"/>
      <c r="CO20" s="955"/>
      <c r="CP20" s="955"/>
      <c r="CQ20" s="955"/>
      <c r="CR20" s="956">
        <f t="shared" ref="CR20:CR24" si="65">+CN20</f>
        <v>0</v>
      </c>
      <c r="CS20" s="957"/>
    </row>
    <row r="21" spans="1:97" s="837" customFormat="1" ht="21.15" customHeight="1">
      <c r="A21" s="903" t="s">
        <v>72</v>
      </c>
      <c r="B21" s="904">
        <v>100</v>
      </c>
      <c r="C21" s="905">
        <v>1</v>
      </c>
      <c r="D21" s="959">
        <v>61</v>
      </c>
      <c r="E21" s="905">
        <v>0</v>
      </c>
      <c r="F21" s="906">
        <f t="shared" si="57"/>
        <v>0.62</v>
      </c>
      <c r="G21" s="905">
        <v>0</v>
      </c>
      <c r="H21" s="907">
        <f t="shared" si="58"/>
        <v>0.62</v>
      </c>
      <c r="I21" s="908">
        <v>450000</v>
      </c>
      <c r="J21" s="909">
        <v>380862.8</v>
      </c>
      <c r="K21" s="910">
        <v>380862.8</v>
      </c>
      <c r="L21" s="911">
        <f t="shared" si="4"/>
        <v>0.84636177777777799</v>
      </c>
      <c r="M21" s="961">
        <v>450000</v>
      </c>
      <c r="N21" s="913">
        <v>0</v>
      </c>
      <c r="O21" s="914">
        <v>0</v>
      </c>
      <c r="P21" s="915">
        <v>0</v>
      </c>
      <c r="Q21" s="915"/>
      <c r="R21" s="913">
        <v>379975</v>
      </c>
      <c r="S21" s="916">
        <v>379975</v>
      </c>
      <c r="T21" s="917">
        <v>0</v>
      </c>
      <c r="U21" s="918"/>
      <c r="V21" s="918">
        <v>379975</v>
      </c>
      <c r="W21" s="919">
        <f t="shared" si="59"/>
        <v>0.84438888888888897</v>
      </c>
      <c r="X21" s="920">
        <v>379975</v>
      </c>
      <c r="Y21" s="921"/>
      <c r="Z21" s="922">
        <v>0</v>
      </c>
      <c r="AA21" s="923">
        <v>0</v>
      </c>
      <c r="AB21" s="924">
        <f t="shared" si="60"/>
        <v>0</v>
      </c>
      <c r="AC21" s="925"/>
      <c r="AD21" s="925">
        <v>0</v>
      </c>
      <c r="AE21" s="925">
        <v>0</v>
      </c>
      <c r="AF21" s="924">
        <f t="shared" si="61"/>
        <v>0</v>
      </c>
      <c r="AG21" s="880">
        <v>0</v>
      </c>
      <c r="AH21" s="926">
        <v>0</v>
      </c>
      <c r="AI21" s="880"/>
      <c r="AJ21" s="880">
        <v>0</v>
      </c>
      <c r="AK21" s="927">
        <f t="shared" si="62"/>
        <v>0</v>
      </c>
      <c r="AL21" s="928">
        <v>0</v>
      </c>
      <c r="AM21" s="929"/>
      <c r="AN21" s="929">
        <v>887.8</v>
      </c>
      <c r="AO21" s="929">
        <v>0</v>
      </c>
      <c r="AP21" s="924">
        <f t="shared" si="63"/>
        <v>0</v>
      </c>
      <c r="AQ21" s="930"/>
      <c r="AR21" s="930">
        <v>0</v>
      </c>
      <c r="AS21" s="931" t="e">
        <f t="shared" si="64"/>
        <v>#DIV/0!</v>
      </c>
      <c r="AT21" s="932"/>
      <c r="AU21" s="933">
        <v>0</v>
      </c>
      <c r="AV21" s="934">
        <v>0</v>
      </c>
      <c r="AW21" s="935" t="e">
        <f t="shared" ref="AW21" si="66">(AV21+AU21)/AT21</f>
        <v>#DIV/0!</v>
      </c>
      <c r="AX21" s="960" t="e">
        <v>#N/A</v>
      </c>
      <c r="AY21" s="960" t="e">
        <v>#N/A</v>
      </c>
      <c r="AZ21" s="937">
        <v>0</v>
      </c>
      <c r="BA21" s="937"/>
      <c r="BB21" s="937">
        <v>0</v>
      </c>
      <c r="BC21" s="938">
        <v>0</v>
      </c>
      <c r="BD21" s="893">
        <v>0</v>
      </c>
      <c r="BE21" s="939">
        <v>0</v>
      </c>
      <c r="BF21" s="940">
        <v>0</v>
      </c>
      <c r="BG21" s="939">
        <v>0</v>
      </c>
      <c r="BH21" s="941" t="e">
        <v>#N/A</v>
      </c>
      <c r="BI21" s="943" t="e">
        <v>#N/A</v>
      </c>
      <c r="BJ21" s="943"/>
      <c r="BK21" s="944"/>
      <c r="BL21" s="945"/>
      <c r="BM21" s="945"/>
      <c r="BN21" s="945"/>
      <c r="BO21" s="946">
        <f t="shared" ref="BO21" si="67">IF(BL21,BM21/BL21,0)</f>
        <v>0</v>
      </c>
      <c r="BP21" s="947"/>
      <c r="BQ21" s="947"/>
      <c r="BR21" s="948"/>
      <c r="BS21" s="949"/>
      <c r="BT21" s="949"/>
      <c r="BU21" s="950"/>
      <c r="BV21" s="951"/>
      <c r="BW21" s="951"/>
      <c r="BX21" s="945"/>
      <c r="BY21" s="945"/>
      <c r="BZ21" s="946">
        <f t="shared" ref="BZ21" si="68">IF(BX21,BY21/BX21,0)</f>
        <v>0</v>
      </c>
      <c r="CA21" s="945"/>
      <c r="CB21" s="945"/>
      <c r="CC21" s="946">
        <f t="shared" ref="CC21" si="69">IF(CA21,CB21/CA21,0)</f>
        <v>0</v>
      </c>
      <c r="CD21" s="945"/>
      <c r="CE21" s="945"/>
      <c r="CF21" s="946">
        <f t="shared" ref="CF21:CF23" si="70">IF(CD21,CE21/CD21,0)</f>
        <v>0</v>
      </c>
      <c r="CG21" s="945"/>
      <c r="CH21" s="945"/>
      <c r="CI21" s="946">
        <f t="shared" ref="CI21:CI23" si="71">IF(CG21,CH21/CG21,0)</f>
        <v>0</v>
      </c>
      <c r="CJ21" s="952"/>
      <c r="CK21" s="952"/>
      <c r="CL21" s="953"/>
      <c r="CM21" s="953"/>
      <c r="CN21" s="954">
        <f t="shared" ref="CN21" si="72">SUM(CJ21:CM21)</f>
        <v>0</v>
      </c>
      <c r="CO21" s="955"/>
      <c r="CP21" s="955"/>
      <c r="CQ21" s="955"/>
      <c r="CR21" s="956">
        <f t="shared" si="65"/>
        <v>0</v>
      </c>
      <c r="CS21" s="957"/>
    </row>
    <row r="22" spans="1:97" s="837" customFormat="1" ht="21.15" customHeight="1">
      <c r="A22" s="903" t="s">
        <v>207</v>
      </c>
      <c r="B22" s="904">
        <v>260</v>
      </c>
      <c r="C22" s="905">
        <v>194</v>
      </c>
      <c r="D22" s="959">
        <v>69</v>
      </c>
      <c r="E22" s="905">
        <v>17</v>
      </c>
      <c r="F22" s="906">
        <f t="shared" si="57"/>
        <v>1.0115384615384599</v>
      </c>
      <c r="G22" s="905">
        <v>0</v>
      </c>
      <c r="H22" s="907">
        <f t="shared" ref="H22" si="73">IF(B22,(C22+G22+D22)/B22,0)</f>
        <v>1.0115384615384599</v>
      </c>
      <c r="I22" s="908">
        <v>180000</v>
      </c>
      <c r="J22" s="909">
        <v>185777.1</v>
      </c>
      <c r="K22" s="910">
        <v>197259.1</v>
      </c>
      <c r="L22" s="911">
        <f t="shared" si="4"/>
        <v>1.032095</v>
      </c>
      <c r="M22" s="961">
        <v>36000</v>
      </c>
      <c r="N22" s="913">
        <v>87206</v>
      </c>
      <c r="O22" s="914">
        <v>2059</v>
      </c>
      <c r="P22" s="915">
        <v>160</v>
      </c>
      <c r="Q22" s="915"/>
      <c r="R22" s="913">
        <v>0</v>
      </c>
      <c r="S22" s="916">
        <v>85147</v>
      </c>
      <c r="T22" s="917">
        <v>0</v>
      </c>
      <c r="U22" s="918"/>
      <c r="V22" s="918">
        <v>37115.15</v>
      </c>
      <c r="W22" s="919">
        <f t="shared" si="59"/>
        <v>1.0309763888888901</v>
      </c>
      <c r="X22" s="920">
        <v>37115.15</v>
      </c>
      <c r="Y22" s="921">
        <v>20000</v>
      </c>
      <c r="Z22" s="922">
        <v>21168</v>
      </c>
      <c r="AA22" s="923">
        <v>0</v>
      </c>
      <c r="AB22" s="924">
        <f t="shared" si="60"/>
        <v>1.0584</v>
      </c>
      <c r="AC22" s="925">
        <v>14000</v>
      </c>
      <c r="AD22" s="925">
        <v>10902.85</v>
      </c>
      <c r="AE22" s="925">
        <v>4479</v>
      </c>
      <c r="AF22" s="924">
        <f t="shared" ref="AF22" si="74">IF(AC22,(AD22+AE22)/AC22,0)</f>
        <v>1.09870357142857</v>
      </c>
      <c r="AG22" s="880">
        <v>0</v>
      </c>
      <c r="AH22" s="926">
        <v>36549.85</v>
      </c>
      <c r="AI22" s="880">
        <v>10000</v>
      </c>
      <c r="AJ22" s="880">
        <v>11642</v>
      </c>
      <c r="AK22" s="927">
        <f t="shared" ref="AK22" si="75">IF(AI22,(AJ22)/AI22,0)</f>
        <v>1.1641999999999999</v>
      </c>
      <c r="AL22" s="928">
        <v>1264</v>
      </c>
      <c r="AM22" s="929">
        <v>100000</v>
      </c>
      <c r="AN22" s="929">
        <v>112112.1</v>
      </c>
      <c r="AO22" s="929">
        <v>0</v>
      </c>
      <c r="AP22" s="924">
        <f t="shared" ref="AP22" si="76">IF(AM22,(AN22+AO22)/AM22,0)</f>
        <v>1.121121</v>
      </c>
      <c r="AQ22" s="930">
        <v>12</v>
      </c>
      <c r="AR22" s="930">
        <v>17</v>
      </c>
      <c r="AS22" s="931">
        <f t="shared" ref="AS22" si="77">AR22/AQ22*100%</f>
        <v>1.4166666666666701</v>
      </c>
      <c r="AT22" s="932">
        <v>20</v>
      </c>
      <c r="AU22" s="933">
        <v>1</v>
      </c>
      <c r="AV22" s="934">
        <v>2</v>
      </c>
      <c r="AW22" s="935">
        <f t="shared" ref="AW22" si="78">(AV22+AU22)/AT22</f>
        <v>0.15</v>
      </c>
      <c r="AX22" s="960">
        <v>0.64084507042253502</v>
      </c>
      <c r="AY22" s="960">
        <v>0</v>
      </c>
      <c r="AZ22" s="937">
        <v>0</v>
      </c>
      <c r="BA22" s="937"/>
      <c r="BB22" s="937">
        <v>0</v>
      </c>
      <c r="BC22" s="938">
        <v>0</v>
      </c>
      <c r="BD22" s="893">
        <v>0</v>
      </c>
      <c r="BE22" s="939">
        <v>0</v>
      </c>
      <c r="BF22" s="940" t="e">
        <v>#N/A</v>
      </c>
      <c r="BG22" s="939">
        <v>0</v>
      </c>
      <c r="BH22" s="941">
        <v>0</v>
      </c>
      <c r="BI22" s="943">
        <v>100</v>
      </c>
      <c r="BJ22" s="943"/>
      <c r="BK22" s="944"/>
      <c r="BL22" s="945"/>
      <c r="BM22" s="945"/>
      <c r="BN22" s="945"/>
      <c r="BO22" s="946">
        <f t="shared" ref="BO22" si="79">IF(BL22,BM22/BL22,0)</f>
        <v>0</v>
      </c>
      <c r="BP22" s="947"/>
      <c r="BQ22" s="947"/>
      <c r="BR22" s="948"/>
      <c r="BS22" s="949"/>
      <c r="BT22" s="949"/>
      <c r="BU22" s="950"/>
      <c r="BV22" s="951"/>
      <c r="BW22" s="951"/>
      <c r="BX22" s="945"/>
      <c r="BY22" s="945"/>
      <c r="BZ22" s="946">
        <f t="shared" ref="BZ22" si="80">IF(BX22,BY22/BX22,0)</f>
        <v>0</v>
      </c>
      <c r="CA22" s="945"/>
      <c r="CB22" s="945"/>
      <c r="CC22" s="946">
        <f t="shared" ref="CC22" si="81">IF(CA22,CB22/CA22,0)</f>
        <v>0</v>
      </c>
      <c r="CD22" s="945"/>
      <c r="CE22" s="945"/>
      <c r="CF22" s="946">
        <f t="shared" ref="CF22" si="82">IF(CD22,CE22/CD22,0)</f>
        <v>0</v>
      </c>
      <c r="CG22" s="945"/>
      <c r="CH22" s="945"/>
      <c r="CI22" s="946">
        <f t="shared" ref="CI22" si="83">IF(CG22,CH22/CG22,0)</f>
        <v>0</v>
      </c>
      <c r="CJ22" s="952"/>
      <c r="CK22" s="952"/>
      <c r="CL22" s="953"/>
      <c r="CM22" s="953"/>
      <c r="CN22" s="954"/>
      <c r="CO22" s="955"/>
      <c r="CP22" s="955"/>
      <c r="CQ22" s="955"/>
      <c r="CR22" s="956">
        <f t="shared" si="65"/>
        <v>0</v>
      </c>
      <c r="CS22" s="957"/>
    </row>
    <row r="23" spans="1:97" s="837" customFormat="1" ht="19.5" customHeight="1">
      <c r="A23" s="964" t="s">
        <v>206</v>
      </c>
      <c r="B23" s="965">
        <v>260</v>
      </c>
      <c r="C23" s="905">
        <v>164</v>
      </c>
      <c r="D23" s="905">
        <v>54</v>
      </c>
      <c r="E23" s="905">
        <v>18</v>
      </c>
      <c r="F23" s="906">
        <f t="shared" si="57"/>
        <v>0.83846153846153804</v>
      </c>
      <c r="G23" s="905">
        <v>0</v>
      </c>
      <c r="H23" s="907">
        <f t="shared" si="3"/>
        <v>0.83846153846153804</v>
      </c>
      <c r="I23" s="908">
        <v>180000</v>
      </c>
      <c r="J23" s="909">
        <v>158098.72</v>
      </c>
      <c r="K23" s="910">
        <v>167566.72</v>
      </c>
      <c r="L23" s="911">
        <f t="shared" si="4"/>
        <v>0.87832622222222201</v>
      </c>
      <c r="M23" s="915">
        <v>36000</v>
      </c>
      <c r="N23" s="913">
        <v>73278</v>
      </c>
      <c r="O23" s="914">
        <v>2309</v>
      </c>
      <c r="P23" s="915">
        <v>40</v>
      </c>
      <c r="Q23" s="915"/>
      <c r="R23" s="913">
        <v>0</v>
      </c>
      <c r="S23" s="916">
        <v>70969</v>
      </c>
      <c r="T23" s="917">
        <v>0</v>
      </c>
      <c r="U23" s="918"/>
      <c r="V23" s="918">
        <v>33714.51</v>
      </c>
      <c r="W23" s="919">
        <f t="shared" si="5"/>
        <v>0.93651416666666698</v>
      </c>
      <c r="X23" s="920">
        <v>33714.51</v>
      </c>
      <c r="Y23" s="921">
        <v>20000</v>
      </c>
      <c r="Z23" s="922">
        <v>16310</v>
      </c>
      <c r="AA23" s="923">
        <v>0</v>
      </c>
      <c r="AB23" s="924">
        <f t="shared" si="0"/>
        <v>0.8155</v>
      </c>
      <c r="AC23" s="925">
        <v>14000</v>
      </c>
      <c r="AD23" s="925">
        <v>9552.49</v>
      </c>
      <c r="AE23" s="925">
        <v>1924</v>
      </c>
      <c r="AF23" s="924">
        <f t="shared" si="6"/>
        <v>0.81974928571428596</v>
      </c>
      <c r="AG23" s="880">
        <v>0</v>
      </c>
      <c r="AH23" s="926">
        <v>27786.49</v>
      </c>
      <c r="AI23" s="880">
        <v>10000</v>
      </c>
      <c r="AJ23" s="880">
        <v>9508</v>
      </c>
      <c r="AK23" s="927">
        <f t="shared" si="49"/>
        <v>0.95079999999999998</v>
      </c>
      <c r="AL23" s="928">
        <v>632</v>
      </c>
      <c r="AM23" s="929">
        <v>100000</v>
      </c>
      <c r="AN23" s="929">
        <v>96597.72</v>
      </c>
      <c r="AO23" s="929">
        <v>0</v>
      </c>
      <c r="AP23" s="924">
        <f t="shared" si="1"/>
        <v>0.96597719999999998</v>
      </c>
      <c r="AQ23" s="930">
        <v>12</v>
      </c>
      <c r="AR23" s="930">
        <v>24</v>
      </c>
      <c r="AS23" s="931">
        <f t="shared" si="8"/>
        <v>2</v>
      </c>
      <c r="AT23" s="930">
        <v>20</v>
      </c>
      <c r="AU23" s="930">
        <v>5</v>
      </c>
      <c r="AV23" s="962">
        <v>0</v>
      </c>
      <c r="AW23" s="935">
        <f t="shared" si="9"/>
        <v>0.25</v>
      </c>
      <c r="AX23" s="960">
        <v>0.57009345794392496</v>
      </c>
      <c r="AY23" s="960">
        <v>0</v>
      </c>
      <c r="AZ23" s="937">
        <v>0</v>
      </c>
      <c r="BA23" s="937"/>
      <c r="BB23" s="937">
        <v>0</v>
      </c>
      <c r="BC23" s="938">
        <v>0</v>
      </c>
      <c r="BD23" s="893">
        <v>0</v>
      </c>
      <c r="BE23" s="939">
        <v>0</v>
      </c>
      <c r="BF23" s="940" t="e">
        <v>#N/A</v>
      </c>
      <c r="BG23" s="939">
        <v>0</v>
      </c>
      <c r="BH23" s="941">
        <v>0</v>
      </c>
      <c r="BI23" s="942">
        <v>100</v>
      </c>
      <c r="BJ23" s="943"/>
      <c r="BK23" s="944"/>
      <c r="BL23" s="945"/>
      <c r="BM23" s="945"/>
      <c r="BN23" s="945"/>
      <c r="BO23" s="946"/>
      <c r="BP23" s="947"/>
      <c r="BQ23" s="947"/>
      <c r="BR23" s="948"/>
      <c r="BS23" s="949"/>
      <c r="BT23" s="949"/>
      <c r="BU23" s="950"/>
      <c r="BV23" s="951"/>
      <c r="BW23" s="951"/>
      <c r="BX23" s="945"/>
      <c r="BY23" s="945"/>
      <c r="BZ23" s="946"/>
      <c r="CA23" s="945"/>
      <c r="CB23" s="945"/>
      <c r="CC23" s="946"/>
      <c r="CD23" s="945"/>
      <c r="CE23" s="945"/>
      <c r="CF23" s="946">
        <f t="shared" si="70"/>
        <v>0</v>
      </c>
      <c r="CG23" s="945"/>
      <c r="CH23" s="945"/>
      <c r="CI23" s="946">
        <f t="shared" si="71"/>
        <v>0</v>
      </c>
      <c r="CJ23" s="952"/>
      <c r="CK23" s="952"/>
      <c r="CL23" s="952"/>
      <c r="CM23" s="952"/>
      <c r="CN23" s="954"/>
      <c r="CO23" s="955"/>
      <c r="CP23" s="955"/>
      <c r="CQ23" s="955"/>
      <c r="CR23" s="956">
        <f t="shared" si="65"/>
        <v>0</v>
      </c>
      <c r="CS23" s="957"/>
    </row>
    <row r="24" spans="1:97" s="837" customFormat="1" ht="19.5" customHeight="1">
      <c r="A24" s="964" t="s">
        <v>203</v>
      </c>
      <c r="B24" s="965">
        <v>260</v>
      </c>
      <c r="C24" s="905">
        <v>168</v>
      </c>
      <c r="D24" s="905">
        <v>61</v>
      </c>
      <c r="E24" s="905">
        <v>28</v>
      </c>
      <c r="F24" s="906">
        <f t="shared" si="2"/>
        <v>0.88076923076923097</v>
      </c>
      <c r="G24" s="905">
        <v>0</v>
      </c>
      <c r="H24" s="907">
        <f t="shared" si="3"/>
        <v>0.88076923076923097</v>
      </c>
      <c r="I24" s="908">
        <v>180000</v>
      </c>
      <c r="J24" s="909">
        <v>163684.92000000001</v>
      </c>
      <c r="K24" s="910">
        <v>177030.92</v>
      </c>
      <c r="L24" s="911">
        <f t="shared" si="4"/>
        <v>0.90936066666666704</v>
      </c>
      <c r="M24" s="915">
        <v>36000</v>
      </c>
      <c r="N24" s="913">
        <v>89662</v>
      </c>
      <c r="O24" s="914">
        <v>2616.8200000000002</v>
      </c>
      <c r="P24" s="915">
        <v>80</v>
      </c>
      <c r="Q24" s="915"/>
      <c r="R24" s="913">
        <v>0</v>
      </c>
      <c r="S24" s="916">
        <v>87045.18</v>
      </c>
      <c r="T24" s="917">
        <v>0</v>
      </c>
      <c r="U24" s="918"/>
      <c r="V24" s="918">
        <v>42842.94</v>
      </c>
      <c r="W24" s="919">
        <f t="shared" si="5"/>
        <v>1.19008166666667</v>
      </c>
      <c r="X24" s="920">
        <v>42842.94</v>
      </c>
      <c r="Y24" s="921">
        <v>20000</v>
      </c>
      <c r="Z24" s="922">
        <v>19938</v>
      </c>
      <c r="AA24" s="923">
        <v>0</v>
      </c>
      <c r="AB24" s="924">
        <f t="shared" si="0"/>
        <v>0.99690000000000001</v>
      </c>
      <c r="AC24" s="925">
        <v>14000</v>
      </c>
      <c r="AD24" s="925">
        <v>8321.24</v>
      </c>
      <c r="AE24" s="925">
        <v>2597</v>
      </c>
      <c r="AF24" s="924">
        <f t="shared" si="6"/>
        <v>0.77987428571428596</v>
      </c>
      <c r="AG24" s="880">
        <v>0</v>
      </c>
      <c r="AH24" s="926">
        <v>30856.240000000002</v>
      </c>
      <c r="AI24" s="880">
        <v>10000</v>
      </c>
      <c r="AJ24" s="880">
        <v>13426</v>
      </c>
      <c r="AK24" s="927">
        <f t="shared" si="49"/>
        <v>1.3426</v>
      </c>
      <c r="AL24" s="928">
        <v>2054</v>
      </c>
      <c r="AM24" s="929">
        <v>100000</v>
      </c>
      <c r="AN24" s="929">
        <v>89985.74</v>
      </c>
      <c r="AO24" s="929">
        <v>0</v>
      </c>
      <c r="AP24" s="924">
        <f t="shared" si="1"/>
        <v>0.89985740000000003</v>
      </c>
      <c r="AQ24" s="930">
        <v>12</v>
      </c>
      <c r="AR24" s="930">
        <v>9</v>
      </c>
      <c r="AS24" s="931">
        <f t="shared" si="8"/>
        <v>0.75</v>
      </c>
      <c r="AT24" s="930">
        <v>20</v>
      </c>
      <c r="AU24" s="930">
        <v>5</v>
      </c>
      <c r="AV24" s="962">
        <v>0</v>
      </c>
      <c r="AW24" s="935">
        <f t="shared" si="9"/>
        <v>0.25</v>
      </c>
      <c r="AX24" s="960">
        <v>0.59649122807017496</v>
      </c>
      <c r="AY24" s="960">
        <v>0</v>
      </c>
      <c r="AZ24" s="937">
        <v>0</v>
      </c>
      <c r="BA24" s="937"/>
      <c r="BB24" s="937">
        <v>0</v>
      </c>
      <c r="BC24" s="938">
        <v>0</v>
      </c>
      <c r="BD24" s="893">
        <v>0</v>
      </c>
      <c r="BE24" s="939">
        <v>0</v>
      </c>
      <c r="BF24" s="940" t="e">
        <v>#N/A</v>
      </c>
      <c r="BG24" s="939">
        <v>0</v>
      </c>
      <c r="BH24" s="941">
        <v>0</v>
      </c>
      <c r="BI24" s="942">
        <v>99.925224327018896</v>
      </c>
      <c r="BJ24" s="943"/>
      <c r="BK24" s="944"/>
      <c r="BL24" s="945"/>
      <c r="BM24" s="945"/>
      <c r="BN24" s="945"/>
      <c r="BO24" s="946"/>
      <c r="BP24" s="947"/>
      <c r="BQ24" s="947"/>
      <c r="BR24" s="948"/>
      <c r="BS24" s="949"/>
      <c r="BT24" s="949"/>
      <c r="BU24" s="950"/>
      <c r="BV24" s="951"/>
      <c r="BW24" s="951"/>
      <c r="BX24" s="945"/>
      <c r="BY24" s="945"/>
      <c r="BZ24" s="946"/>
      <c r="CA24" s="945"/>
      <c r="CB24" s="945"/>
      <c r="CC24" s="946"/>
      <c r="CD24" s="945"/>
      <c r="CE24" s="945"/>
      <c r="CF24" s="946"/>
      <c r="CG24" s="945"/>
      <c r="CH24" s="945"/>
      <c r="CI24" s="946"/>
      <c r="CJ24" s="952"/>
      <c r="CK24" s="952"/>
      <c r="CL24" s="952"/>
      <c r="CM24" s="952"/>
      <c r="CN24" s="954"/>
      <c r="CO24" s="955"/>
      <c r="CP24" s="955"/>
      <c r="CQ24" s="955"/>
      <c r="CR24" s="956">
        <f t="shared" si="65"/>
        <v>0</v>
      </c>
      <c r="CS24" s="957"/>
    </row>
    <row r="25" spans="1:97" s="837" customFormat="1" ht="19.5" customHeight="1">
      <c r="A25" s="964" t="s">
        <v>205</v>
      </c>
      <c r="B25" s="965">
        <v>260</v>
      </c>
      <c r="C25" s="905">
        <v>172</v>
      </c>
      <c r="D25" s="905">
        <v>50</v>
      </c>
      <c r="E25" s="905">
        <v>18</v>
      </c>
      <c r="F25" s="906">
        <f t="shared" ref="F25" si="84">IF(B25,(C25+D25)/B25,0)</f>
        <v>0.85384615384615403</v>
      </c>
      <c r="G25" s="905">
        <v>0</v>
      </c>
      <c r="H25" s="907">
        <f t="shared" ref="H25" si="85">IF(B25,(C25+G25+D25)/B25,0)</f>
        <v>0.85384615384615403</v>
      </c>
      <c r="I25" s="908">
        <v>180000</v>
      </c>
      <c r="J25" s="909">
        <v>169255.34</v>
      </c>
      <c r="K25" s="910">
        <v>181543.34</v>
      </c>
      <c r="L25" s="911">
        <f t="shared" ref="L25" si="86">IF(I25,J25/I25,0)</f>
        <v>0.94030744444444403</v>
      </c>
      <c r="M25" s="915">
        <v>36000</v>
      </c>
      <c r="N25" s="913">
        <v>88925</v>
      </c>
      <c r="O25" s="914">
        <v>1698</v>
      </c>
      <c r="P25" s="915">
        <v>120</v>
      </c>
      <c r="Q25" s="915"/>
      <c r="R25" s="913">
        <v>600</v>
      </c>
      <c r="S25" s="916">
        <v>87827</v>
      </c>
      <c r="T25" s="917">
        <v>0</v>
      </c>
      <c r="U25" s="918"/>
      <c r="V25" s="918">
        <v>36222.99</v>
      </c>
      <c r="W25" s="919">
        <f t="shared" ref="W25" si="87">IF(M25,(V25)/M25,0)</f>
        <v>1.0061941666666701</v>
      </c>
      <c r="X25" s="920">
        <v>36222.99</v>
      </c>
      <c r="Y25" s="921">
        <v>20000</v>
      </c>
      <c r="Z25" s="922">
        <v>25480</v>
      </c>
      <c r="AA25" s="923">
        <v>0</v>
      </c>
      <c r="AB25" s="924">
        <f t="shared" ref="AB25" si="88">IF(Y25,Z25/Y25,0)</f>
        <v>1.274</v>
      </c>
      <c r="AC25" s="925">
        <v>14000</v>
      </c>
      <c r="AD25" s="925">
        <v>12090.01</v>
      </c>
      <c r="AE25" s="925">
        <v>1746</v>
      </c>
      <c r="AF25" s="924">
        <f t="shared" ref="AF25" si="89">IF(AC25,(AD25+AE25)/AC25,0)</f>
        <v>0.98828642857142901</v>
      </c>
      <c r="AG25" s="880">
        <v>0</v>
      </c>
      <c r="AH25" s="926">
        <v>39316.01</v>
      </c>
      <c r="AI25" s="880">
        <v>10000</v>
      </c>
      <c r="AJ25" s="880">
        <v>12408</v>
      </c>
      <c r="AK25" s="927">
        <f t="shared" ref="AK25" si="90">IF(AI25,(AJ25)/AI25,0)</f>
        <v>1.2407999999999999</v>
      </c>
      <c r="AL25" s="928">
        <v>1580</v>
      </c>
      <c r="AM25" s="929">
        <v>100000</v>
      </c>
      <c r="AN25" s="929">
        <v>93716.34</v>
      </c>
      <c r="AO25" s="929">
        <v>0</v>
      </c>
      <c r="AP25" s="924">
        <f t="shared" ref="AP25" si="91">IF(AM25,(AN25+AO25)/AM25,0)</f>
        <v>0.93716339999999998</v>
      </c>
      <c r="AQ25" s="930">
        <v>12</v>
      </c>
      <c r="AR25" s="930">
        <v>21</v>
      </c>
      <c r="AS25" s="931">
        <f t="shared" ref="AS25" si="92">AR25/AQ25*100%</f>
        <v>1.75</v>
      </c>
      <c r="AT25" s="930">
        <v>20</v>
      </c>
      <c r="AU25" s="930">
        <v>3</v>
      </c>
      <c r="AV25" s="962">
        <v>0</v>
      </c>
      <c r="AW25" s="935">
        <f t="shared" ref="AW25" si="93">(AV25+AU25)/AT25</f>
        <v>0.15</v>
      </c>
      <c r="AX25" s="960">
        <v>0.57142857142857095</v>
      </c>
      <c r="AY25" s="960">
        <v>0</v>
      </c>
      <c r="AZ25" s="937">
        <v>0</v>
      </c>
      <c r="BA25" s="937"/>
      <c r="BB25" s="937">
        <v>0</v>
      </c>
      <c r="BC25" s="938">
        <v>0</v>
      </c>
      <c r="BD25" s="893">
        <v>0</v>
      </c>
      <c r="BE25" s="939">
        <v>0</v>
      </c>
      <c r="BF25" s="940" t="e">
        <v>#N/A</v>
      </c>
      <c r="BG25" s="939">
        <v>0</v>
      </c>
      <c r="BH25" s="941">
        <v>0</v>
      </c>
      <c r="BI25" s="942">
        <v>100</v>
      </c>
      <c r="BJ25" s="943"/>
      <c r="BK25" s="944"/>
      <c r="BL25" s="945"/>
      <c r="BM25" s="945"/>
      <c r="BN25" s="945"/>
      <c r="BO25" s="946"/>
      <c r="BP25" s="947"/>
      <c r="BQ25" s="947"/>
      <c r="BR25" s="948"/>
      <c r="BS25" s="949"/>
      <c r="BT25" s="949"/>
      <c r="BU25" s="950"/>
      <c r="BV25" s="951"/>
      <c r="BW25" s="951"/>
      <c r="BX25" s="945"/>
      <c r="BY25" s="945"/>
      <c r="BZ25" s="946"/>
      <c r="CA25" s="945"/>
      <c r="CB25" s="945"/>
      <c r="CC25" s="946"/>
      <c r="CD25" s="945"/>
      <c r="CE25" s="945"/>
      <c r="CF25" s="946"/>
      <c r="CG25" s="945"/>
      <c r="CH25" s="945"/>
      <c r="CI25" s="946"/>
      <c r="CJ25" s="952"/>
      <c r="CK25" s="952"/>
      <c r="CL25" s="952"/>
      <c r="CM25" s="952"/>
      <c r="CN25" s="954"/>
      <c r="CO25" s="955"/>
      <c r="CP25" s="955"/>
      <c r="CQ25" s="955"/>
      <c r="CR25" s="956">
        <f t="shared" ref="CR25" si="94">+CN25</f>
        <v>0</v>
      </c>
      <c r="CS25" s="957"/>
    </row>
    <row r="26" spans="1:97" s="837" customFormat="1" ht="19.5" customHeight="1">
      <c r="A26" s="964" t="s">
        <v>211</v>
      </c>
      <c r="B26" s="965">
        <v>100</v>
      </c>
      <c r="C26" s="905">
        <v>1</v>
      </c>
      <c r="D26" s="905">
        <v>83</v>
      </c>
      <c r="E26" s="905">
        <v>5</v>
      </c>
      <c r="F26" s="906">
        <f t="shared" si="2"/>
        <v>0.84</v>
      </c>
      <c r="G26" s="905">
        <v>0</v>
      </c>
      <c r="H26" s="907">
        <f t="shared" ref="H26" si="95">IF(B26,(C26+G26+D26)/B26,0)</f>
        <v>0.84</v>
      </c>
      <c r="I26" s="908">
        <v>450000</v>
      </c>
      <c r="J26" s="909">
        <v>488671.23</v>
      </c>
      <c r="K26" s="910">
        <v>488671.23</v>
      </c>
      <c r="L26" s="911">
        <f t="shared" si="4"/>
        <v>1.08593606666667</v>
      </c>
      <c r="M26" s="915">
        <v>450000</v>
      </c>
      <c r="N26" s="913">
        <v>-2195</v>
      </c>
      <c r="O26" s="914">
        <v>-2195</v>
      </c>
      <c r="P26" s="915">
        <v>0</v>
      </c>
      <c r="Q26" s="915"/>
      <c r="R26" s="913">
        <v>487805</v>
      </c>
      <c r="S26" s="916">
        <v>487805</v>
      </c>
      <c r="T26" s="917">
        <v>0</v>
      </c>
      <c r="U26" s="918"/>
      <c r="V26" s="918">
        <v>487425</v>
      </c>
      <c r="W26" s="919">
        <f t="shared" si="5"/>
        <v>1.0831666666666699</v>
      </c>
      <c r="X26" s="920">
        <v>487425</v>
      </c>
      <c r="Y26" s="921"/>
      <c r="Z26" s="922">
        <v>0</v>
      </c>
      <c r="AA26" s="923">
        <v>0</v>
      </c>
      <c r="AB26" s="924">
        <f t="shared" ref="AB26" si="96">IF(Y26,Z26/Y26,0)</f>
        <v>0</v>
      </c>
      <c r="AC26" s="925"/>
      <c r="AD26" s="925">
        <v>380</v>
      </c>
      <c r="AE26" s="925">
        <v>0</v>
      </c>
      <c r="AF26" s="924">
        <f t="shared" ref="AF26" si="97">IF(AC26,(AD26+AE26)/AC26,0)</f>
        <v>0</v>
      </c>
      <c r="AG26" s="880">
        <v>0</v>
      </c>
      <c r="AH26" s="926">
        <v>380</v>
      </c>
      <c r="AI26" s="880"/>
      <c r="AJ26" s="880">
        <v>0</v>
      </c>
      <c r="AK26" s="927">
        <f t="shared" ref="AK26" si="98">IF(AI26,(AJ26)/AI26,0)</f>
        <v>0</v>
      </c>
      <c r="AL26" s="928">
        <v>0</v>
      </c>
      <c r="AM26" s="929"/>
      <c r="AN26" s="929">
        <v>866.23</v>
      </c>
      <c r="AO26" s="929">
        <v>0</v>
      </c>
      <c r="AP26" s="924">
        <f t="shared" si="1"/>
        <v>0</v>
      </c>
      <c r="AQ26" s="930"/>
      <c r="AR26" s="930">
        <v>0</v>
      </c>
      <c r="AS26" s="931" t="e">
        <f t="shared" ref="AS26" si="99">AR26/AQ26*100%</f>
        <v>#DIV/0!</v>
      </c>
      <c r="AT26" s="930"/>
      <c r="AU26" s="930">
        <v>0</v>
      </c>
      <c r="AV26" s="962">
        <v>0</v>
      </c>
      <c r="AW26" s="935" t="e">
        <f t="shared" si="9"/>
        <v>#DIV/0!</v>
      </c>
      <c r="AX26" s="960" t="e">
        <v>#N/A</v>
      </c>
      <c r="AY26" s="960" t="e">
        <v>#N/A</v>
      </c>
      <c r="AZ26" s="937">
        <v>0</v>
      </c>
      <c r="BA26" s="937"/>
      <c r="BB26" s="937">
        <v>0</v>
      </c>
      <c r="BC26" s="938">
        <v>0</v>
      </c>
      <c r="BD26" s="893">
        <v>0</v>
      </c>
      <c r="BE26" s="939">
        <v>0</v>
      </c>
      <c r="BF26" s="940" t="e">
        <v>#N/A</v>
      </c>
      <c r="BG26" s="939">
        <v>0</v>
      </c>
      <c r="BH26" s="941" t="e">
        <v>#N/A</v>
      </c>
      <c r="BI26" s="942" t="e">
        <v>#N/A</v>
      </c>
      <c r="BJ26" s="943"/>
      <c r="BK26" s="944"/>
      <c r="BL26" s="945"/>
      <c r="BM26" s="945"/>
      <c r="BN26" s="945"/>
      <c r="BO26" s="946"/>
      <c r="BP26" s="947"/>
      <c r="BQ26" s="947"/>
      <c r="BR26" s="948"/>
      <c r="BS26" s="949"/>
      <c r="BT26" s="949"/>
      <c r="BU26" s="950"/>
      <c r="BV26" s="951"/>
      <c r="BW26" s="951"/>
      <c r="BX26" s="945"/>
      <c r="BY26" s="945"/>
      <c r="BZ26" s="946"/>
      <c r="CA26" s="945"/>
      <c r="CB26" s="945"/>
      <c r="CC26" s="946"/>
      <c r="CD26" s="945"/>
      <c r="CE26" s="945"/>
      <c r="CF26" s="946"/>
      <c r="CG26" s="945"/>
      <c r="CH26" s="945"/>
      <c r="CI26" s="946"/>
      <c r="CJ26" s="952"/>
      <c r="CK26" s="952"/>
      <c r="CL26" s="952"/>
      <c r="CM26" s="952"/>
      <c r="CN26" s="954"/>
      <c r="CO26" s="955"/>
      <c r="CP26" s="955"/>
      <c r="CQ26" s="955"/>
      <c r="CR26" s="956">
        <f t="shared" ref="CR26" si="100">+CN26</f>
        <v>0</v>
      </c>
      <c r="CS26" s="957"/>
    </row>
    <row r="27" spans="1:97" s="837" customFormat="1" ht="21.15" customHeight="1">
      <c r="A27" s="903" t="s">
        <v>209</v>
      </c>
      <c r="B27" s="904">
        <v>100</v>
      </c>
      <c r="C27" s="905">
        <v>0</v>
      </c>
      <c r="D27" s="959">
        <v>90</v>
      </c>
      <c r="E27" s="905">
        <v>2</v>
      </c>
      <c r="F27" s="906">
        <f t="shared" ref="F27:F36" si="101">IF(B27,(C27+D27)/B27,0)</f>
        <v>0.9</v>
      </c>
      <c r="G27" s="905">
        <v>0</v>
      </c>
      <c r="H27" s="907">
        <f t="shared" ref="H27" si="102">IF(B27,(C27+G27+D27)/B27,0)</f>
        <v>0.9</v>
      </c>
      <c r="I27" s="908">
        <v>450000</v>
      </c>
      <c r="J27" s="909">
        <v>513661.22</v>
      </c>
      <c r="K27" s="910">
        <v>513661.22</v>
      </c>
      <c r="L27" s="911">
        <f t="shared" si="4"/>
        <v>1.14146937777778</v>
      </c>
      <c r="M27" s="915">
        <v>450000</v>
      </c>
      <c r="N27" s="913">
        <v>0</v>
      </c>
      <c r="O27" s="914">
        <v>0</v>
      </c>
      <c r="P27" s="915">
        <v>0</v>
      </c>
      <c r="Q27" s="915"/>
      <c r="R27" s="913">
        <v>512213</v>
      </c>
      <c r="S27" s="916">
        <v>512213</v>
      </c>
      <c r="T27" s="917">
        <v>0</v>
      </c>
      <c r="U27" s="918"/>
      <c r="V27" s="918">
        <v>512075</v>
      </c>
      <c r="W27" s="919">
        <f t="shared" ref="W27" si="103">IF(M27,(V27)/M27,0)</f>
        <v>1.13794444444444</v>
      </c>
      <c r="X27" s="920">
        <v>512075</v>
      </c>
      <c r="Y27" s="921"/>
      <c r="Z27" s="922">
        <v>0</v>
      </c>
      <c r="AA27" s="923">
        <v>0</v>
      </c>
      <c r="AB27" s="924">
        <f t="shared" ref="AB27" si="104">IF(Y27,Z27/Y27,0)</f>
        <v>0</v>
      </c>
      <c r="AC27" s="925"/>
      <c r="AD27" s="925">
        <v>138</v>
      </c>
      <c r="AE27" s="925">
        <v>0</v>
      </c>
      <c r="AF27" s="924">
        <f t="shared" ref="AF27" si="105">IF(AC27,(AD27+AE27)/AC27,0)</f>
        <v>0</v>
      </c>
      <c r="AG27" s="880">
        <v>0</v>
      </c>
      <c r="AH27" s="926">
        <v>138</v>
      </c>
      <c r="AI27" s="880"/>
      <c r="AJ27" s="880">
        <v>0</v>
      </c>
      <c r="AK27" s="927">
        <f t="shared" ref="AK27" si="106">IF(AI27,(AJ27)/AI27,0)</f>
        <v>0</v>
      </c>
      <c r="AL27" s="928">
        <v>0</v>
      </c>
      <c r="AM27" s="929"/>
      <c r="AN27" s="929">
        <v>1448.22</v>
      </c>
      <c r="AO27" s="929">
        <v>0</v>
      </c>
      <c r="AP27" s="924">
        <f t="shared" ref="AP27" si="107">IF(AM27,(AN27+AO27)/AM27,0)</f>
        <v>0</v>
      </c>
      <c r="AQ27" s="930"/>
      <c r="AR27" s="930">
        <v>0</v>
      </c>
      <c r="AS27" s="931" t="e">
        <f t="shared" ref="AS27" si="108">AR27/AQ27*100%</f>
        <v>#DIV/0!</v>
      </c>
      <c r="AT27" s="930"/>
      <c r="AU27" s="930">
        <v>0</v>
      </c>
      <c r="AV27" s="962">
        <v>0</v>
      </c>
      <c r="AW27" s="935" t="e">
        <f t="shared" si="9"/>
        <v>#DIV/0!</v>
      </c>
      <c r="AX27" s="960" t="e">
        <v>#N/A</v>
      </c>
      <c r="AY27" s="960" t="e">
        <v>#N/A</v>
      </c>
      <c r="AZ27" s="937">
        <v>0</v>
      </c>
      <c r="BA27" s="937"/>
      <c r="BB27" s="937">
        <v>0</v>
      </c>
      <c r="BC27" s="938">
        <v>0</v>
      </c>
      <c r="BD27" s="963">
        <v>0</v>
      </c>
      <c r="BE27" s="939">
        <v>0</v>
      </c>
      <c r="BF27" s="940" t="e">
        <v>#N/A</v>
      </c>
      <c r="BG27" s="939">
        <v>0</v>
      </c>
      <c r="BH27" s="941" t="e">
        <v>#N/A</v>
      </c>
      <c r="BI27" s="943" t="e">
        <v>#N/A</v>
      </c>
      <c r="BJ27" s="943"/>
      <c r="BK27" s="944"/>
      <c r="BL27" s="945"/>
      <c r="BM27" s="945"/>
      <c r="BN27" s="945"/>
      <c r="BO27" s="946"/>
      <c r="BP27" s="947"/>
      <c r="BQ27" s="947"/>
      <c r="BR27" s="948"/>
      <c r="BS27" s="949"/>
      <c r="BT27" s="949"/>
      <c r="BU27" s="950"/>
      <c r="BV27" s="951"/>
      <c r="BW27" s="951"/>
      <c r="BX27" s="945"/>
      <c r="BY27" s="945"/>
      <c r="BZ27" s="946"/>
      <c r="CA27" s="945"/>
      <c r="CB27" s="945"/>
      <c r="CC27" s="946"/>
      <c r="CD27" s="945"/>
      <c r="CE27" s="945"/>
      <c r="CF27" s="946"/>
      <c r="CG27" s="945"/>
      <c r="CH27" s="945"/>
      <c r="CI27" s="946"/>
      <c r="CJ27" s="952"/>
      <c r="CK27" s="952"/>
      <c r="CL27" s="953"/>
      <c r="CM27" s="953"/>
      <c r="CN27" s="954"/>
      <c r="CO27" s="955"/>
      <c r="CP27" s="955"/>
      <c r="CQ27" s="955"/>
      <c r="CR27" s="956">
        <f t="shared" ref="CR27" si="109">+CN27</f>
        <v>0</v>
      </c>
      <c r="CS27" s="957"/>
    </row>
    <row r="28" spans="1:97" s="837" customFormat="1" ht="21.15" customHeight="1">
      <c r="A28" s="903" t="s">
        <v>70</v>
      </c>
      <c r="B28" s="904">
        <v>100</v>
      </c>
      <c r="C28" s="905">
        <v>0</v>
      </c>
      <c r="D28" s="959">
        <v>46</v>
      </c>
      <c r="E28" s="905">
        <v>0</v>
      </c>
      <c r="F28" s="906">
        <f t="shared" si="101"/>
        <v>0.46</v>
      </c>
      <c r="G28" s="905">
        <v>0</v>
      </c>
      <c r="H28" s="907">
        <f t="shared" ref="H28:H35" si="110">IF(B28,(C28+G28+D28)/B28,0)</f>
        <v>0.46</v>
      </c>
      <c r="I28" s="908">
        <v>450000</v>
      </c>
      <c r="J28" s="909">
        <v>258032.06</v>
      </c>
      <c r="K28" s="910">
        <v>258032.06</v>
      </c>
      <c r="L28" s="911">
        <f t="shared" si="4"/>
        <v>0.57340457777777798</v>
      </c>
      <c r="M28" s="915">
        <v>450000</v>
      </c>
      <c r="N28" s="913">
        <v>0</v>
      </c>
      <c r="O28" s="914">
        <v>0</v>
      </c>
      <c r="P28" s="915">
        <v>0</v>
      </c>
      <c r="Q28" s="915"/>
      <c r="R28" s="913">
        <v>257863</v>
      </c>
      <c r="S28" s="916">
        <v>257863</v>
      </c>
      <c r="T28" s="917">
        <v>0</v>
      </c>
      <c r="U28" s="918"/>
      <c r="V28" s="918">
        <v>257775</v>
      </c>
      <c r="W28" s="919">
        <f t="shared" ref="W28:W29" si="111">IF(M28,(V28)/M28,0)</f>
        <v>0.57283333333333297</v>
      </c>
      <c r="X28" s="920">
        <v>257775</v>
      </c>
      <c r="Y28" s="921"/>
      <c r="Z28" s="922">
        <v>0</v>
      </c>
      <c r="AA28" s="923">
        <v>0</v>
      </c>
      <c r="AB28" s="924">
        <f t="shared" ref="AB28:AB29" si="112">IF(Y28,Z28/Y28,0)</f>
        <v>0</v>
      </c>
      <c r="AC28" s="925"/>
      <c r="AD28" s="925">
        <v>88</v>
      </c>
      <c r="AE28" s="925">
        <v>0</v>
      </c>
      <c r="AF28" s="924">
        <f t="shared" ref="AF28:AF29" si="113">IF(AC28,(AD28+AE28)/AC28,0)</f>
        <v>0</v>
      </c>
      <c r="AG28" s="880">
        <v>0</v>
      </c>
      <c r="AH28" s="926">
        <v>88</v>
      </c>
      <c r="AI28" s="880"/>
      <c r="AJ28" s="880">
        <v>0</v>
      </c>
      <c r="AK28" s="927">
        <f t="shared" ref="AK28:AK29" si="114">IF(AI28,(AJ28)/AI28,0)</f>
        <v>0</v>
      </c>
      <c r="AL28" s="928">
        <v>0</v>
      </c>
      <c r="AM28" s="929"/>
      <c r="AN28" s="929">
        <v>169.06</v>
      </c>
      <c r="AO28" s="929">
        <v>0</v>
      </c>
      <c r="AP28" s="924">
        <f t="shared" ref="AP28:AP33" si="115">IF(AM28,(AN28+AO28)/AM28,0)</f>
        <v>0</v>
      </c>
      <c r="AQ28" s="930"/>
      <c r="AR28" s="930">
        <v>0</v>
      </c>
      <c r="AS28" s="931" t="e">
        <f t="shared" ref="AS28:AS29" si="116">AR28/AQ28*100%</f>
        <v>#DIV/0!</v>
      </c>
      <c r="AT28" s="930"/>
      <c r="AU28" s="930">
        <v>0</v>
      </c>
      <c r="AV28" s="962">
        <v>0</v>
      </c>
      <c r="AW28" s="935" t="e">
        <f t="shared" si="9"/>
        <v>#DIV/0!</v>
      </c>
      <c r="AX28" s="960" t="e">
        <v>#N/A</v>
      </c>
      <c r="AY28" s="960" t="e">
        <v>#N/A</v>
      </c>
      <c r="AZ28" s="937">
        <v>0</v>
      </c>
      <c r="BA28" s="937"/>
      <c r="BB28" s="937">
        <v>0</v>
      </c>
      <c r="BC28" s="938">
        <v>0</v>
      </c>
      <c r="BD28" s="893">
        <v>0</v>
      </c>
      <c r="BE28" s="939">
        <v>0</v>
      </c>
      <c r="BF28" s="940" t="e">
        <v>#N/A</v>
      </c>
      <c r="BG28" s="939">
        <v>0</v>
      </c>
      <c r="BH28" s="941" t="e">
        <v>#N/A</v>
      </c>
      <c r="BI28" s="943" t="e">
        <v>#N/A</v>
      </c>
      <c r="BJ28" s="943"/>
      <c r="BK28" s="944"/>
      <c r="BL28" s="945"/>
      <c r="BM28" s="945"/>
      <c r="BN28" s="945"/>
      <c r="BO28" s="946">
        <f>IF(BL28,BM28/BL28,0)</f>
        <v>0</v>
      </c>
      <c r="BP28" s="947"/>
      <c r="BQ28" s="947"/>
      <c r="BR28" s="948"/>
      <c r="BS28" s="949"/>
      <c r="BT28" s="949"/>
      <c r="BU28" s="950"/>
      <c r="BV28" s="951"/>
      <c r="BW28" s="951"/>
      <c r="BX28" s="945"/>
      <c r="BY28" s="945"/>
      <c r="BZ28" s="946">
        <f>IF(BX28,BY28/BX28,0)</f>
        <v>0</v>
      </c>
      <c r="CA28" s="945"/>
      <c r="CB28" s="945"/>
      <c r="CC28" s="946">
        <f>IF(CA28,CB28/CA28,0)</f>
        <v>0</v>
      </c>
      <c r="CD28" s="945"/>
      <c r="CE28" s="945"/>
      <c r="CF28" s="946">
        <f>IF(CD28,CE28/CD28,0)</f>
        <v>0</v>
      </c>
      <c r="CG28" s="945"/>
      <c r="CH28" s="945"/>
      <c r="CI28" s="946">
        <f>IF(CG28,CH28/CG28,0)</f>
        <v>0</v>
      </c>
      <c r="CJ28" s="952"/>
      <c r="CK28" s="952"/>
      <c r="CL28" s="953"/>
      <c r="CM28" s="953"/>
      <c r="CN28" s="954"/>
      <c r="CO28" s="955"/>
      <c r="CP28" s="955"/>
      <c r="CQ28" s="955"/>
      <c r="CR28" s="956">
        <f t="shared" ref="CR28:CR29" si="117">+CN28</f>
        <v>0</v>
      </c>
      <c r="CS28" s="957"/>
    </row>
    <row r="29" spans="1:97" s="837" customFormat="1" ht="21.15" customHeight="1">
      <c r="A29" s="903" t="s">
        <v>212</v>
      </c>
      <c r="B29" s="904"/>
      <c r="C29" s="905">
        <v>0</v>
      </c>
      <c r="D29" s="959">
        <v>0</v>
      </c>
      <c r="E29" s="905">
        <v>0</v>
      </c>
      <c r="F29" s="906">
        <f t="shared" si="101"/>
        <v>0</v>
      </c>
      <c r="G29" s="905">
        <v>0</v>
      </c>
      <c r="H29" s="907">
        <f t="shared" si="110"/>
        <v>0</v>
      </c>
      <c r="I29" s="908"/>
      <c r="J29" s="909">
        <v>0</v>
      </c>
      <c r="K29" s="910">
        <v>0</v>
      </c>
      <c r="L29" s="911">
        <f t="shared" si="4"/>
        <v>0</v>
      </c>
      <c r="M29" s="912"/>
      <c r="N29" s="913">
        <v>0</v>
      </c>
      <c r="O29" s="914">
        <v>0</v>
      </c>
      <c r="P29" s="915">
        <v>0</v>
      </c>
      <c r="Q29" s="915"/>
      <c r="R29" s="913">
        <v>0</v>
      </c>
      <c r="S29" s="916">
        <v>0</v>
      </c>
      <c r="T29" s="917">
        <v>0</v>
      </c>
      <c r="U29" s="918"/>
      <c r="V29" s="918">
        <v>0</v>
      </c>
      <c r="W29" s="919">
        <f t="shared" si="111"/>
        <v>0</v>
      </c>
      <c r="X29" s="920">
        <v>0</v>
      </c>
      <c r="Y29" s="921"/>
      <c r="Z29" s="922">
        <v>0</v>
      </c>
      <c r="AA29" s="923">
        <v>0</v>
      </c>
      <c r="AB29" s="924">
        <f t="shared" si="112"/>
        <v>0</v>
      </c>
      <c r="AC29" s="925"/>
      <c r="AD29" s="925">
        <v>0</v>
      </c>
      <c r="AE29" s="925">
        <v>0</v>
      </c>
      <c r="AF29" s="924">
        <f t="shared" si="113"/>
        <v>0</v>
      </c>
      <c r="AG29" s="880">
        <v>0</v>
      </c>
      <c r="AH29" s="926">
        <v>0</v>
      </c>
      <c r="AI29" s="880"/>
      <c r="AJ29" s="880">
        <v>0</v>
      </c>
      <c r="AK29" s="927">
        <f t="shared" si="114"/>
        <v>0</v>
      </c>
      <c r="AL29" s="928">
        <v>0</v>
      </c>
      <c r="AM29" s="929"/>
      <c r="AN29" s="929">
        <v>0</v>
      </c>
      <c r="AO29" s="929">
        <v>0</v>
      </c>
      <c r="AP29" s="924">
        <f t="shared" si="115"/>
        <v>0</v>
      </c>
      <c r="AQ29" s="930"/>
      <c r="AR29" s="930">
        <v>0</v>
      </c>
      <c r="AS29" s="931" t="e">
        <f t="shared" si="116"/>
        <v>#DIV/0!</v>
      </c>
      <c r="AT29" s="932"/>
      <c r="AU29" s="933">
        <v>0</v>
      </c>
      <c r="AV29" s="934">
        <v>0</v>
      </c>
      <c r="AW29" s="935" t="e">
        <f t="shared" si="9"/>
        <v>#DIV/0!</v>
      </c>
      <c r="AX29" s="960" t="e">
        <v>#N/A</v>
      </c>
      <c r="AY29" s="960" t="e">
        <v>#N/A</v>
      </c>
      <c r="AZ29" s="937">
        <v>0</v>
      </c>
      <c r="BA29" s="937"/>
      <c r="BB29" s="937">
        <v>0</v>
      </c>
      <c r="BC29" s="938">
        <v>0</v>
      </c>
      <c r="BD29" s="893">
        <v>0</v>
      </c>
      <c r="BE29" s="939">
        <v>0</v>
      </c>
      <c r="BF29" s="940" t="e">
        <v>#N/A</v>
      </c>
      <c r="BG29" s="939">
        <v>0</v>
      </c>
      <c r="BH29" s="941" t="e">
        <v>#N/A</v>
      </c>
      <c r="BI29" s="943" t="e">
        <v>#N/A</v>
      </c>
      <c r="BJ29" s="943"/>
      <c r="BK29" s="944"/>
      <c r="BL29" s="945"/>
      <c r="BM29" s="945"/>
      <c r="BN29" s="945"/>
      <c r="BO29" s="946">
        <f>IF(BL29,BM29/BL29,0)</f>
        <v>0</v>
      </c>
      <c r="BP29" s="947"/>
      <c r="BQ29" s="947"/>
      <c r="BR29" s="948"/>
      <c r="BS29" s="949"/>
      <c r="BT29" s="949"/>
      <c r="BU29" s="950"/>
      <c r="BV29" s="951"/>
      <c r="BW29" s="951"/>
      <c r="BX29" s="945"/>
      <c r="BY29" s="945"/>
      <c r="BZ29" s="946">
        <f>IF(BX29,BY29/BX29,0)</f>
        <v>0</v>
      </c>
      <c r="CA29" s="945"/>
      <c r="CB29" s="945"/>
      <c r="CC29" s="946">
        <f>IF(CA29,CB29/CA29,0)</f>
        <v>0</v>
      </c>
      <c r="CD29" s="945"/>
      <c r="CE29" s="945"/>
      <c r="CF29" s="946">
        <f>IF(CD29,CE29/CD29,0)</f>
        <v>0</v>
      </c>
      <c r="CG29" s="945"/>
      <c r="CH29" s="945"/>
      <c r="CI29" s="946">
        <f>IF(CG29,CH29/CG29,0)</f>
        <v>0</v>
      </c>
      <c r="CJ29" s="952"/>
      <c r="CK29" s="952"/>
      <c r="CL29" s="953"/>
      <c r="CM29" s="953"/>
      <c r="CN29" s="954">
        <f>SUM(CJ29:CM29)</f>
        <v>0</v>
      </c>
      <c r="CO29" s="955"/>
      <c r="CP29" s="955"/>
      <c r="CQ29" s="955"/>
      <c r="CR29" s="956">
        <f t="shared" si="117"/>
        <v>0</v>
      </c>
      <c r="CS29" s="957"/>
    </row>
    <row r="30" spans="1:97" s="837" customFormat="1" ht="19.5" customHeight="1">
      <c r="A30" s="966" t="s">
        <v>200</v>
      </c>
      <c r="B30" s="965"/>
      <c r="C30" s="905"/>
      <c r="D30" s="905"/>
      <c r="E30" s="905">
        <v>1</v>
      </c>
      <c r="F30" s="906">
        <f t="shared" si="101"/>
        <v>0</v>
      </c>
      <c r="G30" s="905"/>
      <c r="H30" s="907">
        <f t="shared" si="110"/>
        <v>0</v>
      </c>
      <c r="I30" s="967"/>
      <c r="J30" s="967"/>
      <c r="K30" s="967"/>
      <c r="L30" s="924"/>
      <c r="M30" s="918"/>
      <c r="N30" s="918"/>
      <c r="O30" s="918"/>
      <c r="P30" s="918"/>
      <c r="Q30" s="918"/>
      <c r="R30" s="968"/>
      <c r="S30" s="969"/>
      <c r="T30" s="918"/>
      <c r="U30" s="918"/>
      <c r="V30" s="918"/>
      <c r="W30" s="919">
        <f t="shared" si="5"/>
        <v>0</v>
      </c>
      <c r="X30" s="920"/>
      <c r="Y30" s="921"/>
      <c r="Z30" s="922"/>
      <c r="AA30" s="923"/>
      <c r="AB30" s="924"/>
      <c r="AC30" s="925"/>
      <c r="AD30" s="925"/>
      <c r="AE30" s="925"/>
      <c r="AF30" s="924">
        <f t="shared" si="6"/>
        <v>0</v>
      </c>
      <c r="AG30" s="926"/>
      <c r="AH30" s="926"/>
      <c r="AI30" s="926"/>
      <c r="AJ30" s="926"/>
      <c r="AK30" s="970"/>
      <c r="AL30" s="971"/>
      <c r="AM30" s="929"/>
      <c r="AN30" s="929"/>
      <c r="AO30" s="929"/>
      <c r="AP30" s="924">
        <f t="shared" si="115"/>
        <v>0</v>
      </c>
      <c r="AQ30" s="930"/>
      <c r="AR30" s="930"/>
      <c r="AS30" s="972"/>
      <c r="AT30" s="930"/>
      <c r="AU30" s="930"/>
      <c r="AV30" s="962"/>
      <c r="AW30" s="973"/>
      <c r="AX30" s="960"/>
      <c r="AY30" s="960"/>
      <c r="AZ30" s="937"/>
      <c r="BA30" s="937"/>
      <c r="BB30" s="937"/>
      <c r="BC30" s="938"/>
      <c r="BD30" s="893"/>
      <c r="BE30" s="939"/>
      <c r="BF30" s="939"/>
      <c r="BG30" s="939"/>
      <c r="BH30" s="941"/>
      <c r="BI30" s="942"/>
      <c r="BJ30" s="943"/>
      <c r="BK30" s="944"/>
      <c r="BL30" s="945"/>
      <c r="BM30" s="945"/>
      <c r="BN30" s="945"/>
      <c r="BO30" s="946"/>
      <c r="BP30" s="947"/>
      <c r="BQ30" s="947"/>
      <c r="BR30" s="948"/>
      <c r="BS30" s="949"/>
      <c r="BT30" s="949"/>
      <c r="BU30" s="950"/>
      <c r="BV30" s="951"/>
      <c r="BW30" s="951"/>
      <c r="BX30" s="945"/>
      <c r="BY30" s="945"/>
      <c r="BZ30" s="946"/>
      <c r="CA30" s="945"/>
      <c r="CB30" s="945"/>
      <c r="CC30" s="946"/>
      <c r="CD30" s="945"/>
      <c r="CE30" s="945"/>
      <c r="CF30" s="946"/>
      <c r="CG30" s="945"/>
      <c r="CH30" s="945"/>
      <c r="CI30" s="946"/>
      <c r="CJ30" s="952"/>
      <c r="CK30" s="952"/>
      <c r="CL30" s="952"/>
      <c r="CM30" s="952"/>
      <c r="CN30" s="954"/>
      <c r="CO30" s="955"/>
      <c r="CP30" s="955"/>
      <c r="CQ30" s="955"/>
      <c r="CR30" s="956"/>
      <c r="CS30" s="957"/>
    </row>
    <row r="31" spans="1:97" s="837" customFormat="1" ht="19.5" customHeight="1">
      <c r="A31" s="966" t="s">
        <v>196</v>
      </c>
      <c r="B31" s="965"/>
      <c r="C31" s="905"/>
      <c r="D31" s="905"/>
      <c r="E31" s="905"/>
      <c r="F31" s="906">
        <f t="shared" si="101"/>
        <v>0</v>
      </c>
      <c r="G31" s="905"/>
      <c r="H31" s="907">
        <f t="shared" si="110"/>
        <v>0</v>
      </c>
      <c r="I31" s="967"/>
      <c r="J31" s="967"/>
      <c r="K31" s="967"/>
      <c r="L31" s="924"/>
      <c r="M31" s="918"/>
      <c r="N31" s="918"/>
      <c r="O31" s="918"/>
      <c r="P31" s="918"/>
      <c r="Q31" s="918"/>
      <c r="R31" s="968"/>
      <c r="S31" s="969"/>
      <c r="T31" s="918"/>
      <c r="U31" s="918"/>
      <c r="V31" s="918"/>
      <c r="W31" s="919">
        <f t="shared" si="5"/>
        <v>0</v>
      </c>
      <c r="X31" s="920"/>
      <c r="Y31" s="921"/>
      <c r="Z31" s="922"/>
      <c r="AA31" s="923"/>
      <c r="AB31" s="924"/>
      <c r="AC31" s="925"/>
      <c r="AD31" s="925"/>
      <c r="AE31" s="925"/>
      <c r="AF31" s="924">
        <f t="shared" si="6"/>
        <v>0</v>
      </c>
      <c r="AG31" s="926"/>
      <c r="AH31" s="926"/>
      <c r="AI31" s="926"/>
      <c r="AJ31" s="926"/>
      <c r="AK31" s="970"/>
      <c r="AL31" s="971"/>
      <c r="AM31" s="929"/>
      <c r="AN31" s="929"/>
      <c r="AO31" s="929"/>
      <c r="AP31" s="924">
        <f t="shared" si="115"/>
        <v>0</v>
      </c>
      <c r="AQ31" s="930"/>
      <c r="AR31" s="930"/>
      <c r="AS31" s="972"/>
      <c r="AT31" s="930"/>
      <c r="AU31" s="930"/>
      <c r="AV31" s="962"/>
      <c r="AW31" s="973"/>
      <c r="AX31" s="960"/>
      <c r="AY31" s="960"/>
      <c r="AZ31" s="937"/>
      <c r="BA31" s="937"/>
      <c r="BB31" s="937"/>
      <c r="BC31" s="938"/>
      <c r="BD31" s="893"/>
      <c r="BE31" s="939"/>
      <c r="BF31" s="939"/>
      <c r="BG31" s="939"/>
      <c r="BH31" s="941"/>
      <c r="BI31" s="942"/>
      <c r="BJ31" s="943"/>
      <c r="BK31" s="944"/>
      <c r="BL31" s="945"/>
      <c r="BM31" s="945"/>
      <c r="BN31" s="945"/>
      <c r="BO31" s="946"/>
      <c r="BP31" s="947"/>
      <c r="BQ31" s="947"/>
      <c r="BR31" s="948"/>
      <c r="BS31" s="949"/>
      <c r="BT31" s="949"/>
      <c r="BU31" s="950"/>
      <c r="BV31" s="951"/>
      <c r="BW31" s="951"/>
      <c r="BX31" s="945"/>
      <c r="BY31" s="945"/>
      <c r="BZ31" s="946"/>
      <c r="CA31" s="945"/>
      <c r="CB31" s="945"/>
      <c r="CC31" s="946"/>
      <c r="CD31" s="945"/>
      <c r="CE31" s="945"/>
      <c r="CF31" s="946"/>
      <c r="CG31" s="945"/>
      <c r="CH31" s="945"/>
      <c r="CI31" s="946"/>
      <c r="CJ31" s="952"/>
      <c r="CK31" s="952"/>
      <c r="CL31" s="952"/>
      <c r="CM31" s="952"/>
      <c r="CN31" s="954"/>
      <c r="CO31" s="955"/>
      <c r="CP31" s="955"/>
      <c r="CQ31" s="955"/>
      <c r="CR31" s="956"/>
      <c r="CS31" s="957"/>
    </row>
    <row r="32" spans="1:97" s="837" customFormat="1" ht="19.5" customHeight="1">
      <c r="A32" s="966" t="s">
        <v>75</v>
      </c>
      <c r="B32" s="965"/>
      <c r="C32" s="905"/>
      <c r="D32" s="905"/>
      <c r="E32" s="905"/>
      <c r="F32" s="906">
        <f t="shared" si="101"/>
        <v>0</v>
      </c>
      <c r="G32" s="905"/>
      <c r="H32" s="907">
        <f t="shared" si="110"/>
        <v>0</v>
      </c>
      <c r="I32" s="967"/>
      <c r="J32" s="967"/>
      <c r="K32" s="967"/>
      <c r="L32" s="924"/>
      <c r="M32" s="918"/>
      <c r="N32" s="918"/>
      <c r="O32" s="918"/>
      <c r="P32" s="918"/>
      <c r="Q32" s="918"/>
      <c r="R32" s="968"/>
      <c r="S32" s="969"/>
      <c r="T32" s="918"/>
      <c r="U32" s="918"/>
      <c r="V32" s="918"/>
      <c r="W32" s="919">
        <f t="shared" ref="W32:W33" si="118">IF(M32,(V32)/M32,0)</f>
        <v>0</v>
      </c>
      <c r="X32" s="920"/>
      <c r="Y32" s="921"/>
      <c r="Z32" s="922"/>
      <c r="AA32" s="923"/>
      <c r="AB32" s="924"/>
      <c r="AC32" s="925"/>
      <c r="AD32" s="925"/>
      <c r="AE32" s="925"/>
      <c r="AF32" s="924">
        <f t="shared" si="6"/>
        <v>0</v>
      </c>
      <c r="AG32" s="926"/>
      <c r="AH32" s="926"/>
      <c r="AI32" s="926"/>
      <c r="AJ32" s="926"/>
      <c r="AK32" s="970"/>
      <c r="AL32" s="971"/>
      <c r="AM32" s="929"/>
      <c r="AN32" s="929"/>
      <c r="AO32" s="929"/>
      <c r="AP32" s="924">
        <f t="shared" si="115"/>
        <v>0</v>
      </c>
      <c r="AQ32" s="930"/>
      <c r="AR32" s="930"/>
      <c r="AS32" s="972"/>
      <c r="AT32" s="930"/>
      <c r="AU32" s="930"/>
      <c r="AV32" s="962"/>
      <c r="AW32" s="973"/>
      <c r="AX32" s="960"/>
      <c r="AY32" s="960"/>
      <c r="AZ32" s="937"/>
      <c r="BA32" s="937"/>
      <c r="BB32" s="937"/>
      <c r="BC32" s="938"/>
      <c r="BD32" s="893"/>
      <c r="BE32" s="939"/>
      <c r="BF32" s="939"/>
      <c r="BG32" s="939"/>
      <c r="BH32" s="941"/>
      <c r="BI32" s="942"/>
      <c r="BJ32" s="943"/>
      <c r="BK32" s="944"/>
      <c r="BL32" s="945"/>
      <c r="BM32" s="945"/>
      <c r="BN32" s="945"/>
      <c r="BO32" s="946"/>
      <c r="BP32" s="947"/>
      <c r="BQ32" s="947"/>
      <c r="BR32" s="948"/>
      <c r="BS32" s="949"/>
      <c r="BT32" s="949"/>
      <c r="BU32" s="950"/>
      <c r="BV32" s="951"/>
      <c r="BW32" s="951"/>
      <c r="BX32" s="945"/>
      <c r="BY32" s="945"/>
      <c r="BZ32" s="946"/>
      <c r="CA32" s="945"/>
      <c r="CB32" s="945"/>
      <c r="CC32" s="946"/>
      <c r="CD32" s="945"/>
      <c r="CE32" s="945"/>
      <c r="CF32" s="946"/>
      <c r="CG32" s="945"/>
      <c r="CH32" s="945"/>
      <c r="CI32" s="946"/>
      <c r="CJ32" s="952"/>
      <c r="CK32" s="952"/>
      <c r="CL32" s="952"/>
      <c r="CM32" s="952"/>
      <c r="CN32" s="954"/>
      <c r="CO32" s="955"/>
      <c r="CP32" s="955"/>
      <c r="CQ32" s="955"/>
      <c r="CR32" s="956"/>
      <c r="CS32" s="957"/>
    </row>
    <row r="33" spans="1:97" s="837" customFormat="1" ht="19.5" customHeight="1">
      <c r="A33" s="966" t="s">
        <v>76</v>
      </c>
      <c r="B33" s="965"/>
      <c r="C33" s="905"/>
      <c r="D33" s="905"/>
      <c r="E33" s="905"/>
      <c r="F33" s="906">
        <f t="shared" si="101"/>
        <v>0</v>
      </c>
      <c r="G33" s="905"/>
      <c r="H33" s="907">
        <f t="shared" si="110"/>
        <v>0</v>
      </c>
      <c r="I33" s="967"/>
      <c r="J33" s="967"/>
      <c r="K33" s="967"/>
      <c r="L33" s="924"/>
      <c r="M33" s="918"/>
      <c r="N33" s="918"/>
      <c r="O33" s="918"/>
      <c r="P33" s="918"/>
      <c r="Q33" s="918"/>
      <c r="R33" s="968"/>
      <c r="S33" s="969"/>
      <c r="T33" s="918"/>
      <c r="U33" s="918"/>
      <c r="V33" s="918"/>
      <c r="W33" s="919">
        <f t="shared" si="118"/>
        <v>0</v>
      </c>
      <c r="X33" s="920"/>
      <c r="Y33" s="921"/>
      <c r="Z33" s="922"/>
      <c r="AA33" s="923"/>
      <c r="AB33" s="924"/>
      <c r="AC33" s="925"/>
      <c r="AD33" s="925"/>
      <c r="AE33" s="925"/>
      <c r="AF33" s="924">
        <f t="shared" si="6"/>
        <v>0</v>
      </c>
      <c r="AG33" s="926"/>
      <c r="AH33" s="926"/>
      <c r="AI33" s="926"/>
      <c r="AJ33" s="926"/>
      <c r="AK33" s="970"/>
      <c r="AL33" s="971"/>
      <c r="AM33" s="929"/>
      <c r="AN33" s="929"/>
      <c r="AO33" s="929"/>
      <c r="AP33" s="924">
        <f t="shared" si="115"/>
        <v>0</v>
      </c>
      <c r="AQ33" s="930"/>
      <c r="AR33" s="930"/>
      <c r="AS33" s="972"/>
      <c r="AT33" s="930"/>
      <c r="AU33" s="930"/>
      <c r="AV33" s="962"/>
      <c r="AW33" s="973"/>
      <c r="AX33" s="960"/>
      <c r="AY33" s="960"/>
      <c r="AZ33" s="937"/>
      <c r="BA33" s="937"/>
      <c r="BB33" s="937"/>
      <c r="BC33" s="938"/>
      <c r="BD33" s="893"/>
      <c r="BE33" s="939"/>
      <c r="BF33" s="939"/>
      <c r="BG33" s="939"/>
      <c r="BH33" s="941"/>
      <c r="BI33" s="942"/>
      <c r="BJ33" s="943"/>
      <c r="BK33" s="944"/>
      <c r="BL33" s="945"/>
      <c r="BM33" s="945"/>
      <c r="BN33" s="945"/>
      <c r="BO33" s="946"/>
      <c r="BP33" s="947"/>
      <c r="BQ33" s="947"/>
      <c r="BR33" s="948"/>
      <c r="BS33" s="949"/>
      <c r="BT33" s="949"/>
      <c r="BU33" s="950"/>
      <c r="BV33" s="951"/>
      <c r="BW33" s="951"/>
      <c r="BX33" s="945"/>
      <c r="BY33" s="945"/>
      <c r="BZ33" s="946"/>
      <c r="CA33" s="945"/>
      <c r="CB33" s="945"/>
      <c r="CC33" s="946"/>
      <c r="CD33" s="945"/>
      <c r="CE33" s="945"/>
      <c r="CF33" s="946"/>
      <c r="CG33" s="945"/>
      <c r="CH33" s="945"/>
      <c r="CI33" s="946"/>
      <c r="CJ33" s="952"/>
      <c r="CK33" s="952"/>
      <c r="CL33" s="952"/>
      <c r="CM33" s="952"/>
      <c r="CN33" s="954"/>
      <c r="CO33" s="955"/>
      <c r="CP33" s="955"/>
      <c r="CQ33" s="955"/>
      <c r="CR33" s="956"/>
      <c r="CS33" s="957"/>
    </row>
    <row r="34" spans="1:97" s="837" customFormat="1" ht="19.5" customHeight="1">
      <c r="A34" s="966" t="s">
        <v>208</v>
      </c>
      <c r="B34" s="965"/>
      <c r="C34" s="905"/>
      <c r="D34" s="905"/>
      <c r="E34" s="905"/>
      <c r="F34" s="906">
        <f t="shared" si="101"/>
        <v>0</v>
      </c>
      <c r="G34" s="905"/>
      <c r="H34" s="907">
        <f t="shared" ref="H34" si="119">IF(B34,(C34+G34+D34)/B34,0)</f>
        <v>0</v>
      </c>
      <c r="I34" s="967"/>
      <c r="J34" s="967"/>
      <c r="K34" s="967"/>
      <c r="L34" s="924"/>
      <c r="M34" s="918"/>
      <c r="N34" s="918"/>
      <c r="O34" s="918"/>
      <c r="P34" s="918"/>
      <c r="Q34" s="918"/>
      <c r="R34" s="968"/>
      <c r="S34" s="969"/>
      <c r="T34" s="918"/>
      <c r="U34" s="918"/>
      <c r="V34" s="918"/>
      <c r="W34" s="919">
        <f t="shared" ref="W34" si="120">IF(M34,(V34)/M34,0)</f>
        <v>0</v>
      </c>
      <c r="X34" s="920"/>
      <c r="Y34" s="921"/>
      <c r="Z34" s="922"/>
      <c r="AA34" s="923"/>
      <c r="AB34" s="924"/>
      <c r="AC34" s="925"/>
      <c r="AD34" s="925"/>
      <c r="AE34" s="925"/>
      <c r="AF34" s="924">
        <f t="shared" ref="AF34" si="121">IF(AC34,(AD34+AE34)/AC34,0)</f>
        <v>0</v>
      </c>
      <c r="AG34" s="926"/>
      <c r="AH34" s="926"/>
      <c r="AI34" s="926"/>
      <c r="AJ34" s="926"/>
      <c r="AK34" s="970"/>
      <c r="AL34" s="971"/>
      <c r="AM34" s="929"/>
      <c r="AN34" s="929"/>
      <c r="AO34" s="929"/>
      <c r="AP34" s="924">
        <f t="shared" ref="AP34" si="122">IF(AM34,(AN34+AO34)/AM34,0)</f>
        <v>0</v>
      </c>
      <c r="AQ34" s="930"/>
      <c r="AR34" s="930"/>
      <c r="AS34" s="972"/>
      <c r="AT34" s="930"/>
      <c r="AU34" s="930"/>
      <c r="AV34" s="962"/>
      <c r="AW34" s="973"/>
      <c r="AX34" s="960"/>
      <c r="AY34" s="960"/>
      <c r="AZ34" s="937"/>
      <c r="BA34" s="937"/>
      <c r="BB34" s="937"/>
      <c r="BC34" s="938"/>
      <c r="BD34" s="893"/>
      <c r="BE34" s="939"/>
      <c r="BF34" s="939"/>
      <c r="BG34" s="939"/>
      <c r="BH34" s="941"/>
      <c r="BI34" s="942"/>
      <c r="BJ34" s="943"/>
      <c r="BK34" s="944"/>
      <c r="BL34" s="945"/>
      <c r="BM34" s="945"/>
      <c r="BN34" s="945"/>
      <c r="BO34" s="946"/>
      <c r="BP34" s="947"/>
      <c r="BQ34" s="947"/>
      <c r="BR34" s="948"/>
      <c r="BS34" s="949"/>
      <c r="BT34" s="949"/>
      <c r="BU34" s="950"/>
      <c r="BV34" s="951"/>
      <c r="BW34" s="951"/>
      <c r="BX34" s="945"/>
      <c r="BY34" s="945"/>
      <c r="BZ34" s="946"/>
      <c r="CA34" s="945"/>
      <c r="CB34" s="945"/>
      <c r="CC34" s="946"/>
      <c r="CD34" s="945"/>
      <c r="CE34" s="945"/>
      <c r="CF34" s="946"/>
      <c r="CG34" s="945"/>
      <c r="CH34" s="945"/>
      <c r="CI34" s="946"/>
      <c r="CJ34" s="952"/>
      <c r="CK34" s="952"/>
      <c r="CL34" s="952"/>
      <c r="CM34" s="952"/>
      <c r="CN34" s="954"/>
      <c r="CO34" s="955"/>
      <c r="CP34" s="955"/>
      <c r="CQ34" s="955"/>
      <c r="CR34" s="956"/>
      <c r="CS34" s="957"/>
    </row>
    <row r="35" spans="1:97" s="837" customFormat="1" ht="19.5" customHeight="1">
      <c r="A35" s="964" t="s">
        <v>514</v>
      </c>
      <c r="B35" s="965"/>
      <c r="C35" s="905"/>
      <c r="D35" s="905"/>
      <c r="E35" s="905"/>
      <c r="F35" s="906">
        <f t="shared" si="101"/>
        <v>0</v>
      </c>
      <c r="G35" s="905"/>
      <c r="H35" s="907">
        <f t="shared" si="110"/>
        <v>0</v>
      </c>
      <c r="I35" s="967"/>
      <c r="J35" s="967"/>
      <c r="K35" s="967"/>
      <c r="L35" s="924"/>
      <c r="M35" s="918"/>
      <c r="N35" s="918"/>
      <c r="O35" s="918"/>
      <c r="P35" s="918"/>
      <c r="Q35" s="918"/>
      <c r="R35" s="968"/>
      <c r="S35" s="969"/>
      <c r="T35" s="918"/>
      <c r="U35" s="918"/>
      <c r="V35" s="918"/>
      <c r="W35" s="919"/>
      <c r="X35" s="920"/>
      <c r="Y35" s="921"/>
      <c r="Z35" s="922"/>
      <c r="AA35" s="923"/>
      <c r="AB35" s="924"/>
      <c r="AC35" s="925"/>
      <c r="AD35" s="925"/>
      <c r="AE35" s="925"/>
      <c r="AF35" s="924"/>
      <c r="AG35" s="926"/>
      <c r="AH35" s="926"/>
      <c r="AI35" s="926"/>
      <c r="AJ35" s="926"/>
      <c r="AK35" s="970"/>
      <c r="AL35" s="971"/>
      <c r="AM35" s="929"/>
      <c r="AN35" s="929"/>
      <c r="AO35" s="929"/>
      <c r="AP35" s="924"/>
      <c r="AQ35" s="930"/>
      <c r="AR35" s="930"/>
      <c r="AS35" s="972"/>
      <c r="AT35" s="930"/>
      <c r="AU35" s="930"/>
      <c r="AV35" s="962"/>
      <c r="AW35" s="973"/>
      <c r="AX35" s="960"/>
      <c r="AY35" s="960"/>
      <c r="AZ35" s="937"/>
      <c r="BA35" s="937"/>
      <c r="BB35" s="937"/>
      <c r="BC35" s="938"/>
      <c r="BD35" s="893"/>
      <c r="BE35" s="939"/>
      <c r="BF35" s="939"/>
      <c r="BG35" s="939"/>
      <c r="BH35" s="941"/>
      <c r="BI35" s="942"/>
      <c r="BJ35" s="943"/>
      <c r="BK35" s="944"/>
      <c r="BL35" s="945"/>
      <c r="BM35" s="945"/>
      <c r="BN35" s="945"/>
      <c r="BO35" s="946"/>
      <c r="BP35" s="947"/>
      <c r="BQ35" s="947"/>
      <c r="BR35" s="948"/>
      <c r="BS35" s="949"/>
      <c r="BT35" s="949"/>
      <c r="BU35" s="950"/>
      <c r="BV35" s="951"/>
      <c r="BW35" s="951"/>
      <c r="BX35" s="945"/>
      <c r="BY35" s="945"/>
      <c r="BZ35" s="946"/>
      <c r="CA35" s="945"/>
      <c r="CB35" s="945"/>
      <c r="CC35" s="946"/>
      <c r="CD35" s="945"/>
      <c r="CE35" s="945"/>
      <c r="CF35" s="946"/>
      <c r="CG35" s="945"/>
      <c r="CH35" s="945"/>
      <c r="CI35" s="946"/>
      <c r="CJ35" s="952"/>
      <c r="CK35" s="952"/>
      <c r="CL35" s="952"/>
      <c r="CM35" s="952"/>
      <c r="CN35" s="954"/>
      <c r="CO35" s="955"/>
      <c r="CP35" s="955"/>
      <c r="CQ35" s="955"/>
      <c r="CR35" s="956"/>
    </row>
    <row r="36" spans="1:97" s="838" customFormat="1" ht="19.5" customHeight="1">
      <c r="A36" s="974" t="s">
        <v>515</v>
      </c>
      <c r="B36" s="975">
        <f>SUM(B6:B35)</f>
        <v>3840</v>
      </c>
      <c r="C36" s="975">
        <f>SUM(C6:C35)</f>
        <v>2005</v>
      </c>
      <c r="D36" s="975">
        <f>SUM(D6:D35)</f>
        <v>1366</v>
      </c>
      <c r="E36" s="975">
        <f>SUM(E6:E35)</f>
        <v>277</v>
      </c>
      <c r="F36" s="906">
        <f t="shared" si="101"/>
        <v>0.87786458333333295</v>
      </c>
      <c r="G36" s="975">
        <f>SUM(G6:G35)</f>
        <v>0</v>
      </c>
      <c r="H36" s="907">
        <f>IF(B36,(C36+D36+G36)/B36,0)</f>
        <v>0.87786458333333295</v>
      </c>
      <c r="I36" s="976">
        <f>SUM(I6:I35)</f>
        <v>6680000</v>
      </c>
      <c r="J36" s="976">
        <f>SUM(J6:J35)</f>
        <v>6645651.1100000003</v>
      </c>
      <c r="K36" s="977">
        <f>N36+R36+AN36-O36</f>
        <v>6801056.1100000003</v>
      </c>
      <c r="L36" s="906">
        <f>IF(I36,J36/I36,0)</f>
        <v>0.994857950598802</v>
      </c>
      <c r="M36" s="976">
        <f t="shared" ref="M36:V36" si="123">SUM(M6:M35)</f>
        <v>4628000</v>
      </c>
      <c r="N36" s="978">
        <f t="shared" si="123"/>
        <v>1148094</v>
      </c>
      <c r="O36" s="978">
        <f t="shared" si="123"/>
        <v>39704.54</v>
      </c>
      <c r="P36" s="976">
        <f t="shared" si="123"/>
        <v>2919</v>
      </c>
      <c r="Q36" s="976">
        <f t="shared" si="123"/>
        <v>0</v>
      </c>
      <c r="R36" s="979">
        <f t="shared" si="123"/>
        <v>4150432.37</v>
      </c>
      <c r="S36" s="976">
        <f t="shared" si="123"/>
        <v>5258821.83</v>
      </c>
      <c r="T36" s="976">
        <f t="shared" si="123"/>
        <v>0</v>
      </c>
      <c r="U36" s="976">
        <f t="shared" si="123"/>
        <v>0</v>
      </c>
      <c r="V36" s="976">
        <f t="shared" si="123"/>
        <v>4698763.8600000003</v>
      </c>
      <c r="W36" s="919">
        <f>IF(M36,(V36)/M36,0)</f>
        <v>1.01529037597234</v>
      </c>
      <c r="X36" s="976">
        <f>SUM(X6:X35)</f>
        <v>4698763.8600000003</v>
      </c>
      <c r="Y36" s="976">
        <f>SUM(Y6:Y35)</f>
        <v>268000</v>
      </c>
      <c r="Z36" s="976">
        <f>SUM(Z6:Z35)</f>
        <v>247587.27</v>
      </c>
      <c r="AA36" s="976">
        <f>SUM(AA6:AA35)</f>
        <v>0</v>
      </c>
      <c r="AB36" s="980">
        <f>IF(Y36,Z36/Y36,0)</f>
        <v>0.923833097014925</v>
      </c>
      <c r="AC36" s="976">
        <f>SUM(AC6:AC35)</f>
        <v>200000</v>
      </c>
      <c r="AD36" s="976">
        <f>SUM(AD6:AD35)</f>
        <v>129750.7</v>
      </c>
      <c r="AE36" s="976">
        <f>SUM(AE6:AE35)</f>
        <v>27315</v>
      </c>
      <c r="AF36" s="924">
        <f>IF(AC36,(AD36+AE36)/AC36,0)</f>
        <v>0.78532849999999998</v>
      </c>
      <c r="AG36" s="976">
        <f>SUM(AG6:AG35)</f>
        <v>5200</v>
      </c>
      <c r="AH36" s="978">
        <f>SUM(AH6:AH35)</f>
        <v>404652.97</v>
      </c>
      <c r="AI36" s="981">
        <f>SUM(AI6:AI35)</f>
        <v>144000</v>
      </c>
      <c r="AJ36" s="978">
        <f>SUM(AJ6:AJ35)</f>
        <v>153124</v>
      </c>
      <c r="AK36" s="927">
        <f t="shared" ref="AK36" si="124">IF(AI36,(AJ36)/AI36,0)</f>
        <v>1.0633611111111101</v>
      </c>
      <c r="AL36" s="981">
        <f>SUM(AL6:AL35)</f>
        <v>7584</v>
      </c>
      <c r="AM36" s="982">
        <f>SUM(AM6:AM35)</f>
        <v>504000</v>
      </c>
      <c r="AN36" s="982">
        <f>SUM(AN6:AN35)</f>
        <v>1542234.28</v>
      </c>
      <c r="AO36" s="982">
        <f>SUM(AO6:AO35)</f>
        <v>0</v>
      </c>
      <c r="AP36" s="980">
        <f>IF(AM36,(AN36+AO36)/AM36,0)</f>
        <v>3.0599886507936498</v>
      </c>
      <c r="AQ36" s="983">
        <f>SUM(AQ6:AQ35)</f>
        <v>144</v>
      </c>
      <c r="AR36" s="983">
        <f>SUM(AR6:AR35)</f>
        <v>253</v>
      </c>
      <c r="AS36" s="931">
        <f t="shared" ref="AS36" si="125">AR36/AQ36*100%</f>
        <v>1.75694444444444</v>
      </c>
      <c r="AT36" s="983">
        <f>SUM(AT6:AT35)</f>
        <v>240</v>
      </c>
      <c r="AU36" s="983">
        <f>SUM(AU6:AU35)</f>
        <v>77</v>
      </c>
      <c r="AV36" s="983">
        <f>SUM(AV6:AV35)</f>
        <v>9</v>
      </c>
      <c r="AW36" s="984">
        <f>IF(AQ36,(AU36+AV36)/AQ36,0)</f>
        <v>0.59722222222222199</v>
      </c>
      <c r="AX36" s="985"/>
      <c r="AY36" s="985"/>
      <c r="AZ36" s="986">
        <f t="shared" ref="AZ36:BH36" si="126">SUM(AZ6:AZ35)</f>
        <v>0</v>
      </c>
      <c r="BA36" s="986">
        <f t="shared" si="126"/>
        <v>0</v>
      </c>
      <c r="BB36" s="986">
        <f t="shared" si="126"/>
        <v>0</v>
      </c>
      <c r="BC36" s="987">
        <f t="shared" si="126"/>
        <v>0</v>
      </c>
      <c r="BD36" s="988">
        <f t="shared" si="126"/>
        <v>0</v>
      </c>
      <c r="BE36" s="989">
        <f t="shared" si="126"/>
        <v>275</v>
      </c>
      <c r="BF36" s="989" t="e">
        <f t="shared" si="126"/>
        <v>#N/A</v>
      </c>
      <c r="BG36" s="989">
        <f t="shared" si="126"/>
        <v>450</v>
      </c>
      <c r="BH36" s="989" t="e">
        <f t="shared" si="126"/>
        <v>#N/A</v>
      </c>
      <c r="BI36" s="990" t="e">
        <f t="shared" ref="BI36:BO36" si="127">SUM(BI7:BI35)</f>
        <v>#N/A</v>
      </c>
      <c r="BJ36" s="990">
        <f t="shared" si="127"/>
        <v>0</v>
      </c>
      <c r="BK36" s="991">
        <f t="shared" si="127"/>
        <v>0</v>
      </c>
      <c r="BL36" s="992">
        <f t="shared" si="127"/>
        <v>0</v>
      </c>
      <c r="BM36" s="992">
        <f t="shared" si="127"/>
        <v>0</v>
      </c>
      <c r="BN36" s="992">
        <f t="shared" si="127"/>
        <v>0</v>
      </c>
      <c r="BO36" s="992">
        <f t="shared" si="127"/>
        <v>0</v>
      </c>
      <c r="BP36" s="993"/>
      <c r="BQ36" s="993"/>
      <c r="BR36" s="993"/>
      <c r="BS36" s="994"/>
      <c r="BT36" s="994"/>
      <c r="BU36" s="994"/>
      <c r="BV36" s="995">
        <f t="shared" ref="BV36:CK36" si="128">SUM(BV7:BV35)</f>
        <v>0</v>
      </c>
      <c r="BW36" s="995">
        <f t="shared" si="128"/>
        <v>0</v>
      </c>
      <c r="BX36" s="992">
        <f t="shared" si="128"/>
        <v>0</v>
      </c>
      <c r="BY36" s="992">
        <f t="shared" si="128"/>
        <v>0</v>
      </c>
      <c r="BZ36" s="992">
        <f t="shared" si="128"/>
        <v>0</v>
      </c>
      <c r="CA36" s="992">
        <f t="shared" si="128"/>
        <v>0</v>
      </c>
      <c r="CB36" s="992">
        <f t="shared" si="128"/>
        <v>0</v>
      </c>
      <c r="CC36" s="992">
        <f t="shared" si="128"/>
        <v>0</v>
      </c>
      <c r="CD36" s="992">
        <f t="shared" si="128"/>
        <v>0</v>
      </c>
      <c r="CE36" s="992">
        <f t="shared" si="128"/>
        <v>0</v>
      </c>
      <c r="CF36" s="992">
        <f t="shared" si="128"/>
        <v>0</v>
      </c>
      <c r="CG36" s="992">
        <f t="shared" si="128"/>
        <v>0</v>
      </c>
      <c r="CH36" s="992">
        <f t="shared" si="128"/>
        <v>0</v>
      </c>
      <c r="CI36" s="992">
        <f t="shared" si="128"/>
        <v>0</v>
      </c>
      <c r="CJ36" s="954">
        <f t="shared" si="128"/>
        <v>0</v>
      </c>
      <c r="CK36" s="954">
        <f t="shared" si="128"/>
        <v>0</v>
      </c>
      <c r="CL36" s="954">
        <f>SUM(CL6:CL35)</f>
        <v>0</v>
      </c>
      <c r="CM36" s="954"/>
      <c r="CN36" s="954">
        <f>SUM(CN7:CN35)</f>
        <v>0</v>
      </c>
      <c r="CO36" s="996">
        <f>SUM(CO7:CO35)</f>
        <v>0</v>
      </c>
      <c r="CP36" s="996">
        <f>SUM(CP7:CP35)</f>
        <v>0</v>
      </c>
      <c r="CQ36" s="996">
        <f>SUM(CQ7:CQ35)</f>
        <v>0</v>
      </c>
      <c r="CR36" s="988">
        <f>SUM(CR6:CR35)</f>
        <v>0</v>
      </c>
    </row>
    <row r="37" spans="1:97">
      <c r="J37" s="997"/>
      <c r="K37" s="997"/>
      <c r="N37" s="998">
        <f>N36-O36</f>
        <v>1108389.46</v>
      </c>
      <c r="O37" s="998"/>
      <c r="S37" s="999"/>
      <c r="V37" s="1000"/>
      <c r="W37"/>
      <c r="X37" s="998"/>
      <c r="AH37" s="998"/>
      <c r="AI37" s="998"/>
      <c r="AJ37" s="998"/>
      <c r="AL37" s="998"/>
      <c r="AN37" s="31"/>
      <c r="AQ37" s="31"/>
      <c r="AR37" s="31"/>
      <c r="AT37" s="31"/>
      <c r="AU37" s="31"/>
      <c r="AV37" s="31"/>
      <c r="CJ37" s="1001"/>
    </row>
    <row r="38" spans="1:97" s="839" customFormat="1" ht="21.15" customHeight="1">
      <c r="A38" s="1002" t="s">
        <v>334</v>
      </c>
      <c r="B38" s="1003"/>
      <c r="C38" s="1003">
        <f>2318-56+1+G38</f>
        <v>2263</v>
      </c>
      <c r="D38" s="1003"/>
      <c r="E38" s="1003"/>
      <c r="F38" s="1004"/>
      <c r="G38" s="1003"/>
      <c r="H38" s="1005"/>
      <c r="I38" s="1006"/>
      <c r="J38" s="1006"/>
      <c r="K38" s="1006"/>
      <c r="L38" s="1007"/>
      <c r="M38" s="1006"/>
      <c r="N38" s="1006">
        <v>407543.28</v>
      </c>
      <c r="O38" s="1008">
        <v>33216.720000000001</v>
      </c>
      <c r="P38" s="1006">
        <v>2371</v>
      </c>
      <c r="Q38" s="1006"/>
      <c r="R38" s="1009">
        <v>3149814.37</v>
      </c>
      <c r="S38" s="1006"/>
      <c r="T38" s="1010"/>
      <c r="U38" s="1011">
        <v>0</v>
      </c>
      <c r="V38" s="1012"/>
      <c r="W38" s="1007"/>
      <c r="X38" s="1010"/>
      <c r="Y38" s="1006"/>
      <c r="Z38" s="1006"/>
      <c r="AA38" s="1006"/>
      <c r="AB38" s="1007"/>
      <c r="AC38" s="1006"/>
      <c r="AD38" s="1006"/>
      <c r="AE38" s="1006"/>
      <c r="AF38" s="1007"/>
      <c r="AG38" s="1007"/>
      <c r="AH38" s="1013">
        <v>265268</v>
      </c>
      <c r="AI38" s="1010"/>
      <c r="AJ38" s="1014">
        <v>103606</v>
      </c>
      <c r="AK38" s="1015"/>
      <c r="AL38" s="1010"/>
      <c r="AM38" s="1006"/>
      <c r="AN38" s="1016">
        <v>1147126.9299999899</v>
      </c>
      <c r="AO38" s="1006"/>
      <c r="AP38" s="1007"/>
      <c r="AQ38" s="1008"/>
      <c r="AR38" s="1008"/>
      <c r="AS38" s="1005"/>
      <c r="AT38" s="1008"/>
      <c r="AU38" s="1008"/>
      <c r="AV38" s="1008"/>
      <c r="AW38" s="1007"/>
      <c r="AX38" s="1006"/>
      <c r="AY38" s="1006"/>
      <c r="AZ38" s="1006"/>
      <c r="BA38" s="1006"/>
      <c r="BB38" s="1006"/>
      <c r="BC38" s="1017"/>
      <c r="BD38" s="1017"/>
      <c r="BE38" s="1006"/>
      <c r="BF38" s="1006"/>
      <c r="BG38" s="1006"/>
      <c r="BH38" s="1006"/>
      <c r="BI38" s="1018"/>
      <c r="BJ38" s="1018"/>
      <c r="BK38" s="1006"/>
      <c r="BL38" s="1006"/>
      <c r="BM38" s="1006"/>
      <c r="BN38" s="1006"/>
      <c r="BO38" s="1006"/>
      <c r="BP38" s="1019"/>
      <c r="BQ38" s="1019"/>
      <c r="BR38" s="1019"/>
      <c r="BS38" s="1019"/>
      <c r="BT38" s="1019"/>
      <c r="BU38" s="1019"/>
      <c r="BV38" s="1019"/>
      <c r="BW38" s="1019"/>
      <c r="BX38" s="1006"/>
      <c r="BY38" s="1006"/>
      <c r="BZ38" s="1006"/>
      <c r="CA38" s="1006"/>
      <c r="CB38" s="1006"/>
      <c r="CC38" s="1006"/>
      <c r="CD38" s="1006"/>
      <c r="CE38" s="1006"/>
      <c r="CF38" s="1006"/>
      <c r="CG38" s="1006"/>
      <c r="CH38" s="1006"/>
      <c r="CI38" s="1006"/>
      <c r="CJ38" s="1020"/>
      <c r="CK38" s="1020"/>
      <c r="CL38" s="1020"/>
      <c r="CM38" s="1020"/>
      <c r="CN38" s="1020"/>
      <c r="CO38" s="1020"/>
      <c r="CP38" s="1020"/>
      <c r="CQ38" s="1020"/>
      <c r="CR38" s="1017"/>
    </row>
    <row r="39" spans="1:97" s="839" customFormat="1" ht="21.15" customHeight="1">
      <c r="A39" s="1002" t="s">
        <v>335</v>
      </c>
      <c r="B39" s="1003"/>
      <c r="C39" s="1003">
        <f>56+1053-1</f>
        <v>1108</v>
      </c>
      <c r="D39" s="1003"/>
      <c r="E39" s="1003"/>
      <c r="F39" s="1004"/>
      <c r="G39" s="1003"/>
      <c r="H39" s="1005"/>
      <c r="I39" s="1006"/>
      <c r="J39" s="1006"/>
      <c r="K39" s="1006"/>
      <c r="L39" s="1007"/>
      <c r="M39" s="1006"/>
      <c r="N39" s="1014">
        <v>152603.18</v>
      </c>
      <c r="O39" s="1008">
        <v>6487.82</v>
      </c>
      <c r="P39" s="1006">
        <v>548</v>
      </c>
      <c r="Q39" s="1006"/>
      <c r="R39" s="1009">
        <v>1000618</v>
      </c>
      <c r="S39" s="1006"/>
      <c r="T39" s="1010"/>
      <c r="U39" s="1011"/>
      <c r="V39" s="1012"/>
      <c r="W39" s="1007"/>
      <c r="X39" s="1010"/>
      <c r="Y39" s="1006"/>
      <c r="Z39" s="1006"/>
      <c r="AA39" s="1006"/>
      <c r="AB39" s="1007"/>
      <c r="AC39" s="1006"/>
      <c r="AD39" s="1006"/>
      <c r="AE39" s="1006"/>
      <c r="AF39" s="1007"/>
      <c r="AG39" s="1007"/>
      <c r="AH39" s="1013">
        <v>137966</v>
      </c>
      <c r="AI39" s="1010"/>
      <c r="AJ39" s="1014">
        <v>41454</v>
      </c>
      <c r="AK39" s="1015"/>
      <c r="AL39" s="1010"/>
      <c r="AM39" s="1006"/>
      <c r="AN39" s="1016">
        <v>395107.35000000102</v>
      </c>
      <c r="AO39" s="1006"/>
      <c r="AP39" s="1007"/>
      <c r="AQ39" s="1008"/>
      <c r="AR39" s="1008"/>
      <c r="AS39" s="1005"/>
      <c r="AT39" s="1008"/>
      <c r="AU39" s="1008"/>
      <c r="AV39" s="1008"/>
      <c r="AW39" s="1007"/>
      <c r="AX39" s="1006"/>
      <c r="AY39" s="1006"/>
      <c r="AZ39" s="1006"/>
      <c r="BA39" s="1006"/>
      <c r="BB39" s="1006"/>
      <c r="BC39" s="1017"/>
      <c r="BD39" s="1017"/>
      <c r="BE39" s="1006"/>
      <c r="BF39" s="1006"/>
      <c r="BG39" s="1006"/>
      <c r="BH39" s="1006"/>
      <c r="BI39" s="1018"/>
      <c r="BJ39" s="1018"/>
      <c r="BK39" s="1006"/>
      <c r="BL39" s="1006"/>
      <c r="BM39" s="1006"/>
      <c r="BN39" s="1006"/>
      <c r="BO39" s="1006"/>
      <c r="BP39" s="1019"/>
      <c r="BQ39" s="1019"/>
      <c r="BR39" s="1019"/>
      <c r="BS39" s="1019"/>
      <c r="BT39" s="1019"/>
      <c r="BU39" s="1019"/>
      <c r="BV39" s="1019"/>
      <c r="BW39" s="1019"/>
      <c r="BX39" s="1006"/>
      <c r="BY39" s="1006"/>
      <c r="BZ39" s="1006"/>
      <c r="CA39" s="1006"/>
      <c r="CB39" s="1006"/>
      <c r="CC39" s="1006"/>
      <c r="CD39" s="1006"/>
      <c r="CE39" s="1006"/>
      <c r="CF39" s="1006"/>
      <c r="CG39" s="1006"/>
      <c r="CH39" s="1006"/>
      <c r="CI39" s="1006"/>
      <c r="CJ39" s="1020"/>
      <c r="CK39" s="1020"/>
      <c r="CL39" s="1020"/>
      <c r="CM39" s="1020"/>
      <c r="CN39" s="1020"/>
      <c r="CO39" s="1020"/>
      <c r="CP39" s="1020"/>
      <c r="CQ39" s="1020"/>
      <c r="CR39" s="1017"/>
    </row>
    <row r="40" spans="1:97" s="839" customFormat="1" ht="21.15" customHeight="1">
      <c r="A40" s="1002" t="s">
        <v>311</v>
      </c>
      <c r="B40" s="1003"/>
      <c r="C40" s="1003">
        <f>SUM(C38:C39)</f>
        <v>3371</v>
      </c>
      <c r="D40" s="1003">
        <f t="shared" ref="D40:BQ40" si="129">SUM(D38:D39)</f>
        <v>0</v>
      </c>
      <c r="E40" s="1003">
        <f t="shared" si="129"/>
        <v>0</v>
      </c>
      <c r="F40" s="1004">
        <f t="shared" si="129"/>
        <v>0</v>
      </c>
      <c r="G40" s="1003">
        <f t="shared" si="129"/>
        <v>0</v>
      </c>
      <c r="H40" s="1004">
        <f t="shared" si="129"/>
        <v>0</v>
      </c>
      <c r="I40" s="1003">
        <f t="shared" si="129"/>
        <v>0</v>
      </c>
      <c r="J40" s="1003">
        <f t="shared" si="129"/>
        <v>0</v>
      </c>
      <c r="K40" s="1003">
        <f t="shared" si="129"/>
        <v>0</v>
      </c>
      <c r="L40" s="1004">
        <f t="shared" si="129"/>
        <v>0</v>
      </c>
      <c r="M40" s="1003">
        <f t="shared" si="129"/>
        <v>0</v>
      </c>
      <c r="N40" s="1003">
        <f t="shared" si="129"/>
        <v>560146.46</v>
      </c>
      <c r="O40" s="1003">
        <f t="shared" si="129"/>
        <v>39704.54</v>
      </c>
      <c r="P40" s="1003">
        <f t="shared" si="129"/>
        <v>2919</v>
      </c>
      <c r="Q40" s="1003">
        <f t="shared" si="129"/>
        <v>0</v>
      </c>
      <c r="R40" s="1003">
        <f t="shared" si="129"/>
        <v>4150432.37</v>
      </c>
      <c r="S40" s="1003">
        <f t="shared" si="129"/>
        <v>0</v>
      </c>
      <c r="T40" s="1003">
        <f t="shared" si="129"/>
        <v>0</v>
      </c>
      <c r="U40" s="1003">
        <f t="shared" si="129"/>
        <v>0</v>
      </c>
      <c r="V40" s="1003">
        <f t="shared" si="129"/>
        <v>0</v>
      </c>
      <c r="W40" s="1004">
        <f t="shared" si="129"/>
        <v>0</v>
      </c>
      <c r="X40" s="1003">
        <f t="shared" si="129"/>
        <v>0</v>
      </c>
      <c r="Y40" s="1003">
        <f t="shared" si="129"/>
        <v>0</v>
      </c>
      <c r="Z40" s="1003">
        <f t="shared" si="129"/>
        <v>0</v>
      </c>
      <c r="AA40" s="1003">
        <f t="shared" si="129"/>
        <v>0</v>
      </c>
      <c r="AB40" s="1004">
        <f t="shared" si="129"/>
        <v>0</v>
      </c>
      <c r="AC40" s="1003">
        <f t="shared" si="129"/>
        <v>0</v>
      </c>
      <c r="AD40" s="1003">
        <f t="shared" si="129"/>
        <v>0</v>
      </c>
      <c r="AE40" s="1003">
        <f t="shared" si="129"/>
        <v>0</v>
      </c>
      <c r="AF40" s="1004">
        <f t="shared" si="129"/>
        <v>0</v>
      </c>
      <c r="AG40" s="1004"/>
      <c r="AH40" s="1003">
        <f t="shared" si="129"/>
        <v>403234</v>
      </c>
      <c r="AI40" s="1003">
        <f t="shared" si="129"/>
        <v>0</v>
      </c>
      <c r="AJ40" s="1003">
        <f t="shared" si="129"/>
        <v>145060</v>
      </c>
      <c r="AK40" s="1004">
        <f t="shared" si="129"/>
        <v>0</v>
      </c>
      <c r="AL40" s="1003"/>
      <c r="AM40" s="1003">
        <f t="shared" si="129"/>
        <v>0</v>
      </c>
      <c r="AN40" s="1003">
        <f t="shared" si="129"/>
        <v>1542234.27999999</v>
      </c>
      <c r="AO40" s="1003">
        <f t="shared" si="129"/>
        <v>0</v>
      </c>
      <c r="AP40" s="1004">
        <f t="shared" si="129"/>
        <v>0</v>
      </c>
      <c r="AQ40" s="1003">
        <f t="shared" si="129"/>
        <v>0</v>
      </c>
      <c r="AR40" s="1003">
        <f t="shared" si="129"/>
        <v>0</v>
      </c>
      <c r="AS40" s="1004">
        <f t="shared" si="129"/>
        <v>0</v>
      </c>
      <c r="AT40" s="1003">
        <f t="shared" si="129"/>
        <v>0</v>
      </c>
      <c r="AU40" s="1003">
        <f t="shared" si="129"/>
        <v>0</v>
      </c>
      <c r="AV40" s="1003">
        <f t="shared" si="129"/>
        <v>0</v>
      </c>
      <c r="AW40" s="1004">
        <f t="shared" si="129"/>
        <v>0</v>
      </c>
      <c r="AX40" s="1003">
        <f t="shared" si="129"/>
        <v>0</v>
      </c>
      <c r="AY40" s="1003">
        <f t="shared" si="129"/>
        <v>0</v>
      </c>
      <c r="AZ40" s="1003">
        <f t="shared" si="129"/>
        <v>0</v>
      </c>
      <c r="BA40" s="1003">
        <f t="shared" si="129"/>
        <v>0</v>
      </c>
      <c r="BB40" s="1003">
        <f t="shared" si="129"/>
        <v>0</v>
      </c>
      <c r="BC40" s="1003">
        <f t="shared" si="129"/>
        <v>0</v>
      </c>
      <c r="BD40" s="1003">
        <f t="shared" si="129"/>
        <v>0</v>
      </c>
      <c r="BE40" s="1003">
        <f t="shared" si="129"/>
        <v>0</v>
      </c>
      <c r="BF40" s="1003">
        <f t="shared" si="129"/>
        <v>0</v>
      </c>
      <c r="BG40" s="1003">
        <f t="shared" si="129"/>
        <v>0</v>
      </c>
      <c r="BH40" s="1003">
        <f t="shared" si="129"/>
        <v>0</v>
      </c>
      <c r="BI40" s="1003">
        <f t="shared" si="129"/>
        <v>0</v>
      </c>
      <c r="BJ40" s="1003">
        <f t="shared" si="129"/>
        <v>0</v>
      </c>
      <c r="BK40" s="1003">
        <f t="shared" si="129"/>
        <v>0</v>
      </c>
      <c r="BL40" s="1003">
        <f t="shared" si="129"/>
        <v>0</v>
      </c>
      <c r="BM40" s="1003">
        <f t="shared" si="129"/>
        <v>0</v>
      </c>
      <c r="BN40" s="1003">
        <f t="shared" si="129"/>
        <v>0</v>
      </c>
      <c r="BO40" s="1003">
        <f t="shared" si="129"/>
        <v>0</v>
      </c>
      <c r="BP40" s="1003">
        <f t="shared" si="129"/>
        <v>0</v>
      </c>
      <c r="BQ40" s="1003">
        <f t="shared" si="129"/>
        <v>0</v>
      </c>
      <c r="BR40" s="1003">
        <f t="shared" ref="BR40:CI40" si="130">SUM(BR38:BR39)</f>
        <v>0</v>
      </c>
      <c r="BS40" s="1003">
        <f t="shared" si="130"/>
        <v>0</v>
      </c>
      <c r="BT40" s="1003">
        <f t="shared" si="130"/>
        <v>0</v>
      </c>
      <c r="BU40" s="1003">
        <f t="shared" si="130"/>
        <v>0</v>
      </c>
      <c r="BV40" s="1003">
        <f t="shared" si="130"/>
        <v>0</v>
      </c>
      <c r="BW40" s="1003">
        <f t="shared" si="130"/>
        <v>0</v>
      </c>
      <c r="BX40" s="1003">
        <f t="shared" si="130"/>
        <v>0</v>
      </c>
      <c r="BY40" s="1003">
        <f t="shared" si="130"/>
        <v>0</v>
      </c>
      <c r="BZ40" s="1003">
        <f t="shared" si="130"/>
        <v>0</v>
      </c>
      <c r="CA40" s="1003">
        <f t="shared" si="130"/>
        <v>0</v>
      </c>
      <c r="CB40" s="1003">
        <f t="shared" si="130"/>
        <v>0</v>
      </c>
      <c r="CC40" s="1003">
        <f t="shared" si="130"/>
        <v>0</v>
      </c>
      <c r="CD40" s="1003">
        <f t="shared" si="130"/>
        <v>0</v>
      </c>
      <c r="CE40" s="1003">
        <f t="shared" si="130"/>
        <v>0</v>
      </c>
      <c r="CF40" s="1003">
        <f t="shared" si="130"/>
        <v>0</v>
      </c>
      <c r="CG40" s="1003">
        <f t="shared" si="130"/>
        <v>0</v>
      </c>
      <c r="CH40" s="1003">
        <f t="shared" si="130"/>
        <v>0</v>
      </c>
      <c r="CI40" s="1003">
        <f t="shared" si="130"/>
        <v>0</v>
      </c>
      <c r="CJ40" s="1020"/>
      <c r="CK40" s="1020"/>
      <c r="CL40" s="1020"/>
      <c r="CM40" s="1020"/>
      <c r="CN40" s="1020"/>
      <c r="CO40" s="1020"/>
      <c r="CP40" s="1020"/>
      <c r="CQ40" s="1020"/>
      <c r="CR40" s="1017"/>
    </row>
    <row r="41" spans="1:97" s="839" customFormat="1" ht="21.15" customHeight="1">
      <c r="A41" s="1021" t="s">
        <v>516</v>
      </c>
      <c r="B41" s="1022">
        <f>SUM(N41:CI41)</f>
        <v>-50.999999990919598</v>
      </c>
      <c r="C41" s="1023">
        <f>C36+D36+G36-C40</f>
        <v>0</v>
      </c>
      <c r="D41" s="1023"/>
      <c r="E41" s="1023"/>
      <c r="F41" s="1005"/>
      <c r="G41" s="1023">
        <f>G40-G36</f>
        <v>0</v>
      </c>
      <c r="H41" s="1005"/>
      <c r="I41" s="1024"/>
      <c r="J41" s="1024"/>
      <c r="K41" s="1024"/>
      <c r="L41" s="1007"/>
      <c r="M41" s="1024"/>
      <c r="N41" s="1025">
        <f>(N36-O36-AH36-AJ36)-N40</f>
        <v>-9533.9699999999702</v>
      </c>
      <c r="O41" s="1024">
        <f>O36-O40</f>
        <v>0</v>
      </c>
      <c r="P41" s="1024">
        <f>P36-P40</f>
        <v>0</v>
      </c>
      <c r="Q41" s="1024">
        <f>Q36-Q40</f>
        <v>0</v>
      </c>
      <c r="R41" s="1023">
        <f>R36-R40</f>
        <v>0</v>
      </c>
      <c r="S41" s="1024"/>
      <c r="T41" s="1024">
        <f>T36-T40</f>
        <v>0</v>
      </c>
      <c r="U41" s="1024">
        <f>U36-U40</f>
        <v>0</v>
      </c>
      <c r="V41" s="1026"/>
      <c r="W41" s="1007"/>
      <c r="X41" s="1026"/>
      <c r="Y41" s="1024"/>
      <c r="Z41" s="1024"/>
      <c r="AA41" s="1024"/>
      <c r="AB41" s="1007"/>
      <c r="AC41" s="1024"/>
      <c r="AD41" s="1024"/>
      <c r="AE41" s="1024"/>
      <c r="AF41" s="1007"/>
      <c r="AG41" s="1007"/>
      <c r="AH41" s="1027">
        <f>AH36-AH40</f>
        <v>1418.96999999997</v>
      </c>
      <c r="AI41" s="1010"/>
      <c r="AJ41" s="1027">
        <f>AJ36-AJ40</f>
        <v>8064</v>
      </c>
      <c r="AK41" s="1007"/>
      <c r="AL41" s="1024"/>
      <c r="AM41" s="1024"/>
      <c r="AN41" s="1023">
        <f>AN36-AN40</f>
        <v>9.0803951025009205E-9</v>
      </c>
      <c r="AO41" s="1024">
        <f>AO36-AO40</f>
        <v>0</v>
      </c>
      <c r="AP41" s="1007"/>
      <c r="AQ41" s="1023"/>
      <c r="AR41" s="1023"/>
      <c r="AS41" s="1005"/>
      <c r="AT41" s="1023"/>
      <c r="AU41" s="1023"/>
      <c r="AV41" s="1023"/>
      <c r="AW41" s="1007"/>
      <c r="AX41" s="1024"/>
      <c r="AY41" s="1024"/>
      <c r="AZ41" s="1024"/>
      <c r="BA41" s="1024"/>
      <c r="BB41" s="1024"/>
      <c r="BC41" s="1017"/>
      <c r="BD41" s="1017"/>
      <c r="BE41" s="1024"/>
      <c r="BF41" s="1024"/>
      <c r="BG41" s="1024"/>
      <c r="BH41" s="1024"/>
      <c r="BI41" s="1028"/>
      <c r="BJ41" s="1028"/>
      <c r="BK41" s="1024"/>
      <c r="BL41" s="1024"/>
      <c r="BM41" s="1024"/>
      <c r="BN41" s="1024"/>
      <c r="BO41" s="1024"/>
      <c r="BP41" s="1029"/>
      <c r="BQ41" s="1029"/>
      <c r="BR41" s="1029"/>
      <c r="BS41" s="1029"/>
      <c r="BT41" s="1029"/>
      <c r="BU41" s="1029"/>
      <c r="BV41" s="1029"/>
      <c r="BW41" s="1029"/>
      <c r="BX41" s="1024"/>
      <c r="BY41" s="1024"/>
      <c r="BZ41" s="1024"/>
      <c r="CA41" s="1024"/>
      <c r="CB41" s="1024"/>
      <c r="CC41" s="1024"/>
      <c r="CD41" s="1024"/>
      <c r="CE41" s="1024"/>
      <c r="CF41" s="1024"/>
      <c r="CG41" s="1024"/>
      <c r="CH41" s="1024"/>
      <c r="CI41" s="1024"/>
      <c r="CJ41" s="1020"/>
      <c r="CK41" s="1020"/>
      <c r="CL41" s="1020"/>
      <c r="CM41" s="1020"/>
      <c r="CN41" s="1020"/>
      <c r="CO41" s="1020"/>
      <c r="CP41" s="1020"/>
      <c r="CQ41" s="1020"/>
      <c r="CR41" s="1017"/>
    </row>
    <row r="42" spans="1:97" s="210" customFormat="1" ht="10.8">
      <c r="N42" s="1030" t="s">
        <v>517</v>
      </c>
      <c r="O42" s="1030"/>
      <c r="P42" s="210" t="s">
        <v>518</v>
      </c>
      <c r="R42" s="210" t="s">
        <v>519</v>
      </c>
      <c r="T42" s="210" t="s">
        <v>520</v>
      </c>
      <c r="U42" s="210" t="s">
        <v>521</v>
      </c>
      <c r="V42" s="1030"/>
      <c r="X42" s="1030"/>
      <c r="AH42" s="1030" t="s">
        <v>308</v>
      </c>
      <c r="AI42" s="1030"/>
      <c r="AJ42" s="1030"/>
      <c r="AK42" s="1031"/>
      <c r="AL42" s="1030"/>
      <c r="AN42" s="1032" t="s">
        <v>522</v>
      </c>
      <c r="AO42" s="210" t="s">
        <v>523</v>
      </c>
      <c r="AQ42" s="1033"/>
      <c r="AR42" s="1033"/>
      <c r="AS42" s="1032"/>
      <c r="AT42" s="1033"/>
      <c r="AU42" s="1033"/>
      <c r="AV42" s="1033"/>
      <c r="AZ42" s="1034"/>
      <c r="BA42" s="1034"/>
      <c r="BB42" s="1034"/>
      <c r="BC42" s="1035"/>
      <c r="BD42" s="1035"/>
      <c r="BI42" s="1036"/>
      <c r="BJ42" s="1036"/>
      <c r="BP42" s="1034"/>
      <c r="BQ42" s="1034"/>
      <c r="BR42" s="1034"/>
      <c r="BS42" s="1034"/>
      <c r="BT42" s="1034"/>
      <c r="BU42" s="1034"/>
      <c r="BV42" s="1034"/>
      <c r="BW42" s="1034"/>
      <c r="CJ42" s="1037"/>
      <c r="CK42" s="1034"/>
      <c r="CL42" s="1034"/>
      <c r="CM42" s="1034"/>
      <c r="CN42" s="1034"/>
      <c r="CO42" s="1034"/>
      <c r="CP42" s="1034"/>
      <c r="CQ42" s="1034"/>
      <c r="CR42" s="1035"/>
    </row>
    <row r="43" spans="1:97">
      <c r="A43" t="s">
        <v>524</v>
      </c>
      <c r="B43" s="1038"/>
      <c r="C43" s="1038"/>
      <c r="D43" s="1038"/>
      <c r="E43" s="1038"/>
      <c r="F43" s="1038"/>
      <c r="G43" s="1038"/>
      <c r="H43" s="1038"/>
      <c r="I43" s="1038"/>
      <c r="J43" s="1038"/>
      <c r="K43" s="1038"/>
      <c r="L43" s="1038"/>
      <c r="M43" s="1038"/>
      <c r="N43" s="1038"/>
      <c r="O43" s="1038"/>
      <c r="P43" s="1038"/>
      <c r="Q43" s="1038"/>
      <c r="R43" s="1038"/>
      <c r="S43" s="1038"/>
      <c r="T43" s="1038"/>
      <c r="U43" s="1038"/>
      <c r="V43" s="1038"/>
      <c r="W43" s="1038"/>
      <c r="X43" s="1038"/>
      <c r="Y43" s="1038"/>
      <c r="Z43" s="1038"/>
      <c r="AA43" s="1038"/>
      <c r="AB43" s="1038"/>
      <c r="AC43" s="1038"/>
      <c r="AD43" s="1038"/>
      <c r="AE43" s="1038"/>
      <c r="AF43" s="1038"/>
      <c r="AG43" s="1038"/>
      <c r="AH43" s="1038"/>
      <c r="AI43" s="1038"/>
      <c r="AJ43" s="1038"/>
      <c r="AK43" s="1038"/>
      <c r="AL43" s="1038"/>
      <c r="AM43" s="1038"/>
      <c r="AN43" s="1038"/>
      <c r="AO43" s="1038"/>
      <c r="AP43" s="1038"/>
      <c r="AQ43" s="1038"/>
      <c r="AR43" s="1038"/>
      <c r="AS43" s="1038"/>
      <c r="AT43" s="1038"/>
      <c r="AU43" s="1038"/>
      <c r="AV43" s="1038"/>
      <c r="AW43" s="1038"/>
      <c r="AX43" s="1038"/>
      <c r="AY43" s="1038"/>
      <c r="AZ43" s="1038"/>
      <c r="BA43" s="1038"/>
      <c r="BB43" s="1038"/>
      <c r="BC43" s="1038"/>
      <c r="BD43" s="1038"/>
      <c r="BE43" s="1038"/>
      <c r="BF43" s="1038"/>
      <c r="BG43" s="1038"/>
      <c r="BH43" s="1038"/>
      <c r="BI43" s="1038"/>
      <c r="BJ43" s="1038"/>
      <c r="BK43" s="1038"/>
      <c r="BL43" s="1038"/>
      <c r="BM43" s="1038"/>
      <c r="BN43" s="1038"/>
      <c r="BO43" s="1038"/>
      <c r="BP43" s="1038"/>
      <c r="BQ43" s="1038"/>
      <c r="BR43" s="1038"/>
      <c r="BS43" s="1038"/>
      <c r="BT43" s="1038"/>
      <c r="BU43" s="1038"/>
      <c r="BV43" s="1038"/>
      <c r="BW43" s="1038"/>
      <c r="BX43" s="1038"/>
      <c r="BY43" s="1038"/>
      <c r="BZ43" s="1038"/>
      <c r="CA43" s="1038"/>
      <c r="CB43" s="1038"/>
      <c r="CC43" s="1038"/>
      <c r="CD43" s="1038"/>
      <c r="CE43" s="1038"/>
      <c r="CF43" s="1038"/>
      <c r="CG43" s="1038"/>
      <c r="CH43" s="1038"/>
      <c r="CI43" s="1038"/>
      <c r="CJ43" s="1038"/>
      <c r="CK43" s="1038"/>
      <c r="CL43" s="1038"/>
      <c r="CM43" s="1038"/>
      <c r="CN43" s="1038"/>
      <c r="CO43" s="1038"/>
      <c r="CP43" s="1038"/>
      <c r="CQ43" s="1038"/>
      <c r="CR43" s="1038"/>
    </row>
    <row r="44" spans="1:97" s="839" customFormat="1" ht="21.15" customHeight="1">
      <c r="A44" s="1002" t="s">
        <v>525</v>
      </c>
      <c r="B44" s="1003"/>
      <c r="C44" s="1003"/>
      <c r="D44" s="1003"/>
      <c r="E44" s="1003"/>
      <c r="F44" s="1004"/>
      <c r="G44" s="1003"/>
      <c r="H44" s="1005"/>
      <c r="I44" s="1006"/>
      <c r="J44" s="1006"/>
      <c r="K44" s="1006"/>
      <c r="L44" s="1007"/>
      <c r="M44" s="1006"/>
      <c r="N44" s="1039">
        <v>267937.5</v>
      </c>
      <c r="O44" s="1039">
        <f>14854.5+4926</f>
        <v>19780.5</v>
      </c>
      <c r="P44" s="1040"/>
      <c r="Q44" s="1040"/>
      <c r="R44" s="1040">
        <v>779356.97</v>
      </c>
      <c r="S44" s="1040"/>
      <c r="T44" s="1041"/>
      <c r="U44" s="1041"/>
      <c r="V44" s="1042"/>
      <c r="W44" s="1043"/>
      <c r="X44" s="1039"/>
      <c r="Y44" s="1040"/>
      <c r="Z44" s="1040"/>
      <c r="AA44" s="1040"/>
      <c r="AB44" s="1043"/>
      <c r="AC44" s="1040"/>
      <c r="AD44" s="1040"/>
      <c r="AE44" s="1040"/>
      <c r="AF44" s="1043"/>
      <c r="AG44" s="1043"/>
      <c r="AH44" s="1039">
        <v>0</v>
      </c>
      <c r="AI44" s="1039"/>
      <c r="AJ44" s="1039">
        <v>0</v>
      </c>
      <c r="AK44" s="1044"/>
      <c r="AL44" s="1039"/>
      <c r="AM44" s="1040"/>
      <c r="AN44" s="1040">
        <v>340701</v>
      </c>
      <c r="AO44" s="1040"/>
      <c r="AP44" s="1043"/>
      <c r="AQ44" s="1040"/>
      <c r="AR44" s="1040"/>
      <c r="AS44" s="1043"/>
      <c r="AT44" s="1040"/>
      <c r="AU44" s="1040"/>
      <c r="AV44" s="1040"/>
      <c r="AW44" s="1043"/>
      <c r="AX44" s="1040"/>
      <c r="AY44" s="1040"/>
      <c r="AZ44" s="1040"/>
      <c r="BA44" s="1040"/>
      <c r="BB44" s="1040"/>
      <c r="BC44" s="1017"/>
      <c r="BD44" s="1017"/>
      <c r="BE44" s="1040"/>
      <c r="BF44" s="1040"/>
      <c r="BG44" s="1040"/>
      <c r="BH44" s="1040"/>
      <c r="BI44" s="1040"/>
      <c r="BJ44" s="1040"/>
      <c r="BK44" s="1040"/>
      <c r="BL44" s="1040"/>
      <c r="BM44" s="1040"/>
      <c r="BN44" s="1040"/>
      <c r="BO44" s="1040"/>
      <c r="BP44" s="1045"/>
      <c r="BQ44" s="1045"/>
      <c r="BR44" s="1045"/>
      <c r="BS44" s="1045"/>
      <c r="BT44" s="1045"/>
      <c r="BU44" s="1045"/>
      <c r="BV44" s="1045"/>
      <c r="BW44" s="1045"/>
      <c r="BX44" s="1040"/>
      <c r="BY44" s="1040"/>
      <c r="BZ44" s="1040"/>
      <c r="CA44" s="1040"/>
      <c r="CB44" s="1040"/>
      <c r="CC44" s="1040"/>
      <c r="CD44" s="1040"/>
      <c r="CE44" s="1040"/>
      <c r="CF44" s="1040"/>
      <c r="CG44" s="1040"/>
      <c r="CH44" s="1040"/>
      <c r="CI44" s="1040"/>
      <c r="CJ44" s="1046">
        <f>SUM(N44:CI44)-SUM('5月车间产值'!E34,'5月车间产值'!F34,'5月车间产值'!G34,'5月车间产值'!H34,'5月车间产值'!J34)</f>
        <v>0</v>
      </c>
      <c r="CK44" s="1020"/>
      <c r="CL44" s="1020"/>
      <c r="CM44" s="1020"/>
      <c r="CN44" s="1020"/>
      <c r="CO44" s="1020"/>
      <c r="CP44" s="1020"/>
      <c r="CQ44" s="1020"/>
      <c r="CR44" s="1017"/>
    </row>
    <row r="45" spans="1:97" s="839" customFormat="1" ht="21.15" customHeight="1">
      <c r="A45" s="1002" t="s">
        <v>526</v>
      </c>
      <c r="B45" s="1003"/>
      <c r="C45" s="1003"/>
      <c r="D45" s="1003"/>
      <c r="E45" s="1003"/>
      <c r="F45" s="1004"/>
      <c r="G45" s="1003"/>
      <c r="H45" s="1005"/>
      <c r="I45" s="1006"/>
      <c r="J45" s="1006"/>
      <c r="K45" s="1006"/>
      <c r="L45" s="1007"/>
      <c r="M45" s="1006"/>
      <c r="N45" s="1047">
        <v>292208.96000000002</v>
      </c>
      <c r="O45" s="1047">
        <f>18362.22+1561.82</f>
        <v>19924.04</v>
      </c>
      <c r="P45" s="1048">
        <f>P40</f>
        <v>2919</v>
      </c>
      <c r="Q45" s="1048"/>
      <c r="R45" s="1040">
        <v>3371075.4</v>
      </c>
      <c r="S45" s="1040"/>
      <c r="T45" s="1041"/>
      <c r="U45" s="1041"/>
      <c r="V45" s="1042"/>
      <c r="W45" s="1043"/>
      <c r="X45" s="1039"/>
      <c r="Y45" s="1040"/>
      <c r="Z45" s="1040"/>
      <c r="AA45" s="1040"/>
      <c r="AB45" s="1043"/>
      <c r="AC45" s="1040"/>
      <c r="AD45" s="1040"/>
      <c r="AE45" s="1040"/>
      <c r="AF45" s="1043"/>
      <c r="AG45" s="1043"/>
      <c r="AH45" s="1047">
        <v>403234</v>
      </c>
      <c r="AI45" s="1047"/>
      <c r="AJ45" s="1047">
        <v>145060</v>
      </c>
      <c r="AK45" s="1044"/>
      <c r="AL45" s="1039"/>
      <c r="AM45" s="1040"/>
      <c r="AN45" s="1040">
        <v>1201533.27999999</v>
      </c>
      <c r="AO45" s="1040"/>
      <c r="AP45" s="1043"/>
      <c r="AQ45" s="1040"/>
      <c r="AR45" s="1040"/>
      <c r="AS45" s="1043"/>
      <c r="AT45" s="1040"/>
      <c r="AU45" s="1040"/>
      <c r="AV45" s="1040"/>
      <c r="AW45" s="1043"/>
      <c r="AX45" s="1040"/>
      <c r="AY45" s="1040"/>
      <c r="AZ45" s="1040"/>
      <c r="BA45" s="1040"/>
      <c r="BB45" s="1040"/>
      <c r="BC45" s="1017"/>
      <c r="BD45" s="1017"/>
      <c r="BE45" s="1040"/>
      <c r="BF45" s="1040"/>
      <c r="BG45" s="1040"/>
      <c r="BH45" s="1040"/>
      <c r="BI45" s="1040"/>
      <c r="BJ45" s="1040"/>
      <c r="BK45" s="1040"/>
      <c r="BL45" s="1040"/>
      <c r="BM45" s="1040"/>
      <c r="BN45" s="1040"/>
      <c r="BO45" s="1040"/>
      <c r="BP45" s="1045"/>
      <c r="BQ45" s="1045"/>
      <c r="BR45" s="1045"/>
      <c r="BS45" s="1045"/>
      <c r="BT45" s="1045"/>
      <c r="BU45" s="1045"/>
      <c r="BV45" s="1045"/>
      <c r="BW45" s="1045"/>
      <c r="BX45" s="1040"/>
      <c r="BY45" s="1040"/>
      <c r="BZ45" s="1040"/>
      <c r="CA45" s="1040"/>
      <c r="CB45" s="1040"/>
      <c r="CC45" s="1040"/>
      <c r="CD45" s="1040"/>
      <c r="CE45" s="1040"/>
      <c r="CF45" s="1040"/>
      <c r="CG45" s="1040"/>
      <c r="CH45" s="1040"/>
      <c r="CI45" s="1040"/>
      <c r="CJ45" s="1020"/>
      <c r="CK45" s="1020"/>
      <c r="CL45" s="1020"/>
      <c r="CM45" s="1020"/>
      <c r="CN45" s="1020"/>
      <c r="CO45" s="1020"/>
      <c r="CP45" s="1020"/>
      <c r="CQ45" s="1020"/>
      <c r="CR45" s="1017"/>
    </row>
    <row r="46" spans="1:97" s="839" customFormat="1" ht="21.15" customHeight="1">
      <c r="A46" s="1002" t="s">
        <v>311</v>
      </c>
      <c r="B46" s="1003"/>
      <c r="C46" s="1003"/>
      <c r="D46" s="1003"/>
      <c r="E46" s="1003"/>
      <c r="F46" s="1004"/>
      <c r="G46" s="1003"/>
      <c r="H46" s="1005"/>
      <c r="I46" s="1006"/>
      <c r="J46" s="1006"/>
      <c r="K46" s="1006"/>
      <c r="L46" s="1007"/>
      <c r="M46" s="1006"/>
      <c r="N46" s="1039">
        <f>SUM(N44:N45)</f>
        <v>560146.46</v>
      </c>
      <c r="O46" s="1039">
        <f>SUM(O44:O45)</f>
        <v>39704.54</v>
      </c>
      <c r="P46" s="1040">
        <f>P36</f>
        <v>2919</v>
      </c>
      <c r="Q46" s="1039">
        <f>SUM(Q44:Q45)</f>
        <v>0</v>
      </c>
      <c r="R46" s="1039">
        <f>SUM(R44:R45)</f>
        <v>4150432.37</v>
      </c>
      <c r="S46" s="1040"/>
      <c r="T46" s="1041">
        <f>T44+T45</f>
        <v>0</v>
      </c>
      <c r="U46" s="1039">
        <f>SUM(U44:U45)</f>
        <v>0</v>
      </c>
      <c r="V46" s="1039"/>
      <c r="W46" s="1043"/>
      <c r="X46" s="1039"/>
      <c r="Y46" s="1040"/>
      <c r="Z46" s="1040"/>
      <c r="AA46" s="1040"/>
      <c r="AB46" s="1043"/>
      <c r="AC46" s="1040"/>
      <c r="AD46" s="1040"/>
      <c r="AE46" s="1040"/>
      <c r="AF46" s="1043"/>
      <c r="AG46" s="1043"/>
      <c r="AH46" s="1039">
        <f>SUM(AH44:AH45)</f>
        <v>403234</v>
      </c>
      <c r="AI46" s="1039"/>
      <c r="AJ46" s="1039">
        <f>SUM(AJ44:AJ45)</f>
        <v>145060</v>
      </c>
      <c r="AK46" s="1044"/>
      <c r="AL46" s="1039"/>
      <c r="AM46" s="1040"/>
      <c r="AN46" s="1040">
        <f>SUM(AN44:AN45)</f>
        <v>1542234.27999999</v>
      </c>
      <c r="AO46" s="1039">
        <f>SUM(AO44:AO45)</f>
        <v>0</v>
      </c>
      <c r="AP46" s="1043"/>
      <c r="AQ46" s="1040"/>
      <c r="AR46" s="1040"/>
      <c r="AS46" s="1043"/>
      <c r="AT46" s="1040"/>
      <c r="AU46" s="1040"/>
      <c r="AV46" s="1040"/>
      <c r="AW46" s="1043"/>
      <c r="AX46" s="1040"/>
      <c r="AY46" s="1040"/>
      <c r="AZ46" s="1040"/>
      <c r="BA46" s="1040"/>
      <c r="BB46" s="1040"/>
      <c r="BC46" s="1017"/>
      <c r="BD46" s="1017"/>
      <c r="BE46" s="1040"/>
      <c r="BF46" s="1040"/>
      <c r="BG46" s="1040"/>
      <c r="BH46" s="1040"/>
      <c r="BI46" s="1040"/>
      <c r="BJ46" s="1040"/>
      <c r="BK46" s="1040"/>
      <c r="BL46" s="1040"/>
      <c r="BM46" s="1040"/>
      <c r="BN46" s="1040"/>
      <c r="BO46" s="1040"/>
      <c r="BP46" s="1045"/>
      <c r="BQ46" s="1045"/>
      <c r="BR46" s="1045"/>
      <c r="BS46" s="1045"/>
      <c r="BT46" s="1045"/>
      <c r="BU46" s="1045"/>
      <c r="BV46" s="1045"/>
      <c r="BW46" s="1045"/>
      <c r="BX46" s="1040"/>
      <c r="BY46" s="1040"/>
      <c r="BZ46" s="1040"/>
      <c r="CA46" s="1040"/>
      <c r="CB46" s="1040"/>
      <c r="CC46" s="1040"/>
      <c r="CD46" s="1040"/>
      <c r="CE46" s="1040"/>
      <c r="CF46" s="1040"/>
      <c r="CG46" s="1040"/>
      <c r="CH46" s="1040"/>
      <c r="CI46" s="1040"/>
      <c r="CJ46" s="1049">
        <f>SUM(N46:BO46)-O46+'5月车间产值'!H34-('05月其他部门提成'!E6-'05月其他部门提成'!I6)</f>
        <v>0</v>
      </c>
      <c r="CK46" s="1020"/>
      <c r="CL46" s="1020"/>
      <c r="CM46" s="1020"/>
      <c r="CN46" s="1020"/>
      <c r="CO46" s="1020"/>
      <c r="CP46" s="1020"/>
      <c r="CQ46" s="1020"/>
      <c r="CR46" s="1017"/>
    </row>
    <row r="47" spans="1:97" s="839" customFormat="1" ht="21.15" customHeight="1">
      <c r="A47" s="1002" t="s">
        <v>516</v>
      </c>
      <c r="B47" s="1003">
        <f>SUM(N47:CI47)</f>
        <v>50.999999990686803</v>
      </c>
      <c r="C47" s="1003"/>
      <c r="D47" s="1003"/>
      <c r="E47" s="1003"/>
      <c r="F47" s="1004"/>
      <c r="G47" s="1003"/>
      <c r="H47" s="1005"/>
      <c r="I47" s="1006"/>
      <c r="J47" s="1006"/>
      <c r="K47" s="1006"/>
      <c r="L47" s="1007"/>
      <c r="M47" s="1006"/>
      <c r="N47" s="1040">
        <f>N46-(N36-O36-AH36-AJ36)</f>
        <v>9533.9699999999702</v>
      </c>
      <c r="O47" s="1040">
        <f>O46-O36</f>
        <v>0</v>
      </c>
      <c r="P47" s="1040">
        <f>P44+P45-P46</f>
        <v>0</v>
      </c>
      <c r="Q47" s="1040">
        <f>Q46-Q36</f>
        <v>0</v>
      </c>
      <c r="R47" s="1040">
        <f>R46-R36</f>
        <v>0</v>
      </c>
      <c r="S47" s="1040"/>
      <c r="T47" s="1041">
        <f>T46-T36</f>
        <v>0</v>
      </c>
      <c r="U47" s="1041">
        <f>U46-U36</f>
        <v>0</v>
      </c>
      <c r="V47" s="1042"/>
      <c r="W47" s="1043"/>
      <c r="X47" s="1039"/>
      <c r="Y47" s="1040"/>
      <c r="Z47" s="1040"/>
      <c r="AA47" s="1040"/>
      <c r="AB47" s="1043"/>
      <c r="AC47" s="1040"/>
      <c r="AD47" s="1040"/>
      <c r="AE47" s="1040"/>
      <c r="AF47" s="1043"/>
      <c r="AG47" s="1043"/>
      <c r="AH47" s="1039">
        <f>AH46-AH36</f>
        <v>-1418.96999999997</v>
      </c>
      <c r="AI47" s="1039"/>
      <c r="AJ47" s="1039">
        <f>AJ46-AJ36</f>
        <v>-8064</v>
      </c>
      <c r="AK47" s="1044"/>
      <c r="AL47" s="1039"/>
      <c r="AM47" s="1040"/>
      <c r="AN47" s="1040">
        <f>AN46-AN36</f>
        <v>-9.3132257461547901E-9</v>
      </c>
      <c r="AO47" s="1040">
        <f>AO46-AO36</f>
        <v>0</v>
      </c>
      <c r="AP47" s="1043"/>
      <c r="AQ47" s="1040"/>
      <c r="AR47" s="1040"/>
      <c r="AS47" s="1043"/>
      <c r="AT47" s="1040"/>
      <c r="AU47" s="1040"/>
      <c r="AV47" s="1040"/>
      <c r="AW47" s="1043"/>
      <c r="AX47" s="1040"/>
      <c r="AY47" s="1040"/>
      <c r="AZ47" s="1040"/>
      <c r="BA47" s="1040"/>
      <c r="BB47" s="1040"/>
      <c r="BC47" s="1017"/>
      <c r="BD47" s="1017"/>
      <c r="BE47" s="1040"/>
      <c r="BF47" s="1040"/>
      <c r="BG47" s="1040"/>
      <c r="BH47" s="1040"/>
      <c r="BI47" s="1040"/>
      <c r="BJ47" s="1040"/>
      <c r="BK47" s="1040"/>
      <c r="BL47" s="1040"/>
      <c r="BM47" s="1040"/>
      <c r="BN47" s="1040"/>
      <c r="BO47" s="1040"/>
      <c r="BP47" s="1045">
        <f t="shared" ref="BP47:BV47" si="131">BP46-BP36</f>
        <v>0</v>
      </c>
      <c r="BQ47" s="1045">
        <f t="shared" si="131"/>
        <v>0</v>
      </c>
      <c r="BR47" s="1045">
        <f t="shared" si="131"/>
        <v>0</v>
      </c>
      <c r="BS47" s="1045">
        <f t="shared" si="131"/>
        <v>0</v>
      </c>
      <c r="BT47" s="1045">
        <f t="shared" si="131"/>
        <v>0</v>
      </c>
      <c r="BU47" s="1045">
        <f t="shared" si="131"/>
        <v>0</v>
      </c>
      <c r="BV47" s="1045">
        <f t="shared" si="131"/>
        <v>0</v>
      </c>
      <c r="BW47" s="1045"/>
      <c r="BX47" s="1040"/>
      <c r="BY47" s="1040"/>
      <c r="BZ47" s="1040"/>
      <c r="CA47" s="1040"/>
      <c r="CB47" s="1040"/>
      <c r="CC47" s="1040"/>
      <c r="CD47" s="1040"/>
      <c r="CE47" s="1040"/>
      <c r="CF47" s="1040"/>
      <c r="CG47" s="1040"/>
      <c r="CH47" s="1040"/>
      <c r="CI47" s="1040"/>
      <c r="CJ47" s="1020"/>
      <c r="CK47" s="1020"/>
      <c r="CL47" s="1020"/>
      <c r="CM47" s="1020"/>
      <c r="CN47" s="1020"/>
      <c r="CO47" s="1020"/>
      <c r="CP47" s="1020"/>
      <c r="CQ47" s="1020"/>
      <c r="CR47" s="1017"/>
    </row>
    <row r="48" spans="1:97">
      <c r="AN48" s="840"/>
    </row>
    <row r="49" spans="2:96" s="31" customFormat="1">
      <c r="B49" s="1050"/>
      <c r="C49" s="1050"/>
      <c r="D49" s="1050"/>
      <c r="E49" s="1050"/>
      <c r="F49" s="1050"/>
      <c r="G49" s="1050"/>
      <c r="N49" s="842">
        <f>N47+N41</f>
        <v>0</v>
      </c>
      <c r="O49" s="842"/>
      <c r="T49" s="1050"/>
      <c r="U49" s="1050"/>
      <c r="V49" s="1051"/>
      <c r="W49" s="1050"/>
      <c r="X49" s="1051"/>
      <c r="AH49" s="842">
        <f>AH47+AH41</f>
        <v>0</v>
      </c>
      <c r="AI49" s="842"/>
      <c r="AJ49" s="842">
        <f>AJ47+AJ41</f>
        <v>0</v>
      </c>
      <c r="AK49" s="842"/>
      <c r="AL49" s="842"/>
      <c r="AN49" s="842"/>
      <c r="AQ49" s="842"/>
      <c r="AR49" s="842"/>
      <c r="AS49" s="842"/>
      <c r="AT49" s="842"/>
      <c r="AU49" s="842"/>
      <c r="AV49" s="842"/>
      <c r="AZ49" s="1052"/>
      <c r="BA49" s="1052"/>
      <c r="BB49" s="1052"/>
      <c r="BC49" s="1052"/>
      <c r="BD49" s="1052"/>
      <c r="BP49" s="1052"/>
      <c r="BQ49" s="1052"/>
      <c r="BR49" s="1052"/>
      <c r="BS49" s="1052"/>
      <c r="BT49" s="1052"/>
      <c r="BU49" s="1052"/>
      <c r="BV49" s="1052"/>
      <c r="BW49" s="1052"/>
      <c r="CJ49" s="1053"/>
      <c r="CK49" s="1052"/>
      <c r="CL49" s="1052"/>
      <c r="CM49" s="1052"/>
      <c r="CN49" s="1052"/>
      <c r="CO49" s="1052"/>
      <c r="CP49" s="1052"/>
      <c r="CQ49" s="1052"/>
      <c r="CR49" s="1052"/>
    </row>
    <row r="50" spans="2:96">
      <c r="B50" s="651" t="s">
        <v>527</v>
      </c>
      <c r="O50"/>
    </row>
    <row r="51" spans="2:96">
      <c r="O51" s="999"/>
      <c r="P51" s="999"/>
    </row>
    <row r="52" spans="2:96">
      <c r="O52"/>
      <c r="S52" s="1054"/>
      <c r="U52" s="1055"/>
    </row>
    <row r="53" spans="2:96">
      <c r="O53" s="999"/>
      <c r="S53" s="1056"/>
    </row>
    <row r="55" spans="2:96">
      <c r="N55" s="1057"/>
      <c r="O55" s="1057"/>
      <c r="P55" s="1057"/>
      <c r="Q55" s="1057"/>
      <c r="R55" s="1057"/>
      <c r="S55" s="1057"/>
      <c r="T55" s="1057"/>
      <c r="U55" s="1057"/>
      <c r="V55" s="1057"/>
      <c r="W55" s="1057"/>
      <c r="X55" s="1057"/>
      <c r="Y55" s="1057"/>
      <c r="Z55" s="1057"/>
      <c r="AA55" s="1057"/>
      <c r="AB55" s="1057"/>
      <c r="AC55" s="1057"/>
      <c r="AD55" s="1057"/>
      <c r="AE55" s="1057"/>
      <c r="AF55" s="1057"/>
      <c r="AG55" s="1057"/>
      <c r="AH55" s="1057"/>
      <c r="AI55" s="1057"/>
      <c r="AJ55" s="1057"/>
      <c r="AK55" s="1057"/>
      <c r="AL55" s="1057"/>
      <c r="AM55" s="1057"/>
      <c r="AN55" s="1057"/>
      <c r="AO55" s="1057"/>
      <c r="AP55" s="1057"/>
      <c r="AQ55" s="1057"/>
      <c r="AR55" s="1057"/>
      <c r="AS55" s="1057"/>
      <c r="AT55" s="1057"/>
      <c r="AU55" s="1057"/>
      <c r="AV55" s="1057"/>
      <c r="AW55" s="1057"/>
      <c r="AX55" s="1057"/>
      <c r="AY55" s="1057"/>
      <c r="AZ55" s="1057"/>
      <c r="BA55" s="1057"/>
      <c r="BB55" s="1057"/>
      <c r="BC55" s="1057"/>
      <c r="BD55" s="1057"/>
      <c r="BE55" s="1057"/>
      <c r="BF55" s="1057"/>
      <c r="BG55" s="1057"/>
      <c r="BH55" s="1057"/>
      <c r="BI55" s="1057"/>
      <c r="BJ55" s="1057"/>
      <c r="BK55" s="1057"/>
      <c r="BL55" s="1057"/>
      <c r="BM55" s="1057"/>
      <c r="BN55" s="1057"/>
      <c r="BO55" s="1057"/>
      <c r="BP55" s="1057"/>
      <c r="BQ55" s="1057"/>
      <c r="BR55" s="1057"/>
      <c r="BS55" s="1057"/>
      <c r="BT55" s="1057"/>
      <c r="BU55" s="1057"/>
      <c r="BV55" s="1057"/>
      <c r="BW55" s="1057"/>
      <c r="BX55" s="1057"/>
      <c r="BY55" s="1057"/>
      <c r="BZ55" s="1057"/>
      <c r="CA55" s="1057"/>
      <c r="CB55" s="1057"/>
      <c r="CC55" s="1057"/>
      <c r="CD55" s="1057"/>
      <c r="CE55" s="1057"/>
      <c r="CF55" s="1057"/>
      <c r="CG55" s="1057"/>
      <c r="CH55" s="1057"/>
    </row>
    <row r="56" spans="2:96">
      <c r="N56" s="1057"/>
      <c r="O56" s="1057"/>
    </row>
    <row r="57" spans="2:96">
      <c r="N57" s="1057"/>
      <c r="O57" s="1057"/>
      <c r="S57" s="1056"/>
    </row>
  </sheetData>
  <mergeCells count="107">
    <mergeCell ref="CQ3:CQ4"/>
    <mergeCell ref="CR3:CR4"/>
    <mergeCell ref="CH3:CH4"/>
    <mergeCell ref="CI3:CI4"/>
    <mergeCell ref="CJ3:CJ4"/>
    <mergeCell ref="CK3:CK4"/>
    <mergeCell ref="CL3:CL4"/>
    <mergeCell ref="CM3:CM4"/>
    <mergeCell ref="CN3:CN4"/>
    <mergeCell ref="CO3:CO4"/>
    <mergeCell ref="CP3:CP4"/>
    <mergeCell ref="BY3:BY4"/>
    <mergeCell ref="BZ3:BZ4"/>
    <mergeCell ref="CA3:CA4"/>
    <mergeCell ref="CB3:CB4"/>
    <mergeCell ref="CC3:CC4"/>
    <mergeCell ref="CD3:CD4"/>
    <mergeCell ref="CE3:CE4"/>
    <mergeCell ref="CF3:CF4"/>
    <mergeCell ref="CG3:CG4"/>
    <mergeCell ref="BP3:BP4"/>
    <mergeCell ref="BQ3:BQ4"/>
    <mergeCell ref="BR3:BR4"/>
    <mergeCell ref="BS3:BS4"/>
    <mergeCell ref="BT3:BT4"/>
    <mergeCell ref="BU3:BU4"/>
    <mergeCell ref="BV3:BV4"/>
    <mergeCell ref="BW3:BW4"/>
    <mergeCell ref="BX3:BX4"/>
    <mergeCell ref="BG3:BG4"/>
    <mergeCell ref="BH3:BH4"/>
    <mergeCell ref="BI3:BI4"/>
    <mergeCell ref="BJ3:BJ4"/>
    <mergeCell ref="BK3:BK4"/>
    <mergeCell ref="BL3:BL4"/>
    <mergeCell ref="BM3:BM4"/>
    <mergeCell ref="BN3:BN4"/>
    <mergeCell ref="BO3:BO4"/>
    <mergeCell ref="AX3:AX4"/>
    <mergeCell ref="AY3:AY4"/>
    <mergeCell ref="AZ3:AZ4"/>
    <mergeCell ref="BA3:BA4"/>
    <mergeCell ref="BB3:BB4"/>
    <mergeCell ref="BC3:BC4"/>
    <mergeCell ref="BD3:BD4"/>
    <mergeCell ref="BE3:BE4"/>
    <mergeCell ref="BF3:BF4"/>
    <mergeCell ref="AM3:AM4"/>
    <mergeCell ref="AP3:AP4"/>
    <mergeCell ref="AQ3:AQ4"/>
    <mergeCell ref="AR3:AR4"/>
    <mergeCell ref="AS3:AS4"/>
    <mergeCell ref="AT3:AT4"/>
    <mergeCell ref="AU3:AU4"/>
    <mergeCell ref="AV3:AV4"/>
    <mergeCell ref="AW3:AW4"/>
    <mergeCell ref="AC3:AC4"/>
    <mergeCell ref="AD3:AD4"/>
    <mergeCell ref="AE3:AE4"/>
    <mergeCell ref="AF3:AF4"/>
    <mergeCell ref="AG3:AG4"/>
    <mergeCell ref="AH3:AH4"/>
    <mergeCell ref="AI3:AI4"/>
    <mergeCell ref="AJ3:AJ4"/>
    <mergeCell ref="AK3:AK4"/>
    <mergeCell ref="CJ2:CN2"/>
    <mergeCell ref="CO2:CQ2"/>
    <mergeCell ref="N3:S3"/>
    <mergeCell ref="T3:U3"/>
    <mergeCell ref="A2:A4"/>
    <mergeCell ref="B3:B4"/>
    <mergeCell ref="C3:C4"/>
    <mergeCell ref="D3:D4"/>
    <mergeCell ref="E3:E4"/>
    <mergeCell ref="F3:F4"/>
    <mergeCell ref="G3:G4"/>
    <mergeCell ref="H3:H4"/>
    <mergeCell ref="I3:I4"/>
    <mergeCell ref="J3:J4"/>
    <mergeCell ref="K3:K4"/>
    <mergeCell ref="L3:L4"/>
    <mergeCell ref="M3:M4"/>
    <mergeCell ref="V3:V4"/>
    <mergeCell ref="W3:W4"/>
    <mergeCell ref="X3:X4"/>
    <mergeCell ref="Y3:Y4"/>
    <mergeCell ref="Z3:Z4"/>
    <mergeCell ref="AA3:AA4"/>
    <mergeCell ref="AB3:AB4"/>
    <mergeCell ref="BG2:BH2"/>
    <mergeCell ref="BI2:BK2"/>
    <mergeCell ref="BL2:BO2"/>
    <mergeCell ref="BP2:BR2"/>
    <mergeCell ref="BS2:BU2"/>
    <mergeCell ref="BX2:BZ2"/>
    <mergeCell ref="CA2:CC2"/>
    <mergeCell ref="CD2:CF2"/>
    <mergeCell ref="CG2:CI2"/>
    <mergeCell ref="B2:H2"/>
    <mergeCell ref="I2:L2"/>
    <mergeCell ref="M2:X2"/>
    <mergeCell ref="Y2:AH2"/>
    <mergeCell ref="AI2:AK2"/>
    <mergeCell ref="AM2:AP2"/>
    <mergeCell ref="AQ2:AW2"/>
    <mergeCell ref="BC2:BD2"/>
    <mergeCell ref="BE2:BF2"/>
  </mergeCells>
  <phoneticPr fontId="5" type="noConversion"/>
  <conditionalFormatting sqref="A1:A20 A23:A1048576">
    <cfRule type="duplicateValues" dxfId="1283" priority="3"/>
  </conditionalFormatting>
  <conditionalFormatting sqref="A1:A1048576">
    <cfRule type="duplicateValues" dxfId="1282" priority="1"/>
  </conditionalFormatting>
  <conditionalFormatting sqref="A21:A22">
    <cfRule type="duplicateValues" dxfId="1281" priority="2"/>
  </conditionalFormatting>
  <pageMargins left="0.27916666666666701" right="0.23888888888888901" top="0.97916666666666696" bottom="0.97916666666666696" header="0.50902777777777797" footer="0.50902777777777797"/>
  <pageSetup paperSize="9" scale="90"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XFB183"/>
  <sheetViews>
    <sheetView showZeros="0" topLeftCell="A20" zoomScale="90" zoomScaleNormal="90" workbookViewId="0">
      <selection activeCell="C31" sqref="C31"/>
    </sheetView>
  </sheetViews>
  <sheetFormatPr defaultColWidth="9" defaultRowHeight="15.6"/>
  <cols>
    <col min="1" max="1" width="4.77734375" style="698" customWidth="1"/>
    <col min="2" max="2" width="11.21875" style="699" customWidth="1"/>
    <col min="3" max="3" width="8.6640625" style="700" customWidth="1"/>
    <col min="4" max="4" width="26.44140625" style="701" customWidth="1"/>
    <col min="5" max="5" width="15.109375" style="700" customWidth="1"/>
    <col min="6" max="6" width="9.44140625" style="700" customWidth="1"/>
    <col min="7" max="7" width="9.21875" style="700" customWidth="1"/>
    <col min="8" max="8" width="8.33203125" style="700" customWidth="1"/>
    <col min="9" max="9" width="7.77734375" style="700" customWidth="1"/>
    <col min="10" max="10" width="9.6640625" style="700" customWidth="1"/>
    <col min="11" max="11" width="7.6640625" style="700" customWidth="1"/>
    <col min="12" max="12" width="8.77734375" style="700" customWidth="1"/>
    <col min="13" max="13" width="7.6640625" style="700" customWidth="1"/>
    <col min="14" max="14" width="7" style="700" customWidth="1"/>
    <col min="15" max="15" width="4.21875" style="700" customWidth="1"/>
    <col min="16" max="16" width="9.33203125" style="700" customWidth="1"/>
    <col min="17" max="17" width="8.21875" style="692" customWidth="1"/>
    <col min="18" max="18" width="8.109375" style="692" customWidth="1"/>
    <col min="19" max="19" width="6.109375" style="692" customWidth="1"/>
    <col min="20" max="20" width="9.21875" style="692" customWidth="1"/>
    <col min="21" max="21" width="8.33203125" style="692" customWidth="1"/>
    <col min="22" max="22" width="7.33203125" style="692" customWidth="1"/>
    <col min="23" max="23" width="6.33203125" style="692" customWidth="1"/>
    <col min="24" max="24" width="7.6640625" style="692" customWidth="1"/>
    <col min="25" max="25" width="8.88671875" style="692" customWidth="1"/>
    <col min="26" max="26" width="8.21875" style="692" customWidth="1"/>
    <col min="27" max="27" width="9.88671875" style="692" customWidth="1"/>
    <col min="28" max="29" width="8.33203125" style="692" customWidth="1"/>
    <col min="30" max="30" width="7.44140625" style="692" customWidth="1"/>
    <col min="31" max="31" width="7.6640625" style="692" customWidth="1"/>
    <col min="32" max="32" width="6.6640625" style="692" customWidth="1"/>
    <col min="33" max="33" width="8.21875" style="692" customWidth="1"/>
    <col min="34" max="34" width="8.33203125" style="692" customWidth="1"/>
    <col min="35" max="35" width="3.21875" style="692" customWidth="1"/>
    <col min="36" max="36" width="17.88671875" style="702" customWidth="1"/>
    <col min="37" max="53" width="9" style="702"/>
    <col min="54" max="16382" width="9" style="697"/>
    <col min="16383" max="16384" width="9" style="7"/>
  </cols>
  <sheetData>
    <row r="1" spans="1:53" s="687" customFormat="1" ht="18" customHeight="1">
      <c r="A1" s="1898" t="s">
        <v>528</v>
      </c>
      <c r="B1" s="1899"/>
      <c r="C1" s="1900"/>
      <c r="D1" s="1901"/>
      <c r="E1" s="1898"/>
      <c r="F1" s="1898"/>
      <c r="G1" s="1898"/>
      <c r="H1" s="1898"/>
      <c r="I1" s="1898"/>
      <c r="J1" s="1898"/>
      <c r="K1" s="1898"/>
      <c r="L1" s="1898"/>
      <c r="M1" s="1898"/>
      <c r="N1" s="1898"/>
      <c r="O1" s="1898"/>
      <c r="P1" s="1898"/>
      <c r="Q1" s="1898"/>
      <c r="R1" s="1898"/>
      <c r="S1" s="1898"/>
      <c r="T1" s="1898"/>
      <c r="U1" s="1898"/>
      <c r="V1" s="1898"/>
      <c r="W1" s="1898"/>
      <c r="X1" s="1898"/>
      <c r="Y1" s="1898"/>
      <c r="Z1" s="1898"/>
      <c r="AA1" s="1898"/>
      <c r="AB1" s="1898"/>
      <c r="AC1" s="1898"/>
      <c r="AD1" s="1898"/>
      <c r="AE1" s="1898"/>
      <c r="AF1" s="1898"/>
      <c r="AG1" s="1898"/>
      <c r="AH1" s="1898"/>
      <c r="AI1" s="703"/>
      <c r="AJ1" s="704"/>
      <c r="AK1" s="704"/>
      <c r="AL1" s="704"/>
      <c r="AM1" s="704"/>
      <c r="AN1" s="704"/>
      <c r="AO1" s="704"/>
      <c r="AP1" s="704"/>
      <c r="AQ1" s="704"/>
      <c r="AR1" s="704"/>
      <c r="AS1" s="704"/>
      <c r="AT1" s="704"/>
      <c r="AU1" s="704"/>
      <c r="AV1" s="704"/>
      <c r="AW1" s="704"/>
      <c r="AX1" s="704"/>
      <c r="AY1" s="704"/>
      <c r="AZ1" s="704"/>
      <c r="BA1" s="704"/>
    </row>
    <row r="2" spans="1:53" s="688" customFormat="1" ht="11.25" customHeight="1">
      <c r="A2" s="705" t="s">
        <v>529</v>
      </c>
      <c r="B2" s="699"/>
      <c r="C2" s="706"/>
      <c r="D2" s="707"/>
      <c r="E2" s="706"/>
      <c r="F2" s="706"/>
      <c r="G2" s="706"/>
      <c r="H2" s="706"/>
      <c r="I2" s="706"/>
      <c r="J2" s="706"/>
      <c r="K2" s="706"/>
      <c r="L2" s="706"/>
      <c r="M2" s="706"/>
      <c r="N2" s="706"/>
      <c r="O2" s="706"/>
      <c r="P2" s="706"/>
      <c r="Q2" s="693"/>
      <c r="R2" s="693"/>
      <c r="S2" s="693"/>
      <c r="T2" s="693"/>
      <c r="U2" s="707"/>
      <c r="V2" s="708"/>
      <c r="W2" s="708"/>
      <c r="X2" s="708"/>
      <c r="Y2" s="708"/>
      <c r="Z2" s="708"/>
      <c r="AA2" s="708"/>
      <c r="AB2" s="707"/>
      <c r="AC2" s="707"/>
      <c r="AD2" s="707"/>
      <c r="AE2" s="707"/>
      <c r="AF2" s="707"/>
      <c r="AG2" s="707"/>
      <c r="AH2" s="693"/>
      <c r="AI2" s="693"/>
      <c r="AJ2" s="709"/>
      <c r="AK2" s="709"/>
      <c r="AL2" s="709"/>
      <c r="AM2" s="709"/>
      <c r="AN2" s="709"/>
      <c r="AO2" s="709"/>
      <c r="AP2" s="709"/>
      <c r="AQ2" s="709"/>
      <c r="AR2" s="709"/>
      <c r="AS2" s="709"/>
      <c r="AT2" s="709"/>
      <c r="AU2" s="709"/>
      <c r="AV2" s="709"/>
      <c r="AW2" s="709"/>
      <c r="AX2" s="709"/>
      <c r="AY2" s="709"/>
      <c r="AZ2" s="709"/>
      <c r="BA2" s="709"/>
    </row>
    <row r="3" spans="1:53" s="688" customFormat="1" ht="13.5" customHeight="1">
      <c r="A3" s="710" t="s">
        <v>530</v>
      </c>
      <c r="B3" s="699"/>
      <c r="C3" s="706"/>
      <c r="D3" s="707"/>
      <c r="E3" s="706"/>
      <c r="F3" s="706"/>
      <c r="G3" s="706"/>
      <c r="H3" s="706"/>
      <c r="I3" s="706"/>
      <c r="J3" s="706"/>
      <c r="K3" s="706"/>
      <c r="L3" s="706"/>
      <c r="M3" s="706"/>
      <c r="N3" s="706"/>
      <c r="O3" s="706"/>
      <c r="P3" s="706"/>
      <c r="Q3" s="708"/>
      <c r="R3" s="708"/>
      <c r="S3" s="708"/>
      <c r="T3" s="708"/>
      <c r="U3" s="707"/>
      <c r="V3" s="708"/>
      <c r="W3" s="708"/>
      <c r="X3" s="708"/>
      <c r="Y3" s="708"/>
      <c r="Z3" s="708"/>
      <c r="AA3" s="708"/>
      <c r="AB3" s="707"/>
      <c r="AC3" s="707"/>
      <c r="AD3" s="707"/>
      <c r="AE3" s="707"/>
      <c r="AF3" s="707"/>
      <c r="AG3" s="707"/>
      <c r="AH3" s="693"/>
      <c r="AI3" s="693"/>
      <c r="AJ3" s="709"/>
      <c r="AK3" s="709"/>
      <c r="AL3" s="709"/>
      <c r="AM3" s="709"/>
      <c r="AN3" s="709"/>
      <c r="AO3" s="709"/>
      <c r="AP3" s="709"/>
      <c r="AQ3" s="709"/>
      <c r="AR3" s="709"/>
      <c r="AS3" s="709"/>
      <c r="AT3" s="709"/>
      <c r="AU3" s="709"/>
      <c r="AV3" s="709"/>
      <c r="AW3" s="709"/>
      <c r="AX3" s="709"/>
      <c r="AY3" s="709"/>
      <c r="AZ3" s="709"/>
      <c r="BA3" s="709"/>
    </row>
    <row r="4" spans="1:53" s="688" customFormat="1" ht="11.4">
      <c r="A4" s="711" t="s">
        <v>531</v>
      </c>
      <c r="B4" s="699"/>
      <c r="C4" s="706"/>
      <c r="D4" s="707"/>
      <c r="E4" s="706"/>
      <c r="F4" s="706"/>
      <c r="G4" s="706"/>
      <c r="H4" s="706"/>
      <c r="I4" s="706"/>
      <c r="J4" s="706"/>
      <c r="K4" s="706"/>
      <c r="L4" s="706"/>
      <c r="M4" s="706"/>
      <c r="N4" s="706"/>
      <c r="O4" s="706"/>
      <c r="P4" s="706"/>
      <c r="Q4" s="708"/>
      <c r="R4" s="708"/>
      <c r="S4" s="708"/>
      <c r="T4" s="708"/>
      <c r="U4" s="707"/>
      <c r="V4" s="708"/>
      <c r="W4" s="708"/>
      <c r="X4" s="708"/>
      <c r="Y4" s="708"/>
      <c r="Z4" s="708"/>
      <c r="AA4" s="708"/>
      <c r="AB4" s="707"/>
      <c r="AC4" s="707"/>
      <c r="AD4" s="707"/>
      <c r="AE4" s="707"/>
      <c r="AF4" s="707"/>
      <c r="AG4" s="707"/>
      <c r="AH4" s="693" t="s">
        <v>532</v>
      </c>
      <c r="AI4" s="693"/>
      <c r="AJ4" s="709"/>
      <c r="AK4" s="709"/>
      <c r="AL4" s="709"/>
      <c r="AM4" s="709"/>
      <c r="AN4" s="709"/>
      <c r="AO4" s="709"/>
      <c r="AP4" s="709"/>
      <c r="AQ4" s="709"/>
      <c r="AR4" s="709"/>
      <c r="AS4" s="709"/>
      <c r="AT4" s="709"/>
      <c r="AU4" s="709"/>
      <c r="AV4" s="709"/>
      <c r="AW4" s="709"/>
      <c r="AX4" s="709"/>
      <c r="AY4" s="709"/>
      <c r="AZ4" s="709"/>
      <c r="BA4" s="709"/>
    </row>
    <row r="5" spans="1:53" s="689" customFormat="1" ht="21.75" customHeight="1">
      <c r="A5" s="1916" t="s">
        <v>315</v>
      </c>
      <c r="B5" s="1916" t="s">
        <v>316</v>
      </c>
      <c r="C5" s="1916" t="s">
        <v>33</v>
      </c>
      <c r="D5" s="1923" t="s">
        <v>533</v>
      </c>
      <c r="E5" s="1927" t="s">
        <v>248</v>
      </c>
      <c r="F5" s="1902" t="s">
        <v>534</v>
      </c>
      <c r="G5" s="1903"/>
      <c r="H5" s="1903"/>
      <c r="I5" s="1903"/>
      <c r="J5" s="1903"/>
      <c r="K5" s="1903"/>
      <c r="L5" s="1903"/>
      <c r="M5" s="1903"/>
      <c r="N5" s="1903"/>
      <c r="O5" s="1903"/>
      <c r="P5" s="1904"/>
      <c r="Q5" s="1905" t="s">
        <v>535</v>
      </c>
      <c r="R5" s="1906"/>
      <c r="S5" s="1906"/>
      <c r="T5" s="1902" t="s">
        <v>536</v>
      </c>
      <c r="U5" s="1903"/>
      <c r="V5" s="1903"/>
      <c r="W5" s="1903"/>
      <c r="X5" s="1903"/>
      <c r="Y5" s="1903"/>
      <c r="Z5" s="1903"/>
      <c r="AA5" s="1907"/>
      <c r="AB5" s="1902" t="s">
        <v>537</v>
      </c>
      <c r="AC5" s="1908"/>
      <c r="AD5" s="1903"/>
      <c r="AE5" s="1903"/>
      <c r="AF5" s="1903"/>
      <c r="AG5" s="1907"/>
      <c r="AH5" s="1931" t="s">
        <v>538</v>
      </c>
      <c r="AI5" s="1935" t="s">
        <v>304</v>
      </c>
      <c r="AJ5" s="714"/>
      <c r="AK5" s="714"/>
      <c r="AL5" s="714"/>
      <c r="AM5" s="714"/>
      <c r="AN5" s="714"/>
      <c r="AO5" s="714"/>
      <c r="AP5" s="714"/>
      <c r="AQ5" s="714"/>
      <c r="AR5" s="714"/>
      <c r="AS5" s="714"/>
      <c r="AT5" s="714"/>
      <c r="AU5" s="714"/>
      <c r="AV5" s="714"/>
      <c r="AW5" s="714"/>
      <c r="AX5" s="714"/>
      <c r="AY5" s="714"/>
      <c r="AZ5" s="714"/>
      <c r="BA5" s="714"/>
    </row>
    <row r="6" spans="1:53" s="689" customFormat="1" ht="46.5" customHeight="1">
      <c r="A6" s="1917"/>
      <c r="B6" s="1920"/>
      <c r="C6" s="1917"/>
      <c r="D6" s="1924"/>
      <c r="E6" s="1928"/>
      <c r="F6" s="715" t="s">
        <v>300</v>
      </c>
      <c r="G6" s="715" t="s">
        <v>539</v>
      </c>
      <c r="H6" s="715" t="s">
        <v>540</v>
      </c>
      <c r="I6" s="715" t="s">
        <v>541</v>
      </c>
      <c r="J6" s="716" t="s">
        <v>542</v>
      </c>
      <c r="K6" s="717" t="s">
        <v>543</v>
      </c>
      <c r="L6" s="715" t="s">
        <v>544</v>
      </c>
      <c r="M6" s="715" t="s">
        <v>545</v>
      </c>
      <c r="N6" s="715" t="s">
        <v>546</v>
      </c>
      <c r="O6" s="715" t="s">
        <v>547</v>
      </c>
      <c r="P6" s="718" t="s">
        <v>548</v>
      </c>
      <c r="Q6" s="719" t="s">
        <v>549</v>
      </c>
      <c r="R6" s="720"/>
      <c r="S6" s="715" t="s">
        <v>550</v>
      </c>
      <c r="T6" s="715" t="s">
        <v>551</v>
      </c>
      <c r="U6" s="721" t="s">
        <v>552</v>
      </c>
      <c r="V6" s="715" t="s">
        <v>553</v>
      </c>
      <c r="W6" s="715" t="s">
        <v>554</v>
      </c>
      <c r="X6" s="715" t="s">
        <v>555</v>
      </c>
      <c r="Y6" s="715" t="s">
        <v>556</v>
      </c>
      <c r="Z6" s="715" t="s">
        <v>557</v>
      </c>
      <c r="AA6" s="715" t="s">
        <v>558</v>
      </c>
      <c r="AB6" s="715" t="s">
        <v>559</v>
      </c>
      <c r="AC6" s="715" t="s">
        <v>560</v>
      </c>
      <c r="AD6" s="717" t="s">
        <v>561</v>
      </c>
      <c r="AE6" s="715" t="s">
        <v>562</v>
      </c>
      <c r="AF6" s="715" t="s">
        <v>563</v>
      </c>
      <c r="AG6" s="715" t="s">
        <v>564</v>
      </c>
      <c r="AH6" s="1932"/>
      <c r="AI6" s="1936"/>
      <c r="AJ6" s="714"/>
      <c r="AK6" s="714"/>
      <c r="AL6" s="714"/>
      <c r="AM6" s="714"/>
      <c r="AN6" s="714"/>
      <c r="AO6" s="714"/>
      <c r="AP6" s="714"/>
      <c r="AQ6" s="714"/>
      <c r="AR6" s="714"/>
      <c r="AS6" s="714"/>
      <c r="AT6" s="714"/>
      <c r="AU6" s="714"/>
      <c r="AV6" s="714"/>
      <c r="AW6" s="714"/>
      <c r="AX6" s="714"/>
      <c r="AY6" s="714"/>
      <c r="AZ6" s="714"/>
      <c r="BA6" s="714"/>
    </row>
    <row r="7" spans="1:53" s="690" customFormat="1" ht="18.899999999999999" customHeight="1">
      <c r="A7" s="722">
        <v>1</v>
      </c>
      <c r="B7" s="723" t="s">
        <v>35</v>
      </c>
      <c r="C7" s="724" t="s">
        <v>37</v>
      </c>
      <c r="D7" s="725"/>
      <c r="E7" s="726" t="s">
        <v>565</v>
      </c>
      <c r="F7" s="724">
        <v>5000</v>
      </c>
      <c r="G7" s="724">
        <v>1000</v>
      </c>
      <c r="H7" s="724">
        <v>2000</v>
      </c>
      <c r="I7" s="726">
        <f>SUMIF([3]售后加班情况!C:C,'[3]工资表(超市）-武侯售后'!C7,[3]售后加班情况!G:G)</f>
        <v>0</v>
      </c>
      <c r="J7" s="713">
        <f>SUMIF('[3]8月高温补贴'!B:B,C7,'[3]8月高温补贴'!M:M)</f>
        <v>0</v>
      </c>
      <c r="K7" s="724"/>
      <c r="L7" s="724">
        <v>1000</v>
      </c>
      <c r="M7" s="724">
        <v>1000</v>
      </c>
      <c r="N7" s="724"/>
      <c r="O7" s="724"/>
      <c r="P7" s="727">
        <f t="shared" ref="P7:P62" si="0">SUM(F7:M7)-N7-O7</f>
        <v>10000</v>
      </c>
      <c r="Q7" s="728">
        <f>SUMIF([3]预发!C:C,C7,[3]预发!D:D)</f>
        <v>0</v>
      </c>
      <c r="R7" s="729"/>
      <c r="S7" s="729">
        <f t="shared" ref="S7:S42" si="1">SUM(Q7:R7)</f>
        <v>0</v>
      </c>
      <c r="T7" s="729">
        <f>SUMIF('[3]社保+公积金03'!C:C,C7,'[3]社保+公积金03'!E:E)</f>
        <v>1040</v>
      </c>
      <c r="U7" s="729">
        <f>SUMIF('[3]社保+公积金03'!C:C,C7,'[3]社保+公积金03'!I:I)</f>
        <v>490.75</v>
      </c>
      <c r="V7" s="729">
        <f>SUMIF('[3]社保+公积金03'!C:C,C7,'[3]社保+公积金03'!G:G)</f>
        <v>39</v>
      </c>
      <c r="W7" s="729">
        <f>SUMIF('[3]社保+公积金03'!C:C,C7,'[3]社保+公积金03'!L:L)</f>
        <v>13</v>
      </c>
      <c r="X7" s="729">
        <f>SUMIF('[3]社保+公积金03'!C:C,C7,'[3]社保+公积金03'!K:K)</f>
        <v>48.75</v>
      </c>
      <c r="Y7" s="729">
        <f>SUMIF('[3]社保+公积金03'!C:C,C7,'[3]社保+公积金03'!N:N)</f>
        <v>0</v>
      </c>
      <c r="Z7" s="729">
        <f>SUMIF('[3]社保+公积金03'!C:C,C7,'[3]社保+公积金03'!P:P)</f>
        <v>117</v>
      </c>
      <c r="AA7" s="729">
        <f t="shared" ref="AA7:AA62" si="2">SUM(T7:Z7)</f>
        <v>1748.5</v>
      </c>
      <c r="AB7" s="729">
        <f>SUMIF('[3]社保+公积金03'!C:C,C7,'[3]社保+公积金03'!S:S)</f>
        <v>676</v>
      </c>
      <c r="AC7" s="729">
        <f>SUMIF('[3]社保+公积金03'!C:C,C7,'[3]社保+公积金03'!Q:Q)</f>
        <v>117</v>
      </c>
      <c r="AD7" s="729">
        <f>SUMIF([3]服装!B:B,C7,[3]服装!G:G)</f>
        <v>59</v>
      </c>
      <c r="AE7" s="729">
        <v>100</v>
      </c>
      <c r="AF7" s="730">
        <f>SUMIF([3]其他综合扣款!B:B,C7,[3]其他综合扣款!H:H)</f>
        <v>0</v>
      </c>
      <c r="AG7" s="729">
        <f t="shared" ref="AG7:AG62" si="3">SUM(AB7:AF7)</f>
        <v>952</v>
      </c>
      <c r="AH7" s="731">
        <f t="shared" ref="AH7:AH62" si="4">P7+S7-AG7</f>
        <v>9048</v>
      </c>
      <c r="AI7" s="732"/>
      <c r="AJ7" s="733"/>
      <c r="AK7" s="733"/>
      <c r="AL7" s="733"/>
      <c r="AM7" s="733"/>
      <c r="AN7" s="733"/>
      <c r="AO7" s="733"/>
      <c r="AP7" s="733"/>
      <c r="AQ7" s="733"/>
      <c r="AR7" s="733"/>
      <c r="AS7" s="733"/>
    </row>
    <row r="8" spans="1:53" s="691" customFormat="1" ht="18.899999999999999" customHeight="1">
      <c r="A8" s="722">
        <v>2</v>
      </c>
      <c r="B8" s="723" t="s">
        <v>35</v>
      </c>
      <c r="C8" s="734" t="s">
        <v>36</v>
      </c>
      <c r="D8" s="735"/>
      <c r="E8" s="734" t="s">
        <v>566</v>
      </c>
      <c r="F8" s="724">
        <v>2000</v>
      </c>
      <c r="G8" s="724">
        <v>2000</v>
      </c>
      <c r="H8" s="724">
        <v>2000</v>
      </c>
      <c r="I8" s="726">
        <f>SUMIF([3]售后加班情况!C:C,'[3]工资表(超市）-武侯售后'!C8,[3]售后加班情况!G:G)</f>
        <v>0</v>
      </c>
      <c r="J8" s="713">
        <f>SUMIF('[3]8月高温补贴'!B:B,C8,'[3]8月高温补贴'!M:M)</f>
        <v>0</v>
      </c>
      <c r="K8" s="724"/>
      <c r="L8" s="724">
        <v>1000</v>
      </c>
      <c r="M8" s="724">
        <v>1000</v>
      </c>
      <c r="N8" s="724"/>
      <c r="O8" s="724"/>
      <c r="P8" s="727">
        <f t="shared" si="0"/>
        <v>8000</v>
      </c>
      <c r="Q8" s="728">
        <f>SUMIF([3]预发!C:C,C8,[3]预发!D:D)</f>
        <v>0</v>
      </c>
      <c r="R8" s="729"/>
      <c r="S8" s="729">
        <f t="shared" si="1"/>
        <v>0</v>
      </c>
      <c r="T8" s="729">
        <f>SUMIF('[3]社保+公积金03'!C:C,C8,'[3]社保+公积金03'!E:E)</f>
        <v>880</v>
      </c>
      <c r="U8" s="729">
        <f>SUMIF('[3]社保+公积金03'!C:C,C8,'[3]社保+公积金03'!I:I)</f>
        <v>415.25</v>
      </c>
      <c r="V8" s="729">
        <f>SUMIF('[3]社保+公积金03'!C:C,C8,'[3]社保+公积金03'!G:G)</f>
        <v>33</v>
      </c>
      <c r="W8" s="729">
        <f>SUMIF('[3]社保+公积金03'!C:C,C8,'[3]社保+公积金03'!L:L)</f>
        <v>11</v>
      </c>
      <c r="X8" s="729">
        <f>SUMIF('[3]社保+公积金03'!C:C,C8,'[3]社保+公积金03'!K:K)</f>
        <v>41.25</v>
      </c>
      <c r="Y8" s="729">
        <f>SUMIF('[3]社保+公积金03'!C:C,C8,'[3]社保+公积金03'!N:N)</f>
        <v>0</v>
      </c>
      <c r="Z8" s="729">
        <f>SUMIF('[3]社保+公积金03'!C:C,C8,'[3]社保+公积金03'!P:P)</f>
        <v>117</v>
      </c>
      <c r="AA8" s="729">
        <f t="shared" si="2"/>
        <v>1497.5</v>
      </c>
      <c r="AB8" s="729">
        <f>SUMIF('[3]社保+公积金03'!C:C,C8,'[3]社保+公积金03'!S:S)</f>
        <v>572</v>
      </c>
      <c r="AC8" s="729">
        <f>SUMIF('[3]社保+公积金03'!C:C,C8,'[3]社保+公积金03'!Q:Q)</f>
        <v>117</v>
      </c>
      <c r="AD8" s="729">
        <f>SUMIF([3]服装!B:B,C8,[3]服装!G:G)</f>
        <v>59</v>
      </c>
      <c r="AE8" s="729">
        <v>50</v>
      </c>
      <c r="AF8" s="730">
        <f>SUMIF([3]其他综合扣款!B:B,C8,[3]其他综合扣款!H:H)</f>
        <v>0</v>
      </c>
      <c r="AG8" s="729">
        <f t="shared" si="3"/>
        <v>798</v>
      </c>
      <c r="AH8" s="731">
        <f t="shared" si="4"/>
        <v>7202</v>
      </c>
      <c r="AI8" s="736"/>
      <c r="AJ8" s="733"/>
    </row>
    <row r="9" spans="1:53" s="692" customFormat="1" ht="20.100000000000001" customHeight="1">
      <c r="A9" s="722">
        <v>3</v>
      </c>
      <c r="B9" s="737" t="s">
        <v>567</v>
      </c>
      <c r="C9" s="738" t="s">
        <v>38</v>
      </c>
      <c r="D9" s="739"/>
      <c r="E9" s="740" t="s">
        <v>568</v>
      </c>
      <c r="F9" s="738">
        <v>1200</v>
      </c>
      <c r="G9" s="738">
        <v>300</v>
      </c>
      <c r="H9" s="738">
        <v>100</v>
      </c>
      <c r="I9" s="726">
        <v>0</v>
      </c>
      <c r="J9" s="713">
        <v>0</v>
      </c>
      <c r="K9" s="738"/>
      <c r="L9" s="738">
        <v>100</v>
      </c>
      <c r="M9" s="724"/>
      <c r="N9" s="738"/>
      <c r="O9" s="738"/>
      <c r="P9" s="727">
        <f t="shared" si="0"/>
        <v>1700</v>
      </c>
      <c r="Q9" s="728">
        <f>SUMIF([3]预发!C:C,C9,[3]预发!D:D)</f>
        <v>0</v>
      </c>
      <c r="R9" s="741"/>
      <c r="S9" s="741">
        <f t="shared" si="1"/>
        <v>0</v>
      </c>
      <c r="T9" s="729">
        <f>SUMIF('[3]社保+公积金03'!C:C,C9,'[3]社保+公积金03'!E:E)</f>
        <v>800</v>
      </c>
      <c r="U9" s="729">
        <f>SUMIF('[3]社保+公积金03'!C:C,C9,'[3]社保+公积金03'!I:I)</f>
        <v>377.5</v>
      </c>
      <c r="V9" s="729">
        <f>SUMIF('[3]社保+公积金03'!C:C,C9,'[3]社保+公积金03'!G:G)</f>
        <v>30</v>
      </c>
      <c r="W9" s="729">
        <f>SUMIF('[3]社保+公积金03'!C:C,C9,'[3]社保+公积金03'!L:L)</f>
        <v>10</v>
      </c>
      <c r="X9" s="729">
        <f>SUMIF('[3]社保+公积金03'!C:C,C9,'[3]社保+公积金03'!K:K)</f>
        <v>37.5</v>
      </c>
      <c r="Y9" s="729">
        <f>SUMIF('[3]社保+公积金03'!C:C,C9,'[3]社保+公积金03'!N:N)</f>
        <v>0</v>
      </c>
      <c r="Z9" s="729">
        <f>SUMIF('[3]社保+公积金03'!C:C,C9,'[3]社保+公积金03'!P:P)</f>
        <v>117</v>
      </c>
      <c r="AA9" s="729">
        <f t="shared" si="2"/>
        <v>1372</v>
      </c>
      <c r="AB9" s="729">
        <f>SUMIF('[3]社保+公积金03'!C:C,C9,'[3]社保+公积金03'!S:S)</f>
        <v>520</v>
      </c>
      <c r="AC9" s="729">
        <f>SUMIF('[3]社保+公积金03'!C:C,C9,'[3]社保+公积金03'!Q:Q)</f>
        <v>117</v>
      </c>
      <c r="AD9" s="729">
        <f>SUMIF([3]服装!B:B,C9,[3]服装!G:G)</f>
        <v>59</v>
      </c>
      <c r="AE9" s="729">
        <v>10</v>
      </c>
      <c r="AF9" s="730">
        <f>SUMIF([3]其他综合扣款!B:B,C9,[3]其他综合扣款!H:H)</f>
        <v>0</v>
      </c>
      <c r="AG9" s="729">
        <f t="shared" si="3"/>
        <v>706</v>
      </c>
      <c r="AH9" s="731">
        <f t="shared" si="4"/>
        <v>994</v>
      </c>
      <c r="AI9" s="742"/>
      <c r="AJ9" s="733"/>
      <c r="AK9" s="743"/>
      <c r="AL9" s="743"/>
      <c r="AM9" s="743"/>
      <c r="AN9" s="743"/>
      <c r="AO9" s="743"/>
      <c r="AP9" s="743"/>
      <c r="AQ9" s="743"/>
      <c r="AR9" s="743"/>
      <c r="AS9" s="743"/>
      <c r="AT9" s="743"/>
      <c r="AU9" s="743"/>
      <c r="AV9" s="743"/>
      <c r="AW9" s="743"/>
      <c r="AX9" s="743"/>
      <c r="AY9" s="743"/>
      <c r="AZ9" s="743"/>
      <c r="BA9" s="743"/>
    </row>
    <row r="10" spans="1:53" s="690" customFormat="1" ht="21.9" customHeight="1">
      <c r="A10" s="722">
        <v>4</v>
      </c>
      <c r="B10" s="734" t="s">
        <v>42</v>
      </c>
      <c r="C10" s="734" t="s">
        <v>41</v>
      </c>
      <c r="D10" s="744"/>
      <c r="E10" s="734" t="s">
        <v>569</v>
      </c>
      <c r="F10" s="745">
        <v>1400</v>
      </c>
      <c r="G10" s="745">
        <v>300</v>
      </c>
      <c r="H10" s="745">
        <v>300</v>
      </c>
      <c r="I10" s="745">
        <v>200</v>
      </c>
      <c r="J10" s="713"/>
      <c r="K10" s="745"/>
      <c r="L10" s="745"/>
      <c r="M10" s="745"/>
      <c r="N10" s="745"/>
      <c r="O10" s="745"/>
      <c r="P10" s="727">
        <f t="shared" si="0"/>
        <v>2200</v>
      </c>
      <c r="Q10" s="728">
        <f>SUMIF([3]预发!C:C,C10,[3]预发!D:D)</f>
        <v>0</v>
      </c>
      <c r="R10" s="745"/>
      <c r="S10" s="745">
        <f t="shared" si="1"/>
        <v>0</v>
      </c>
      <c r="T10" s="729">
        <f>SUMIF('[3]社保+公积金03'!C:C,C10,'[3]社保+公积金03'!E:E)</f>
        <v>734.08</v>
      </c>
      <c r="U10" s="729">
        <f>SUMIF('[3]社保+公积金03'!C:C,C10,'[3]社保+公积金03'!I:I)</f>
        <v>346.39</v>
      </c>
      <c r="V10" s="729">
        <f>SUMIF('[3]社保+公积金03'!C:C,C10,'[3]社保+公积金03'!G:G)</f>
        <v>27.53</v>
      </c>
      <c r="W10" s="729">
        <f>SUMIF('[3]社保+公积金03'!C:C,C10,'[3]社保+公积金03'!L:L)</f>
        <v>9.18</v>
      </c>
      <c r="X10" s="729">
        <f>SUMIF('[3]社保+公积金03'!C:C,C10,'[3]社保+公积金03'!K:K)</f>
        <v>34.409999999999997</v>
      </c>
      <c r="Y10" s="729">
        <f>SUMIF('[3]社保+公积金03'!C:C,C10,'[3]社保+公积金03'!N:N)</f>
        <v>0</v>
      </c>
      <c r="Z10" s="729">
        <f>SUMIF('[3]社保+公积金03'!C:C,C10,'[3]社保+公积金03'!P:P)</f>
        <v>117</v>
      </c>
      <c r="AA10" s="729">
        <f t="shared" si="2"/>
        <v>1268.5899999999999</v>
      </c>
      <c r="AB10" s="729">
        <f>SUMIF('[3]社保+公积金03'!C:C,C10,'[3]社保+公积金03'!S:S)</f>
        <v>477.15</v>
      </c>
      <c r="AC10" s="729">
        <f>SUMIF('[3]社保+公积金03'!C:C,C10,'[3]社保+公积金03'!Q:Q)</f>
        <v>117</v>
      </c>
      <c r="AD10" s="729">
        <f>SUMIF([3]服装!B:B,C10,[3]服装!G:G)</f>
        <v>59</v>
      </c>
      <c r="AE10" s="745">
        <v>10</v>
      </c>
      <c r="AF10" s="745">
        <f>SUMIF([3]其他综合扣款!B:B,C10,[3]其他综合扣款!H:H)</f>
        <v>0</v>
      </c>
      <c r="AG10" s="745">
        <f t="shared" si="3"/>
        <v>663.15</v>
      </c>
      <c r="AH10" s="731">
        <f t="shared" si="4"/>
        <v>1536.85</v>
      </c>
      <c r="AI10" s="746"/>
      <c r="AJ10" s="747"/>
      <c r="AK10" s="747"/>
    </row>
    <row r="11" spans="1:53" s="692" customFormat="1" ht="18.899999999999999" customHeight="1">
      <c r="A11" s="722">
        <v>5</v>
      </c>
      <c r="B11" s="737" t="s">
        <v>42</v>
      </c>
      <c r="C11" s="748" t="s">
        <v>43</v>
      </c>
      <c r="D11" s="749"/>
      <c r="E11" s="748" t="s">
        <v>570</v>
      </c>
      <c r="F11" s="738">
        <v>1200</v>
      </c>
      <c r="G11" s="738">
        <v>400</v>
      </c>
      <c r="H11" s="738">
        <v>400</v>
      </c>
      <c r="I11" s="726">
        <f>SUMIF([3]售后加班情况!C:C,'[3]工资表(超市）-武侯售后'!C11,[3]售后加班情况!G:G)</f>
        <v>0</v>
      </c>
      <c r="J11" s="713"/>
      <c r="K11" s="750"/>
      <c r="L11" s="738"/>
      <c r="M11" s="724"/>
      <c r="N11" s="738"/>
      <c r="O11" s="738"/>
      <c r="P11" s="727">
        <f t="shared" si="0"/>
        <v>2000</v>
      </c>
      <c r="Q11" s="728">
        <f>SUMIF([3]预发!C:C,C11,[3]预发!D:D)</f>
        <v>0</v>
      </c>
      <c r="R11" s="741"/>
      <c r="S11" s="741">
        <f t="shared" si="1"/>
        <v>0</v>
      </c>
      <c r="T11" s="729">
        <f>SUMIF('[3]社保+公积金03'!C:C,C11,'[3]社保+公积金03'!E:E)</f>
        <v>734.08</v>
      </c>
      <c r="U11" s="729">
        <f>SUMIF('[3]社保+公积金03'!C:C,C11,'[3]社保+公积金03'!I:I)</f>
        <v>346.39</v>
      </c>
      <c r="V11" s="729">
        <f>SUMIF('[3]社保+公积金03'!C:C,C11,'[3]社保+公积金03'!G:G)</f>
        <v>27.53</v>
      </c>
      <c r="W11" s="729">
        <f>SUMIF('[3]社保+公积金03'!C:C,C11,'[3]社保+公积金03'!L:L)</f>
        <v>9.18</v>
      </c>
      <c r="X11" s="729">
        <f>SUMIF('[3]社保+公积金03'!C:C,C11,'[3]社保+公积金03'!K:K)</f>
        <v>34.409999999999997</v>
      </c>
      <c r="Y11" s="729">
        <f>SUMIF('[3]社保+公积金03'!C:C,C11,'[3]社保+公积金03'!N:N)</f>
        <v>0</v>
      </c>
      <c r="Z11" s="729">
        <f>SUMIF('[3]社保+公积金03'!C:C,C11,'[3]社保+公积金03'!P:P)</f>
        <v>117</v>
      </c>
      <c r="AA11" s="729">
        <f t="shared" si="2"/>
        <v>1268.5899999999999</v>
      </c>
      <c r="AB11" s="729">
        <f>SUMIF('[3]社保+公积金03'!C:C,C11,'[3]社保+公积金03'!S:S)</f>
        <v>477.15</v>
      </c>
      <c r="AC11" s="729">
        <f>SUMIF('[3]社保+公积金03'!C:C,C11,'[3]社保+公积金03'!Q:Q)</f>
        <v>117</v>
      </c>
      <c r="AD11" s="729">
        <f>SUMIF([3]服装!B:B,C11,[3]服装!G:G)</f>
        <v>59</v>
      </c>
      <c r="AE11" s="729">
        <v>10</v>
      </c>
      <c r="AF11" s="730">
        <f>SUMIF([3]其他综合扣款!B:B,C11,[3]其他综合扣款!H:H)</f>
        <v>0</v>
      </c>
      <c r="AG11" s="729">
        <f t="shared" si="3"/>
        <v>663.15</v>
      </c>
      <c r="AH11" s="731">
        <f t="shared" si="4"/>
        <v>1336.85</v>
      </c>
      <c r="AI11" s="742"/>
      <c r="AJ11" s="733"/>
      <c r="AK11" s="743"/>
      <c r="AL11" s="743"/>
      <c r="AM11" s="743"/>
      <c r="AN11" s="743"/>
      <c r="AO11" s="743"/>
      <c r="AP11" s="743"/>
      <c r="AQ11" s="743"/>
      <c r="AR11" s="743"/>
      <c r="AS11" s="743"/>
      <c r="AT11" s="743"/>
      <c r="AU11" s="743"/>
      <c r="AV11" s="743"/>
      <c r="AW11" s="743"/>
      <c r="AX11" s="743"/>
      <c r="AY11" s="743"/>
      <c r="AZ11" s="743"/>
      <c r="BA11" s="743"/>
    </row>
    <row r="12" spans="1:53" s="692" customFormat="1" ht="18.899999999999999" customHeight="1">
      <c r="A12" s="722">
        <v>6</v>
      </c>
      <c r="B12" s="737" t="s">
        <v>42</v>
      </c>
      <c r="C12" s="748" t="s">
        <v>44</v>
      </c>
      <c r="D12" s="739"/>
      <c r="E12" s="748" t="s">
        <v>570</v>
      </c>
      <c r="F12" s="738">
        <v>1200</v>
      </c>
      <c r="G12" s="738">
        <v>400</v>
      </c>
      <c r="H12" s="738">
        <v>400</v>
      </c>
      <c r="I12" s="726">
        <f>SUMIF([3]售后加班情况!C:C,'[3]工资表(超市）-武侯售后'!C12,[3]售后加班情况!G:G)</f>
        <v>0</v>
      </c>
      <c r="J12" s="713">
        <f>SUMIF('[3]8月高温补贴'!B:B,C12,'[3]8月高温补贴'!M:M)</f>
        <v>0</v>
      </c>
      <c r="K12" s="750"/>
      <c r="L12" s="738"/>
      <c r="M12" s="724"/>
      <c r="N12" s="693"/>
      <c r="O12" s="738"/>
      <c r="P12" s="727">
        <f t="shared" si="0"/>
        <v>2000</v>
      </c>
      <c r="Q12" s="728">
        <f>SUMIF([3]预发!C:C,C12,[3]预发!D:D)</f>
        <v>0</v>
      </c>
      <c r="R12" s="741"/>
      <c r="S12" s="741">
        <f t="shared" si="1"/>
        <v>0</v>
      </c>
      <c r="T12" s="729">
        <f>SUMIF('[3]社保+公积金03'!C:C,C12,'[3]社保+公积金03'!E:E)</f>
        <v>734.08</v>
      </c>
      <c r="U12" s="729">
        <f>SUMIF('[3]社保+公积金03'!C:C,C12,'[3]社保+公积金03'!I:I)</f>
        <v>346.39</v>
      </c>
      <c r="V12" s="729">
        <f>SUMIF('[3]社保+公积金03'!C:C,C12,'[3]社保+公积金03'!G:G)</f>
        <v>27.53</v>
      </c>
      <c r="W12" s="729">
        <f>SUMIF('[3]社保+公积金03'!C:C,C12,'[3]社保+公积金03'!L:L)</f>
        <v>9.18</v>
      </c>
      <c r="X12" s="729">
        <f>SUMIF('[3]社保+公积金03'!C:C,C12,'[3]社保+公积金03'!K:K)</f>
        <v>34.409999999999997</v>
      </c>
      <c r="Y12" s="729">
        <f>SUMIF('[3]社保+公积金03'!C:C,C12,'[3]社保+公积金03'!N:N)</f>
        <v>0</v>
      </c>
      <c r="Z12" s="729">
        <f>SUMIF('[3]社保+公积金03'!C:C,C12,'[3]社保+公积金03'!P:P)</f>
        <v>117</v>
      </c>
      <c r="AA12" s="729">
        <f t="shared" si="2"/>
        <v>1268.5899999999999</v>
      </c>
      <c r="AB12" s="729">
        <f>SUMIF('[3]社保+公积金03'!C:C,C12,'[3]社保+公积金03'!S:S)</f>
        <v>477.15</v>
      </c>
      <c r="AC12" s="729">
        <f>SUMIF('[3]社保+公积金03'!C:C,C12,'[3]社保+公积金03'!Q:Q)</f>
        <v>117</v>
      </c>
      <c r="AD12" s="729">
        <f>SUMIF([3]服装!B:B,C12,[3]服装!G:G)</f>
        <v>59</v>
      </c>
      <c r="AE12" s="729">
        <v>10</v>
      </c>
      <c r="AF12" s="730">
        <f>SUMIF([3]其他综合扣款!B:B,C12,[3]其他综合扣款!H:H)</f>
        <v>0</v>
      </c>
      <c r="AG12" s="729">
        <f t="shared" si="3"/>
        <v>663.15</v>
      </c>
      <c r="AH12" s="731">
        <f t="shared" si="4"/>
        <v>1336.85</v>
      </c>
      <c r="AI12" s="742"/>
      <c r="AJ12" s="733"/>
      <c r="AK12" s="743"/>
      <c r="AL12" s="743"/>
      <c r="AM12" s="743"/>
      <c r="AN12" s="743"/>
      <c r="AO12" s="743"/>
      <c r="AP12" s="743"/>
      <c r="AQ12" s="743"/>
      <c r="AR12" s="743"/>
      <c r="AS12" s="743"/>
      <c r="AT12" s="743"/>
      <c r="AU12" s="743"/>
      <c r="AV12" s="743"/>
      <c r="AW12" s="743"/>
      <c r="AX12" s="743"/>
      <c r="AY12" s="743"/>
      <c r="AZ12" s="743"/>
      <c r="BA12" s="743"/>
    </row>
    <row r="13" spans="1:53" s="692" customFormat="1" ht="18.899999999999999" customHeight="1">
      <c r="A13" s="722">
        <v>7</v>
      </c>
      <c r="B13" s="737" t="s">
        <v>345</v>
      </c>
      <c r="C13" s="751" t="s">
        <v>53</v>
      </c>
      <c r="D13" s="752"/>
      <c r="E13" s="753" t="s">
        <v>571</v>
      </c>
      <c r="F13" s="738">
        <v>1000</v>
      </c>
      <c r="G13" s="738">
        <v>200</v>
      </c>
      <c r="H13" s="750"/>
      <c r="I13" s="726">
        <f>SUMIF([3]售后加班情况!C:C,'[3]工资表(超市）-武侯售后'!C13,[3]售后加班情况!G:G)</f>
        <v>0</v>
      </c>
      <c r="J13" s="713">
        <f>SUMIF('[3]8月高温补贴'!B:B,C13,'[3]8月高温补贴'!M:M)</f>
        <v>0</v>
      </c>
      <c r="K13" s="750"/>
      <c r="L13" s="750"/>
      <c r="M13" s="724"/>
      <c r="N13" s="738"/>
      <c r="O13" s="750"/>
      <c r="P13" s="727">
        <f t="shared" si="0"/>
        <v>1200</v>
      </c>
      <c r="Q13" s="728">
        <f>SUMIF([3]预发!C:C,C13,[3]预发!D:D)</f>
        <v>0</v>
      </c>
      <c r="R13" s="750"/>
      <c r="S13" s="750">
        <f t="shared" si="1"/>
        <v>0</v>
      </c>
      <c r="T13" s="729">
        <f>SUMIF('[3]社保+公积金03'!C:C,C13,'[3]社保+公积金03'!E:E)</f>
        <v>734.08</v>
      </c>
      <c r="U13" s="729">
        <f>SUMIF('[3]社保+公积金03'!C:C,C13,'[3]社保+公积金03'!I:I)</f>
        <v>346.39</v>
      </c>
      <c r="V13" s="729">
        <f>SUMIF('[3]社保+公积金03'!C:C,C13,'[3]社保+公积金03'!G:G)</f>
        <v>27.53</v>
      </c>
      <c r="W13" s="729">
        <f>SUMIF('[3]社保+公积金03'!C:C,C13,'[3]社保+公积金03'!L:L)</f>
        <v>9.18</v>
      </c>
      <c r="X13" s="729">
        <f>SUMIF('[3]社保+公积金03'!C:C,C13,'[3]社保+公积金03'!K:K)</f>
        <v>34.409999999999997</v>
      </c>
      <c r="Y13" s="729">
        <f>SUMIF('[3]社保+公积金03'!C:C,C13,'[3]社保+公积金03'!N:N)</f>
        <v>0</v>
      </c>
      <c r="Z13" s="729">
        <f>SUMIF('[3]社保+公积金03'!C:C,C13,'[3]社保+公积金03'!P:P)</f>
        <v>117</v>
      </c>
      <c r="AA13" s="729">
        <f t="shared" si="2"/>
        <v>1268.5899999999999</v>
      </c>
      <c r="AB13" s="729">
        <f>SUMIF('[3]社保+公积金03'!C:C,C13,'[3]社保+公积金03'!S:S)</f>
        <v>477.15</v>
      </c>
      <c r="AC13" s="729">
        <f>SUMIF('[3]社保+公积金03'!C:C,C13,'[3]社保+公积金03'!Q:Q)</f>
        <v>117</v>
      </c>
      <c r="AD13" s="729">
        <f>SUMIF([3]服装!B:B,C13,[3]服装!G:G)</f>
        <v>59</v>
      </c>
      <c r="AE13" s="729">
        <v>10</v>
      </c>
      <c r="AF13" s="730">
        <f>SUMIF([3]其他综合扣款!B:B,C13,[3]其他综合扣款!H:H)</f>
        <v>0</v>
      </c>
      <c r="AG13" s="729">
        <f t="shared" si="3"/>
        <v>663.15</v>
      </c>
      <c r="AH13" s="731">
        <f t="shared" si="4"/>
        <v>536.85</v>
      </c>
      <c r="AI13" s="754"/>
      <c r="AJ13" s="733"/>
      <c r="AK13" s="755"/>
      <c r="AL13" s="755"/>
      <c r="AM13" s="755"/>
      <c r="AN13" s="755"/>
      <c r="AO13" s="755"/>
      <c r="AP13" s="755"/>
      <c r="AQ13" s="755"/>
      <c r="AR13" s="755"/>
      <c r="AS13" s="755"/>
      <c r="AT13" s="755"/>
      <c r="AU13" s="755"/>
      <c r="AV13" s="755"/>
      <c r="AW13" s="755"/>
      <c r="AX13" s="755"/>
      <c r="AY13" s="755"/>
      <c r="AZ13" s="755"/>
      <c r="BA13" s="755"/>
    </row>
    <row r="14" spans="1:53" s="692" customFormat="1" ht="18.899999999999999" customHeight="1">
      <c r="A14" s="722">
        <v>8</v>
      </c>
      <c r="B14" s="737" t="s">
        <v>345</v>
      </c>
      <c r="C14" s="748" t="s">
        <v>55</v>
      </c>
      <c r="D14" s="756"/>
      <c r="E14" s="748" t="s">
        <v>571</v>
      </c>
      <c r="F14" s="738">
        <v>1000</v>
      </c>
      <c r="G14" s="738">
        <v>200</v>
      </c>
      <c r="H14" s="738"/>
      <c r="I14" s="726">
        <f>SUMIF([3]售后加班情况!C:C,'[3]工资表(超市）-武侯售后'!C14,[3]售后加班情况!G:G)</f>
        <v>0</v>
      </c>
      <c r="J14" s="713">
        <f>SUMIF('[3]8月高温补贴'!B:B,C14,'[3]8月高温补贴'!M:M)</f>
        <v>0</v>
      </c>
      <c r="K14" s="738"/>
      <c r="L14" s="738"/>
      <c r="M14" s="724"/>
      <c r="N14" s="738"/>
      <c r="O14" s="738"/>
      <c r="P14" s="727">
        <f t="shared" si="0"/>
        <v>1200</v>
      </c>
      <c r="Q14" s="728">
        <f>SUMIF([3]预发!C:C,C14,[3]预发!D:D)</f>
        <v>0</v>
      </c>
      <c r="R14" s="741"/>
      <c r="S14" s="741">
        <f t="shared" si="1"/>
        <v>0</v>
      </c>
      <c r="T14" s="729">
        <f>SUMIF('[3]社保+公积金03'!C:C,C14,'[3]社保+公积金03'!E:E)</f>
        <v>734.08</v>
      </c>
      <c r="U14" s="729">
        <f>SUMIF('[3]社保+公积金03'!C:C,C14,'[3]社保+公积金03'!I:I)</f>
        <v>346.39</v>
      </c>
      <c r="V14" s="729">
        <f>SUMIF('[3]社保+公积金03'!C:C,C14,'[3]社保+公积金03'!G:G)</f>
        <v>27.53</v>
      </c>
      <c r="W14" s="729">
        <f>SUMIF('[3]社保+公积金03'!C:C,C14,'[3]社保+公积金03'!L:L)</f>
        <v>9.18</v>
      </c>
      <c r="X14" s="729">
        <f>SUMIF('[3]社保+公积金03'!C:C,C14,'[3]社保+公积金03'!K:K)</f>
        <v>34.409999999999997</v>
      </c>
      <c r="Y14" s="729">
        <f>SUMIF('[3]社保+公积金03'!C:C,C14,'[3]社保+公积金03'!N:N)</f>
        <v>0</v>
      </c>
      <c r="Z14" s="729">
        <f>SUMIF('[3]社保+公积金03'!C:C,C14,'[3]社保+公积金03'!P:P)</f>
        <v>117</v>
      </c>
      <c r="AA14" s="729">
        <f t="shared" si="2"/>
        <v>1268.5899999999999</v>
      </c>
      <c r="AB14" s="729">
        <f>SUMIF('[3]社保+公积金03'!C:C,C14,'[3]社保+公积金03'!S:S)</f>
        <v>477.15</v>
      </c>
      <c r="AC14" s="729">
        <f>SUMIF('[3]社保+公积金03'!C:C,C14,'[3]社保+公积金03'!Q:Q)</f>
        <v>117</v>
      </c>
      <c r="AD14" s="729">
        <f>SUMIF([3]服装!B:B,C14,[3]服装!G:G)</f>
        <v>59</v>
      </c>
      <c r="AE14" s="729">
        <v>10</v>
      </c>
      <c r="AF14" s="730">
        <f>SUMIF([3]其他综合扣款!B:B,C14,[3]其他综合扣款!H:H)</f>
        <v>0</v>
      </c>
      <c r="AG14" s="729">
        <f t="shared" si="3"/>
        <v>663.15</v>
      </c>
      <c r="AH14" s="731">
        <f t="shared" si="4"/>
        <v>536.85</v>
      </c>
      <c r="AI14" s="742"/>
      <c r="AJ14" s="733"/>
      <c r="AK14" s="743"/>
      <c r="AL14" s="743"/>
      <c r="AM14" s="743"/>
      <c r="AN14" s="743"/>
      <c r="AO14" s="743"/>
      <c r="AP14" s="743"/>
      <c r="AQ14" s="743"/>
      <c r="AR14" s="743"/>
      <c r="AS14" s="743"/>
      <c r="AT14" s="743"/>
      <c r="AU14" s="743"/>
      <c r="AV14" s="743"/>
      <c r="AW14" s="743"/>
      <c r="AX14" s="743"/>
      <c r="AY14" s="743"/>
      <c r="AZ14" s="743"/>
      <c r="BA14" s="743"/>
    </row>
    <row r="15" spans="1:53" s="692" customFormat="1" ht="18.899999999999999" customHeight="1">
      <c r="A15" s="722">
        <v>9</v>
      </c>
      <c r="B15" s="737" t="s">
        <v>345</v>
      </c>
      <c r="C15" s="738" t="s">
        <v>54</v>
      </c>
      <c r="D15" s="739"/>
      <c r="E15" s="738" t="s">
        <v>571</v>
      </c>
      <c r="F15" s="738">
        <v>1000</v>
      </c>
      <c r="G15" s="738">
        <v>200</v>
      </c>
      <c r="H15" s="738"/>
      <c r="I15" s="726">
        <f>SUMIF([3]售后加班情况!C:C,'[3]工资表(超市）-武侯售后'!C15,[3]售后加班情况!G:G)</f>
        <v>0</v>
      </c>
      <c r="J15" s="713">
        <f>SUMIF('[3]8月高温补贴'!B:B,C15,'[3]8月高温补贴'!M:M)</f>
        <v>0</v>
      </c>
      <c r="K15" s="738"/>
      <c r="L15" s="738"/>
      <c r="M15" s="724"/>
      <c r="N15" s="738"/>
      <c r="O15" s="738"/>
      <c r="P15" s="727">
        <f t="shared" si="0"/>
        <v>1200</v>
      </c>
      <c r="Q15" s="728">
        <f>SUMIF([3]预发!C:C,C15,[3]预发!D:D)</f>
        <v>0</v>
      </c>
      <c r="R15" s="741"/>
      <c r="S15" s="741">
        <f t="shared" si="1"/>
        <v>0</v>
      </c>
      <c r="T15" s="729">
        <f>SUMIF('[3]社保+公积金03'!C:C,C15,'[3]社保+公积金03'!E:E)</f>
        <v>734.08</v>
      </c>
      <c r="U15" s="729">
        <f>SUMIF('[3]社保+公积金03'!C:C,C15,'[3]社保+公积金03'!I:I)</f>
        <v>346.39</v>
      </c>
      <c r="V15" s="729">
        <f>SUMIF('[3]社保+公积金03'!C:C,C15,'[3]社保+公积金03'!G:G)</f>
        <v>27.53</v>
      </c>
      <c r="W15" s="729">
        <f>SUMIF('[3]社保+公积金03'!C:C,C15,'[3]社保+公积金03'!L:L)</f>
        <v>9.18</v>
      </c>
      <c r="X15" s="729">
        <f>SUMIF('[3]社保+公积金03'!C:C,C15,'[3]社保+公积金03'!K:K)</f>
        <v>34.409999999999997</v>
      </c>
      <c r="Y15" s="729">
        <f>SUMIF('[3]社保+公积金03'!C:C,C15,'[3]社保+公积金03'!N:N)</f>
        <v>0</v>
      </c>
      <c r="Z15" s="729">
        <f>SUMIF('[3]社保+公积金03'!C:C,C15,'[3]社保+公积金03'!P:P)</f>
        <v>117</v>
      </c>
      <c r="AA15" s="729">
        <f t="shared" si="2"/>
        <v>1268.5899999999999</v>
      </c>
      <c r="AB15" s="729">
        <f>SUMIF('[3]社保+公积金03'!C:C,C15,'[3]社保+公积金03'!S:S)</f>
        <v>477.15</v>
      </c>
      <c r="AC15" s="729">
        <f>SUMIF('[3]社保+公积金03'!C:C,C15,'[3]社保+公积金03'!Q:Q)</f>
        <v>117</v>
      </c>
      <c r="AD15" s="729">
        <f>SUMIF([3]服装!B:B,C15,[3]服装!G:G)</f>
        <v>59</v>
      </c>
      <c r="AE15" s="729">
        <v>10</v>
      </c>
      <c r="AF15" s="730">
        <f>SUMIF([3]其他综合扣款!B:B,C15,[3]其他综合扣款!H:H)</f>
        <v>0</v>
      </c>
      <c r="AG15" s="729">
        <f t="shared" si="3"/>
        <v>663.15</v>
      </c>
      <c r="AH15" s="731">
        <f t="shared" si="4"/>
        <v>536.85</v>
      </c>
      <c r="AI15" s="742"/>
      <c r="AJ15" s="733"/>
      <c r="AK15" s="743"/>
      <c r="AL15" s="743"/>
      <c r="AM15" s="743"/>
      <c r="AN15" s="743"/>
      <c r="AO15" s="743"/>
      <c r="AP15" s="743"/>
      <c r="AQ15" s="743"/>
      <c r="AR15" s="743"/>
      <c r="AS15" s="743"/>
      <c r="AT15" s="743"/>
      <c r="AU15" s="743"/>
      <c r="AV15" s="743"/>
      <c r="AW15" s="743"/>
      <c r="AX15" s="743"/>
      <c r="AY15" s="743"/>
      <c r="AZ15" s="743"/>
      <c r="BA15" s="743"/>
    </row>
    <row r="16" spans="1:53" s="692" customFormat="1" ht="18.899999999999999" customHeight="1">
      <c r="A16" s="722">
        <v>10</v>
      </c>
      <c r="B16" s="737" t="s">
        <v>345</v>
      </c>
      <c r="C16" s="751" t="s">
        <v>57</v>
      </c>
      <c r="D16" s="757"/>
      <c r="E16" s="738" t="s">
        <v>571</v>
      </c>
      <c r="F16" s="758">
        <v>1000</v>
      </c>
      <c r="G16" s="758">
        <v>200</v>
      </c>
      <c r="H16" s="750"/>
      <c r="I16" s="726">
        <f>SUMIF([3]售后加班情况!C:C,'[3]工资表(超市）-武侯售后'!C16,[3]售后加班情况!G:G)</f>
        <v>0</v>
      </c>
      <c r="J16" s="713">
        <f>SUMIF('[3]8月高温补贴'!B:B,C16,'[3]8月高温补贴'!M:M)</f>
        <v>0</v>
      </c>
      <c r="K16" s="750"/>
      <c r="L16" s="750"/>
      <c r="M16" s="724"/>
      <c r="N16" s="750"/>
      <c r="O16" s="750"/>
      <c r="P16" s="727">
        <f t="shared" si="0"/>
        <v>1200</v>
      </c>
      <c r="Q16" s="728">
        <f>SUMIF([3]预发!C:C,C16,[3]预发!D:D)</f>
        <v>0</v>
      </c>
      <c r="R16" s="750"/>
      <c r="S16" s="750">
        <f t="shared" si="1"/>
        <v>0</v>
      </c>
      <c r="T16" s="729">
        <f>SUMIF('[3]社保+公积金03'!C:C,C16,'[3]社保+公积金03'!E:E)</f>
        <v>734.08</v>
      </c>
      <c r="U16" s="729">
        <f>SUMIF('[3]社保+公积金03'!C:C,C16,'[3]社保+公积金03'!I:I)</f>
        <v>346.39</v>
      </c>
      <c r="V16" s="729">
        <f>SUMIF('[3]社保+公积金03'!C:C,C16,'[3]社保+公积金03'!G:G)</f>
        <v>27.53</v>
      </c>
      <c r="W16" s="729">
        <f>SUMIF('[3]社保+公积金03'!C:C,C16,'[3]社保+公积金03'!L:L)</f>
        <v>9.18</v>
      </c>
      <c r="X16" s="729">
        <f>SUMIF('[3]社保+公积金03'!C:C,C16,'[3]社保+公积金03'!K:K)</f>
        <v>34.409999999999997</v>
      </c>
      <c r="Y16" s="729">
        <f>SUMIF('[3]社保+公积金03'!C:C,C16,'[3]社保+公积金03'!N:N)</f>
        <v>0</v>
      </c>
      <c r="Z16" s="729">
        <f>SUMIF('[3]社保+公积金03'!C:C,C16,'[3]社保+公积金03'!P:P)</f>
        <v>117</v>
      </c>
      <c r="AA16" s="729">
        <f t="shared" si="2"/>
        <v>1268.5899999999999</v>
      </c>
      <c r="AB16" s="729">
        <f>SUMIF('[3]社保+公积金03'!C:C,C16,'[3]社保+公积金03'!S:S)</f>
        <v>477.15</v>
      </c>
      <c r="AC16" s="729">
        <f>SUMIF('[3]社保+公积金03'!C:C,C16,'[3]社保+公积金03'!Q:Q)</f>
        <v>117</v>
      </c>
      <c r="AD16" s="729">
        <f>SUMIF([3]服装!B:B,C16,[3]服装!G:G)</f>
        <v>59</v>
      </c>
      <c r="AE16" s="729">
        <v>10</v>
      </c>
      <c r="AF16" s="730">
        <f>SUMIF([3]其他综合扣款!B:B,C16,[3]其他综合扣款!H:H)</f>
        <v>0</v>
      </c>
      <c r="AG16" s="729">
        <f t="shared" si="3"/>
        <v>663.15</v>
      </c>
      <c r="AH16" s="731">
        <f t="shared" si="4"/>
        <v>536.85</v>
      </c>
      <c r="AI16" s="754"/>
      <c r="AJ16" s="733"/>
      <c r="AK16" s="759"/>
      <c r="AL16" s="759"/>
      <c r="AM16" s="759"/>
      <c r="AN16" s="759"/>
      <c r="AO16" s="759"/>
      <c r="AP16" s="759"/>
      <c r="AQ16" s="759"/>
      <c r="AR16" s="759"/>
      <c r="AS16" s="759"/>
      <c r="AT16" s="759"/>
      <c r="AU16" s="759"/>
      <c r="AV16" s="759"/>
      <c r="AW16" s="759"/>
      <c r="AX16" s="759"/>
      <c r="AY16" s="759"/>
      <c r="AZ16" s="759"/>
      <c r="BA16" s="759"/>
    </row>
    <row r="17" spans="1:53" s="692" customFormat="1" ht="18.899999999999999" customHeight="1">
      <c r="A17" s="722">
        <v>11</v>
      </c>
      <c r="B17" s="737" t="s">
        <v>345</v>
      </c>
      <c r="C17" s="751" t="s">
        <v>58</v>
      </c>
      <c r="D17" s="757"/>
      <c r="E17" s="738" t="s">
        <v>571</v>
      </c>
      <c r="F17" s="758">
        <v>1000</v>
      </c>
      <c r="G17" s="758">
        <v>200</v>
      </c>
      <c r="H17" s="750"/>
      <c r="I17" s="726">
        <f>SUMIF([3]售后加班情况!C:C,'[3]工资表(超市）-武侯售后'!C17,[3]售后加班情况!G:G)</f>
        <v>0</v>
      </c>
      <c r="J17" s="713">
        <f>SUMIF('[3]8月高温补贴'!B:B,C17,'[3]8月高温补贴'!M:M)</f>
        <v>0</v>
      </c>
      <c r="K17" s="750"/>
      <c r="L17" s="750"/>
      <c r="M17" s="724"/>
      <c r="N17" s="750"/>
      <c r="O17" s="750"/>
      <c r="P17" s="727">
        <f t="shared" si="0"/>
        <v>1200</v>
      </c>
      <c r="Q17" s="728">
        <f>SUMIF([3]预发!C:C,C17,[3]预发!D:D)</f>
        <v>0</v>
      </c>
      <c r="R17" s="750"/>
      <c r="S17" s="750">
        <f t="shared" si="1"/>
        <v>0</v>
      </c>
      <c r="T17" s="729">
        <f>SUMIF('[3]社保+公积金03'!C:C,C17,'[3]社保+公积金03'!E:E)</f>
        <v>734.08</v>
      </c>
      <c r="U17" s="729">
        <f>SUMIF('[3]社保+公积金03'!C:C,C17,'[3]社保+公积金03'!I:I)</f>
        <v>346.39</v>
      </c>
      <c r="V17" s="729">
        <f>SUMIF('[3]社保+公积金03'!C:C,C17,'[3]社保+公积金03'!G:G)</f>
        <v>27.53</v>
      </c>
      <c r="W17" s="729">
        <f>SUMIF('[3]社保+公积金03'!C:C,C17,'[3]社保+公积金03'!L:L)</f>
        <v>9.18</v>
      </c>
      <c r="X17" s="729">
        <f>SUMIF('[3]社保+公积金03'!C:C,C17,'[3]社保+公积金03'!K:K)</f>
        <v>34.409999999999997</v>
      </c>
      <c r="Y17" s="729">
        <f>SUMIF('[3]社保+公积金03'!C:C,C17,'[3]社保+公积金03'!N:N)</f>
        <v>0</v>
      </c>
      <c r="Z17" s="729">
        <f>SUMIF('[3]社保+公积金03'!C:C,C17,'[3]社保+公积金03'!P:P)</f>
        <v>117</v>
      </c>
      <c r="AA17" s="729">
        <f t="shared" si="2"/>
        <v>1268.5899999999999</v>
      </c>
      <c r="AB17" s="729">
        <f>SUMIF('[3]社保+公积金03'!C:C,C17,'[3]社保+公积金03'!S:S)</f>
        <v>477.15</v>
      </c>
      <c r="AC17" s="729">
        <f>SUMIF('[3]社保+公积金03'!C:C,C17,'[3]社保+公积金03'!Q:Q)</f>
        <v>117</v>
      </c>
      <c r="AD17" s="729">
        <f>SUMIF([3]服装!B:B,C17,[3]服装!G:G)</f>
        <v>0</v>
      </c>
      <c r="AE17" s="729">
        <v>10</v>
      </c>
      <c r="AF17" s="730">
        <f>SUMIF([3]其他综合扣款!B:B,C17,[3]其他综合扣款!H:H)</f>
        <v>0</v>
      </c>
      <c r="AG17" s="729">
        <f t="shared" si="3"/>
        <v>604.15</v>
      </c>
      <c r="AH17" s="731">
        <f t="shared" si="4"/>
        <v>595.85</v>
      </c>
      <c r="AI17" s="754"/>
      <c r="AJ17" s="733"/>
      <c r="AK17" s="759"/>
      <c r="AL17" s="759"/>
      <c r="AM17" s="759"/>
      <c r="AN17" s="759"/>
      <c r="AO17" s="759"/>
      <c r="AP17" s="759"/>
      <c r="AQ17" s="759"/>
      <c r="AR17" s="759"/>
      <c r="AS17" s="759"/>
      <c r="AT17" s="759"/>
      <c r="AU17" s="759"/>
      <c r="AV17" s="759"/>
      <c r="AW17" s="759"/>
      <c r="AX17" s="759"/>
      <c r="AY17" s="759"/>
      <c r="AZ17" s="759"/>
      <c r="BA17" s="759"/>
    </row>
    <row r="18" spans="1:53" s="692" customFormat="1" ht="21" customHeight="1">
      <c r="A18" s="722">
        <v>12</v>
      </c>
      <c r="B18" s="737" t="s">
        <v>345</v>
      </c>
      <c r="C18" s="751" t="s">
        <v>59</v>
      </c>
      <c r="D18" s="757"/>
      <c r="E18" s="738" t="s">
        <v>571</v>
      </c>
      <c r="F18" s="758">
        <v>1000</v>
      </c>
      <c r="G18" s="758">
        <v>200</v>
      </c>
      <c r="H18" s="750"/>
      <c r="I18" s="726">
        <f>SUMIF([3]售后加班情况!C:C,'[3]工资表(超市）-武侯售后'!C18,[3]售后加班情况!G:G)</f>
        <v>0</v>
      </c>
      <c r="J18" s="713">
        <f>SUMIF('[3]8月高温补贴'!B:B,C18,'[3]8月高温补贴'!M:M)</f>
        <v>0</v>
      </c>
      <c r="K18" s="750"/>
      <c r="L18" s="750"/>
      <c r="M18" s="724"/>
      <c r="N18" s="750"/>
      <c r="O18" s="750"/>
      <c r="P18" s="727">
        <f t="shared" si="0"/>
        <v>1200</v>
      </c>
      <c r="Q18" s="728">
        <f>SUMIF([3]预发!C:C,C18,[3]预发!D:D)</f>
        <v>0</v>
      </c>
      <c r="R18" s="750"/>
      <c r="S18" s="750">
        <f t="shared" si="1"/>
        <v>0</v>
      </c>
      <c r="T18" s="729">
        <f>SUMIF('[3]社保+公积金03'!C:C,C18,'[3]社保+公积金03'!E:E)</f>
        <v>734.08</v>
      </c>
      <c r="U18" s="729">
        <f>SUMIF('[3]社保+公积金03'!C:C,C18,'[3]社保+公积金03'!I:I)</f>
        <v>346.39</v>
      </c>
      <c r="V18" s="729">
        <f>SUMIF('[3]社保+公积金03'!C:C,C18,'[3]社保+公积金03'!G:G)</f>
        <v>27.53</v>
      </c>
      <c r="W18" s="729">
        <f>SUMIF('[3]社保+公积金03'!C:C,C18,'[3]社保+公积金03'!L:L)</f>
        <v>9.18</v>
      </c>
      <c r="X18" s="729">
        <f>SUMIF('[3]社保+公积金03'!C:C,C18,'[3]社保+公积金03'!K:K)</f>
        <v>34.409999999999997</v>
      </c>
      <c r="Y18" s="729">
        <f>SUMIF('[3]社保+公积金03'!C:C,C18,'[3]社保+公积金03'!N:N)</f>
        <v>0</v>
      </c>
      <c r="Z18" s="729">
        <f>SUMIF('[3]社保+公积金03'!C:C,C18,'[3]社保+公积金03'!P:P)</f>
        <v>117</v>
      </c>
      <c r="AA18" s="729">
        <f t="shared" si="2"/>
        <v>1268.5899999999999</v>
      </c>
      <c r="AB18" s="729">
        <f>SUMIF('[3]社保+公积金03'!C:C,C18,'[3]社保+公积金03'!S:S)</f>
        <v>477.15</v>
      </c>
      <c r="AC18" s="729">
        <f>SUMIF('[3]社保+公积金03'!C:C,C18,'[3]社保+公积金03'!Q:Q)</f>
        <v>117</v>
      </c>
      <c r="AD18" s="729">
        <f>SUMIF([3]服装!B:B,C18,[3]服装!G:G)</f>
        <v>59</v>
      </c>
      <c r="AE18" s="729">
        <v>10</v>
      </c>
      <c r="AF18" s="730">
        <f>SUMIF([3]其他综合扣款!B:B,C18,[3]其他综合扣款!H:H)</f>
        <v>0</v>
      </c>
      <c r="AG18" s="729">
        <f t="shared" si="3"/>
        <v>663.15</v>
      </c>
      <c r="AH18" s="731">
        <f t="shared" si="4"/>
        <v>536.85</v>
      </c>
      <c r="AI18" s="754"/>
      <c r="AJ18" s="733"/>
      <c r="AK18" s="759"/>
      <c r="AL18" s="759"/>
      <c r="AM18" s="759"/>
      <c r="AN18" s="759"/>
      <c r="AO18" s="759"/>
      <c r="AP18" s="759"/>
      <c r="AQ18" s="759"/>
      <c r="AR18" s="759"/>
      <c r="AS18" s="759"/>
      <c r="AT18" s="759"/>
      <c r="AU18" s="759"/>
      <c r="AV18" s="759"/>
      <c r="AW18" s="759"/>
      <c r="AX18" s="759"/>
      <c r="AY18" s="759"/>
      <c r="AZ18" s="759"/>
      <c r="BA18" s="759"/>
    </row>
    <row r="19" spans="1:53" s="692" customFormat="1" ht="18.899999999999999" customHeight="1">
      <c r="A19" s="722">
        <v>13</v>
      </c>
      <c r="B19" s="753" t="s">
        <v>50</v>
      </c>
      <c r="C19" s="751" t="s">
        <v>48</v>
      </c>
      <c r="D19" s="756"/>
      <c r="E19" s="753" t="s">
        <v>572</v>
      </c>
      <c r="F19" s="758">
        <v>1200</v>
      </c>
      <c r="G19" s="758">
        <v>300</v>
      </c>
      <c r="H19" s="750"/>
      <c r="I19" s="726">
        <f>SUMIF([3]售后加班情况!C:C,'[3]工资表(超市）-武侯售后'!C19,[3]售后加班情况!G:G)</f>
        <v>0</v>
      </c>
      <c r="J19" s="713">
        <f>SUMIF('[3]8月高温补贴'!B:B,C19,'[3]8月高温补贴'!M:M)</f>
        <v>0</v>
      </c>
      <c r="K19" s="738">
        <f>24*13</f>
        <v>312</v>
      </c>
      <c r="L19" s="750"/>
      <c r="M19" s="724"/>
      <c r="N19" s="750"/>
      <c r="O19" s="750"/>
      <c r="P19" s="727">
        <f t="shared" si="0"/>
        <v>1812</v>
      </c>
      <c r="Q19" s="728">
        <f>SUMIF([3]预发!C:C,C19,[3]预发!D:D)</f>
        <v>0</v>
      </c>
      <c r="R19" s="750"/>
      <c r="S19" s="750">
        <f t="shared" si="1"/>
        <v>0</v>
      </c>
      <c r="T19" s="729">
        <f>SUMIF('[3]社保+公积金03'!C:C,C19,'[3]社保+公积金03'!E:E)</f>
        <v>734.08</v>
      </c>
      <c r="U19" s="729">
        <f>SUMIF('[3]社保+公积金03'!C:C,C19,'[3]社保+公积金03'!I:I)</f>
        <v>346.39</v>
      </c>
      <c r="V19" s="729">
        <f>SUMIF('[3]社保+公积金03'!C:C,C19,'[3]社保+公积金03'!G:G)</f>
        <v>27.53</v>
      </c>
      <c r="W19" s="729">
        <f>SUMIF('[3]社保+公积金03'!C:C,C19,'[3]社保+公积金03'!L:L)</f>
        <v>9.18</v>
      </c>
      <c r="X19" s="729">
        <f>SUMIF('[3]社保+公积金03'!C:C,C19,'[3]社保+公积金03'!K:K)</f>
        <v>34.409999999999997</v>
      </c>
      <c r="Y19" s="729">
        <f>SUMIF('[3]社保+公积金03'!C:C,C19,'[3]社保+公积金03'!N:N)</f>
        <v>0</v>
      </c>
      <c r="Z19" s="729">
        <f>SUMIF('[3]社保+公积金03'!C:C,C19,'[3]社保+公积金03'!P:P)</f>
        <v>117</v>
      </c>
      <c r="AA19" s="729">
        <f t="shared" si="2"/>
        <v>1268.5899999999999</v>
      </c>
      <c r="AB19" s="729">
        <f>SUMIF('[3]社保+公积金03'!C:C,C19,'[3]社保+公积金03'!S:S)</f>
        <v>477.15</v>
      </c>
      <c r="AC19" s="729">
        <f>SUMIF('[3]社保+公积金03'!C:C,C19,'[3]社保+公积金03'!Q:Q)</f>
        <v>117</v>
      </c>
      <c r="AD19" s="729">
        <f>SUMIF([3]服装!B:B,C19,[3]服装!G:G)</f>
        <v>59</v>
      </c>
      <c r="AE19" s="729">
        <v>10</v>
      </c>
      <c r="AF19" s="730">
        <f>SUMIF([3]其他综合扣款!B:B,C19,[3]其他综合扣款!H:H)</f>
        <v>0</v>
      </c>
      <c r="AG19" s="729">
        <f t="shared" si="3"/>
        <v>663.15</v>
      </c>
      <c r="AH19" s="731">
        <f t="shared" si="4"/>
        <v>1148.8499999999999</v>
      </c>
      <c r="AI19" s="754"/>
      <c r="AJ19" s="733"/>
      <c r="AK19" s="759"/>
      <c r="AL19" s="759"/>
      <c r="AM19" s="759"/>
      <c r="AN19" s="759"/>
      <c r="AO19" s="759"/>
      <c r="AP19" s="759"/>
      <c r="AQ19" s="759"/>
      <c r="AR19" s="759"/>
      <c r="AS19" s="759"/>
      <c r="AT19" s="759"/>
      <c r="AU19" s="759"/>
      <c r="AV19" s="759"/>
      <c r="AW19" s="759"/>
      <c r="AX19" s="759"/>
      <c r="AY19" s="759"/>
      <c r="AZ19" s="759"/>
      <c r="BA19" s="759"/>
    </row>
    <row r="20" spans="1:53" s="692" customFormat="1" ht="18.899999999999999" customHeight="1">
      <c r="A20" s="722">
        <v>14</v>
      </c>
      <c r="B20" s="760" t="s">
        <v>50</v>
      </c>
      <c r="C20" s="738" t="s">
        <v>52</v>
      </c>
      <c r="D20" s="756"/>
      <c r="E20" s="738" t="s">
        <v>572</v>
      </c>
      <c r="F20" s="738">
        <v>1200</v>
      </c>
      <c r="G20" s="738">
        <v>300</v>
      </c>
      <c r="H20" s="738"/>
      <c r="I20" s="726">
        <f>SUMIF([3]售后加班情况!C:C,'[3]工资表(超市）-武侯售后'!C20,[3]售后加班情况!G:G)</f>
        <v>0</v>
      </c>
      <c r="J20" s="713">
        <f>SUMIF('[3]8月高温补贴'!B:B,C20,'[3]8月高温补贴'!M:M)</f>
        <v>0</v>
      </c>
      <c r="K20" s="738">
        <f>24*13</f>
        <v>312</v>
      </c>
      <c r="L20" s="738"/>
      <c r="M20" s="724"/>
      <c r="N20" s="738"/>
      <c r="O20" s="738"/>
      <c r="P20" s="727">
        <f t="shared" si="0"/>
        <v>1812</v>
      </c>
      <c r="Q20" s="728">
        <f>SUMIF([3]预发!C:C,C20,[3]预发!D:D)</f>
        <v>0</v>
      </c>
      <c r="R20" s="741"/>
      <c r="S20" s="741">
        <f t="shared" si="1"/>
        <v>0</v>
      </c>
      <c r="T20" s="729">
        <f>SUMIF('[3]社保+公积金03'!C:C,C20,'[3]社保+公积金03'!E:E)</f>
        <v>734.08</v>
      </c>
      <c r="U20" s="729">
        <f>SUMIF('[3]社保+公积金03'!C:C,C20,'[3]社保+公积金03'!I:I)</f>
        <v>346.39</v>
      </c>
      <c r="V20" s="729">
        <f>SUMIF('[3]社保+公积金03'!C:C,C20,'[3]社保+公积金03'!G:G)</f>
        <v>27.53</v>
      </c>
      <c r="W20" s="729">
        <f>SUMIF('[3]社保+公积金03'!C:C,C20,'[3]社保+公积金03'!L:L)</f>
        <v>9.18</v>
      </c>
      <c r="X20" s="729">
        <f>SUMIF('[3]社保+公积金03'!C:C,C20,'[3]社保+公积金03'!K:K)</f>
        <v>34.409999999999997</v>
      </c>
      <c r="Y20" s="729">
        <f>SUMIF('[3]社保+公积金03'!C:C,C20,'[3]社保+公积金03'!N:N)</f>
        <v>0</v>
      </c>
      <c r="Z20" s="729">
        <f>SUMIF('[3]社保+公积金03'!C:C,C20,'[3]社保+公积金03'!P:P)</f>
        <v>117</v>
      </c>
      <c r="AA20" s="729">
        <f t="shared" si="2"/>
        <v>1268.5899999999999</v>
      </c>
      <c r="AB20" s="729">
        <f>SUMIF('[3]社保+公积金03'!C:C,C20,'[3]社保+公积金03'!S:S)</f>
        <v>477.15</v>
      </c>
      <c r="AC20" s="729">
        <f>SUMIF('[3]社保+公积金03'!C:C,C20,'[3]社保+公积金03'!Q:Q)</f>
        <v>117</v>
      </c>
      <c r="AD20" s="729">
        <f>SUMIF([3]服装!B:B,C20,[3]服装!G:G)</f>
        <v>59</v>
      </c>
      <c r="AE20" s="729">
        <v>10</v>
      </c>
      <c r="AF20" s="730">
        <f>SUMIF([3]其他综合扣款!B:B,C20,[3]其他综合扣款!H:H)</f>
        <v>0</v>
      </c>
      <c r="AG20" s="729">
        <f t="shared" si="3"/>
        <v>663.15</v>
      </c>
      <c r="AH20" s="731">
        <f t="shared" si="4"/>
        <v>1148.8499999999999</v>
      </c>
      <c r="AI20" s="742"/>
      <c r="AJ20" s="733"/>
      <c r="AK20" s="743"/>
      <c r="AL20" s="743"/>
      <c r="AM20" s="743"/>
      <c r="AN20" s="743"/>
      <c r="AO20" s="743"/>
      <c r="AP20" s="743"/>
      <c r="AQ20" s="743"/>
      <c r="AR20" s="743"/>
      <c r="AS20" s="743"/>
      <c r="AT20" s="743"/>
      <c r="AU20" s="743"/>
      <c r="AV20" s="743"/>
      <c r="AW20" s="743"/>
      <c r="AX20" s="743"/>
      <c r="AY20" s="743"/>
      <c r="AZ20" s="743"/>
      <c r="BA20" s="743"/>
    </row>
    <row r="21" spans="1:53" s="692" customFormat="1" ht="18.899999999999999" customHeight="1">
      <c r="A21" s="722">
        <v>15</v>
      </c>
      <c r="B21" s="760" t="s">
        <v>50</v>
      </c>
      <c r="C21" s="748" t="s">
        <v>49</v>
      </c>
      <c r="D21" s="756" t="s">
        <v>573</v>
      </c>
      <c r="E21" s="738" t="s">
        <v>572</v>
      </c>
      <c r="F21" s="738">
        <f>1500/30*10</f>
        <v>500</v>
      </c>
      <c r="G21" s="738"/>
      <c r="H21" s="738"/>
      <c r="I21" s="726">
        <f>SUMIF([3]售后加班情况!C:C,'[3]工资表(超市）-武侯售后'!C21,[3]售后加班情况!G:G)</f>
        <v>0</v>
      </c>
      <c r="J21" s="713">
        <f>SUMIF('[3]8月高温补贴'!B:B,C21,'[3]8月高温补贴'!M:M)</f>
        <v>0</v>
      </c>
      <c r="K21" s="738"/>
      <c r="L21" s="738"/>
      <c r="M21" s="724"/>
      <c r="N21" s="738"/>
      <c r="O21" s="738"/>
      <c r="P21" s="727">
        <f t="shared" si="0"/>
        <v>500</v>
      </c>
      <c r="Q21" s="728">
        <f>SUMIF([3]预发!C:C,C21,[3]预发!D:D)</f>
        <v>0</v>
      </c>
      <c r="R21" s="741"/>
      <c r="S21" s="741">
        <f t="shared" si="1"/>
        <v>0</v>
      </c>
      <c r="T21" s="729">
        <f>SUMIF('[3]社保+公积金03'!C:C,C21,'[3]社保+公积金03'!E:E)</f>
        <v>0</v>
      </c>
      <c r="U21" s="729">
        <f>SUMIF('[3]社保+公积金03'!C:C,C21,'[3]社保+公积金03'!I:I)</f>
        <v>0</v>
      </c>
      <c r="V21" s="729">
        <f>SUMIF('[3]社保+公积金03'!C:C,C21,'[3]社保+公积金03'!G:G)</f>
        <v>0</v>
      </c>
      <c r="W21" s="729">
        <f>SUMIF('[3]社保+公积金03'!C:C,C21,'[3]社保+公积金03'!L:L)</f>
        <v>0</v>
      </c>
      <c r="X21" s="729">
        <f>SUMIF('[3]社保+公积金03'!C:C,C21,'[3]社保+公积金03'!K:K)</f>
        <v>0</v>
      </c>
      <c r="Y21" s="729">
        <f>SUMIF('[3]社保+公积金03'!C:C,C21,'[3]社保+公积金03'!N:N)</f>
        <v>0</v>
      </c>
      <c r="Z21" s="729">
        <f>SUMIF('[3]社保+公积金03'!C:C,C21,'[3]社保+公积金03'!P:P)</f>
        <v>0</v>
      </c>
      <c r="AA21" s="729">
        <f t="shared" si="2"/>
        <v>0</v>
      </c>
      <c r="AB21" s="729">
        <f>SUMIF('[3]社保+公积金03'!C:C,C21,'[3]社保+公积金03'!S:S)</f>
        <v>0</v>
      </c>
      <c r="AC21" s="729">
        <f>SUMIF('[3]社保+公积金03'!C:C,C21,'[3]社保+公积金03'!Q:Q)</f>
        <v>0</v>
      </c>
      <c r="AD21" s="729">
        <f>SUMIF([3]服装!B:B,C21,[3]服装!G:G)</f>
        <v>0</v>
      </c>
      <c r="AE21" s="729"/>
      <c r="AF21" s="730">
        <f>SUMIF([3]其他综合扣款!B:B,C21,[3]其他综合扣款!H:H)</f>
        <v>0</v>
      </c>
      <c r="AG21" s="729">
        <f t="shared" si="3"/>
        <v>0</v>
      </c>
      <c r="AH21" s="731">
        <f t="shared" si="4"/>
        <v>500</v>
      </c>
      <c r="AI21" s="742"/>
      <c r="AJ21" s="733"/>
      <c r="AK21" s="743"/>
      <c r="AL21" s="743"/>
      <c r="AM21" s="743"/>
      <c r="AN21" s="743"/>
      <c r="AO21" s="743"/>
      <c r="AP21" s="743"/>
      <c r="AQ21" s="743"/>
      <c r="AR21" s="743"/>
      <c r="AS21" s="743"/>
      <c r="AT21" s="743"/>
      <c r="AU21" s="743"/>
      <c r="AV21" s="743"/>
      <c r="AW21" s="743"/>
      <c r="AX21" s="743"/>
      <c r="AY21" s="743"/>
      <c r="AZ21" s="743"/>
      <c r="BA21" s="743"/>
    </row>
    <row r="22" spans="1:53" s="692" customFormat="1" ht="18.899999999999999" customHeight="1">
      <c r="A22" s="722">
        <v>16</v>
      </c>
      <c r="B22" s="760" t="s">
        <v>50</v>
      </c>
      <c r="C22" s="748" t="s">
        <v>51</v>
      </c>
      <c r="D22" s="756"/>
      <c r="E22" s="738" t="s">
        <v>572</v>
      </c>
      <c r="F22" s="738">
        <v>1200</v>
      </c>
      <c r="G22" s="738">
        <v>300</v>
      </c>
      <c r="H22" s="738"/>
      <c r="I22" s="726">
        <f>SUMIF([3]售后加班情况!C:C,'[3]工资表(超市）-武侯售后'!C22,[3]售后加班情况!G:G)</f>
        <v>0</v>
      </c>
      <c r="J22" s="713">
        <f>SUMIF('[3]8月高温补贴'!B:B,C22,'[3]8月高温补贴'!M:M)</f>
        <v>0</v>
      </c>
      <c r="K22" s="738"/>
      <c r="L22" s="738"/>
      <c r="M22" s="724"/>
      <c r="N22" s="738"/>
      <c r="O22" s="738"/>
      <c r="P22" s="727">
        <f t="shared" si="0"/>
        <v>1500</v>
      </c>
      <c r="Q22" s="728">
        <f>SUMIF([3]预发!C:C,C22,[3]预发!D:D)</f>
        <v>0</v>
      </c>
      <c r="R22" s="741"/>
      <c r="S22" s="741">
        <f t="shared" si="1"/>
        <v>0</v>
      </c>
      <c r="T22" s="729">
        <f>SUMIF('[3]社保+公积金03'!C:C,C22,'[3]社保+公积金03'!E:E)</f>
        <v>734.08</v>
      </c>
      <c r="U22" s="729">
        <f>SUMIF('[3]社保+公积金03'!C:C,C22,'[3]社保+公积金03'!I:I)</f>
        <v>346.39</v>
      </c>
      <c r="V22" s="729">
        <f>SUMIF('[3]社保+公积金03'!C:C,C22,'[3]社保+公积金03'!G:G)</f>
        <v>27.53</v>
      </c>
      <c r="W22" s="729">
        <f>SUMIF('[3]社保+公积金03'!C:C,C22,'[3]社保+公积金03'!L:L)</f>
        <v>9.18</v>
      </c>
      <c r="X22" s="729">
        <f>SUMIF('[3]社保+公积金03'!C:C,C22,'[3]社保+公积金03'!K:K)</f>
        <v>34.409999999999997</v>
      </c>
      <c r="Y22" s="729">
        <f>SUMIF('[3]社保+公积金03'!C:C,C22,'[3]社保+公积金03'!N:N)</f>
        <v>0</v>
      </c>
      <c r="Z22" s="729">
        <f>SUMIF('[3]社保+公积金03'!C:C,C22,'[3]社保+公积金03'!P:P)</f>
        <v>117</v>
      </c>
      <c r="AA22" s="729">
        <f t="shared" si="2"/>
        <v>1268.5899999999999</v>
      </c>
      <c r="AB22" s="729">
        <f>SUMIF('[3]社保+公积金03'!C:C,C22,'[3]社保+公积金03'!S:S)</f>
        <v>477.15</v>
      </c>
      <c r="AC22" s="729">
        <f>SUMIF('[3]社保+公积金03'!C:C,C22,'[3]社保+公积金03'!Q:Q)</f>
        <v>117</v>
      </c>
      <c r="AD22" s="729">
        <f>SUMIF([3]服装!B:B,C22,[3]服装!G:G)</f>
        <v>59</v>
      </c>
      <c r="AE22" s="729">
        <v>10</v>
      </c>
      <c r="AF22" s="730">
        <f>SUMIF([3]其他综合扣款!B:B,C22,[3]其他综合扣款!H:H)</f>
        <v>0</v>
      </c>
      <c r="AG22" s="729">
        <f t="shared" si="3"/>
        <v>663.15</v>
      </c>
      <c r="AH22" s="731">
        <f t="shared" si="4"/>
        <v>836.85</v>
      </c>
      <c r="AI22" s="742"/>
      <c r="AJ22" s="733"/>
      <c r="AK22" s="743"/>
      <c r="AL22" s="743"/>
      <c r="AM22" s="743"/>
      <c r="AN22" s="743"/>
      <c r="AO22" s="743"/>
      <c r="AP22" s="743"/>
      <c r="AQ22" s="743"/>
      <c r="AR22" s="743"/>
      <c r="AS22" s="743"/>
      <c r="AT22" s="743"/>
      <c r="AU22" s="743"/>
      <c r="AV22" s="743"/>
      <c r="AW22" s="743"/>
      <c r="AX22" s="743"/>
      <c r="AY22" s="743"/>
      <c r="AZ22" s="743"/>
      <c r="BA22" s="743"/>
    </row>
    <row r="23" spans="1:53" s="692" customFormat="1" ht="20.100000000000001" customHeight="1">
      <c r="A23" s="722">
        <v>17</v>
      </c>
      <c r="B23" s="737" t="s">
        <v>46</v>
      </c>
      <c r="C23" s="748" t="s">
        <v>47</v>
      </c>
      <c r="D23" s="739"/>
      <c r="E23" s="748" t="s">
        <v>574</v>
      </c>
      <c r="F23" s="738">
        <v>1000</v>
      </c>
      <c r="G23" s="738">
        <v>200</v>
      </c>
      <c r="H23" s="738"/>
      <c r="I23" s="726">
        <f>SUMIF([3]售后加班情况!C:C,'[3]工资表(超市）-武侯售后'!C23,[3]售后加班情况!G:G)</f>
        <v>0</v>
      </c>
      <c r="J23" s="713">
        <f>SUMIF('[3]8月高温补贴'!B:B,C23,'[3]8月高温补贴'!M:M)</f>
        <v>0</v>
      </c>
      <c r="K23" s="738"/>
      <c r="L23" s="738"/>
      <c r="M23" s="724"/>
      <c r="N23" s="738"/>
      <c r="O23" s="738"/>
      <c r="P23" s="727">
        <f t="shared" si="0"/>
        <v>1200</v>
      </c>
      <c r="Q23" s="728">
        <f>SUMIF([3]预发!C:C,C23,[3]预发!D:D)</f>
        <v>0</v>
      </c>
      <c r="R23" s="741"/>
      <c r="S23" s="741">
        <f t="shared" si="1"/>
        <v>0</v>
      </c>
      <c r="T23" s="729">
        <f>SUMIF('[3]社保+公积金03'!C:C,C23,'[3]社保+公积金03'!E:E)</f>
        <v>734.08</v>
      </c>
      <c r="U23" s="729">
        <f>SUMIF('[3]社保+公积金03'!C:C,C23,'[3]社保+公积金03'!I:I)</f>
        <v>346.39</v>
      </c>
      <c r="V23" s="729">
        <f>SUMIF('[3]社保+公积金03'!C:C,C23,'[3]社保+公积金03'!G:G)</f>
        <v>27.53</v>
      </c>
      <c r="W23" s="729">
        <f>SUMIF('[3]社保+公积金03'!C:C,C23,'[3]社保+公积金03'!L:L)</f>
        <v>9.18</v>
      </c>
      <c r="X23" s="729">
        <f>SUMIF('[3]社保+公积金03'!C:C,C23,'[3]社保+公积金03'!K:K)</f>
        <v>34.409999999999997</v>
      </c>
      <c r="Y23" s="729">
        <f>SUMIF('[3]社保+公积金03'!C:C,C23,'[3]社保+公积金03'!N:N)</f>
        <v>0</v>
      </c>
      <c r="Z23" s="729">
        <f>SUMIF('[3]社保+公积金03'!C:C,C23,'[3]社保+公积金03'!P:P)</f>
        <v>117</v>
      </c>
      <c r="AA23" s="729">
        <f t="shared" si="2"/>
        <v>1268.5899999999999</v>
      </c>
      <c r="AB23" s="729">
        <f>SUMIF('[3]社保+公积金03'!C:C,C23,'[3]社保+公积金03'!S:S)</f>
        <v>477.15</v>
      </c>
      <c r="AC23" s="729">
        <f>SUMIF('[3]社保+公积金03'!C:C,C23,'[3]社保+公积金03'!Q:Q)</f>
        <v>117</v>
      </c>
      <c r="AD23" s="729">
        <f>SUMIF([3]服装!B:B,C23,[3]服装!G:G)</f>
        <v>59</v>
      </c>
      <c r="AE23" s="729">
        <v>10</v>
      </c>
      <c r="AF23" s="730">
        <f>SUMIF([3]其他综合扣款!B:B,C23,[3]其他综合扣款!H:H)</f>
        <v>0</v>
      </c>
      <c r="AG23" s="729">
        <f t="shared" si="3"/>
        <v>663.15</v>
      </c>
      <c r="AH23" s="731">
        <f t="shared" si="4"/>
        <v>536.85</v>
      </c>
      <c r="AI23" s="742"/>
      <c r="AJ23" s="733"/>
      <c r="AK23" s="743"/>
      <c r="AL23" s="743"/>
      <c r="AM23" s="743"/>
      <c r="AN23" s="743"/>
      <c r="AO23" s="743"/>
      <c r="AP23" s="743"/>
      <c r="AQ23" s="743"/>
      <c r="AR23" s="743"/>
      <c r="AS23" s="743"/>
      <c r="AT23" s="743"/>
      <c r="AU23" s="743"/>
      <c r="AV23" s="743"/>
      <c r="AW23" s="743"/>
      <c r="AX23" s="743"/>
      <c r="AY23" s="743"/>
      <c r="AZ23" s="743"/>
      <c r="BA23" s="743"/>
    </row>
    <row r="24" spans="1:53" s="692" customFormat="1" ht="18" customHeight="1">
      <c r="A24" s="722">
        <v>18</v>
      </c>
      <c r="B24" s="753" t="s">
        <v>567</v>
      </c>
      <c r="C24" s="751" t="s">
        <v>61</v>
      </c>
      <c r="D24" s="756"/>
      <c r="E24" s="753" t="s">
        <v>575</v>
      </c>
      <c r="F24" s="738">
        <v>700</v>
      </c>
      <c r="G24" s="738">
        <v>200</v>
      </c>
      <c r="H24" s="750"/>
      <c r="I24" s="726">
        <f>SUMIF([3]售后加班情况!C:C,'[3]工资表(超市）-武侯售后'!C24,[3]售后加班情况!G:G)</f>
        <v>32</v>
      </c>
      <c r="J24" s="713">
        <f>SUMIF('[3]8月高温补贴'!B:B,C24,'[3]8月高温补贴'!M:M)</f>
        <v>0</v>
      </c>
      <c r="K24" s="750"/>
      <c r="L24" s="750"/>
      <c r="M24" s="724"/>
      <c r="N24" s="750"/>
      <c r="O24" s="750"/>
      <c r="P24" s="727">
        <f t="shared" si="0"/>
        <v>932</v>
      </c>
      <c r="Q24" s="728">
        <f>SUMIF([3]预发!C:C,C24,[3]预发!D:D)</f>
        <v>0</v>
      </c>
      <c r="R24" s="750"/>
      <c r="S24" s="750">
        <f t="shared" si="1"/>
        <v>0</v>
      </c>
      <c r="T24" s="729">
        <f>SUMIF('[3]社保+公积金03'!C:C,C24,'[3]社保+公积金03'!E:E)</f>
        <v>734.08</v>
      </c>
      <c r="U24" s="729">
        <f>SUMIF('[3]社保+公积金03'!C:C,C24,'[3]社保+公积金03'!I:I)</f>
        <v>346.39</v>
      </c>
      <c r="V24" s="729">
        <f>SUMIF('[3]社保+公积金03'!C:C,C24,'[3]社保+公积金03'!G:G)</f>
        <v>27.53</v>
      </c>
      <c r="W24" s="729">
        <f>SUMIF('[3]社保+公积金03'!C:C,C24,'[3]社保+公积金03'!L:L)</f>
        <v>9.18</v>
      </c>
      <c r="X24" s="729">
        <f>SUMIF('[3]社保+公积金03'!C:C,C24,'[3]社保+公积金03'!K:K)</f>
        <v>34.409999999999997</v>
      </c>
      <c r="Y24" s="729">
        <f>SUMIF('[3]社保+公积金03'!C:C,C24,'[3]社保+公积金03'!N:N)</f>
        <v>0</v>
      </c>
      <c r="Z24" s="729">
        <f>SUMIF('[3]社保+公积金03'!C:C,C24,'[3]社保+公积金03'!P:P)</f>
        <v>117</v>
      </c>
      <c r="AA24" s="729">
        <f t="shared" si="2"/>
        <v>1268.5899999999999</v>
      </c>
      <c r="AB24" s="729">
        <f>SUMIF('[3]社保+公积金03'!C:C,C24,'[3]社保+公积金03'!S:S)</f>
        <v>477.15</v>
      </c>
      <c r="AC24" s="729">
        <f>SUMIF('[3]社保+公积金03'!C:C,C24,'[3]社保+公积金03'!Q:Q)</f>
        <v>117</v>
      </c>
      <c r="AD24" s="729">
        <f>SUMIF([3]服装!B:B,C24,[3]服装!G:G)</f>
        <v>59</v>
      </c>
      <c r="AE24" s="729">
        <v>10</v>
      </c>
      <c r="AF24" s="730">
        <f>SUMIF([3]其他综合扣款!B:B,C24,[3]其他综合扣款!H:H)</f>
        <v>0</v>
      </c>
      <c r="AG24" s="729">
        <f t="shared" si="3"/>
        <v>663.15</v>
      </c>
      <c r="AH24" s="731">
        <f t="shared" si="4"/>
        <v>268.85000000000002</v>
      </c>
      <c r="AI24" s="754"/>
      <c r="AJ24" s="733"/>
      <c r="AK24" s="759"/>
      <c r="AL24" s="759"/>
      <c r="AM24" s="759"/>
      <c r="AN24" s="759"/>
      <c r="AO24" s="759"/>
      <c r="AP24" s="759"/>
      <c r="AQ24" s="759"/>
      <c r="AR24" s="759"/>
      <c r="AS24" s="759"/>
      <c r="AT24" s="759"/>
      <c r="AU24" s="759"/>
      <c r="AV24" s="759"/>
      <c r="AW24" s="759"/>
      <c r="AX24" s="759"/>
      <c r="AY24" s="759"/>
      <c r="AZ24" s="759"/>
      <c r="BA24" s="759"/>
    </row>
    <row r="25" spans="1:53" s="692" customFormat="1" ht="18" customHeight="1">
      <c r="A25" s="722">
        <v>19</v>
      </c>
      <c r="B25" s="753" t="s">
        <v>567</v>
      </c>
      <c r="C25" s="751" t="s">
        <v>62</v>
      </c>
      <c r="D25" s="756"/>
      <c r="E25" s="753" t="s">
        <v>575</v>
      </c>
      <c r="F25" s="738">
        <v>700</v>
      </c>
      <c r="G25" s="738">
        <v>200</v>
      </c>
      <c r="H25" s="750"/>
      <c r="I25" s="726">
        <f>SUMIF([3]售后加班情况!C:C,'[3]工资表(超市）-武侯售后'!C25,[3]售后加班情况!G:G)</f>
        <v>32</v>
      </c>
      <c r="J25" s="713">
        <f>SUMIF('[3]8月高温补贴'!B:B,C25,'[3]8月高温补贴'!M:M)</f>
        <v>0</v>
      </c>
      <c r="K25" s="750"/>
      <c r="L25" s="750"/>
      <c r="M25" s="724"/>
      <c r="N25" s="750"/>
      <c r="O25" s="750"/>
      <c r="P25" s="727">
        <f t="shared" si="0"/>
        <v>932</v>
      </c>
      <c r="Q25" s="728">
        <f>SUMIF([3]预发!C:C,C25,[3]预发!D:D)</f>
        <v>0</v>
      </c>
      <c r="R25" s="750"/>
      <c r="S25" s="750">
        <f t="shared" si="1"/>
        <v>0</v>
      </c>
      <c r="T25" s="729">
        <f>SUMIF('[3]社保+公积金03'!C:C,C25,'[3]社保+公积金03'!E:E)</f>
        <v>734.08</v>
      </c>
      <c r="U25" s="729">
        <f>SUMIF('[3]社保+公积金03'!C:C,C25,'[3]社保+公积金03'!I:I)</f>
        <v>346.39</v>
      </c>
      <c r="V25" s="729">
        <f>SUMIF('[3]社保+公积金03'!C:C,C25,'[3]社保+公积金03'!G:G)</f>
        <v>27.53</v>
      </c>
      <c r="W25" s="729">
        <f>SUMIF('[3]社保+公积金03'!C:C,C25,'[3]社保+公积金03'!L:L)</f>
        <v>9.18</v>
      </c>
      <c r="X25" s="729">
        <f>SUMIF('[3]社保+公积金03'!C:C,C25,'[3]社保+公积金03'!K:K)</f>
        <v>34.409999999999997</v>
      </c>
      <c r="Y25" s="729">
        <f>SUMIF('[3]社保+公积金03'!C:C,C25,'[3]社保+公积金03'!N:N)</f>
        <v>0</v>
      </c>
      <c r="Z25" s="729">
        <f>SUMIF('[3]社保+公积金03'!C:C,C25,'[3]社保+公积金03'!P:P)</f>
        <v>117</v>
      </c>
      <c r="AA25" s="729">
        <f t="shared" si="2"/>
        <v>1268.5899999999999</v>
      </c>
      <c r="AB25" s="729">
        <f>SUMIF('[3]社保+公积金03'!C:C,C25,'[3]社保+公积金03'!S:S)</f>
        <v>477.15</v>
      </c>
      <c r="AC25" s="729">
        <f>SUMIF('[3]社保+公积金03'!C:C,C25,'[3]社保+公积金03'!Q:Q)</f>
        <v>117</v>
      </c>
      <c r="AD25" s="729">
        <f>SUMIF([3]服装!B:B,C25,[3]服装!G:G)</f>
        <v>59</v>
      </c>
      <c r="AE25" s="729">
        <v>10</v>
      </c>
      <c r="AF25" s="730">
        <f>SUMIF([3]其他综合扣款!B:B,C25,[3]其他综合扣款!H:H)</f>
        <v>0</v>
      </c>
      <c r="AG25" s="729">
        <f t="shared" si="3"/>
        <v>663.15</v>
      </c>
      <c r="AH25" s="731">
        <f t="shared" si="4"/>
        <v>268.85000000000002</v>
      </c>
      <c r="AI25" s="754"/>
      <c r="AJ25" s="733"/>
      <c r="AK25" s="759"/>
      <c r="AL25" s="759"/>
      <c r="AM25" s="759"/>
      <c r="AN25" s="759"/>
      <c r="AO25" s="759"/>
      <c r="AP25" s="759"/>
      <c r="AQ25" s="759"/>
      <c r="AR25" s="759"/>
      <c r="AS25" s="759"/>
      <c r="AT25" s="759"/>
      <c r="AU25" s="759"/>
      <c r="AV25" s="759"/>
      <c r="AW25" s="759"/>
      <c r="AX25" s="759"/>
      <c r="AY25" s="759"/>
      <c r="AZ25" s="759"/>
      <c r="BA25" s="759"/>
    </row>
    <row r="26" spans="1:53" s="692" customFormat="1" ht="18" customHeight="1">
      <c r="A26" s="722">
        <v>20</v>
      </c>
      <c r="B26" s="753" t="s">
        <v>567</v>
      </c>
      <c r="C26" s="751" t="s">
        <v>74</v>
      </c>
      <c r="D26" s="756"/>
      <c r="E26" s="753" t="s">
        <v>575</v>
      </c>
      <c r="F26" s="738">
        <v>700</v>
      </c>
      <c r="G26" s="738">
        <v>200</v>
      </c>
      <c r="H26" s="750"/>
      <c r="I26" s="726">
        <f>SUMIF([3]售后加班情况!C:C,'[3]工资表(超市）-武侯售后'!C26,[3]售后加班情况!G:G)</f>
        <v>32</v>
      </c>
      <c r="J26" s="713">
        <f>SUMIF('[3]8月高温补贴'!B:B,C26,'[3]8月高温补贴'!M:M)</f>
        <v>0</v>
      </c>
      <c r="K26" s="750"/>
      <c r="L26" s="750"/>
      <c r="M26" s="724"/>
      <c r="N26" s="750"/>
      <c r="O26" s="750"/>
      <c r="P26" s="727">
        <f t="shared" si="0"/>
        <v>932</v>
      </c>
      <c r="Q26" s="728">
        <f>SUMIF([3]预发!C:C,C26,[3]预发!D:D)</f>
        <v>0</v>
      </c>
      <c r="R26" s="750"/>
      <c r="S26" s="750">
        <f t="shared" si="1"/>
        <v>0</v>
      </c>
      <c r="T26" s="729">
        <f>SUMIF('[3]社保+公积金03'!C:C,C26,'[3]社保+公积金03'!E:E)</f>
        <v>734.08</v>
      </c>
      <c r="U26" s="729">
        <f>SUMIF('[3]社保+公积金03'!C:C,C26,'[3]社保+公积金03'!I:I)</f>
        <v>346.39</v>
      </c>
      <c r="V26" s="729">
        <f>SUMIF('[3]社保+公积金03'!C:C,C26,'[3]社保+公积金03'!G:G)</f>
        <v>27.53</v>
      </c>
      <c r="W26" s="729">
        <f>SUMIF('[3]社保+公积金03'!C:C,C26,'[3]社保+公积金03'!L:L)</f>
        <v>9.18</v>
      </c>
      <c r="X26" s="729">
        <f>SUMIF('[3]社保+公积金03'!C:C,C26,'[3]社保+公积金03'!K:K)</f>
        <v>34.409999999999997</v>
      </c>
      <c r="Y26" s="729">
        <f>SUMIF('[3]社保+公积金03'!C:C,C26,'[3]社保+公积金03'!N:N)</f>
        <v>0</v>
      </c>
      <c r="Z26" s="729">
        <f>SUMIF('[3]社保+公积金03'!C:C,C26,'[3]社保+公积金03'!P:P)</f>
        <v>117</v>
      </c>
      <c r="AA26" s="729">
        <f t="shared" si="2"/>
        <v>1268.5899999999999</v>
      </c>
      <c r="AB26" s="729">
        <f>SUMIF('[3]社保+公积金03'!C:C,C26,'[3]社保+公积金03'!S:S)</f>
        <v>477.15</v>
      </c>
      <c r="AC26" s="729">
        <f>SUMIF('[3]社保+公积金03'!C:C,C26,'[3]社保+公积金03'!Q:Q)</f>
        <v>117</v>
      </c>
      <c r="AD26" s="729">
        <f>SUMIF([3]服装!B:B,C26,[3]服装!G:G)</f>
        <v>59</v>
      </c>
      <c r="AE26" s="729">
        <v>10</v>
      </c>
      <c r="AF26" s="730">
        <f>SUMIF([3]其他综合扣款!B:B,C26,[3]其他综合扣款!H:H)</f>
        <v>0</v>
      </c>
      <c r="AG26" s="729">
        <f t="shared" si="3"/>
        <v>663.15</v>
      </c>
      <c r="AH26" s="731">
        <f t="shared" si="4"/>
        <v>268.85000000000002</v>
      </c>
      <c r="AI26" s="754"/>
      <c r="AJ26" s="733"/>
      <c r="AK26" s="759"/>
      <c r="AL26" s="759"/>
      <c r="AM26" s="759"/>
      <c r="AN26" s="759"/>
      <c r="AO26" s="759"/>
      <c r="AP26" s="759"/>
      <c r="AQ26" s="759"/>
      <c r="AR26" s="759"/>
      <c r="AS26" s="759"/>
      <c r="AT26" s="759"/>
      <c r="AU26" s="759"/>
      <c r="AV26" s="759"/>
      <c r="AW26" s="759"/>
      <c r="AX26" s="759"/>
      <c r="AY26" s="759"/>
      <c r="AZ26" s="759"/>
      <c r="BA26" s="759"/>
    </row>
    <row r="27" spans="1:53" s="692" customFormat="1" ht="18" customHeight="1">
      <c r="A27" s="722">
        <v>21</v>
      </c>
      <c r="B27" s="753" t="s">
        <v>567</v>
      </c>
      <c r="C27" s="751" t="s">
        <v>69</v>
      </c>
      <c r="D27" s="756"/>
      <c r="E27" s="753" t="s">
        <v>575</v>
      </c>
      <c r="F27" s="738">
        <v>700</v>
      </c>
      <c r="G27" s="738">
        <v>200</v>
      </c>
      <c r="H27" s="750"/>
      <c r="I27" s="726">
        <f>SUMIF([3]售后加班情况!C:C,'[3]工资表(超市）-武侯售后'!C27,[3]售后加班情况!G:G)</f>
        <v>24</v>
      </c>
      <c r="J27" s="713">
        <f>SUMIF('[3]8月高温补贴'!B:B,C27,'[3]8月高温补贴'!M:M)</f>
        <v>0</v>
      </c>
      <c r="K27" s="750"/>
      <c r="L27" s="750"/>
      <c r="M27" s="724"/>
      <c r="N27" s="750"/>
      <c r="O27" s="750"/>
      <c r="P27" s="727">
        <f t="shared" si="0"/>
        <v>924</v>
      </c>
      <c r="Q27" s="728">
        <f>SUMIF([3]预发!C:C,C27,[3]预发!D:D)</f>
        <v>0</v>
      </c>
      <c r="R27" s="750"/>
      <c r="S27" s="750">
        <f t="shared" si="1"/>
        <v>0</v>
      </c>
      <c r="T27" s="729">
        <f>SUMIF('[3]社保+公积金03'!C:C,C27,'[3]社保+公积金03'!E:E)</f>
        <v>734.08</v>
      </c>
      <c r="U27" s="729">
        <f>SUMIF('[3]社保+公积金03'!C:C,C27,'[3]社保+公积金03'!I:I)</f>
        <v>346.39</v>
      </c>
      <c r="V27" s="729">
        <f>SUMIF('[3]社保+公积金03'!C:C,C27,'[3]社保+公积金03'!G:G)</f>
        <v>27.53</v>
      </c>
      <c r="W27" s="729">
        <f>SUMIF('[3]社保+公积金03'!C:C,C27,'[3]社保+公积金03'!L:L)</f>
        <v>9.18</v>
      </c>
      <c r="X27" s="729">
        <f>SUMIF('[3]社保+公积金03'!C:C,C27,'[3]社保+公积金03'!K:K)</f>
        <v>34.409999999999997</v>
      </c>
      <c r="Y27" s="729">
        <f>SUMIF('[3]社保+公积金03'!C:C,C27,'[3]社保+公积金03'!N:N)</f>
        <v>0</v>
      </c>
      <c r="Z27" s="729">
        <f>SUMIF('[3]社保+公积金03'!C:C,C27,'[3]社保+公积金03'!P:P)</f>
        <v>117</v>
      </c>
      <c r="AA27" s="729">
        <f t="shared" si="2"/>
        <v>1268.5899999999999</v>
      </c>
      <c r="AB27" s="729">
        <f>SUMIF('[3]社保+公积金03'!C:C,C27,'[3]社保+公积金03'!S:S)</f>
        <v>477.15</v>
      </c>
      <c r="AC27" s="729">
        <f>SUMIF('[3]社保+公积金03'!C:C,C27,'[3]社保+公积金03'!Q:Q)</f>
        <v>117</v>
      </c>
      <c r="AD27" s="729">
        <f>SUMIF([3]服装!B:B,C27,[3]服装!G:G)</f>
        <v>59</v>
      </c>
      <c r="AE27" s="729">
        <v>10</v>
      </c>
      <c r="AF27" s="730">
        <f>SUMIF([3]其他综合扣款!B:B,C27,[3]其他综合扣款!H:H)</f>
        <v>0</v>
      </c>
      <c r="AG27" s="729">
        <f t="shared" si="3"/>
        <v>663.15</v>
      </c>
      <c r="AH27" s="731">
        <f t="shared" si="4"/>
        <v>260.85000000000002</v>
      </c>
      <c r="AI27" s="754"/>
      <c r="AJ27" s="733"/>
      <c r="AK27" s="759"/>
      <c r="AL27" s="759"/>
      <c r="AM27" s="759"/>
      <c r="AN27" s="759"/>
      <c r="AO27" s="759"/>
      <c r="AP27" s="759"/>
      <c r="AQ27" s="759"/>
      <c r="AR27" s="759"/>
      <c r="AS27" s="759"/>
      <c r="AT27" s="759"/>
      <c r="AU27" s="759"/>
      <c r="AV27" s="759"/>
      <c r="AW27" s="759"/>
      <c r="AX27" s="759"/>
      <c r="AY27" s="759"/>
      <c r="AZ27" s="759"/>
      <c r="BA27" s="759"/>
    </row>
    <row r="28" spans="1:53" s="692" customFormat="1" ht="18" customHeight="1">
      <c r="A28" s="722">
        <v>22</v>
      </c>
      <c r="B28" s="753" t="s">
        <v>567</v>
      </c>
      <c r="C28" s="761" t="s">
        <v>64</v>
      </c>
      <c r="D28" s="739"/>
      <c r="E28" s="753" t="s">
        <v>575</v>
      </c>
      <c r="F28" s="738">
        <v>700</v>
      </c>
      <c r="G28" s="738">
        <v>200</v>
      </c>
      <c r="H28" s="750"/>
      <c r="I28" s="726">
        <f>SUMIF([3]售后加班情况!C:C,'[3]工资表(超市）-武侯售后'!C28,[3]售后加班情况!G:G)</f>
        <v>32</v>
      </c>
      <c r="J28" s="713">
        <f>SUMIF('[3]8月高温补贴'!B:B,C28,'[3]8月高温补贴'!M:M)</f>
        <v>0</v>
      </c>
      <c r="K28" s="750"/>
      <c r="L28" s="750"/>
      <c r="M28" s="724"/>
      <c r="N28" s="750"/>
      <c r="O28" s="750"/>
      <c r="P28" s="727">
        <f t="shared" si="0"/>
        <v>932</v>
      </c>
      <c r="Q28" s="728">
        <f>SUMIF([3]预发!C:C,C28,[3]预发!D:D)</f>
        <v>0</v>
      </c>
      <c r="R28" s="750"/>
      <c r="S28" s="750">
        <f t="shared" si="1"/>
        <v>0</v>
      </c>
      <c r="T28" s="729">
        <f>SUMIF('[3]社保+公积金03'!C:C,C28,'[3]社保+公积金03'!E:E)</f>
        <v>734.08</v>
      </c>
      <c r="U28" s="729">
        <f>SUMIF('[3]社保+公积金03'!C:C,C28,'[3]社保+公积金03'!I:I)</f>
        <v>346.39</v>
      </c>
      <c r="V28" s="729">
        <f>SUMIF('[3]社保+公积金03'!C:C,C28,'[3]社保+公积金03'!G:G)</f>
        <v>27.53</v>
      </c>
      <c r="W28" s="729">
        <f>SUMIF('[3]社保+公积金03'!C:C,C28,'[3]社保+公积金03'!L:L)</f>
        <v>9.18</v>
      </c>
      <c r="X28" s="729">
        <f>SUMIF('[3]社保+公积金03'!C:C,C28,'[3]社保+公积金03'!K:K)</f>
        <v>34.409999999999997</v>
      </c>
      <c r="Y28" s="729">
        <f>SUMIF('[3]社保+公积金03'!C:C,C28,'[3]社保+公积金03'!N:N)</f>
        <v>0</v>
      </c>
      <c r="Z28" s="729">
        <f>SUMIF('[3]社保+公积金03'!C:C,C28,'[3]社保+公积金03'!P:P)</f>
        <v>117</v>
      </c>
      <c r="AA28" s="729">
        <f t="shared" si="2"/>
        <v>1268.5899999999999</v>
      </c>
      <c r="AB28" s="729">
        <f>SUMIF('[3]社保+公积金03'!C:C,C28,'[3]社保+公积金03'!S:S)</f>
        <v>477.15</v>
      </c>
      <c r="AC28" s="729">
        <f>SUMIF('[3]社保+公积金03'!C:C,C28,'[3]社保+公积金03'!Q:Q)</f>
        <v>117</v>
      </c>
      <c r="AD28" s="729">
        <f>SUMIF([3]服装!B:B,C28,[3]服装!G:G)</f>
        <v>59</v>
      </c>
      <c r="AE28" s="729">
        <v>10</v>
      </c>
      <c r="AF28" s="730">
        <f>SUMIF([3]其他综合扣款!B:B,C28,[3]其他综合扣款!H:H)</f>
        <v>0</v>
      </c>
      <c r="AG28" s="729">
        <f t="shared" si="3"/>
        <v>663.15</v>
      </c>
      <c r="AH28" s="731">
        <f t="shared" si="4"/>
        <v>268.85000000000002</v>
      </c>
      <c r="AI28" s="754"/>
      <c r="AJ28" s="733"/>
      <c r="AK28" s="759"/>
      <c r="AL28" s="759"/>
      <c r="AM28" s="759"/>
      <c r="AN28" s="759"/>
      <c r="AO28" s="759"/>
      <c r="AP28" s="759"/>
      <c r="AQ28" s="759"/>
      <c r="AR28" s="759"/>
      <c r="AS28" s="759"/>
      <c r="AT28" s="759"/>
      <c r="AU28" s="759"/>
      <c r="AV28" s="759"/>
      <c r="AW28" s="759"/>
      <c r="AX28" s="759"/>
      <c r="AY28" s="759"/>
      <c r="AZ28" s="759"/>
      <c r="BA28" s="759"/>
    </row>
    <row r="29" spans="1:53" s="692" customFormat="1" ht="18" customHeight="1">
      <c r="A29" s="722">
        <v>23</v>
      </c>
      <c r="B29" s="753" t="s">
        <v>567</v>
      </c>
      <c r="C29" s="761" t="s">
        <v>65</v>
      </c>
      <c r="D29" s="739"/>
      <c r="E29" s="753" t="s">
        <v>575</v>
      </c>
      <c r="F29" s="738">
        <v>700</v>
      </c>
      <c r="G29" s="738">
        <v>200</v>
      </c>
      <c r="H29" s="750"/>
      <c r="I29" s="726">
        <f>SUMIF([3]售后加班情况!C:C,'[3]工资表(超市）-武侯售后'!C29,[3]售后加班情况!G:G)</f>
        <v>32</v>
      </c>
      <c r="J29" s="713">
        <f>SUMIF('[3]8月高温补贴'!B:B,C29,'[3]8月高温补贴'!M:M)</f>
        <v>0</v>
      </c>
      <c r="K29" s="750"/>
      <c r="L29" s="750"/>
      <c r="M29" s="724"/>
      <c r="N29" s="750"/>
      <c r="O29" s="750"/>
      <c r="P29" s="727">
        <f t="shared" si="0"/>
        <v>932</v>
      </c>
      <c r="Q29" s="728">
        <f>SUMIF([3]预发!C:C,C29,[3]预发!D:D)</f>
        <v>0</v>
      </c>
      <c r="R29" s="750"/>
      <c r="S29" s="750">
        <f t="shared" si="1"/>
        <v>0</v>
      </c>
      <c r="T29" s="729">
        <f>SUMIF('[3]社保+公积金03'!C:C,C29,'[3]社保+公积金03'!E:E)</f>
        <v>734.08</v>
      </c>
      <c r="U29" s="729">
        <f>SUMIF('[3]社保+公积金03'!C:C,C29,'[3]社保+公积金03'!I:I)</f>
        <v>346.39</v>
      </c>
      <c r="V29" s="729">
        <f>SUMIF('[3]社保+公积金03'!C:C,C29,'[3]社保+公积金03'!G:G)</f>
        <v>27.53</v>
      </c>
      <c r="W29" s="729">
        <f>SUMIF('[3]社保+公积金03'!C:C,C29,'[3]社保+公积金03'!L:L)</f>
        <v>9.18</v>
      </c>
      <c r="X29" s="729">
        <f>SUMIF('[3]社保+公积金03'!C:C,C29,'[3]社保+公积金03'!K:K)</f>
        <v>34.409999999999997</v>
      </c>
      <c r="Y29" s="729">
        <f>SUMIF('[3]社保+公积金03'!C:C,C29,'[3]社保+公积金03'!N:N)</f>
        <v>0</v>
      </c>
      <c r="Z29" s="729">
        <f>SUMIF('[3]社保+公积金03'!C:C,C29,'[3]社保+公积金03'!P:P)</f>
        <v>117</v>
      </c>
      <c r="AA29" s="729">
        <f t="shared" si="2"/>
        <v>1268.5899999999999</v>
      </c>
      <c r="AB29" s="729">
        <f>SUMIF('[3]社保+公积金03'!C:C,C29,'[3]社保+公积金03'!S:S)</f>
        <v>477.15</v>
      </c>
      <c r="AC29" s="729">
        <f>SUMIF('[3]社保+公积金03'!C:C,C29,'[3]社保+公积金03'!Q:Q)</f>
        <v>117</v>
      </c>
      <c r="AD29" s="729">
        <f>SUMIF([3]服装!B:B,C29,[3]服装!G:G)</f>
        <v>59</v>
      </c>
      <c r="AE29" s="729">
        <v>10</v>
      </c>
      <c r="AF29" s="730">
        <f>SUMIF([3]其他综合扣款!B:B,C29,[3]其他综合扣款!H:H)</f>
        <v>0</v>
      </c>
      <c r="AG29" s="729">
        <f t="shared" si="3"/>
        <v>663.15</v>
      </c>
      <c r="AH29" s="731">
        <f t="shared" si="4"/>
        <v>268.85000000000002</v>
      </c>
      <c r="AI29" s="754"/>
      <c r="AJ29" s="733"/>
      <c r="AK29" s="759"/>
      <c r="AL29" s="759"/>
      <c r="AM29" s="759"/>
      <c r="AN29" s="759"/>
      <c r="AO29" s="759"/>
      <c r="AP29" s="759"/>
      <c r="AQ29" s="759"/>
      <c r="AR29" s="759"/>
      <c r="AS29" s="759"/>
      <c r="AT29" s="759"/>
      <c r="AU29" s="759"/>
      <c r="AV29" s="759"/>
      <c r="AW29" s="759"/>
      <c r="AX29" s="759"/>
      <c r="AY29" s="759"/>
      <c r="AZ29" s="759"/>
      <c r="BA29" s="759"/>
    </row>
    <row r="30" spans="1:53" s="692" customFormat="1" ht="18" customHeight="1">
      <c r="A30" s="722">
        <v>24</v>
      </c>
      <c r="B30" s="753" t="s">
        <v>567</v>
      </c>
      <c r="C30" s="761" t="s">
        <v>66</v>
      </c>
      <c r="D30" s="739"/>
      <c r="E30" s="753" t="s">
        <v>575</v>
      </c>
      <c r="F30" s="738">
        <v>700</v>
      </c>
      <c r="G30" s="738">
        <v>200</v>
      </c>
      <c r="H30" s="750"/>
      <c r="I30" s="726">
        <f>SUMIF([3]售后加班情况!C:C,'[3]工资表(超市）-武侯售后'!C30,[3]售后加班情况!G:G)</f>
        <v>32</v>
      </c>
      <c r="J30" s="713">
        <f>SUMIF('[3]8月高温补贴'!B:B,C30,'[3]8月高温补贴'!M:M)</f>
        <v>0</v>
      </c>
      <c r="K30" s="750"/>
      <c r="L30" s="750"/>
      <c r="M30" s="724"/>
      <c r="N30" s="750"/>
      <c r="O30" s="750"/>
      <c r="P30" s="727">
        <f t="shared" si="0"/>
        <v>932</v>
      </c>
      <c r="Q30" s="728">
        <f>SUMIF([3]预发!C:C,C30,[3]预发!D:D)</f>
        <v>0</v>
      </c>
      <c r="R30" s="750"/>
      <c r="S30" s="750">
        <f t="shared" si="1"/>
        <v>0</v>
      </c>
      <c r="T30" s="729">
        <f>SUMIF('[3]社保+公积金03'!C:C,C30,'[3]社保+公积金03'!E:E)</f>
        <v>734.08</v>
      </c>
      <c r="U30" s="729">
        <f>SUMIF('[3]社保+公积金03'!C:C,C30,'[3]社保+公积金03'!I:I)</f>
        <v>346.39</v>
      </c>
      <c r="V30" s="729">
        <f>SUMIF('[3]社保+公积金03'!C:C,C30,'[3]社保+公积金03'!G:G)</f>
        <v>27.53</v>
      </c>
      <c r="W30" s="729">
        <f>SUMIF('[3]社保+公积金03'!C:C,C30,'[3]社保+公积金03'!L:L)</f>
        <v>9.18</v>
      </c>
      <c r="X30" s="729">
        <f>SUMIF('[3]社保+公积金03'!C:C,C30,'[3]社保+公积金03'!K:K)</f>
        <v>34.409999999999997</v>
      </c>
      <c r="Y30" s="729">
        <f>SUMIF('[3]社保+公积金03'!C:C,C30,'[3]社保+公积金03'!N:N)</f>
        <v>0</v>
      </c>
      <c r="Z30" s="729">
        <f>SUMIF('[3]社保+公积金03'!C:C,C30,'[3]社保+公积金03'!P:P)</f>
        <v>117</v>
      </c>
      <c r="AA30" s="729">
        <f t="shared" si="2"/>
        <v>1268.5899999999999</v>
      </c>
      <c r="AB30" s="729">
        <f>SUMIF('[3]社保+公积金03'!C:C,C30,'[3]社保+公积金03'!S:S)</f>
        <v>477.15</v>
      </c>
      <c r="AC30" s="729">
        <f>SUMIF('[3]社保+公积金03'!C:C,C30,'[3]社保+公积金03'!Q:Q)</f>
        <v>117</v>
      </c>
      <c r="AD30" s="729">
        <f>SUMIF([3]服装!B:B,C30,[3]服装!G:G)</f>
        <v>59</v>
      </c>
      <c r="AE30" s="729">
        <v>10</v>
      </c>
      <c r="AF30" s="730">
        <f>SUMIF([3]其他综合扣款!B:B,C30,[3]其他综合扣款!H:H)</f>
        <v>0</v>
      </c>
      <c r="AG30" s="729">
        <f t="shared" si="3"/>
        <v>663.15</v>
      </c>
      <c r="AH30" s="731">
        <f t="shared" si="4"/>
        <v>268.85000000000002</v>
      </c>
      <c r="AI30" s="754"/>
      <c r="AJ30" s="733"/>
      <c r="AK30" s="759"/>
      <c r="AL30" s="759"/>
      <c r="AM30" s="759"/>
      <c r="AN30" s="759"/>
      <c r="AO30" s="759"/>
      <c r="AP30" s="759"/>
      <c r="AQ30" s="759"/>
      <c r="AR30" s="759"/>
      <c r="AS30" s="759"/>
      <c r="AT30" s="759"/>
      <c r="AU30" s="759"/>
      <c r="AV30" s="759"/>
      <c r="AW30" s="759"/>
      <c r="AX30" s="759"/>
      <c r="AY30" s="759"/>
      <c r="AZ30" s="759"/>
      <c r="BA30" s="759"/>
    </row>
    <row r="31" spans="1:53" s="692" customFormat="1" ht="18" customHeight="1">
      <c r="A31" s="722">
        <v>25</v>
      </c>
      <c r="B31" s="753" t="s">
        <v>567</v>
      </c>
      <c r="C31" s="761" t="s">
        <v>68</v>
      </c>
      <c r="D31" s="739"/>
      <c r="E31" s="753" t="s">
        <v>575</v>
      </c>
      <c r="F31" s="738">
        <v>700</v>
      </c>
      <c r="G31" s="738">
        <v>200</v>
      </c>
      <c r="H31" s="750"/>
      <c r="I31" s="726">
        <f>SUMIF([3]售后加班情况!C:C,'[3]工资表(超市）-武侯售后'!C31,[3]售后加班情况!G:G)</f>
        <v>32</v>
      </c>
      <c r="J31" s="713">
        <f>SUMIF('[3]8月高温补贴'!B:B,C31,'[3]8月高温补贴'!M:M)</f>
        <v>0</v>
      </c>
      <c r="K31" s="750"/>
      <c r="L31" s="750"/>
      <c r="M31" s="724"/>
      <c r="N31" s="750"/>
      <c r="O31" s="750"/>
      <c r="P31" s="727">
        <f t="shared" si="0"/>
        <v>932</v>
      </c>
      <c r="Q31" s="728">
        <f>SUMIF([3]预发!C:C,C31,[3]预发!D:D)</f>
        <v>0</v>
      </c>
      <c r="R31" s="750"/>
      <c r="S31" s="750">
        <f t="shared" si="1"/>
        <v>0</v>
      </c>
      <c r="T31" s="729">
        <f>SUMIF('[3]社保+公积金03'!C:C,C31,'[3]社保+公积金03'!E:E)</f>
        <v>734.08</v>
      </c>
      <c r="U31" s="729">
        <f>SUMIF('[3]社保+公积金03'!C:C,C31,'[3]社保+公积金03'!I:I)</f>
        <v>346.39</v>
      </c>
      <c r="V31" s="729">
        <f>SUMIF('[3]社保+公积金03'!C:C,C31,'[3]社保+公积金03'!G:G)</f>
        <v>27.53</v>
      </c>
      <c r="W31" s="729">
        <f>SUMIF('[3]社保+公积金03'!C:C,C31,'[3]社保+公积金03'!L:L)</f>
        <v>9.18</v>
      </c>
      <c r="X31" s="729">
        <f>SUMIF('[3]社保+公积金03'!C:C,C31,'[3]社保+公积金03'!K:K)</f>
        <v>34.409999999999997</v>
      </c>
      <c r="Y31" s="729">
        <f>SUMIF('[3]社保+公积金03'!C:C,C31,'[3]社保+公积金03'!N:N)</f>
        <v>0</v>
      </c>
      <c r="Z31" s="729">
        <f>SUMIF('[3]社保+公积金03'!C:C,C31,'[3]社保+公积金03'!P:P)</f>
        <v>117</v>
      </c>
      <c r="AA31" s="729">
        <f t="shared" si="2"/>
        <v>1268.5899999999999</v>
      </c>
      <c r="AB31" s="729">
        <f>SUMIF('[3]社保+公积金03'!C:C,C31,'[3]社保+公积金03'!S:S)</f>
        <v>477.15</v>
      </c>
      <c r="AC31" s="729">
        <f>SUMIF('[3]社保+公积金03'!C:C,C31,'[3]社保+公积金03'!Q:Q)</f>
        <v>117</v>
      </c>
      <c r="AD31" s="729">
        <f>SUMIF([3]服装!B:B,C31,[3]服装!G:G)</f>
        <v>59</v>
      </c>
      <c r="AE31" s="729">
        <v>10</v>
      </c>
      <c r="AF31" s="730">
        <f>SUMIF([3]其他综合扣款!B:B,C31,[3]其他综合扣款!H:H)</f>
        <v>0</v>
      </c>
      <c r="AG31" s="729">
        <f t="shared" si="3"/>
        <v>663.15</v>
      </c>
      <c r="AH31" s="731">
        <f t="shared" si="4"/>
        <v>268.85000000000002</v>
      </c>
      <c r="AI31" s="754"/>
      <c r="AJ31" s="1648" t="s">
        <v>576</v>
      </c>
      <c r="AK31" s="759"/>
      <c r="AL31" s="759"/>
      <c r="AM31" s="759"/>
      <c r="AN31" s="759"/>
      <c r="AO31" s="759"/>
      <c r="AP31" s="759"/>
      <c r="AQ31" s="759"/>
      <c r="AR31" s="759"/>
      <c r="AS31" s="759"/>
      <c r="AT31" s="759"/>
      <c r="AU31" s="759"/>
      <c r="AV31" s="759"/>
      <c r="AW31" s="759"/>
      <c r="AX31" s="759"/>
      <c r="AY31" s="759"/>
      <c r="AZ31" s="759"/>
      <c r="BA31" s="759"/>
    </row>
    <row r="32" spans="1:53" s="692" customFormat="1" ht="20.100000000000001" customHeight="1">
      <c r="A32" s="722">
        <v>26</v>
      </c>
      <c r="B32" s="762" t="s">
        <v>347</v>
      </c>
      <c r="C32" s="763" t="s">
        <v>60</v>
      </c>
      <c r="D32" s="764"/>
      <c r="E32" s="763" t="s">
        <v>577</v>
      </c>
      <c r="F32" s="738">
        <v>1200</v>
      </c>
      <c r="G32" s="738">
        <v>300</v>
      </c>
      <c r="H32" s="738">
        <v>100</v>
      </c>
      <c r="I32" s="726">
        <v>0</v>
      </c>
      <c r="J32" s="713">
        <v>0</v>
      </c>
      <c r="K32" s="738"/>
      <c r="L32" s="738">
        <v>100</v>
      </c>
      <c r="M32" s="724"/>
      <c r="N32" s="738"/>
      <c r="O32" s="738"/>
      <c r="P32" s="727">
        <f t="shared" si="0"/>
        <v>1700</v>
      </c>
      <c r="Q32" s="728">
        <f>SUMIF([3]预发!C:C,C32,[3]预发!D:D)</f>
        <v>0</v>
      </c>
      <c r="R32" s="741"/>
      <c r="S32" s="741">
        <f t="shared" si="1"/>
        <v>0</v>
      </c>
      <c r="T32" s="729">
        <f>SUMIF('[3]社保+公积金03'!C:C,C32,'[3]社保+公积金03'!E:E)</f>
        <v>734.08</v>
      </c>
      <c r="U32" s="729">
        <f>SUMIF('[3]社保+公积金03'!C:C,C32,'[3]社保+公积金03'!I:I)</f>
        <v>346.39</v>
      </c>
      <c r="V32" s="729">
        <f>SUMIF('[3]社保+公积金03'!C:C,C32,'[3]社保+公积金03'!G:G)</f>
        <v>27.53</v>
      </c>
      <c r="W32" s="729">
        <f>SUMIF('[3]社保+公积金03'!C:C,C32,'[3]社保+公积金03'!L:L)</f>
        <v>9.18</v>
      </c>
      <c r="X32" s="729">
        <f>SUMIF('[3]社保+公积金03'!C:C,C32,'[3]社保+公积金03'!K:K)</f>
        <v>34.409999999999997</v>
      </c>
      <c r="Y32" s="729">
        <f>SUMIF('[3]社保+公积金03'!C:C,C32,'[3]社保+公积金03'!N:N)</f>
        <v>0</v>
      </c>
      <c r="Z32" s="729">
        <f>SUMIF('[3]社保+公积金03'!C:C,C32,'[3]社保+公积金03'!P:P)</f>
        <v>117</v>
      </c>
      <c r="AA32" s="729">
        <f t="shared" si="2"/>
        <v>1268.5899999999999</v>
      </c>
      <c r="AB32" s="729">
        <f>SUMIF('[3]社保+公积金03'!C:C,C32,'[3]社保+公积金03'!S:S)</f>
        <v>477.15</v>
      </c>
      <c r="AC32" s="729">
        <f>SUMIF('[3]社保+公积金03'!C:C,C32,'[3]社保+公积金03'!Q:Q)</f>
        <v>117</v>
      </c>
      <c r="AD32" s="729">
        <f>SUMIF([3]服装!B:B,C32,[3]服装!G:G)</f>
        <v>59</v>
      </c>
      <c r="AE32" s="729">
        <v>20</v>
      </c>
      <c r="AF32" s="730">
        <f>SUMIF([3]其他综合扣款!B:B,C32,[3]其他综合扣款!H:H)</f>
        <v>0</v>
      </c>
      <c r="AG32" s="729">
        <f t="shared" si="3"/>
        <v>673.15</v>
      </c>
      <c r="AH32" s="731">
        <f t="shared" si="4"/>
        <v>1026.8499999999999</v>
      </c>
      <c r="AI32" s="765"/>
      <c r="AJ32" s="733"/>
      <c r="AK32" s="759"/>
      <c r="AL32" s="759"/>
      <c r="AM32" s="759"/>
      <c r="AN32" s="759"/>
      <c r="AO32" s="759"/>
      <c r="AP32" s="759"/>
      <c r="AQ32" s="759"/>
      <c r="AR32" s="759"/>
      <c r="AS32" s="759"/>
      <c r="AT32" s="759"/>
      <c r="AU32" s="759"/>
      <c r="AV32" s="759"/>
      <c r="AW32" s="759"/>
      <c r="AX32" s="759"/>
      <c r="AY32" s="759"/>
      <c r="AZ32" s="759"/>
      <c r="BA32" s="759"/>
    </row>
    <row r="33" spans="1:55" s="692" customFormat="1" ht="18" customHeight="1">
      <c r="A33" s="722">
        <v>27</v>
      </c>
      <c r="B33" s="753" t="s">
        <v>347</v>
      </c>
      <c r="C33" s="751" t="s">
        <v>45</v>
      </c>
      <c r="D33" s="756"/>
      <c r="E33" s="753" t="s">
        <v>578</v>
      </c>
      <c r="F33" s="766">
        <v>1000</v>
      </c>
      <c r="G33" s="766">
        <v>200</v>
      </c>
      <c r="H33" s="766"/>
      <c r="I33" s="726">
        <f>SUMIF([3]售后加班情况!C:C,'[3]工资表(超市）-武侯售后'!C33,[3]售后加班情况!G:G)</f>
        <v>0</v>
      </c>
      <c r="J33" s="713">
        <f>SUMIF('[3]8月高温补贴'!B:B,C33,'[3]8月高温补贴'!M:M)</f>
        <v>0</v>
      </c>
      <c r="K33" s="766"/>
      <c r="L33" s="766"/>
      <c r="M33" s="724"/>
      <c r="N33" s="750"/>
      <c r="O33" s="750"/>
      <c r="P33" s="727">
        <f t="shared" si="0"/>
        <v>1200</v>
      </c>
      <c r="Q33" s="728">
        <f>SUMIF([3]预发!C:C,C33,[3]预发!D:D)</f>
        <v>0</v>
      </c>
      <c r="R33" s="750"/>
      <c r="S33" s="750">
        <f t="shared" si="1"/>
        <v>0</v>
      </c>
      <c r="T33" s="729">
        <f>SUMIF('[3]社保+公积金03'!C:C,C33,'[3]社保+公积金03'!E:E)</f>
        <v>734.08</v>
      </c>
      <c r="U33" s="729">
        <f>SUMIF('[3]社保+公积金03'!C:C,C33,'[3]社保+公积金03'!I:I)</f>
        <v>346.39</v>
      </c>
      <c r="V33" s="729">
        <f>SUMIF('[3]社保+公积金03'!C:C,C33,'[3]社保+公积金03'!G:G)</f>
        <v>27.53</v>
      </c>
      <c r="W33" s="729">
        <f>SUMIF('[3]社保+公积金03'!C:C,C33,'[3]社保+公积金03'!L:L)</f>
        <v>9.18</v>
      </c>
      <c r="X33" s="729">
        <f>SUMIF('[3]社保+公积金03'!C:C,C33,'[3]社保+公积金03'!K:K)</f>
        <v>34.409999999999997</v>
      </c>
      <c r="Y33" s="729">
        <f>SUMIF('[3]社保+公积金03'!C:C,C33,'[3]社保+公积金03'!N:N)</f>
        <v>0</v>
      </c>
      <c r="Z33" s="729">
        <f>SUMIF('[3]社保+公积金03'!C:C,C33,'[3]社保+公积金03'!P:P)</f>
        <v>117</v>
      </c>
      <c r="AA33" s="729">
        <f t="shared" si="2"/>
        <v>1268.5899999999999</v>
      </c>
      <c r="AB33" s="729">
        <f>SUMIF('[3]社保+公积金03'!C:C,C33,'[3]社保+公积金03'!S:S)</f>
        <v>477.15</v>
      </c>
      <c r="AC33" s="729">
        <f>SUMIF('[3]社保+公积金03'!C:C,C33,'[3]社保+公积金03'!Q:Q)</f>
        <v>117</v>
      </c>
      <c r="AD33" s="729">
        <f>SUMIF([3]服装!B:B,C33,[3]服装!G:G)</f>
        <v>59</v>
      </c>
      <c r="AE33" s="729">
        <v>10</v>
      </c>
      <c r="AF33" s="730">
        <f>SUMIF([3]其他综合扣款!B:B,C33,[3]其他综合扣款!H:H)</f>
        <v>0</v>
      </c>
      <c r="AG33" s="729">
        <f t="shared" si="3"/>
        <v>663.15</v>
      </c>
      <c r="AH33" s="731">
        <f t="shared" si="4"/>
        <v>536.85</v>
      </c>
      <c r="AI33" s="767"/>
      <c r="AJ33" s="733"/>
      <c r="AK33" s="759"/>
      <c r="AL33" s="759"/>
      <c r="AM33" s="759"/>
      <c r="AN33" s="759"/>
      <c r="AO33" s="759"/>
      <c r="AP33" s="759"/>
      <c r="AQ33" s="759"/>
      <c r="AR33" s="759"/>
      <c r="AS33" s="759"/>
      <c r="AT33" s="759"/>
      <c r="AU33" s="759"/>
      <c r="AV33" s="759"/>
      <c r="AW33" s="759"/>
      <c r="AX33" s="759"/>
      <c r="AY33" s="759"/>
      <c r="AZ33" s="759"/>
      <c r="BA33" s="759"/>
    </row>
    <row r="34" spans="1:55" s="692" customFormat="1" ht="20.100000000000001" customHeight="1">
      <c r="A34" s="722">
        <v>28</v>
      </c>
      <c r="B34" s="723" t="s">
        <v>347</v>
      </c>
      <c r="C34" s="726" t="s">
        <v>67</v>
      </c>
      <c r="D34" s="725"/>
      <c r="E34" s="726" t="s">
        <v>579</v>
      </c>
      <c r="F34" s="724">
        <v>700</v>
      </c>
      <c r="G34" s="724">
        <v>200</v>
      </c>
      <c r="H34" s="724"/>
      <c r="I34" s="726">
        <f>SUMIF([3]售后加班情况!C:C,'[3]工资表(超市）-武侯售后'!C34,[3]售后加班情况!G:G)</f>
        <v>0</v>
      </c>
      <c r="J34" s="713">
        <f>SUMIF('[3]8月高温补贴'!B:B,C34,'[3]8月高温补贴'!M:M)</f>
        <v>0</v>
      </c>
      <c r="K34" s="724"/>
      <c r="L34" s="724"/>
      <c r="M34" s="724"/>
      <c r="N34" s="724"/>
      <c r="O34" s="724"/>
      <c r="P34" s="727">
        <f t="shared" si="0"/>
        <v>900</v>
      </c>
      <c r="Q34" s="728">
        <f>SUMIF([3]预发!C:C,C34,[3]预发!D:D)</f>
        <v>0</v>
      </c>
      <c r="R34" s="729"/>
      <c r="S34" s="729">
        <f t="shared" si="1"/>
        <v>0</v>
      </c>
      <c r="T34" s="729">
        <f>SUMIF('[3]社保+公积金03'!C:C,C34,'[3]社保+公积金03'!E:E)</f>
        <v>734.08</v>
      </c>
      <c r="U34" s="729">
        <f>SUMIF('[3]社保+公积金03'!C:C,C34,'[3]社保+公积金03'!I:I)</f>
        <v>346.39</v>
      </c>
      <c r="V34" s="729">
        <f>SUMIF('[3]社保+公积金03'!C:C,C34,'[3]社保+公积金03'!G:G)</f>
        <v>27.53</v>
      </c>
      <c r="W34" s="729">
        <f>SUMIF('[3]社保+公积金03'!C:C,C34,'[3]社保+公积金03'!L:L)</f>
        <v>9.18</v>
      </c>
      <c r="X34" s="729">
        <f>SUMIF('[3]社保+公积金03'!C:C,C34,'[3]社保+公积金03'!K:K)</f>
        <v>34.409999999999997</v>
      </c>
      <c r="Y34" s="729">
        <f>SUMIF('[3]社保+公积金03'!C:C,C34,'[3]社保+公积金03'!N:N)</f>
        <v>0</v>
      </c>
      <c r="Z34" s="729">
        <f>SUMIF('[3]社保+公积金03'!C:C,C34,'[3]社保+公积金03'!P:P)</f>
        <v>117</v>
      </c>
      <c r="AA34" s="729">
        <f t="shared" si="2"/>
        <v>1268.5899999999999</v>
      </c>
      <c r="AB34" s="729">
        <f>SUMIF('[3]社保+公积金03'!C:C,C34,'[3]社保+公积金03'!S:S)</f>
        <v>477.15</v>
      </c>
      <c r="AC34" s="729">
        <f>SUMIF('[3]社保+公积金03'!C:C,C34,'[3]社保+公积金03'!Q:Q)</f>
        <v>117</v>
      </c>
      <c r="AD34" s="729">
        <f>SUMIF([3]服装!B:B,C34,[3]服装!G:G)</f>
        <v>59</v>
      </c>
      <c r="AE34" s="729">
        <v>10</v>
      </c>
      <c r="AF34" s="730">
        <f>SUMIF([3]其他综合扣款!B:B,C34,[3]其他综合扣款!H:H)</f>
        <v>0</v>
      </c>
      <c r="AG34" s="729">
        <f t="shared" si="3"/>
        <v>663.15</v>
      </c>
      <c r="AH34" s="731">
        <f t="shared" si="4"/>
        <v>236.85</v>
      </c>
      <c r="AI34" s="732"/>
      <c r="AJ34" s="733"/>
      <c r="AK34" s="768"/>
      <c r="AL34" s="768"/>
      <c r="AM34" s="768"/>
      <c r="AN34" s="768"/>
      <c r="AO34" s="768"/>
      <c r="AP34" s="768"/>
      <c r="AQ34" s="768"/>
      <c r="AR34" s="768"/>
      <c r="AS34" s="768"/>
      <c r="AT34" s="768"/>
      <c r="AU34" s="768"/>
      <c r="AV34" s="768"/>
      <c r="AW34" s="768"/>
      <c r="AX34" s="768"/>
      <c r="AY34" s="768"/>
      <c r="AZ34" s="768"/>
      <c r="BA34" s="768"/>
      <c r="BB34" s="768"/>
      <c r="BC34" s="768"/>
    </row>
    <row r="35" spans="1:55" s="692" customFormat="1" ht="20.100000000000001" customHeight="1">
      <c r="A35" s="722">
        <v>29</v>
      </c>
      <c r="B35" s="762" t="s">
        <v>347</v>
      </c>
      <c r="C35" s="763" t="s">
        <v>63</v>
      </c>
      <c r="D35" s="764"/>
      <c r="E35" s="740" t="s">
        <v>579</v>
      </c>
      <c r="F35" s="738">
        <v>700</v>
      </c>
      <c r="G35" s="738">
        <v>200</v>
      </c>
      <c r="H35" s="738"/>
      <c r="I35" s="726">
        <f>SUMIF([3]售后加班情况!C:C,'[3]工资表(超市）-武侯售后'!C35,[3]售后加班情况!G:G)</f>
        <v>0</v>
      </c>
      <c r="J35" s="713">
        <f>SUMIF('[3]8月高温补贴'!B:B,C35,'[3]8月高温补贴'!M:M)</f>
        <v>0</v>
      </c>
      <c r="K35" s="738"/>
      <c r="L35" s="738"/>
      <c r="M35" s="724"/>
      <c r="N35" s="738"/>
      <c r="O35" s="738"/>
      <c r="P35" s="727">
        <f t="shared" si="0"/>
        <v>900</v>
      </c>
      <c r="Q35" s="728">
        <f>SUMIF([3]预发!C:C,C35,[3]预发!D:D)</f>
        <v>0</v>
      </c>
      <c r="R35" s="741"/>
      <c r="S35" s="741">
        <f t="shared" si="1"/>
        <v>0</v>
      </c>
      <c r="T35" s="729">
        <f>SUMIF('[3]社保+公积金03'!C:C,C35,'[3]社保+公积金03'!E:E)</f>
        <v>734.08</v>
      </c>
      <c r="U35" s="729">
        <f>SUMIF('[3]社保+公积金03'!C:C,C35,'[3]社保+公积金03'!I:I)</f>
        <v>346.39</v>
      </c>
      <c r="V35" s="729">
        <f>SUMIF('[3]社保+公积金03'!C:C,C35,'[3]社保+公积金03'!G:G)</f>
        <v>27.53</v>
      </c>
      <c r="W35" s="729">
        <f>SUMIF('[3]社保+公积金03'!C:C,C35,'[3]社保+公积金03'!L:L)</f>
        <v>9.18</v>
      </c>
      <c r="X35" s="729">
        <f>SUMIF('[3]社保+公积金03'!C:C,C35,'[3]社保+公积金03'!K:K)</f>
        <v>34.409999999999997</v>
      </c>
      <c r="Y35" s="729">
        <f>SUMIF('[3]社保+公积金03'!C:C,C35,'[3]社保+公积金03'!N:N)</f>
        <v>0</v>
      </c>
      <c r="Z35" s="729">
        <f>SUMIF('[3]社保+公积金03'!C:C,C35,'[3]社保+公积金03'!P:P)</f>
        <v>117</v>
      </c>
      <c r="AA35" s="729">
        <f t="shared" si="2"/>
        <v>1268.5899999999999</v>
      </c>
      <c r="AB35" s="729">
        <f>SUMIF('[3]社保+公积金03'!C:C,C35,'[3]社保+公积金03'!S:S)</f>
        <v>477.15</v>
      </c>
      <c r="AC35" s="729">
        <f>SUMIF('[3]社保+公积金03'!C:C,C35,'[3]社保+公积金03'!Q:Q)</f>
        <v>117</v>
      </c>
      <c r="AD35" s="729">
        <f>SUMIF([3]服装!B:B,C35,[3]服装!G:G)</f>
        <v>59</v>
      </c>
      <c r="AE35" s="729">
        <v>10</v>
      </c>
      <c r="AF35" s="730">
        <f>SUMIF([3]其他综合扣款!B:B,C35,[3]其他综合扣款!H:H)</f>
        <v>0</v>
      </c>
      <c r="AG35" s="729">
        <f t="shared" si="3"/>
        <v>663.15</v>
      </c>
      <c r="AH35" s="731">
        <f t="shared" si="4"/>
        <v>236.85</v>
      </c>
      <c r="AI35" s="765"/>
      <c r="AJ35" s="733"/>
      <c r="AK35" s="759"/>
      <c r="AL35" s="759"/>
      <c r="AM35" s="759"/>
      <c r="AN35" s="759"/>
      <c r="AO35" s="759"/>
      <c r="AP35" s="759"/>
      <c r="AQ35" s="759"/>
      <c r="AR35" s="759"/>
      <c r="AS35" s="759"/>
      <c r="AT35" s="759"/>
      <c r="AU35" s="759"/>
      <c r="AV35" s="759"/>
      <c r="AW35" s="759"/>
      <c r="AX35" s="759"/>
      <c r="AY35" s="759"/>
      <c r="AZ35" s="759"/>
      <c r="BA35" s="759"/>
    </row>
    <row r="36" spans="1:55" s="692" customFormat="1" ht="20.100000000000001" customHeight="1">
      <c r="A36" s="722">
        <v>30</v>
      </c>
      <c r="B36" s="762" t="s">
        <v>347</v>
      </c>
      <c r="C36" s="763" t="s">
        <v>71</v>
      </c>
      <c r="D36" s="764"/>
      <c r="E36" s="740" t="s">
        <v>579</v>
      </c>
      <c r="F36" s="738">
        <v>700</v>
      </c>
      <c r="G36" s="738">
        <v>200</v>
      </c>
      <c r="H36" s="738"/>
      <c r="I36" s="726">
        <f>SUMIF([3]售后加班情况!C:C,'[3]工资表(超市）-武侯售后'!C36,[3]售后加班情况!G:G)</f>
        <v>0</v>
      </c>
      <c r="J36" s="713">
        <f>SUMIF('[3]8月高温补贴'!B:B,C36,'[3]8月高温补贴'!M:M)</f>
        <v>0</v>
      </c>
      <c r="K36" s="738"/>
      <c r="L36" s="738"/>
      <c r="M36" s="724"/>
      <c r="N36" s="738"/>
      <c r="O36" s="738"/>
      <c r="P36" s="727">
        <f t="shared" si="0"/>
        <v>900</v>
      </c>
      <c r="Q36" s="728">
        <f>SUMIF([3]预发!C:C,C36,[3]预发!D:D)</f>
        <v>0</v>
      </c>
      <c r="R36" s="741"/>
      <c r="S36" s="741">
        <f t="shared" si="1"/>
        <v>0</v>
      </c>
      <c r="T36" s="729">
        <f>SUMIF('[3]社保+公积金03'!C:C,C36,'[3]社保+公积金03'!E:E)</f>
        <v>734.08</v>
      </c>
      <c r="U36" s="729">
        <f>SUMIF('[3]社保+公积金03'!C:C,C36,'[3]社保+公积金03'!I:I)</f>
        <v>346.39</v>
      </c>
      <c r="V36" s="729">
        <f>SUMIF('[3]社保+公积金03'!C:C,C36,'[3]社保+公积金03'!G:G)</f>
        <v>27.53</v>
      </c>
      <c r="W36" s="729">
        <f>SUMIF('[3]社保+公积金03'!C:C,C36,'[3]社保+公积金03'!L:L)</f>
        <v>9.18</v>
      </c>
      <c r="X36" s="729">
        <f>SUMIF('[3]社保+公积金03'!C:C,C36,'[3]社保+公积金03'!K:K)</f>
        <v>34.409999999999997</v>
      </c>
      <c r="Y36" s="729">
        <f>SUMIF('[3]社保+公积金03'!C:C,C36,'[3]社保+公积金03'!N:N)</f>
        <v>0</v>
      </c>
      <c r="Z36" s="729">
        <f>SUMIF('[3]社保+公积金03'!C:C,C36,'[3]社保+公积金03'!P:P)</f>
        <v>117</v>
      </c>
      <c r="AA36" s="729">
        <f t="shared" si="2"/>
        <v>1268.5899999999999</v>
      </c>
      <c r="AB36" s="729">
        <f>SUMIF('[3]社保+公积金03'!C:C,C36,'[3]社保+公积金03'!S:S)</f>
        <v>477.15</v>
      </c>
      <c r="AC36" s="729">
        <f>SUMIF('[3]社保+公积金03'!C:C,C36,'[3]社保+公积金03'!Q:Q)</f>
        <v>117</v>
      </c>
      <c r="AD36" s="729">
        <f>SUMIF([3]服装!B:B,C36,[3]服装!G:G)</f>
        <v>59</v>
      </c>
      <c r="AE36" s="729">
        <v>10</v>
      </c>
      <c r="AF36" s="730">
        <f>SUMIF([3]其他综合扣款!B:B,C36,[3]其他综合扣款!H:H)</f>
        <v>0</v>
      </c>
      <c r="AG36" s="729">
        <f t="shared" si="3"/>
        <v>663.15</v>
      </c>
      <c r="AH36" s="731">
        <f t="shared" si="4"/>
        <v>236.85</v>
      </c>
      <c r="AI36" s="765"/>
      <c r="AJ36" s="769"/>
      <c r="AK36" s="759"/>
      <c r="AL36" s="759"/>
      <c r="AM36" s="759"/>
      <c r="AN36" s="759"/>
      <c r="AO36" s="759"/>
      <c r="AP36" s="759"/>
      <c r="AQ36" s="759"/>
      <c r="AR36" s="759"/>
      <c r="AS36" s="759"/>
      <c r="AT36" s="759"/>
      <c r="AU36" s="759"/>
      <c r="AV36" s="759"/>
      <c r="AW36" s="759"/>
      <c r="AX36" s="759"/>
      <c r="AY36" s="759"/>
      <c r="AZ36" s="759"/>
      <c r="BA36" s="759"/>
    </row>
    <row r="37" spans="1:55" s="692" customFormat="1" ht="20.100000000000001" customHeight="1">
      <c r="A37" s="722">
        <v>31</v>
      </c>
      <c r="B37" s="762" t="s">
        <v>347</v>
      </c>
      <c r="C37" s="763" t="s">
        <v>73</v>
      </c>
      <c r="D37" s="764"/>
      <c r="E37" s="740" t="s">
        <v>579</v>
      </c>
      <c r="F37" s="738">
        <v>700</v>
      </c>
      <c r="G37" s="738">
        <v>200</v>
      </c>
      <c r="H37" s="738"/>
      <c r="I37" s="726">
        <f>SUMIF([3]售后加班情况!C:C,'[3]工资表(超市）-武侯售后'!C37,[3]售后加班情况!G:G)</f>
        <v>0</v>
      </c>
      <c r="J37" s="713">
        <f>SUMIF('[3]8月高温补贴'!B:B,C37,'[3]8月高温补贴'!M:M)</f>
        <v>0</v>
      </c>
      <c r="K37" s="738"/>
      <c r="L37" s="738"/>
      <c r="M37" s="724"/>
      <c r="N37" s="738"/>
      <c r="O37" s="738"/>
      <c r="P37" s="727">
        <f t="shared" si="0"/>
        <v>900</v>
      </c>
      <c r="Q37" s="728">
        <f>SUMIF([3]预发!C:C,C37,[3]预发!D:D)</f>
        <v>0</v>
      </c>
      <c r="R37" s="741"/>
      <c r="S37" s="741">
        <f t="shared" si="1"/>
        <v>0</v>
      </c>
      <c r="T37" s="729">
        <f>SUMIF('[3]社保+公积金03'!C:C,C37,'[3]社保+公积金03'!E:E)</f>
        <v>734.08</v>
      </c>
      <c r="U37" s="729">
        <f>SUMIF('[3]社保+公积金03'!C:C,C37,'[3]社保+公积金03'!I:I)</f>
        <v>346.39</v>
      </c>
      <c r="V37" s="729">
        <f>SUMIF('[3]社保+公积金03'!C:C,C37,'[3]社保+公积金03'!G:G)</f>
        <v>27.53</v>
      </c>
      <c r="W37" s="729">
        <f>SUMIF('[3]社保+公积金03'!C:C,C37,'[3]社保+公积金03'!L:L)</f>
        <v>9.18</v>
      </c>
      <c r="X37" s="729">
        <f>SUMIF('[3]社保+公积金03'!C:C,C37,'[3]社保+公积金03'!K:K)</f>
        <v>34.409999999999997</v>
      </c>
      <c r="Y37" s="729">
        <f>SUMIF('[3]社保+公积金03'!C:C,C37,'[3]社保+公积金03'!N:N)</f>
        <v>0</v>
      </c>
      <c r="Z37" s="729">
        <f>SUMIF('[3]社保+公积金03'!C:C,C37,'[3]社保+公积金03'!P:P)</f>
        <v>117</v>
      </c>
      <c r="AA37" s="729">
        <f t="shared" si="2"/>
        <v>1268.5899999999999</v>
      </c>
      <c r="AB37" s="729">
        <f>SUMIF('[3]社保+公积金03'!C:C,C37,'[3]社保+公积金03'!S:S)</f>
        <v>477.15</v>
      </c>
      <c r="AC37" s="729">
        <f>SUMIF('[3]社保+公积金03'!C:C,C37,'[3]社保+公积金03'!Q:Q)</f>
        <v>117</v>
      </c>
      <c r="AD37" s="729">
        <f>SUMIF([3]服装!B:B,C37,[3]服装!G:G)</f>
        <v>59</v>
      </c>
      <c r="AE37" s="729">
        <v>10</v>
      </c>
      <c r="AF37" s="730">
        <f>SUMIF([3]其他综合扣款!B:B,C37,[3]其他综合扣款!H:H)</f>
        <v>0</v>
      </c>
      <c r="AG37" s="729">
        <f t="shared" si="3"/>
        <v>663.15</v>
      </c>
      <c r="AH37" s="731">
        <f t="shared" si="4"/>
        <v>236.85</v>
      </c>
      <c r="AI37" s="765"/>
      <c r="AJ37" s="733"/>
      <c r="AK37" s="759"/>
      <c r="AL37" s="759"/>
      <c r="AM37" s="759"/>
      <c r="AN37" s="759"/>
      <c r="AO37" s="759"/>
      <c r="AP37" s="759"/>
      <c r="AQ37" s="759"/>
      <c r="AR37" s="759"/>
      <c r="AS37" s="759"/>
      <c r="AT37" s="759"/>
      <c r="AU37" s="759"/>
      <c r="AV37" s="759"/>
      <c r="AW37" s="759"/>
      <c r="AX37" s="759"/>
      <c r="AY37" s="759"/>
      <c r="AZ37" s="759"/>
      <c r="BA37" s="759"/>
    </row>
    <row r="38" spans="1:55" s="692" customFormat="1" ht="20.100000000000001" customHeight="1">
      <c r="A38" s="722">
        <v>32</v>
      </c>
      <c r="B38" s="762" t="s">
        <v>347</v>
      </c>
      <c r="C38" s="763" t="s">
        <v>76</v>
      </c>
      <c r="D38" s="764"/>
      <c r="E38" s="763" t="s">
        <v>580</v>
      </c>
      <c r="F38" s="738">
        <v>700</v>
      </c>
      <c r="G38" s="738">
        <v>200</v>
      </c>
      <c r="H38" s="738"/>
      <c r="I38" s="726">
        <f>SUMIF([3]售后加班情况!C:C,'[3]工资表(超市）-武侯售后'!C38,[3]售后加班情况!G:G)</f>
        <v>0</v>
      </c>
      <c r="J38" s="713">
        <f>SUMIF('[3]8月高温补贴'!B:B,C38,'[3]8月高温补贴'!M:M)</f>
        <v>0</v>
      </c>
      <c r="K38" s="738"/>
      <c r="L38" s="738"/>
      <c r="M38" s="724"/>
      <c r="N38" s="738"/>
      <c r="O38" s="738"/>
      <c r="P38" s="727">
        <f t="shared" si="0"/>
        <v>900</v>
      </c>
      <c r="Q38" s="728">
        <f>SUMIF([3]预发!C:C,C38,[3]预发!D:D)</f>
        <v>0</v>
      </c>
      <c r="R38" s="741"/>
      <c r="S38" s="741">
        <f t="shared" si="1"/>
        <v>0</v>
      </c>
      <c r="T38" s="729">
        <f>SUMIF('[3]社保+公积金03'!C:C,C38,'[3]社保+公积金03'!E:E)</f>
        <v>734.08</v>
      </c>
      <c r="U38" s="729">
        <f>SUMIF('[3]社保+公积金03'!C:C,C38,'[3]社保+公积金03'!I:I)</f>
        <v>346.39</v>
      </c>
      <c r="V38" s="729">
        <f>SUMIF('[3]社保+公积金03'!C:C,C38,'[3]社保+公积金03'!G:G)</f>
        <v>27.53</v>
      </c>
      <c r="W38" s="729">
        <f>SUMIF('[3]社保+公积金03'!C:C,C38,'[3]社保+公积金03'!L:L)</f>
        <v>9.18</v>
      </c>
      <c r="X38" s="729">
        <f>SUMIF('[3]社保+公积金03'!C:C,C38,'[3]社保+公积金03'!K:K)</f>
        <v>34.409999999999997</v>
      </c>
      <c r="Y38" s="729">
        <f>SUMIF('[3]社保+公积金03'!C:C,C38,'[3]社保+公积金03'!N:N)</f>
        <v>0</v>
      </c>
      <c r="Z38" s="729">
        <f>SUMIF('[3]社保+公积金03'!C:C,C38,'[3]社保+公积金03'!P:P)</f>
        <v>117</v>
      </c>
      <c r="AA38" s="729">
        <f t="shared" si="2"/>
        <v>1268.5899999999999</v>
      </c>
      <c r="AB38" s="729">
        <f>SUMIF('[3]社保+公积金03'!C:C,C38,'[3]社保+公积金03'!S:S)</f>
        <v>477.15</v>
      </c>
      <c r="AC38" s="729">
        <f>SUMIF('[3]社保+公积金03'!C:C,C38,'[3]社保+公积金03'!Q:Q)</f>
        <v>117</v>
      </c>
      <c r="AD38" s="729">
        <f>SUMIF([3]服装!B:B,C38,[3]服装!G:G)</f>
        <v>59</v>
      </c>
      <c r="AE38" s="729">
        <v>10</v>
      </c>
      <c r="AF38" s="730">
        <f>SUMIF([3]其他综合扣款!B:B,C38,[3]其他综合扣款!H:H)</f>
        <v>0</v>
      </c>
      <c r="AG38" s="729">
        <f t="shared" si="3"/>
        <v>663.15</v>
      </c>
      <c r="AH38" s="731">
        <f t="shared" si="4"/>
        <v>236.85</v>
      </c>
      <c r="AI38" s="765"/>
      <c r="AJ38" s="733"/>
      <c r="AK38" s="759"/>
      <c r="AL38" s="759"/>
      <c r="AM38" s="759"/>
      <c r="AN38" s="759"/>
      <c r="AO38" s="759"/>
      <c r="AP38" s="759"/>
      <c r="AQ38" s="759"/>
      <c r="AR38" s="759"/>
      <c r="AS38" s="759"/>
      <c r="AT38" s="759"/>
      <c r="AU38" s="759"/>
      <c r="AV38" s="759"/>
      <c r="AW38" s="759"/>
      <c r="AX38" s="759"/>
      <c r="AY38" s="759"/>
      <c r="AZ38" s="759"/>
      <c r="BA38" s="759"/>
    </row>
    <row r="39" spans="1:55" s="692" customFormat="1" ht="20.100000000000001" customHeight="1">
      <c r="A39" s="722">
        <v>33</v>
      </c>
      <c r="B39" s="723" t="s">
        <v>347</v>
      </c>
      <c r="C39" s="770" t="s">
        <v>75</v>
      </c>
      <c r="D39" s="735" t="s">
        <v>581</v>
      </c>
      <c r="E39" s="763" t="s">
        <v>579</v>
      </c>
      <c r="F39" s="771">
        <v>700</v>
      </c>
      <c r="G39" s="724">
        <v>200</v>
      </c>
      <c r="H39" s="724"/>
      <c r="I39" s="726">
        <f>SUMIF([3]售后加班情况!C:C,'[3]工资表(超市）-武侯售后'!C39,[3]售后加班情况!G:G)</f>
        <v>0</v>
      </c>
      <c r="J39" s="713">
        <f>SUMIF('[3]8月高温补贴'!B:B,C39,'[3]8月高温补贴'!M:M)</f>
        <v>0</v>
      </c>
      <c r="K39" s="724"/>
      <c r="L39" s="724"/>
      <c r="M39" s="724"/>
      <c r="N39" s="724">
        <f>900/30*5*0.5</f>
        <v>75</v>
      </c>
      <c r="O39" s="724"/>
      <c r="P39" s="727">
        <f t="shared" si="0"/>
        <v>825</v>
      </c>
      <c r="Q39" s="728">
        <f>SUMIF([3]预发!C:C,C39,[3]预发!D:D)</f>
        <v>0</v>
      </c>
      <c r="R39" s="729"/>
      <c r="S39" s="729">
        <f t="shared" si="1"/>
        <v>0</v>
      </c>
      <c r="T39" s="729">
        <f>SUMIF('[3]社保+公积金03'!C:C,C39,'[3]社保+公积金03'!E:E)</f>
        <v>734.08</v>
      </c>
      <c r="U39" s="729">
        <f>SUMIF('[3]社保+公积金03'!C:C,C39,'[3]社保+公积金03'!I:I)</f>
        <v>346.39</v>
      </c>
      <c r="V39" s="729">
        <f>SUMIF('[3]社保+公积金03'!C:C,C39,'[3]社保+公积金03'!G:G)</f>
        <v>27.53</v>
      </c>
      <c r="W39" s="729">
        <f>SUMIF('[3]社保+公积金03'!C:C,C39,'[3]社保+公积金03'!L:L)</f>
        <v>9.18</v>
      </c>
      <c r="X39" s="729">
        <f>SUMIF('[3]社保+公积金03'!C:C,C39,'[3]社保+公积金03'!K:K)</f>
        <v>34.409999999999997</v>
      </c>
      <c r="Y39" s="729">
        <f>SUMIF('[3]社保+公积金03'!C:C,C39,'[3]社保+公积金03'!N:N)</f>
        <v>0</v>
      </c>
      <c r="Z39" s="729">
        <f>SUMIF('[3]社保+公积金03'!C:C,C39,'[3]社保+公积金03'!P:P)</f>
        <v>117</v>
      </c>
      <c r="AA39" s="729">
        <f t="shared" si="2"/>
        <v>1268.5899999999999</v>
      </c>
      <c r="AB39" s="729">
        <f>SUMIF('[3]社保+公积金03'!C:C,C39,'[3]社保+公积金03'!S:S)</f>
        <v>477.15</v>
      </c>
      <c r="AC39" s="729">
        <f>SUMIF('[3]社保+公积金03'!C:C,C39,'[3]社保+公积金03'!Q:Q)</f>
        <v>117</v>
      </c>
      <c r="AD39" s="729">
        <f>SUMIF([3]服装!B:B,C39,[3]服装!G:G)</f>
        <v>59</v>
      </c>
      <c r="AE39" s="729">
        <v>10</v>
      </c>
      <c r="AF39" s="730">
        <f>SUMIF([3]其他综合扣款!B:B,C39,[3]其他综合扣款!H:H)</f>
        <v>0</v>
      </c>
      <c r="AG39" s="729">
        <f t="shared" si="3"/>
        <v>663.15</v>
      </c>
      <c r="AH39" s="731">
        <f t="shared" si="4"/>
        <v>161.85</v>
      </c>
      <c r="AI39" s="736"/>
      <c r="AJ39" s="733"/>
      <c r="AK39" s="759"/>
      <c r="AL39" s="759"/>
      <c r="AM39" s="759"/>
      <c r="AN39" s="759"/>
      <c r="AO39" s="759"/>
      <c r="AP39" s="759"/>
      <c r="AQ39" s="759"/>
      <c r="AR39" s="759"/>
      <c r="AS39" s="759"/>
      <c r="AT39" s="759"/>
      <c r="AU39" s="759"/>
      <c r="AV39" s="759"/>
      <c r="AW39" s="759"/>
      <c r="AX39" s="759"/>
      <c r="AY39" s="759"/>
      <c r="AZ39" s="759"/>
      <c r="BA39" s="759"/>
    </row>
    <row r="40" spans="1:55" s="692" customFormat="1" ht="20.100000000000001" customHeight="1">
      <c r="A40" s="722">
        <v>34</v>
      </c>
      <c r="B40" s="723" t="s">
        <v>347</v>
      </c>
      <c r="C40" s="751" t="s">
        <v>70</v>
      </c>
      <c r="D40" s="772"/>
      <c r="E40" s="748" t="s">
        <v>582</v>
      </c>
      <c r="F40" s="773">
        <v>700</v>
      </c>
      <c r="G40" s="738">
        <v>200</v>
      </c>
      <c r="H40" s="724"/>
      <c r="I40" s="726">
        <f>SUMIF([3]售后加班情况!C:C,'[3]工资表(超市）-武侯售后'!C40,[3]售后加班情况!G:G)</f>
        <v>0</v>
      </c>
      <c r="J40" s="713">
        <f>SUMIF('[3]8月高温补贴'!B:B,C40,'[3]8月高温补贴'!M:M)</f>
        <v>0</v>
      </c>
      <c r="K40" s="724"/>
      <c r="L40" s="724"/>
      <c r="M40" s="724"/>
      <c r="N40" s="724"/>
      <c r="O40" s="724"/>
      <c r="P40" s="727">
        <f t="shared" si="0"/>
        <v>900</v>
      </c>
      <c r="Q40" s="728">
        <f>SUMIF([3]预发!C:C,C40,[3]预发!D:D)</f>
        <v>0</v>
      </c>
      <c r="R40" s="729"/>
      <c r="S40" s="729">
        <f t="shared" si="1"/>
        <v>0</v>
      </c>
      <c r="T40" s="729">
        <f>SUMIF('[3]社保+公积金03'!C:C,C40,'[3]社保+公积金03'!E:E)</f>
        <v>734.08</v>
      </c>
      <c r="U40" s="729">
        <f>SUMIF('[3]社保+公积金03'!C:C,C40,'[3]社保+公积金03'!I:I)</f>
        <v>346.39</v>
      </c>
      <c r="V40" s="729">
        <f>SUMIF('[3]社保+公积金03'!C:C,C40,'[3]社保+公积金03'!G:G)</f>
        <v>27.53</v>
      </c>
      <c r="W40" s="729">
        <f>SUMIF('[3]社保+公积金03'!C:C,C40,'[3]社保+公积金03'!L:L)</f>
        <v>9.18</v>
      </c>
      <c r="X40" s="729">
        <f>SUMIF('[3]社保+公积金03'!C:C,C40,'[3]社保+公积金03'!K:K)</f>
        <v>34.409999999999997</v>
      </c>
      <c r="Y40" s="729">
        <f>SUMIF('[3]社保+公积金03'!C:C,C40,'[3]社保+公积金03'!N:N)</f>
        <v>0</v>
      </c>
      <c r="Z40" s="729">
        <f>SUMIF('[3]社保+公积金03'!C:C,C40,'[3]社保+公积金03'!P:P)</f>
        <v>117</v>
      </c>
      <c r="AA40" s="729">
        <f t="shared" si="2"/>
        <v>1268.5899999999999</v>
      </c>
      <c r="AB40" s="729">
        <f>SUMIF('[3]社保+公积金03'!C:C,C40,'[3]社保+公积金03'!S:S)</f>
        <v>477.15</v>
      </c>
      <c r="AC40" s="729">
        <f>SUMIF('[3]社保+公积金03'!C:C,C40,'[3]社保+公积金03'!Q:Q)</f>
        <v>117</v>
      </c>
      <c r="AD40" s="729">
        <f>SUMIF([3]服装!B:B,C40,[3]服装!G:G)</f>
        <v>59</v>
      </c>
      <c r="AE40" s="729">
        <v>10</v>
      </c>
      <c r="AF40" s="730">
        <f>SUMIF([3]其他综合扣款!B:B,C40,[3]其他综合扣款!H:H)</f>
        <v>0</v>
      </c>
      <c r="AG40" s="729">
        <f t="shared" si="3"/>
        <v>663.15</v>
      </c>
      <c r="AH40" s="731">
        <f t="shared" si="4"/>
        <v>236.85</v>
      </c>
      <c r="AI40" s="736"/>
      <c r="AJ40" s="733"/>
      <c r="AK40" s="759"/>
      <c r="AL40" s="759"/>
      <c r="AM40" s="759"/>
      <c r="AN40" s="759"/>
      <c r="AO40" s="759"/>
      <c r="AP40" s="759"/>
      <c r="AQ40" s="759"/>
      <c r="AR40" s="759"/>
      <c r="AS40" s="759"/>
      <c r="AT40" s="759"/>
      <c r="AU40" s="759"/>
      <c r="AV40" s="759"/>
      <c r="AW40" s="759"/>
      <c r="AX40" s="759"/>
      <c r="AY40" s="759"/>
      <c r="AZ40" s="759"/>
      <c r="BA40" s="759"/>
    </row>
    <row r="41" spans="1:55" s="692" customFormat="1" ht="20.100000000000001" customHeight="1">
      <c r="A41" s="722">
        <v>35</v>
      </c>
      <c r="B41" s="723" t="s">
        <v>347</v>
      </c>
      <c r="C41" s="751" t="s">
        <v>72</v>
      </c>
      <c r="D41" s="772"/>
      <c r="E41" s="748" t="s">
        <v>582</v>
      </c>
      <c r="F41" s="773">
        <v>700</v>
      </c>
      <c r="G41" s="738">
        <v>200</v>
      </c>
      <c r="H41" s="724"/>
      <c r="I41" s="726">
        <f>SUMIF([3]售后加班情况!C:C,'[3]工资表(超市）-武侯售后'!C41,[3]售后加班情况!G:G)</f>
        <v>0</v>
      </c>
      <c r="J41" s="713">
        <f>SUMIF('[3]8月高温补贴'!B:B,C41,'[3]8月高温补贴'!M:M)</f>
        <v>0</v>
      </c>
      <c r="K41" s="724"/>
      <c r="L41" s="724"/>
      <c r="M41" s="724"/>
      <c r="N41" s="724"/>
      <c r="O41" s="724"/>
      <c r="P41" s="727">
        <f t="shared" si="0"/>
        <v>900</v>
      </c>
      <c r="Q41" s="728">
        <f>SUMIF([3]预发!C:C,C41,[3]预发!D:D)</f>
        <v>0</v>
      </c>
      <c r="R41" s="729"/>
      <c r="S41" s="729">
        <f t="shared" si="1"/>
        <v>0</v>
      </c>
      <c r="T41" s="729">
        <f>SUMIF('[3]社保+公积金03'!C:C,C41,'[3]社保+公积金03'!E:E)</f>
        <v>734.08</v>
      </c>
      <c r="U41" s="729">
        <f>SUMIF('[3]社保+公积金03'!C:C,C41,'[3]社保+公积金03'!I:I)</f>
        <v>346.39</v>
      </c>
      <c r="V41" s="729">
        <f>SUMIF('[3]社保+公积金03'!C:C,C41,'[3]社保+公积金03'!G:G)</f>
        <v>27.53</v>
      </c>
      <c r="W41" s="729">
        <f>SUMIF('[3]社保+公积金03'!C:C,C41,'[3]社保+公积金03'!L:L)</f>
        <v>9.18</v>
      </c>
      <c r="X41" s="729">
        <f>SUMIF('[3]社保+公积金03'!C:C,C41,'[3]社保+公积金03'!K:K)</f>
        <v>34.409999999999997</v>
      </c>
      <c r="Y41" s="729">
        <f>SUMIF('[3]社保+公积金03'!C:C,C41,'[3]社保+公积金03'!N:N)</f>
        <v>0</v>
      </c>
      <c r="Z41" s="729">
        <f>SUMIF('[3]社保+公积金03'!C:C,C41,'[3]社保+公积金03'!P:P)</f>
        <v>117</v>
      </c>
      <c r="AA41" s="729">
        <f t="shared" si="2"/>
        <v>1268.5899999999999</v>
      </c>
      <c r="AB41" s="729">
        <f>SUMIF('[3]社保+公积金03'!C:C,C41,'[3]社保+公积金03'!S:S)</f>
        <v>477.15</v>
      </c>
      <c r="AC41" s="729">
        <f>SUMIF('[3]社保+公积金03'!C:C,C41,'[3]社保+公积金03'!Q:Q)</f>
        <v>117</v>
      </c>
      <c r="AD41" s="729">
        <f>SUMIF([3]服装!B:B,C41,[3]服装!G:G)</f>
        <v>59</v>
      </c>
      <c r="AE41" s="729">
        <v>10</v>
      </c>
      <c r="AF41" s="730">
        <f>SUMIF([3]其他综合扣款!B:B,C41,[3]其他综合扣款!H:H)</f>
        <v>0</v>
      </c>
      <c r="AG41" s="729">
        <f t="shared" si="3"/>
        <v>663.15</v>
      </c>
      <c r="AH41" s="731">
        <f t="shared" si="4"/>
        <v>236.85</v>
      </c>
      <c r="AI41" s="736"/>
      <c r="AJ41" s="733"/>
      <c r="AK41" s="759"/>
      <c r="AL41" s="759"/>
      <c r="AM41" s="759"/>
      <c r="AN41" s="759"/>
      <c r="AO41" s="759"/>
      <c r="AP41" s="759"/>
      <c r="AQ41" s="759"/>
      <c r="AR41" s="759"/>
      <c r="AS41" s="759"/>
      <c r="AT41" s="759"/>
      <c r="AU41" s="759"/>
      <c r="AV41" s="759"/>
      <c r="AW41" s="759"/>
      <c r="AX41" s="759"/>
      <c r="AY41" s="759"/>
      <c r="AZ41" s="759"/>
      <c r="BA41" s="759"/>
    </row>
    <row r="42" spans="1:55" s="692" customFormat="1" ht="20.100000000000001" customHeight="1">
      <c r="A42" s="722">
        <v>36</v>
      </c>
      <c r="B42" s="774" t="s">
        <v>97</v>
      </c>
      <c r="C42" s="740" t="s">
        <v>91</v>
      </c>
      <c r="D42" s="735"/>
      <c r="E42" s="740" t="s">
        <v>583</v>
      </c>
      <c r="F42" s="724">
        <v>1200</v>
      </c>
      <c r="G42" s="724">
        <v>500</v>
      </c>
      <c r="H42" s="724"/>
      <c r="I42" s="726">
        <f>SUMIF([3]售后加班情况!C:C,'[3]工资表(超市）-武侯售后'!C42,[3]售后加班情况!G:G)</f>
        <v>0</v>
      </c>
      <c r="J42" s="713">
        <f>SUMIF('[3]8月高温补贴'!B:B,C42,'[3]8月高温补贴'!M:M)</f>
        <v>0</v>
      </c>
      <c r="K42" s="724"/>
      <c r="L42" s="724"/>
      <c r="M42" s="724"/>
      <c r="N42" s="724"/>
      <c r="O42" s="724"/>
      <c r="P42" s="727">
        <f t="shared" si="0"/>
        <v>1700</v>
      </c>
      <c r="Q42" s="728">
        <f>SUMIF([3]预发!C:C,C42,[3]预发!D:D)</f>
        <v>0</v>
      </c>
      <c r="R42" s="729"/>
      <c r="S42" s="729">
        <f t="shared" si="1"/>
        <v>0</v>
      </c>
      <c r="T42" s="729">
        <f>SUMIF('[3]社保+公积金03'!C:C,C42,'[3]社保+公积金03'!E:E)</f>
        <v>0</v>
      </c>
      <c r="U42" s="729">
        <f>SUMIF('[3]社保+公积金03'!C:C,C42,'[3]社保+公积金03'!I:I)</f>
        <v>0</v>
      </c>
      <c r="V42" s="729">
        <f>SUMIF('[3]社保+公积金03'!C:C,C42,'[3]社保+公积金03'!G:G)</f>
        <v>0</v>
      </c>
      <c r="W42" s="729">
        <f>SUMIF('[3]社保+公积金03'!C:C,C42,'[3]社保+公积金03'!L:L)</f>
        <v>9.18</v>
      </c>
      <c r="X42" s="729">
        <f>SUMIF('[3]社保+公积金03'!C:C,C42,'[3]社保+公积金03'!K:K)</f>
        <v>0</v>
      </c>
      <c r="Y42" s="729">
        <f>SUMIF('[3]社保+公积金03'!C:C,C42,'[3]社保+公积金03'!N:N)</f>
        <v>0</v>
      </c>
      <c r="Z42" s="729">
        <f>SUMIF('[3]社保+公积金03'!C:C,C42,'[3]社保+公积金03'!P:P)</f>
        <v>0</v>
      </c>
      <c r="AA42" s="729">
        <f t="shared" si="2"/>
        <v>9.18</v>
      </c>
      <c r="AB42" s="729">
        <f>SUMIF('[3]社保+公积金03'!C:C,C42,'[3]社保+公积金03'!S:S)</f>
        <v>0</v>
      </c>
      <c r="AC42" s="729">
        <f>SUMIF('[3]社保+公积金03'!C:C,C42,'[3]社保+公积金03'!Q:Q)</f>
        <v>0</v>
      </c>
      <c r="AD42" s="729">
        <f>SUMIF([3]服装!B:B,C42,[3]服装!G:G)</f>
        <v>0</v>
      </c>
      <c r="AE42" s="729">
        <v>10</v>
      </c>
      <c r="AF42" s="730">
        <f>SUMIF([3]其他综合扣款!B:B,C42,[3]其他综合扣款!H:H)</f>
        <v>0</v>
      </c>
      <c r="AG42" s="729">
        <f t="shared" si="3"/>
        <v>10</v>
      </c>
      <c r="AH42" s="731">
        <f t="shared" si="4"/>
        <v>1690</v>
      </c>
      <c r="AI42" s="736"/>
      <c r="AJ42" s="733"/>
      <c r="AK42" s="759"/>
      <c r="AL42" s="759"/>
      <c r="AM42" s="759"/>
      <c r="AN42" s="759"/>
      <c r="AO42" s="759"/>
      <c r="AP42" s="759"/>
      <c r="AQ42" s="759"/>
      <c r="AR42" s="759"/>
      <c r="AS42" s="759"/>
      <c r="AT42" s="759"/>
      <c r="AU42" s="759"/>
      <c r="AV42" s="759"/>
      <c r="AW42" s="759"/>
      <c r="AX42" s="759"/>
      <c r="AY42" s="759"/>
      <c r="AZ42" s="759"/>
      <c r="BA42" s="759"/>
    </row>
    <row r="43" spans="1:55" s="692" customFormat="1" ht="17.100000000000001" customHeight="1">
      <c r="A43" s="722">
        <v>37</v>
      </c>
      <c r="B43" s="774" t="s">
        <v>97</v>
      </c>
      <c r="C43" s="740" t="s">
        <v>90</v>
      </c>
      <c r="D43" s="735"/>
      <c r="E43" s="740" t="s">
        <v>584</v>
      </c>
      <c r="F43" s="724">
        <v>1200</v>
      </c>
      <c r="G43" s="724">
        <v>500</v>
      </c>
      <c r="H43" s="724"/>
      <c r="I43" s="726">
        <f>SUMIF([3]售后加班情况!C:C,'[3]工资表(超市）-武侯售后'!C43,[3]售后加班情况!G:G)</f>
        <v>0</v>
      </c>
      <c r="J43" s="713">
        <f>SUMIF('[3]8月高温补贴'!B:B,C43,'[3]8月高温补贴'!M:M)</f>
        <v>0</v>
      </c>
      <c r="K43" s="724"/>
      <c r="L43" s="724"/>
      <c r="M43" s="724"/>
      <c r="N43" s="724"/>
      <c r="O43" s="724"/>
      <c r="P43" s="727">
        <f t="shared" si="0"/>
        <v>1700</v>
      </c>
      <c r="Q43" s="728">
        <f>SUMIF([3]预发!C:C,C43,[3]预发!D:D)</f>
        <v>0</v>
      </c>
      <c r="R43" s="729"/>
      <c r="S43" s="729"/>
      <c r="T43" s="729">
        <f>SUMIF('[3]社保+公积金03'!C:C,C43,'[3]社保+公积金03'!E:E)</f>
        <v>734.08</v>
      </c>
      <c r="U43" s="729">
        <f>SUMIF('[3]社保+公积金03'!C:C,C43,'[3]社保+公积金03'!I:I)</f>
        <v>346.39</v>
      </c>
      <c r="V43" s="729">
        <f>SUMIF('[3]社保+公积金03'!C:C,C43,'[3]社保+公积金03'!G:G)</f>
        <v>27.53</v>
      </c>
      <c r="W43" s="729">
        <f>SUMIF('[3]社保+公积金03'!C:C,C43,'[3]社保+公积金03'!L:L)</f>
        <v>9.18</v>
      </c>
      <c r="X43" s="729">
        <f>SUMIF('[3]社保+公积金03'!C:C,C43,'[3]社保+公积金03'!K:K)</f>
        <v>34.409999999999997</v>
      </c>
      <c r="Y43" s="729">
        <f>SUMIF('[3]社保+公积金03'!C:C,C43,'[3]社保+公积金03'!N:N)</f>
        <v>0</v>
      </c>
      <c r="Z43" s="729">
        <f>SUMIF('[3]社保+公积金03'!C:C,C43,'[3]社保+公积金03'!P:P)</f>
        <v>117</v>
      </c>
      <c r="AA43" s="729">
        <f t="shared" si="2"/>
        <v>1268.5899999999999</v>
      </c>
      <c r="AB43" s="729">
        <f>SUMIF('[3]社保+公积金03'!C:C,C43,'[3]社保+公积金03'!S:S)</f>
        <v>477.15</v>
      </c>
      <c r="AC43" s="729">
        <f>SUMIF('[3]社保+公积金03'!C:C,C43,'[3]社保+公积金03'!Q:Q)</f>
        <v>117</v>
      </c>
      <c r="AD43" s="729">
        <f>SUMIF([3]服装!B:B,C43,[3]服装!G:G)</f>
        <v>59</v>
      </c>
      <c r="AE43" s="729">
        <v>10</v>
      </c>
      <c r="AF43" s="730">
        <f>SUMIF([3]其他综合扣款!B:B,C43,[3]其他综合扣款!H:H)</f>
        <v>0</v>
      </c>
      <c r="AG43" s="729">
        <f t="shared" si="3"/>
        <v>663.15</v>
      </c>
      <c r="AH43" s="731">
        <f t="shared" si="4"/>
        <v>1036.8499999999999</v>
      </c>
      <c r="AI43" s="736"/>
      <c r="AJ43" s="733"/>
      <c r="AK43" s="759"/>
      <c r="AL43" s="759"/>
      <c r="AM43" s="759"/>
      <c r="AN43" s="759"/>
      <c r="AO43" s="759"/>
      <c r="AP43" s="759"/>
      <c r="AQ43" s="759"/>
      <c r="AR43" s="759"/>
      <c r="AS43" s="759"/>
      <c r="AT43" s="759"/>
      <c r="AU43" s="759"/>
      <c r="AV43" s="759"/>
      <c r="AW43" s="759"/>
      <c r="AX43" s="759"/>
      <c r="AY43" s="759"/>
      <c r="AZ43" s="759"/>
      <c r="BA43" s="759"/>
    </row>
    <row r="44" spans="1:55" s="692" customFormat="1" ht="16.5" customHeight="1">
      <c r="A44" s="722">
        <v>38</v>
      </c>
      <c r="B44" s="774" t="s">
        <v>97</v>
      </c>
      <c r="C44" s="740" t="s">
        <v>92</v>
      </c>
      <c r="D44" s="735" t="s">
        <v>585</v>
      </c>
      <c r="E44" s="740" t="s">
        <v>586</v>
      </c>
      <c r="F44" s="724">
        <v>700</v>
      </c>
      <c r="G44" s="724">
        <v>200</v>
      </c>
      <c r="H44" s="724"/>
      <c r="I44" s="726">
        <f>SUMIF([3]售后加班情况!C:C,'[3]工资表(超市）-武侯售后'!C44,[3]售后加班情况!G:G)</f>
        <v>0</v>
      </c>
      <c r="J44" s="713">
        <f>SUMIF('[3]8月高温补贴'!B:B,C44,'[3]8月高温补贴'!M:M)</f>
        <v>0</v>
      </c>
      <c r="K44" s="724"/>
      <c r="L44" s="724"/>
      <c r="M44" s="724"/>
      <c r="N44" s="724">
        <v>50</v>
      </c>
      <c r="O44" s="724"/>
      <c r="P44" s="727">
        <f t="shared" si="0"/>
        <v>850</v>
      </c>
      <c r="Q44" s="728">
        <f>SUMIF([3]预发!C:C,C44,[3]预发!D:D)</f>
        <v>0</v>
      </c>
      <c r="R44" s="729"/>
      <c r="S44" s="729"/>
      <c r="T44" s="729">
        <f>SUMIF('[3]社保+公积金03'!C:C,C44,'[3]社保+公积金03'!E:E)</f>
        <v>734.08</v>
      </c>
      <c r="U44" s="729">
        <f>SUMIF('[3]社保+公积金03'!C:C,C44,'[3]社保+公积金03'!I:I)</f>
        <v>346.39</v>
      </c>
      <c r="V44" s="729">
        <f>SUMIF('[3]社保+公积金03'!C:C,C44,'[3]社保+公积金03'!G:G)</f>
        <v>27.53</v>
      </c>
      <c r="W44" s="729">
        <f>SUMIF('[3]社保+公积金03'!C:C,C44,'[3]社保+公积金03'!L:L)</f>
        <v>9.18</v>
      </c>
      <c r="X44" s="729">
        <f>SUMIF('[3]社保+公积金03'!C:C,C44,'[3]社保+公积金03'!K:K)</f>
        <v>34.409999999999997</v>
      </c>
      <c r="Y44" s="729">
        <f>SUMIF('[3]社保+公积金03'!C:C,C44,'[3]社保+公积金03'!N:N)</f>
        <v>0</v>
      </c>
      <c r="Z44" s="729">
        <f>SUMIF('[3]社保+公积金03'!C:C,C44,'[3]社保+公积金03'!P:P)</f>
        <v>117</v>
      </c>
      <c r="AA44" s="729">
        <f t="shared" si="2"/>
        <v>1268.5899999999999</v>
      </c>
      <c r="AB44" s="729">
        <f>SUMIF('[3]社保+公积金03'!C:C,C44,'[3]社保+公积金03'!S:S)</f>
        <v>477.15</v>
      </c>
      <c r="AC44" s="729">
        <f>SUMIF('[3]社保+公积金03'!C:C,C44,'[3]社保+公积金03'!Q:Q)</f>
        <v>117</v>
      </c>
      <c r="AD44" s="729">
        <f>SUMIF([3]服装!B:B,C44,[3]服装!G:G)</f>
        <v>59</v>
      </c>
      <c r="AE44" s="729">
        <v>10</v>
      </c>
      <c r="AF44" s="730">
        <f>SUMIF([3]其他综合扣款!B:B,C44,[3]其他综合扣款!H:H)</f>
        <v>0</v>
      </c>
      <c r="AG44" s="729">
        <f t="shared" si="3"/>
        <v>663.15</v>
      </c>
      <c r="AH44" s="731">
        <f t="shared" si="4"/>
        <v>186.85</v>
      </c>
      <c r="AI44" s="736"/>
      <c r="AJ44" s="733"/>
      <c r="AK44" s="759"/>
      <c r="AL44" s="759"/>
      <c r="AM44" s="759"/>
      <c r="AN44" s="759"/>
      <c r="AO44" s="759"/>
      <c r="AP44" s="759"/>
      <c r="AQ44" s="759"/>
      <c r="AR44" s="759"/>
      <c r="AS44" s="759"/>
      <c r="AT44" s="759"/>
      <c r="AU44" s="759"/>
      <c r="AV44" s="759"/>
      <c r="AW44" s="759"/>
      <c r="AX44" s="759"/>
      <c r="AY44" s="759"/>
      <c r="AZ44" s="759"/>
      <c r="BA44" s="759"/>
    </row>
    <row r="45" spans="1:55" s="692" customFormat="1" ht="20.100000000000001" customHeight="1">
      <c r="A45" s="722">
        <v>39</v>
      </c>
      <c r="B45" s="723" t="s">
        <v>587</v>
      </c>
      <c r="C45" s="740" t="s">
        <v>77</v>
      </c>
      <c r="D45" s="735"/>
      <c r="E45" s="740" t="s">
        <v>588</v>
      </c>
      <c r="F45" s="724">
        <v>1200</v>
      </c>
      <c r="G45" s="724">
        <v>300</v>
      </c>
      <c r="H45" s="724">
        <v>500</v>
      </c>
      <c r="I45" s="726">
        <f>SUMIF([3]售后加班情况!C:C,'[3]工资表(超市）-武侯售后'!C45,[3]售后加班情况!G:G)</f>
        <v>0</v>
      </c>
      <c r="J45" s="713">
        <f>SUMIF('[3]8月高温补贴'!B:B,C45,'[3]8月高温补贴'!M:M)</f>
        <v>0</v>
      </c>
      <c r="K45" s="724"/>
      <c r="L45" s="724"/>
      <c r="M45" s="724"/>
      <c r="N45" s="724"/>
      <c r="O45" s="724"/>
      <c r="P45" s="727">
        <f t="shared" si="0"/>
        <v>2000</v>
      </c>
      <c r="Q45" s="728">
        <f>SUMIF([3]预发!C:C,C45,[3]预发!D:D)</f>
        <v>0</v>
      </c>
      <c r="R45" s="729"/>
      <c r="S45" s="729"/>
      <c r="T45" s="729">
        <f>SUMIF('[3]社保+公积金03'!C:C,C45,'[3]社保+公积金03'!E:E)</f>
        <v>734.08</v>
      </c>
      <c r="U45" s="729">
        <f>SUMIF('[3]社保+公积金03'!C:C,C45,'[3]社保+公积金03'!I:I)</f>
        <v>346.39</v>
      </c>
      <c r="V45" s="729">
        <f>SUMIF('[3]社保+公积金03'!C:C,C45,'[3]社保+公积金03'!G:G)</f>
        <v>27.53</v>
      </c>
      <c r="W45" s="729">
        <f>SUMIF('[3]社保+公积金03'!C:C,C45,'[3]社保+公积金03'!L:L)</f>
        <v>9.18</v>
      </c>
      <c r="X45" s="729">
        <f>SUMIF('[3]社保+公积金03'!C:C,C45,'[3]社保+公积金03'!K:K)</f>
        <v>34.409999999999997</v>
      </c>
      <c r="Y45" s="729">
        <f>SUMIF('[3]社保+公积金03'!C:C,C45,'[3]社保+公积金03'!N:N)</f>
        <v>0</v>
      </c>
      <c r="Z45" s="729">
        <f>SUMIF('[3]社保+公积金03'!C:C,C45,'[3]社保+公积金03'!P:P)</f>
        <v>117</v>
      </c>
      <c r="AA45" s="729">
        <f t="shared" si="2"/>
        <v>1268.5899999999999</v>
      </c>
      <c r="AB45" s="729">
        <f>SUMIF('[3]社保+公积金03'!C:C,C45,'[3]社保+公积金03'!S:S)</f>
        <v>477.15</v>
      </c>
      <c r="AC45" s="729">
        <f>SUMIF('[3]社保+公积金03'!C:C,C45,'[3]社保+公积金03'!Q:Q)</f>
        <v>117</v>
      </c>
      <c r="AD45" s="729">
        <f>SUMIF([3]服装!B:B,C45,[3]服装!G:G)</f>
        <v>59</v>
      </c>
      <c r="AE45" s="729">
        <v>30</v>
      </c>
      <c r="AF45" s="730">
        <f>SUMIF([3]其他综合扣款!B:B,C45,[3]其他综合扣款!H:H)</f>
        <v>0</v>
      </c>
      <c r="AG45" s="729">
        <f t="shared" si="3"/>
        <v>683.15</v>
      </c>
      <c r="AH45" s="731">
        <f t="shared" si="4"/>
        <v>1316.85</v>
      </c>
      <c r="AI45" s="736"/>
      <c r="AJ45" s="733"/>
      <c r="AK45" s="759"/>
      <c r="AL45" s="759"/>
      <c r="AM45" s="759"/>
      <c r="AN45" s="759"/>
      <c r="AO45" s="759"/>
      <c r="AP45" s="759"/>
      <c r="AQ45" s="759"/>
      <c r="AR45" s="759"/>
      <c r="AS45" s="759"/>
      <c r="AT45" s="759"/>
      <c r="AU45" s="759"/>
      <c r="AV45" s="759"/>
      <c r="AW45" s="759"/>
      <c r="AX45" s="759"/>
      <c r="AY45" s="759"/>
      <c r="AZ45" s="759"/>
      <c r="BA45" s="759"/>
    </row>
    <row r="46" spans="1:55" s="692" customFormat="1" ht="20.100000000000001" customHeight="1">
      <c r="A46" s="722">
        <v>40</v>
      </c>
      <c r="B46" s="723" t="s">
        <v>587</v>
      </c>
      <c r="C46" s="775" t="s">
        <v>78</v>
      </c>
      <c r="D46" s="735"/>
      <c r="E46" s="740" t="s">
        <v>589</v>
      </c>
      <c r="F46" s="724">
        <v>700</v>
      </c>
      <c r="G46" s="724">
        <v>200</v>
      </c>
      <c r="H46" s="724"/>
      <c r="I46" s="726">
        <f>SUMIF([3]售后加班情况!C:C,'[3]工资表(超市）-武侯售后'!C46,[3]售后加班情况!G:G)</f>
        <v>0</v>
      </c>
      <c r="J46" s="713">
        <f>SUMIF('[3]8月高温补贴'!B:B,C46,'[3]8月高温补贴'!M:M)</f>
        <v>0</v>
      </c>
      <c r="K46" s="724"/>
      <c r="L46" s="724"/>
      <c r="M46" s="724"/>
      <c r="N46" s="724"/>
      <c r="O46" s="724"/>
      <c r="P46" s="727">
        <f t="shared" si="0"/>
        <v>900</v>
      </c>
      <c r="Q46" s="728">
        <f>SUMIF([3]预发!C:C,C46,[3]预发!D:D)</f>
        <v>0</v>
      </c>
      <c r="R46" s="729"/>
      <c r="S46" s="729">
        <f>SUM(Q46:R46)</f>
        <v>0</v>
      </c>
      <c r="T46" s="729">
        <f>SUMIF('[3]社保+公积金03'!C:C,C46,'[3]社保+公积金03'!E:E)</f>
        <v>734.08</v>
      </c>
      <c r="U46" s="729">
        <f>SUMIF('[3]社保+公积金03'!C:C,C46,'[3]社保+公积金03'!I:I)</f>
        <v>346.39</v>
      </c>
      <c r="V46" s="729">
        <f>SUMIF('[3]社保+公积金03'!C:C,C46,'[3]社保+公积金03'!G:G)</f>
        <v>27.53</v>
      </c>
      <c r="W46" s="729">
        <f>SUMIF('[3]社保+公积金03'!C:C,C46,'[3]社保+公积金03'!L:L)</f>
        <v>9.18</v>
      </c>
      <c r="X46" s="729">
        <f>SUMIF('[3]社保+公积金03'!C:C,C46,'[3]社保+公积金03'!K:K)</f>
        <v>34.409999999999997</v>
      </c>
      <c r="Y46" s="729">
        <f>SUMIF('[3]社保+公积金03'!C:C,C46,'[3]社保+公积金03'!N:N)</f>
        <v>0</v>
      </c>
      <c r="Z46" s="729">
        <f>SUMIF('[3]社保+公积金03'!C:C,C46,'[3]社保+公积金03'!P:P)</f>
        <v>117</v>
      </c>
      <c r="AA46" s="729">
        <f t="shared" si="2"/>
        <v>1268.5899999999999</v>
      </c>
      <c r="AB46" s="729">
        <f>SUMIF('[3]社保+公积金03'!C:C,C46,'[3]社保+公积金03'!S:S)</f>
        <v>477.15</v>
      </c>
      <c r="AC46" s="729">
        <f>SUMIF('[3]社保+公积金03'!C:C,C46,'[3]社保+公积金03'!Q:Q)</f>
        <v>117</v>
      </c>
      <c r="AD46" s="729">
        <f>SUMIF([3]服装!B:B,C46,[3]服装!G:G)</f>
        <v>59</v>
      </c>
      <c r="AE46" s="729">
        <v>10</v>
      </c>
      <c r="AF46" s="730">
        <f>SUMIF([3]其他综合扣款!B:B,C46,[3]其他综合扣款!H:H)</f>
        <v>0</v>
      </c>
      <c r="AG46" s="729">
        <f t="shared" si="3"/>
        <v>663.15</v>
      </c>
      <c r="AH46" s="731">
        <f t="shared" si="4"/>
        <v>236.85</v>
      </c>
      <c r="AI46" s="736"/>
      <c r="AJ46" s="733"/>
      <c r="AK46" s="759"/>
      <c r="AL46" s="759"/>
      <c r="AM46" s="759"/>
      <c r="AN46" s="759"/>
      <c r="AO46" s="759"/>
      <c r="AP46" s="759"/>
      <c r="AQ46" s="759"/>
      <c r="AR46" s="759"/>
      <c r="AS46" s="759"/>
      <c r="AT46" s="759"/>
      <c r="AU46" s="759"/>
      <c r="AV46" s="759"/>
      <c r="AW46" s="759"/>
      <c r="AX46" s="759"/>
      <c r="AY46" s="759"/>
      <c r="AZ46" s="759"/>
      <c r="BA46" s="759"/>
    </row>
    <row r="47" spans="1:55" s="692" customFormat="1" ht="20.100000000000001" customHeight="1">
      <c r="A47" s="722">
        <v>41</v>
      </c>
      <c r="B47" s="723" t="s">
        <v>587</v>
      </c>
      <c r="C47" s="740" t="s">
        <v>80</v>
      </c>
      <c r="D47" s="735"/>
      <c r="E47" s="740" t="s">
        <v>589</v>
      </c>
      <c r="F47" s="724">
        <v>700</v>
      </c>
      <c r="G47" s="724">
        <v>200</v>
      </c>
      <c r="H47" s="724"/>
      <c r="I47" s="726">
        <f>SUMIF([3]售后加班情况!C:C,'[3]工资表(超市）-武侯售后'!C47,[3]售后加班情况!G:G)</f>
        <v>0</v>
      </c>
      <c r="J47" s="713">
        <f>SUMIF('[3]8月高温补贴'!B:B,C47,'[3]8月高温补贴'!M:M)</f>
        <v>0</v>
      </c>
      <c r="K47" s="724"/>
      <c r="L47" s="724"/>
      <c r="M47" s="724"/>
      <c r="N47" s="724"/>
      <c r="O47" s="724"/>
      <c r="P47" s="727">
        <f t="shared" si="0"/>
        <v>900</v>
      </c>
      <c r="Q47" s="728">
        <f>SUMIF([3]预发!C:C,C47,[3]预发!D:D)</f>
        <v>0</v>
      </c>
      <c r="R47" s="729"/>
      <c r="S47" s="729"/>
      <c r="T47" s="729">
        <f>SUMIF('[3]社保+公积金03'!C:C,C47,'[3]社保+公积金03'!E:E)</f>
        <v>734.08</v>
      </c>
      <c r="U47" s="729">
        <f>SUMIF('[3]社保+公积金03'!C:C,C47,'[3]社保+公积金03'!I:I)</f>
        <v>346.39</v>
      </c>
      <c r="V47" s="729">
        <f>SUMIF('[3]社保+公积金03'!C:C,C47,'[3]社保+公积金03'!G:G)</f>
        <v>27.53</v>
      </c>
      <c r="W47" s="729">
        <f>SUMIF('[3]社保+公积金03'!C:C,C47,'[3]社保+公积金03'!L:L)</f>
        <v>9.18</v>
      </c>
      <c r="X47" s="729">
        <f>SUMIF('[3]社保+公积金03'!C:C,C47,'[3]社保+公积金03'!K:K)</f>
        <v>34.409999999999997</v>
      </c>
      <c r="Y47" s="729">
        <f>SUMIF('[3]社保+公积金03'!C:C,C47,'[3]社保+公积金03'!N:N)</f>
        <v>0</v>
      </c>
      <c r="Z47" s="729">
        <f>SUMIF('[3]社保+公积金03'!C:C,C47,'[3]社保+公积金03'!P:P)</f>
        <v>117</v>
      </c>
      <c r="AA47" s="729">
        <f t="shared" si="2"/>
        <v>1268.5899999999999</v>
      </c>
      <c r="AB47" s="729">
        <f>SUMIF('[3]社保+公积金03'!C:C,C47,'[3]社保+公积金03'!S:S)</f>
        <v>477.15</v>
      </c>
      <c r="AC47" s="729">
        <f>SUMIF('[3]社保+公积金03'!C:C,C47,'[3]社保+公积金03'!Q:Q)</f>
        <v>117</v>
      </c>
      <c r="AD47" s="729">
        <f>SUMIF([3]服装!B:B,C47,[3]服装!G:G)</f>
        <v>59</v>
      </c>
      <c r="AE47" s="729">
        <v>10</v>
      </c>
      <c r="AF47" s="730">
        <f>SUMIF([3]其他综合扣款!B:B,C47,[3]其他综合扣款!H:H)</f>
        <v>0</v>
      </c>
      <c r="AG47" s="729">
        <f t="shared" si="3"/>
        <v>663.15</v>
      </c>
      <c r="AH47" s="731">
        <f t="shared" si="4"/>
        <v>236.85</v>
      </c>
      <c r="AI47" s="736"/>
      <c r="AJ47" s="733"/>
      <c r="AK47" s="759"/>
      <c r="AL47" s="759"/>
      <c r="AM47" s="759"/>
      <c r="AN47" s="759"/>
      <c r="AO47" s="759"/>
      <c r="AP47" s="759"/>
      <c r="AQ47" s="759"/>
      <c r="AR47" s="759"/>
      <c r="AS47" s="759"/>
      <c r="AT47" s="759"/>
      <c r="AU47" s="759"/>
      <c r="AV47" s="759"/>
      <c r="AW47" s="759"/>
      <c r="AX47" s="759"/>
      <c r="AY47" s="759"/>
      <c r="AZ47" s="759"/>
      <c r="BA47" s="759"/>
    </row>
    <row r="48" spans="1:55" s="692" customFormat="1" ht="20.100000000000001" customHeight="1">
      <c r="A48" s="722">
        <v>42</v>
      </c>
      <c r="B48" s="774" t="s">
        <v>587</v>
      </c>
      <c r="C48" s="740" t="s">
        <v>79</v>
      </c>
      <c r="D48" s="735" t="s">
        <v>590</v>
      </c>
      <c r="E48" s="740" t="s">
        <v>589</v>
      </c>
      <c r="F48" s="724">
        <v>700</v>
      </c>
      <c r="G48" s="724">
        <v>200</v>
      </c>
      <c r="H48" s="724"/>
      <c r="I48" s="726">
        <f>SUMIF([3]售后加班情况!C:C,'[3]工资表(超市）-武侯售后'!C48,[3]售后加班情况!G:G)</f>
        <v>0</v>
      </c>
      <c r="J48" s="713">
        <f>SUMIF('[3]8月高温补贴'!B:B,C48,'[3]8月高温补贴'!M:M)</f>
        <v>0</v>
      </c>
      <c r="K48" s="724"/>
      <c r="L48" s="724"/>
      <c r="M48" s="724"/>
      <c r="N48" s="724">
        <f>900/30*0.5</f>
        <v>15</v>
      </c>
      <c r="O48" s="724"/>
      <c r="P48" s="727">
        <f t="shared" si="0"/>
        <v>885</v>
      </c>
      <c r="Q48" s="728">
        <f>SUMIF([3]预发!C:C,C48,[3]预发!D:D)</f>
        <v>0</v>
      </c>
      <c r="R48" s="729"/>
      <c r="S48" s="729"/>
      <c r="T48" s="729">
        <f>SUMIF('[3]社保+公积金03'!C:C,C48,'[3]社保+公积金03'!E:E)</f>
        <v>734.08</v>
      </c>
      <c r="U48" s="729">
        <f>SUMIF('[3]社保+公积金03'!C:C,C48,'[3]社保+公积金03'!I:I)</f>
        <v>346.39</v>
      </c>
      <c r="V48" s="729">
        <f>SUMIF('[3]社保+公积金03'!C:C,C48,'[3]社保+公积金03'!G:G)</f>
        <v>27.53</v>
      </c>
      <c r="W48" s="729">
        <f>SUMIF('[3]社保+公积金03'!C:C,C48,'[3]社保+公积金03'!L:L)</f>
        <v>9.18</v>
      </c>
      <c r="X48" s="729">
        <f>SUMIF('[3]社保+公积金03'!C:C,C48,'[3]社保+公积金03'!K:K)</f>
        <v>34.409999999999997</v>
      </c>
      <c r="Y48" s="729">
        <f>SUMIF('[3]社保+公积金03'!C:C,C48,'[3]社保+公积金03'!N:N)</f>
        <v>0</v>
      </c>
      <c r="Z48" s="729">
        <f>SUMIF('[3]社保+公积金03'!C:C,C48,'[3]社保+公积金03'!P:P)</f>
        <v>117</v>
      </c>
      <c r="AA48" s="729">
        <f t="shared" si="2"/>
        <v>1268.5899999999999</v>
      </c>
      <c r="AB48" s="729">
        <f>SUMIF('[3]社保+公积金03'!C:C,C48,'[3]社保+公积金03'!S:S)</f>
        <v>477.15</v>
      </c>
      <c r="AC48" s="729">
        <f>SUMIF('[3]社保+公积金03'!C:C,C48,'[3]社保+公积金03'!Q:Q)</f>
        <v>117</v>
      </c>
      <c r="AD48" s="729">
        <f>SUMIF([3]服装!B:B,C48,[3]服装!G:G)</f>
        <v>59</v>
      </c>
      <c r="AE48" s="729">
        <v>10</v>
      </c>
      <c r="AF48" s="730">
        <f>SUMIF([3]其他综合扣款!B:B,C48,[3]其他综合扣款!H:H)</f>
        <v>0</v>
      </c>
      <c r="AG48" s="729">
        <f t="shared" si="3"/>
        <v>663.15</v>
      </c>
      <c r="AH48" s="731">
        <f t="shared" si="4"/>
        <v>221.85</v>
      </c>
      <c r="AI48" s="736"/>
      <c r="AJ48" s="733"/>
      <c r="AK48" s="759"/>
      <c r="AL48" s="759"/>
      <c r="AM48" s="759"/>
      <c r="AN48" s="759"/>
      <c r="AO48" s="759"/>
      <c r="AP48" s="759"/>
      <c r="AQ48" s="759"/>
      <c r="AR48" s="759"/>
      <c r="AS48" s="759"/>
      <c r="AT48" s="759"/>
      <c r="AU48" s="759"/>
      <c r="AV48" s="759"/>
      <c r="AW48" s="759"/>
      <c r="AX48" s="759"/>
      <c r="AY48" s="759"/>
      <c r="AZ48" s="759"/>
      <c r="BA48" s="759"/>
    </row>
    <row r="49" spans="1:53" s="692" customFormat="1" ht="21" customHeight="1">
      <c r="A49" s="722">
        <v>43</v>
      </c>
      <c r="B49" s="774" t="s">
        <v>587</v>
      </c>
      <c r="C49" s="740" t="s">
        <v>87</v>
      </c>
      <c r="D49" s="776"/>
      <c r="E49" s="740" t="s">
        <v>589</v>
      </c>
      <c r="F49" s="724">
        <v>700</v>
      </c>
      <c r="G49" s="724">
        <v>200</v>
      </c>
      <c r="H49" s="724"/>
      <c r="I49" s="726">
        <f>SUMIF([3]售后加班情况!C:C,'[3]工资表(超市）-武侯售后'!C49,[3]售后加班情况!G:G)</f>
        <v>0</v>
      </c>
      <c r="J49" s="713">
        <f>SUMIF('[3]8月高温补贴'!B:B,C49,'[3]8月高温补贴'!M:M)</f>
        <v>0</v>
      </c>
      <c r="K49" s="724"/>
      <c r="L49" s="724"/>
      <c r="M49" s="724"/>
      <c r="N49" s="724"/>
      <c r="O49" s="724"/>
      <c r="P49" s="727">
        <f t="shared" si="0"/>
        <v>900</v>
      </c>
      <c r="Q49" s="728">
        <f>SUMIF([3]预发!C:C,C49,[3]预发!D:D)</f>
        <v>0</v>
      </c>
      <c r="R49" s="729"/>
      <c r="S49" s="729"/>
      <c r="T49" s="729">
        <f>SUMIF('[3]社保+公积金03'!C:C,C49,'[3]社保+公积金03'!E:E)</f>
        <v>734.08</v>
      </c>
      <c r="U49" s="729">
        <f>SUMIF('[3]社保+公积金03'!C:C,C49,'[3]社保+公积金03'!I:I)</f>
        <v>346.39</v>
      </c>
      <c r="V49" s="729">
        <f>SUMIF('[3]社保+公积金03'!C:C,C49,'[3]社保+公积金03'!G:G)</f>
        <v>27.53</v>
      </c>
      <c r="W49" s="729">
        <f>SUMIF('[3]社保+公积金03'!C:C,C49,'[3]社保+公积金03'!L:L)</f>
        <v>9.18</v>
      </c>
      <c r="X49" s="729">
        <f>SUMIF('[3]社保+公积金03'!C:C,C49,'[3]社保+公积金03'!K:K)</f>
        <v>34.409999999999997</v>
      </c>
      <c r="Y49" s="729">
        <f>SUMIF('[3]社保+公积金03'!C:C,C49,'[3]社保+公积金03'!N:N)</f>
        <v>0</v>
      </c>
      <c r="Z49" s="729">
        <f>SUMIF('[3]社保+公积金03'!C:C,C49,'[3]社保+公积金03'!P:P)</f>
        <v>117</v>
      </c>
      <c r="AA49" s="729">
        <f t="shared" si="2"/>
        <v>1268.5899999999999</v>
      </c>
      <c r="AB49" s="729">
        <f>SUMIF('[3]社保+公积金03'!C:C,C49,'[3]社保+公积金03'!S:S)</f>
        <v>477.15</v>
      </c>
      <c r="AC49" s="729">
        <f>SUMIF('[3]社保+公积金03'!C:C,C49,'[3]社保+公积金03'!Q:Q)</f>
        <v>117</v>
      </c>
      <c r="AD49" s="729">
        <f>SUMIF([3]服装!B:B,C49,[3]服装!G:G)</f>
        <v>59</v>
      </c>
      <c r="AE49" s="729">
        <v>10</v>
      </c>
      <c r="AF49" s="730">
        <f>SUMIF([3]其他综合扣款!B:B,C49,[3]其他综合扣款!H:H)</f>
        <v>0</v>
      </c>
      <c r="AG49" s="729">
        <f t="shared" si="3"/>
        <v>663.15</v>
      </c>
      <c r="AH49" s="731">
        <f t="shared" si="4"/>
        <v>236.85</v>
      </c>
      <c r="AI49" s="736"/>
      <c r="AJ49" s="733"/>
      <c r="AK49" s="759"/>
      <c r="AL49" s="759"/>
      <c r="AM49" s="759"/>
      <c r="AN49" s="759"/>
      <c r="AO49" s="759"/>
      <c r="AP49" s="759"/>
      <c r="AQ49" s="759"/>
      <c r="AR49" s="759"/>
      <c r="AS49" s="759"/>
      <c r="AT49" s="759"/>
      <c r="AU49" s="759"/>
      <c r="AV49" s="759"/>
      <c r="AW49" s="759"/>
      <c r="AX49" s="759"/>
      <c r="AY49" s="759"/>
      <c r="AZ49" s="759"/>
      <c r="BA49" s="759"/>
    </row>
    <row r="50" spans="1:53" s="692" customFormat="1" ht="21" customHeight="1">
      <c r="A50" s="722">
        <v>44</v>
      </c>
      <c r="B50" s="774" t="s">
        <v>587</v>
      </c>
      <c r="C50" s="740" t="s">
        <v>86</v>
      </c>
      <c r="D50" s="776"/>
      <c r="E50" s="740" t="s">
        <v>589</v>
      </c>
      <c r="F50" s="724">
        <v>700</v>
      </c>
      <c r="G50" s="724">
        <v>200</v>
      </c>
      <c r="H50" s="724"/>
      <c r="I50" s="726">
        <f>SUMIF([3]售后加班情况!C:C,'[3]工资表(超市）-武侯售后'!C50,[3]售后加班情况!G:G)</f>
        <v>0</v>
      </c>
      <c r="J50" s="713">
        <f>SUMIF('[3]8月高温补贴'!B:B,C50,'[3]8月高温补贴'!M:M)</f>
        <v>0</v>
      </c>
      <c r="K50" s="724"/>
      <c r="L50" s="724"/>
      <c r="M50" s="724"/>
      <c r="N50" s="724"/>
      <c r="O50" s="724"/>
      <c r="P50" s="727">
        <f t="shared" si="0"/>
        <v>900</v>
      </c>
      <c r="Q50" s="728">
        <f>SUMIF([3]预发!C:C,C50,[3]预发!D:D)</f>
        <v>0</v>
      </c>
      <c r="R50" s="729"/>
      <c r="S50" s="729"/>
      <c r="T50" s="729">
        <f>SUMIF('[3]社保+公积金03'!C:C,C50,'[3]社保+公积金03'!E:E)</f>
        <v>734.08</v>
      </c>
      <c r="U50" s="729">
        <f>SUMIF('[3]社保+公积金03'!C:C,C50,'[3]社保+公积金03'!I:I)</f>
        <v>346.39</v>
      </c>
      <c r="V50" s="729">
        <f>SUMIF('[3]社保+公积金03'!C:C,C50,'[3]社保+公积金03'!G:G)</f>
        <v>27.53</v>
      </c>
      <c r="W50" s="729">
        <f>SUMIF('[3]社保+公积金03'!C:C,C50,'[3]社保+公积金03'!L:L)</f>
        <v>9.18</v>
      </c>
      <c r="X50" s="729">
        <f>SUMIF('[3]社保+公积金03'!C:C,C50,'[3]社保+公积金03'!K:K)</f>
        <v>34.409999999999997</v>
      </c>
      <c r="Y50" s="729">
        <f>SUMIF('[3]社保+公积金03'!C:C,C50,'[3]社保+公积金03'!N:N)</f>
        <v>0</v>
      </c>
      <c r="Z50" s="729">
        <f>SUMIF('[3]社保+公积金03'!C:C,C50,'[3]社保+公积金03'!P:P)</f>
        <v>117</v>
      </c>
      <c r="AA50" s="729">
        <f t="shared" si="2"/>
        <v>1268.5899999999999</v>
      </c>
      <c r="AB50" s="729">
        <f>SUMIF('[3]社保+公积金03'!C:C,C50,'[3]社保+公积金03'!S:S)</f>
        <v>477.15</v>
      </c>
      <c r="AC50" s="729">
        <f>SUMIF('[3]社保+公积金03'!C:C,C50,'[3]社保+公积金03'!Q:Q)</f>
        <v>117</v>
      </c>
      <c r="AD50" s="729">
        <f>SUMIF([3]服装!B:B,C50,[3]服装!G:G)</f>
        <v>59</v>
      </c>
      <c r="AE50" s="729">
        <v>10</v>
      </c>
      <c r="AF50" s="730">
        <f>SUMIF([3]其他综合扣款!B:B,C50,[3]其他综合扣款!H:H)</f>
        <v>0</v>
      </c>
      <c r="AG50" s="729">
        <f t="shared" si="3"/>
        <v>663.15</v>
      </c>
      <c r="AH50" s="731">
        <f t="shared" si="4"/>
        <v>236.85</v>
      </c>
      <c r="AI50" s="736"/>
      <c r="AJ50" s="733"/>
      <c r="AK50" s="759"/>
      <c r="AL50" s="759"/>
      <c r="AM50" s="759"/>
      <c r="AN50" s="759"/>
      <c r="AO50" s="759"/>
      <c r="AP50" s="759"/>
      <c r="AQ50" s="759"/>
      <c r="AR50" s="759"/>
      <c r="AS50" s="759"/>
      <c r="AT50" s="759"/>
      <c r="AU50" s="759"/>
      <c r="AV50" s="759"/>
      <c r="AW50" s="759"/>
      <c r="AX50" s="759"/>
      <c r="AY50" s="759"/>
      <c r="AZ50" s="759"/>
      <c r="BA50" s="759"/>
    </row>
    <row r="51" spans="1:53" s="692" customFormat="1" ht="45" customHeight="1">
      <c r="A51" s="722">
        <v>45</v>
      </c>
      <c r="B51" s="774" t="s">
        <v>587</v>
      </c>
      <c r="C51" s="777" t="s">
        <v>89</v>
      </c>
      <c r="D51" s="776" t="s">
        <v>591</v>
      </c>
      <c r="E51" s="740" t="s">
        <v>589</v>
      </c>
      <c r="F51" s="724">
        <f>5000/30*3</f>
        <v>500</v>
      </c>
      <c r="G51" s="724"/>
      <c r="H51" s="724"/>
      <c r="I51" s="726">
        <f>SUMIF([3]售后加班情况!C:C,'[3]工资表(超市）-武侯售后'!C51,[3]售后加班情况!G:G)</f>
        <v>0</v>
      </c>
      <c r="J51" s="713">
        <f>SUMIF('[3]8月高温补贴'!B:B,C51,'[3]8月高温补贴'!M:M)</f>
        <v>0</v>
      </c>
      <c r="K51" s="724"/>
      <c r="L51" s="724"/>
      <c r="M51" s="724"/>
      <c r="N51" s="724"/>
      <c r="O51" s="724"/>
      <c r="P51" s="727">
        <f t="shared" si="0"/>
        <v>500</v>
      </c>
      <c r="Q51" s="728">
        <f>SUMIF([3]预发!C:C,C51,[3]预发!D:D)</f>
        <v>0</v>
      </c>
      <c r="R51" s="729"/>
      <c r="S51" s="729"/>
      <c r="T51" s="729">
        <f>SUMIF('[3]社保+公积金03'!C:C,C51,'[3]社保+公积金03'!E:E)</f>
        <v>0</v>
      </c>
      <c r="U51" s="729">
        <f>SUMIF('[3]社保+公积金03'!C:C,C51,'[3]社保+公积金03'!I:I)</f>
        <v>0</v>
      </c>
      <c r="V51" s="729">
        <f>SUMIF('[3]社保+公积金03'!C:C,C51,'[3]社保+公积金03'!G:G)</f>
        <v>0</v>
      </c>
      <c r="W51" s="729">
        <f>SUMIF('[3]社保+公积金03'!C:C,C51,'[3]社保+公积金03'!L:L)</f>
        <v>0</v>
      </c>
      <c r="X51" s="729">
        <f>SUMIF('[3]社保+公积金03'!C:C,C51,'[3]社保+公积金03'!K:K)</f>
        <v>0</v>
      </c>
      <c r="Y51" s="729">
        <f>SUMIF('[3]社保+公积金03'!C:C,C51,'[3]社保+公积金03'!N:N)</f>
        <v>0</v>
      </c>
      <c r="Z51" s="729">
        <f>SUMIF('[3]社保+公积金03'!C:C,C51,'[3]社保+公积金03'!P:P)</f>
        <v>0</v>
      </c>
      <c r="AA51" s="729">
        <f t="shared" si="2"/>
        <v>0</v>
      </c>
      <c r="AB51" s="729">
        <f>SUMIF('[3]社保+公积金03'!C:C,C51,'[3]社保+公积金03'!S:S)</f>
        <v>0</v>
      </c>
      <c r="AC51" s="729">
        <f>SUMIF('[3]社保+公积金03'!C:C,C51,'[3]社保+公积金03'!Q:Q)</f>
        <v>0</v>
      </c>
      <c r="AD51" s="729">
        <f>SUMIF([3]服装!B:B,C51,[3]服装!G:G)</f>
        <v>0</v>
      </c>
      <c r="AE51" s="729"/>
      <c r="AF51" s="730">
        <f>SUMIF([3]其他综合扣款!B:B,C51,[3]其他综合扣款!H:H)</f>
        <v>0</v>
      </c>
      <c r="AG51" s="729">
        <f t="shared" si="3"/>
        <v>0</v>
      </c>
      <c r="AH51" s="731">
        <f t="shared" si="4"/>
        <v>500</v>
      </c>
      <c r="AI51" s="736"/>
      <c r="AJ51" s="733"/>
      <c r="AK51" s="759"/>
      <c r="AL51" s="759"/>
      <c r="AM51" s="759"/>
      <c r="AN51" s="759"/>
      <c r="AO51" s="759"/>
      <c r="AP51" s="759"/>
      <c r="AQ51" s="759"/>
      <c r="AR51" s="759"/>
      <c r="AS51" s="759"/>
      <c r="AT51" s="759"/>
      <c r="AU51" s="759"/>
      <c r="AV51" s="759"/>
      <c r="AW51" s="759"/>
      <c r="AX51" s="759"/>
      <c r="AY51" s="759"/>
      <c r="AZ51" s="759"/>
      <c r="BA51" s="759"/>
    </row>
    <row r="52" spans="1:53" s="692" customFormat="1" ht="36.9" customHeight="1">
      <c r="A52" s="722">
        <v>46</v>
      </c>
      <c r="B52" s="774" t="s">
        <v>587</v>
      </c>
      <c r="C52" s="777" t="s">
        <v>84</v>
      </c>
      <c r="D52" s="778" t="s">
        <v>592</v>
      </c>
      <c r="E52" s="740" t="s">
        <v>589</v>
      </c>
      <c r="F52" s="724">
        <f>900/30*14</f>
        <v>420</v>
      </c>
      <c r="G52" s="724"/>
      <c r="H52" s="724"/>
      <c r="I52" s="726">
        <f>SUMIF([3]售后加班情况!C:C,'[3]工资表(超市）-武侯售后'!C52,[3]售后加班情况!G:G)</f>
        <v>0</v>
      </c>
      <c r="J52" s="713">
        <f>SUMIF('[3]8月高温补贴'!B:B,C52,'[3]8月高温补贴'!M:M)</f>
        <v>0</v>
      </c>
      <c r="K52" s="724"/>
      <c r="L52" s="724"/>
      <c r="M52" s="724"/>
      <c r="N52" s="724"/>
      <c r="O52" s="724"/>
      <c r="P52" s="727">
        <f t="shared" si="0"/>
        <v>420</v>
      </c>
      <c r="Q52" s="728">
        <f>SUMIF([3]预发!C:C,C52,[3]预发!D:D)</f>
        <v>0</v>
      </c>
      <c r="R52" s="729"/>
      <c r="S52" s="729"/>
      <c r="T52" s="729">
        <f>SUMIF('[3]社保+公积金03'!C:C,C52,'[3]社保+公积金03'!E:E)</f>
        <v>0</v>
      </c>
      <c r="U52" s="729">
        <f>SUMIF('[3]社保+公积金03'!C:C,C52,'[3]社保+公积金03'!I:I)</f>
        <v>0</v>
      </c>
      <c r="V52" s="729">
        <f>SUMIF('[3]社保+公积金03'!C:C,C52,'[3]社保+公积金03'!G:G)</f>
        <v>0</v>
      </c>
      <c r="W52" s="729">
        <f>SUMIF('[3]社保+公积金03'!C:C,C52,'[3]社保+公积金03'!L:L)</f>
        <v>0</v>
      </c>
      <c r="X52" s="729">
        <f>SUMIF('[3]社保+公积金03'!C:C,C52,'[3]社保+公积金03'!K:K)</f>
        <v>0</v>
      </c>
      <c r="Y52" s="729">
        <f>SUMIF('[3]社保+公积金03'!C:C,C52,'[3]社保+公积金03'!N:N)</f>
        <v>0</v>
      </c>
      <c r="Z52" s="729">
        <f>SUMIF('[3]社保+公积金03'!C:C,C52,'[3]社保+公积金03'!P:P)</f>
        <v>0</v>
      </c>
      <c r="AA52" s="729">
        <f t="shared" si="2"/>
        <v>0</v>
      </c>
      <c r="AB52" s="729">
        <f>SUMIF('[3]社保+公积金03'!C:C,C52,'[3]社保+公积金03'!S:S)</f>
        <v>0</v>
      </c>
      <c r="AC52" s="729">
        <f>SUMIF('[3]社保+公积金03'!C:C,C52,'[3]社保+公积金03'!Q:Q)</f>
        <v>0</v>
      </c>
      <c r="AD52" s="729">
        <f>SUMIF([3]服装!B:B,C52,[3]服装!G:G)</f>
        <v>0</v>
      </c>
      <c r="AE52" s="729"/>
      <c r="AF52" s="730">
        <f>SUMIF([3]其他综合扣款!B:B,C52,[3]其他综合扣款!H:H)</f>
        <v>0</v>
      </c>
      <c r="AG52" s="729">
        <f t="shared" si="3"/>
        <v>0</v>
      </c>
      <c r="AH52" s="731">
        <f t="shared" si="4"/>
        <v>420</v>
      </c>
      <c r="AI52" s="736"/>
      <c r="AJ52" s="733"/>
      <c r="AK52" s="759"/>
      <c r="AL52" s="759"/>
      <c r="AM52" s="759"/>
      <c r="AN52" s="759"/>
      <c r="AO52" s="759"/>
      <c r="AP52" s="759"/>
      <c r="AQ52" s="759"/>
      <c r="AR52" s="759"/>
      <c r="AS52" s="759"/>
      <c r="AT52" s="759"/>
      <c r="AU52" s="759"/>
      <c r="AV52" s="759"/>
      <c r="AW52" s="759"/>
      <c r="AX52" s="759"/>
      <c r="AY52" s="759"/>
      <c r="AZ52" s="759"/>
      <c r="BA52" s="759"/>
    </row>
    <row r="53" spans="1:53" s="692" customFormat="1" ht="41.1" customHeight="1">
      <c r="A53" s="722">
        <v>47</v>
      </c>
      <c r="B53" s="774" t="s">
        <v>587</v>
      </c>
      <c r="C53" s="777" t="s">
        <v>85</v>
      </c>
      <c r="D53" s="776" t="s">
        <v>593</v>
      </c>
      <c r="E53" s="740" t="s">
        <v>589</v>
      </c>
      <c r="F53" s="724">
        <f>900/30*6</f>
        <v>180</v>
      </c>
      <c r="G53" s="724"/>
      <c r="H53" s="724"/>
      <c r="I53" s="726">
        <f>SUMIF([3]售后加班情况!C:C,'[3]工资表(超市）-武侯售后'!C53,[3]售后加班情况!G:G)</f>
        <v>0</v>
      </c>
      <c r="J53" s="713">
        <f>SUMIF('[3]8月高温补贴'!B:B,C53,'[3]8月高温补贴'!M:M)</f>
        <v>0</v>
      </c>
      <c r="K53" s="724"/>
      <c r="L53" s="724"/>
      <c r="M53" s="724"/>
      <c r="N53" s="724"/>
      <c r="O53" s="724"/>
      <c r="P53" s="727">
        <f t="shared" si="0"/>
        <v>180</v>
      </c>
      <c r="Q53" s="728">
        <f>SUMIF([3]预发!C:C,C53,[3]预发!D:D)</f>
        <v>0</v>
      </c>
      <c r="R53" s="729"/>
      <c r="S53" s="729"/>
      <c r="T53" s="729">
        <f>SUMIF('[3]社保+公积金03'!C:C,C53,'[3]社保+公积金03'!E:E)</f>
        <v>0</v>
      </c>
      <c r="U53" s="729">
        <f>SUMIF('[3]社保+公积金03'!C:C,C53,'[3]社保+公积金03'!I:I)</f>
        <v>0</v>
      </c>
      <c r="V53" s="729">
        <f>SUMIF('[3]社保+公积金03'!C:C,C53,'[3]社保+公积金03'!G:G)</f>
        <v>0</v>
      </c>
      <c r="W53" s="729">
        <f>SUMIF('[3]社保+公积金03'!C:C,C53,'[3]社保+公积金03'!L:L)</f>
        <v>0</v>
      </c>
      <c r="X53" s="729">
        <f>SUMIF('[3]社保+公积金03'!C:C,C53,'[3]社保+公积金03'!K:K)</f>
        <v>0</v>
      </c>
      <c r="Y53" s="729">
        <f>SUMIF('[3]社保+公积金03'!C:C,C53,'[3]社保+公积金03'!N:N)</f>
        <v>0</v>
      </c>
      <c r="Z53" s="729">
        <f>SUMIF('[3]社保+公积金03'!C:C,C53,'[3]社保+公积金03'!P:P)</f>
        <v>0</v>
      </c>
      <c r="AA53" s="729">
        <f t="shared" si="2"/>
        <v>0</v>
      </c>
      <c r="AB53" s="729">
        <f>SUMIF('[3]社保+公积金03'!C:C,C53,'[3]社保+公积金03'!S:S)</f>
        <v>0</v>
      </c>
      <c r="AC53" s="729">
        <f>SUMIF('[3]社保+公积金03'!C:C,C53,'[3]社保+公积金03'!Q:Q)</f>
        <v>0</v>
      </c>
      <c r="AD53" s="729">
        <f>SUMIF([3]服装!B:B,C53,[3]服装!G:G)</f>
        <v>0</v>
      </c>
      <c r="AE53" s="729"/>
      <c r="AF53" s="730">
        <f>SUMIF([3]其他综合扣款!B:B,C53,[3]其他综合扣款!H:H)</f>
        <v>0</v>
      </c>
      <c r="AG53" s="729">
        <f t="shared" si="3"/>
        <v>0</v>
      </c>
      <c r="AH53" s="731">
        <f t="shared" si="4"/>
        <v>180</v>
      </c>
      <c r="AI53" s="736"/>
      <c r="AJ53" s="733"/>
      <c r="AK53" s="759"/>
      <c r="AL53" s="759"/>
      <c r="AM53" s="759"/>
      <c r="AN53" s="759"/>
      <c r="AO53" s="759"/>
      <c r="AP53" s="759"/>
      <c r="AQ53" s="759"/>
      <c r="AR53" s="759"/>
      <c r="AS53" s="759"/>
      <c r="AT53" s="759"/>
      <c r="AU53" s="759"/>
      <c r="AV53" s="759"/>
      <c r="AW53" s="759"/>
      <c r="AX53" s="759"/>
      <c r="AY53" s="759"/>
      <c r="AZ53" s="759"/>
      <c r="BA53" s="759"/>
    </row>
    <row r="54" spans="1:53" s="691" customFormat="1" ht="20.100000000000001" customHeight="1">
      <c r="A54" s="722">
        <v>48</v>
      </c>
      <c r="B54" s="774" t="s">
        <v>199</v>
      </c>
      <c r="C54" s="740" t="s">
        <v>93</v>
      </c>
      <c r="D54" s="776"/>
      <c r="E54" s="740" t="s">
        <v>594</v>
      </c>
      <c r="F54" s="724">
        <v>1200</v>
      </c>
      <c r="G54" s="724">
        <v>300</v>
      </c>
      <c r="H54" s="724">
        <v>200</v>
      </c>
      <c r="I54" s="726">
        <f>SUMIF([3]售后加班情况!C:C,'[3]工资表(超市）-武侯售后'!C54,[3]售后加班情况!G:G)</f>
        <v>0</v>
      </c>
      <c r="J54" s="713">
        <f>SUMIF('[3]8月高温补贴'!B:B,C54,'[3]8月高温补贴'!M:M)</f>
        <v>0</v>
      </c>
      <c r="K54" s="724"/>
      <c r="L54" s="724"/>
      <c r="M54" s="724"/>
      <c r="N54" s="724"/>
      <c r="O54" s="724"/>
      <c r="P54" s="727">
        <f t="shared" si="0"/>
        <v>1700</v>
      </c>
      <c r="Q54" s="728">
        <f>SUMIF([3]预发!C:C,C54,[3]预发!D:D)</f>
        <v>0</v>
      </c>
      <c r="R54" s="729"/>
      <c r="S54" s="729">
        <f t="shared" ref="S54:S59" si="5">SUM(Q54:R54)</f>
        <v>0</v>
      </c>
      <c r="T54" s="729">
        <f>SUMIF('[3]社保+公积金03'!C:C,C54,'[3]社保+公积金03'!E:E)</f>
        <v>800</v>
      </c>
      <c r="U54" s="729">
        <f>SUMIF('[3]社保+公积金03'!C:C,C54,'[3]社保+公积金03'!I:I)</f>
        <v>377.5</v>
      </c>
      <c r="V54" s="729">
        <f>SUMIF('[3]社保+公积金03'!C:C,C54,'[3]社保+公积金03'!G:G)</f>
        <v>30</v>
      </c>
      <c r="W54" s="729">
        <f>SUMIF('[3]社保+公积金03'!C:C,C54,'[3]社保+公积金03'!L:L)</f>
        <v>10</v>
      </c>
      <c r="X54" s="729">
        <f>SUMIF('[3]社保+公积金03'!C:C,C54,'[3]社保+公积金03'!K:K)</f>
        <v>37.5</v>
      </c>
      <c r="Y54" s="729">
        <f>SUMIF('[3]社保+公积金03'!C:C,C54,'[3]社保+公积金03'!N:N)</f>
        <v>0</v>
      </c>
      <c r="Z54" s="729">
        <f>SUMIF('[3]社保+公积金03'!C:C,C54,'[3]社保+公积金03'!P:P)</f>
        <v>117</v>
      </c>
      <c r="AA54" s="729">
        <f t="shared" si="2"/>
        <v>1372</v>
      </c>
      <c r="AB54" s="729">
        <f>SUMIF('[3]社保+公积金03'!C:C,C54,'[3]社保+公积金03'!S:S)</f>
        <v>520</v>
      </c>
      <c r="AC54" s="729">
        <f>SUMIF('[3]社保+公积金03'!C:C,C54,'[3]社保+公积金03'!Q:Q)</f>
        <v>117</v>
      </c>
      <c r="AD54" s="729">
        <f>SUMIF([3]服装!B:B,C54,[3]服装!G:G)</f>
        <v>0</v>
      </c>
      <c r="AE54" s="729">
        <v>30</v>
      </c>
      <c r="AF54" s="730">
        <f>SUMIF([3]其他综合扣款!B:B,C54,[3]其他综合扣款!H:H)</f>
        <v>0</v>
      </c>
      <c r="AG54" s="729">
        <f t="shared" si="3"/>
        <v>667</v>
      </c>
      <c r="AH54" s="731">
        <f t="shared" si="4"/>
        <v>1033</v>
      </c>
      <c r="AI54" s="736"/>
      <c r="AJ54" s="733"/>
    </row>
    <row r="55" spans="1:53" s="691" customFormat="1" ht="20.100000000000001" customHeight="1">
      <c r="A55" s="722">
        <v>49</v>
      </c>
      <c r="B55" s="774" t="s">
        <v>199</v>
      </c>
      <c r="C55" s="740" t="s">
        <v>95</v>
      </c>
      <c r="D55" s="776"/>
      <c r="E55" s="740" t="s">
        <v>595</v>
      </c>
      <c r="F55" s="724">
        <v>700</v>
      </c>
      <c r="G55" s="724">
        <v>200</v>
      </c>
      <c r="H55" s="724"/>
      <c r="I55" s="726">
        <f>SUMIF([3]售后加班情况!C:C,'[3]工资表(超市）-武侯售后'!C55,[3]售后加班情况!G:G)</f>
        <v>0</v>
      </c>
      <c r="J55" s="713">
        <f>SUMIF('[3]8月高温补贴'!B:B,C55,'[3]8月高温补贴'!M:M)</f>
        <v>0</v>
      </c>
      <c r="K55" s="724"/>
      <c r="L55" s="724"/>
      <c r="M55" s="724"/>
      <c r="N55" s="724"/>
      <c r="O55" s="724"/>
      <c r="P55" s="727">
        <f t="shared" si="0"/>
        <v>900</v>
      </c>
      <c r="Q55" s="728">
        <f>SUMIF([3]预发!C:C,C55,[3]预发!D:D)</f>
        <v>0</v>
      </c>
      <c r="R55" s="729"/>
      <c r="S55" s="729">
        <f t="shared" si="5"/>
        <v>0</v>
      </c>
      <c r="T55" s="729">
        <f>SUMIF('[3]社保+公积金03'!C:C,C55,'[3]社保+公积金03'!E:E)</f>
        <v>734.08</v>
      </c>
      <c r="U55" s="729">
        <f>SUMIF('[3]社保+公积金03'!C:C,C55,'[3]社保+公积金03'!I:I)</f>
        <v>346.39</v>
      </c>
      <c r="V55" s="729">
        <f>SUMIF('[3]社保+公积金03'!C:C,C55,'[3]社保+公积金03'!G:G)</f>
        <v>27.53</v>
      </c>
      <c r="W55" s="729">
        <f>SUMIF('[3]社保+公积金03'!C:C,C55,'[3]社保+公积金03'!L:L)</f>
        <v>9.18</v>
      </c>
      <c r="X55" s="729">
        <f>SUMIF('[3]社保+公积金03'!C:C,C55,'[3]社保+公积金03'!K:K)</f>
        <v>34.409999999999997</v>
      </c>
      <c r="Y55" s="729">
        <f>SUMIF('[3]社保+公积金03'!C:C,C55,'[3]社保+公积金03'!N:N)</f>
        <v>0</v>
      </c>
      <c r="Z55" s="729">
        <f>SUMIF('[3]社保+公积金03'!C:C,C55,'[3]社保+公积金03'!P:P)</f>
        <v>117</v>
      </c>
      <c r="AA55" s="729">
        <f t="shared" si="2"/>
        <v>1268.5899999999999</v>
      </c>
      <c r="AB55" s="729">
        <f>SUMIF('[3]社保+公积金03'!C:C,C55,'[3]社保+公积金03'!S:S)</f>
        <v>477.15</v>
      </c>
      <c r="AC55" s="729">
        <f>SUMIF('[3]社保+公积金03'!C:C,C55,'[3]社保+公积金03'!Q:Q)</f>
        <v>117</v>
      </c>
      <c r="AD55" s="729">
        <f>SUMIF([3]服装!B:B,C55,[3]服装!G:G)</f>
        <v>0</v>
      </c>
      <c r="AE55" s="729">
        <v>10</v>
      </c>
      <c r="AF55" s="730">
        <f>SUMIF([3]其他综合扣款!B:B,C55,[3]其他综合扣款!H:H)</f>
        <v>0</v>
      </c>
      <c r="AG55" s="729">
        <f t="shared" si="3"/>
        <v>604.15</v>
      </c>
      <c r="AH55" s="731">
        <f t="shared" si="4"/>
        <v>295.85000000000002</v>
      </c>
      <c r="AI55" s="736"/>
      <c r="AJ55" s="733"/>
    </row>
    <row r="56" spans="1:53" s="691" customFormat="1" ht="20.100000000000001" customHeight="1">
      <c r="A56" s="722">
        <v>50</v>
      </c>
      <c r="B56" s="774" t="s">
        <v>199</v>
      </c>
      <c r="C56" s="740" t="s">
        <v>94</v>
      </c>
      <c r="D56" s="776"/>
      <c r="E56" s="740" t="s">
        <v>595</v>
      </c>
      <c r="F56" s="724">
        <v>700</v>
      </c>
      <c r="G56" s="724">
        <v>200</v>
      </c>
      <c r="H56" s="724"/>
      <c r="I56" s="726">
        <f>SUMIF([3]售后加班情况!C:C,'[3]工资表(超市）-武侯售后'!C56,[3]售后加班情况!G:G)</f>
        <v>0</v>
      </c>
      <c r="J56" s="713">
        <f>SUMIF('[3]8月高温补贴'!B:B,C56,'[3]8月高温补贴'!M:M)</f>
        <v>0</v>
      </c>
      <c r="K56" s="724"/>
      <c r="L56" s="724"/>
      <c r="M56" s="724"/>
      <c r="N56" s="724"/>
      <c r="O56" s="724"/>
      <c r="P56" s="727">
        <f t="shared" si="0"/>
        <v>900</v>
      </c>
      <c r="Q56" s="728">
        <f>SUMIF([3]预发!C:C,C56,[3]预发!D:D)</f>
        <v>0</v>
      </c>
      <c r="R56" s="729"/>
      <c r="S56" s="729">
        <f t="shared" si="5"/>
        <v>0</v>
      </c>
      <c r="T56" s="729">
        <f>SUMIF('[3]社保+公积金03'!C:C,C56,'[3]社保+公积金03'!E:E)</f>
        <v>734.08</v>
      </c>
      <c r="U56" s="729">
        <f>SUMIF('[3]社保+公积金03'!C:C,C56,'[3]社保+公积金03'!I:I)</f>
        <v>346.39</v>
      </c>
      <c r="V56" s="729">
        <f>SUMIF('[3]社保+公积金03'!C:C,C56,'[3]社保+公积金03'!G:G)</f>
        <v>27.53</v>
      </c>
      <c r="W56" s="729">
        <f>SUMIF('[3]社保+公积金03'!C:C,C56,'[3]社保+公积金03'!L:L)</f>
        <v>9.18</v>
      </c>
      <c r="X56" s="729">
        <f>SUMIF('[3]社保+公积金03'!C:C,C56,'[3]社保+公积金03'!K:K)</f>
        <v>34.409999999999997</v>
      </c>
      <c r="Y56" s="729">
        <f>SUMIF('[3]社保+公积金03'!C:C,C56,'[3]社保+公积金03'!N:N)</f>
        <v>0</v>
      </c>
      <c r="Z56" s="729">
        <f>SUMIF('[3]社保+公积金03'!C:C,C56,'[3]社保+公积金03'!P:P)</f>
        <v>117</v>
      </c>
      <c r="AA56" s="729">
        <f t="shared" si="2"/>
        <v>1268.5899999999999</v>
      </c>
      <c r="AB56" s="729">
        <f>SUMIF('[3]社保+公积金03'!C:C,C56,'[3]社保+公积金03'!S:S)</f>
        <v>477.15</v>
      </c>
      <c r="AC56" s="729">
        <f>SUMIF('[3]社保+公积金03'!C:C,C56,'[3]社保+公积金03'!Q:Q)</f>
        <v>117</v>
      </c>
      <c r="AD56" s="729">
        <f>SUMIF([3]服装!B:B,C56,[3]服装!G:G)</f>
        <v>0</v>
      </c>
      <c r="AE56" s="729">
        <v>10</v>
      </c>
      <c r="AF56" s="730">
        <f>SUMIF([3]其他综合扣款!B:B,C56,[3]其他综合扣款!H:H)</f>
        <v>0</v>
      </c>
      <c r="AG56" s="729">
        <f t="shared" si="3"/>
        <v>604.15</v>
      </c>
      <c r="AH56" s="731">
        <f t="shared" si="4"/>
        <v>295.85000000000002</v>
      </c>
      <c r="AI56" s="736"/>
      <c r="AJ56" s="733"/>
    </row>
    <row r="57" spans="1:53" s="691" customFormat="1" ht="20.100000000000001" customHeight="1">
      <c r="A57" s="722">
        <v>51</v>
      </c>
      <c r="B57" s="774" t="s">
        <v>199</v>
      </c>
      <c r="C57" s="740" t="s">
        <v>96</v>
      </c>
      <c r="D57" s="776"/>
      <c r="E57" s="740" t="s">
        <v>595</v>
      </c>
      <c r="F57" s="724">
        <v>700</v>
      </c>
      <c r="G57" s="724">
        <v>200</v>
      </c>
      <c r="H57" s="724"/>
      <c r="I57" s="726">
        <f>SUMIF([3]售后加班情况!C:C,'[3]工资表(超市）-武侯售后'!C57,[3]售后加班情况!G:G)</f>
        <v>0</v>
      </c>
      <c r="J57" s="713">
        <f>SUMIF('[3]8月高温补贴'!B:B,C57,'[3]8月高温补贴'!M:M)</f>
        <v>0</v>
      </c>
      <c r="K57" s="724"/>
      <c r="L57" s="724"/>
      <c r="M57" s="724"/>
      <c r="N57" s="724"/>
      <c r="O57" s="724"/>
      <c r="P57" s="727">
        <f t="shared" si="0"/>
        <v>900</v>
      </c>
      <c r="Q57" s="728">
        <f>SUMIF([3]预发!C:C,C57,[3]预发!D:D)</f>
        <v>0</v>
      </c>
      <c r="R57" s="729"/>
      <c r="S57" s="729">
        <f t="shared" si="5"/>
        <v>0</v>
      </c>
      <c r="T57" s="729">
        <f>SUMIF('[3]社保+公积金03'!C:C,C57,'[3]社保+公积金03'!E:E)</f>
        <v>734.08</v>
      </c>
      <c r="U57" s="729">
        <f>SUMIF('[3]社保+公积金03'!C:C,C57,'[3]社保+公积金03'!I:I)</f>
        <v>346.39</v>
      </c>
      <c r="V57" s="729">
        <f>SUMIF('[3]社保+公积金03'!C:C,C57,'[3]社保+公积金03'!G:G)</f>
        <v>27.53</v>
      </c>
      <c r="W57" s="729">
        <f>SUMIF('[3]社保+公积金03'!C:C,C57,'[3]社保+公积金03'!L:L)</f>
        <v>9.18</v>
      </c>
      <c r="X57" s="729">
        <f>SUMIF('[3]社保+公积金03'!C:C,C57,'[3]社保+公积金03'!K:K)</f>
        <v>34.409999999999997</v>
      </c>
      <c r="Y57" s="729">
        <f>SUMIF('[3]社保+公积金03'!C:C,C57,'[3]社保+公积金03'!N:N)</f>
        <v>0</v>
      </c>
      <c r="Z57" s="729">
        <f>SUMIF('[3]社保+公积金03'!C:C,C57,'[3]社保+公积金03'!P:P)</f>
        <v>117</v>
      </c>
      <c r="AA57" s="729">
        <f t="shared" si="2"/>
        <v>1268.5899999999999</v>
      </c>
      <c r="AB57" s="729">
        <f>SUMIF('[3]社保+公积金03'!C:C,C57,'[3]社保+公积金03'!S:S)</f>
        <v>477.15</v>
      </c>
      <c r="AC57" s="729">
        <f>SUMIF('[3]社保+公积金03'!C:C,C57,'[3]社保+公积金03'!Q:Q)</f>
        <v>117</v>
      </c>
      <c r="AD57" s="729">
        <f>SUMIF([3]服装!B:B,C57,[3]服装!G:G)</f>
        <v>0</v>
      </c>
      <c r="AE57" s="729">
        <v>10</v>
      </c>
      <c r="AF57" s="730">
        <f>SUMIF([3]其他综合扣款!B:B,C57,[3]其他综合扣款!H:H)</f>
        <v>0</v>
      </c>
      <c r="AG57" s="729">
        <f t="shared" si="3"/>
        <v>604.15</v>
      </c>
      <c r="AH57" s="731">
        <f t="shared" si="4"/>
        <v>295.85000000000002</v>
      </c>
      <c r="AI57" s="736"/>
      <c r="AJ57" s="733"/>
    </row>
    <row r="58" spans="1:53" s="691" customFormat="1" ht="20.100000000000001" customHeight="1">
      <c r="A58" s="722">
        <v>52</v>
      </c>
      <c r="B58" s="774" t="s">
        <v>199</v>
      </c>
      <c r="C58" s="740" t="s">
        <v>99</v>
      </c>
      <c r="D58" s="776"/>
      <c r="E58" s="740" t="s">
        <v>595</v>
      </c>
      <c r="F58" s="724">
        <v>700</v>
      </c>
      <c r="G58" s="724">
        <v>200</v>
      </c>
      <c r="H58" s="724"/>
      <c r="I58" s="726">
        <f>SUMIF([3]售后加班情况!C:C,'[3]工资表(超市）-武侯售后'!C58,[3]售后加班情况!G:G)</f>
        <v>0</v>
      </c>
      <c r="J58" s="713">
        <f>SUMIF('[3]8月高温补贴'!B:B,C58,'[3]8月高温补贴'!M:M)</f>
        <v>0</v>
      </c>
      <c r="K58" s="724"/>
      <c r="L58" s="724"/>
      <c r="M58" s="724"/>
      <c r="N58" s="724"/>
      <c r="O58" s="724"/>
      <c r="P58" s="727">
        <f t="shared" si="0"/>
        <v>900</v>
      </c>
      <c r="Q58" s="728">
        <f>SUMIF([3]预发!C:C,C58,[3]预发!D:D)</f>
        <v>0</v>
      </c>
      <c r="R58" s="729"/>
      <c r="S58" s="729">
        <f t="shared" si="5"/>
        <v>0</v>
      </c>
      <c r="T58" s="729">
        <f>SUMIF('[3]社保+公积金03'!C:C,C58,'[3]社保+公积金03'!E:E)</f>
        <v>734.08</v>
      </c>
      <c r="U58" s="729">
        <f>SUMIF('[3]社保+公积金03'!C:C,C58,'[3]社保+公积金03'!I:I)</f>
        <v>346.39</v>
      </c>
      <c r="V58" s="729">
        <f>SUMIF('[3]社保+公积金03'!C:C,C58,'[3]社保+公积金03'!G:G)</f>
        <v>27.53</v>
      </c>
      <c r="W58" s="729">
        <f>SUMIF('[3]社保+公积金03'!C:C,C58,'[3]社保+公积金03'!L:L)</f>
        <v>9.18</v>
      </c>
      <c r="X58" s="729">
        <f>SUMIF('[3]社保+公积金03'!C:C,C58,'[3]社保+公积金03'!K:K)</f>
        <v>34.409999999999997</v>
      </c>
      <c r="Y58" s="729">
        <f>SUMIF('[3]社保+公积金03'!C:C,C58,'[3]社保+公积金03'!N:N)</f>
        <v>0</v>
      </c>
      <c r="Z58" s="729">
        <f>SUMIF('[3]社保+公积金03'!C:C,C58,'[3]社保+公积金03'!P:P)</f>
        <v>117</v>
      </c>
      <c r="AA58" s="729">
        <f t="shared" si="2"/>
        <v>1268.5899999999999</v>
      </c>
      <c r="AB58" s="729">
        <f>SUMIF('[3]社保+公积金03'!C:C,C58,'[3]社保+公积金03'!S:S)</f>
        <v>477.15</v>
      </c>
      <c r="AC58" s="729">
        <f>SUMIF('[3]社保+公积金03'!C:C,C58,'[3]社保+公积金03'!Q:Q)</f>
        <v>117</v>
      </c>
      <c r="AD58" s="729">
        <f>SUMIF([3]服装!B:B,C58,[3]服装!G:G)</f>
        <v>0</v>
      </c>
      <c r="AE58" s="729">
        <v>10</v>
      </c>
      <c r="AF58" s="730">
        <f>SUMIF([3]其他综合扣款!B:B,C58,[3]其他综合扣款!H:H)</f>
        <v>0</v>
      </c>
      <c r="AG58" s="729">
        <f t="shared" si="3"/>
        <v>604.15</v>
      </c>
      <c r="AH58" s="731">
        <f t="shared" si="4"/>
        <v>295.85000000000002</v>
      </c>
      <c r="AI58" s="736"/>
      <c r="AJ58" s="733"/>
    </row>
    <row r="59" spans="1:53" s="691" customFormat="1" ht="20.100000000000001" customHeight="1">
      <c r="A59" s="722">
        <v>53</v>
      </c>
      <c r="B59" s="774" t="s">
        <v>199</v>
      </c>
      <c r="C59" s="740" t="s">
        <v>100</v>
      </c>
      <c r="D59" s="776"/>
      <c r="E59" s="740" t="s">
        <v>595</v>
      </c>
      <c r="F59" s="724">
        <v>700</v>
      </c>
      <c r="G59" s="724">
        <v>200</v>
      </c>
      <c r="H59" s="724"/>
      <c r="I59" s="726">
        <f>SUMIF([3]售后加班情况!C:C,'[3]工资表(超市）-武侯售后'!C59,[3]售后加班情况!G:G)</f>
        <v>0</v>
      </c>
      <c r="J59" s="713">
        <f>SUMIF('[3]8月高温补贴'!B:B,C59,'[3]8月高温补贴'!M:M)</f>
        <v>0</v>
      </c>
      <c r="K59" s="724"/>
      <c r="L59" s="724"/>
      <c r="M59" s="724"/>
      <c r="N59" s="724"/>
      <c r="O59" s="724"/>
      <c r="P59" s="727">
        <f t="shared" si="0"/>
        <v>900</v>
      </c>
      <c r="Q59" s="728">
        <f>SUMIF([3]预发!C:C,C59,[3]预发!D:D)</f>
        <v>0</v>
      </c>
      <c r="R59" s="729"/>
      <c r="S59" s="729">
        <f t="shared" si="5"/>
        <v>0</v>
      </c>
      <c r="T59" s="729">
        <f>SUMIF('[3]社保+公积金03'!C:C,C59,'[3]社保+公积金03'!E:E)</f>
        <v>734.08</v>
      </c>
      <c r="U59" s="729">
        <f>SUMIF('[3]社保+公积金03'!C:C,C59,'[3]社保+公积金03'!I:I)</f>
        <v>346.39</v>
      </c>
      <c r="V59" s="729">
        <f>SUMIF('[3]社保+公积金03'!C:C,C59,'[3]社保+公积金03'!G:G)</f>
        <v>27.53</v>
      </c>
      <c r="W59" s="729">
        <f>SUMIF('[3]社保+公积金03'!C:C,C59,'[3]社保+公积金03'!L:L)</f>
        <v>9.18</v>
      </c>
      <c r="X59" s="729">
        <f>SUMIF('[3]社保+公积金03'!C:C,C59,'[3]社保+公积金03'!K:K)</f>
        <v>34.409999999999997</v>
      </c>
      <c r="Y59" s="729">
        <f>SUMIF('[3]社保+公积金03'!C:C,C59,'[3]社保+公积金03'!N:N)</f>
        <v>0</v>
      </c>
      <c r="Z59" s="729">
        <f>SUMIF('[3]社保+公积金03'!C:C,C59,'[3]社保+公积金03'!P:P)</f>
        <v>117</v>
      </c>
      <c r="AA59" s="729">
        <f t="shared" si="2"/>
        <v>1268.5899999999999</v>
      </c>
      <c r="AB59" s="729">
        <f>SUMIF('[3]社保+公积金03'!C:C,C59,'[3]社保+公积金03'!S:S)</f>
        <v>477.15</v>
      </c>
      <c r="AC59" s="729">
        <f>SUMIF('[3]社保+公积金03'!C:C,C59,'[3]社保+公积金03'!Q:Q)</f>
        <v>117</v>
      </c>
      <c r="AD59" s="729">
        <f>SUMIF([3]服装!B:B,C59,[3]服装!G:G)</f>
        <v>0</v>
      </c>
      <c r="AE59" s="729">
        <v>10</v>
      </c>
      <c r="AF59" s="730">
        <f>SUMIF([3]其他综合扣款!B:B,C59,[3]其他综合扣款!H:H)</f>
        <v>0</v>
      </c>
      <c r="AG59" s="729">
        <f t="shared" si="3"/>
        <v>604.15</v>
      </c>
      <c r="AH59" s="731">
        <f t="shared" si="4"/>
        <v>295.85000000000002</v>
      </c>
      <c r="AI59" s="736"/>
      <c r="AJ59" s="733"/>
    </row>
    <row r="60" spans="1:53" s="691" customFormat="1" ht="20.100000000000001" customHeight="1">
      <c r="A60" s="722">
        <v>54</v>
      </c>
      <c r="B60" s="774" t="s">
        <v>181</v>
      </c>
      <c r="C60" s="740" t="s">
        <v>176</v>
      </c>
      <c r="D60" s="735"/>
      <c r="E60" s="740" t="s">
        <v>596</v>
      </c>
      <c r="F60" s="724">
        <v>1000</v>
      </c>
      <c r="G60" s="724">
        <v>200</v>
      </c>
      <c r="H60" s="724"/>
      <c r="I60" s="726">
        <f>SUMIF([3]售后加班情况!C:C,'[3]工资表(超市）-武侯售后'!C60,[3]售后加班情况!G:G)</f>
        <v>0</v>
      </c>
      <c r="J60" s="713">
        <f>SUMIF('[3]8月高温补贴'!B:B,C60,'[3]8月高温补贴'!M:M)</f>
        <v>0</v>
      </c>
      <c r="K60" s="779">
        <f t="shared" ref="K60:K62" si="6">24*13</f>
        <v>312</v>
      </c>
      <c r="L60" s="724"/>
      <c r="M60" s="724">
        <v>100</v>
      </c>
      <c r="N60" s="724"/>
      <c r="O60" s="724"/>
      <c r="P60" s="727">
        <f t="shared" si="0"/>
        <v>1612</v>
      </c>
      <c r="Q60" s="728">
        <f>SUMIF([3]预发!C:C,C60,[3]预发!D:D)</f>
        <v>0</v>
      </c>
      <c r="R60" s="729"/>
      <c r="S60" s="729"/>
      <c r="T60" s="729">
        <f>SUMIF('[3]社保+公积金03'!C:C,C60,'[3]社保+公积金03'!E:E)</f>
        <v>734.08</v>
      </c>
      <c r="U60" s="729">
        <f>SUMIF('[3]社保+公积金03'!C:C,C60,'[3]社保+公积金03'!I:I)</f>
        <v>346.39</v>
      </c>
      <c r="V60" s="729">
        <f>SUMIF('[3]社保+公积金03'!C:C,C60,'[3]社保+公积金03'!G:G)</f>
        <v>27.53</v>
      </c>
      <c r="W60" s="729">
        <f>SUMIF('[3]社保+公积金03'!C:C,C60,'[3]社保+公积金03'!L:L)</f>
        <v>9.18</v>
      </c>
      <c r="X60" s="729">
        <f>SUMIF('[3]社保+公积金03'!C:C,C60,'[3]社保+公积金03'!K:K)</f>
        <v>34.409999999999997</v>
      </c>
      <c r="Y60" s="729">
        <f>SUMIF('[3]社保+公积金03'!C:C,C60,'[3]社保+公积金03'!N:N)</f>
        <v>0</v>
      </c>
      <c r="Z60" s="729">
        <f>SUMIF('[3]社保+公积金03'!C:C,C60,'[3]社保+公积金03'!P:P)</f>
        <v>117</v>
      </c>
      <c r="AA60" s="729">
        <f t="shared" si="2"/>
        <v>1268.5899999999999</v>
      </c>
      <c r="AB60" s="729">
        <f>SUMIF('[3]社保+公积金03'!C:C,C60,'[3]社保+公积金03'!S:S)</f>
        <v>477.15</v>
      </c>
      <c r="AC60" s="729">
        <f>SUMIF('[3]社保+公积金03'!C:C,C60,'[3]社保+公积金03'!Q:Q)</f>
        <v>117</v>
      </c>
      <c r="AD60" s="729">
        <f>SUMIF([3]服装!B:B,C60,[3]服装!G:G)</f>
        <v>0</v>
      </c>
      <c r="AE60" s="729">
        <v>10</v>
      </c>
      <c r="AF60" s="730">
        <f>SUMIF([3]其他综合扣款!B:B,C60,[3]其他综合扣款!H:H)</f>
        <v>0</v>
      </c>
      <c r="AG60" s="729">
        <f t="shared" si="3"/>
        <v>604.15</v>
      </c>
      <c r="AH60" s="731">
        <f t="shared" si="4"/>
        <v>1007.85</v>
      </c>
      <c r="AI60" s="736"/>
      <c r="AJ60" s="733"/>
    </row>
    <row r="61" spans="1:53" s="691" customFormat="1" ht="20.100000000000001" customHeight="1">
      <c r="A61" s="722">
        <v>55</v>
      </c>
      <c r="B61" s="774" t="s">
        <v>181</v>
      </c>
      <c r="C61" s="734" t="s">
        <v>177</v>
      </c>
      <c r="D61" s="735"/>
      <c r="E61" s="740" t="s">
        <v>596</v>
      </c>
      <c r="F61" s="724">
        <v>1000</v>
      </c>
      <c r="G61" s="724">
        <v>200</v>
      </c>
      <c r="H61" s="724"/>
      <c r="I61" s="726">
        <f>SUMIF([3]售后加班情况!C:C,'[3]工资表(超市）-武侯售后'!C61,[3]售后加班情况!G:G)</f>
        <v>0</v>
      </c>
      <c r="J61" s="713">
        <f>SUMIF('[3]8月高温补贴'!B:B,C61,'[3]8月高温补贴'!M:M)</f>
        <v>0</v>
      </c>
      <c r="K61" s="779">
        <f t="shared" si="6"/>
        <v>312</v>
      </c>
      <c r="L61" s="724"/>
      <c r="M61" s="724">
        <v>50</v>
      </c>
      <c r="N61" s="724"/>
      <c r="O61" s="724"/>
      <c r="P61" s="727">
        <f t="shared" si="0"/>
        <v>1562</v>
      </c>
      <c r="Q61" s="728">
        <f>SUMIF([3]预发!C:C,C61,[3]预发!D:D)</f>
        <v>0</v>
      </c>
      <c r="R61" s="729"/>
      <c r="S61" s="729">
        <f t="shared" ref="S61:S88" si="7">SUM(Q61:R61)</f>
        <v>0</v>
      </c>
      <c r="T61" s="729">
        <f>SUMIF('[3]社保+公积金03'!C:C,C61,'[3]社保+公积金03'!E:E)</f>
        <v>734.08</v>
      </c>
      <c r="U61" s="729">
        <f>SUMIF('[3]社保+公积金03'!C:C,C61,'[3]社保+公积金03'!I:I)</f>
        <v>346.39</v>
      </c>
      <c r="V61" s="729">
        <f>SUMIF('[3]社保+公积金03'!C:C,C61,'[3]社保+公积金03'!G:G)</f>
        <v>27.53</v>
      </c>
      <c r="W61" s="729">
        <f>SUMIF('[3]社保+公积金03'!C:C,C61,'[3]社保+公积金03'!L:L)</f>
        <v>9.18</v>
      </c>
      <c r="X61" s="729">
        <f>SUMIF('[3]社保+公积金03'!C:C,C61,'[3]社保+公积金03'!K:K)</f>
        <v>34.409999999999997</v>
      </c>
      <c r="Y61" s="729">
        <f>SUMIF('[3]社保+公积金03'!C:C,C61,'[3]社保+公积金03'!N:N)</f>
        <v>0</v>
      </c>
      <c r="Z61" s="729">
        <f>SUMIF('[3]社保+公积金03'!C:C,C61,'[3]社保+公积金03'!P:P)</f>
        <v>117</v>
      </c>
      <c r="AA61" s="729">
        <f t="shared" si="2"/>
        <v>1268.5899999999999</v>
      </c>
      <c r="AB61" s="729">
        <f>SUMIF('[3]社保+公积金03'!C:C,C61,'[3]社保+公积金03'!S:S)</f>
        <v>477.15</v>
      </c>
      <c r="AC61" s="729">
        <f>SUMIF('[3]社保+公积金03'!C:C,C61,'[3]社保+公积金03'!Q:Q)</f>
        <v>117</v>
      </c>
      <c r="AD61" s="729">
        <f>SUMIF([3]服装!B:B,C61,[3]服装!G:G)</f>
        <v>0</v>
      </c>
      <c r="AE61" s="729">
        <v>10</v>
      </c>
      <c r="AF61" s="730">
        <f>SUMIF([3]其他综合扣款!B:B,C61,[3]其他综合扣款!H:H)</f>
        <v>0</v>
      </c>
      <c r="AG61" s="729">
        <f t="shared" si="3"/>
        <v>604.15</v>
      </c>
      <c r="AH61" s="731">
        <f t="shared" si="4"/>
        <v>957.85</v>
      </c>
      <c r="AI61" s="736"/>
      <c r="AJ61" s="733"/>
    </row>
    <row r="62" spans="1:53" s="691" customFormat="1" ht="20.100000000000001" customHeight="1">
      <c r="A62" s="722">
        <v>56</v>
      </c>
      <c r="B62" s="774" t="s">
        <v>181</v>
      </c>
      <c r="C62" s="734" t="s">
        <v>178</v>
      </c>
      <c r="D62" s="735"/>
      <c r="E62" s="740" t="s">
        <v>596</v>
      </c>
      <c r="F62" s="724">
        <v>1000</v>
      </c>
      <c r="G62" s="724">
        <v>200</v>
      </c>
      <c r="H62" s="724"/>
      <c r="I62" s="726">
        <f>SUMIF([3]售后加班情况!C:C,'[3]工资表(超市）-武侯售后'!C62,[3]售后加班情况!G:G)</f>
        <v>0</v>
      </c>
      <c r="J62" s="713">
        <f>SUMIF('[3]8月高温补贴'!B:B,C62,'[3]8月高温补贴'!M:M)</f>
        <v>0</v>
      </c>
      <c r="K62" s="779">
        <f t="shared" si="6"/>
        <v>312</v>
      </c>
      <c r="L62" s="724"/>
      <c r="M62" s="724">
        <v>50</v>
      </c>
      <c r="N62" s="724"/>
      <c r="O62" s="724"/>
      <c r="P62" s="727">
        <f t="shared" si="0"/>
        <v>1562</v>
      </c>
      <c r="Q62" s="728">
        <f>SUMIF([3]预发!C:C,C62,[3]预发!D:D)</f>
        <v>0</v>
      </c>
      <c r="R62" s="729"/>
      <c r="S62" s="729">
        <f t="shared" si="7"/>
        <v>0</v>
      </c>
      <c r="T62" s="729">
        <f>SUMIF('[3]社保+公积金03'!C:C,C62,'[3]社保+公积金03'!E:E)</f>
        <v>734.08</v>
      </c>
      <c r="U62" s="729">
        <f>SUMIF('[3]社保+公积金03'!C:C,C62,'[3]社保+公积金03'!I:I)</f>
        <v>346.39</v>
      </c>
      <c r="V62" s="729">
        <f>SUMIF('[3]社保+公积金03'!C:C,C62,'[3]社保+公积金03'!G:G)</f>
        <v>27.53</v>
      </c>
      <c r="W62" s="729">
        <f>SUMIF('[3]社保+公积金03'!C:C,C62,'[3]社保+公积金03'!L:L)</f>
        <v>9.18</v>
      </c>
      <c r="X62" s="729">
        <f>SUMIF('[3]社保+公积金03'!C:C,C62,'[3]社保+公积金03'!K:K)</f>
        <v>34.409999999999997</v>
      </c>
      <c r="Y62" s="729">
        <f>SUMIF('[3]社保+公积金03'!C:C,C62,'[3]社保+公积金03'!N:N)</f>
        <v>0</v>
      </c>
      <c r="Z62" s="729">
        <f>SUMIF('[3]社保+公积金03'!C:C,C62,'[3]社保+公积金03'!P:P)</f>
        <v>117</v>
      </c>
      <c r="AA62" s="729">
        <f t="shared" si="2"/>
        <v>1268.5899999999999</v>
      </c>
      <c r="AB62" s="729">
        <f>SUMIF('[3]社保+公积金03'!C:C,C62,'[3]社保+公积金03'!S:S)</f>
        <v>477.15</v>
      </c>
      <c r="AC62" s="729">
        <f>SUMIF('[3]社保+公积金03'!C:C,C62,'[3]社保+公积金03'!Q:Q)</f>
        <v>117</v>
      </c>
      <c r="AD62" s="729">
        <f>SUMIF([3]服装!B:B,C62,[3]服装!G:G)</f>
        <v>0</v>
      </c>
      <c r="AE62" s="729">
        <v>10</v>
      </c>
      <c r="AF62" s="730">
        <f>SUMIF([3]其他综合扣款!B:B,C62,[3]其他综合扣款!H:H)</f>
        <v>0</v>
      </c>
      <c r="AG62" s="729">
        <f t="shared" si="3"/>
        <v>604.15</v>
      </c>
      <c r="AH62" s="731">
        <f t="shared" si="4"/>
        <v>957.85</v>
      </c>
      <c r="AI62" s="736"/>
      <c r="AJ62" s="733"/>
    </row>
    <row r="63" spans="1:53" s="688" customFormat="1" ht="18" customHeight="1">
      <c r="A63" s="722"/>
      <c r="B63" s="780"/>
      <c r="C63" s="781"/>
      <c r="D63" s="782"/>
      <c r="E63" s="783"/>
      <c r="F63" s="784">
        <f t="shared" ref="F63:AI63" si="8">SUM(F7:F62)</f>
        <v>53100</v>
      </c>
      <c r="G63" s="784">
        <f t="shared" si="8"/>
        <v>14800</v>
      </c>
      <c r="H63" s="784">
        <f t="shared" si="8"/>
        <v>6000</v>
      </c>
      <c r="I63" s="784">
        <f t="shared" si="8"/>
        <v>448</v>
      </c>
      <c r="J63" s="784">
        <f t="shared" si="8"/>
        <v>0</v>
      </c>
      <c r="K63" s="784">
        <f t="shared" si="8"/>
        <v>1560</v>
      </c>
      <c r="L63" s="784">
        <f t="shared" si="8"/>
        <v>2200</v>
      </c>
      <c r="M63" s="784">
        <f t="shared" si="8"/>
        <v>2200</v>
      </c>
      <c r="N63" s="784">
        <f t="shared" si="8"/>
        <v>140</v>
      </c>
      <c r="O63" s="784">
        <f t="shared" si="8"/>
        <v>0</v>
      </c>
      <c r="P63" s="784">
        <f t="shared" si="8"/>
        <v>80168</v>
      </c>
      <c r="Q63" s="784">
        <f t="shared" si="8"/>
        <v>0</v>
      </c>
      <c r="R63" s="784">
        <f t="shared" si="8"/>
        <v>0</v>
      </c>
      <c r="S63" s="784">
        <f t="shared" si="8"/>
        <v>0</v>
      </c>
      <c r="T63" s="784">
        <f t="shared" si="8"/>
        <v>38021.760000000002</v>
      </c>
      <c r="U63" s="784">
        <f t="shared" si="8"/>
        <v>17941.330000000002</v>
      </c>
      <c r="V63" s="784">
        <f t="shared" si="8"/>
        <v>1425.91</v>
      </c>
      <c r="W63" s="784">
        <f t="shared" si="8"/>
        <v>484.64</v>
      </c>
      <c r="X63" s="784">
        <f t="shared" si="8"/>
        <v>1782.27</v>
      </c>
      <c r="Y63" s="784">
        <f t="shared" si="8"/>
        <v>0</v>
      </c>
      <c r="Z63" s="784">
        <f t="shared" si="8"/>
        <v>5967</v>
      </c>
      <c r="AA63" s="784">
        <f t="shared" si="8"/>
        <v>65622.909999999902</v>
      </c>
      <c r="AB63" s="784">
        <f t="shared" si="8"/>
        <v>24714.05</v>
      </c>
      <c r="AC63" s="784">
        <f t="shared" si="8"/>
        <v>5967</v>
      </c>
      <c r="AD63" s="784">
        <f t="shared" si="8"/>
        <v>2419</v>
      </c>
      <c r="AE63" s="784">
        <f t="shared" si="8"/>
        <v>700</v>
      </c>
      <c r="AF63" s="784">
        <f t="shared" si="8"/>
        <v>0</v>
      </c>
      <c r="AG63" s="784">
        <f t="shared" si="8"/>
        <v>33800.050000000003</v>
      </c>
      <c r="AH63" s="784">
        <f t="shared" si="8"/>
        <v>46367.949999999903</v>
      </c>
      <c r="AI63" s="784">
        <f t="shared" si="8"/>
        <v>0</v>
      </c>
      <c r="AJ63" s="769"/>
      <c r="AK63" s="709"/>
      <c r="AL63" s="709"/>
      <c r="AM63" s="709"/>
      <c r="AN63" s="709"/>
      <c r="AO63" s="709"/>
      <c r="AP63" s="709"/>
      <c r="AQ63" s="709"/>
      <c r="AR63" s="709"/>
      <c r="AS63" s="709"/>
      <c r="AT63" s="709"/>
      <c r="AU63" s="709"/>
      <c r="AV63" s="709"/>
      <c r="AW63" s="709"/>
      <c r="AX63" s="709"/>
      <c r="AY63" s="709"/>
      <c r="AZ63" s="709"/>
      <c r="BA63" s="709"/>
    </row>
    <row r="64" spans="1:53" s="691" customFormat="1" ht="20.100000000000001" customHeight="1">
      <c r="A64" s="722">
        <v>57</v>
      </c>
      <c r="B64" s="723" t="s">
        <v>597</v>
      </c>
      <c r="C64" s="734" t="s">
        <v>101</v>
      </c>
      <c r="D64" s="735"/>
      <c r="E64" s="734" t="s">
        <v>598</v>
      </c>
      <c r="F64" s="724">
        <v>1200</v>
      </c>
      <c r="G64" s="724">
        <v>300</v>
      </c>
      <c r="H64" s="724">
        <v>100</v>
      </c>
      <c r="I64" s="726">
        <v>0</v>
      </c>
      <c r="J64" s="713">
        <f>SUMIF('[3]8月高温补贴'!B:B,C64,'[3]8月高温补贴'!M:M)</f>
        <v>0</v>
      </c>
      <c r="K64" s="724"/>
      <c r="L64" s="724">
        <v>100</v>
      </c>
      <c r="M64" s="738"/>
      <c r="N64" s="724"/>
      <c r="O64" s="724"/>
      <c r="P64" s="727">
        <f t="shared" ref="P64:P111" si="9">SUM(F64:M64)-N64-O64</f>
        <v>1700</v>
      </c>
      <c r="Q64" s="728">
        <f>SUMIF([3]预发!C:C,C64,[3]预发!D:D)</f>
        <v>0</v>
      </c>
      <c r="R64" s="729"/>
      <c r="S64" s="729">
        <f t="shared" si="7"/>
        <v>0</v>
      </c>
      <c r="T64" s="729">
        <f>SUMIF('[3]社保+公积金03'!C:C,C64,'[3]社保+公积金03'!E:E)</f>
        <v>734.08</v>
      </c>
      <c r="U64" s="729">
        <f>SUMIF('[3]社保+公积金03'!C:C,C64,'[3]社保+公积金03'!I:I)</f>
        <v>346.39</v>
      </c>
      <c r="V64" s="729">
        <f>SUMIF('[3]社保+公积金03'!C:C,C64,'[3]社保+公积金03'!G:G)</f>
        <v>27.53</v>
      </c>
      <c r="W64" s="729">
        <f>SUMIF('[3]社保+公积金03'!C:C,C64,'[3]社保+公积金03'!L:L)</f>
        <v>9.18</v>
      </c>
      <c r="X64" s="729">
        <f>SUMIF('[3]社保+公积金03'!C:C,C64,'[3]社保+公积金03'!K:K)</f>
        <v>34.409999999999997</v>
      </c>
      <c r="Y64" s="729">
        <f>SUMIF('[3]社保+公积金03'!C:C,C64,'[3]社保+公积金03'!N:N)</f>
        <v>0</v>
      </c>
      <c r="Z64" s="729">
        <f>SUMIF('[3]社保+公积金03'!C:C,C64,'[3]社保+公积金03'!P:P)</f>
        <v>117</v>
      </c>
      <c r="AA64" s="729">
        <f t="shared" ref="AA64:AA111" si="10">SUM(T64:Z64)</f>
        <v>1268.5899999999999</v>
      </c>
      <c r="AB64" s="729">
        <f>SUMIF('[3]社保+公积金03'!C:C,C64,'[3]社保+公积金03'!S:S)</f>
        <v>477.15</v>
      </c>
      <c r="AC64" s="729">
        <f>SUMIF('[3]社保+公积金03'!C:C,C64,'[3]社保+公积金03'!Q:Q)</f>
        <v>117</v>
      </c>
      <c r="AD64" s="729">
        <f>SUMIF([3]服装!B:B,C64,[3]服装!G:G)</f>
        <v>0</v>
      </c>
      <c r="AE64" s="729">
        <v>30</v>
      </c>
      <c r="AF64" s="730">
        <f>SUMIF([3]其他综合扣款!B:B,C64,[3]其他综合扣款!H:H)</f>
        <v>0</v>
      </c>
      <c r="AG64" s="729">
        <f t="shared" ref="AG64:AG111" si="11">SUM(AB64:AF64)</f>
        <v>624.15</v>
      </c>
      <c r="AH64" s="731">
        <f t="shared" ref="AH64:AH111" si="12">P64+S64-AG64</f>
        <v>1075.8499999999999</v>
      </c>
      <c r="AI64" s="736"/>
      <c r="AJ64" s="733"/>
    </row>
    <row r="65" spans="1:55" s="690" customFormat="1" ht="20.100000000000001" customHeight="1">
      <c r="A65" s="722">
        <v>58</v>
      </c>
      <c r="B65" s="723" t="s">
        <v>597</v>
      </c>
      <c r="C65" s="724" t="s">
        <v>102</v>
      </c>
      <c r="D65" s="735"/>
      <c r="E65" s="726" t="s">
        <v>599</v>
      </c>
      <c r="F65" s="724">
        <v>1200</v>
      </c>
      <c r="G65" s="724">
        <v>300</v>
      </c>
      <c r="H65" s="724">
        <v>100</v>
      </c>
      <c r="I65" s="726">
        <f>SUMIF([3]售后加班情况!C:C,'[3]工资表(超市）-武侯售后'!C65,[3]售后加班情况!G:G)</f>
        <v>0</v>
      </c>
      <c r="J65" s="713">
        <f>SUMIF('[3]8月高温补贴'!B:B,C65,'[3]8月高温补贴'!M:M)</f>
        <v>0</v>
      </c>
      <c r="K65" s="724"/>
      <c r="L65" s="724">
        <v>100</v>
      </c>
      <c r="M65" s="738"/>
      <c r="N65" s="724"/>
      <c r="O65" s="724"/>
      <c r="P65" s="727">
        <f t="shared" si="9"/>
        <v>1700</v>
      </c>
      <c r="Q65" s="728">
        <f>SUMIF([3]预发!C:C,C65,[3]预发!D:D)</f>
        <v>0</v>
      </c>
      <c r="R65" s="729"/>
      <c r="S65" s="729">
        <f t="shared" si="7"/>
        <v>0</v>
      </c>
      <c r="T65" s="729">
        <f>SUMIF('[3]社保+公积金03'!C:C,C65,'[3]社保+公积金03'!E:E)</f>
        <v>734.08</v>
      </c>
      <c r="U65" s="729">
        <f>SUMIF('[3]社保+公积金03'!C:C,C65,'[3]社保+公积金03'!I:I)</f>
        <v>346.39</v>
      </c>
      <c r="V65" s="729">
        <f>SUMIF('[3]社保+公积金03'!C:C,C65,'[3]社保+公积金03'!G:G)</f>
        <v>27.53</v>
      </c>
      <c r="W65" s="729">
        <f>SUMIF('[3]社保+公积金03'!C:C,C65,'[3]社保+公积金03'!L:L)</f>
        <v>9.18</v>
      </c>
      <c r="X65" s="729">
        <f>SUMIF('[3]社保+公积金03'!C:C,C65,'[3]社保+公积金03'!K:K)</f>
        <v>34.409999999999997</v>
      </c>
      <c r="Y65" s="729">
        <f>SUMIF('[3]社保+公积金03'!C:C,C65,'[3]社保+公积金03'!N:N)</f>
        <v>0</v>
      </c>
      <c r="Z65" s="729">
        <f>SUMIF('[3]社保+公积金03'!C:C,C65,'[3]社保+公积金03'!P:P)</f>
        <v>117</v>
      </c>
      <c r="AA65" s="729">
        <f t="shared" si="10"/>
        <v>1268.5899999999999</v>
      </c>
      <c r="AB65" s="729">
        <f>SUMIF('[3]社保+公积金03'!C:C,C65,'[3]社保+公积金03'!S:S)</f>
        <v>477.15</v>
      </c>
      <c r="AC65" s="729">
        <f>SUMIF('[3]社保+公积金03'!C:C,C65,'[3]社保+公积金03'!Q:Q)</f>
        <v>117</v>
      </c>
      <c r="AD65" s="729">
        <f>SUMIF([3]服装!B:B,C65,[3]服装!G:G)</f>
        <v>0</v>
      </c>
      <c r="AE65" s="729">
        <v>30</v>
      </c>
      <c r="AF65" s="730">
        <f>SUMIF([3]其他综合扣款!B:B,C65,[3]其他综合扣款!H:H)</f>
        <v>0</v>
      </c>
      <c r="AG65" s="729">
        <f t="shared" si="11"/>
        <v>624.15</v>
      </c>
      <c r="AH65" s="731">
        <f t="shared" si="12"/>
        <v>1075.8499999999999</v>
      </c>
      <c r="AI65" s="732"/>
      <c r="AJ65" s="733"/>
      <c r="AK65" s="733"/>
      <c r="AL65" s="733"/>
      <c r="AM65" s="733"/>
      <c r="AN65" s="733"/>
      <c r="AO65" s="733"/>
      <c r="AP65" s="733"/>
      <c r="AQ65" s="733"/>
      <c r="AR65" s="733"/>
      <c r="AS65" s="733"/>
    </row>
    <row r="66" spans="1:55" s="693" customFormat="1" ht="20.100000000000001" customHeight="1">
      <c r="A66" s="722">
        <v>59</v>
      </c>
      <c r="B66" s="737" t="s">
        <v>597</v>
      </c>
      <c r="C66" s="748" t="s">
        <v>105</v>
      </c>
      <c r="D66" s="739"/>
      <c r="E66" s="748" t="s">
        <v>600</v>
      </c>
      <c r="F66" s="738">
        <v>800</v>
      </c>
      <c r="G66" s="738">
        <v>300</v>
      </c>
      <c r="H66" s="738">
        <v>100</v>
      </c>
      <c r="I66" s="726">
        <f>SUMIF([3]售后加班情况!C:C,'[3]工资表(超市）-武侯售后'!C66,[3]售后加班情况!G:G)</f>
        <v>0</v>
      </c>
      <c r="J66" s="713">
        <f>SUMIF('[3]8月高温补贴'!B:B,C66,'[3]8月高温补贴'!M:M)</f>
        <v>0</v>
      </c>
      <c r="K66" s="738"/>
      <c r="L66" s="738"/>
      <c r="M66" s="738"/>
      <c r="N66" s="738"/>
      <c r="O66" s="738"/>
      <c r="P66" s="727">
        <f t="shared" si="9"/>
        <v>1200</v>
      </c>
      <c r="Q66" s="728">
        <f>SUMIF([3]预发!C:C,C66,[3]预发!D:D)</f>
        <v>0</v>
      </c>
      <c r="R66" s="741"/>
      <c r="S66" s="741">
        <f t="shared" si="7"/>
        <v>0</v>
      </c>
      <c r="T66" s="729">
        <f>SUMIF('[3]社保+公积金03'!C:C,C66,'[3]社保+公积金03'!E:E)</f>
        <v>734.08</v>
      </c>
      <c r="U66" s="729">
        <f>SUMIF('[3]社保+公积金03'!C:C,C66,'[3]社保+公积金03'!I:I)</f>
        <v>346.39</v>
      </c>
      <c r="V66" s="729">
        <f>SUMIF('[3]社保+公积金03'!C:C,C66,'[3]社保+公积金03'!G:G)</f>
        <v>27.53</v>
      </c>
      <c r="W66" s="729">
        <f>SUMIF('[3]社保+公积金03'!C:C,C66,'[3]社保+公积金03'!L:L)</f>
        <v>9.18</v>
      </c>
      <c r="X66" s="729">
        <f>SUMIF('[3]社保+公积金03'!C:C,C66,'[3]社保+公积金03'!K:K)</f>
        <v>34.409999999999997</v>
      </c>
      <c r="Y66" s="729">
        <f>SUMIF('[3]社保+公积金03'!C:C,C66,'[3]社保+公积金03'!N:N)</f>
        <v>0</v>
      </c>
      <c r="Z66" s="729">
        <f>SUMIF('[3]社保+公积金03'!C:C,C66,'[3]社保+公积金03'!P:P)</f>
        <v>117</v>
      </c>
      <c r="AA66" s="729">
        <f t="shared" si="10"/>
        <v>1268.5899999999999</v>
      </c>
      <c r="AB66" s="729">
        <f>SUMIF('[3]社保+公积金03'!C:C,C66,'[3]社保+公积金03'!S:S)</f>
        <v>477.15</v>
      </c>
      <c r="AC66" s="729">
        <f>SUMIF('[3]社保+公积金03'!C:C,C66,'[3]社保+公积金03'!Q:Q)</f>
        <v>117</v>
      </c>
      <c r="AD66" s="729">
        <f>SUMIF([3]服装!B:B,C66,[3]服装!G:G)</f>
        <v>0</v>
      </c>
      <c r="AE66" s="741">
        <v>20</v>
      </c>
      <c r="AF66" s="730">
        <f>SUMIF([3]其他综合扣款!B:B,C66,[3]其他综合扣款!H:H)</f>
        <v>0</v>
      </c>
      <c r="AG66" s="729">
        <f t="shared" si="11"/>
        <v>614.15</v>
      </c>
      <c r="AH66" s="731">
        <f t="shared" si="12"/>
        <v>585.85</v>
      </c>
      <c r="AI66" s="742"/>
      <c r="AJ66" s="733"/>
      <c r="AK66" s="743"/>
      <c r="AL66" s="743"/>
      <c r="AM66" s="743"/>
      <c r="AN66" s="743"/>
      <c r="AO66" s="743"/>
      <c r="AP66" s="743"/>
      <c r="AQ66" s="743"/>
      <c r="AR66" s="743"/>
      <c r="AS66" s="743"/>
      <c r="AT66" s="743"/>
      <c r="AU66" s="743"/>
      <c r="AV66" s="743"/>
      <c r="AW66" s="743"/>
      <c r="AX66" s="743"/>
      <c r="AY66" s="743"/>
      <c r="AZ66" s="743"/>
      <c r="BA66" s="743"/>
    </row>
    <row r="67" spans="1:55" s="693" customFormat="1" ht="20.100000000000001" customHeight="1">
      <c r="A67" s="722">
        <v>60</v>
      </c>
      <c r="B67" s="737" t="s">
        <v>597</v>
      </c>
      <c r="C67" s="748" t="s">
        <v>107</v>
      </c>
      <c r="D67" s="739"/>
      <c r="E67" s="748" t="s">
        <v>601</v>
      </c>
      <c r="F67" s="738">
        <v>800</v>
      </c>
      <c r="G67" s="738">
        <v>300</v>
      </c>
      <c r="H67" s="738">
        <v>100</v>
      </c>
      <c r="I67" s="726">
        <f>SUMIF([3]售后加班情况!C:C,'[3]工资表(超市）-武侯售后'!C67,[3]售后加班情况!G:G)</f>
        <v>0</v>
      </c>
      <c r="J67" s="713">
        <f>SUMIF('[3]8月高温补贴'!B:B,C67,'[3]8月高温补贴'!M:M)</f>
        <v>0</v>
      </c>
      <c r="K67" s="738"/>
      <c r="L67" s="738"/>
      <c r="M67" s="738"/>
      <c r="N67" s="738"/>
      <c r="O67" s="738"/>
      <c r="P67" s="727">
        <f t="shared" si="9"/>
        <v>1200</v>
      </c>
      <c r="Q67" s="728">
        <f>SUMIF([3]预发!C:C,C67,[3]预发!D:D)</f>
        <v>0</v>
      </c>
      <c r="R67" s="741"/>
      <c r="S67" s="741">
        <f t="shared" si="7"/>
        <v>0</v>
      </c>
      <c r="T67" s="729">
        <f>SUMIF('[3]社保+公积金03'!C:C,C67,'[3]社保+公积金03'!E:E)</f>
        <v>734.08</v>
      </c>
      <c r="U67" s="729">
        <f>SUMIF('[3]社保+公积金03'!C:C,C67,'[3]社保+公积金03'!I:I)</f>
        <v>346.39</v>
      </c>
      <c r="V67" s="729">
        <f>SUMIF('[3]社保+公积金03'!C:C,C67,'[3]社保+公积金03'!G:G)</f>
        <v>27.53</v>
      </c>
      <c r="W67" s="729">
        <f>SUMIF('[3]社保+公积金03'!C:C,C67,'[3]社保+公积金03'!L:L)</f>
        <v>9.18</v>
      </c>
      <c r="X67" s="729">
        <f>SUMIF('[3]社保+公积金03'!C:C,C67,'[3]社保+公积金03'!K:K)</f>
        <v>34.409999999999997</v>
      </c>
      <c r="Y67" s="729">
        <f>SUMIF('[3]社保+公积金03'!C:C,C67,'[3]社保+公积金03'!N:N)</f>
        <v>0</v>
      </c>
      <c r="Z67" s="729">
        <f>SUMIF('[3]社保+公积金03'!C:C,C67,'[3]社保+公积金03'!P:P)</f>
        <v>117</v>
      </c>
      <c r="AA67" s="729">
        <f t="shared" si="10"/>
        <v>1268.5899999999999</v>
      </c>
      <c r="AB67" s="729">
        <f>SUMIF('[3]社保+公积金03'!C:C,C67,'[3]社保+公积金03'!S:S)</f>
        <v>477.15</v>
      </c>
      <c r="AC67" s="729">
        <f>SUMIF('[3]社保+公积金03'!C:C,C67,'[3]社保+公积金03'!Q:Q)</f>
        <v>117</v>
      </c>
      <c r="AD67" s="729">
        <f>SUMIF([3]服装!B:B,C67,[3]服装!G:G)</f>
        <v>0</v>
      </c>
      <c r="AE67" s="741">
        <v>20</v>
      </c>
      <c r="AF67" s="730">
        <f>SUMIF([3]其他综合扣款!B:B,C67,[3]其他综合扣款!H:H)</f>
        <v>0</v>
      </c>
      <c r="AG67" s="729">
        <f t="shared" si="11"/>
        <v>614.15</v>
      </c>
      <c r="AH67" s="731">
        <f t="shared" si="12"/>
        <v>585.85</v>
      </c>
      <c r="AI67" s="742"/>
      <c r="AJ67" s="733"/>
      <c r="AK67" s="743"/>
      <c r="AL67" s="743"/>
      <c r="AM67" s="743"/>
      <c r="AN67" s="743"/>
      <c r="AO67" s="743"/>
      <c r="AP67" s="743"/>
      <c r="AQ67" s="743"/>
      <c r="AR67" s="743"/>
      <c r="AS67" s="743"/>
      <c r="AT67" s="743"/>
      <c r="AU67" s="743"/>
      <c r="AV67" s="743"/>
      <c r="AW67" s="743"/>
      <c r="AX67" s="743"/>
      <c r="AY67" s="743"/>
      <c r="AZ67" s="743"/>
      <c r="BA67" s="743"/>
    </row>
    <row r="68" spans="1:55" s="688" customFormat="1" ht="20.100000000000001" customHeight="1">
      <c r="A68" s="722">
        <v>61</v>
      </c>
      <c r="B68" s="737" t="s">
        <v>597</v>
      </c>
      <c r="C68" s="748" t="s">
        <v>108</v>
      </c>
      <c r="D68" s="749"/>
      <c r="E68" s="785" t="s">
        <v>602</v>
      </c>
      <c r="F68" s="738">
        <v>800</v>
      </c>
      <c r="G68" s="738">
        <v>300</v>
      </c>
      <c r="H68" s="738">
        <v>100</v>
      </c>
      <c r="I68" s="726">
        <f>SUMIF([3]售后加班情况!C:C,'[3]工资表(超市）-武侯售后'!C68,[3]售后加班情况!G:G)</f>
        <v>0</v>
      </c>
      <c r="J68" s="713">
        <f>SUMIF('[3]8月高温补贴'!B:B,C68,'[3]8月高温补贴'!M:M)</f>
        <v>0</v>
      </c>
      <c r="K68" s="738"/>
      <c r="L68" s="738"/>
      <c r="M68" s="738"/>
      <c r="N68" s="738"/>
      <c r="O68" s="738"/>
      <c r="P68" s="727">
        <f t="shared" si="9"/>
        <v>1200</v>
      </c>
      <c r="Q68" s="728">
        <f>SUMIF([3]预发!C:C,C68,[3]预发!D:D)</f>
        <v>0</v>
      </c>
      <c r="R68" s="741"/>
      <c r="S68" s="741">
        <f t="shared" si="7"/>
        <v>0</v>
      </c>
      <c r="T68" s="729">
        <f>SUMIF('[3]社保+公积金03'!C:C,C68,'[3]社保+公积金03'!E:E)</f>
        <v>734.08</v>
      </c>
      <c r="U68" s="729">
        <f>SUMIF('[3]社保+公积金03'!C:C,C68,'[3]社保+公积金03'!I:I)</f>
        <v>346.39</v>
      </c>
      <c r="V68" s="729">
        <f>SUMIF('[3]社保+公积金03'!C:C,C68,'[3]社保+公积金03'!G:G)</f>
        <v>27.53</v>
      </c>
      <c r="W68" s="729">
        <f>SUMIF('[3]社保+公积金03'!C:C,C68,'[3]社保+公积金03'!L:L)</f>
        <v>9.18</v>
      </c>
      <c r="X68" s="729">
        <f>SUMIF('[3]社保+公积金03'!C:C,C68,'[3]社保+公积金03'!K:K)</f>
        <v>34.409999999999997</v>
      </c>
      <c r="Y68" s="729">
        <f>SUMIF('[3]社保+公积金03'!C:C,C68,'[3]社保+公积金03'!N:N)</f>
        <v>0</v>
      </c>
      <c r="Z68" s="729">
        <f>SUMIF('[3]社保+公积金03'!C:C,C68,'[3]社保+公积金03'!P:P)</f>
        <v>117</v>
      </c>
      <c r="AA68" s="729">
        <f t="shared" si="10"/>
        <v>1268.5899999999999</v>
      </c>
      <c r="AB68" s="729">
        <f>SUMIF('[3]社保+公积金03'!C:C,C68,'[3]社保+公积金03'!S:S)</f>
        <v>477.15</v>
      </c>
      <c r="AC68" s="729">
        <f>SUMIF('[3]社保+公积金03'!C:C,C68,'[3]社保+公积金03'!Q:Q)</f>
        <v>117</v>
      </c>
      <c r="AD68" s="729">
        <f>SUMIF([3]服装!B:B,C68,[3]服装!G:G)</f>
        <v>0</v>
      </c>
      <c r="AE68" s="741">
        <v>20</v>
      </c>
      <c r="AF68" s="730">
        <f>SUMIF([3]其他综合扣款!B:B,C68,[3]其他综合扣款!H:H)</f>
        <v>0</v>
      </c>
      <c r="AG68" s="729">
        <f t="shared" si="11"/>
        <v>614.15</v>
      </c>
      <c r="AH68" s="731">
        <f t="shared" si="12"/>
        <v>585.85</v>
      </c>
      <c r="AI68" s="742"/>
      <c r="AJ68" s="733"/>
      <c r="AK68" s="709"/>
      <c r="AL68" s="709"/>
      <c r="AM68" s="709"/>
      <c r="AN68" s="709"/>
      <c r="AO68" s="709"/>
      <c r="AP68" s="709"/>
      <c r="AQ68" s="709"/>
      <c r="AR68" s="709"/>
      <c r="AS68" s="709"/>
      <c r="AT68" s="709"/>
      <c r="AU68" s="709"/>
      <c r="AV68" s="709"/>
      <c r="AW68" s="709"/>
      <c r="AX68" s="709"/>
      <c r="AY68" s="709"/>
      <c r="AZ68" s="709"/>
      <c r="BA68" s="709"/>
    </row>
    <row r="69" spans="1:55" s="692" customFormat="1" ht="20.100000000000001" customHeight="1">
      <c r="A69" s="722">
        <v>62</v>
      </c>
      <c r="B69" s="737" t="s">
        <v>122</v>
      </c>
      <c r="C69" s="748" t="s">
        <v>109</v>
      </c>
      <c r="D69" s="749"/>
      <c r="E69" s="785" t="s">
        <v>351</v>
      </c>
      <c r="F69" s="724">
        <v>850</v>
      </c>
      <c r="G69" s="724">
        <v>250</v>
      </c>
      <c r="H69" s="724"/>
      <c r="I69" s="726">
        <f>SUMIF([3]售后加班情况!C:C,'[3]工资表(超市）-武侯售后'!C69,[3]售后加班情况!G:G)</f>
        <v>40</v>
      </c>
      <c r="J69" s="713">
        <f>SUMIF('[3]8月高温补贴'!B:B,C69,'[3]8月高温补贴'!M:M)</f>
        <v>0</v>
      </c>
      <c r="K69" s="738"/>
      <c r="L69" s="738"/>
      <c r="M69" s="738"/>
      <c r="N69" s="738"/>
      <c r="O69" s="738"/>
      <c r="P69" s="727">
        <f t="shared" si="9"/>
        <v>1140</v>
      </c>
      <c r="Q69" s="728">
        <f>SUMIF([3]预发!C:C,C69,[3]预发!D:D)</f>
        <v>0</v>
      </c>
      <c r="R69" s="741"/>
      <c r="S69" s="741">
        <f t="shared" si="7"/>
        <v>0</v>
      </c>
      <c r="T69" s="729">
        <f>SUMIF('[3]社保+公积金03'!C:C,C69,'[3]社保+公积金03'!E:E)</f>
        <v>734.08</v>
      </c>
      <c r="U69" s="729">
        <f>SUMIF('[3]社保+公积金03'!C:C,C69,'[3]社保+公积金03'!I:I)</f>
        <v>346.39</v>
      </c>
      <c r="V69" s="729">
        <f>SUMIF('[3]社保+公积金03'!C:C,C69,'[3]社保+公积金03'!G:G)</f>
        <v>27.53</v>
      </c>
      <c r="W69" s="729">
        <f>SUMIF('[3]社保+公积金03'!C:C,C69,'[3]社保+公积金03'!L:L)</f>
        <v>9.18</v>
      </c>
      <c r="X69" s="729">
        <f>SUMIF('[3]社保+公积金03'!C:C,C69,'[3]社保+公积金03'!K:K)</f>
        <v>34.409999999999997</v>
      </c>
      <c r="Y69" s="729">
        <f>SUMIF('[3]社保+公积金03'!C:C,C69,'[3]社保+公积金03'!N:N)</f>
        <v>0</v>
      </c>
      <c r="Z69" s="729">
        <f>SUMIF('[3]社保+公积金03'!C:C,C69,'[3]社保+公积金03'!P:P)</f>
        <v>117</v>
      </c>
      <c r="AA69" s="729">
        <f t="shared" si="10"/>
        <v>1268.5899999999999</v>
      </c>
      <c r="AB69" s="729">
        <f>SUMIF('[3]社保+公积金03'!C:C,C69,'[3]社保+公积金03'!S:S)</f>
        <v>477.15</v>
      </c>
      <c r="AC69" s="729">
        <f>SUMIF('[3]社保+公积金03'!C:C,C69,'[3]社保+公积金03'!Q:Q)</f>
        <v>117</v>
      </c>
      <c r="AD69" s="729">
        <f>SUMIF([3]服装!B:B,C69,[3]服装!G:G)</f>
        <v>0</v>
      </c>
      <c r="AE69" s="741">
        <v>10</v>
      </c>
      <c r="AF69" s="730">
        <f>SUMIF([3]其他综合扣款!B:B,C69,[3]其他综合扣款!H:H)</f>
        <v>0</v>
      </c>
      <c r="AG69" s="729">
        <f t="shared" si="11"/>
        <v>604.15</v>
      </c>
      <c r="AH69" s="731">
        <f t="shared" si="12"/>
        <v>535.85</v>
      </c>
      <c r="AI69" s="742"/>
      <c r="AJ69" s="733"/>
      <c r="AK69" s="743"/>
      <c r="AL69" s="743"/>
      <c r="AM69" s="743"/>
      <c r="AN69" s="743"/>
      <c r="AO69" s="743"/>
      <c r="AP69" s="743"/>
      <c r="AQ69" s="743"/>
      <c r="AR69" s="743"/>
      <c r="AS69" s="743"/>
      <c r="AT69" s="743"/>
      <c r="AU69" s="743"/>
      <c r="AV69" s="743"/>
      <c r="AW69" s="743"/>
      <c r="AX69" s="743"/>
      <c r="AY69" s="743"/>
      <c r="AZ69" s="743"/>
      <c r="BA69" s="743"/>
    </row>
    <row r="70" spans="1:55" s="692" customFormat="1" ht="20.100000000000001" customHeight="1">
      <c r="A70" s="722">
        <v>63</v>
      </c>
      <c r="B70" s="737" t="s">
        <v>122</v>
      </c>
      <c r="C70" s="748" t="s">
        <v>110</v>
      </c>
      <c r="D70" s="725"/>
      <c r="E70" s="753" t="s">
        <v>603</v>
      </c>
      <c r="F70" s="724">
        <v>700</v>
      </c>
      <c r="G70" s="724">
        <v>200</v>
      </c>
      <c r="H70" s="724"/>
      <c r="I70" s="726">
        <f>SUMIF([3]售后加班情况!C:C,'[3]工资表(超市）-武侯售后'!C70,[3]售后加班情况!G:G)</f>
        <v>40</v>
      </c>
      <c r="J70" s="713">
        <f>SUMIF('[3]8月高温补贴'!B:B,C70,'[3]8月高温补贴'!M:M)</f>
        <v>0</v>
      </c>
      <c r="K70" s="724"/>
      <c r="L70" s="724"/>
      <c r="M70" s="738"/>
      <c r="N70" s="724"/>
      <c r="O70" s="724"/>
      <c r="P70" s="727">
        <f t="shared" si="9"/>
        <v>940</v>
      </c>
      <c r="Q70" s="728">
        <f>SUMIF([3]预发!C:C,C70,[3]预发!D:D)</f>
        <v>0</v>
      </c>
      <c r="R70" s="729"/>
      <c r="S70" s="729">
        <f t="shared" si="7"/>
        <v>0</v>
      </c>
      <c r="T70" s="729">
        <f>SUMIF('[3]社保+公积金03'!C:C,C70,'[3]社保+公积金03'!E:E)</f>
        <v>734.08</v>
      </c>
      <c r="U70" s="729">
        <f>SUMIF('[3]社保+公积金03'!C:C,C70,'[3]社保+公积金03'!I:I)</f>
        <v>346.39</v>
      </c>
      <c r="V70" s="729">
        <f>SUMIF('[3]社保+公积金03'!C:C,C70,'[3]社保+公积金03'!G:G)</f>
        <v>27.53</v>
      </c>
      <c r="W70" s="729">
        <f>SUMIF('[3]社保+公积金03'!C:C,C70,'[3]社保+公积金03'!L:L)</f>
        <v>9.18</v>
      </c>
      <c r="X70" s="729">
        <f>SUMIF('[3]社保+公积金03'!C:C,C70,'[3]社保+公积金03'!K:K)</f>
        <v>34.409999999999997</v>
      </c>
      <c r="Y70" s="729">
        <f>SUMIF('[3]社保+公积金03'!C:C,C70,'[3]社保+公积金03'!N:N)</f>
        <v>0</v>
      </c>
      <c r="Z70" s="729">
        <f>SUMIF('[3]社保+公积金03'!C:C,C70,'[3]社保+公积金03'!P:P)</f>
        <v>117</v>
      </c>
      <c r="AA70" s="729">
        <f t="shared" si="10"/>
        <v>1268.5899999999999</v>
      </c>
      <c r="AB70" s="729">
        <f>SUMIF('[3]社保+公积金03'!C:C,C70,'[3]社保+公积金03'!S:S)</f>
        <v>477.15</v>
      </c>
      <c r="AC70" s="729">
        <f>SUMIF('[3]社保+公积金03'!C:C,C70,'[3]社保+公积金03'!Q:Q)</f>
        <v>117</v>
      </c>
      <c r="AD70" s="729">
        <f>SUMIF([3]服装!B:B,C70,[3]服装!G:G)</f>
        <v>0</v>
      </c>
      <c r="AE70" s="729">
        <v>10</v>
      </c>
      <c r="AF70" s="730">
        <f>SUMIF([3]其他综合扣款!B:B,C70,[3]其他综合扣款!H:H)</f>
        <v>0</v>
      </c>
      <c r="AG70" s="729">
        <f t="shared" si="11"/>
        <v>604.15</v>
      </c>
      <c r="AH70" s="731">
        <f t="shared" si="12"/>
        <v>335.85</v>
      </c>
      <c r="AI70" s="732"/>
      <c r="AJ70" s="733"/>
      <c r="AK70" s="768"/>
      <c r="AL70" s="768"/>
      <c r="AM70" s="768"/>
      <c r="AN70" s="768"/>
      <c r="AO70" s="768"/>
      <c r="AP70" s="768"/>
      <c r="AQ70" s="768"/>
      <c r="AR70" s="768"/>
      <c r="AS70" s="768"/>
      <c r="AT70" s="768"/>
      <c r="AU70" s="768"/>
      <c r="AV70" s="768"/>
      <c r="AW70" s="768"/>
      <c r="AX70" s="768"/>
      <c r="AY70" s="768"/>
      <c r="AZ70" s="768"/>
      <c r="BA70" s="768"/>
      <c r="BB70" s="768"/>
      <c r="BC70" s="768"/>
    </row>
    <row r="71" spans="1:55" s="692" customFormat="1" ht="20.100000000000001" customHeight="1">
      <c r="A71" s="722">
        <v>64</v>
      </c>
      <c r="B71" s="737" t="s">
        <v>425</v>
      </c>
      <c r="C71" s="740" t="s">
        <v>111</v>
      </c>
      <c r="D71" s="735" t="s">
        <v>604</v>
      </c>
      <c r="E71" s="740" t="s">
        <v>605</v>
      </c>
      <c r="F71" s="724">
        <v>850</v>
      </c>
      <c r="G71" s="724">
        <v>250</v>
      </c>
      <c r="H71" s="724"/>
      <c r="I71" s="726">
        <f>SUMIF([3]售后加班情况!C:C,'[3]工资表(超市）-武侯售后'!C71,[3]售后加班情况!G:G)</f>
        <v>30</v>
      </c>
      <c r="J71" s="713">
        <f>SUMIF('[3]8月高温补贴'!B:B,C71,'[3]8月高温补贴'!M:M)</f>
        <v>0</v>
      </c>
      <c r="K71" s="724"/>
      <c r="L71" s="724"/>
      <c r="M71" s="738"/>
      <c r="N71" s="724"/>
      <c r="O71" s="724"/>
      <c r="P71" s="727">
        <f t="shared" si="9"/>
        <v>1130</v>
      </c>
      <c r="Q71" s="728">
        <f>SUMIF([3]预发!C:C,C71,[3]预发!D:D)</f>
        <v>0</v>
      </c>
      <c r="R71" s="729"/>
      <c r="S71" s="729">
        <f t="shared" si="7"/>
        <v>0</v>
      </c>
      <c r="T71" s="729">
        <f>SUMIF('[3]社保+公积金03'!C:C,C71,'[3]社保+公积金03'!E:E)</f>
        <v>734.08</v>
      </c>
      <c r="U71" s="729">
        <f>SUMIF('[3]社保+公积金03'!C:C,C71,'[3]社保+公积金03'!I:I)</f>
        <v>346.39</v>
      </c>
      <c r="V71" s="729">
        <f>SUMIF('[3]社保+公积金03'!C:C,C71,'[3]社保+公积金03'!G:G)</f>
        <v>27.53</v>
      </c>
      <c r="W71" s="729">
        <f>SUMIF('[3]社保+公积金03'!C:C,C71,'[3]社保+公积金03'!L:L)</f>
        <v>9.18</v>
      </c>
      <c r="X71" s="729">
        <f>SUMIF('[3]社保+公积金03'!C:C,C71,'[3]社保+公积金03'!K:K)</f>
        <v>34.409999999999997</v>
      </c>
      <c r="Y71" s="729">
        <f>SUMIF('[3]社保+公积金03'!C:C,C71,'[3]社保+公积金03'!N:N)</f>
        <v>0</v>
      </c>
      <c r="Z71" s="729">
        <f>SUMIF('[3]社保+公积金03'!C:C,C71,'[3]社保+公积金03'!P:P)</f>
        <v>117</v>
      </c>
      <c r="AA71" s="729">
        <f t="shared" si="10"/>
        <v>1268.5899999999999</v>
      </c>
      <c r="AB71" s="729">
        <f>SUMIF('[3]社保+公积金03'!C:C,C71,'[3]社保+公积金03'!S:S)</f>
        <v>477.15</v>
      </c>
      <c r="AC71" s="729">
        <f>SUMIF('[3]社保+公积金03'!C:C,C71,'[3]社保+公积金03'!Q:Q)</f>
        <v>117</v>
      </c>
      <c r="AD71" s="729">
        <f>SUMIF([3]服装!B:B,C71,[3]服装!G:G)</f>
        <v>0</v>
      </c>
      <c r="AE71" s="729">
        <v>10</v>
      </c>
      <c r="AF71" s="730">
        <f>SUMIF([3]其他综合扣款!B:B,C71,[3]其他综合扣款!H:H)</f>
        <v>0</v>
      </c>
      <c r="AG71" s="729">
        <f t="shared" si="11"/>
        <v>604.15</v>
      </c>
      <c r="AH71" s="731">
        <f t="shared" si="12"/>
        <v>525.85</v>
      </c>
      <c r="AI71" s="736"/>
      <c r="AJ71" s="733"/>
      <c r="AK71" s="733"/>
      <c r="AL71" s="733"/>
      <c r="AM71" s="733"/>
      <c r="AN71" s="733"/>
      <c r="AO71" s="759"/>
      <c r="AP71" s="759"/>
      <c r="AQ71" s="759"/>
      <c r="AR71" s="759"/>
      <c r="AS71" s="759"/>
      <c r="AT71" s="759"/>
      <c r="AU71" s="759"/>
      <c r="AV71" s="759"/>
      <c r="AW71" s="759"/>
      <c r="AX71" s="759"/>
      <c r="AY71" s="759"/>
      <c r="AZ71" s="759"/>
      <c r="BA71" s="759"/>
    </row>
    <row r="72" spans="1:55" s="692" customFormat="1" ht="20.100000000000001" customHeight="1">
      <c r="A72" s="722">
        <v>65</v>
      </c>
      <c r="B72" s="737" t="s">
        <v>425</v>
      </c>
      <c r="C72" s="748" t="s">
        <v>112</v>
      </c>
      <c r="D72" s="786" t="s">
        <v>606</v>
      </c>
      <c r="E72" s="748" t="s">
        <v>603</v>
      </c>
      <c r="F72" s="724">
        <v>700</v>
      </c>
      <c r="G72" s="724">
        <v>200</v>
      </c>
      <c r="H72" s="724"/>
      <c r="I72" s="726">
        <f>SUMIF([3]售后加班情况!C:C,'[3]工资表(超市）-武侯售后'!C72,[3]售后加班情况!G:G)</f>
        <v>30</v>
      </c>
      <c r="J72" s="713">
        <f>SUMIF('[3]8月高温补贴'!B:B,C72,'[3]8月高温补贴'!M:M)</f>
        <v>0</v>
      </c>
      <c r="K72" s="738"/>
      <c r="L72" s="738"/>
      <c r="M72" s="738"/>
      <c r="N72" s="738">
        <f>900/30*1</f>
        <v>30</v>
      </c>
      <c r="O72" s="738"/>
      <c r="P72" s="727">
        <f t="shared" si="9"/>
        <v>900</v>
      </c>
      <c r="Q72" s="728">
        <f>SUMIF([3]预发!C:C,C72,[3]预发!D:D)</f>
        <v>0</v>
      </c>
      <c r="R72" s="741"/>
      <c r="S72" s="741">
        <f t="shared" si="7"/>
        <v>0</v>
      </c>
      <c r="T72" s="729">
        <f>SUMIF('[3]社保+公积金03'!C:C,C72,'[3]社保+公积金03'!E:E)</f>
        <v>734.08</v>
      </c>
      <c r="U72" s="729">
        <f>SUMIF('[3]社保+公积金03'!C:C,C72,'[3]社保+公积金03'!I:I)</f>
        <v>346.39</v>
      </c>
      <c r="V72" s="729">
        <f>SUMIF('[3]社保+公积金03'!C:C,C72,'[3]社保+公积金03'!G:G)</f>
        <v>27.53</v>
      </c>
      <c r="W72" s="729">
        <f>SUMIF('[3]社保+公积金03'!C:C,C72,'[3]社保+公积金03'!L:L)</f>
        <v>9.18</v>
      </c>
      <c r="X72" s="729">
        <f>SUMIF('[3]社保+公积金03'!C:C,C72,'[3]社保+公积金03'!K:K)</f>
        <v>34.409999999999997</v>
      </c>
      <c r="Y72" s="729">
        <f>SUMIF('[3]社保+公积金03'!C:C,C72,'[3]社保+公积金03'!N:N)</f>
        <v>0</v>
      </c>
      <c r="Z72" s="729">
        <f>SUMIF('[3]社保+公积金03'!C:C,C72,'[3]社保+公积金03'!P:P)</f>
        <v>117</v>
      </c>
      <c r="AA72" s="729">
        <f t="shared" si="10"/>
        <v>1268.5899999999999</v>
      </c>
      <c r="AB72" s="729">
        <f>SUMIF('[3]社保+公积金03'!C:C,C72,'[3]社保+公积金03'!S:S)</f>
        <v>477.15</v>
      </c>
      <c r="AC72" s="729">
        <f>SUMIF('[3]社保+公积金03'!C:C,C72,'[3]社保+公积金03'!Q:Q)</f>
        <v>117</v>
      </c>
      <c r="AD72" s="729">
        <f>SUMIF([3]服装!B:B,C72,[3]服装!G:G)</f>
        <v>0</v>
      </c>
      <c r="AE72" s="741">
        <v>10</v>
      </c>
      <c r="AF72" s="730">
        <f>SUMIF([3]其他综合扣款!B:B,C72,[3]其他综合扣款!H:H)</f>
        <v>0</v>
      </c>
      <c r="AG72" s="729">
        <f t="shared" si="11"/>
        <v>604.15</v>
      </c>
      <c r="AH72" s="731">
        <f t="shared" si="12"/>
        <v>295.85000000000002</v>
      </c>
      <c r="AI72" s="742"/>
      <c r="AJ72" s="733"/>
      <c r="AK72" s="743"/>
      <c r="AL72" s="743"/>
      <c r="AM72" s="743"/>
      <c r="AN72" s="743"/>
      <c r="AO72" s="743"/>
      <c r="AP72" s="743"/>
      <c r="AQ72" s="743"/>
      <c r="AR72" s="743"/>
      <c r="AS72" s="743"/>
      <c r="AT72" s="743"/>
      <c r="AU72" s="743"/>
      <c r="AV72" s="743"/>
      <c r="AW72" s="743"/>
      <c r="AX72" s="743"/>
      <c r="AY72" s="743"/>
      <c r="AZ72" s="743"/>
      <c r="BA72" s="743"/>
    </row>
    <row r="73" spans="1:55" s="692" customFormat="1" ht="18" customHeight="1">
      <c r="A73" s="722">
        <v>66</v>
      </c>
      <c r="B73" s="753" t="s">
        <v>132</v>
      </c>
      <c r="C73" s="751" t="s">
        <v>114</v>
      </c>
      <c r="D73" s="756"/>
      <c r="E73" s="753" t="s">
        <v>605</v>
      </c>
      <c r="F73" s="724">
        <v>850</v>
      </c>
      <c r="G73" s="724">
        <v>250</v>
      </c>
      <c r="H73" s="750"/>
      <c r="I73" s="726">
        <f>SUMIF([3]售后加班情况!C:C,'[3]工资表(超市）-武侯售后'!C73,[3]售后加班情况!G:G)</f>
        <v>40</v>
      </c>
      <c r="J73" s="713">
        <f>SUMIF('[3]8月高温补贴'!B:B,C73,'[3]8月高温补贴'!M:M)</f>
        <v>0</v>
      </c>
      <c r="K73" s="750"/>
      <c r="L73" s="750"/>
      <c r="M73" s="738"/>
      <c r="N73" s="750"/>
      <c r="O73" s="750"/>
      <c r="P73" s="727">
        <f t="shared" si="9"/>
        <v>1140</v>
      </c>
      <c r="Q73" s="728">
        <f>SUMIF([3]预发!C:C,C73,[3]预发!D:D)</f>
        <v>0</v>
      </c>
      <c r="R73" s="750"/>
      <c r="S73" s="750">
        <f t="shared" si="7"/>
        <v>0</v>
      </c>
      <c r="T73" s="729">
        <f>SUMIF('[3]社保+公积金03'!C:C,C73,'[3]社保+公积金03'!E:E)</f>
        <v>734.08</v>
      </c>
      <c r="U73" s="729">
        <f>SUMIF('[3]社保+公积金03'!C:C,C73,'[3]社保+公积金03'!I:I)</f>
        <v>346.39</v>
      </c>
      <c r="V73" s="729">
        <f>SUMIF('[3]社保+公积金03'!C:C,C73,'[3]社保+公积金03'!G:G)</f>
        <v>27.53</v>
      </c>
      <c r="W73" s="729">
        <f>SUMIF('[3]社保+公积金03'!C:C,C73,'[3]社保+公积金03'!L:L)</f>
        <v>9.18</v>
      </c>
      <c r="X73" s="729">
        <f>SUMIF('[3]社保+公积金03'!C:C,C73,'[3]社保+公积金03'!K:K)</f>
        <v>34.409999999999997</v>
      </c>
      <c r="Y73" s="729">
        <f>SUMIF('[3]社保+公积金03'!C:C,C73,'[3]社保+公积金03'!N:N)</f>
        <v>0</v>
      </c>
      <c r="Z73" s="729">
        <f>SUMIF('[3]社保+公积金03'!C:C,C73,'[3]社保+公积金03'!P:P)</f>
        <v>117</v>
      </c>
      <c r="AA73" s="729">
        <f t="shared" si="10"/>
        <v>1268.5899999999999</v>
      </c>
      <c r="AB73" s="729">
        <f>SUMIF('[3]社保+公积金03'!C:C,C73,'[3]社保+公积金03'!S:S)</f>
        <v>477.15</v>
      </c>
      <c r="AC73" s="729">
        <f>SUMIF('[3]社保+公积金03'!C:C,C73,'[3]社保+公积金03'!Q:Q)</f>
        <v>117</v>
      </c>
      <c r="AD73" s="729">
        <f>SUMIF([3]服装!B:B,C73,[3]服装!G:G)</f>
        <v>0</v>
      </c>
      <c r="AE73" s="750">
        <v>10</v>
      </c>
      <c r="AF73" s="730">
        <f>SUMIF([3]其他综合扣款!B:B,C73,[3]其他综合扣款!H:H)</f>
        <v>0</v>
      </c>
      <c r="AG73" s="729">
        <f t="shared" si="11"/>
        <v>604.15</v>
      </c>
      <c r="AH73" s="731">
        <f t="shared" si="12"/>
        <v>535.85</v>
      </c>
      <c r="AI73" s="754"/>
      <c r="AJ73" s="733"/>
      <c r="AK73" s="759"/>
      <c r="AL73" s="759"/>
      <c r="AM73" s="759"/>
      <c r="AN73" s="759"/>
      <c r="AO73" s="759"/>
      <c r="AP73" s="759"/>
      <c r="AQ73" s="759"/>
      <c r="AR73" s="759"/>
      <c r="AS73" s="759"/>
      <c r="AT73" s="759"/>
      <c r="AU73" s="759"/>
      <c r="AV73" s="759"/>
      <c r="AW73" s="759"/>
      <c r="AX73" s="759"/>
      <c r="AY73" s="759"/>
      <c r="AZ73" s="759"/>
      <c r="BA73" s="759"/>
    </row>
    <row r="74" spans="1:55" s="692" customFormat="1" ht="20.100000000000001" customHeight="1">
      <c r="A74" s="722">
        <v>67</v>
      </c>
      <c r="B74" s="760" t="s">
        <v>132</v>
      </c>
      <c r="C74" s="738" t="s">
        <v>116</v>
      </c>
      <c r="D74" s="756" t="s">
        <v>607</v>
      </c>
      <c r="E74" s="738" t="s">
        <v>608</v>
      </c>
      <c r="F74" s="724">
        <v>700</v>
      </c>
      <c r="G74" s="724">
        <v>200</v>
      </c>
      <c r="H74" s="724"/>
      <c r="I74" s="726">
        <f>SUMIF([3]售后加班情况!C:C,'[3]工资表(超市）-武侯售后'!C74,[3]售后加班情况!G:G)</f>
        <v>50</v>
      </c>
      <c r="J74" s="713">
        <f>SUMIF('[3]8月高温补贴'!B:B,C74,'[3]8月高温补贴'!M:M)</f>
        <v>0</v>
      </c>
      <c r="K74" s="738"/>
      <c r="L74" s="738"/>
      <c r="M74" s="738"/>
      <c r="N74" s="738">
        <v>100</v>
      </c>
      <c r="O74" s="738"/>
      <c r="P74" s="727">
        <f t="shared" si="9"/>
        <v>850</v>
      </c>
      <c r="Q74" s="728">
        <f>SUMIF([3]预发!C:C,C74,[3]预发!D:D)</f>
        <v>0</v>
      </c>
      <c r="R74" s="741"/>
      <c r="S74" s="741">
        <f t="shared" si="7"/>
        <v>0</v>
      </c>
      <c r="T74" s="729">
        <f>SUMIF('[3]社保+公积金03'!C:C,C74,'[3]社保+公积金03'!E:E)</f>
        <v>734.08</v>
      </c>
      <c r="U74" s="729">
        <f>SUMIF('[3]社保+公积金03'!C:C,C74,'[3]社保+公积金03'!I:I)</f>
        <v>346.39</v>
      </c>
      <c r="V74" s="729">
        <f>SUMIF('[3]社保+公积金03'!C:C,C74,'[3]社保+公积金03'!G:G)</f>
        <v>27.53</v>
      </c>
      <c r="W74" s="729">
        <f>SUMIF('[3]社保+公积金03'!C:C,C74,'[3]社保+公积金03'!L:L)</f>
        <v>9.18</v>
      </c>
      <c r="X74" s="729">
        <f>SUMIF('[3]社保+公积金03'!C:C,C74,'[3]社保+公积金03'!K:K)</f>
        <v>34.409999999999997</v>
      </c>
      <c r="Y74" s="729">
        <f>SUMIF('[3]社保+公积金03'!C:C,C74,'[3]社保+公积金03'!N:N)</f>
        <v>0</v>
      </c>
      <c r="Z74" s="729">
        <f>SUMIF('[3]社保+公积金03'!C:C,C74,'[3]社保+公积金03'!P:P)</f>
        <v>117</v>
      </c>
      <c r="AA74" s="729">
        <f t="shared" si="10"/>
        <v>1268.5899999999999</v>
      </c>
      <c r="AB74" s="729">
        <f>SUMIF('[3]社保+公积金03'!C:C,C74,'[3]社保+公积金03'!S:S)</f>
        <v>477.15</v>
      </c>
      <c r="AC74" s="729">
        <f>SUMIF('[3]社保+公积金03'!C:C,C74,'[3]社保+公积金03'!Q:Q)</f>
        <v>117</v>
      </c>
      <c r="AD74" s="729">
        <f>SUMIF([3]服装!B:B,C74,[3]服装!G:G)</f>
        <v>0</v>
      </c>
      <c r="AE74" s="741">
        <v>10</v>
      </c>
      <c r="AF74" s="730">
        <f>SUMIF([3]其他综合扣款!B:B,C74,[3]其他综合扣款!H:H)</f>
        <v>0</v>
      </c>
      <c r="AG74" s="729">
        <f t="shared" si="11"/>
        <v>604.15</v>
      </c>
      <c r="AH74" s="731">
        <f t="shared" si="12"/>
        <v>245.85</v>
      </c>
      <c r="AI74" s="742"/>
      <c r="AJ74" s="733"/>
      <c r="AK74" s="743"/>
      <c r="AL74" s="743"/>
      <c r="AM74" s="743"/>
      <c r="AN74" s="743"/>
      <c r="AO74" s="743"/>
      <c r="AP74" s="743"/>
      <c r="AQ74" s="743"/>
      <c r="AR74" s="743"/>
      <c r="AS74" s="743"/>
      <c r="AT74" s="743"/>
      <c r="AU74" s="743"/>
      <c r="AV74" s="743"/>
      <c r="AW74" s="743"/>
      <c r="AX74" s="743"/>
      <c r="AY74" s="743"/>
      <c r="AZ74" s="743"/>
      <c r="BA74" s="743"/>
    </row>
    <row r="75" spans="1:55" s="692" customFormat="1" ht="18" customHeight="1">
      <c r="A75" s="722">
        <v>68</v>
      </c>
      <c r="B75" s="753" t="s">
        <v>426</v>
      </c>
      <c r="C75" s="751" t="s">
        <v>117</v>
      </c>
      <c r="D75" s="756"/>
      <c r="E75" s="753" t="s">
        <v>605</v>
      </c>
      <c r="F75" s="724">
        <v>850</v>
      </c>
      <c r="G75" s="724">
        <v>250</v>
      </c>
      <c r="H75" s="787"/>
      <c r="I75" s="726">
        <f>SUMIF([3]售后加班情况!C:C,'[3]工资表(超市）-武侯售后'!C75,[3]售后加班情况!G:G)</f>
        <v>20</v>
      </c>
      <c r="J75" s="713">
        <f>SUMIF('[3]8月高温补贴'!B:B,C75,'[3]8月高温补贴'!M:M)</f>
        <v>0</v>
      </c>
      <c r="K75" s="766"/>
      <c r="L75" s="766"/>
      <c r="M75" s="738"/>
      <c r="N75" s="750"/>
      <c r="O75" s="750"/>
      <c r="P75" s="727">
        <f t="shared" si="9"/>
        <v>1120</v>
      </c>
      <c r="Q75" s="728">
        <f>SUMIF([3]预发!C:C,C75,[3]预发!D:D)</f>
        <v>0</v>
      </c>
      <c r="R75" s="750"/>
      <c r="S75" s="750">
        <f t="shared" si="7"/>
        <v>0</v>
      </c>
      <c r="T75" s="729">
        <f>SUMIF('[3]社保+公积金03'!C:C,C75,'[3]社保+公积金03'!E:E)</f>
        <v>734.08</v>
      </c>
      <c r="U75" s="729">
        <f>SUMIF('[3]社保+公积金03'!C:C,C75,'[3]社保+公积金03'!I:I)</f>
        <v>346.39</v>
      </c>
      <c r="V75" s="729">
        <f>SUMIF('[3]社保+公积金03'!C:C,C75,'[3]社保+公积金03'!G:G)</f>
        <v>27.53</v>
      </c>
      <c r="W75" s="729">
        <f>SUMIF('[3]社保+公积金03'!C:C,C75,'[3]社保+公积金03'!L:L)</f>
        <v>9.18</v>
      </c>
      <c r="X75" s="729">
        <f>SUMIF('[3]社保+公积金03'!C:C,C75,'[3]社保+公积金03'!K:K)</f>
        <v>34.409999999999997</v>
      </c>
      <c r="Y75" s="729">
        <f>SUMIF('[3]社保+公积金03'!C:C,C75,'[3]社保+公积金03'!N:N)</f>
        <v>0</v>
      </c>
      <c r="Z75" s="729">
        <f>SUMIF('[3]社保+公积金03'!C:C,C75,'[3]社保+公积金03'!P:P)</f>
        <v>117</v>
      </c>
      <c r="AA75" s="729">
        <f t="shared" si="10"/>
        <v>1268.5899999999999</v>
      </c>
      <c r="AB75" s="729">
        <f>SUMIF('[3]社保+公积金03'!C:C,C75,'[3]社保+公积金03'!S:S)</f>
        <v>477.15</v>
      </c>
      <c r="AC75" s="729">
        <f>SUMIF('[3]社保+公积金03'!C:C,C75,'[3]社保+公积金03'!Q:Q)</f>
        <v>117</v>
      </c>
      <c r="AD75" s="729">
        <f>SUMIF([3]服装!B:B,C75,[3]服装!G:G)</f>
        <v>0</v>
      </c>
      <c r="AE75" s="750">
        <v>10</v>
      </c>
      <c r="AF75" s="730">
        <f>SUMIF([3]其他综合扣款!B:B,C75,[3]其他综合扣款!H:H)</f>
        <v>0</v>
      </c>
      <c r="AG75" s="729">
        <f t="shared" si="11"/>
        <v>604.15</v>
      </c>
      <c r="AH75" s="731">
        <f t="shared" si="12"/>
        <v>515.85</v>
      </c>
      <c r="AI75" s="767"/>
      <c r="AJ75" s="733"/>
      <c r="AK75" s="759"/>
      <c r="AL75" s="759"/>
      <c r="AM75" s="759"/>
      <c r="AN75" s="759"/>
      <c r="AO75" s="759"/>
      <c r="AP75" s="759"/>
      <c r="AQ75" s="759"/>
      <c r="AR75" s="759"/>
      <c r="AS75" s="759"/>
      <c r="AT75" s="759"/>
      <c r="AU75" s="759"/>
      <c r="AV75" s="759"/>
      <c r="AW75" s="759"/>
      <c r="AX75" s="759"/>
      <c r="AY75" s="759"/>
      <c r="AZ75" s="759"/>
      <c r="BA75" s="759"/>
    </row>
    <row r="76" spans="1:55" s="692" customFormat="1" ht="20.100000000000001" customHeight="1">
      <c r="A76" s="722">
        <v>69</v>
      </c>
      <c r="B76" s="737" t="s">
        <v>141</v>
      </c>
      <c r="C76" s="748" t="s">
        <v>118</v>
      </c>
      <c r="D76" s="749"/>
      <c r="E76" s="785" t="s">
        <v>605</v>
      </c>
      <c r="F76" s="724">
        <v>850</v>
      </c>
      <c r="G76" s="724">
        <v>250</v>
      </c>
      <c r="H76" s="724"/>
      <c r="I76" s="726">
        <f>SUMIF([3]售后加班情况!C:C,'[3]工资表(超市）-武侯售后'!C76,[3]售后加班情况!G:G)</f>
        <v>40</v>
      </c>
      <c r="J76" s="713">
        <f>SUMIF('[3]8月高温补贴'!B:B,C76,'[3]8月高温补贴'!M:M)</f>
        <v>0</v>
      </c>
      <c r="K76" s="738"/>
      <c r="L76" s="738"/>
      <c r="M76" s="738"/>
      <c r="N76" s="738"/>
      <c r="O76" s="738"/>
      <c r="P76" s="727">
        <f t="shared" si="9"/>
        <v>1140</v>
      </c>
      <c r="Q76" s="728">
        <f>SUMIF([3]预发!C:C,C76,[3]预发!D:D)</f>
        <v>0</v>
      </c>
      <c r="R76" s="741"/>
      <c r="S76" s="741">
        <f t="shared" si="7"/>
        <v>0</v>
      </c>
      <c r="T76" s="729">
        <f>SUMIF('[3]社保+公积金03'!C:C,C76,'[3]社保+公积金03'!E:E)</f>
        <v>734.08</v>
      </c>
      <c r="U76" s="729">
        <f>SUMIF('[3]社保+公积金03'!C:C,C76,'[3]社保+公积金03'!I:I)</f>
        <v>346.39</v>
      </c>
      <c r="V76" s="729">
        <f>SUMIF('[3]社保+公积金03'!C:C,C76,'[3]社保+公积金03'!G:G)</f>
        <v>27.53</v>
      </c>
      <c r="W76" s="729">
        <f>SUMIF('[3]社保+公积金03'!C:C,C76,'[3]社保+公积金03'!L:L)</f>
        <v>9.18</v>
      </c>
      <c r="X76" s="729">
        <f>SUMIF('[3]社保+公积金03'!C:C,C76,'[3]社保+公积金03'!K:K)</f>
        <v>34.409999999999997</v>
      </c>
      <c r="Y76" s="729">
        <f>SUMIF('[3]社保+公积金03'!C:C,C76,'[3]社保+公积金03'!N:N)</f>
        <v>0</v>
      </c>
      <c r="Z76" s="729">
        <f>SUMIF('[3]社保+公积金03'!C:C,C76,'[3]社保+公积金03'!P:P)</f>
        <v>117</v>
      </c>
      <c r="AA76" s="729">
        <f t="shared" si="10"/>
        <v>1268.5899999999999</v>
      </c>
      <c r="AB76" s="729">
        <f>SUMIF('[3]社保+公积金03'!C:C,C76,'[3]社保+公积金03'!S:S)</f>
        <v>477.15</v>
      </c>
      <c r="AC76" s="729">
        <f>SUMIF('[3]社保+公积金03'!C:C,C76,'[3]社保+公积金03'!Q:Q)</f>
        <v>117</v>
      </c>
      <c r="AD76" s="729">
        <f>SUMIF([3]服装!B:B,C76,[3]服装!G:G)</f>
        <v>0</v>
      </c>
      <c r="AE76" s="741">
        <v>10</v>
      </c>
      <c r="AF76" s="730">
        <f>SUMIF([3]其他综合扣款!B:B,C76,[3]其他综合扣款!H:H)</f>
        <v>0</v>
      </c>
      <c r="AG76" s="729">
        <f t="shared" si="11"/>
        <v>604.15</v>
      </c>
      <c r="AH76" s="731">
        <f t="shared" si="12"/>
        <v>535.85</v>
      </c>
      <c r="AI76" s="742"/>
      <c r="AJ76" s="733"/>
      <c r="AK76" s="743"/>
      <c r="AL76" s="743"/>
      <c r="AM76" s="743"/>
      <c r="AN76" s="743"/>
      <c r="AO76" s="743"/>
      <c r="AP76" s="743"/>
      <c r="AQ76" s="743"/>
      <c r="AR76" s="743"/>
      <c r="AS76" s="743"/>
      <c r="AT76" s="743"/>
      <c r="AU76" s="743"/>
      <c r="AV76" s="743"/>
      <c r="AW76" s="743"/>
      <c r="AX76" s="743"/>
      <c r="AY76" s="743"/>
      <c r="AZ76" s="743"/>
      <c r="BA76" s="743"/>
    </row>
    <row r="77" spans="1:55" s="692" customFormat="1" ht="20.100000000000001" customHeight="1">
      <c r="A77" s="722">
        <v>70</v>
      </c>
      <c r="B77" s="737" t="s">
        <v>141</v>
      </c>
      <c r="C77" s="726" t="s">
        <v>119</v>
      </c>
      <c r="D77" s="725"/>
      <c r="E77" s="753" t="s">
        <v>609</v>
      </c>
      <c r="F77" s="724">
        <v>700</v>
      </c>
      <c r="G77" s="724">
        <v>200</v>
      </c>
      <c r="H77" s="724"/>
      <c r="I77" s="726">
        <f>SUMIF([3]售后加班情况!C:C,'[3]工资表(超市）-武侯售后'!C77,[3]售后加班情况!G:G)</f>
        <v>50</v>
      </c>
      <c r="J77" s="713">
        <f>SUMIF('[3]8月高温补贴'!B:B,C77,'[3]8月高温补贴'!M:M)</f>
        <v>0</v>
      </c>
      <c r="K77" s="724"/>
      <c r="L77" s="724"/>
      <c r="M77" s="738"/>
      <c r="N77" s="724"/>
      <c r="O77" s="724"/>
      <c r="P77" s="727">
        <f t="shared" si="9"/>
        <v>950</v>
      </c>
      <c r="Q77" s="728">
        <f>SUMIF([3]预发!C:C,C77,[3]预发!D:D)</f>
        <v>0</v>
      </c>
      <c r="R77" s="729"/>
      <c r="S77" s="729">
        <f t="shared" si="7"/>
        <v>0</v>
      </c>
      <c r="T77" s="729">
        <f>SUMIF('[3]社保+公积金03'!C:C,C77,'[3]社保+公积金03'!E:E)</f>
        <v>734.08</v>
      </c>
      <c r="U77" s="729">
        <f>SUMIF('[3]社保+公积金03'!C:C,C77,'[3]社保+公积金03'!I:I)</f>
        <v>346.39</v>
      </c>
      <c r="V77" s="729">
        <f>SUMIF('[3]社保+公积金03'!C:C,C77,'[3]社保+公积金03'!G:G)</f>
        <v>27.53</v>
      </c>
      <c r="W77" s="729">
        <f>SUMIF('[3]社保+公积金03'!C:C,C77,'[3]社保+公积金03'!L:L)</f>
        <v>9.18</v>
      </c>
      <c r="X77" s="729">
        <f>SUMIF('[3]社保+公积金03'!C:C,C77,'[3]社保+公积金03'!K:K)</f>
        <v>34.409999999999997</v>
      </c>
      <c r="Y77" s="729">
        <f>SUMIF('[3]社保+公积金03'!C:C,C77,'[3]社保+公积金03'!N:N)</f>
        <v>0</v>
      </c>
      <c r="Z77" s="729">
        <f>SUMIF('[3]社保+公积金03'!C:C,C77,'[3]社保+公积金03'!P:P)</f>
        <v>117</v>
      </c>
      <c r="AA77" s="729">
        <f t="shared" si="10"/>
        <v>1268.5899999999999</v>
      </c>
      <c r="AB77" s="729">
        <f>SUMIF('[3]社保+公积金03'!C:C,C77,'[3]社保+公积金03'!S:S)</f>
        <v>477.15</v>
      </c>
      <c r="AC77" s="729">
        <f>SUMIF('[3]社保+公积金03'!C:C,C77,'[3]社保+公积金03'!Q:Q)</f>
        <v>117</v>
      </c>
      <c r="AD77" s="729">
        <f>SUMIF([3]服装!B:B,C77,[3]服装!G:G)</f>
        <v>0</v>
      </c>
      <c r="AE77" s="729">
        <v>10</v>
      </c>
      <c r="AF77" s="730">
        <f>SUMIF([3]其他综合扣款!B:B,C77,[3]其他综合扣款!H:H)</f>
        <v>0</v>
      </c>
      <c r="AG77" s="729">
        <f t="shared" si="11"/>
        <v>604.15</v>
      </c>
      <c r="AH77" s="731">
        <f t="shared" si="12"/>
        <v>345.85</v>
      </c>
      <c r="AI77" s="732"/>
      <c r="AJ77" s="733"/>
      <c r="AK77" s="768"/>
      <c r="AL77" s="768"/>
      <c r="AM77" s="768"/>
      <c r="AN77" s="768"/>
      <c r="AO77" s="768"/>
      <c r="AP77" s="768"/>
      <c r="AQ77" s="768"/>
      <c r="AR77" s="768"/>
      <c r="AS77" s="768"/>
      <c r="AT77" s="768"/>
      <c r="AU77" s="768"/>
      <c r="AV77" s="768"/>
      <c r="AW77" s="768"/>
      <c r="AX77" s="768"/>
      <c r="AY77" s="768"/>
      <c r="AZ77" s="768"/>
      <c r="BA77" s="768"/>
      <c r="BB77" s="768"/>
      <c r="BC77" s="768"/>
    </row>
    <row r="78" spans="1:55" s="692" customFormat="1" ht="20.100000000000001" customHeight="1">
      <c r="A78" s="722">
        <v>71</v>
      </c>
      <c r="B78" s="753" t="s">
        <v>146</v>
      </c>
      <c r="C78" s="726" t="s">
        <v>121</v>
      </c>
      <c r="D78" s="739"/>
      <c r="E78" s="785" t="s">
        <v>605</v>
      </c>
      <c r="F78" s="724">
        <v>850</v>
      </c>
      <c r="G78" s="724">
        <v>250</v>
      </c>
      <c r="H78" s="724"/>
      <c r="I78" s="726">
        <f>SUMIF([3]售后加班情况!C:C,'[3]工资表(超市）-武侯售后'!C78,[3]售后加班情况!G:G)</f>
        <v>20</v>
      </c>
      <c r="J78" s="713">
        <f>SUMIF('[3]8月高温补贴'!B:B,C78,'[3]8月高温补贴'!M:M)</f>
        <v>0</v>
      </c>
      <c r="K78" s="738"/>
      <c r="L78" s="738"/>
      <c r="M78" s="738"/>
      <c r="N78" s="788"/>
      <c r="O78" s="738"/>
      <c r="P78" s="727">
        <f t="shared" si="9"/>
        <v>1120</v>
      </c>
      <c r="Q78" s="728">
        <f>SUMIF([3]预发!C:C,C78,[3]预发!D:D)</f>
        <v>0</v>
      </c>
      <c r="R78" s="741"/>
      <c r="S78" s="741">
        <f t="shared" si="7"/>
        <v>0</v>
      </c>
      <c r="T78" s="729">
        <f>SUMIF('[3]社保+公积金03'!C:C,C78,'[3]社保+公积金03'!E:E)</f>
        <v>734.08</v>
      </c>
      <c r="U78" s="729">
        <f>SUMIF('[3]社保+公积金03'!C:C,C78,'[3]社保+公积金03'!I:I)</f>
        <v>346.39</v>
      </c>
      <c r="V78" s="729">
        <f>SUMIF('[3]社保+公积金03'!C:C,C78,'[3]社保+公积金03'!G:G)</f>
        <v>27.53</v>
      </c>
      <c r="W78" s="729">
        <f>SUMIF('[3]社保+公积金03'!C:C,C78,'[3]社保+公积金03'!L:L)</f>
        <v>9.18</v>
      </c>
      <c r="X78" s="729">
        <f>SUMIF('[3]社保+公积金03'!C:C,C78,'[3]社保+公积金03'!K:K)</f>
        <v>34.409999999999997</v>
      </c>
      <c r="Y78" s="729">
        <f>SUMIF('[3]社保+公积金03'!C:C,C78,'[3]社保+公积金03'!N:N)</f>
        <v>0</v>
      </c>
      <c r="Z78" s="729">
        <f>SUMIF('[3]社保+公积金03'!C:C,C78,'[3]社保+公积金03'!P:P)</f>
        <v>117</v>
      </c>
      <c r="AA78" s="729">
        <f t="shared" si="10"/>
        <v>1268.5899999999999</v>
      </c>
      <c r="AB78" s="729">
        <f>SUMIF('[3]社保+公积金03'!C:C,C78,'[3]社保+公积金03'!S:S)</f>
        <v>477.15</v>
      </c>
      <c r="AC78" s="729">
        <f>SUMIF('[3]社保+公积金03'!C:C,C78,'[3]社保+公积金03'!Q:Q)</f>
        <v>117</v>
      </c>
      <c r="AD78" s="729">
        <f>SUMIF([3]服装!B:B,C78,[3]服装!G:G)</f>
        <v>0</v>
      </c>
      <c r="AE78" s="741">
        <v>10</v>
      </c>
      <c r="AF78" s="730">
        <f>SUMIF([3]其他综合扣款!B:B,C78,[3]其他综合扣款!H:H)</f>
        <v>0</v>
      </c>
      <c r="AG78" s="729">
        <f t="shared" si="11"/>
        <v>604.15</v>
      </c>
      <c r="AH78" s="731">
        <f t="shared" si="12"/>
        <v>515.85</v>
      </c>
      <c r="AI78" s="742"/>
      <c r="AJ78" s="733"/>
      <c r="AK78" s="743"/>
      <c r="AL78" s="743"/>
      <c r="AM78" s="743"/>
      <c r="AN78" s="743"/>
      <c r="AO78" s="743"/>
      <c r="AP78" s="743"/>
      <c r="AQ78" s="743"/>
      <c r="AR78" s="743"/>
      <c r="AS78" s="743"/>
      <c r="AT78" s="743"/>
      <c r="AU78" s="743"/>
      <c r="AV78" s="743"/>
      <c r="AW78" s="743"/>
      <c r="AX78" s="743"/>
      <c r="AY78" s="743"/>
      <c r="AZ78" s="743"/>
      <c r="BA78" s="743"/>
    </row>
    <row r="79" spans="1:55" s="692" customFormat="1" ht="20.100000000000001" customHeight="1">
      <c r="A79" s="722">
        <v>72</v>
      </c>
      <c r="B79" s="753" t="s">
        <v>146</v>
      </c>
      <c r="C79" s="726" t="s">
        <v>120</v>
      </c>
      <c r="D79" s="739" t="s">
        <v>590</v>
      </c>
      <c r="E79" s="748" t="s">
        <v>610</v>
      </c>
      <c r="F79" s="724">
        <v>700</v>
      </c>
      <c r="G79" s="724">
        <v>200</v>
      </c>
      <c r="H79" s="724"/>
      <c r="I79" s="726">
        <f>SUMIF([3]售后加班情况!C:C,'[3]工资表(超市）-武侯售后'!C79,[3]售后加班情况!G:G)</f>
        <v>20</v>
      </c>
      <c r="J79" s="713">
        <f>SUMIF('[3]8月高温补贴'!B:B,C79,'[3]8月高温补贴'!M:M)</f>
        <v>0</v>
      </c>
      <c r="K79" s="738"/>
      <c r="L79" s="738"/>
      <c r="M79" s="738"/>
      <c r="N79" s="788">
        <f>900/30*0.5</f>
        <v>15</v>
      </c>
      <c r="O79" s="738"/>
      <c r="P79" s="727">
        <f t="shared" si="9"/>
        <v>905</v>
      </c>
      <c r="Q79" s="728">
        <f>SUMIF([3]预发!C:C,C79,[3]预发!D:D)</f>
        <v>0</v>
      </c>
      <c r="R79" s="741"/>
      <c r="S79" s="741">
        <f t="shared" si="7"/>
        <v>0</v>
      </c>
      <c r="T79" s="729">
        <f>SUMIF('[3]社保+公积金03'!C:C,C79,'[3]社保+公积金03'!E:E)</f>
        <v>734.08</v>
      </c>
      <c r="U79" s="729">
        <f>SUMIF('[3]社保+公积金03'!C:C,C79,'[3]社保+公积金03'!I:I)</f>
        <v>346.39</v>
      </c>
      <c r="V79" s="729">
        <f>SUMIF('[3]社保+公积金03'!C:C,C79,'[3]社保+公积金03'!G:G)</f>
        <v>27.53</v>
      </c>
      <c r="W79" s="729">
        <f>SUMIF('[3]社保+公积金03'!C:C,C79,'[3]社保+公积金03'!L:L)</f>
        <v>9.18</v>
      </c>
      <c r="X79" s="729">
        <f>SUMIF('[3]社保+公积金03'!C:C,C79,'[3]社保+公积金03'!K:K)</f>
        <v>34.409999999999997</v>
      </c>
      <c r="Y79" s="729">
        <f>SUMIF('[3]社保+公积金03'!C:C,C79,'[3]社保+公积金03'!N:N)</f>
        <v>0</v>
      </c>
      <c r="Z79" s="729">
        <f>SUMIF('[3]社保+公积金03'!C:C,C79,'[3]社保+公积金03'!P:P)</f>
        <v>117</v>
      </c>
      <c r="AA79" s="729">
        <f t="shared" si="10"/>
        <v>1268.5899999999999</v>
      </c>
      <c r="AB79" s="729">
        <f>SUMIF('[3]社保+公积金03'!C:C,C79,'[3]社保+公积金03'!S:S)</f>
        <v>477.15</v>
      </c>
      <c r="AC79" s="729">
        <f>SUMIF('[3]社保+公积金03'!C:C,C79,'[3]社保+公积金03'!Q:Q)</f>
        <v>117</v>
      </c>
      <c r="AD79" s="729">
        <f>SUMIF([3]服装!B:B,C79,[3]服装!G:G)</f>
        <v>0</v>
      </c>
      <c r="AE79" s="741">
        <v>10</v>
      </c>
      <c r="AF79" s="730">
        <f>SUMIF([3]其他综合扣款!B:B,C79,[3]其他综合扣款!H:H)</f>
        <v>0</v>
      </c>
      <c r="AG79" s="729">
        <f t="shared" si="11"/>
        <v>604.15</v>
      </c>
      <c r="AH79" s="731">
        <f t="shared" si="12"/>
        <v>300.85000000000002</v>
      </c>
      <c r="AI79" s="742"/>
      <c r="AJ79" s="733"/>
      <c r="AK79" s="743"/>
      <c r="AL79" s="743"/>
      <c r="AM79" s="743"/>
      <c r="AN79" s="743"/>
      <c r="AO79" s="743"/>
      <c r="AP79" s="743"/>
      <c r="AQ79" s="743"/>
      <c r="AR79" s="743"/>
      <c r="AS79" s="743"/>
      <c r="AT79" s="743"/>
      <c r="AU79" s="743"/>
      <c r="AV79" s="743"/>
      <c r="AW79" s="743"/>
      <c r="AX79" s="743"/>
      <c r="AY79" s="743"/>
      <c r="AZ79" s="743"/>
      <c r="BA79" s="743"/>
    </row>
    <row r="80" spans="1:55" s="692" customFormat="1" ht="20.100000000000001" customHeight="1">
      <c r="A80" s="722">
        <v>73</v>
      </c>
      <c r="B80" s="737" t="s">
        <v>151</v>
      </c>
      <c r="C80" s="748" t="s">
        <v>123</v>
      </c>
      <c r="D80" s="739"/>
      <c r="E80" s="753" t="s">
        <v>605</v>
      </c>
      <c r="F80" s="724">
        <v>850</v>
      </c>
      <c r="G80" s="724">
        <v>250</v>
      </c>
      <c r="H80" s="724"/>
      <c r="I80" s="726">
        <f>SUMIF([3]售后加班情况!C:C,'[3]工资表(超市）-武侯售后'!C80,[3]售后加班情况!G:G)</f>
        <v>10</v>
      </c>
      <c r="J80" s="713">
        <f>SUMIF('[3]8月高温补贴'!B:B,C80,'[3]8月高温补贴'!M:M)</f>
        <v>0</v>
      </c>
      <c r="K80" s="738"/>
      <c r="L80" s="738"/>
      <c r="M80" s="738"/>
      <c r="N80" s="788"/>
      <c r="O80" s="738"/>
      <c r="P80" s="727">
        <f t="shared" si="9"/>
        <v>1110</v>
      </c>
      <c r="Q80" s="728">
        <f>SUMIF([3]预发!C:C,C80,[3]预发!D:D)</f>
        <v>0</v>
      </c>
      <c r="R80" s="741"/>
      <c r="S80" s="741">
        <f t="shared" si="7"/>
        <v>0</v>
      </c>
      <c r="T80" s="729">
        <f>SUMIF('[3]社保+公积金03'!C:C,C80,'[3]社保+公积金03'!E:E)</f>
        <v>0</v>
      </c>
      <c r="U80" s="729">
        <f>SUMIF('[3]社保+公积金03'!C:C,C80,'[3]社保+公积金03'!I:I)</f>
        <v>0</v>
      </c>
      <c r="V80" s="729">
        <f>SUMIF('[3]社保+公积金03'!C:C,C80,'[3]社保+公积金03'!G:G)</f>
        <v>0</v>
      </c>
      <c r="W80" s="729">
        <f>SUMIF('[3]社保+公积金03'!C:C,C80,'[3]社保+公积金03'!L:L)</f>
        <v>0</v>
      </c>
      <c r="X80" s="729">
        <f>SUMIF('[3]社保+公积金03'!C:C,C80,'[3]社保+公积金03'!K:K)</f>
        <v>0</v>
      </c>
      <c r="Y80" s="729">
        <f>SUMIF('[3]社保+公积金03'!C:C,C80,'[3]社保+公积金03'!N:N)</f>
        <v>0</v>
      </c>
      <c r="Z80" s="729">
        <f>SUMIF('[3]社保+公积金03'!C:C,C80,'[3]社保+公积金03'!P:P)</f>
        <v>117</v>
      </c>
      <c r="AA80" s="729">
        <f t="shared" si="10"/>
        <v>117</v>
      </c>
      <c r="AB80" s="729">
        <f>SUMIF('[3]社保+公积金03'!C:C,C80,'[3]社保+公积金03'!S:S)</f>
        <v>0</v>
      </c>
      <c r="AC80" s="729">
        <f>SUMIF('[3]社保+公积金03'!C:C,C80,'[3]社保+公积金03'!Q:Q)</f>
        <v>117</v>
      </c>
      <c r="AD80" s="729">
        <f>SUMIF([3]服装!B:B,C80,[3]服装!G:G)</f>
        <v>0</v>
      </c>
      <c r="AE80" s="741">
        <v>10</v>
      </c>
      <c r="AF80" s="730">
        <f>SUMIF([3]其他综合扣款!B:B,C80,[3]其他综合扣款!H:H)</f>
        <v>0</v>
      </c>
      <c r="AG80" s="729">
        <f t="shared" si="11"/>
        <v>127</v>
      </c>
      <c r="AH80" s="731">
        <f t="shared" si="12"/>
        <v>983</v>
      </c>
      <c r="AI80" s="742"/>
      <c r="AJ80" s="733"/>
      <c r="AK80" s="743"/>
      <c r="AL80" s="743"/>
      <c r="AM80" s="743"/>
      <c r="AN80" s="743"/>
      <c r="AO80" s="743"/>
      <c r="AP80" s="743"/>
      <c r="AQ80" s="743"/>
      <c r="AR80" s="743"/>
      <c r="AS80" s="743"/>
      <c r="AT80" s="743"/>
      <c r="AU80" s="743"/>
      <c r="AV80" s="743"/>
      <c r="AW80" s="743"/>
      <c r="AX80" s="743"/>
      <c r="AY80" s="743"/>
      <c r="AZ80" s="743"/>
      <c r="BA80" s="743"/>
    </row>
    <row r="81" spans="1:53" s="692" customFormat="1" ht="20.100000000000001" customHeight="1">
      <c r="A81" s="722">
        <v>74</v>
      </c>
      <c r="B81" s="737" t="s">
        <v>151</v>
      </c>
      <c r="C81" s="726" t="s">
        <v>124</v>
      </c>
      <c r="D81" s="786"/>
      <c r="E81" s="748" t="s">
        <v>611</v>
      </c>
      <c r="F81" s="724">
        <v>1000</v>
      </c>
      <c r="G81" s="724"/>
      <c r="H81" s="724"/>
      <c r="I81" s="726">
        <f>SUMIF([3]售后加班情况!C:C,'[3]工资表(超市）-武侯售后'!C81,[3]售后加班情况!G:G)</f>
        <v>10</v>
      </c>
      <c r="J81" s="713">
        <f>SUMIF('[3]8月高温补贴'!B:B,C81,'[3]8月高温补贴'!M:M)</f>
        <v>0</v>
      </c>
      <c r="K81" s="738"/>
      <c r="L81" s="738"/>
      <c r="M81" s="738"/>
      <c r="N81" s="788"/>
      <c r="O81" s="738"/>
      <c r="P81" s="727">
        <f t="shared" si="9"/>
        <v>1010</v>
      </c>
      <c r="Q81" s="728">
        <f>SUMIF([3]预发!C:C,C81,[3]预发!D:D)</f>
        <v>0</v>
      </c>
      <c r="R81" s="741"/>
      <c r="S81" s="741">
        <f t="shared" si="7"/>
        <v>0</v>
      </c>
      <c r="T81" s="729">
        <f>SUMIF('[3]社保+公积金03'!C:C,C81,'[3]社保+公积金03'!E:E)</f>
        <v>0</v>
      </c>
      <c r="U81" s="729">
        <f>SUMIF('[3]社保+公积金03'!C:C,C81,'[3]社保+公积金03'!I:I)</f>
        <v>0</v>
      </c>
      <c r="V81" s="729">
        <f>SUMIF('[3]社保+公积金03'!C:C,C81,'[3]社保+公积金03'!G:G)</f>
        <v>0</v>
      </c>
      <c r="W81" s="729">
        <f>SUMIF('[3]社保+公积金03'!C:C,C81,'[3]社保+公积金03'!L:L)</f>
        <v>0</v>
      </c>
      <c r="X81" s="729">
        <f>SUMIF('[3]社保+公积金03'!C:C,C81,'[3]社保+公积金03'!K:K)</f>
        <v>0</v>
      </c>
      <c r="Y81" s="729">
        <f>SUMIF('[3]社保+公积金03'!C:C,C81,'[3]社保+公积金03'!N:N)</f>
        <v>0</v>
      </c>
      <c r="Z81" s="729">
        <f>SUMIF('[3]社保+公积金03'!C:C,C81,'[3]社保+公积金03'!P:P)</f>
        <v>0</v>
      </c>
      <c r="AA81" s="729">
        <f t="shared" si="10"/>
        <v>0</v>
      </c>
      <c r="AB81" s="729">
        <f>SUMIF('[3]社保+公积金03'!C:C,C81,'[3]社保+公积金03'!S:S)</f>
        <v>0</v>
      </c>
      <c r="AC81" s="729">
        <f>SUMIF('[3]社保+公积金03'!C:C,C81,'[3]社保+公积金03'!Q:Q)</f>
        <v>0</v>
      </c>
      <c r="AD81" s="729">
        <f>SUMIF([3]服装!B:B,C81,[3]服装!G:G)</f>
        <v>0</v>
      </c>
      <c r="AE81" s="741"/>
      <c r="AF81" s="730">
        <f>SUMIF([3]其他综合扣款!B:B,C81,[3]其他综合扣款!H:H)</f>
        <v>0</v>
      </c>
      <c r="AG81" s="729">
        <f t="shared" si="11"/>
        <v>0</v>
      </c>
      <c r="AH81" s="731">
        <f t="shared" si="12"/>
        <v>1010</v>
      </c>
      <c r="AI81" s="742"/>
      <c r="AJ81" s="733"/>
      <c r="AK81" s="743"/>
      <c r="AL81" s="743"/>
      <c r="AM81" s="743"/>
      <c r="AN81" s="743"/>
      <c r="AO81" s="743"/>
      <c r="AP81" s="743"/>
      <c r="AQ81" s="743"/>
      <c r="AR81" s="743"/>
      <c r="AS81" s="743"/>
      <c r="AT81" s="743"/>
      <c r="AU81" s="743"/>
      <c r="AV81" s="743"/>
      <c r="AW81" s="743"/>
      <c r="AX81" s="743"/>
      <c r="AY81" s="743"/>
      <c r="AZ81" s="743"/>
      <c r="BA81" s="743"/>
    </row>
    <row r="82" spans="1:53" s="692" customFormat="1" ht="20.100000000000001" customHeight="1">
      <c r="A82" s="722">
        <v>75</v>
      </c>
      <c r="B82" s="737" t="s">
        <v>612</v>
      </c>
      <c r="C82" s="726" t="s">
        <v>126</v>
      </c>
      <c r="D82" s="739"/>
      <c r="E82" s="748" t="s">
        <v>605</v>
      </c>
      <c r="F82" s="724">
        <v>850</v>
      </c>
      <c r="G82" s="724">
        <v>250</v>
      </c>
      <c r="H82" s="724"/>
      <c r="I82" s="726">
        <f>SUMIF([3]售后加班情况!C:C,'[3]工资表(超市）-武侯售后'!C82,[3]售后加班情况!G:G)</f>
        <v>20</v>
      </c>
      <c r="J82" s="713">
        <f>SUMIF('[3]8月高温补贴'!B:B,C82,'[3]8月高温补贴'!M:M)</f>
        <v>0</v>
      </c>
      <c r="K82" s="738"/>
      <c r="L82" s="738"/>
      <c r="M82" s="738"/>
      <c r="N82" s="788"/>
      <c r="O82" s="738"/>
      <c r="P82" s="727">
        <f t="shared" si="9"/>
        <v>1120</v>
      </c>
      <c r="Q82" s="728">
        <f>SUMIF([3]预发!C:C,C82,[3]预发!D:D)</f>
        <v>0</v>
      </c>
      <c r="R82" s="741"/>
      <c r="S82" s="741">
        <f t="shared" si="7"/>
        <v>0</v>
      </c>
      <c r="T82" s="729">
        <f>SUMIF('[3]社保+公积金03'!C:C,C82,'[3]社保+公积金03'!E:E)</f>
        <v>734.08</v>
      </c>
      <c r="U82" s="729">
        <f>SUMIF('[3]社保+公积金03'!C:C,C82,'[3]社保+公积金03'!I:I)</f>
        <v>346.39</v>
      </c>
      <c r="V82" s="729">
        <f>SUMIF('[3]社保+公积金03'!C:C,C82,'[3]社保+公积金03'!G:G)</f>
        <v>27.53</v>
      </c>
      <c r="W82" s="729">
        <f>SUMIF('[3]社保+公积金03'!C:C,C82,'[3]社保+公积金03'!L:L)</f>
        <v>9.18</v>
      </c>
      <c r="X82" s="729">
        <f>SUMIF('[3]社保+公积金03'!C:C,C82,'[3]社保+公积金03'!K:K)</f>
        <v>34.409999999999997</v>
      </c>
      <c r="Y82" s="729">
        <f>SUMIF('[3]社保+公积金03'!C:C,C82,'[3]社保+公积金03'!N:N)</f>
        <v>0</v>
      </c>
      <c r="Z82" s="729">
        <f>SUMIF('[3]社保+公积金03'!C:C,C82,'[3]社保+公积金03'!P:P)</f>
        <v>117</v>
      </c>
      <c r="AA82" s="729">
        <f t="shared" si="10"/>
        <v>1268.5899999999999</v>
      </c>
      <c r="AB82" s="729">
        <f>SUMIF('[3]社保+公积金03'!C:C,C82,'[3]社保+公积金03'!S:S)</f>
        <v>477.15</v>
      </c>
      <c r="AC82" s="729">
        <f>SUMIF('[3]社保+公积金03'!C:C,C82,'[3]社保+公积金03'!Q:Q)</f>
        <v>117</v>
      </c>
      <c r="AD82" s="729">
        <f>SUMIF([3]服装!B:B,C82,[3]服装!G:G)</f>
        <v>0</v>
      </c>
      <c r="AE82" s="741">
        <v>10</v>
      </c>
      <c r="AF82" s="730">
        <f>SUMIF([3]其他综合扣款!B:B,C82,[3]其他综合扣款!H:H)</f>
        <v>0</v>
      </c>
      <c r="AG82" s="729">
        <f t="shared" si="11"/>
        <v>604.15</v>
      </c>
      <c r="AH82" s="731">
        <f t="shared" si="12"/>
        <v>515.85</v>
      </c>
      <c r="AI82" s="742"/>
      <c r="AJ82" s="733"/>
      <c r="AK82" s="743"/>
      <c r="AL82" s="743"/>
      <c r="AM82" s="743"/>
      <c r="AN82" s="743"/>
      <c r="AO82" s="743"/>
      <c r="AP82" s="743"/>
      <c r="AQ82" s="743"/>
      <c r="AR82" s="743"/>
      <c r="AS82" s="743"/>
      <c r="AT82" s="743"/>
      <c r="AU82" s="743"/>
      <c r="AV82" s="743"/>
      <c r="AW82" s="743"/>
      <c r="AX82" s="743"/>
      <c r="AY82" s="743"/>
      <c r="AZ82" s="743"/>
      <c r="BA82" s="743"/>
    </row>
    <row r="83" spans="1:53" s="692" customFormat="1" ht="20.100000000000001" customHeight="1">
      <c r="A83" s="722">
        <v>76</v>
      </c>
      <c r="B83" s="737" t="s">
        <v>612</v>
      </c>
      <c r="C83" s="726" t="s">
        <v>128</v>
      </c>
      <c r="D83" s="739"/>
      <c r="E83" s="748" t="s">
        <v>613</v>
      </c>
      <c r="F83" s="724">
        <v>700</v>
      </c>
      <c r="G83" s="724">
        <v>200</v>
      </c>
      <c r="H83" s="724"/>
      <c r="I83" s="726">
        <f>SUMIF([3]售后加班情况!C:C,'[3]工资表(超市）-武侯售后'!C83,[3]售后加班情况!G:G)</f>
        <v>20</v>
      </c>
      <c r="J83" s="713">
        <f>SUMIF('[3]8月高温补贴'!B:B,C83,'[3]8月高温补贴'!M:M)</f>
        <v>0</v>
      </c>
      <c r="K83" s="738"/>
      <c r="L83" s="738"/>
      <c r="M83" s="738"/>
      <c r="N83" s="788"/>
      <c r="O83" s="738"/>
      <c r="P83" s="727">
        <f t="shared" si="9"/>
        <v>920</v>
      </c>
      <c r="Q83" s="728">
        <f>SUMIF([3]预发!C:C,C83,[3]预发!D:D)</f>
        <v>0</v>
      </c>
      <c r="R83" s="741"/>
      <c r="S83" s="741">
        <f t="shared" si="7"/>
        <v>0</v>
      </c>
      <c r="T83" s="729">
        <f>SUMIF('[3]社保+公积金03'!C:C,C83,'[3]社保+公积金03'!E:E)</f>
        <v>734.08</v>
      </c>
      <c r="U83" s="729">
        <f>SUMIF('[3]社保+公积金03'!C:C,C83,'[3]社保+公积金03'!I:I)</f>
        <v>346.39</v>
      </c>
      <c r="V83" s="729">
        <f>SUMIF('[3]社保+公积金03'!C:C,C83,'[3]社保+公积金03'!G:G)</f>
        <v>27.53</v>
      </c>
      <c r="W83" s="729">
        <f>SUMIF('[3]社保+公积金03'!C:C,C83,'[3]社保+公积金03'!L:L)</f>
        <v>9.18</v>
      </c>
      <c r="X83" s="729">
        <f>SUMIF('[3]社保+公积金03'!C:C,C83,'[3]社保+公积金03'!K:K)</f>
        <v>34.409999999999997</v>
      </c>
      <c r="Y83" s="729">
        <f>SUMIF('[3]社保+公积金03'!C:C,C83,'[3]社保+公积金03'!N:N)</f>
        <v>0</v>
      </c>
      <c r="Z83" s="729">
        <f>SUMIF('[3]社保+公积金03'!C:C,C83,'[3]社保+公积金03'!P:P)</f>
        <v>117</v>
      </c>
      <c r="AA83" s="729">
        <f t="shared" si="10"/>
        <v>1268.5899999999999</v>
      </c>
      <c r="AB83" s="729">
        <f>SUMIF('[3]社保+公积金03'!C:C,C83,'[3]社保+公积金03'!S:S)</f>
        <v>477.15</v>
      </c>
      <c r="AC83" s="729">
        <f>SUMIF('[3]社保+公积金03'!C:C,C83,'[3]社保+公积金03'!Q:Q)</f>
        <v>117</v>
      </c>
      <c r="AD83" s="729">
        <f>SUMIF([3]服装!B:B,C83,[3]服装!G:G)</f>
        <v>0</v>
      </c>
      <c r="AE83" s="741">
        <v>10</v>
      </c>
      <c r="AF83" s="730">
        <f>SUMIF([3]其他综合扣款!B:B,C83,[3]其他综合扣款!H:H)</f>
        <v>0</v>
      </c>
      <c r="AG83" s="729">
        <f t="shared" si="11"/>
        <v>604.15</v>
      </c>
      <c r="AH83" s="731">
        <f t="shared" si="12"/>
        <v>315.85000000000002</v>
      </c>
      <c r="AI83" s="742"/>
      <c r="AJ83" s="733"/>
      <c r="AK83" s="743"/>
      <c r="AL83" s="743"/>
      <c r="AM83" s="743"/>
      <c r="AN83" s="743"/>
      <c r="AO83" s="743"/>
      <c r="AP83" s="743"/>
      <c r="AQ83" s="743"/>
      <c r="AR83" s="743"/>
      <c r="AS83" s="743"/>
      <c r="AT83" s="743"/>
      <c r="AU83" s="743"/>
      <c r="AV83" s="743"/>
      <c r="AW83" s="743"/>
      <c r="AX83" s="743"/>
      <c r="AY83" s="743"/>
      <c r="AZ83" s="743"/>
      <c r="BA83" s="743"/>
    </row>
    <row r="84" spans="1:53" s="692" customFormat="1" ht="20.100000000000001" customHeight="1">
      <c r="A84" s="722">
        <v>77</v>
      </c>
      <c r="B84" s="737" t="s">
        <v>429</v>
      </c>
      <c r="C84" s="726" t="s">
        <v>129</v>
      </c>
      <c r="D84" s="739" t="s">
        <v>585</v>
      </c>
      <c r="E84" s="738" t="s">
        <v>605</v>
      </c>
      <c r="F84" s="724">
        <v>850</v>
      </c>
      <c r="G84" s="724">
        <v>250</v>
      </c>
      <c r="H84" s="724"/>
      <c r="I84" s="726">
        <f>SUMIF([3]售后加班情况!C:C,'[3]工资表(超市）-武侯售后'!C84,[3]售后加班情况!G:G)</f>
        <v>10</v>
      </c>
      <c r="J84" s="713">
        <f>SUMIF('[3]8月高温补贴'!B:B,C84,'[3]8月高温补贴'!M:M)</f>
        <v>0</v>
      </c>
      <c r="K84" s="738"/>
      <c r="L84" s="738"/>
      <c r="M84" s="738"/>
      <c r="N84" s="738">
        <v>50</v>
      </c>
      <c r="O84" s="738"/>
      <c r="P84" s="727">
        <f t="shared" si="9"/>
        <v>1060</v>
      </c>
      <c r="Q84" s="728">
        <f>SUMIF([3]预发!C:C,C84,[3]预发!D:D)</f>
        <v>0</v>
      </c>
      <c r="R84" s="741"/>
      <c r="S84" s="741">
        <f t="shared" si="7"/>
        <v>0</v>
      </c>
      <c r="T84" s="729">
        <f>SUMIF('[3]社保+公积金03'!C:C,C84,'[3]社保+公积金03'!E:E)</f>
        <v>734.08</v>
      </c>
      <c r="U84" s="729">
        <f>SUMIF('[3]社保+公积金03'!C:C,C84,'[3]社保+公积金03'!I:I)</f>
        <v>346.39</v>
      </c>
      <c r="V84" s="729">
        <f>SUMIF('[3]社保+公积金03'!C:C,C84,'[3]社保+公积金03'!G:G)</f>
        <v>27.53</v>
      </c>
      <c r="W84" s="729">
        <f>SUMIF('[3]社保+公积金03'!C:C,C84,'[3]社保+公积金03'!L:L)</f>
        <v>9.18</v>
      </c>
      <c r="X84" s="729">
        <f>SUMIF('[3]社保+公积金03'!C:C,C84,'[3]社保+公积金03'!K:K)</f>
        <v>34.409999999999997</v>
      </c>
      <c r="Y84" s="729">
        <f>SUMIF('[3]社保+公积金03'!C:C,C84,'[3]社保+公积金03'!N:N)</f>
        <v>0</v>
      </c>
      <c r="Z84" s="729">
        <f>SUMIF('[3]社保+公积金03'!C:C,C84,'[3]社保+公积金03'!P:P)</f>
        <v>117</v>
      </c>
      <c r="AA84" s="729">
        <f t="shared" si="10"/>
        <v>1268.5899999999999</v>
      </c>
      <c r="AB84" s="729">
        <f>SUMIF('[3]社保+公积金03'!C:C,C84,'[3]社保+公积金03'!S:S)</f>
        <v>477.15</v>
      </c>
      <c r="AC84" s="729">
        <f>SUMIF('[3]社保+公积金03'!C:C,C84,'[3]社保+公积金03'!Q:Q)</f>
        <v>117</v>
      </c>
      <c r="AD84" s="729">
        <f>SUMIF([3]服装!B:B,C84,[3]服装!G:G)</f>
        <v>0</v>
      </c>
      <c r="AE84" s="741">
        <v>10</v>
      </c>
      <c r="AF84" s="730">
        <f>SUMIF([3]其他综合扣款!B:B,C84,[3]其他综合扣款!H:H)</f>
        <v>0</v>
      </c>
      <c r="AG84" s="729">
        <f t="shared" si="11"/>
        <v>604.15</v>
      </c>
      <c r="AH84" s="731">
        <f t="shared" si="12"/>
        <v>455.85</v>
      </c>
      <c r="AI84" s="742"/>
      <c r="AJ84" s="733"/>
      <c r="AK84" s="743"/>
      <c r="AL84" s="743"/>
      <c r="AM84" s="743"/>
      <c r="AN84" s="743"/>
      <c r="AO84" s="743"/>
      <c r="AP84" s="743"/>
      <c r="AQ84" s="743"/>
      <c r="AR84" s="743"/>
      <c r="AS84" s="743"/>
      <c r="AT84" s="743"/>
      <c r="AU84" s="743"/>
      <c r="AV84" s="743"/>
      <c r="AW84" s="743"/>
      <c r="AX84" s="743"/>
      <c r="AY84" s="743"/>
      <c r="AZ84" s="743"/>
      <c r="BA84" s="743"/>
    </row>
    <row r="85" spans="1:53" s="692" customFormat="1" ht="20.100000000000001" customHeight="1">
      <c r="A85" s="722">
        <v>78</v>
      </c>
      <c r="B85" s="753" t="s">
        <v>164</v>
      </c>
      <c r="C85" s="748" t="s">
        <v>131</v>
      </c>
      <c r="D85" s="739"/>
      <c r="E85" s="748" t="s">
        <v>605</v>
      </c>
      <c r="F85" s="724">
        <v>850</v>
      </c>
      <c r="G85" s="724">
        <v>250</v>
      </c>
      <c r="H85" s="724"/>
      <c r="I85" s="726">
        <f>SUMIF([3]售后加班情况!C:C,'[3]工资表(超市）-武侯售后'!C85,[3]售后加班情况!G:G)</f>
        <v>20</v>
      </c>
      <c r="J85" s="713">
        <f>SUMIF('[3]8月高温补贴'!B:B,C85,'[3]8月高温补贴'!M:M)</f>
        <v>0</v>
      </c>
      <c r="K85" s="738"/>
      <c r="L85" s="738"/>
      <c r="M85" s="738"/>
      <c r="N85" s="788"/>
      <c r="O85" s="738"/>
      <c r="P85" s="727">
        <f t="shared" si="9"/>
        <v>1120</v>
      </c>
      <c r="Q85" s="728">
        <f>SUMIF([3]预发!C:C,C85,[3]预发!D:D)</f>
        <v>0</v>
      </c>
      <c r="R85" s="741"/>
      <c r="S85" s="741">
        <f t="shared" si="7"/>
        <v>0</v>
      </c>
      <c r="T85" s="729">
        <f>SUMIF('[3]社保+公积金03'!C:C,C85,'[3]社保+公积金03'!E:E)</f>
        <v>734.08</v>
      </c>
      <c r="U85" s="729">
        <f>SUMIF('[3]社保+公积金03'!C:C,C85,'[3]社保+公积金03'!I:I)</f>
        <v>346.39</v>
      </c>
      <c r="V85" s="729">
        <f>SUMIF('[3]社保+公积金03'!C:C,C85,'[3]社保+公积金03'!G:G)</f>
        <v>27.53</v>
      </c>
      <c r="W85" s="729">
        <f>SUMIF('[3]社保+公积金03'!C:C,C85,'[3]社保+公积金03'!L:L)</f>
        <v>9.18</v>
      </c>
      <c r="X85" s="729">
        <f>SUMIF('[3]社保+公积金03'!C:C,C85,'[3]社保+公积金03'!K:K)</f>
        <v>34.409999999999997</v>
      </c>
      <c r="Y85" s="729">
        <f>SUMIF('[3]社保+公积金03'!C:C,C85,'[3]社保+公积金03'!N:N)</f>
        <v>0</v>
      </c>
      <c r="Z85" s="729">
        <f>SUMIF('[3]社保+公积金03'!C:C,C85,'[3]社保+公积金03'!P:P)</f>
        <v>117</v>
      </c>
      <c r="AA85" s="729">
        <f t="shared" si="10"/>
        <v>1268.5899999999999</v>
      </c>
      <c r="AB85" s="729">
        <f>SUMIF('[3]社保+公积金03'!C:C,C85,'[3]社保+公积金03'!S:S)</f>
        <v>477.15</v>
      </c>
      <c r="AC85" s="729">
        <f>SUMIF('[3]社保+公积金03'!C:C,C85,'[3]社保+公积金03'!Q:Q)</f>
        <v>117</v>
      </c>
      <c r="AD85" s="729">
        <f>SUMIF([3]服装!B:B,C85,[3]服装!G:G)</f>
        <v>0</v>
      </c>
      <c r="AE85" s="741">
        <v>10</v>
      </c>
      <c r="AF85" s="730">
        <f>SUMIF([3]其他综合扣款!B:B,C85,[3]其他综合扣款!H:H)</f>
        <v>0</v>
      </c>
      <c r="AG85" s="729">
        <f t="shared" si="11"/>
        <v>604.15</v>
      </c>
      <c r="AH85" s="731">
        <f t="shared" si="12"/>
        <v>515.85</v>
      </c>
      <c r="AI85" s="742"/>
      <c r="AJ85" s="733"/>
      <c r="AK85" s="743"/>
      <c r="AL85" s="743"/>
      <c r="AM85" s="743"/>
      <c r="AN85" s="743"/>
      <c r="AO85" s="743"/>
      <c r="AP85" s="743"/>
      <c r="AQ85" s="743"/>
      <c r="AR85" s="743"/>
      <c r="AS85" s="743"/>
      <c r="AT85" s="743"/>
      <c r="AU85" s="743"/>
      <c r="AV85" s="743"/>
      <c r="AW85" s="743"/>
      <c r="AX85" s="743"/>
      <c r="AY85" s="743"/>
      <c r="AZ85" s="743"/>
      <c r="BA85" s="743"/>
    </row>
    <row r="86" spans="1:53" s="692" customFormat="1" ht="20.100000000000001" customHeight="1">
      <c r="A86" s="722">
        <v>79</v>
      </c>
      <c r="B86" s="753" t="s">
        <v>164</v>
      </c>
      <c r="C86" s="726" t="s">
        <v>134</v>
      </c>
      <c r="D86" s="739" t="s">
        <v>607</v>
      </c>
      <c r="E86" s="748" t="s">
        <v>613</v>
      </c>
      <c r="F86" s="724">
        <v>700</v>
      </c>
      <c r="G86" s="724">
        <v>200</v>
      </c>
      <c r="H86" s="724"/>
      <c r="I86" s="726">
        <f>SUMIF([3]售后加班情况!C:C,'[3]工资表(超市）-武侯售后'!C86,[3]售后加班情况!G:G)</f>
        <v>20</v>
      </c>
      <c r="J86" s="713">
        <f>SUMIF('[3]8月高温补贴'!B:B,C86,'[3]8月高温补贴'!M:M)</f>
        <v>0</v>
      </c>
      <c r="K86" s="738"/>
      <c r="L86" s="738"/>
      <c r="M86" s="738"/>
      <c r="N86" s="788">
        <v>100</v>
      </c>
      <c r="O86" s="738"/>
      <c r="P86" s="727">
        <f t="shared" si="9"/>
        <v>820</v>
      </c>
      <c r="Q86" s="728">
        <f>SUMIF([3]预发!C:C,C86,[3]预发!D:D)</f>
        <v>0</v>
      </c>
      <c r="R86" s="741"/>
      <c r="S86" s="741">
        <f t="shared" si="7"/>
        <v>0</v>
      </c>
      <c r="T86" s="729">
        <f>SUMIF('[3]社保+公积金03'!C:C,C86,'[3]社保+公积金03'!E:E)</f>
        <v>734.08</v>
      </c>
      <c r="U86" s="729">
        <f>SUMIF('[3]社保+公积金03'!C:C,C86,'[3]社保+公积金03'!I:I)</f>
        <v>346.39</v>
      </c>
      <c r="V86" s="729">
        <f>SUMIF('[3]社保+公积金03'!C:C,C86,'[3]社保+公积金03'!G:G)</f>
        <v>27.53</v>
      </c>
      <c r="W86" s="729">
        <f>SUMIF('[3]社保+公积金03'!C:C,C86,'[3]社保+公积金03'!L:L)</f>
        <v>9.18</v>
      </c>
      <c r="X86" s="729">
        <f>SUMIF('[3]社保+公积金03'!C:C,C86,'[3]社保+公积金03'!K:K)</f>
        <v>34.409999999999997</v>
      </c>
      <c r="Y86" s="729">
        <f>SUMIF('[3]社保+公积金03'!C:C,C86,'[3]社保+公积金03'!N:N)</f>
        <v>0</v>
      </c>
      <c r="Z86" s="729">
        <f>SUMIF('[3]社保+公积金03'!C:C,C86,'[3]社保+公积金03'!P:P)</f>
        <v>117</v>
      </c>
      <c r="AA86" s="729">
        <f t="shared" si="10"/>
        <v>1268.5899999999999</v>
      </c>
      <c r="AB86" s="729">
        <f>SUMIF('[3]社保+公积金03'!C:C,C86,'[3]社保+公积金03'!S:S)</f>
        <v>477.15</v>
      </c>
      <c r="AC86" s="729">
        <f>SUMIF('[3]社保+公积金03'!C:C,C86,'[3]社保+公积金03'!Q:Q)</f>
        <v>117</v>
      </c>
      <c r="AD86" s="729">
        <f>SUMIF([3]服装!B:B,C86,[3]服装!G:G)</f>
        <v>0</v>
      </c>
      <c r="AE86" s="729">
        <v>10</v>
      </c>
      <c r="AF86" s="730">
        <f>SUMIF([3]其他综合扣款!B:B,C86,[3]其他综合扣款!H:H)</f>
        <v>0</v>
      </c>
      <c r="AG86" s="729">
        <f t="shared" si="11"/>
        <v>604.15</v>
      </c>
      <c r="AH86" s="731">
        <f t="shared" si="12"/>
        <v>215.85</v>
      </c>
      <c r="AI86" s="742"/>
      <c r="AJ86" s="733"/>
      <c r="AK86" s="693"/>
      <c r="AL86" s="743"/>
      <c r="AM86" s="743"/>
      <c r="AN86" s="743"/>
      <c r="AO86" s="743"/>
      <c r="AP86" s="743"/>
      <c r="AQ86" s="743"/>
      <c r="AR86" s="743"/>
      <c r="AS86" s="743"/>
      <c r="AT86" s="743"/>
      <c r="AU86" s="743"/>
      <c r="AV86" s="743"/>
      <c r="AW86" s="743"/>
      <c r="AX86" s="743"/>
      <c r="AY86" s="743"/>
      <c r="AZ86" s="743"/>
      <c r="BA86" s="743"/>
    </row>
    <row r="87" spans="1:53" s="692" customFormat="1" ht="20.100000000000001" customHeight="1">
      <c r="A87" s="722">
        <v>80</v>
      </c>
      <c r="B87" s="753" t="s">
        <v>164</v>
      </c>
      <c r="C87" s="726" t="s">
        <v>133</v>
      </c>
      <c r="D87" s="739"/>
      <c r="E87" s="748" t="s">
        <v>610</v>
      </c>
      <c r="F87" s="724">
        <v>700</v>
      </c>
      <c r="G87" s="724">
        <v>200</v>
      </c>
      <c r="H87" s="724"/>
      <c r="I87" s="726">
        <f>SUMIF([3]售后加班情况!C:C,'[3]工资表(超市）-武侯售后'!C87,[3]售后加班情况!G:G)</f>
        <v>20</v>
      </c>
      <c r="J87" s="713">
        <f>SUMIF('[3]8月高温补贴'!B:B,C87,'[3]8月高温补贴'!M:M)</f>
        <v>0</v>
      </c>
      <c r="K87" s="738"/>
      <c r="L87" s="738"/>
      <c r="M87" s="738"/>
      <c r="N87" s="788"/>
      <c r="O87" s="738"/>
      <c r="P87" s="727">
        <f t="shared" si="9"/>
        <v>920</v>
      </c>
      <c r="Q87" s="728">
        <f>SUMIF([3]预发!C:C,C87,[3]预发!D:D)</f>
        <v>0</v>
      </c>
      <c r="R87" s="741"/>
      <c r="S87" s="741">
        <f t="shared" si="7"/>
        <v>0</v>
      </c>
      <c r="T87" s="729">
        <f>SUMIF('[3]社保+公积金03'!C:C,C87,'[3]社保+公积金03'!E:E)</f>
        <v>734.08</v>
      </c>
      <c r="U87" s="729">
        <f>SUMIF('[3]社保+公积金03'!C:C,C87,'[3]社保+公积金03'!I:I)</f>
        <v>346.39</v>
      </c>
      <c r="V87" s="729">
        <f>SUMIF('[3]社保+公积金03'!C:C,C87,'[3]社保+公积金03'!G:G)</f>
        <v>27.53</v>
      </c>
      <c r="W87" s="729">
        <f>SUMIF('[3]社保+公积金03'!C:C,C87,'[3]社保+公积金03'!L:L)</f>
        <v>9.18</v>
      </c>
      <c r="X87" s="729">
        <f>SUMIF('[3]社保+公积金03'!C:C,C87,'[3]社保+公积金03'!K:K)</f>
        <v>34.409999999999997</v>
      </c>
      <c r="Y87" s="729">
        <f>SUMIF('[3]社保+公积金03'!C:C,C87,'[3]社保+公积金03'!N:N)</f>
        <v>0</v>
      </c>
      <c r="Z87" s="729">
        <f>SUMIF('[3]社保+公积金03'!C:C,C87,'[3]社保+公积金03'!P:P)</f>
        <v>117</v>
      </c>
      <c r="AA87" s="729">
        <f t="shared" si="10"/>
        <v>1268.5899999999999</v>
      </c>
      <c r="AB87" s="729">
        <f>SUMIF('[3]社保+公积金03'!C:C,C87,'[3]社保+公积金03'!S:S)</f>
        <v>477.15</v>
      </c>
      <c r="AC87" s="729">
        <f>SUMIF('[3]社保+公积金03'!C:C,C87,'[3]社保+公积金03'!Q:Q)</f>
        <v>117</v>
      </c>
      <c r="AD87" s="729">
        <f>SUMIF([3]服装!B:B,C87,[3]服装!G:G)</f>
        <v>0</v>
      </c>
      <c r="AE87" s="729">
        <v>10</v>
      </c>
      <c r="AF87" s="730">
        <f>SUMIF([3]其他综合扣款!B:B,C87,[3]其他综合扣款!H:H)</f>
        <v>0</v>
      </c>
      <c r="AG87" s="729">
        <f t="shared" si="11"/>
        <v>604.15</v>
      </c>
      <c r="AH87" s="731">
        <f t="shared" si="12"/>
        <v>315.85000000000002</v>
      </c>
      <c r="AI87" s="742"/>
      <c r="AJ87" s="733"/>
      <c r="AK87" s="743"/>
      <c r="AL87" s="743"/>
      <c r="AM87" s="743"/>
      <c r="AN87" s="743"/>
      <c r="AO87" s="743"/>
      <c r="AP87" s="743"/>
      <c r="AQ87" s="743"/>
      <c r="AR87" s="743"/>
      <c r="AS87" s="743"/>
      <c r="AT87" s="743"/>
      <c r="AU87" s="743"/>
      <c r="AV87" s="743"/>
      <c r="AW87" s="743"/>
      <c r="AX87" s="743"/>
      <c r="AY87" s="743"/>
      <c r="AZ87" s="743"/>
      <c r="BA87" s="743"/>
    </row>
    <row r="88" spans="1:53" s="692" customFormat="1" ht="20.100000000000001" customHeight="1">
      <c r="A88" s="722">
        <v>81</v>
      </c>
      <c r="B88" s="723" t="s">
        <v>166</v>
      </c>
      <c r="C88" s="789" t="s">
        <v>136</v>
      </c>
      <c r="D88" s="735"/>
      <c r="E88" s="734" t="s">
        <v>605</v>
      </c>
      <c r="F88" s="724">
        <v>850</v>
      </c>
      <c r="G88" s="724">
        <v>250</v>
      </c>
      <c r="H88" s="724"/>
      <c r="I88" s="726">
        <f>SUMIF([3]售后加班情况!C:C,'[3]工资表(超市）-武侯售后'!C88,[3]售后加班情况!G:G)</f>
        <v>50</v>
      </c>
      <c r="J88" s="713">
        <f>SUMIF('[3]8月高温补贴'!B:B,C88,'[3]8月高温补贴'!M:M)</f>
        <v>0</v>
      </c>
      <c r="K88" s="724"/>
      <c r="L88" s="724"/>
      <c r="M88" s="738"/>
      <c r="N88" s="724"/>
      <c r="O88" s="724"/>
      <c r="P88" s="727">
        <f t="shared" si="9"/>
        <v>1150</v>
      </c>
      <c r="Q88" s="728">
        <f>SUMIF([3]预发!C:C,C88,[3]预发!D:D)</f>
        <v>0</v>
      </c>
      <c r="R88" s="729"/>
      <c r="S88" s="729">
        <f t="shared" si="7"/>
        <v>0</v>
      </c>
      <c r="T88" s="729">
        <f>SUMIF('[3]社保+公积金03'!C:C,C88,'[3]社保+公积金03'!E:E)</f>
        <v>734.08</v>
      </c>
      <c r="U88" s="729">
        <f>SUMIF('[3]社保+公积金03'!C:C,C88,'[3]社保+公积金03'!I:I)</f>
        <v>346.39</v>
      </c>
      <c r="V88" s="729">
        <f>SUMIF('[3]社保+公积金03'!C:C,C88,'[3]社保+公积金03'!G:G)</f>
        <v>27.53</v>
      </c>
      <c r="W88" s="729">
        <f>SUMIF('[3]社保+公积金03'!C:C,C88,'[3]社保+公积金03'!L:L)</f>
        <v>9.18</v>
      </c>
      <c r="X88" s="729">
        <f>SUMIF('[3]社保+公积金03'!C:C,C88,'[3]社保+公积金03'!K:K)</f>
        <v>34.409999999999997</v>
      </c>
      <c r="Y88" s="729">
        <f>SUMIF('[3]社保+公积金03'!C:C,C88,'[3]社保+公积金03'!N:N)</f>
        <v>0</v>
      </c>
      <c r="Z88" s="729">
        <f>SUMIF('[3]社保+公积金03'!C:C,C88,'[3]社保+公积金03'!P:P)</f>
        <v>117</v>
      </c>
      <c r="AA88" s="729">
        <f t="shared" si="10"/>
        <v>1268.5899999999999</v>
      </c>
      <c r="AB88" s="729">
        <f>SUMIF('[3]社保+公积金03'!C:C,C88,'[3]社保+公积金03'!S:S)</f>
        <v>477.15</v>
      </c>
      <c r="AC88" s="729">
        <f>SUMIF('[3]社保+公积金03'!C:C,C88,'[3]社保+公积金03'!Q:Q)</f>
        <v>117</v>
      </c>
      <c r="AD88" s="729">
        <f>SUMIF([3]服装!B:B,C88,[3]服装!G:G)</f>
        <v>0</v>
      </c>
      <c r="AE88" s="729">
        <v>10</v>
      </c>
      <c r="AF88" s="730">
        <f>SUMIF([3]其他综合扣款!B:B,C88,[3]其他综合扣款!H:H)</f>
        <v>0</v>
      </c>
      <c r="AG88" s="729">
        <f t="shared" si="11"/>
        <v>604.15</v>
      </c>
      <c r="AH88" s="731">
        <f t="shared" si="12"/>
        <v>545.85</v>
      </c>
      <c r="AI88" s="736"/>
      <c r="AJ88" s="733"/>
      <c r="AK88" s="759"/>
      <c r="AL88" s="759"/>
      <c r="AM88" s="759"/>
      <c r="AN88" s="759"/>
      <c r="AO88" s="759"/>
      <c r="AP88" s="759"/>
      <c r="AQ88" s="759"/>
      <c r="AR88" s="759"/>
      <c r="AS88" s="759"/>
      <c r="AT88" s="759"/>
      <c r="AU88" s="759"/>
      <c r="AV88" s="759"/>
      <c r="AW88" s="759"/>
      <c r="AX88" s="759"/>
      <c r="AY88" s="759"/>
      <c r="AZ88" s="759"/>
      <c r="BA88" s="759"/>
    </row>
    <row r="89" spans="1:53" s="692" customFormat="1" ht="20.100000000000001" customHeight="1">
      <c r="A89" s="722">
        <v>82</v>
      </c>
      <c r="B89" s="723" t="s">
        <v>174</v>
      </c>
      <c r="C89" s="740" t="s">
        <v>138</v>
      </c>
      <c r="D89" s="735"/>
      <c r="E89" s="740" t="s">
        <v>609</v>
      </c>
      <c r="F89" s="724">
        <f t="shared" ref="F89:F94" si="13">700</f>
        <v>700</v>
      </c>
      <c r="G89" s="724">
        <v>200</v>
      </c>
      <c r="H89" s="724"/>
      <c r="I89" s="726">
        <f>SUMIF([3]售后加班情况!C:C,'[3]工资表(超市）-武侯售后'!C89,[3]售后加班情况!G:G)</f>
        <v>50</v>
      </c>
      <c r="J89" s="713">
        <f>SUMIF('[3]8月高温补贴'!B:B,C89,'[3]8月高温补贴'!M:M)</f>
        <v>0</v>
      </c>
      <c r="K89" s="724"/>
      <c r="L89" s="724"/>
      <c r="M89" s="738"/>
      <c r="N89" s="724"/>
      <c r="O89" s="724"/>
      <c r="P89" s="727">
        <f t="shared" si="9"/>
        <v>950</v>
      </c>
      <c r="Q89" s="728">
        <f>SUMIF([3]预发!C:C,C89,[3]预发!D:D)</f>
        <v>0</v>
      </c>
      <c r="R89" s="729"/>
      <c r="S89" s="729"/>
      <c r="T89" s="729">
        <f>SUMIF('[3]社保+公积金03'!C:C,C89,'[3]社保+公积金03'!E:E)</f>
        <v>734.08</v>
      </c>
      <c r="U89" s="729">
        <f>SUMIF('[3]社保+公积金03'!C:C,C89,'[3]社保+公积金03'!I:I)</f>
        <v>346.39</v>
      </c>
      <c r="V89" s="729">
        <f>SUMIF('[3]社保+公积金03'!C:C,C89,'[3]社保+公积金03'!G:G)</f>
        <v>27.53</v>
      </c>
      <c r="W89" s="729">
        <f>SUMIF('[3]社保+公积金03'!C:C,C89,'[3]社保+公积金03'!L:L)</f>
        <v>9.18</v>
      </c>
      <c r="X89" s="729">
        <f>SUMIF('[3]社保+公积金03'!C:C,C89,'[3]社保+公积金03'!K:K)</f>
        <v>34.409999999999997</v>
      </c>
      <c r="Y89" s="729">
        <f>SUMIF('[3]社保+公积金03'!C:C,C89,'[3]社保+公积金03'!N:N)</f>
        <v>0</v>
      </c>
      <c r="Z89" s="729">
        <f>SUMIF('[3]社保+公积金03'!C:C,C89,'[3]社保+公积金03'!P:P)</f>
        <v>117</v>
      </c>
      <c r="AA89" s="729">
        <f t="shared" si="10"/>
        <v>1268.5899999999999</v>
      </c>
      <c r="AB89" s="729">
        <f>SUMIF('[3]社保+公积金03'!C:C,C89,'[3]社保+公积金03'!S:S)</f>
        <v>477.15</v>
      </c>
      <c r="AC89" s="729">
        <f>SUMIF('[3]社保+公积金03'!C:C,C89,'[3]社保+公积金03'!Q:Q)</f>
        <v>117</v>
      </c>
      <c r="AD89" s="729">
        <f>SUMIF([3]服装!B:B,C89,[3]服装!G:G)</f>
        <v>0</v>
      </c>
      <c r="AE89" s="729">
        <v>10</v>
      </c>
      <c r="AF89" s="730"/>
      <c r="AG89" s="729">
        <f t="shared" si="11"/>
        <v>604.15</v>
      </c>
      <c r="AH89" s="731">
        <f t="shared" si="12"/>
        <v>345.85</v>
      </c>
      <c r="AI89" s="736"/>
      <c r="AJ89" s="733"/>
      <c r="AK89" s="759"/>
      <c r="AL89" s="759"/>
      <c r="AM89" s="759"/>
      <c r="AN89" s="759"/>
      <c r="AO89" s="759"/>
      <c r="AP89" s="759"/>
      <c r="AQ89" s="759"/>
      <c r="AR89" s="759"/>
      <c r="AS89" s="759"/>
      <c r="AT89" s="759"/>
      <c r="AU89" s="759"/>
      <c r="AV89" s="759"/>
      <c r="AW89" s="759"/>
      <c r="AX89" s="759"/>
      <c r="AY89" s="759"/>
      <c r="AZ89" s="759"/>
      <c r="BA89" s="759"/>
    </row>
    <row r="90" spans="1:53" s="692" customFormat="1" ht="20.100000000000001" customHeight="1">
      <c r="A90" s="722">
        <v>83</v>
      </c>
      <c r="B90" s="723" t="s">
        <v>174</v>
      </c>
      <c r="C90" s="740" t="s">
        <v>142</v>
      </c>
      <c r="D90" s="735"/>
      <c r="E90" s="740" t="s">
        <v>608</v>
      </c>
      <c r="F90" s="724">
        <v>700</v>
      </c>
      <c r="G90" s="724">
        <v>200</v>
      </c>
      <c r="H90" s="724"/>
      <c r="I90" s="726">
        <f>SUMIF([3]售后加班情况!C:C,'[3]工资表(超市）-武侯售后'!C90,[3]售后加班情况!G:G)</f>
        <v>0</v>
      </c>
      <c r="J90" s="713">
        <f>SUMIF('[3]8月高温补贴'!B:B,C90,'[3]8月高温补贴'!M:M)</f>
        <v>0</v>
      </c>
      <c r="K90" s="724"/>
      <c r="L90" s="724"/>
      <c r="M90" s="738"/>
      <c r="N90" s="724"/>
      <c r="O90" s="724"/>
      <c r="P90" s="727">
        <f t="shared" si="9"/>
        <v>900</v>
      </c>
      <c r="Q90" s="728">
        <f>SUMIF([3]预发!C:C,C90,[3]预发!D:D)</f>
        <v>0</v>
      </c>
      <c r="R90" s="729"/>
      <c r="S90" s="729"/>
      <c r="T90" s="729">
        <f>SUMIF('[3]社保+公积金03'!C:C,C90,'[3]社保+公积金03'!E:E)</f>
        <v>734.08</v>
      </c>
      <c r="U90" s="729">
        <f>SUMIF('[3]社保+公积金03'!C:C,C90,'[3]社保+公积金03'!I:I)</f>
        <v>346.39</v>
      </c>
      <c r="V90" s="729">
        <f>SUMIF('[3]社保+公积金03'!C:C,C90,'[3]社保+公积金03'!G:G)</f>
        <v>27.53</v>
      </c>
      <c r="W90" s="729">
        <f>SUMIF('[3]社保+公积金03'!C:C,C90,'[3]社保+公积金03'!L:L)</f>
        <v>9.18</v>
      </c>
      <c r="X90" s="729">
        <f>SUMIF('[3]社保+公积金03'!C:C,C90,'[3]社保+公积金03'!K:K)</f>
        <v>34.409999999999997</v>
      </c>
      <c r="Y90" s="729">
        <f>SUMIF('[3]社保+公积金03'!C:C,C90,'[3]社保+公积金03'!N:N)</f>
        <v>0</v>
      </c>
      <c r="Z90" s="729">
        <f>SUMIF('[3]社保+公积金03'!C:C,C90,'[3]社保+公积金03'!P:P)</f>
        <v>117</v>
      </c>
      <c r="AA90" s="729">
        <f t="shared" si="10"/>
        <v>1268.5899999999999</v>
      </c>
      <c r="AB90" s="729">
        <f>SUMIF('[3]社保+公积金03'!C:C,C90,'[3]社保+公积金03'!S:S)</f>
        <v>477.15</v>
      </c>
      <c r="AC90" s="729">
        <f>SUMIF('[3]社保+公积金03'!C:C,C90,'[3]社保+公积金03'!Q:Q)</f>
        <v>117</v>
      </c>
      <c r="AD90" s="729">
        <f>SUMIF([3]服装!B:B,C90,[3]服装!G:G)</f>
        <v>0</v>
      </c>
      <c r="AE90" s="729">
        <v>10</v>
      </c>
      <c r="AF90" s="730"/>
      <c r="AG90" s="729">
        <f t="shared" si="11"/>
        <v>604.15</v>
      </c>
      <c r="AH90" s="731">
        <f t="shared" si="12"/>
        <v>295.85000000000002</v>
      </c>
      <c r="AI90" s="736"/>
      <c r="AJ90" s="733"/>
      <c r="AK90" s="759"/>
      <c r="AL90" s="759"/>
      <c r="AM90" s="759"/>
      <c r="AN90" s="759"/>
      <c r="AO90" s="759"/>
      <c r="AP90" s="759"/>
      <c r="AQ90" s="759"/>
      <c r="AR90" s="759"/>
      <c r="AS90" s="759"/>
      <c r="AT90" s="759"/>
      <c r="AU90" s="759"/>
      <c r="AV90" s="759"/>
      <c r="AW90" s="759"/>
      <c r="AX90" s="759"/>
      <c r="AY90" s="759"/>
      <c r="AZ90" s="759"/>
      <c r="BA90" s="759"/>
    </row>
    <row r="91" spans="1:53" s="692" customFormat="1" ht="20.100000000000001" customHeight="1">
      <c r="A91" s="722">
        <v>84</v>
      </c>
      <c r="B91" s="723" t="s">
        <v>174</v>
      </c>
      <c r="C91" s="740" t="s">
        <v>140</v>
      </c>
      <c r="D91" s="735"/>
      <c r="E91" s="740" t="s">
        <v>608</v>
      </c>
      <c r="F91" s="724">
        <v>700</v>
      </c>
      <c r="G91" s="724">
        <v>200</v>
      </c>
      <c r="H91" s="724"/>
      <c r="I91" s="726">
        <f>SUMIF([3]售后加班情况!C:C,'[3]工资表(超市）-武侯售后'!C91,[3]售后加班情况!G:G)</f>
        <v>40</v>
      </c>
      <c r="J91" s="713">
        <f>SUMIF('[3]8月高温补贴'!B:B,C91,'[3]8月高温补贴'!M:M)</f>
        <v>0</v>
      </c>
      <c r="K91" s="724"/>
      <c r="L91" s="724"/>
      <c r="M91" s="738"/>
      <c r="N91" s="724"/>
      <c r="O91" s="724"/>
      <c r="P91" s="727">
        <f t="shared" si="9"/>
        <v>940</v>
      </c>
      <c r="Q91" s="728">
        <f>SUMIF([3]预发!C:C,C91,[3]预发!D:D)</f>
        <v>0</v>
      </c>
      <c r="R91" s="729"/>
      <c r="S91" s="729"/>
      <c r="T91" s="729">
        <f>SUMIF('[3]社保+公积金03'!C:C,C91,'[3]社保+公积金03'!E:E)</f>
        <v>734.08</v>
      </c>
      <c r="U91" s="729">
        <f>SUMIF('[3]社保+公积金03'!C:C,C91,'[3]社保+公积金03'!I:I)</f>
        <v>346.39</v>
      </c>
      <c r="V91" s="729">
        <f>SUMIF('[3]社保+公积金03'!C:C,C91,'[3]社保+公积金03'!G:G)</f>
        <v>27.53</v>
      </c>
      <c r="W91" s="729">
        <f>SUMIF('[3]社保+公积金03'!C:C,C91,'[3]社保+公积金03'!L:L)</f>
        <v>9.18</v>
      </c>
      <c r="X91" s="729">
        <f>SUMIF('[3]社保+公积金03'!C:C,C91,'[3]社保+公积金03'!K:K)</f>
        <v>34.409999999999997</v>
      </c>
      <c r="Y91" s="729">
        <f>SUMIF('[3]社保+公积金03'!C:C,C91,'[3]社保+公积金03'!N:N)</f>
        <v>0</v>
      </c>
      <c r="Z91" s="729">
        <f>SUMIF('[3]社保+公积金03'!C:C,C91,'[3]社保+公积金03'!P:P)</f>
        <v>117</v>
      </c>
      <c r="AA91" s="729">
        <f t="shared" si="10"/>
        <v>1268.5899999999999</v>
      </c>
      <c r="AB91" s="729">
        <f>SUMIF('[3]社保+公积金03'!C:C,C91,'[3]社保+公积金03'!S:S)</f>
        <v>477.15</v>
      </c>
      <c r="AC91" s="729">
        <f>SUMIF('[3]社保+公积金03'!C:C,C91,'[3]社保+公积金03'!Q:Q)</f>
        <v>117</v>
      </c>
      <c r="AD91" s="729">
        <f>SUMIF([3]服装!B:B,C91,[3]服装!G:G)</f>
        <v>0</v>
      </c>
      <c r="AE91" s="729">
        <v>10</v>
      </c>
      <c r="AF91" s="730"/>
      <c r="AG91" s="729">
        <f t="shared" si="11"/>
        <v>604.15</v>
      </c>
      <c r="AH91" s="731">
        <f t="shared" si="12"/>
        <v>335.85</v>
      </c>
      <c r="AI91" s="736"/>
      <c r="AJ91" s="733"/>
      <c r="AK91" s="759"/>
      <c r="AL91" s="759"/>
      <c r="AM91" s="759"/>
      <c r="AN91" s="759"/>
      <c r="AO91" s="759"/>
      <c r="AP91" s="759"/>
      <c r="AQ91" s="759"/>
      <c r="AR91" s="759"/>
      <c r="AS91" s="759"/>
      <c r="AT91" s="759"/>
      <c r="AU91" s="759"/>
      <c r="AV91" s="759"/>
      <c r="AW91" s="759"/>
      <c r="AX91" s="759"/>
      <c r="AY91" s="759"/>
      <c r="AZ91" s="759"/>
      <c r="BA91" s="759"/>
    </row>
    <row r="92" spans="1:53" s="691" customFormat="1" ht="20.100000000000001" customHeight="1">
      <c r="A92" s="722">
        <v>85</v>
      </c>
      <c r="B92" s="723" t="s">
        <v>179</v>
      </c>
      <c r="C92" s="740" t="s">
        <v>145</v>
      </c>
      <c r="D92" s="735"/>
      <c r="E92" s="740" t="s">
        <v>614</v>
      </c>
      <c r="F92" s="724">
        <f t="shared" si="13"/>
        <v>700</v>
      </c>
      <c r="G92" s="724">
        <v>200</v>
      </c>
      <c r="H92" s="724"/>
      <c r="I92" s="726">
        <f>SUMIF([3]售后加班情况!C:C,'[3]工资表(超市）-武侯售后'!C92,[3]售后加班情况!G:G)</f>
        <v>80</v>
      </c>
      <c r="J92" s="713">
        <f>SUMIF('[3]8月高温补贴'!B:B,C92,'[3]8月高温补贴'!M:M)</f>
        <v>0</v>
      </c>
      <c r="K92" s="724"/>
      <c r="L92" s="724"/>
      <c r="M92" s="738"/>
      <c r="N92" s="724"/>
      <c r="O92" s="724"/>
      <c r="P92" s="727">
        <f t="shared" si="9"/>
        <v>980</v>
      </c>
      <c r="Q92" s="728">
        <f>SUMIF([3]预发!C:C,C92,[3]预发!D:D)</f>
        <v>0</v>
      </c>
      <c r="R92" s="729"/>
      <c r="S92" s="729"/>
      <c r="T92" s="729">
        <f>SUMIF('[3]社保+公积金03'!C:C,C92,'[3]社保+公积金03'!E:E)</f>
        <v>734.08</v>
      </c>
      <c r="U92" s="729">
        <f>SUMIF('[3]社保+公积金03'!C:C,C92,'[3]社保+公积金03'!I:I)</f>
        <v>346.39</v>
      </c>
      <c r="V92" s="729">
        <f>SUMIF('[3]社保+公积金03'!C:C,C92,'[3]社保+公积金03'!G:G)</f>
        <v>27.53</v>
      </c>
      <c r="W92" s="729">
        <f>SUMIF('[3]社保+公积金03'!C:C,C92,'[3]社保+公积金03'!L:L)</f>
        <v>9.18</v>
      </c>
      <c r="X92" s="729">
        <f>SUMIF('[3]社保+公积金03'!C:C,C92,'[3]社保+公积金03'!K:K)</f>
        <v>34.409999999999997</v>
      </c>
      <c r="Y92" s="729">
        <f>SUMIF('[3]社保+公积金03'!C:C,C92,'[3]社保+公积金03'!N:N)</f>
        <v>0</v>
      </c>
      <c r="Z92" s="729">
        <f>SUMIF('[3]社保+公积金03'!C:C,C92,'[3]社保+公积金03'!P:P)</f>
        <v>117</v>
      </c>
      <c r="AA92" s="729">
        <f t="shared" si="10"/>
        <v>1268.5899999999999</v>
      </c>
      <c r="AB92" s="729">
        <f>SUMIF('[3]社保+公积金03'!C:C,C92,'[3]社保+公积金03'!S:S)</f>
        <v>477.15</v>
      </c>
      <c r="AC92" s="729">
        <f>SUMIF('[3]社保+公积金03'!C:C,C92,'[3]社保+公积金03'!Q:Q)</f>
        <v>117</v>
      </c>
      <c r="AD92" s="729">
        <f>SUMIF([3]服装!B:B,C92,[3]服装!G:G)</f>
        <v>0</v>
      </c>
      <c r="AE92" s="729">
        <v>10</v>
      </c>
      <c r="AF92" s="730">
        <f>SUMIF([3]其他综合扣款!B:B,C92,[3]其他综合扣款!H:H)</f>
        <v>0</v>
      </c>
      <c r="AG92" s="729">
        <f t="shared" si="11"/>
        <v>604.15</v>
      </c>
      <c r="AH92" s="731">
        <f t="shared" si="12"/>
        <v>375.85</v>
      </c>
      <c r="AI92" s="736"/>
      <c r="AJ92" s="733"/>
    </row>
    <row r="93" spans="1:53" s="691" customFormat="1" ht="20.100000000000001" customHeight="1">
      <c r="A93" s="722">
        <v>86</v>
      </c>
      <c r="B93" s="723" t="s">
        <v>179</v>
      </c>
      <c r="C93" s="740" t="s">
        <v>147</v>
      </c>
      <c r="D93" s="790"/>
      <c r="E93" s="740" t="s">
        <v>603</v>
      </c>
      <c r="F93" s="724">
        <f t="shared" si="13"/>
        <v>700</v>
      </c>
      <c r="G93" s="724">
        <v>200</v>
      </c>
      <c r="H93" s="724"/>
      <c r="I93" s="726">
        <f>SUMIF([3]售后加班情况!C:C,'[3]工资表(超市）-武侯售后'!C93,[3]售后加班情况!G:G)</f>
        <v>70</v>
      </c>
      <c r="J93" s="713">
        <f>SUMIF('[3]8月高温补贴'!B:B,C93,'[3]8月高温补贴'!M:M)</f>
        <v>0</v>
      </c>
      <c r="K93" s="724"/>
      <c r="L93" s="724"/>
      <c r="M93" s="738"/>
      <c r="N93" s="724"/>
      <c r="O93" s="724"/>
      <c r="P93" s="727">
        <f t="shared" si="9"/>
        <v>970</v>
      </c>
      <c r="Q93" s="728">
        <f>SUMIF([3]预发!C:C,C93,[3]预发!D:D)</f>
        <v>0</v>
      </c>
      <c r="R93" s="729"/>
      <c r="S93" s="729"/>
      <c r="T93" s="729">
        <f>SUMIF('[3]社保+公积金03'!C:C,C93,'[3]社保+公积金03'!E:E)</f>
        <v>734.08</v>
      </c>
      <c r="U93" s="729">
        <f>SUMIF('[3]社保+公积金03'!C:C,C93,'[3]社保+公积金03'!I:I)</f>
        <v>346.39</v>
      </c>
      <c r="V93" s="729">
        <f>SUMIF('[3]社保+公积金03'!C:C,C93,'[3]社保+公积金03'!G:G)</f>
        <v>27.53</v>
      </c>
      <c r="W93" s="729">
        <f>SUMIF('[3]社保+公积金03'!C:C,C93,'[3]社保+公积金03'!L:L)</f>
        <v>9.18</v>
      </c>
      <c r="X93" s="729">
        <f>SUMIF('[3]社保+公积金03'!C:C,C93,'[3]社保+公积金03'!K:K)</f>
        <v>34.409999999999997</v>
      </c>
      <c r="Y93" s="729">
        <f>SUMIF('[3]社保+公积金03'!C:C,C93,'[3]社保+公积金03'!N:N)</f>
        <v>0</v>
      </c>
      <c r="Z93" s="729">
        <f>SUMIF('[3]社保+公积金03'!C:C,C93,'[3]社保+公积金03'!P:P)</f>
        <v>117</v>
      </c>
      <c r="AA93" s="729">
        <f t="shared" si="10"/>
        <v>1268.5899999999999</v>
      </c>
      <c r="AB93" s="729">
        <f>SUMIF('[3]社保+公积金03'!C:C,C93,'[3]社保+公积金03'!S:S)</f>
        <v>477.15</v>
      </c>
      <c r="AC93" s="729">
        <f>SUMIF('[3]社保+公积金03'!C:C,C93,'[3]社保+公积金03'!Q:Q)</f>
        <v>117</v>
      </c>
      <c r="AD93" s="729">
        <f>SUMIF([3]服装!B:B,C93,[3]服装!G:G)</f>
        <v>0</v>
      </c>
      <c r="AE93" s="729">
        <v>10</v>
      </c>
      <c r="AF93" s="730">
        <f>SUMIF([3]其他综合扣款!B:B,C93,[3]其他综合扣款!H:H)</f>
        <v>0</v>
      </c>
      <c r="AG93" s="729">
        <f t="shared" si="11"/>
        <v>604.15</v>
      </c>
      <c r="AH93" s="731">
        <f t="shared" si="12"/>
        <v>365.85</v>
      </c>
      <c r="AI93" s="736"/>
      <c r="AJ93" s="733"/>
    </row>
    <row r="94" spans="1:53" s="691" customFormat="1" ht="20.100000000000001" customHeight="1">
      <c r="A94" s="722">
        <v>87</v>
      </c>
      <c r="B94" s="723" t="s">
        <v>179</v>
      </c>
      <c r="C94" s="740" t="s">
        <v>148</v>
      </c>
      <c r="D94" s="735" t="s">
        <v>607</v>
      </c>
      <c r="E94" s="740" t="s">
        <v>603</v>
      </c>
      <c r="F94" s="724">
        <f t="shared" si="13"/>
        <v>700</v>
      </c>
      <c r="G94" s="724">
        <v>200</v>
      </c>
      <c r="H94" s="724"/>
      <c r="I94" s="726">
        <f>SUMIF([3]售后加班情况!C:C,'[3]工资表(超市）-武侯售后'!C94,[3]售后加班情况!G:G)</f>
        <v>70</v>
      </c>
      <c r="J94" s="713">
        <f>SUMIF('[3]8月高温补贴'!B:B,C94,'[3]8月高温补贴'!M:M)</f>
        <v>0</v>
      </c>
      <c r="K94" s="724"/>
      <c r="L94" s="724"/>
      <c r="M94" s="738"/>
      <c r="N94" s="724">
        <v>100</v>
      </c>
      <c r="O94" s="724"/>
      <c r="P94" s="727">
        <f t="shared" si="9"/>
        <v>870</v>
      </c>
      <c r="Q94" s="728">
        <f>SUMIF([3]预发!C:C,C94,[3]预发!D:D)</f>
        <v>0</v>
      </c>
      <c r="R94" s="729"/>
      <c r="S94" s="729"/>
      <c r="T94" s="729">
        <f>SUMIF('[3]社保+公积金03'!C:C,C94,'[3]社保+公积金03'!E:E)</f>
        <v>734.08</v>
      </c>
      <c r="U94" s="729">
        <f>SUMIF('[3]社保+公积金03'!C:C,C94,'[3]社保+公积金03'!I:I)</f>
        <v>346.39</v>
      </c>
      <c r="V94" s="729">
        <f>SUMIF('[3]社保+公积金03'!C:C,C94,'[3]社保+公积金03'!G:G)</f>
        <v>27.53</v>
      </c>
      <c r="W94" s="729">
        <f>SUMIF('[3]社保+公积金03'!C:C,C94,'[3]社保+公积金03'!L:L)</f>
        <v>9.18</v>
      </c>
      <c r="X94" s="729">
        <f>SUMIF('[3]社保+公积金03'!C:C,C94,'[3]社保+公积金03'!K:K)</f>
        <v>34.409999999999997</v>
      </c>
      <c r="Y94" s="729">
        <f>SUMIF('[3]社保+公积金03'!C:C,C94,'[3]社保+公积金03'!N:N)</f>
        <v>0</v>
      </c>
      <c r="Z94" s="729">
        <f>SUMIF('[3]社保+公积金03'!C:C,C94,'[3]社保+公积金03'!P:P)</f>
        <v>117</v>
      </c>
      <c r="AA94" s="729">
        <f t="shared" si="10"/>
        <v>1268.5899999999999</v>
      </c>
      <c r="AB94" s="729">
        <f>SUMIF('[3]社保+公积金03'!C:C,C94,'[3]社保+公积金03'!S:S)</f>
        <v>477.15</v>
      </c>
      <c r="AC94" s="729">
        <f>SUMIF('[3]社保+公积金03'!C:C,C94,'[3]社保+公积金03'!Q:Q)</f>
        <v>117</v>
      </c>
      <c r="AD94" s="729">
        <f>SUMIF([3]服装!B:B,C94,[3]服装!G:G)</f>
        <v>0</v>
      </c>
      <c r="AE94" s="729">
        <v>10</v>
      </c>
      <c r="AF94" s="730">
        <f>SUMIF([3]其他综合扣款!B:B,C94,[3]其他综合扣款!H:H)</f>
        <v>0</v>
      </c>
      <c r="AG94" s="729">
        <f t="shared" si="11"/>
        <v>604.15</v>
      </c>
      <c r="AH94" s="731">
        <f t="shared" si="12"/>
        <v>265.85000000000002</v>
      </c>
      <c r="AI94" s="736"/>
      <c r="AJ94" s="733"/>
    </row>
    <row r="95" spans="1:53" s="691" customFormat="1" ht="16.5" customHeight="1">
      <c r="A95" s="722">
        <v>88</v>
      </c>
      <c r="B95" s="723" t="s">
        <v>179</v>
      </c>
      <c r="C95" s="740" t="s">
        <v>143</v>
      </c>
      <c r="D95" s="735"/>
      <c r="E95" s="740" t="s">
        <v>615</v>
      </c>
      <c r="F95" s="724">
        <v>850</v>
      </c>
      <c r="G95" s="724">
        <v>250</v>
      </c>
      <c r="H95" s="724"/>
      <c r="I95" s="726">
        <f>SUMIF([3]售后加班情况!C:C,'[3]工资表(超市）-武侯售后'!C95,[3]售后加班情况!G:G)</f>
        <v>90</v>
      </c>
      <c r="J95" s="713">
        <f>SUMIF('[3]8月高温补贴'!B:B,C95,'[3]8月高温补贴'!M:M)</f>
        <v>0</v>
      </c>
      <c r="K95" s="724"/>
      <c r="L95" s="724"/>
      <c r="M95" s="738"/>
      <c r="N95" s="724"/>
      <c r="O95" s="724"/>
      <c r="P95" s="727">
        <f t="shared" si="9"/>
        <v>1190</v>
      </c>
      <c r="Q95" s="728">
        <f>SUMIF([3]预发!C:C,C95,[3]预发!D:D)</f>
        <v>0</v>
      </c>
      <c r="R95" s="729"/>
      <c r="S95" s="729"/>
      <c r="T95" s="729">
        <f>SUMIF('[3]社保+公积金03'!C:C,C95,'[3]社保+公积金03'!E:E)</f>
        <v>734.08</v>
      </c>
      <c r="U95" s="729">
        <f>SUMIF('[3]社保+公积金03'!C:C,C95,'[3]社保+公积金03'!I:I)</f>
        <v>346.39</v>
      </c>
      <c r="V95" s="729">
        <f>SUMIF('[3]社保+公积金03'!C:C,C95,'[3]社保+公积金03'!G:G)</f>
        <v>27.53</v>
      </c>
      <c r="W95" s="729">
        <f>SUMIF('[3]社保+公积金03'!C:C,C95,'[3]社保+公积金03'!L:L)</f>
        <v>9.18</v>
      </c>
      <c r="X95" s="729">
        <f>SUMIF('[3]社保+公积金03'!C:C,C95,'[3]社保+公积金03'!K:K)</f>
        <v>34.409999999999997</v>
      </c>
      <c r="Y95" s="729">
        <f>SUMIF('[3]社保+公积金03'!C:C,C95,'[3]社保+公积金03'!N:N)</f>
        <v>0</v>
      </c>
      <c r="Z95" s="729">
        <f>SUMIF('[3]社保+公积金03'!C:C,C95,'[3]社保+公积金03'!P:P)</f>
        <v>117</v>
      </c>
      <c r="AA95" s="729">
        <f t="shared" si="10"/>
        <v>1268.5899999999999</v>
      </c>
      <c r="AB95" s="729">
        <f>SUMIF('[3]社保+公积金03'!C:C,C95,'[3]社保+公积金03'!S:S)</f>
        <v>477.15</v>
      </c>
      <c r="AC95" s="729">
        <f>SUMIF('[3]社保+公积金03'!C:C,C95,'[3]社保+公积金03'!Q:Q)</f>
        <v>117</v>
      </c>
      <c r="AD95" s="729">
        <f>SUMIF([3]服装!B:B,C95,[3]服装!G:G)</f>
        <v>0</v>
      </c>
      <c r="AE95" s="729">
        <v>10</v>
      </c>
      <c r="AF95" s="730">
        <f>SUMIF([3]其他综合扣款!B:B,C95,[3]其他综合扣款!H:H)</f>
        <v>0</v>
      </c>
      <c r="AG95" s="729">
        <f t="shared" si="11"/>
        <v>604.15</v>
      </c>
      <c r="AH95" s="731">
        <f t="shared" si="12"/>
        <v>585.85</v>
      </c>
      <c r="AI95" s="736"/>
      <c r="AJ95" s="733"/>
    </row>
    <row r="96" spans="1:53" s="691" customFormat="1" ht="20.100000000000001" customHeight="1">
      <c r="A96" s="722">
        <v>89</v>
      </c>
      <c r="B96" s="723" t="s">
        <v>179</v>
      </c>
      <c r="C96" s="740" t="s">
        <v>150</v>
      </c>
      <c r="D96" s="735" t="s">
        <v>604</v>
      </c>
      <c r="E96" s="740" t="s">
        <v>614</v>
      </c>
      <c r="F96" s="724">
        <v>700</v>
      </c>
      <c r="G96" s="724">
        <v>200</v>
      </c>
      <c r="H96" s="724"/>
      <c r="I96" s="726">
        <f>SUMIF([3]售后加班情况!C:C,'[3]工资表(超市）-武侯售后'!C96,[3]售后加班情况!G:G)</f>
        <v>70</v>
      </c>
      <c r="J96" s="713">
        <f>SUMIF('[3]8月高温补贴'!B:B,C96,'[3]8月高温补贴'!M:M)</f>
        <v>0</v>
      </c>
      <c r="K96" s="724"/>
      <c r="L96" s="724"/>
      <c r="M96" s="738"/>
      <c r="N96" s="724"/>
      <c r="O96" s="724"/>
      <c r="P96" s="727">
        <f t="shared" si="9"/>
        <v>970</v>
      </c>
      <c r="Q96" s="728">
        <f>SUMIF([3]预发!C:C,C96,[3]预发!D:D)</f>
        <v>0</v>
      </c>
      <c r="R96" s="729"/>
      <c r="S96" s="729">
        <f t="shared" ref="S96:S102" si="14">SUM(Q96:R96)</f>
        <v>0</v>
      </c>
      <c r="T96" s="729">
        <f>SUMIF('[3]社保+公积金03'!C:C,C96,'[3]社保+公积金03'!E:E)</f>
        <v>734.08</v>
      </c>
      <c r="U96" s="729">
        <f>SUMIF('[3]社保+公积金03'!C:C,C96,'[3]社保+公积金03'!I:I)</f>
        <v>346.39</v>
      </c>
      <c r="V96" s="729">
        <f>SUMIF('[3]社保+公积金03'!C:C,C96,'[3]社保+公积金03'!G:G)</f>
        <v>27.53</v>
      </c>
      <c r="W96" s="729">
        <f>SUMIF('[3]社保+公积金03'!C:C,C96,'[3]社保+公积金03'!L:L)</f>
        <v>9.18</v>
      </c>
      <c r="X96" s="729">
        <f>SUMIF('[3]社保+公积金03'!C:C,C96,'[3]社保+公积金03'!K:K)</f>
        <v>34.409999999999997</v>
      </c>
      <c r="Y96" s="729">
        <f>SUMIF('[3]社保+公积金03'!C:C,C96,'[3]社保+公积金03'!N:N)</f>
        <v>0</v>
      </c>
      <c r="Z96" s="729">
        <f>SUMIF('[3]社保+公积金03'!C:C,C96,'[3]社保+公积金03'!P:P)</f>
        <v>117</v>
      </c>
      <c r="AA96" s="729">
        <f t="shared" si="10"/>
        <v>1268.5899999999999</v>
      </c>
      <c r="AB96" s="729">
        <f>SUMIF('[3]社保+公积金03'!C:C,C96,'[3]社保+公积金03'!S:S)</f>
        <v>477.15</v>
      </c>
      <c r="AC96" s="729">
        <f>SUMIF('[3]社保+公积金03'!C:C,C96,'[3]社保+公积金03'!Q:Q)</f>
        <v>117</v>
      </c>
      <c r="AD96" s="729">
        <f>SUMIF([3]服装!B:B,C96,[3]服装!G:G)</f>
        <v>0</v>
      </c>
      <c r="AE96" s="729">
        <v>10</v>
      </c>
      <c r="AF96" s="730">
        <f>SUMIF([3]其他综合扣款!B:B,C96,[3]其他综合扣款!H:H)</f>
        <v>0</v>
      </c>
      <c r="AG96" s="729">
        <f t="shared" si="11"/>
        <v>604.15</v>
      </c>
      <c r="AH96" s="731">
        <f t="shared" si="12"/>
        <v>365.85</v>
      </c>
      <c r="AI96" s="736"/>
      <c r="AJ96" s="733"/>
    </row>
    <row r="97" spans="1:53" s="691" customFormat="1" ht="20.100000000000001" customHeight="1">
      <c r="A97" s="722">
        <v>90</v>
      </c>
      <c r="B97" s="723" t="s">
        <v>179</v>
      </c>
      <c r="C97" s="740" t="s">
        <v>152</v>
      </c>
      <c r="D97" s="776"/>
      <c r="E97" s="740" t="s">
        <v>614</v>
      </c>
      <c r="F97" s="724">
        <v>700</v>
      </c>
      <c r="G97" s="724">
        <v>200</v>
      </c>
      <c r="H97" s="724"/>
      <c r="I97" s="726">
        <f>SUMIF([3]售后加班情况!C:C,'[3]工资表(超市）-武侯售后'!C97,[3]售后加班情况!G:G)</f>
        <v>90</v>
      </c>
      <c r="J97" s="713">
        <f>SUMIF('[3]8月高温补贴'!B:B,C97,'[3]8月高温补贴'!M:M)</f>
        <v>0</v>
      </c>
      <c r="K97" s="724"/>
      <c r="L97" s="724"/>
      <c r="M97" s="738"/>
      <c r="N97" s="724"/>
      <c r="O97" s="724"/>
      <c r="P97" s="727">
        <f t="shared" si="9"/>
        <v>990</v>
      </c>
      <c r="Q97" s="728">
        <f>SUMIF([3]预发!C:C,C97,[3]预发!D:D)</f>
        <v>0</v>
      </c>
      <c r="R97" s="729"/>
      <c r="S97" s="729">
        <f t="shared" si="14"/>
        <v>0</v>
      </c>
      <c r="T97" s="729">
        <f>SUMIF('[3]社保+公积金03'!C:C,C97,'[3]社保+公积金03'!E:E)</f>
        <v>734.08</v>
      </c>
      <c r="U97" s="729">
        <f>SUMIF('[3]社保+公积金03'!C:C,C97,'[3]社保+公积金03'!I:I)</f>
        <v>346.39</v>
      </c>
      <c r="V97" s="729">
        <f>SUMIF('[3]社保+公积金03'!C:C,C97,'[3]社保+公积金03'!G:G)</f>
        <v>27.53</v>
      </c>
      <c r="W97" s="729">
        <f>SUMIF('[3]社保+公积金03'!C:C,C97,'[3]社保+公积金03'!L:L)</f>
        <v>9.18</v>
      </c>
      <c r="X97" s="729">
        <f>SUMIF('[3]社保+公积金03'!C:C,C97,'[3]社保+公积金03'!K:K)</f>
        <v>34.409999999999997</v>
      </c>
      <c r="Y97" s="729">
        <f>SUMIF('[3]社保+公积金03'!C:C,C97,'[3]社保+公积金03'!N:N)</f>
        <v>0</v>
      </c>
      <c r="Z97" s="729">
        <f>SUMIF('[3]社保+公积金03'!C:C,C97,'[3]社保+公积金03'!P:P)</f>
        <v>117</v>
      </c>
      <c r="AA97" s="729">
        <f t="shared" si="10"/>
        <v>1268.5899999999999</v>
      </c>
      <c r="AB97" s="729">
        <f>SUMIF('[3]社保+公积金03'!C:C,C97,'[3]社保+公积金03'!S:S)</f>
        <v>477.15</v>
      </c>
      <c r="AC97" s="729">
        <f>SUMIF('[3]社保+公积金03'!C:C,C97,'[3]社保+公积金03'!Q:Q)</f>
        <v>117</v>
      </c>
      <c r="AD97" s="729">
        <f>SUMIF([3]服装!B:B,C97,[3]服装!G:G)</f>
        <v>0</v>
      </c>
      <c r="AE97" s="729">
        <v>10</v>
      </c>
      <c r="AF97" s="730">
        <f>SUMIF([3]其他综合扣款!B:B,C97,[3]其他综合扣款!H:H)</f>
        <v>0</v>
      </c>
      <c r="AG97" s="729">
        <f t="shared" si="11"/>
        <v>604.15</v>
      </c>
      <c r="AH97" s="731">
        <f t="shared" si="12"/>
        <v>385.85</v>
      </c>
      <c r="AI97" s="736"/>
      <c r="AJ97" s="733"/>
    </row>
    <row r="98" spans="1:53" s="691" customFormat="1" ht="20.100000000000001" customHeight="1">
      <c r="A98" s="722">
        <v>91</v>
      </c>
      <c r="B98" s="723" t="s">
        <v>179</v>
      </c>
      <c r="C98" s="740" t="s">
        <v>153</v>
      </c>
      <c r="D98" s="776"/>
      <c r="E98" s="740" t="s">
        <v>603</v>
      </c>
      <c r="F98" s="724">
        <v>700</v>
      </c>
      <c r="G98" s="724">
        <v>200</v>
      </c>
      <c r="H98" s="724"/>
      <c r="I98" s="726">
        <f>SUMIF([3]售后加班情况!C:C,'[3]工资表(超市）-武侯售后'!C98,[3]售后加班情况!G:G)</f>
        <v>80</v>
      </c>
      <c r="J98" s="713">
        <f>SUMIF('[3]8月高温补贴'!B:B,C98,'[3]8月高温补贴'!M:M)</f>
        <v>0</v>
      </c>
      <c r="K98" s="724"/>
      <c r="L98" s="724"/>
      <c r="M98" s="738"/>
      <c r="N98" s="724"/>
      <c r="O98" s="724"/>
      <c r="P98" s="727">
        <f t="shared" si="9"/>
        <v>980</v>
      </c>
      <c r="Q98" s="728">
        <f>SUMIF([3]预发!C:C,C98,[3]预发!D:D)</f>
        <v>0</v>
      </c>
      <c r="R98" s="729"/>
      <c r="S98" s="729">
        <f t="shared" si="14"/>
        <v>0</v>
      </c>
      <c r="T98" s="729">
        <f>SUMIF('[3]社保+公积金03'!C:C,C98,'[3]社保+公积金03'!E:E)</f>
        <v>734.08</v>
      </c>
      <c r="U98" s="729">
        <f>SUMIF('[3]社保+公积金03'!C:C,C98,'[3]社保+公积金03'!I:I)</f>
        <v>346.39</v>
      </c>
      <c r="V98" s="729">
        <f>SUMIF('[3]社保+公积金03'!C:C,C98,'[3]社保+公积金03'!G:G)</f>
        <v>27.53</v>
      </c>
      <c r="W98" s="729">
        <f>SUMIF('[3]社保+公积金03'!C:C,C98,'[3]社保+公积金03'!L:L)</f>
        <v>9.18</v>
      </c>
      <c r="X98" s="729">
        <f>SUMIF('[3]社保+公积金03'!C:C,C98,'[3]社保+公积金03'!K:K)</f>
        <v>34.409999999999997</v>
      </c>
      <c r="Y98" s="729">
        <f>SUMIF('[3]社保+公积金03'!C:C,C98,'[3]社保+公积金03'!N:N)</f>
        <v>0</v>
      </c>
      <c r="Z98" s="729">
        <f>SUMIF('[3]社保+公积金03'!C:C,C98,'[3]社保+公积金03'!P:P)</f>
        <v>117</v>
      </c>
      <c r="AA98" s="729">
        <f t="shared" si="10"/>
        <v>1268.5899999999999</v>
      </c>
      <c r="AB98" s="729">
        <f>SUMIF('[3]社保+公积金03'!C:C,C98,'[3]社保+公积金03'!S:S)</f>
        <v>477.15</v>
      </c>
      <c r="AC98" s="729">
        <f>SUMIF('[3]社保+公积金03'!C:C,C98,'[3]社保+公积金03'!Q:Q)</f>
        <v>117</v>
      </c>
      <c r="AD98" s="729">
        <f>SUMIF([3]服装!B:B,C98,[3]服装!G:G)</f>
        <v>0</v>
      </c>
      <c r="AE98" s="729">
        <v>10</v>
      </c>
      <c r="AF98" s="730">
        <f>SUMIF([3]其他综合扣款!B:B,C98,[3]其他综合扣款!H:H)</f>
        <v>0</v>
      </c>
      <c r="AG98" s="729">
        <f t="shared" si="11"/>
        <v>604.15</v>
      </c>
      <c r="AH98" s="731">
        <f t="shared" si="12"/>
        <v>375.85</v>
      </c>
      <c r="AI98" s="736"/>
      <c r="AJ98" s="733"/>
    </row>
    <row r="99" spans="1:53" s="692" customFormat="1" ht="20.100000000000001" customHeight="1">
      <c r="A99" s="722">
        <v>92</v>
      </c>
      <c r="B99" s="723" t="s">
        <v>179</v>
      </c>
      <c r="C99" s="740" t="s">
        <v>158</v>
      </c>
      <c r="D99" s="776"/>
      <c r="E99" s="740" t="s">
        <v>608</v>
      </c>
      <c r="F99" s="724">
        <v>700</v>
      </c>
      <c r="G99" s="724">
        <v>200</v>
      </c>
      <c r="H99" s="724"/>
      <c r="I99" s="726">
        <f>SUMIF([3]售后加班情况!C:C,'[3]工资表(超市）-武侯售后'!C99,[3]售后加班情况!G:G)</f>
        <v>80</v>
      </c>
      <c r="J99" s="713">
        <f>SUMIF('[3]8月高温补贴'!B:B,C99,'[3]8月高温补贴'!M:M)</f>
        <v>0</v>
      </c>
      <c r="K99" s="724"/>
      <c r="L99" s="724"/>
      <c r="M99" s="738"/>
      <c r="N99" s="724"/>
      <c r="O99" s="724"/>
      <c r="P99" s="727">
        <f t="shared" si="9"/>
        <v>980</v>
      </c>
      <c r="Q99" s="728">
        <f>SUMIF([3]预发!C:C,C99,[3]预发!D:D)</f>
        <v>0</v>
      </c>
      <c r="R99" s="729"/>
      <c r="S99" s="729">
        <f t="shared" si="14"/>
        <v>0</v>
      </c>
      <c r="T99" s="729">
        <f>SUMIF('[3]社保+公积金03'!C:C,C99,'[3]社保+公积金03'!E:E)</f>
        <v>734.08</v>
      </c>
      <c r="U99" s="729">
        <f>SUMIF('[3]社保+公积金03'!C:C,C99,'[3]社保+公积金03'!I:I)</f>
        <v>346.39</v>
      </c>
      <c r="V99" s="729">
        <f>SUMIF('[3]社保+公积金03'!C:C,C99,'[3]社保+公积金03'!G:G)</f>
        <v>27.53</v>
      </c>
      <c r="W99" s="729">
        <f>SUMIF('[3]社保+公积金03'!C:C,C99,'[3]社保+公积金03'!L:L)</f>
        <v>9.18</v>
      </c>
      <c r="X99" s="729">
        <f>SUMIF('[3]社保+公积金03'!C:C,C99,'[3]社保+公积金03'!K:K)</f>
        <v>34.409999999999997</v>
      </c>
      <c r="Y99" s="729">
        <f>SUMIF('[3]社保+公积金03'!C:C,C99,'[3]社保+公积金03'!N:N)</f>
        <v>0</v>
      </c>
      <c r="Z99" s="729">
        <f>SUMIF('[3]社保+公积金03'!C:C,C99,'[3]社保+公积金03'!P:P)</f>
        <v>117</v>
      </c>
      <c r="AA99" s="729">
        <f t="shared" si="10"/>
        <v>1268.5899999999999</v>
      </c>
      <c r="AB99" s="729">
        <f>SUMIF('[3]社保+公积金03'!C:C,C99,'[3]社保+公积金03'!S:S)</f>
        <v>477.15</v>
      </c>
      <c r="AC99" s="729">
        <f>SUMIF('[3]社保+公积金03'!C:C,C99,'[3]社保+公积金03'!Q:Q)</f>
        <v>117</v>
      </c>
      <c r="AD99" s="729">
        <f>SUMIF([3]服装!B:B,C99,[3]服装!G:G)</f>
        <v>0</v>
      </c>
      <c r="AE99" s="729">
        <v>10</v>
      </c>
      <c r="AF99" s="730">
        <f>SUMIF([3]其他综合扣款!B:B,C99,[3]其他综合扣款!H:H)</f>
        <v>0</v>
      </c>
      <c r="AG99" s="729">
        <f t="shared" si="11"/>
        <v>604.15</v>
      </c>
      <c r="AH99" s="731">
        <f t="shared" si="12"/>
        <v>375.85</v>
      </c>
      <c r="AI99" s="736"/>
      <c r="AJ99" s="733"/>
      <c r="AK99" s="759"/>
      <c r="AL99" s="759"/>
      <c r="AM99" s="759"/>
      <c r="AN99" s="759"/>
      <c r="AO99" s="759"/>
      <c r="AP99" s="759"/>
      <c r="AQ99" s="759"/>
      <c r="AR99" s="759"/>
      <c r="AS99" s="759"/>
      <c r="AT99" s="759"/>
      <c r="AU99" s="759"/>
      <c r="AV99" s="759"/>
      <c r="AW99" s="759"/>
      <c r="AX99" s="759"/>
      <c r="AY99" s="759"/>
      <c r="AZ99" s="759"/>
      <c r="BA99" s="759"/>
    </row>
    <row r="100" spans="1:53" s="692" customFormat="1" ht="20.100000000000001" customHeight="1">
      <c r="A100" s="722">
        <v>93</v>
      </c>
      <c r="B100" s="723" t="s">
        <v>179</v>
      </c>
      <c r="C100" s="740" t="s">
        <v>160</v>
      </c>
      <c r="D100" s="776"/>
      <c r="E100" s="740" t="s">
        <v>609</v>
      </c>
      <c r="F100" s="724">
        <v>700</v>
      </c>
      <c r="G100" s="724">
        <v>200</v>
      </c>
      <c r="H100" s="724"/>
      <c r="I100" s="726">
        <f>SUMIF([3]售后加班情况!C:C,'[3]工资表(超市）-武侯售后'!C100,[3]售后加班情况!G:G)</f>
        <v>80</v>
      </c>
      <c r="J100" s="713">
        <f>SUMIF('[3]8月高温补贴'!B:B,C100,'[3]8月高温补贴'!M:M)</f>
        <v>0</v>
      </c>
      <c r="K100" s="724"/>
      <c r="L100" s="724"/>
      <c r="M100" s="738"/>
      <c r="N100" s="724"/>
      <c r="O100" s="724"/>
      <c r="P100" s="727">
        <f t="shared" si="9"/>
        <v>980</v>
      </c>
      <c r="Q100" s="728">
        <f>SUMIF([3]预发!C:C,C100,[3]预发!D:D)</f>
        <v>0</v>
      </c>
      <c r="R100" s="729"/>
      <c r="S100" s="729">
        <f t="shared" si="14"/>
        <v>0</v>
      </c>
      <c r="T100" s="729">
        <f>SUMIF('[3]社保+公积金03'!C:C,C100,'[3]社保+公积金03'!E:E)</f>
        <v>734.08</v>
      </c>
      <c r="U100" s="729">
        <f>SUMIF('[3]社保+公积金03'!C:C,C100,'[3]社保+公积金03'!I:I)</f>
        <v>346.39</v>
      </c>
      <c r="V100" s="729">
        <f>SUMIF('[3]社保+公积金03'!C:C,C100,'[3]社保+公积金03'!G:G)</f>
        <v>27.53</v>
      </c>
      <c r="W100" s="729">
        <f>SUMIF('[3]社保+公积金03'!C:C,C100,'[3]社保+公积金03'!L:L)</f>
        <v>9.18</v>
      </c>
      <c r="X100" s="729">
        <f>SUMIF('[3]社保+公积金03'!C:C,C100,'[3]社保+公积金03'!K:K)</f>
        <v>34.409999999999997</v>
      </c>
      <c r="Y100" s="729">
        <f>SUMIF('[3]社保+公积金03'!C:C,C100,'[3]社保+公积金03'!N:N)</f>
        <v>0</v>
      </c>
      <c r="Z100" s="729">
        <f>SUMIF('[3]社保+公积金03'!C:C,C100,'[3]社保+公积金03'!P:P)</f>
        <v>117</v>
      </c>
      <c r="AA100" s="729">
        <f t="shared" si="10"/>
        <v>1268.5899999999999</v>
      </c>
      <c r="AB100" s="729">
        <f>SUMIF('[3]社保+公积金03'!C:C,C100,'[3]社保+公积金03'!S:S)</f>
        <v>477.15</v>
      </c>
      <c r="AC100" s="729">
        <f>SUMIF('[3]社保+公积金03'!C:C,C100,'[3]社保+公积金03'!Q:Q)</f>
        <v>117</v>
      </c>
      <c r="AD100" s="729">
        <f>SUMIF([3]服装!B:B,C100,[3]服装!G:G)</f>
        <v>0</v>
      </c>
      <c r="AE100" s="729">
        <v>10</v>
      </c>
      <c r="AF100" s="730">
        <f>SUMIF([3]其他综合扣款!B:B,C100,[3]其他综合扣款!H:H)</f>
        <v>0</v>
      </c>
      <c r="AG100" s="729">
        <f t="shared" si="11"/>
        <v>604.15</v>
      </c>
      <c r="AH100" s="731">
        <f t="shared" si="12"/>
        <v>375.85</v>
      </c>
      <c r="AI100" s="736"/>
      <c r="AJ100" s="733"/>
      <c r="AK100" s="759"/>
      <c r="AL100" s="759"/>
      <c r="AM100" s="759"/>
      <c r="AN100" s="759"/>
      <c r="AO100" s="759"/>
      <c r="AP100" s="759"/>
      <c r="AQ100" s="759"/>
      <c r="AR100" s="759"/>
      <c r="AS100" s="759"/>
      <c r="AT100" s="759"/>
      <c r="AU100" s="759"/>
      <c r="AV100" s="759"/>
      <c r="AW100" s="759"/>
      <c r="AX100" s="759"/>
      <c r="AY100" s="759"/>
      <c r="AZ100" s="759"/>
      <c r="BA100" s="759"/>
    </row>
    <row r="101" spans="1:53" s="692" customFormat="1" ht="20.100000000000001" customHeight="1">
      <c r="A101" s="722">
        <v>94</v>
      </c>
      <c r="B101" s="723" t="s">
        <v>179</v>
      </c>
      <c r="C101" s="740" t="s">
        <v>155</v>
      </c>
      <c r="D101" s="776"/>
      <c r="E101" s="740" t="s">
        <v>609</v>
      </c>
      <c r="F101" s="724">
        <v>700</v>
      </c>
      <c r="G101" s="724">
        <v>200</v>
      </c>
      <c r="H101" s="724"/>
      <c r="I101" s="726">
        <f>SUMIF([3]售后加班情况!C:C,'[3]工资表(超市）-武侯售后'!C101,[3]售后加班情况!G:G)</f>
        <v>70</v>
      </c>
      <c r="J101" s="713">
        <f>SUMIF('[3]8月高温补贴'!B:B,C101,'[3]8月高温补贴'!M:M)</f>
        <v>0</v>
      </c>
      <c r="K101" s="724"/>
      <c r="L101" s="724"/>
      <c r="M101" s="738"/>
      <c r="N101" s="724"/>
      <c r="O101" s="724"/>
      <c r="P101" s="727">
        <f t="shared" si="9"/>
        <v>970</v>
      </c>
      <c r="Q101" s="728">
        <f>SUMIF([3]预发!C:C,C101,[3]预发!D:D)</f>
        <v>0</v>
      </c>
      <c r="R101" s="729"/>
      <c r="S101" s="729">
        <f t="shared" si="14"/>
        <v>0</v>
      </c>
      <c r="T101" s="729">
        <f>SUMIF('[3]社保+公积金03'!C:C,C101,'[3]社保+公积金03'!E:E)</f>
        <v>734.08</v>
      </c>
      <c r="U101" s="729">
        <f>SUMIF('[3]社保+公积金03'!C:C,C101,'[3]社保+公积金03'!I:I)</f>
        <v>346.39</v>
      </c>
      <c r="V101" s="729">
        <f>SUMIF('[3]社保+公积金03'!C:C,C101,'[3]社保+公积金03'!G:G)</f>
        <v>27.53</v>
      </c>
      <c r="W101" s="729">
        <f>SUMIF('[3]社保+公积金03'!C:C,C101,'[3]社保+公积金03'!L:L)</f>
        <v>9.18</v>
      </c>
      <c r="X101" s="729">
        <f>SUMIF('[3]社保+公积金03'!C:C,C101,'[3]社保+公积金03'!K:K)</f>
        <v>34.409999999999997</v>
      </c>
      <c r="Y101" s="729">
        <f>SUMIF('[3]社保+公积金03'!C:C,C101,'[3]社保+公积金03'!N:N)</f>
        <v>0</v>
      </c>
      <c r="Z101" s="729">
        <f>SUMIF('[3]社保+公积金03'!C:C,C101,'[3]社保+公积金03'!P:P)</f>
        <v>117</v>
      </c>
      <c r="AA101" s="729">
        <f t="shared" si="10"/>
        <v>1268.5899999999999</v>
      </c>
      <c r="AB101" s="729">
        <f>SUMIF('[3]社保+公积金03'!C:C,C101,'[3]社保+公积金03'!S:S)</f>
        <v>477.15</v>
      </c>
      <c r="AC101" s="729">
        <f>SUMIF('[3]社保+公积金03'!C:C,C101,'[3]社保+公积金03'!Q:Q)</f>
        <v>117</v>
      </c>
      <c r="AD101" s="729">
        <f>SUMIF([3]服装!B:B,C101,[3]服装!G:G)</f>
        <v>0</v>
      </c>
      <c r="AE101" s="729">
        <v>10</v>
      </c>
      <c r="AF101" s="730">
        <f>SUMIF([3]其他综合扣款!B:B,C101,[3]其他综合扣款!H:H)</f>
        <v>0</v>
      </c>
      <c r="AG101" s="729">
        <f t="shared" si="11"/>
        <v>604.15</v>
      </c>
      <c r="AH101" s="731">
        <f t="shared" si="12"/>
        <v>365.85</v>
      </c>
      <c r="AI101" s="736"/>
      <c r="AJ101" s="733"/>
      <c r="AK101" s="759"/>
      <c r="AL101" s="759"/>
      <c r="AM101" s="759"/>
      <c r="AN101" s="759"/>
      <c r="AO101" s="759"/>
      <c r="AP101" s="759"/>
      <c r="AQ101" s="759"/>
      <c r="AR101" s="759"/>
      <c r="AS101" s="759"/>
      <c r="AT101" s="759"/>
      <c r="AU101" s="759"/>
      <c r="AV101" s="759"/>
      <c r="AW101" s="759"/>
      <c r="AX101" s="759"/>
      <c r="AY101" s="759"/>
      <c r="AZ101" s="759"/>
      <c r="BA101" s="759"/>
    </row>
    <row r="102" spans="1:53" s="692" customFormat="1" ht="18" customHeight="1">
      <c r="A102" s="722">
        <v>95</v>
      </c>
      <c r="B102" s="723" t="s">
        <v>179</v>
      </c>
      <c r="C102" s="740" t="s">
        <v>157</v>
      </c>
      <c r="D102" s="776" t="s">
        <v>606</v>
      </c>
      <c r="E102" s="740" t="s">
        <v>608</v>
      </c>
      <c r="F102" s="724">
        <v>700</v>
      </c>
      <c r="G102" s="724">
        <v>200</v>
      </c>
      <c r="H102" s="724"/>
      <c r="I102" s="726">
        <f>SUMIF([3]售后加班情况!C:C,'[3]工资表(超市）-武侯售后'!C102,[3]售后加班情况!G:G)</f>
        <v>90</v>
      </c>
      <c r="J102" s="713">
        <f>SUMIF('[3]8月高温补贴'!B:B,C102,'[3]8月高温补贴'!M:M)</f>
        <v>0</v>
      </c>
      <c r="K102" s="724"/>
      <c r="L102" s="724"/>
      <c r="M102" s="738"/>
      <c r="N102" s="724">
        <f>900/30*1</f>
        <v>30</v>
      </c>
      <c r="O102" s="724"/>
      <c r="P102" s="727">
        <f t="shared" si="9"/>
        <v>960</v>
      </c>
      <c r="Q102" s="728">
        <f>SUMIF([3]预发!C:C,C102,[3]预发!D:D)</f>
        <v>0</v>
      </c>
      <c r="R102" s="729"/>
      <c r="S102" s="729">
        <f t="shared" si="14"/>
        <v>0</v>
      </c>
      <c r="T102" s="729">
        <f>SUMIF('[3]社保+公积金03'!C:C,C102,'[3]社保+公积金03'!E:E)</f>
        <v>734.08</v>
      </c>
      <c r="U102" s="729">
        <f>SUMIF('[3]社保+公积金03'!C:C,C102,'[3]社保+公积金03'!I:I)</f>
        <v>346.39</v>
      </c>
      <c r="V102" s="729">
        <f>SUMIF('[3]社保+公积金03'!C:C,C102,'[3]社保+公积金03'!G:G)</f>
        <v>27.53</v>
      </c>
      <c r="W102" s="729">
        <f>SUMIF('[3]社保+公积金03'!C:C,C102,'[3]社保+公积金03'!L:L)</f>
        <v>9.18</v>
      </c>
      <c r="X102" s="729">
        <f>SUMIF('[3]社保+公积金03'!C:C,C102,'[3]社保+公积金03'!K:K)</f>
        <v>34.409999999999997</v>
      </c>
      <c r="Y102" s="729">
        <f>SUMIF('[3]社保+公积金03'!C:C,C102,'[3]社保+公积金03'!N:N)</f>
        <v>0</v>
      </c>
      <c r="Z102" s="729">
        <f>SUMIF('[3]社保+公积金03'!C:C,C102,'[3]社保+公积金03'!P:P)</f>
        <v>117</v>
      </c>
      <c r="AA102" s="729">
        <f t="shared" si="10"/>
        <v>1268.5899999999999</v>
      </c>
      <c r="AB102" s="729">
        <f>SUMIF('[3]社保+公积金03'!C:C,C102,'[3]社保+公积金03'!S:S)</f>
        <v>477.15</v>
      </c>
      <c r="AC102" s="729">
        <f>SUMIF('[3]社保+公积金03'!C:C,C102,'[3]社保+公积金03'!Q:Q)</f>
        <v>117</v>
      </c>
      <c r="AD102" s="729">
        <f>SUMIF([3]服装!B:B,C102,[3]服装!G:G)</f>
        <v>0</v>
      </c>
      <c r="AE102" s="729">
        <v>10</v>
      </c>
      <c r="AF102" s="730">
        <f>SUMIF([3]其他综合扣款!B:B,C102,[3]其他综合扣款!H:H)</f>
        <v>0</v>
      </c>
      <c r="AG102" s="729">
        <f t="shared" si="11"/>
        <v>604.15</v>
      </c>
      <c r="AH102" s="731">
        <f t="shared" si="12"/>
        <v>355.85</v>
      </c>
      <c r="AI102" s="736"/>
      <c r="AJ102" s="733"/>
      <c r="AK102" s="759"/>
      <c r="AL102" s="759"/>
      <c r="AM102" s="759"/>
      <c r="AN102" s="759"/>
      <c r="AO102" s="759"/>
      <c r="AP102" s="759"/>
      <c r="AQ102" s="759"/>
      <c r="AR102" s="759"/>
      <c r="AS102" s="759"/>
      <c r="AT102" s="759"/>
      <c r="AU102" s="759"/>
      <c r="AV102" s="759"/>
      <c r="AW102" s="759"/>
      <c r="AX102" s="759"/>
      <c r="AY102" s="759"/>
      <c r="AZ102" s="759"/>
      <c r="BA102" s="759"/>
    </row>
    <row r="103" spans="1:53" s="692" customFormat="1" ht="20.100000000000001" customHeight="1">
      <c r="A103" s="722">
        <v>96</v>
      </c>
      <c r="B103" s="774" t="s">
        <v>180</v>
      </c>
      <c r="C103" s="740" t="s">
        <v>162</v>
      </c>
      <c r="D103" s="735"/>
      <c r="E103" s="740" t="s">
        <v>616</v>
      </c>
      <c r="F103" s="724">
        <v>850</v>
      </c>
      <c r="G103" s="724">
        <v>250</v>
      </c>
      <c r="H103" s="724"/>
      <c r="I103" s="726">
        <f>SUMIF([3]售后加班情况!C:C,'[3]工资表(超市）-武侯售后'!C103,[3]售后加班情况!G:G)</f>
        <v>70</v>
      </c>
      <c r="J103" s="713">
        <f>SUMIF('[3]8月高温补贴'!B:B,C103,'[3]8月高温补贴'!M:M)</f>
        <v>0</v>
      </c>
      <c r="K103" s="724"/>
      <c r="L103" s="724"/>
      <c r="M103" s="738"/>
      <c r="N103" s="724"/>
      <c r="O103" s="724"/>
      <c r="P103" s="727">
        <f t="shared" si="9"/>
        <v>1170</v>
      </c>
      <c r="Q103" s="728">
        <f>SUMIF([3]预发!C:C,C103,[3]预发!D:D)</f>
        <v>0</v>
      </c>
      <c r="R103" s="729"/>
      <c r="S103" s="729"/>
      <c r="T103" s="729">
        <f>SUMIF('[3]社保+公积金03'!C:C,C103,'[3]社保+公积金03'!E:E)</f>
        <v>734.08</v>
      </c>
      <c r="U103" s="729">
        <f>SUMIF('[3]社保+公积金03'!C:C,C103,'[3]社保+公积金03'!I:I)</f>
        <v>346.39</v>
      </c>
      <c r="V103" s="729">
        <f>SUMIF('[3]社保+公积金03'!C:C,C103,'[3]社保+公积金03'!G:G)</f>
        <v>27.53</v>
      </c>
      <c r="W103" s="729">
        <f>SUMIF('[3]社保+公积金03'!C:C,C103,'[3]社保+公积金03'!L:L)</f>
        <v>9.18</v>
      </c>
      <c r="X103" s="729">
        <f>SUMIF('[3]社保+公积金03'!C:C,C103,'[3]社保+公积金03'!K:K)</f>
        <v>34.409999999999997</v>
      </c>
      <c r="Y103" s="729">
        <f>SUMIF('[3]社保+公积金03'!C:C,C103,'[3]社保+公积金03'!N:N)</f>
        <v>0</v>
      </c>
      <c r="Z103" s="729">
        <f>SUMIF('[3]社保+公积金03'!C:C,C103,'[3]社保+公积金03'!P:P)</f>
        <v>117</v>
      </c>
      <c r="AA103" s="729">
        <f t="shared" si="10"/>
        <v>1268.5899999999999</v>
      </c>
      <c r="AB103" s="729">
        <f>SUMIF('[3]社保+公积金03'!C:C,C103,'[3]社保+公积金03'!S:S)</f>
        <v>477.15</v>
      </c>
      <c r="AC103" s="729">
        <f>SUMIF('[3]社保+公积金03'!C:C,C103,'[3]社保+公积金03'!Q:Q)</f>
        <v>117</v>
      </c>
      <c r="AD103" s="729">
        <f>SUMIF([3]服装!B:B,C103,[3]服装!G:G)</f>
        <v>0</v>
      </c>
      <c r="AE103" s="729">
        <v>10</v>
      </c>
      <c r="AF103" s="730">
        <f>SUMIF([3]其他综合扣款!B:B,C103,[3]其他综合扣款!H:H)</f>
        <v>0</v>
      </c>
      <c r="AG103" s="729">
        <f t="shared" si="11"/>
        <v>604.15</v>
      </c>
      <c r="AH103" s="731">
        <f t="shared" si="12"/>
        <v>565.85</v>
      </c>
      <c r="AI103" s="736"/>
      <c r="AJ103" s="733"/>
      <c r="AK103" s="759"/>
      <c r="AL103" s="759"/>
      <c r="AM103" s="759"/>
      <c r="AN103" s="759"/>
      <c r="AO103" s="759"/>
      <c r="AP103" s="759"/>
      <c r="AQ103" s="759"/>
      <c r="AR103" s="759"/>
      <c r="AS103" s="759"/>
      <c r="AT103" s="759"/>
      <c r="AU103" s="759"/>
      <c r="AV103" s="759"/>
      <c r="AW103" s="759"/>
      <c r="AX103" s="759"/>
      <c r="AY103" s="759"/>
      <c r="AZ103" s="759"/>
      <c r="BA103" s="759"/>
    </row>
    <row r="104" spans="1:53" s="692" customFormat="1" ht="20.100000000000001" customHeight="1">
      <c r="A104" s="722">
        <v>97</v>
      </c>
      <c r="B104" s="774" t="s">
        <v>180</v>
      </c>
      <c r="C104" s="734" t="s">
        <v>163</v>
      </c>
      <c r="D104" s="735"/>
      <c r="E104" s="740" t="s">
        <v>609</v>
      </c>
      <c r="F104" s="724">
        <v>700</v>
      </c>
      <c r="G104" s="724">
        <v>200</v>
      </c>
      <c r="H104" s="724"/>
      <c r="I104" s="726">
        <f>SUMIF([3]售后加班情况!C:C,'[3]工资表(超市）-武侯售后'!C104,[3]售后加班情况!G:G)</f>
        <v>70</v>
      </c>
      <c r="J104" s="713">
        <f>SUMIF('[3]8月高温补贴'!B:B,C104,'[3]8月高温补贴'!M:M)</f>
        <v>0</v>
      </c>
      <c r="K104" s="724"/>
      <c r="L104" s="724"/>
      <c r="M104" s="738"/>
      <c r="N104" s="724"/>
      <c r="O104" s="724"/>
      <c r="P104" s="727">
        <f t="shared" si="9"/>
        <v>970</v>
      </c>
      <c r="Q104" s="728">
        <f>SUMIF([3]预发!C:C,C104,[3]预发!D:D)</f>
        <v>0</v>
      </c>
      <c r="R104" s="729"/>
      <c r="S104" s="729">
        <f t="shared" ref="S104:S111" si="15">SUM(Q104:R104)</f>
        <v>0</v>
      </c>
      <c r="T104" s="729">
        <f>SUMIF('[3]社保+公积金03'!C:C,C104,'[3]社保+公积金03'!E:E)</f>
        <v>734.08</v>
      </c>
      <c r="U104" s="729">
        <f>SUMIF('[3]社保+公积金03'!C:C,C104,'[3]社保+公积金03'!I:I)</f>
        <v>346.39</v>
      </c>
      <c r="V104" s="729">
        <f>SUMIF('[3]社保+公积金03'!C:C,C104,'[3]社保+公积金03'!G:G)</f>
        <v>27.53</v>
      </c>
      <c r="W104" s="729">
        <f>SUMIF('[3]社保+公积金03'!C:C,C104,'[3]社保+公积金03'!L:L)</f>
        <v>9.18</v>
      </c>
      <c r="X104" s="729">
        <f>SUMIF('[3]社保+公积金03'!C:C,C104,'[3]社保+公积金03'!K:K)</f>
        <v>34.409999999999997</v>
      </c>
      <c r="Y104" s="729">
        <f>SUMIF('[3]社保+公积金03'!C:C,C104,'[3]社保+公积金03'!N:N)</f>
        <v>0</v>
      </c>
      <c r="Z104" s="729">
        <f>SUMIF('[3]社保+公积金03'!C:C,C104,'[3]社保+公积金03'!P:P)</f>
        <v>117</v>
      </c>
      <c r="AA104" s="729">
        <f t="shared" si="10"/>
        <v>1268.5899999999999</v>
      </c>
      <c r="AB104" s="729">
        <f>SUMIF('[3]社保+公积金03'!C:C,C104,'[3]社保+公积金03'!S:S)</f>
        <v>477.15</v>
      </c>
      <c r="AC104" s="729">
        <f>SUMIF('[3]社保+公积金03'!C:C,C104,'[3]社保+公积金03'!Q:Q)</f>
        <v>117</v>
      </c>
      <c r="AD104" s="729">
        <f>SUMIF([3]服装!B:B,C104,[3]服装!G:G)</f>
        <v>0</v>
      </c>
      <c r="AE104" s="729">
        <v>10</v>
      </c>
      <c r="AF104" s="730">
        <f>SUMIF([3]其他综合扣款!B:B,C104,[3]其他综合扣款!H:H)</f>
        <v>0</v>
      </c>
      <c r="AG104" s="729">
        <f t="shared" si="11"/>
        <v>604.15</v>
      </c>
      <c r="AH104" s="731">
        <f t="shared" si="12"/>
        <v>365.85</v>
      </c>
      <c r="AI104" s="736"/>
      <c r="AJ104" s="733"/>
      <c r="AK104" s="759"/>
      <c r="AL104" s="759"/>
      <c r="AM104" s="759"/>
      <c r="AN104" s="759"/>
      <c r="AO104" s="759"/>
      <c r="AP104" s="759"/>
      <c r="AQ104" s="759"/>
      <c r="AR104" s="759"/>
      <c r="AS104" s="759"/>
      <c r="AT104" s="759"/>
      <c r="AU104" s="759"/>
      <c r="AV104" s="759"/>
      <c r="AW104" s="759"/>
      <c r="AX104" s="759"/>
      <c r="AY104" s="759"/>
      <c r="AZ104" s="759"/>
      <c r="BA104" s="759"/>
    </row>
    <row r="105" spans="1:53" s="692" customFormat="1" ht="20.100000000000001" customHeight="1">
      <c r="A105" s="722">
        <v>98</v>
      </c>
      <c r="B105" s="774" t="s">
        <v>180</v>
      </c>
      <c r="C105" s="740" t="s">
        <v>165</v>
      </c>
      <c r="D105" s="776"/>
      <c r="E105" s="740" t="s">
        <v>609</v>
      </c>
      <c r="F105" s="724">
        <v>700</v>
      </c>
      <c r="G105" s="724">
        <v>200</v>
      </c>
      <c r="H105" s="724"/>
      <c r="I105" s="726">
        <f>SUMIF([3]售后加班情况!C:C,'[3]工资表(超市）-武侯售后'!C105,[3]售后加班情况!G:G)</f>
        <v>70</v>
      </c>
      <c r="J105" s="713">
        <f>SUMIF('[3]8月高温补贴'!B:B,C105,'[3]8月高温补贴'!M:M)</f>
        <v>0</v>
      </c>
      <c r="K105" s="724"/>
      <c r="L105" s="724"/>
      <c r="M105" s="738"/>
      <c r="N105" s="724"/>
      <c r="O105" s="724"/>
      <c r="P105" s="727">
        <f t="shared" si="9"/>
        <v>970</v>
      </c>
      <c r="Q105" s="728">
        <f>SUMIF([3]预发!C:C,C105,[3]预发!D:D)</f>
        <v>0</v>
      </c>
      <c r="R105" s="729"/>
      <c r="S105" s="729">
        <f t="shared" si="15"/>
        <v>0</v>
      </c>
      <c r="T105" s="729">
        <f>SUMIF('[3]社保+公积金03'!C:C,C105,'[3]社保+公积金03'!E:E)</f>
        <v>734.08</v>
      </c>
      <c r="U105" s="729">
        <f>SUMIF('[3]社保+公积金03'!C:C,C105,'[3]社保+公积金03'!I:I)</f>
        <v>346.39</v>
      </c>
      <c r="V105" s="729">
        <f>SUMIF('[3]社保+公积金03'!C:C,C105,'[3]社保+公积金03'!G:G)</f>
        <v>27.53</v>
      </c>
      <c r="W105" s="729">
        <f>SUMIF('[3]社保+公积金03'!C:C,C105,'[3]社保+公积金03'!L:L)</f>
        <v>9.18</v>
      </c>
      <c r="X105" s="729">
        <f>SUMIF('[3]社保+公积金03'!C:C,C105,'[3]社保+公积金03'!K:K)</f>
        <v>34.409999999999997</v>
      </c>
      <c r="Y105" s="729">
        <f>SUMIF('[3]社保+公积金03'!C:C,C105,'[3]社保+公积金03'!N:N)</f>
        <v>0</v>
      </c>
      <c r="Z105" s="729">
        <f>SUMIF('[3]社保+公积金03'!C:C,C105,'[3]社保+公积金03'!P:P)</f>
        <v>117</v>
      </c>
      <c r="AA105" s="729">
        <f t="shared" si="10"/>
        <v>1268.5899999999999</v>
      </c>
      <c r="AB105" s="729">
        <f>SUMIF('[3]社保+公积金03'!C:C,C105,'[3]社保+公积金03'!S:S)</f>
        <v>477.15</v>
      </c>
      <c r="AC105" s="729">
        <f>SUMIF('[3]社保+公积金03'!C:C,C105,'[3]社保+公积金03'!Q:Q)</f>
        <v>117</v>
      </c>
      <c r="AD105" s="729">
        <f>SUMIF([3]服装!B:B,C105,[3]服装!G:G)</f>
        <v>0</v>
      </c>
      <c r="AE105" s="729">
        <v>10</v>
      </c>
      <c r="AF105" s="730">
        <f>SUMIF([3]其他综合扣款!B:B,C105,[3]其他综合扣款!H:H)</f>
        <v>0</v>
      </c>
      <c r="AG105" s="729">
        <f t="shared" si="11"/>
        <v>604.15</v>
      </c>
      <c r="AH105" s="731">
        <f t="shared" si="12"/>
        <v>365.85</v>
      </c>
      <c r="AI105" s="736"/>
      <c r="AJ105" s="733"/>
      <c r="AK105" s="759"/>
      <c r="AL105" s="759"/>
      <c r="AM105" s="759"/>
      <c r="AN105" s="759"/>
      <c r="AO105" s="759"/>
      <c r="AP105" s="759"/>
      <c r="AQ105" s="759"/>
      <c r="AR105" s="759"/>
      <c r="AS105" s="759"/>
      <c r="AT105" s="759"/>
      <c r="AU105" s="759"/>
      <c r="AV105" s="759"/>
      <c r="AW105" s="759"/>
      <c r="AX105" s="759"/>
      <c r="AY105" s="759"/>
      <c r="AZ105" s="759"/>
      <c r="BA105" s="759"/>
    </row>
    <row r="106" spans="1:53" s="692" customFormat="1" ht="20.100000000000001" customHeight="1">
      <c r="A106" s="722">
        <v>99</v>
      </c>
      <c r="B106" s="774" t="s">
        <v>180</v>
      </c>
      <c r="C106" s="740" t="s">
        <v>167</v>
      </c>
      <c r="D106" s="776"/>
      <c r="E106" s="740" t="s">
        <v>614</v>
      </c>
      <c r="F106" s="724">
        <v>700</v>
      </c>
      <c r="G106" s="724">
        <v>200</v>
      </c>
      <c r="H106" s="724"/>
      <c r="I106" s="726">
        <f>SUMIF([3]售后加班情况!C:C,'[3]工资表(超市）-武侯售后'!C106,[3]售后加班情况!G:G)</f>
        <v>70</v>
      </c>
      <c r="J106" s="713">
        <f>SUMIF('[3]8月高温补贴'!B:B,C106,'[3]8月高温补贴'!M:M)</f>
        <v>0</v>
      </c>
      <c r="K106" s="724"/>
      <c r="L106" s="724"/>
      <c r="M106" s="738"/>
      <c r="N106" s="691"/>
      <c r="O106" s="724"/>
      <c r="P106" s="727">
        <f t="shared" si="9"/>
        <v>970</v>
      </c>
      <c r="Q106" s="728">
        <f>SUMIF([3]预发!C:C,C106,[3]预发!D:D)</f>
        <v>0</v>
      </c>
      <c r="R106" s="729"/>
      <c r="S106" s="729">
        <f t="shared" si="15"/>
        <v>0</v>
      </c>
      <c r="T106" s="729">
        <f>SUMIF('[3]社保+公积金03'!C:C,C106,'[3]社保+公积金03'!E:E)</f>
        <v>734.08</v>
      </c>
      <c r="U106" s="729">
        <f>SUMIF('[3]社保+公积金03'!C:C,C106,'[3]社保+公积金03'!I:I)</f>
        <v>346.39</v>
      </c>
      <c r="V106" s="729">
        <f>SUMIF('[3]社保+公积金03'!C:C,C106,'[3]社保+公积金03'!G:G)</f>
        <v>27.53</v>
      </c>
      <c r="W106" s="729">
        <f>SUMIF('[3]社保+公积金03'!C:C,C106,'[3]社保+公积金03'!L:L)</f>
        <v>9.18</v>
      </c>
      <c r="X106" s="729">
        <f>SUMIF('[3]社保+公积金03'!C:C,C106,'[3]社保+公积金03'!K:K)</f>
        <v>34.409999999999997</v>
      </c>
      <c r="Y106" s="729">
        <f>SUMIF('[3]社保+公积金03'!C:C,C106,'[3]社保+公积金03'!N:N)</f>
        <v>0</v>
      </c>
      <c r="Z106" s="729">
        <f>SUMIF('[3]社保+公积金03'!C:C,C106,'[3]社保+公积金03'!P:P)</f>
        <v>117</v>
      </c>
      <c r="AA106" s="729">
        <f t="shared" si="10"/>
        <v>1268.5899999999999</v>
      </c>
      <c r="AB106" s="729">
        <f>SUMIF('[3]社保+公积金03'!C:C,C106,'[3]社保+公积金03'!S:S)</f>
        <v>477.15</v>
      </c>
      <c r="AC106" s="729">
        <f>SUMIF('[3]社保+公积金03'!C:C,C106,'[3]社保+公积金03'!Q:Q)</f>
        <v>117</v>
      </c>
      <c r="AD106" s="729">
        <f>SUMIF([3]服装!B:B,C106,[3]服装!G:G)</f>
        <v>0</v>
      </c>
      <c r="AE106" s="729">
        <v>10</v>
      </c>
      <c r="AF106" s="730">
        <f>SUMIF([3]其他综合扣款!B:B,C106,[3]其他综合扣款!H:H)</f>
        <v>0</v>
      </c>
      <c r="AG106" s="729">
        <f t="shared" si="11"/>
        <v>604.15</v>
      </c>
      <c r="AH106" s="731">
        <f t="shared" si="12"/>
        <v>365.85</v>
      </c>
      <c r="AI106" s="736"/>
      <c r="AJ106" s="733"/>
      <c r="AK106" s="759"/>
      <c r="AL106" s="759"/>
      <c r="AM106" s="759"/>
      <c r="AN106" s="759"/>
      <c r="AO106" s="759"/>
      <c r="AP106" s="759"/>
      <c r="AQ106" s="759"/>
      <c r="AR106" s="759"/>
      <c r="AS106" s="759"/>
      <c r="AT106" s="759"/>
      <c r="AU106" s="759"/>
      <c r="AV106" s="759"/>
      <c r="AW106" s="759"/>
      <c r="AX106" s="759"/>
      <c r="AY106" s="759"/>
      <c r="AZ106" s="759"/>
      <c r="BA106" s="759"/>
    </row>
    <row r="107" spans="1:53" s="692" customFormat="1" ht="20.100000000000001" customHeight="1">
      <c r="A107" s="722">
        <v>100</v>
      </c>
      <c r="B107" s="774" t="s">
        <v>180</v>
      </c>
      <c r="C107" s="740" t="s">
        <v>168</v>
      </c>
      <c r="D107" s="776"/>
      <c r="E107" s="740" t="s">
        <v>609</v>
      </c>
      <c r="F107" s="724">
        <v>700</v>
      </c>
      <c r="G107" s="724">
        <v>200</v>
      </c>
      <c r="H107" s="724"/>
      <c r="I107" s="726">
        <f>SUMIF([3]售后加班情况!C:C,'[3]工资表(超市）-武侯售后'!C107,[3]售后加班情况!G:G)</f>
        <v>60</v>
      </c>
      <c r="J107" s="713">
        <f>SUMIF('[3]8月高温补贴'!B:B,C107,'[3]8月高温补贴'!M:M)</f>
        <v>0</v>
      </c>
      <c r="K107" s="724"/>
      <c r="L107" s="724"/>
      <c r="M107" s="738"/>
      <c r="N107" s="724"/>
      <c r="O107" s="724"/>
      <c r="P107" s="727">
        <f t="shared" si="9"/>
        <v>960</v>
      </c>
      <c r="Q107" s="728">
        <f>SUMIF([3]预发!C:C,C107,[3]预发!D:D)</f>
        <v>0</v>
      </c>
      <c r="R107" s="729"/>
      <c r="S107" s="729">
        <f t="shared" si="15"/>
        <v>0</v>
      </c>
      <c r="T107" s="729">
        <f>SUMIF('[3]社保+公积金03'!C:C,C107,'[3]社保+公积金03'!E:E)</f>
        <v>734.08</v>
      </c>
      <c r="U107" s="729">
        <f>SUMIF('[3]社保+公积金03'!C:C,C107,'[3]社保+公积金03'!I:I)</f>
        <v>346.39</v>
      </c>
      <c r="V107" s="729">
        <f>SUMIF('[3]社保+公积金03'!C:C,C107,'[3]社保+公积金03'!G:G)</f>
        <v>27.53</v>
      </c>
      <c r="W107" s="729">
        <f>SUMIF('[3]社保+公积金03'!C:C,C107,'[3]社保+公积金03'!L:L)</f>
        <v>9.18</v>
      </c>
      <c r="X107" s="729">
        <f>SUMIF('[3]社保+公积金03'!C:C,C107,'[3]社保+公积金03'!K:K)</f>
        <v>34.409999999999997</v>
      </c>
      <c r="Y107" s="729">
        <f>SUMIF('[3]社保+公积金03'!C:C,C107,'[3]社保+公积金03'!N:N)</f>
        <v>0</v>
      </c>
      <c r="Z107" s="729">
        <f>SUMIF('[3]社保+公积金03'!C:C,C107,'[3]社保+公积金03'!P:P)</f>
        <v>117</v>
      </c>
      <c r="AA107" s="729">
        <f t="shared" si="10"/>
        <v>1268.5899999999999</v>
      </c>
      <c r="AB107" s="729">
        <f>SUMIF('[3]社保+公积金03'!C:C,C107,'[3]社保+公积金03'!S:S)</f>
        <v>477.15</v>
      </c>
      <c r="AC107" s="729">
        <f>SUMIF('[3]社保+公积金03'!C:C,C107,'[3]社保+公积金03'!Q:Q)</f>
        <v>117</v>
      </c>
      <c r="AD107" s="729">
        <f>SUMIF([3]服装!B:B,C107,[3]服装!G:G)</f>
        <v>0</v>
      </c>
      <c r="AE107" s="729">
        <v>10</v>
      </c>
      <c r="AF107" s="730">
        <f>SUMIF([3]其他综合扣款!B:B,C107,[3]其他综合扣款!H:H)</f>
        <v>0</v>
      </c>
      <c r="AG107" s="729">
        <f t="shared" si="11"/>
        <v>604.15</v>
      </c>
      <c r="AH107" s="731">
        <f t="shared" si="12"/>
        <v>355.85</v>
      </c>
      <c r="AI107" s="736"/>
      <c r="AJ107" s="733"/>
      <c r="AK107" s="759"/>
      <c r="AL107" s="759"/>
      <c r="AM107" s="759"/>
      <c r="AN107" s="759"/>
      <c r="AO107" s="759"/>
      <c r="AP107" s="759"/>
      <c r="AQ107" s="759"/>
      <c r="AR107" s="759"/>
      <c r="AS107" s="759"/>
      <c r="AT107" s="759"/>
      <c r="AU107" s="759"/>
      <c r="AV107" s="759"/>
      <c r="AW107" s="759"/>
      <c r="AX107" s="759"/>
      <c r="AY107" s="759"/>
      <c r="AZ107" s="759"/>
      <c r="BA107" s="759"/>
    </row>
    <row r="108" spans="1:53" s="692" customFormat="1" ht="20.100000000000001" customHeight="1">
      <c r="A108" s="722">
        <v>101</v>
      </c>
      <c r="B108" s="774" t="s">
        <v>180</v>
      </c>
      <c r="C108" s="740" t="s">
        <v>170</v>
      </c>
      <c r="D108" s="776"/>
      <c r="E108" s="740" t="s">
        <v>609</v>
      </c>
      <c r="F108" s="724">
        <v>700</v>
      </c>
      <c r="G108" s="724">
        <v>200</v>
      </c>
      <c r="H108" s="724"/>
      <c r="I108" s="726">
        <f>SUMIF([3]售后加班情况!C:C,'[3]工资表(超市）-武侯售后'!C108,[3]售后加班情况!G:G)</f>
        <v>70</v>
      </c>
      <c r="J108" s="713">
        <f>SUMIF('[3]8月高温补贴'!B:B,C108,'[3]8月高温补贴'!M:M)</f>
        <v>0</v>
      </c>
      <c r="K108" s="724"/>
      <c r="L108" s="724"/>
      <c r="M108" s="738"/>
      <c r="N108" s="724"/>
      <c r="O108" s="724"/>
      <c r="P108" s="727">
        <f t="shared" si="9"/>
        <v>970</v>
      </c>
      <c r="Q108" s="728">
        <f>SUMIF([3]预发!C:C,C108,[3]预发!D:D)</f>
        <v>0</v>
      </c>
      <c r="R108" s="729"/>
      <c r="S108" s="729">
        <f t="shared" si="15"/>
        <v>0</v>
      </c>
      <c r="T108" s="729">
        <f>SUMIF('[3]社保+公积金03'!C:C,C108,'[3]社保+公积金03'!E:E)</f>
        <v>734.08</v>
      </c>
      <c r="U108" s="729">
        <f>SUMIF('[3]社保+公积金03'!C:C,C108,'[3]社保+公积金03'!I:I)</f>
        <v>346.39</v>
      </c>
      <c r="V108" s="729">
        <f>SUMIF('[3]社保+公积金03'!C:C,C108,'[3]社保+公积金03'!G:G)</f>
        <v>27.53</v>
      </c>
      <c r="W108" s="729">
        <f>SUMIF('[3]社保+公积金03'!C:C,C108,'[3]社保+公积金03'!L:L)</f>
        <v>9.18</v>
      </c>
      <c r="X108" s="729">
        <f>SUMIF('[3]社保+公积金03'!C:C,C108,'[3]社保+公积金03'!K:K)</f>
        <v>34.409999999999997</v>
      </c>
      <c r="Y108" s="729">
        <f>SUMIF('[3]社保+公积金03'!C:C,C108,'[3]社保+公积金03'!N:N)</f>
        <v>0</v>
      </c>
      <c r="Z108" s="729">
        <f>SUMIF('[3]社保+公积金03'!C:C,C108,'[3]社保+公积金03'!P:P)</f>
        <v>117</v>
      </c>
      <c r="AA108" s="729">
        <f t="shared" si="10"/>
        <v>1268.5899999999999</v>
      </c>
      <c r="AB108" s="729">
        <f>SUMIF('[3]社保+公积金03'!C:C,C108,'[3]社保+公积金03'!S:S)</f>
        <v>477.15</v>
      </c>
      <c r="AC108" s="729">
        <f>SUMIF('[3]社保+公积金03'!C:C,C108,'[3]社保+公积金03'!Q:Q)</f>
        <v>117</v>
      </c>
      <c r="AD108" s="729">
        <f>SUMIF([3]服装!B:B,C108,[3]服装!G:G)</f>
        <v>0</v>
      </c>
      <c r="AE108" s="729">
        <v>10</v>
      </c>
      <c r="AF108" s="730">
        <f>SUMIF([3]其他综合扣款!B:B,C108,[3]其他综合扣款!H:H)</f>
        <v>0</v>
      </c>
      <c r="AG108" s="729">
        <f t="shared" si="11"/>
        <v>604.15</v>
      </c>
      <c r="AH108" s="731">
        <f t="shared" si="12"/>
        <v>365.85</v>
      </c>
      <c r="AI108" s="736"/>
      <c r="AJ108" s="733"/>
      <c r="AK108" s="759"/>
      <c r="AL108" s="759"/>
      <c r="AM108" s="759"/>
      <c r="AN108" s="759"/>
      <c r="AO108" s="759"/>
      <c r="AP108" s="759"/>
      <c r="AQ108" s="759"/>
      <c r="AR108" s="759"/>
      <c r="AS108" s="759"/>
      <c r="AT108" s="759"/>
      <c r="AU108" s="759"/>
      <c r="AV108" s="759"/>
      <c r="AW108" s="759"/>
      <c r="AX108" s="759"/>
      <c r="AY108" s="759"/>
      <c r="AZ108" s="759"/>
      <c r="BA108" s="759"/>
    </row>
    <row r="109" spans="1:53" s="692" customFormat="1" ht="20.100000000000001" customHeight="1">
      <c r="A109" s="722">
        <v>102</v>
      </c>
      <c r="B109" s="774" t="s">
        <v>180</v>
      </c>
      <c r="C109" s="740" t="s">
        <v>171</v>
      </c>
      <c r="D109" s="776"/>
      <c r="E109" s="740" t="s">
        <v>609</v>
      </c>
      <c r="F109" s="724">
        <v>700</v>
      </c>
      <c r="G109" s="724">
        <v>200</v>
      </c>
      <c r="H109" s="724"/>
      <c r="I109" s="726">
        <f>SUMIF([3]售后加班情况!C:C,'[3]工资表(超市）-武侯售后'!C109,[3]售后加班情况!G:G)</f>
        <v>50</v>
      </c>
      <c r="J109" s="713">
        <f>SUMIF('[3]8月高温补贴'!B:B,C109,'[3]8月高温补贴'!M:M)</f>
        <v>0</v>
      </c>
      <c r="K109" s="724"/>
      <c r="L109" s="724"/>
      <c r="M109" s="738"/>
      <c r="N109" s="724"/>
      <c r="O109" s="724"/>
      <c r="P109" s="727">
        <f t="shared" si="9"/>
        <v>950</v>
      </c>
      <c r="Q109" s="728">
        <f>SUMIF([3]预发!C:C,C109,[3]预发!D:D)</f>
        <v>0</v>
      </c>
      <c r="R109" s="729"/>
      <c r="S109" s="729">
        <f t="shared" si="15"/>
        <v>0</v>
      </c>
      <c r="T109" s="729">
        <f>SUMIF('[3]社保+公积金03'!C:C,C109,'[3]社保+公积金03'!E:E)</f>
        <v>734.08</v>
      </c>
      <c r="U109" s="729">
        <f>SUMIF('[3]社保+公积金03'!C:C,C109,'[3]社保+公积金03'!I:I)</f>
        <v>346.39</v>
      </c>
      <c r="V109" s="729">
        <f>SUMIF('[3]社保+公积金03'!C:C,C109,'[3]社保+公积金03'!G:G)</f>
        <v>27.53</v>
      </c>
      <c r="W109" s="729">
        <f>SUMIF('[3]社保+公积金03'!C:C,C109,'[3]社保+公积金03'!L:L)</f>
        <v>9.18</v>
      </c>
      <c r="X109" s="729">
        <f>SUMIF('[3]社保+公积金03'!C:C,C109,'[3]社保+公积金03'!K:K)</f>
        <v>34.409999999999997</v>
      </c>
      <c r="Y109" s="729">
        <f>SUMIF('[3]社保+公积金03'!C:C,C109,'[3]社保+公积金03'!N:N)</f>
        <v>0</v>
      </c>
      <c r="Z109" s="729">
        <f>SUMIF('[3]社保+公积金03'!C:C,C109,'[3]社保+公积金03'!P:P)</f>
        <v>117</v>
      </c>
      <c r="AA109" s="729">
        <f t="shared" si="10"/>
        <v>1268.5899999999999</v>
      </c>
      <c r="AB109" s="729">
        <f>SUMIF('[3]社保+公积金03'!C:C,C109,'[3]社保+公积金03'!S:S)</f>
        <v>477.15</v>
      </c>
      <c r="AC109" s="729">
        <f>SUMIF('[3]社保+公积金03'!C:C,C109,'[3]社保+公积金03'!Q:Q)</f>
        <v>117</v>
      </c>
      <c r="AD109" s="729">
        <f>SUMIF([3]服装!B:B,C109,[3]服装!G:G)</f>
        <v>0</v>
      </c>
      <c r="AE109" s="729">
        <v>10</v>
      </c>
      <c r="AF109" s="730">
        <f>SUMIF([3]其他综合扣款!B:B,C109,[3]其他综合扣款!H:H)</f>
        <v>0</v>
      </c>
      <c r="AG109" s="729">
        <f t="shared" si="11"/>
        <v>604.15</v>
      </c>
      <c r="AH109" s="731">
        <f t="shared" si="12"/>
        <v>345.85</v>
      </c>
      <c r="AI109" s="736"/>
      <c r="AJ109" s="733"/>
      <c r="AK109" s="759"/>
      <c r="AL109" s="759"/>
      <c r="AM109" s="759"/>
      <c r="AN109" s="759"/>
      <c r="AO109" s="759"/>
      <c r="AP109" s="759"/>
      <c r="AQ109" s="759"/>
      <c r="AR109" s="759"/>
      <c r="AS109" s="759"/>
      <c r="AT109" s="759"/>
      <c r="AU109" s="759"/>
      <c r="AV109" s="759"/>
      <c r="AW109" s="759"/>
      <c r="AX109" s="759"/>
      <c r="AY109" s="759"/>
      <c r="AZ109" s="759"/>
      <c r="BA109" s="759"/>
    </row>
    <row r="110" spans="1:53" s="692" customFormat="1" ht="20.100000000000001" customHeight="1">
      <c r="A110" s="722">
        <v>103</v>
      </c>
      <c r="B110" s="774" t="s">
        <v>180</v>
      </c>
      <c r="C110" s="740" t="s">
        <v>173</v>
      </c>
      <c r="D110" s="776"/>
      <c r="E110" s="740" t="s">
        <v>609</v>
      </c>
      <c r="F110" s="724">
        <v>700</v>
      </c>
      <c r="G110" s="724">
        <v>200</v>
      </c>
      <c r="H110" s="724"/>
      <c r="I110" s="726">
        <f>SUMIF([3]售后加班情况!C:C,'[3]工资表(超市）-武侯售后'!C110,[3]售后加班情况!G:G)</f>
        <v>70</v>
      </c>
      <c r="J110" s="713">
        <f>SUMIF('[3]8月高温补贴'!B:B,C110,'[3]8月高温补贴'!M:M)</f>
        <v>0</v>
      </c>
      <c r="K110" s="724"/>
      <c r="L110" s="724"/>
      <c r="M110" s="738"/>
      <c r="N110" s="724"/>
      <c r="O110" s="724"/>
      <c r="P110" s="727">
        <f t="shared" si="9"/>
        <v>970</v>
      </c>
      <c r="Q110" s="728">
        <f>SUMIF([3]预发!C:C,C110,[3]预发!D:D)</f>
        <v>0</v>
      </c>
      <c r="R110" s="729"/>
      <c r="S110" s="729">
        <f t="shared" si="15"/>
        <v>0</v>
      </c>
      <c r="T110" s="729">
        <f>SUMIF('[3]社保+公积金03'!C:C,C110,'[3]社保+公积金03'!E:E)</f>
        <v>734.08</v>
      </c>
      <c r="U110" s="729">
        <f>SUMIF('[3]社保+公积金03'!C:C,C110,'[3]社保+公积金03'!I:I)</f>
        <v>346.39</v>
      </c>
      <c r="V110" s="729">
        <f>SUMIF('[3]社保+公积金03'!C:C,C110,'[3]社保+公积金03'!G:G)</f>
        <v>27.53</v>
      </c>
      <c r="W110" s="729">
        <f>SUMIF('[3]社保+公积金03'!C:C,C110,'[3]社保+公积金03'!L:L)</f>
        <v>9.18</v>
      </c>
      <c r="X110" s="729">
        <f>SUMIF('[3]社保+公积金03'!C:C,C110,'[3]社保+公积金03'!K:K)</f>
        <v>34.409999999999997</v>
      </c>
      <c r="Y110" s="729">
        <f>SUMIF('[3]社保+公积金03'!C:C,C110,'[3]社保+公积金03'!N:N)</f>
        <v>0</v>
      </c>
      <c r="Z110" s="729">
        <f>SUMIF('[3]社保+公积金03'!C:C,C110,'[3]社保+公积金03'!P:P)</f>
        <v>117</v>
      </c>
      <c r="AA110" s="729">
        <f t="shared" si="10"/>
        <v>1268.5899999999999</v>
      </c>
      <c r="AB110" s="729">
        <f>SUMIF('[3]社保+公积金03'!C:C,C110,'[3]社保+公积金03'!S:S)</f>
        <v>477.15</v>
      </c>
      <c r="AC110" s="729">
        <f>SUMIF('[3]社保+公积金03'!C:C,C110,'[3]社保+公积金03'!Q:Q)</f>
        <v>117</v>
      </c>
      <c r="AD110" s="729">
        <f>SUMIF([3]服装!B:B,C110,[3]服装!G:G)</f>
        <v>0</v>
      </c>
      <c r="AE110" s="729">
        <v>10</v>
      </c>
      <c r="AF110" s="730">
        <f>SUMIF([3]其他综合扣款!B:B,C110,[3]其他综合扣款!H:H)</f>
        <v>0</v>
      </c>
      <c r="AG110" s="729">
        <f t="shared" si="11"/>
        <v>604.15</v>
      </c>
      <c r="AH110" s="731">
        <f t="shared" si="12"/>
        <v>365.85</v>
      </c>
      <c r="AI110" s="736"/>
      <c r="AJ110" s="733"/>
      <c r="AK110" s="759"/>
      <c r="AL110" s="759"/>
      <c r="AM110" s="759"/>
      <c r="AN110" s="759"/>
      <c r="AO110" s="759"/>
      <c r="AP110" s="759"/>
      <c r="AQ110" s="759"/>
      <c r="AR110" s="759"/>
      <c r="AS110" s="759"/>
      <c r="AT110" s="759"/>
      <c r="AU110" s="759"/>
      <c r="AV110" s="759"/>
      <c r="AW110" s="759"/>
      <c r="AX110" s="759"/>
      <c r="AY110" s="759"/>
      <c r="AZ110" s="759"/>
      <c r="BA110" s="759"/>
    </row>
    <row r="111" spans="1:53" s="692" customFormat="1" ht="20.100000000000001" customHeight="1">
      <c r="A111" s="722">
        <v>104</v>
      </c>
      <c r="B111" s="774" t="s">
        <v>180</v>
      </c>
      <c r="C111" s="740" t="s">
        <v>175</v>
      </c>
      <c r="D111" s="776"/>
      <c r="E111" s="740" t="s">
        <v>609</v>
      </c>
      <c r="F111" s="724">
        <v>700</v>
      </c>
      <c r="G111" s="724">
        <v>200</v>
      </c>
      <c r="H111" s="724"/>
      <c r="I111" s="726">
        <f>SUMIF([3]售后加班情况!C:C,'[3]工资表(超市）-武侯售后'!C111,[3]售后加班情况!G:G)</f>
        <v>70</v>
      </c>
      <c r="J111" s="713">
        <f>SUMIF('[3]8月高温补贴'!B:B,C111,'[3]8月高温补贴'!M:M)</f>
        <v>0</v>
      </c>
      <c r="K111" s="724"/>
      <c r="L111" s="724"/>
      <c r="M111" s="738"/>
      <c r="N111" s="724"/>
      <c r="O111" s="724"/>
      <c r="P111" s="727">
        <f t="shared" si="9"/>
        <v>970</v>
      </c>
      <c r="Q111" s="728">
        <f>SUMIF([3]预发!C:C,C111,[3]预发!D:D)</f>
        <v>0</v>
      </c>
      <c r="R111" s="729"/>
      <c r="S111" s="729">
        <f t="shared" si="15"/>
        <v>0</v>
      </c>
      <c r="T111" s="729">
        <f>SUMIF('[3]社保+公积金03'!C:C,C111,'[3]社保+公积金03'!E:E)</f>
        <v>734.08</v>
      </c>
      <c r="U111" s="729">
        <f>SUMIF('[3]社保+公积金03'!C:C,C111,'[3]社保+公积金03'!I:I)</f>
        <v>346.39</v>
      </c>
      <c r="V111" s="729">
        <f>SUMIF('[3]社保+公积金03'!C:C,C111,'[3]社保+公积金03'!G:G)</f>
        <v>27.53</v>
      </c>
      <c r="W111" s="729">
        <f>SUMIF('[3]社保+公积金03'!C:C,C111,'[3]社保+公积金03'!L:L)</f>
        <v>9.18</v>
      </c>
      <c r="X111" s="729">
        <f>SUMIF('[3]社保+公积金03'!C:C,C111,'[3]社保+公积金03'!K:K)</f>
        <v>34.409999999999997</v>
      </c>
      <c r="Y111" s="729">
        <f>SUMIF('[3]社保+公积金03'!C:C,C111,'[3]社保+公积金03'!N:N)</f>
        <v>0</v>
      </c>
      <c r="Z111" s="729">
        <f>SUMIF('[3]社保+公积金03'!C:C,C111,'[3]社保+公积金03'!P:P)</f>
        <v>117</v>
      </c>
      <c r="AA111" s="729">
        <f t="shared" si="10"/>
        <v>1268.5899999999999</v>
      </c>
      <c r="AB111" s="729">
        <f>SUMIF('[3]社保+公积金03'!C:C,C111,'[3]社保+公积金03'!S:S)</f>
        <v>477.15</v>
      </c>
      <c r="AC111" s="729">
        <f>SUMIF('[3]社保+公积金03'!C:C,C111,'[3]社保+公积金03'!Q:Q)</f>
        <v>117</v>
      </c>
      <c r="AD111" s="729">
        <f>SUMIF([3]服装!B:B,C111,[3]服装!G:G)</f>
        <v>0</v>
      </c>
      <c r="AE111" s="729">
        <v>10</v>
      </c>
      <c r="AF111" s="730">
        <f>SUMIF([3]其他综合扣款!B:B,C111,[3]其他综合扣款!H:H)</f>
        <v>0</v>
      </c>
      <c r="AG111" s="729">
        <f t="shared" si="11"/>
        <v>604.15</v>
      </c>
      <c r="AH111" s="731">
        <f t="shared" si="12"/>
        <v>365.85</v>
      </c>
      <c r="AI111" s="736"/>
      <c r="AJ111" s="733"/>
      <c r="AK111" s="759"/>
      <c r="AL111" s="759"/>
      <c r="AM111" s="759"/>
      <c r="AN111" s="759"/>
      <c r="AO111" s="759"/>
      <c r="AP111" s="759"/>
      <c r="AQ111" s="759"/>
      <c r="AR111" s="759"/>
      <c r="AS111" s="759"/>
      <c r="AT111" s="759"/>
      <c r="AU111" s="759"/>
      <c r="AV111" s="759"/>
      <c r="AW111" s="759"/>
      <c r="AX111" s="759"/>
      <c r="AY111" s="759"/>
      <c r="AZ111" s="759"/>
      <c r="BA111" s="759"/>
    </row>
    <row r="112" spans="1:53" s="688" customFormat="1" ht="18" customHeight="1">
      <c r="A112" s="722"/>
      <c r="B112" s="780"/>
      <c r="C112" s="781"/>
      <c r="D112" s="782"/>
      <c r="E112" s="783"/>
      <c r="F112" s="784">
        <f t="shared" ref="F112:AJ112" si="16">SUM(F64:F111)</f>
        <v>37150</v>
      </c>
      <c r="G112" s="784">
        <f t="shared" si="16"/>
        <v>10550</v>
      </c>
      <c r="H112" s="784">
        <f t="shared" si="16"/>
        <v>500</v>
      </c>
      <c r="I112" s="784">
        <f t="shared" si="16"/>
        <v>2120</v>
      </c>
      <c r="J112" s="784">
        <f t="shared" si="16"/>
        <v>0</v>
      </c>
      <c r="K112" s="784">
        <f t="shared" si="16"/>
        <v>0</v>
      </c>
      <c r="L112" s="784">
        <f t="shared" si="16"/>
        <v>200</v>
      </c>
      <c r="M112" s="784">
        <f t="shared" si="16"/>
        <v>0</v>
      </c>
      <c r="N112" s="784">
        <f t="shared" si="16"/>
        <v>425</v>
      </c>
      <c r="O112" s="784">
        <f t="shared" si="16"/>
        <v>0</v>
      </c>
      <c r="P112" s="784">
        <f t="shared" si="16"/>
        <v>50095</v>
      </c>
      <c r="Q112" s="784">
        <f t="shared" si="16"/>
        <v>0</v>
      </c>
      <c r="R112" s="784">
        <f t="shared" si="16"/>
        <v>0</v>
      </c>
      <c r="S112" s="784">
        <f t="shared" si="16"/>
        <v>0</v>
      </c>
      <c r="T112" s="784">
        <f t="shared" si="16"/>
        <v>33767.68</v>
      </c>
      <c r="U112" s="784">
        <f t="shared" si="16"/>
        <v>15933.94</v>
      </c>
      <c r="V112" s="784">
        <f t="shared" si="16"/>
        <v>1266.3800000000001</v>
      </c>
      <c r="W112" s="784">
        <f t="shared" si="16"/>
        <v>422.28</v>
      </c>
      <c r="X112" s="784">
        <f t="shared" si="16"/>
        <v>1582.86</v>
      </c>
      <c r="Y112" s="784">
        <f t="shared" si="16"/>
        <v>0</v>
      </c>
      <c r="Z112" s="784">
        <f t="shared" si="16"/>
        <v>5499</v>
      </c>
      <c r="AA112" s="784">
        <f t="shared" si="16"/>
        <v>58472.139999999898</v>
      </c>
      <c r="AB112" s="784">
        <f t="shared" si="16"/>
        <v>21948.9</v>
      </c>
      <c r="AC112" s="784">
        <f t="shared" si="16"/>
        <v>5499</v>
      </c>
      <c r="AD112" s="784">
        <f t="shared" si="16"/>
        <v>0</v>
      </c>
      <c r="AE112" s="784">
        <f t="shared" si="16"/>
        <v>540</v>
      </c>
      <c r="AF112" s="784">
        <f t="shared" si="16"/>
        <v>0</v>
      </c>
      <c r="AG112" s="784">
        <f t="shared" si="16"/>
        <v>27987.9</v>
      </c>
      <c r="AH112" s="784">
        <f t="shared" si="16"/>
        <v>22107.1</v>
      </c>
      <c r="AI112" s="784">
        <f t="shared" si="16"/>
        <v>0</v>
      </c>
      <c r="AJ112" s="784">
        <f t="shared" si="16"/>
        <v>0</v>
      </c>
      <c r="AK112" s="709"/>
      <c r="AL112" s="709"/>
      <c r="AM112" s="709"/>
      <c r="AN112" s="709"/>
      <c r="AO112" s="709"/>
      <c r="AP112" s="709"/>
      <c r="AQ112" s="709"/>
      <c r="AR112" s="709"/>
      <c r="AS112" s="709"/>
      <c r="AT112" s="709"/>
      <c r="AU112" s="709"/>
      <c r="AV112" s="709"/>
      <c r="AW112" s="709"/>
      <c r="AX112" s="709"/>
      <c r="AY112" s="709"/>
      <c r="AZ112" s="709"/>
      <c r="BA112" s="709"/>
    </row>
    <row r="113" spans="1:54" s="694" customFormat="1" ht="18" customHeight="1">
      <c r="A113" s="791"/>
      <c r="B113" s="792" t="s">
        <v>311</v>
      </c>
      <c r="C113" s="792"/>
      <c r="D113" s="793"/>
      <c r="E113" s="794"/>
      <c r="F113" s="795">
        <f t="shared" ref="F113:AI113" si="17">F112+F63</f>
        <v>90250</v>
      </c>
      <c r="G113" s="795">
        <f t="shared" si="17"/>
        <v>25350</v>
      </c>
      <c r="H113" s="795">
        <f t="shared" si="17"/>
        <v>6500</v>
      </c>
      <c r="I113" s="795">
        <f t="shared" si="17"/>
        <v>2568</v>
      </c>
      <c r="J113" s="795">
        <f t="shared" si="17"/>
        <v>0</v>
      </c>
      <c r="K113" s="795">
        <f t="shared" si="17"/>
        <v>1560</v>
      </c>
      <c r="L113" s="795">
        <f t="shared" si="17"/>
        <v>2400</v>
      </c>
      <c r="M113" s="795">
        <f t="shared" si="17"/>
        <v>2200</v>
      </c>
      <c r="N113" s="795">
        <f t="shared" si="17"/>
        <v>565</v>
      </c>
      <c r="O113" s="795">
        <f t="shared" si="17"/>
        <v>0</v>
      </c>
      <c r="P113" s="795">
        <f t="shared" si="17"/>
        <v>130263</v>
      </c>
      <c r="Q113" s="795">
        <f t="shared" si="17"/>
        <v>0</v>
      </c>
      <c r="R113" s="795">
        <f t="shared" si="17"/>
        <v>0</v>
      </c>
      <c r="S113" s="795">
        <f t="shared" si="17"/>
        <v>0</v>
      </c>
      <c r="T113" s="795">
        <f t="shared" si="17"/>
        <v>71789.440000000104</v>
      </c>
      <c r="U113" s="795">
        <f t="shared" si="17"/>
        <v>33875.269999999997</v>
      </c>
      <c r="V113" s="795">
        <f t="shared" si="17"/>
        <v>2692.29</v>
      </c>
      <c r="W113" s="795">
        <f t="shared" si="17"/>
        <v>906.92000000000098</v>
      </c>
      <c r="X113" s="795">
        <f t="shared" si="17"/>
        <v>3365.13</v>
      </c>
      <c r="Y113" s="795">
        <f t="shared" si="17"/>
        <v>0</v>
      </c>
      <c r="Z113" s="795">
        <f t="shared" si="17"/>
        <v>11466</v>
      </c>
      <c r="AA113" s="795">
        <f t="shared" si="17"/>
        <v>124095.05</v>
      </c>
      <c r="AB113" s="795">
        <f t="shared" si="17"/>
        <v>46662.95</v>
      </c>
      <c r="AC113" s="795">
        <f t="shared" si="17"/>
        <v>11466</v>
      </c>
      <c r="AD113" s="795">
        <f t="shared" si="17"/>
        <v>2419</v>
      </c>
      <c r="AE113" s="795">
        <f t="shared" si="17"/>
        <v>1240</v>
      </c>
      <c r="AF113" s="795">
        <f t="shared" si="17"/>
        <v>0</v>
      </c>
      <c r="AG113" s="795">
        <f t="shared" si="17"/>
        <v>61787.950000000099</v>
      </c>
      <c r="AH113" s="795">
        <f t="shared" si="17"/>
        <v>68475.049999999901</v>
      </c>
      <c r="AI113" s="795">
        <f t="shared" si="17"/>
        <v>0</v>
      </c>
      <c r="AJ113" s="733"/>
      <c r="AK113" s="796"/>
      <c r="AL113" s="796"/>
      <c r="AM113" s="796"/>
      <c r="AN113" s="796"/>
      <c r="AO113" s="796"/>
      <c r="AP113" s="796"/>
      <c r="AQ113" s="796"/>
    </row>
    <row r="114" spans="1:54" s="695" customFormat="1" ht="18" customHeight="1">
      <c r="A114" s="797"/>
      <c r="B114" s="798" t="s">
        <v>617</v>
      </c>
      <c r="C114" s="799"/>
      <c r="D114" s="800"/>
      <c r="E114" s="799"/>
      <c r="F114" s="799" t="s">
        <v>618</v>
      </c>
      <c r="G114" s="799"/>
      <c r="H114" s="799"/>
      <c r="I114" s="799"/>
      <c r="J114" s="799"/>
      <c r="K114" s="799"/>
      <c r="L114" s="800" t="s">
        <v>619</v>
      </c>
      <c r="M114" s="799"/>
      <c r="N114" s="799"/>
      <c r="O114" s="799"/>
      <c r="P114" s="800"/>
      <c r="Q114" s="800"/>
      <c r="R114" s="800"/>
      <c r="S114" s="800"/>
      <c r="T114" s="800" t="s">
        <v>620</v>
      </c>
      <c r="U114" s="801"/>
      <c r="V114" s="800"/>
      <c r="W114" s="800"/>
      <c r="X114" s="800"/>
      <c r="Y114" s="800"/>
      <c r="Z114" s="800"/>
      <c r="AA114" s="801" t="s">
        <v>621</v>
      </c>
      <c r="AB114" s="800"/>
      <c r="AC114" s="800"/>
      <c r="AD114" s="800"/>
      <c r="AE114" s="800"/>
      <c r="AF114" s="800"/>
      <c r="AG114" s="802"/>
      <c r="AH114" s="802" t="s">
        <v>193</v>
      </c>
      <c r="AI114" s="802"/>
      <c r="AJ114" s="733"/>
      <c r="AK114" s="803"/>
      <c r="AL114" s="803"/>
      <c r="AM114" s="803"/>
      <c r="AN114" s="803"/>
      <c r="AO114" s="803"/>
      <c r="AP114" s="803"/>
      <c r="AQ114" s="803"/>
    </row>
    <row r="115" spans="1:54" s="696" customFormat="1" ht="10.199999999999999">
      <c r="A115" s="797"/>
      <c r="B115" s="798"/>
      <c r="C115" s="799"/>
      <c r="D115" s="800"/>
      <c r="E115" s="799"/>
      <c r="F115" s="799"/>
      <c r="G115" s="799"/>
      <c r="H115" s="799"/>
      <c r="I115" s="799"/>
      <c r="J115" s="799"/>
      <c r="K115" s="799"/>
      <c r="L115" s="799"/>
      <c r="M115" s="799"/>
      <c r="N115" s="799"/>
      <c r="O115" s="799"/>
      <c r="P115" s="799"/>
      <c r="Q115" s="804"/>
      <c r="R115" s="804"/>
      <c r="S115" s="804"/>
      <c r="T115" s="804"/>
      <c r="U115" s="804"/>
      <c r="V115" s="804"/>
      <c r="W115" s="804"/>
      <c r="X115" s="804"/>
      <c r="Y115" s="804"/>
      <c r="Z115" s="804"/>
      <c r="AA115" s="804"/>
      <c r="AB115" s="804"/>
      <c r="AC115" s="804"/>
      <c r="AD115" s="804"/>
      <c r="AE115" s="804"/>
      <c r="AF115" s="804"/>
      <c r="AG115" s="804"/>
      <c r="AH115" s="804"/>
      <c r="AI115" s="804"/>
      <c r="AJ115" s="805"/>
      <c r="AK115" s="805"/>
      <c r="AL115" s="805"/>
      <c r="AM115" s="805"/>
      <c r="AN115" s="805"/>
      <c r="AO115" s="805"/>
      <c r="AP115" s="805"/>
      <c r="AQ115" s="805"/>
    </row>
    <row r="116" spans="1:54" s="696" customFormat="1" ht="10.199999999999999">
      <c r="A116" s="797"/>
      <c r="B116" s="798"/>
      <c r="C116" s="799"/>
      <c r="D116" s="800"/>
      <c r="E116" s="799"/>
      <c r="F116" s="799"/>
      <c r="G116" s="799"/>
      <c r="H116" s="799"/>
      <c r="I116" s="799"/>
      <c r="J116" s="799"/>
      <c r="K116" s="799"/>
      <c r="L116" s="799"/>
      <c r="M116" s="799"/>
      <c r="N116" s="799"/>
      <c r="O116" s="799"/>
      <c r="P116" s="799">
        <v>0</v>
      </c>
      <c r="Q116" s="804"/>
      <c r="R116" s="804"/>
      <c r="S116" s="804"/>
      <c r="T116" s="804"/>
      <c r="U116" s="804"/>
      <c r="V116" s="804"/>
      <c r="W116" s="804"/>
      <c r="X116" s="804"/>
      <c r="Y116" s="804"/>
      <c r="Z116" s="804"/>
      <c r="AA116" s="806"/>
      <c r="AB116" s="806"/>
      <c r="AC116" s="806"/>
      <c r="AD116" s="806"/>
      <c r="AE116" s="806"/>
      <c r="AF116" s="806"/>
      <c r="AG116" s="806">
        <v>0</v>
      </c>
      <c r="AH116" s="806"/>
      <c r="AI116" s="804"/>
      <c r="AJ116" s="805"/>
      <c r="AK116" s="805"/>
      <c r="AL116" s="805"/>
      <c r="AM116" s="805"/>
      <c r="AN116" s="805"/>
      <c r="AO116" s="805"/>
      <c r="AP116" s="805"/>
      <c r="AQ116" s="805"/>
    </row>
    <row r="117" spans="1:54" s="696" customFormat="1" ht="10.199999999999999">
      <c r="A117" s="807" t="s">
        <v>622</v>
      </c>
      <c r="B117" s="798"/>
      <c r="C117" s="799"/>
      <c r="D117" s="800"/>
      <c r="E117" s="799"/>
      <c r="F117" s="799"/>
      <c r="G117" s="799"/>
      <c r="H117" s="799"/>
      <c r="I117" s="799"/>
      <c r="J117" s="799"/>
      <c r="K117" s="799"/>
      <c r="L117" s="799"/>
      <c r="M117" s="799"/>
      <c r="N117" s="799"/>
      <c r="O117" s="799"/>
      <c r="P117" s="799"/>
      <c r="Q117" s="804"/>
      <c r="R117" s="804"/>
      <c r="S117" s="804"/>
      <c r="T117" s="804"/>
      <c r="U117" s="804"/>
      <c r="V117" s="804"/>
      <c r="W117" s="804"/>
      <c r="X117" s="804"/>
      <c r="Y117" s="804"/>
      <c r="Z117" s="804"/>
      <c r="AA117" s="804"/>
      <c r="AB117" s="804"/>
      <c r="AC117" s="804"/>
      <c r="AD117" s="804"/>
      <c r="AE117" s="804"/>
      <c r="AF117" s="804"/>
      <c r="AG117" s="804"/>
      <c r="AH117" s="804"/>
      <c r="AI117" s="804"/>
      <c r="AJ117" s="805"/>
      <c r="AK117" s="805"/>
      <c r="AL117" s="805"/>
      <c r="AM117" s="805"/>
      <c r="AN117" s="805"/>
      <c r="AO117" s="805"/>
      <c r="AP117" s="805"/>
      <c r="AQ117" s="805"/>
    </row>
    <row r="118" spans="1:54" s="688" customFormat="1" ht="11.4">
      <c r="A118" s="711"/>
      <c r="B118" s="699"/>
      <c r="C118" s="706"/>
      <c r="D118" s="707"/>
      <c r="E118" s="706"/>
      <c r="F118" s="706"/>
      <c r="G118" s="706"/>
      <c r="H118" s="706"/>
      <c r="I118" s="706"/>
      <c r="J118" s="706"/>
      <c r="K118" s="706"/>
      <c r="L118" s="706"/>
      <c r="M118" s="706"/>
      <c r="N118" s="706"/>
      <c r="O118" s="706"/>
      <c r="P118" s="706"/>
      <c r="Q118" s="693"/>
      <c r="R118" s="693"/>
      <c r="S118" s="693"/>
      <c r="T118" s="693"/>
      <c r="U118" s="693"/>
      <c r="V118" s="693"/>
      <c r="W118" s="693"/>
      <c r="X118" s="693"/>
      <c r="Y118" s="693"/>
      <c r="Z118" s="693"/>
      <c r="AA118" s="693"/>
      <c r="AB118" s="693"/>
      <c r="AC118" s="693"/>
      <c r="AD118" s="693"/>
      <c r="AE118" s="693"/>
      <c r="AF118" s="693"/>
      <c r="AG118" s="693"/>
      <c r="AH118" s="693"/>
      <c r="AI118" s="693"/>
      <c r="AJ118" s="709"/>
      <c r="AK118" s="709"/>
      <c r="AL118" s="709"/>
      <c r="AM118" s="709"/>
      <c r="AN118" s="709"/>
      <c r="AO118" s="709"/>
      <c r="AP118" s="709"/>
      <c r="AQ118" s="709"/>
      <c r="AR118" s="709"/>
      <c r="AS118" s="709"/>
      <c r="AT118" s="709"/>
      <c r="AU118" s="709"/>
      <c r="AV118" s="709"/>
      <c r="AW118" s="709"/>
      <c r="AX118" s="709"/>
      <c r="AY118" s="709"/>
      <c r="AZ118" s="709"/>
      <c r="BA118" s="709"/>
    </row>
    <row r="119" spans="1:54" s="697" customFormat="1" ht="10.8">
      <c r="A119" s="698"/>
      <c r="B119" s="699"/>
      <c r="C119" s="700"/>
      <c r="D119" s="701"/>
      <c r="E119" s="700"/>
      <c r="F119" s="700"/>
      <c r="G119" s="700"/>
      <c r="H119" s="700"/>
      <c r="I119" s="700"/>
      <c r="J119" s="700"/>
      <c r="K119" s="700"/>
      <c r="L119" s="700"/>
      <c r="M119" s="700"/>
      <c r="N119" s="700"/>
      <c r="O119" s="700"/>
      <c r="P119" s="700"/>
      <c r="Q119" s="692"/>
      <c r="R119" s="692"/>
      <c r="S119" s="692"/>
      <c r="T119" s="692"/>
      <c r="U119" s="692"/>
      <c r="V119" s="692"/>
      <c r="W119" s="692"/>
      <c r="X119" s="692"/>
      <c r="Y119" s="692"/>
      <c r="Z119" s="692"/>
      <c r="AA119" s="692"/>
      <c r="AB119" s="692"/>
      <c r="AC119" s="692"/>
      <c r="AD119" s="692"/>
      <c r="AE119" s="692"/>
      <c r="AF119" s="692"/>
      <c r="AG119" s="692"/>
      <c r="AH119" s="692"/>
      <c r="AI119" s="692"/>
      <c r="AJ119" s="702"/>
      <c r="AK119" s="702"/>
      <c r="AL119" s="702"/>
      <c r="AM119" s="702"/>
      <c r="AN119" s="702"/>
      <c r="AO119" s="702"/>
      <c r="AP119" s="702"/>
      <c r="AQ119" s="702"/>
      <c r="AR119" s="702"/>
      <c r="AS119" s="702"/>
      <c r="AT119" s="702"/>
      <c r="AU119" s="702"/>
      <c r="AV119" s="702"/>
      <c r="AW119" s="702"/>
      <c r="AX119" s="702"/>
      <c r="AY119" s="702"/>
      <c r="AZ119" s="702"/>
      <c r="BA119" s="702"/>
    </row>
    <row r="120" spans="1:54" s="7" customFormat="1" ht="18" customHeight="1">
      <c r="A120" s="1909" t="s">
        <v>623</v>
      </c>
      <c r="B120" s="1898"/>
      <c r="C120" s="1900"/>
      <c r="D120" s="1909"/>
      <c r="E120" s="1909"/>
      <c r="F120" s="1901"/>
      <c r="G120" s="1898"/>
      <c r="H120" s="1909"/>
      <c r="I120" s="1909"/>
      <c r="J120" s="1909"/>
      <c r="K120" s="1909"/>
      <c r="L120" s="1909"/>
      <c r="M120" s="1909"/>
      <c r="N120" s="1910"/>
      <c r="O120" s="1909"/>
      <c r="P120" s="1909"/>
      <c r="Q120" s="1909"/>
      <c r="R120" s="1909"/>
      <c r="S120" s="1909"/>
      <c r="T120" s="1909"/>
      <c r="U120" s="1909"/>
      <c r="V120" s="1909"/>
      <c r="W120" s="1909"/>
      <c r="X120" s="1909"/>
      <c r="Y120" s="1909"/>
      <c r="Z120" s="1909"/>
      <c r="AA120" s="1909"/>
      <c r="AB120" s="1909"/>
      <c r="AC120" s="1909"/>
      <c r="AD120" s="1909"/>
      <c r="AE120" s="1909"/>
      <c r="AF120" s="1909"/>
      <c r="AG120" s="1909"/>
      <c r="AH120" s="1909"/>
      <c r="AI120" s="703"/>
      <c r="AJ120" s="702"/>
      <c r="AK120" s="702"/>
      <c r="AL120" s="702"/>
      <c r="AM120" s="702"/>
      <c r="AN120" s="702"/>
      <c r="AO120" s="702"/>
      <c r="AP120" s="702"/>
      <c r="AQ120" s="702"/>
      <c r="AR120" s="702"/>
      <c r="AS120" s="702"/>
      <c r="AT120" s="702"/>
      <c r="AU120" s="702"/>
      <c r="AV120" s="702"/>
      <c r="AW120" s="702"/>
      <c r="AX120" s="702"/>
      <c r="AY120" s="702"/>
      <c r="AZ120" s="702"/>
      <c r="BA120" s="702"/>
      <c r="BB120" s="702"/>
    </row>
    <row r="121" spans="1:54" s="688" customFormat="1" ht="11.25" customHeight="1">
      <c r="A121" s="808" t="s">
        <v>624</v>
      </c>
      <c r="B121" s="809"/>
      <c r="C121" s="706"/>
      <c r="D121" s="706"/>
      <c r="E121" s="706"/>
      <c r="F121" s="707"/>
      <c r="G121" s="706"/>
      <c r="H121" s="706"/>
      <c r="I121" s="706"/>
      <c r="J121" s="706"/>
      <c r="K121" s="706"/>
      <c r="L121" s="706"/>
      <c r="M121" s="706"/>
      <c r="N121" s="708"/>
      <c r="O121" s="706"/>
      <c r="P121" s="706"/>
      <c r="Q121" s="693"/>
      <c r="R121" s="693"/>
      <c r="S121" s="693"/>
      <c r="T121" s="693"/>
      <c r="U121" s="707"/>
      <c r="V121" s="708"/>
      <c r="W121" s="708"/>
      <c r="X121" s="708"/>
      <c r="Y121" s="708"/>
      <c r="Z121" s="708"/>
      <c r="AA121" s="708"/>
      <c r="AB121" s="707"/>
      <c r="AC121" s="707"/>
      <c r="AD121" s="707"/>
      <c r="AE121" s="707"/>
      <c r="AF121" s="707"/>
      <c r="AG121" s="707"/>
      <c r="AH121" s="693"/>
      <c r="AI121" s="693"/>
      <c r="AJ121" s="709"/>
      <c r="AK121" s="709"/>
      <c r="AL121" s="709"/>
      <c r="AM121" s="709"/>
      <c r="AN121" s="709"/>
      <c r="AO121" s="709"/>
      <c r="AP121" s="709"/>
      <c r="AQ121" s="709"/>
      <c r="AR121" s="709"/>
      <c r="AS121" s="709"/>
      <c r="AT121" s="709"/>
      <c r="AU121" s="709"/>
      <c r="AV121" s="709"/>
      <c r="AW121" s="709"/>
      <c r="AX121" s="709"/>
      <c r="AY121" s="709"/>
      <c r="AZ121" s="709"/>
      <c r="BA121" s="709"/>
      <c r="BB121" s="709"/>
    </row>
    <row r="122" spans="1:54" s="688" customFormat="1" ht="13.5" customHeight="1">
      <c r="A122" s="710" t="s">
        <v>530</v>
      </c>
      <c r="B122" s="809"/>
      <c r="C122" s="706"/>
      <c r="D122" s="706"/>
      <c r="E122" s="706"/>
      <c r="F122" s="707"/>
      <c r="G122" s="706"/>
      <c r="H122" s="706"/>
      <c r="I122" s="706"/>
      <c r="J122" s="706"/>
      <c r="K122" s="706"/>
      <c r="L122" s="706"/>
      <c r="M122" s="706"/>
      <c r="N122" s="708"/>
      <c r="O122" s="706"/>
      <c r="P122" s="706"/>
      <c r="Q122" s="708"/>
      <c r="R122" s="708"/>
      <c r="S122" s="708"/>
      <c r="T122" s="708"/>
      <c r="U122" s="707"/>
      <c r="V122" s="708"/>
      <c r="W122" s="708"/>
      <c r="X122" s="708"/>
      <c r="Y122" s="708"/>
      <c r="Z122" s="708"/>
      <c r="AA122" s="708"/>
      <c r="AB122" s="707"/>
      <c r="AC122" s="707"/>
      <c r="AD122" s="707"/>
      <c r="AE122" s="707"/>
      <c r="AF122" s="707"/>
      <c r="AG122" s="707"/>
      <c r="AH122" s="693"/>
      <c r="AI122" s="693"/>
      <c r="AJ122" s="709"/>
      <c r="AK122" s="709"/>
      <c r="AL122" s="709"/>
      <c r="AM122" s="709"/>
      <c r="AN122" s="709"/>
      <c r="AO122" s="709"/>
      <c r="AP122" s="709"/>
      <c r="AQ122" s="709"/>
      <c r="AR122" s="709"/>
      <c r="AS122" s="709"/>
      <c r="AT122" s="709"/>
      <c r="AU122" s="709"/>
      <c r="AV122" s="709"/>
      <c r="AW122" s="709"/>
      <c r="AX122" s="709"/>
      <c r="AY122" s="709"/>
      <c r="AZ122" s="709"/>
      <c r="BA122" s="709"/>
      <c r="BB122" s="709"/>
    </row>
    <row r="123" spans="1:54" s="688" customFormat="1" ht="11.4">
      <c r="A123" s="698" t="s">
        <v>625</v>
      </c>
      <c r="B123" s="809"/>
      <c r="C123" s="706"/>
      <c r="D123" s="706"/>
      <c r="E123" s="706"/>
      <c r="F123" s="707"/>
      <c r="G123" s="706"/>
      <c r="H123" s="706"/>
      <c r="I123" s="706"/>
      <c r="J123" s="706"/>
      <c r="K123" s="706"/>
      <c r="L123" s="706"/>
      <c r="M123" s="706"/>
      <c r="N123" s="708"/>
      <c r="O123" s="706"/>
      <c r="P123" s="706"/>
      <c r="Q123" s="708"/>
      <c r="R123" s="708"/>
      <c r="S123" s="708"/>
      <c r="T123" s="708"/>
      <c r="U123" s="707"/>
      <c r="V123" s="708"/>
      <c r="W123" s="708"/>
      <c r="X123" s="708"/>
      <c r="Y123" s="708"/>
      <c r="Z123" s="708"/>
      <c r="AA123" s="708"/>
      <c r="AB123" s="707"/>
      <c r="AC123" s="707"/>
      <c r="AD123" s="707"/>
      <c r="AE123" s="707"/>
      <c r="AF123" s="707"/>
      <c r="AG123" s="707"/>
      <c r="AH123" s="693" t="s">
        <v>626</v>
      </c>
      <c r="AI123" s="693"/>
      <c r="AJ123" s="709"/>
      <c r="AK123" s="709"/>
      <c r="AL123" s="709"/>
      <c r="AM123" s="709"/>
      <c r="AN123" s="709"/>
      <c r="AO123" s="709"/>
      <c r="AP123" s="709"/>
      <c r="AQ123" s="709"/>
      <c r="AR123" s="709"/>
      <c r="AS123" s="709"/>
      <c r="AT123" s="709"/>
      <c r="AU123" s="709"/>
      <c r="AV123" s="709"/>
      <c r="AW123" s="709"/>
      <c r="AX123" s="709"/>
      <c r="AY123" s="709"/>
      <c r="AZ123" s="709"/>
      <c r="BA123" s="709"/>
      <c r="BB123" s="709"/>
    </row>
    <row r="124" spans="1:54" s="689" customFormat="1" ht="21.75" customHeight="1">
      <c r="A124" s="1918" t="s">
        <v>627</v>
      </c>
      <c r="B124" s="1921" t="s">
        <v>316</v>
      </c>
      <c r="C124" s="810" t="s">
        <v>628</v>
      </c>
      <c r="D124" s="1925" t="s">
        <v>533</v>
      </c>
      <c r="E124" s="1929" t="s">
        <v>629</v>
      </c>
      <c r="F124" s="1911" t="s">
        <v>630</v>
      </c>
      <c r="G124" s="1912"/>
      <c r="H124" s="1912"/>
      <c r="I124" s="1912"/>
      <c r="J124" s="1912"/>
      <c r="K124" s="1912"/>
      <c r="L124" s="1912"/>
      <c r="M124" s="1912"/>
      <c r="N124" s="1913"/>
      <c r="O124" s="1912"/>
      <c r="P124" s="1914"/>
      <c r="Q124" s="811" t="s">
        <v>631</v>
      </c>
      <c r="R124" s="811"/>
      <c r="S124" s="811"/>
      <c r="T124" s="1915" t="s">
        <v>632</v>
      </c>
      <c r="U124" s="1912"/>
      <c r="V124" s="1912"/>
      <c r="W124" s="1912"/>
      <c r="X124" s="1912"/>
      <c r="Y124" s="1912"/>
      <c r="Z124" s="1912"/>
      <c r="AA124" s="1914"/>
      <c r="AB124" s="1915" t="s">
        <v>633</v>
      </c>
      <c r="AC124" s="1912"/>
      <c r="AD124" s="1912"/>
      <c r="AE124" s="1912"/>
      <c r="AF124" s="1912"/>
      <c r="AG124" s="1914"/>
      <c r="AH124" s="1933" t="s">
        <v>634</v>
      </c>
      <c r="AI124" s="1933" t="s">
        <v>635</v>
      </c>
      <c r="AJ124" s="714"/>
      <c r="AK124" s="714"/>
      <c r="AL124" s="714"/>
      <c r="AM124" s="714"/>
      <c r="AN124" s="714"/>
      <c r="AO124" s="714"/>
      <c r="AP124" s="714"/>
      <c r="AQ124" s="714"/>
      <c r="AR124" s="714"/>
      <c r="AS124" s="714"/>
      <c r="AT124" s="714"/>
      <c r="AU124" s="714"/>
      <c r="AV124" s="714"/>
      <c r="AW124" s="714"/>
      <c r="AX124" s="714"/>
      <c r="AY124" s="714"/>
      <c r="AZ124" s="714"/>
      <c r="BA124" s="714"/>
      <c r="BB124" s="714"/>
    </row>
    <row r="125" spans="1:54" s="689" customFormat="1" ht="32.1" customHeight="1">
      <c r="A125" s="1919"/>
      <c r="B125" s="1922"/>
      <c r="C125" s="812"/>
      <c r="D125" s="1926"/>
      <c r="E125" s="1930"/>
      <c r="F125" s="813" t="s">
        <v>300</v>
      </c>
      <c r="G125" s="814" t="s">
        <v>539</v>
      </c>
      <c r="H125" s="814" t="s">
        <v>540</v>
      </c>
      <c r="I125" s="814" t="s">
        <v>636</v>
      </c>
      <c r="J125" s="815" t="s">
        <v>542</v>
      </c>
      <c r="K125" s="814" t="s">
        <v>637</v>
      </c>
      <c r="L125" s="814" t="s">
        <v>638</v>
      </c>
      <c r="M125" s="814" t="s">
        <v>639</v>
      </c>
      <c r="N125" s="816" t="s">
        <v>640</v>
      </c>
      <c r="O125" s="814" t="s">
        <v>641</v>
      </c>
      <c r="P125" s="814" t="s">
        <v>548</v>
      </c>
      <c r="Q125" s="817" t="s">
        <v>549</v>
      </c>
      <c r="R125" s="814"/>
      <c r="S125" s="814" t="s">
        <v>550</v>
      </c>
      <c r="T125" s="817" t="s">
        <v>642</v>
      </c>
      <c r="U125" s="818" t="s">
        <v>552</v>
      </c>
      <c r="V125" s="814" t="s">
        <v>643</v>
      </c>
      <c r="W125" s="817" t="s">
        <v>644</v>
      </c>
      <c r="X125" s="817" t="s">
        <v>645</v>
      </c>
      <c r="Y125" s="819" t="s">
        <v>646</v>
      </c>
      <c r="Z125" s="819" t="s">
        <v>557</v>
      </c>
      <c r="AA125" s="814" t="s">
        <v>647</v>
      </c>
      <c r="AB125" s="715" t="s">
        <v>559</v>
      </c>
      <c r="AC125" s="715" t="s">
        <v>560</v>
      </c>
      <c r="AD125" s="820" t="s">
        <v>561</v>
      </c>
      <c r="AE125" s="818" t="s">
        <v>562</v>
      </c>
      <c r="AF125" s="814" t="s">
        <v>648</v>
      </c>
      <c r="AG125" s="814" t="s">
        <v>649</v>
      </c>
      <c r="AH125" s="1934"/>
      <c r="AI125" s="1934"/>
      <c r="AJ125" s="714"/>
      <c r="AK125" s="714"/>
      <c r="AL125" s="714"/>
      <c r="AM125" s="714"/>
      <c r="AN125" s="714"/>
      <c r="AO125" s="714"/>
      <c r="AP125" s="714"/>
      <c r="AQ125" s="714"/>
      <c r="AR125" s="714"/>
      <c r="AS125" s="714"/>
      <c r="AT125" s="714"/>
      <c r="AU125" s="714"/>
      <c r="AV125" s="714"/>
      <c r="AW125" s="714"/>
      <c r="AX125" s="714"/>
      <c r="AY125" s="714"/>
      <c r="AZ125" s="714"/>
      <c r="BA125" s="714"/>
      <c r="BB125" s="714"/>
    </row>
    <row r="126" spans="1:54" s="692" customFormat="1" ht="20.100000000000001" customHeight="1">
      <c r="A126" s="722">
        <v>1</v>
      </c>
      <c r="B126" s="712" t="s">
        <v>35</v>
      </c>
      <c r="C126" s="712" t="s">
        <v>196</v>
      </c>
      <c r="D126" s="776"/>
      <c r="E126" s="821" t="s">
        <v>650</v>
      </c>
      <c r="F126" s="771">
        <v>1500</v>
      </c>
      <c r="G126" s="724">
        <v>1500</v>
      </c>
      <c r="H126" s="724">
        <v>1000</v>
      </c>
      <c r="I126" s="724">
        <v>0</v>
      </c>
      <c r="J126" s="713">
        <v>0</v>
      </c>
      <c r="K126" s="724"/>
      <c r="L126" s="724"/>
      <c r="M126" s="738"/>
      <c r="N126" s="724"/>
      <c r="O126" s="724"/>
      <c r="P126" s="727">
        <v>4000</v>
      </c>
      <c r="Q126" s="728">
        <v>0</v>
      </c>
      <c r="R126" s="729"/>
      <c r="S126" s="729">
        <v>0</v>
      </c>
      <c r="T126" s="729">
        <v>880</v>
      </c>
      <c r="U126" s="729">
        <v>415.25</v>
      </c>
      <c r="V126" s="729">
        <v>33</v>
      </c>
      <c r="W126" s="729">
        <v>11</v>
      </c>
      <c r="X126" s="729">
        <v>41.25</v>
      </c>
      <c r="Y126" s="729">
        <v>0</v>
      </c>
      <c r="Z126" s="729">
        <v>117</v>
      </c>
      <c r="AA126" s="729">
        <v>1497.5</v>
      </c>
      <c r="AB126" s="729">
        <v>572</v>
      </c>
      <c r="AC126" s="729">
        <v>117</v>
      </c>
      <c r="AD126" s="729">
        <v>59</v>
      </c>
      <c r="AE126" s="729">
        <v>30</v>
      </c>
      <c r="AF126" s="730">
        <v>0</v>
      </c>
      <c r="AG126" s="729">
        <v>778</v>
      </c>
      <c r="AH126" s="731">
        <v>3222</v>
      </c>
      <c r="AI126" s="736"/>
      <c r="AJ126" s="769"/>
      <c r="AK126" s="733"/>
      <c r="AL126" s="759"/>
      <c r="AM126" s="759"/>
      <c r="AN126" s="759"/>
      <c r="AO126" s="759"/>
      <c r="AP126" s="759"/>
      <c r="AQ126" s="759"/>
      <c r="AR126" s="759"/>
      <c r="AS126" s="759"/>
      <c r="AT126" s="759"/>
      <c r="AU126" s="759"/>
      <c r="AV126" s="759"/>
      <c r="AW126" s="759"/>
      <c r="AX126" s="759"/>
      <c r="AY126" s="759"/>
      <c r="AZ126" s="759"/>
      <c r="BA126" s="759"/>
      <c r="BB126" s="759"/>
    </row>
    <row r="127" spans="1:54" s="692" customFormat="1" ht="20.100000000000001" customHeight="1">
      <c r="A127" s="722">
        <v>2</v>
      </c>
      <c r="B127" s="712" t="s">
        <v>343</v>
      </c>
      <c r="C127" s="712" t="s">
        <v>222</v>
      </c>
      <c r="D127" s="776"/>
      <c r="E127" s="821" t="s">
        <v>599</v>
      </c>
      <c r="F127" s="771">
        <v>1200</v>
      </c>
      <c r="G127" s="724">
        <v>300</v>
      </c>
      <c r="H127" s="724">
        <v>100</v>
      </c>
      <c r="I127" s="724">
        <v>0</v>
      </c>
      <c r="J127" s="713">
        <v>0</v>
      </c>
      <c r="K127" s="724"/>
      <c r="L127" s="724">
        <v>100</v>
      </c>
      <c r="M127" s="738"/>
      <c r="N127" s="724"/>
      <c r="O127" s="724"/>
      <c r="P127" s="727">
        <v>1700</v>
      </c>
      <c r="Q127" s="728">
        <v>0</v>
      </c>
      <c r="R127" s="729"/>
      <c r="S127" s="729">
        <v>0</v>
      </c>
      <c r="T127" s="729">
        <v>734.08</v>
      </c>
      <c r="U127" s="729">
        <v>346.39</v>
      </c>
      <c r="V127" s="729">
        <v>27.53</v>
      </c>
      <c r="W127" s="729">
        <v>9.18</v>
      </c>
      <c r="X127" s="729">
        <v>34.409999999999997</v>
      </c>
      <c r="Y127" s="729">
        <v>0</v>
      </c>
      <c r="Z127" s="729">
        <v>117</v>
      </c>
      <c r="AA127" s="729">
        <v>1268.5899999999999</v>
      </c>
      <c r="AB127" s="729">
        <v>477.15</v>
      </c>
      <c r="AC127" s="729">
        <v>117</v>
      </c>
      <c r="AD127" s="729">
        <v>59</v>
      </c>
      <c r="AE127" s="729">
        <v>30</v>
      </c>
      <c r="AF127" s="730">
        <v>0</v>
      </c>
      <c r="AG127" s="729">
        <v>683.15</v>
      </c>
      <c r="AH127" s="731">
        <v>1016.85</v>
      </c>
      <c r="AI127" s="736"/>
      <c r="AJ127" s="769"/>
      <c r="AK127" s="733"/>
      <c r="AL127" s="759"/>
      <c r="AM127" s="759"/>
      <c r="AN127" s="759"/>
      <c r="AO127" s="759"/>
      <c r="AP127" s="759"/>
      <c r="AQ127" s="759"/>
      <c r="AR127" s="759"/>
      <c r="AS127" s="759"/>
      <c r="AT127" s="759"/>
      <c r="AU127" s="759"/>
      <c r="AV127" s="759"/>
      <c r="AW127" s="759"/>
      <c r="AX127" s="759"/>
      <c r="AY127" s="759"/>
      <c r="AZ127" s="759"/>
      <c r="BA127" s="759"/>
      <c r="BB127" s="759"/>
    </row>
    <row r="128" spans="1:54" s="692" customFormat="1" ht="20.100000000000001" customHeight="1">
      <c r="A128" s="722">
        <v>3</v>
      </c>
      <c r="B128" s="712" t="s">
        <v>343</v>
      </c>
      <c r="C128" s="712" t="s">
        <v>223</v>
      </c>
      <c r="D128" s="776"/>
      <c r="E128" s="821" t="s">
        <v>598</v>
      </c>
      <c r="F128" s="771">
        <v>1200</v>
      </c>
      <c r="G128" s="724">
        <v>300</v>
      </c>
      <c r="H128" s="724">
        <v>100</v>
      </c>
      <c r="I128" s="726">
        <v>0</v>
      </c>
      <c r="J128" s="713">
        <v>0</v>
      </c>
      <c r="K128" s="724"/>
      <c r="L128" s="724">
        <v>100</v>
      </c>
      <c r="M128" s="738"/>
      <c r="N128" s="724"/>
      <c r="O128" s="724"/>
      <c r="P128" s="727">
        <v>1700</v>
      </c>
      <c r="Q128" s="728">
        <v>0</v>
      </c>
      <c r="R128" s="729"/>
      <c r="S128" s="729">
        <v>0</v>
      </c>
      <c r="T128" s="729">
        <v>734.08</v>
      </c>
      <c r="U128" s="729">
        <v>346.39</v>
      </c>
      <c r="V128" s="729">
        <v>27.53</v>
      </c>
      <c r="W128" s="729">
        <v>9.18</v>
      </c>
      <c r="X128" s="729">
        <v>34.409999999999997</v>
      </c>
      <c r="Y128" s="729">
        <v>0</v>
      </c>
      <c r="Z128" s="729">
        <v>117</v>
      </c>
      <c r="AA128" s="729">
        <v>1268.5899999999999</v>
      </c>
      <c r="AB128" s="729">
        <v>477.15</v>
      </c>
      <c r="AC128" s="729">
        <v>117</v>
      </c>
      <c r="AD128" s="729">
        <v>59</v>
      </c>
      <c r="AE128" s="729">
        <v>30</v>
      </c>
      <c r="AF128" s="730">
        <v>0</v>
      </c>
      <c r="AG128" s="729">
        <v>683.15</v>
      </c>
      <c r="AH128" s="731">
        <v>1016.85</v>
      </c>
      <c r="AI128" s="736"/>
      <c r="AJ128" s="769"/>
      <c r="AK128" s="733"/>
      <c r="AL128" s="759"/>
      <c r="AM128" s="759"/>
      <c r="AN128" s="759"/>
      <c r="AO128" s="759"/>
      <c r="AP128" s="759"/>
      <c r="AQ128" s="759"/>
      <c r="AR128" s="759"/>
      <c r="AS128" s="759"/>
      <c r="AT128" s="759"/>
      <c r="AU128" s="759"/>
      <c r="AV128" s="759"/>
      <c r="AW128" s="759"/>
      <c r="AX128" s="759"/>
      <c r="AY128" s="759"/>
      <c r="AZ128" s="759"/>
      <c r="BA128" s="759"/>
      <c r="BB128" s="759"/>
    </row>
    <row r="129" spans="1:54" s="692" customFormat="1" ht="20.100000000000001" customHeight="1">
      <c r="A129" s="722">
        <v>4</v>
      </c>
      <c r="B129" s="712" t="s">
        <v>42</v>
      </c>
      <c r="C129" s="761" t="s">
        <v>198</v>
      </c>
      <c r="D129" s="776"/>
      <c r="E129" s="821" t="s">
        <v>651</v>
      </c>
      <c r="F129" s="773">
        <v>1200</v>
      </c>
      <c r="G129" s="724">
        <v>200</v>
      </c>
      <c r="H129" s="724">
        <v>200</v>
      </c>
      <c r="I129" s="724">
        <v>0</v>
      </c>
      <c r="J129" s="713"/>
      <c r="K129" s="724"/>
      <c r="L129" s="724"/>
      <c r="M129" s="738"/>
      <c r="N129" s="724"/>
      <c r="O129" s="724"/>
      <c r="P129" s="727">
        <v>1600</v>
      </c>
      <c r="Q129" s="728">
        <v>0</v>
      </c>
      <c r="R129" s="729"/>
      <c r="S129" s="729">
        <v>0</v>
      </c>
      <c r="T129" s="729">
        <v>0</v>
      </c>
      <c r="U129" s="729">
        <v>0</v>
      </c>
      <c r="V129" s="729">
        <v>0</v>
      </c>
      <c r="W129" s="729">
        <v>0</v>
      </c>
      <c r="X129" s="729">
        <v>0</v>
      </c>
      <c r="Y129" s="729">
        <v>0</v>
      </c>
      <c r="Z129" s="729">
        <v>0</v>
      </c>
      <c r="AA129" s="729">
        <v>0</v>
      </c>
      <c r="AB129" s="729">
        <v>0</v>
      </c>
      <c r="AC129" s="729">
        <v>0</v>
      </c>
      <c r="AD129" s="729">
        <v>59</v>
      </c>
      <c r="AE129" s="729">
        <v>10</v>
      </c>
      <c r="AF129" s="730">
        <v>0</v>
      </c>
      <c r="AG129" s="729">
        <v>69</v>
      </c>
      <c r="AH129" s="731">
        <v>1531</v>
      </c>
      <c r="AI129" s="736"/>
      <c r="AJ129" s="769"/>
      <c r="AK129" s="733"/>
      <c r="AL129" s="759"/>
      <c r="AM129" s="759"/>
      <c r="AN129" s="759"/>
      <c r="AO129" s="759"/>
      <c r="AP129" s="759"/>
      <c r="AQ129" s="759"/>
      <c r="AR129" s="759"/>
      <c r="AS129" s="759"/>
      <c r="AT129" s="759"/>
      <c r="AU129" s="759"/>
      <c r="AV129" s="759"/>
      <c r="AW129" s="759"/>
      <c r="AX129" s="759"/>
      <c r="AY129" s="759"/>
      <c r="AZ129" s="759"/>
      <c r="BA129" s="759"/>
      <c r="BB129" s="759"/>
    </row>
    <row r="130" spans="1:54" s="692" customFormat="1" ht="20.100000000000001" customHeight="1">
      <c r="A130" s="722">
        <v>5</v>
      </c>
      <c r="B130" s="712" t="s">
        <v>50</v>
      </c>
      <c r="C130" s="761" t="s">
        <v>221</v>
      </c>
      <c r="D130" s="776"/>
      <c r="E130" s="821" t="s">
        <v>572</v>
      </c>
      <c r="F130" s="773">
        <v>1200</v>
      </c>
      <c r="G130" s="724">
        <v>300</v>
      </c>
      <c r="H130" s="724"/>
      <c r="I130" s="724">
        <v>0</v>
      </c>
      <c r="J130" s="713"/>
      <c r="K130" s="724"/>
      <c r="L130" s="724"/>
      <c r="M130" s="738"/>
      <c r="N130" s="724"/>
      <c r="O130" s="724"/>
      <c r="P130" s="727">
        <v>1500</v>
      </c>
      <c r="Q130" s="728">
        <v>0</v>
      </c>
      <c r="R130" s="729"/>
      <c r="S130" s="729">
        <v>0</v>
      </c>
      <c r="T130" s="729">
        <v>734.08</v>
      </c>
      <c r="U130" s="729">
        <v>346.39</v>
      </c>
      <c r="V130" s="729">
        <v>27.53</v>
      </c>
      <c r="W130" s="729">
        <v>9.18</v>
      </c>
      <c r="X130" s="729">
        <v>34.409999999999997</v>
      </c>
      <c r="Y130" s="729">
        <v>0</v>
      </c>
      <c r="Z130" s="729">
        <v>117</v>
      </c>
      <c r="AA130" s="729">
        <v>1268.5899999999999</v>
      </c>
      <c r="AB130" s="729">
        <v>477.15</v>
      </c>
      <c r="AC130" s="729">
        <v>117</v>
      </c>
      <c r="AD130" s="729">
        <v>59</v>
      </c>
      <c r="AE130" s="729">
        <v>10</v>
      </c>
      <c r="AF130" s="730">
        <v>0</v>
      </c>
      <c r="AG130" s="729">
        <v>663.15</v>
      </c>
      <c r="AH130" s="731">
        <v>836.85</v>
      </c>
      <c r="AI130" s="736"/>
      <c r="AJ130" s="769"/>
      <c r="AK130" s="733"/>
      <c r="AL130" s="759"/>
      <c r="AM130" s="759"/>
      <c r="AN130" s="759"/>
      <c r="AO130" s="759"/>
      <c r="AP130" s="759"/>
      <c r="AQ130" s="759"/>
      <c r="AR130" s="759"/>
      <c r="AS130" s="759"/>
      <c r="AT130" s="759"/>
      <c r="AU130" s="759"/>
      <c r="AV130" s="759"/>
      <c r="AW130" s="759"/>
      <c r="AX130" s="759"/>
      <c r="AY130" s="759"/>
      <c r="AZ130" s="759"/>
      <c r="BA130" s="759"/>
      <c r="BB130" s="759"/>
    </row>
    <row r="131" spans="1:54" s="692" customFormat="1" ht="20.100000000000001" customHeight="1">
      <c r="A131" s="722">
        <v>6</v>
      </c>
      <c r="B131" s="822" t="s">
        <v>344</v>
      </c>
      <c r="C131" s="770" t="s">
        <v>200</v>
      </c>
      <c r="D131" s="776"/>
      <c r="E131" s="770" t="s">
        <v>652</v>
      </c>
      <c r="F131" s="771">
        <v>1200</v>
      </c>
      <c r="G131" s="724">
        <v>300</v>
      </c>
      <c r="H131" s="724">
        <v>100</v>
      </c>
      <c r="I131" s="724">
        <v>0</v>
      </c>
      <c r="J131" s="713">
        <v>0</v>
      </c>
      <c r="K131" s="724"/>
      <c r="L131" s="724">
        <v>100</v>
      </c>
      <c r="M131" s="738"/>
      <c r="N131" s="724"/>
      <c r="O131" s="724"/>
      <c r="P131" s="727">
        <v>1700</v>
      </c>
      <c r="Q131" s="728">
        <v>0</v>
      </c>
      <c r="R131" s="729"/>
      <c r="S131" s="729"/>
      <c r="T131" s="729">
        <v>734.08</v>
      </c>
      <c r="U131" s="729">
        <v>346.39</v>
      </c>
      <c r="V131" s="729">
        <v>27.53</v>
      </c>
      <c r="W131" s="729">
        <v>9.18</v>
      </c>
      <c r="X131" s="729">
        <v>34.409999999999997</v>
      </c>
      <c r="Y131" s="729">
        <v>0</v>
      </c>
      <c r="Z131" s="729">
        <v>117</v>
      </c>
      <c r="AA131" s="729">
        <v>1268.5899999999999</v>
      </c>
      <c r="AB131" s="729">
        <v>477.15</v>
      </c>
      <c r="AC131" s="729">
        <v>117</v>
      </c>
      <c r="AD131" s="729">
        <v>59</v>
      </c>
      <c r="AE131" s="729">
        <v>10</v>
      </c>
      <c r="AF131" s="730">
        <v>0</v>
      </c>
      <c r="AG131" s="729">
        <v>663.15</v>
      </c>
      <c r="AH131" s="731">
        <v>1036.8499999999999</v>
      </c>
      <c r="AI131" s="736"/>
      <c r="AJ131" s="769"/>
      <c r="AK131" s="733"/>
      <c r="AL131" s="759"/>
      <c r="AM131" s="759"/>
      <c r="AN131" s="759"/>
      <c r="AO131" s="759"/>
      <c r="AP131" s="759"/>
      <c r="AQ131" s="759"/>
      <c r="AR131" s="759"/>
      <c r="AS131" s="759"/>
      <c r="AT131" s="759"/>
      <c r="AU131" s="759"/>
      <c r="AV131" s="759"/>
      <c r="AW131" s="759"/>
      <c r="AX131" s="759"/>
      <c r="AY131" s="759"/>
      <c r="AZ131" s="759"/>
      <c r="BA131" s="759"/>
      <c r="BB131" s="759"/>
    </row>
    <row r="132" spans="1:54" s="692" customFormat="1" ht="20.100000000000001" customHeight="1">
      <c r="A132" s="722">
        <v>7</v>
      </c>
      <c r="B132" s="822" t="s">
        <v>344</v>
      </c>
      <c r="C132" s="770" t="s">
        <v>201</v>
      </c>
      <c r="D132" s="776"/>
      <c r="E132" s="770" t="s">
        <v>595</v>
      </c>
      <c r="F132" s="771">
        <v>700</v>
      </c>
      <c r="G132" s="724">
        <v>200</v>
      </c>
      <c r="H132" s="724"/>
      <c r="I132" s="724">
        <v>0</v>
      </c>
      <c r="J132" s="713">
        <v>0</v>
      </c>
      <c r="K132" s="724"/>
      <c r="L132" s="823"/>
      <c r="M132" s="724"/>
      <c r="N132" s="724"/>
      <c r="O132" s="724"/>
      <c r="P132" s="727">
        <v>900</v>
      </c>
      <c r="Q132" s="728">
        <v>0</v>
      </c>
      <c r="R132" s="729"/>
      <c r="S132" s="729">
        <v>0</v>
      </c>
      <c r="T132" s="729">
        <v>734.08</v>
      </c>
      <c r="U132" s="729">
        <v>346.39</v>
      </c>
      <c r="V132" s="729">
        <v>27.53</v>
      </c>
      <c r="W132" s="729">
        <v>9.18</v>
      </c>
      <c r="X132" s="729">
        <v>34.409999999999997</v>
      </c>
      <c r="Y132" s="729">
        <v>0</v>
      </c>
      <c r="Z132" s="729">
        <v>117</v>
      </c>
      <c r="AA132" s="729">
        <v>1268.5899999999999</v>
      </c>
      <c r="AB132" s="729">
        <v>477.15</v>
      </c>
      <c r="AC132" s="729">
        <v>117</v>
      </c>
      <c r="AD132" s="729">
        <v>59</v>
      </c>
      <c r="AE132" s="729">
        <v>10</v>
      </c>
      <c r="AF132" s="730">
        <v>0</v>
      </c>
      <c r="AG132" s="729">
        <v>663.15</v>
      </c>
      <c r="AH132" s="731">
        <v>236.85</v>
      </c>
      <c r="AI132" s="736"/>
      <c r="AJ132" s="769"/>
      <c r="AK132" s="733"/>
      <c r="AL132" s="759"/>
      <c r="AM132" s="759"/>
      <c r="AN132" s="759"/>
      <c r="AO132" s="759"/>
      <c r="AP132" s="759"/>
      <c r="AQ132" s="759"/>
      <c r="AR132" s="759"/>
      <c r="AS132" s="759"/>
      <c r="AT132" s="759"/>
      <c r="AU132" s="759"/>
      <c r="AV132" s="759"/>
      <c r="AW132" s="759"/>
      <c r="AX132" s="759"/>
      <c r="AY132" s="759"/>
      <c r="AZ132" s="759"/>
      <c r="BA132" s="759"/>
      <c r="BB132" s="759"/>
    </row>
    <row r="133" spans="1:54" s="692" customFormat="1" ht="20.100000000000001" customHeight="1">
      <c r="A133" s="722">
        <v>8</v>
      </c>
      <c r="B133" s="822" t="s">
        <v>344</v>
      </c>
      <c r="C133" s="770" t="s">
        <v>202</v>
      </c>
      <c r="D133" s="776"/>
      <c r="E133" s="770" t="s">
        <v>595</v>
      </c>
      <c r="F133" s="771">
        <v>700</v>
      </c>
      <c r="G133" s="724">
        <v>200</v>
      </c>
      <c r="H133" s="724"/>
      <c r="I133" s="724">
        <v>0</v>
      </c>
      <c r="J133" s="713">
        <v>0</v>
      </c>
      <c r="K133" s="724"/>
      <c r="L133" s="823"/>
      <c r="M133" s="724"/>
      <c r="N133" s="724"/>
      <c r="O133" s="724"/>
      <c r="P133" s="727">
        <v>900</v>
      </c>
      <c r="Q133" s="728">
        <v>0</v>
      </c>
      <c r="R133" s="729"/>
      <c r="S133" s="729">
        <v>0</v>
      </c>
      <c r="T133" s="729">
        <v>734.08</v>
      </c>
      <c r="U133" s="729">
        <v>346.39</v>
      </c>
      <c r="V133" s="729">
        <v>27.53</v>
      </c>
      <c r="W133" s="729">
        <v>9.18</v>
      </c>
      <c r="X133" s="729">
        <v>34.409999999999997</v>
      </c>
      <c r="Y133" s="729">
        <v>0</v>
      </c>
      <c r="Z133" s="729">
        <v>117</v>
      </c>
      <c r="AA133" s="729">
        <v>1268.5899999999999</v>
      </c>
      <c r="AB133" s="729">
        <v>477.15</v>
      </c>
      <c r="AC133" s="729">
        <v>117</v>
      </c>
      <c r="AD133" s="729">
        <v>59</v>
      </c>
      <c r="AE133" s="729">
        <v>10</v>
      </c>
      <c r="AF133" s="730">
        <v>0</v>
      </c>
      <c r="AG133" s="729">
        <v>663.15</v>
      </c>
      <c r="AH133" s="731">
        <v>236.85</v>
      </c>
      <c r="AI133" s="736"/>
      <c r="AJ133" s="769"/>
      <c r="AK133" s="733"/>
      <c r="AL133" s="759"/>
      <c r="AM133" s="759"/>
      <c r="AN133" s="759"/>
      <c r="AO133" s="759"/>
      <c r="AP133" s="759"/>
      <c r="AQ133" s="759"/>
      <c r="AR133" s="759"/>
      <c r="AS133" s="759"/>
      <c r="AT133" s="759"/>
      <c r="AU133" s="759"/>
      <c r="AV133" s="759"/>
      <c r="AW133" s="759"/>
      <c r="AX133" s="759"/>
      <c r="AY133" s="759"/>
      <c r="AZ133" s="759"/>
      <c r="BA133" s="759"/>
      <c r="BB133" s="759"/>
    </row>
    <row r="134" spans="1:54" s="692" customFormat="1" ht="20.100000000000001" customHeight="1">
      <c r="A134" s="722">
        <v>9</v>
      </c>
      <c r="B134" s="822" t="s">
        <v>345</v>
      </c>
      <c r="C134" s="770" t="s">
        <v>220</v>
      </c>
      <c r="D134" s="776"/>
      <c r="E134" s="770" t="s">
        <v>571</v>
      </c>
      <c r="F134" s="771">
        <v>1000</v>
      </c>
      <c r="G134" s="724">
        <v>200</v>
      </c>
      <c r="H134" s="724"/>
      <c r="I134" s="724">
        <v>0</v>
      </c>
      <c r="J134" s="713">
        <v>0</v>
      </c>
      <c r="K134" s="724"/>
      <c r="L134" s="724"/>
      <c r="M134" s="738"/>
      <c r="N134" s="724"/>
      <c r="O134" s="724"/>
      <c r="P134" s="727">
        <v>1200</v>
      </c>
      <c r="Q134" s="728">
        <v>0</v>
      </c>
      <c r="R134" s="729"/>
      <c r="S134" s="729"/>
      <c r="T134" s="729">
        <v>734.08</v>
      </c>
      <c r="U134" s="729">
        <v>346.39</v>
      </c>
      <c r="V134" s="729">
        <v>27.53</v>
      </c>
      <c r="W134" s="729">
        <v>9.18</v>
      </c>
      <c r="X134" s="729">
        <v>34.409999999999997</v>
      </c>
      <c r="Y134" s="729">
        <v>0</v>
      </c>
      <c r="Z134" s="729">
        <v>117</v>
      </c>
      <c r="AA134" s="729">
        <v>1268.5899999999999</v>
      </c>
      <c r="AB134" s="729">
        <v>477.15</v>
      </c>
      <c r="AC134" s="729">
        <v>117</v>
      </c>
      <c r="AD134" s="729">
        <v>59</v>
      </c>
      <c r="AE134" s="729">
        <v>10</v>
      </c>
      <c r="AF134" s="730">
        <v>0</v>
      </c>
      <c r="AG134" s="729">
        <v>663.15</v>
      </c>
      <c r="AH134" s="731">
        <v>536.85</v>
      </c>
      <c r="AI134" s="736"/>
      <c r="AJ134" s="769"/>
      <c r="AK134" s="733"/>
      <c r="AL134" s="759"/>
      <c r="AM134" s="759"/>
      <c r="AN134" s="759"/>
      <c r="AO134" s="759"/>
      <c r="AP134" s="759"/>
      <c r="AQ134" s="759"/>
      <c r="AR134" s="759"/>
      <c r="AS134" s="759"/>
      <c r="AT134" s="759"/>
      <c r="AU134" s="759"/>
      <c r="AV134" s="759"/>
      <c r="AW134" s="759"/>
      <c r="AX134" s="759"/>
      <c r="AY134" s="759"/>
      <c r="AZ134" s="759"/>
      <c r="BA134" s="759"/>
      <c r="BB134" s="759"/>
    </row>
    <row r="135" spans="1:54" s="692" customFormat="1" ht="20.100000000000001" customHeight="1">
      <c r="A135" s="722">
        <v>10</v>
      </c>
      <c r="B135" s="822" t="s">
        <v>345</v>
      </c>
      <c r="C135" s="770" t="s">
        <v>219</v>
      </c>
      <c r="D135" s="776"/>
      <c r="E135" s="770" t="s">
        <v>571</v>
      </c>
      <c r="F135" s="771">
        <v>1000</v>
      </c>
      <c r="G135" s="724">
        <v>200</v>
      </c>
      <c r="H135" s="724"/>
      <c r="I135" s="724">
        <v>0</v>
      </c>
      <c r="J135" s="713">
        <v>0</v>
      </c>
      <c r="K135" s="724"/>
      <c r="L135" s="724"/>
      <c r="M135" s="738"/>
      <c r="N135" s="724"/>
      <c r="O135" s="724"/>
      <c r="P135" s="727">
        <v>1200</v>
      </c>
      <c r="Q135" s="728">
        <v>0</v>
      </c>
      <c r="R135" s="729"/>
      <c r="S135" s="729"/>
      <c r="T135" s="729">
        <v>734.08</v>
      </c>
      <c r="U135" s="729">
        <v>346.39</v>
      </c>
      <c r="V135" s="729">
        <v>27.53</v>
      </c>
      <c r="W135" s="729">
        <v>9.18</v>
      </c>
      <c r="X135" s="729">
        <v>34.409999999999997</v>
      </c>
      <c r="Y135" s="729">
        <v>0</v>
      </c>
      <c r="Z135" s="729">
        <v>117</v>
      </c>
      <c r="AA135" s="729">
        <v>1268.5899999999999</v>
      </c>
      <c r="AB135" s="729">
        <v>477.15</v>
      </c>
      <c r="AC135" s="729">
        <v>117</v>
      </c>
      <c r="AD135" s="729">
        <v>59</v>
      </c>
      <c r="AE135" s="729">
        <v>10</v>
      </c>
      <c r="AF135" s="730">
        <v>0</v>
      </c>
      <c r="AG135" s="729">
        <v>663.15</v>
      </c>
      <c r="AH135" s="731">
        <v>536.85</v>
      </c>
      <c r="AI135" s="736"/>
      <c r="AJ135" s="769"/>
      <c r="AK135" s="733"/>
      <c r="AL135" s="759"/>
      <c r="AM135" s="759"/>
      <c r="AN135" s="759"/>
      <c r="AO135" s="759"/>
      <c r="AP135" s="759"/>
      <c r="AQ135" s="759"/>
      <c r="AR135" s="759"/>
      <c r="AS135" s="759"/>
      <c r="AT135" s="759"/>
      <c r="AU135" s="759"/>
      <c r="AV135" s="759"/>
      <c r="AW135" s="759"/>
      <c r="AX135" s="759"/>
      <c r="AY135" s="759"/>
      <c r="AZ135" s="759"/>
      <c r="BA135" s="759"/>
      <c r="BB135" s="759"/>
    </row>
    <row r="136" spans="1:54" s="692" customFormat="1" ht="20.100000000000001" customHeight="1">
      <c r="A136" s="722">
        <v>11</v>
      </c>
      <c r="B136" s="822" t="s">
        <v>346</v>
      </c>
      <c r="C136" s="751" t="s">
        <v>206</v>
      </c>
      <c r="D136" s="772"/>
      <c r="E136" s="748" t="s">
        <v>575</v>
      </c>
      <c r="F136" s="773">
        <v>700</v>
      </c>
      <c r="G136" s="738">
        <v>200</v>
      </c>
      <c r="H136" s="824"/>
      <c r="I136" s="724">
        <v>0</v>
      </c>
      <c r="J136" s="713">
        <v>0</v>
      </c>
      <c r="K136" s="824"/>
      <c r="L136" s="824"/>
      <c r="M136" s="724"/>
      <c r="N136" s="824"/>
      <c r="O136" s="824"/>
      <c r="P136" s="727">
        <v>900</v>
      </c>
      <c r="Q136" s="728">
        <v>0</v>
      </c>
      <c r="R136" s="824"/>
      <c r="S136" s="824">
        <v>0</v>
      </c>
      <c r="T136" s="729">
        <v>734.08</v>
      </c>
      <c r="U136" s="729">
        <v>346.39</v>
      </c>
      <c r="V136" s="729">
        <v>27.53</v>
      </c>
      <c r="W136" s="729">
        <v>9.18</v>
      </c>
      <c r="X136" s="729">
        <v>34.409999999999997</v>
      </c>
      <c r="Y136" s="729">
        <v>0</v>
      </c>
      <c r="Z136" s="729">
        <v>117</v>
      </c>
      <c r="AA136" s="729">
        <v>1268.5899999999999</v>
      </c>
      <c r="AB136" s="729">
        <v>477.15</v>
      </c>
      <c r="AC136" s="729">
        <v>117</v>
      </c>
      <c r="AD136" s="729">
        <v>59</v>
      </c>
      <c r="AE136" s="729">
        <v>10</v>
      </c>
      <c r="AF136" s="730">
        <v>0</v>
      </c>
      <c r="AG136" s="729">
        <v>663.15</v>
      </c>
      <c r="AH136" s="731">
        <v>236.85</v>
      </c>
      <c r="AI136" s="825"/>
      <c r="AJ136" s="769"/>
      <c r="AK136" s="733"/>
      <c r="AL136" s="759"/>
      <c r="AM136" s="759"/>
      <c r="AN136" s="759"/>
      <c r="AO136" s="759"/>
      <c r="AP136" s="759"/>
      <c r="AQ136" s="759"/>
      <c r="AR136" s="759"/>
      <c r="AS136" s="759"/>
      <c r="AT136" s="759"/>
      <c r="AU136" s="759"/>
      <c r="AV136" s="759"/>
      <c r="AW136" s="759"/>
      <c r="AX136" s="759"/>
      <c r="AY136" s="759"/>
      <c r="AZ136" s="759"/>
      <c r="BA136" s="759"/>
      <c r="BB136" s="759"/>
    </row>
    <row r="137" spans="1:54" s="692" customFormat="1" ht="20.100000000000001" customHeight="1">
      <c r="A137" s="722">
        <v>12</v>
      </c>
      <c r="B137" s="822" t="s">
        <v>346</v>
      </c>
      <c r="C137" s="751" t="s">
        <v>207</v>
      </c>
      <c r="D137" s="772"/>
      <c r="E137" s="748" t="s">
        <v>575</v>
      </c>
      <c r="F137" s="773">
        <v>700</v>
      </c>
      <c r="G137" s="738">
        <v>200</v>
      </c>
      <c r="H137" s="824"/>
      <c r="I137" s="724">
        <v>0</v>
      </c>
      <c r="J137" s="713">
        <v>0</v>
      </c>
      <c r="K137" s="824"/>
      <c r="L137" s="824"/>
      <c r="M137" s="724"/>
      <c r="N137" s="824"/>
      <c r="O137" s="824"/>
      <c r="P137" s="727">
        <v>900</v>
      </c>
      <c r="Q137" s="728">
        <v>0</v>
      </c>
      <c r="R137" s="824"/>
      <c r="S137" s="824">
        <v>0</v>
      </c>
      <c r="T137" s="729">
        <v>734.08</v>
      </c>
      <c r="U137" s="729">
        <v>346.39</v>
      </c>
      <c r="V137" s="729">
        <v>27.53</v>
      </c>
      <c r="W137" s="729">
        <v>9.18</v>
      </c>
      <c r="X137" s="729">
        <v>34.409999999999997</v>
      </c>
      <c r="Y137" s="729">
        <v>0</v>
      </c>
      <c r="Z137" s="729">
        <v>117</v>
      </c>
      <c r="AA137" s="729">
        <v>1268.5899999999999</v>
      </c>
      <c r="AB137" s="729">
        <v>477.15</v>
      </c>
      <c r="AC137" s="729">
        <v>117</v>
      </c>
      <c r="AD137" s="729">
        <v>59</v>
      </c>
      <c r="AE137" s="729">
        <v>10</v>
      </c>
      <c r="AF137" s="730">
        <v>0</v>
      </c>
      <c r="AG137" s="729">
        <v>663.15</v>
      </c>
      <c r="AH137" s="731">
        <v>236.85</v>
      </c>
      <c r="AI137" s="825"/>
      <c r="AJ137" s="769"/>
      <c r="AK137" s="733"/>
      <c r="AL137" s="759"/>
      <c r="AM137" s="759"/>
      <c r="AN137" s="759"/>
      <c r="AO137" s="759"/>
      <c r="AP137" s="759"/>
      <c r="AQ137" s="759"/>
      <c r="AR137" s="759"/>
      <c r="AS137" s="759"/>
      <c r="AT137" s="759"/>
      <c r="AU137" s="759"/>
      <c r="AV137" s="759"/>
      <c r="AW137" s="759"/>
      <c r="AX137" s="759"/>
      <c r="AY137" s="759"/>
      <c r="AZ137" s="759"/>
      <c r="BA137" s="759"/>
      <c r="BB137" s="759"/>
    </row>
    <row r="138" spans="1:54" s="692" customFormat="1" ht="24.9" customHeight="1">
      <c r="A138" s="722">
        <v>13</v>
      </c>
      <c r="B138" s="822" t="s">
        <v>346</v>
      </c>
      <c r="C138" s="751" t="s">
        <v>205</v>
      </c>
      <c r="D138" s="772"/>
      <c r="E138" s="748" t="s">
        <v>575</v>
      </c>
      <c r="F138" s="773">
        <v>700</v>
      </c>
      <c r="G138" s="738">
        <v>200</v>
      </c>
      <c r="H138" s="824"/>
      <c r="I138" s="724">
        <v>0</v>
      </c>
      <c r="J138" s="713">
        <v>0</v>
      </c>
      <c r="K138" s="824"/>
      <c r="L138" s="824"/>
      <c r="M138" s="724"/>
      <c r="N138" s="824"/>
      <c r="O138" s="824"/>
      <c r="P138" s="727">
        <v>900</v>
      </c>
      <c r="Q138" s="728">
        <v>0</v>
      </c>
      <c r="R138" s="824"/>
      <c r="S138" s="824">
        <v>0</v>
      </c>
      <c r="T138" s="729">
        <v>734.08</v>
      </c>
      <c r="U138" s="729">
        <v>346.39</v>
      </c>
      <c r="V138" s="729">
        <v>27.53</v>
      </c>
      <c r="W138" s="729">
        <v>9.18</v>
      </c>
      <c r="X138" s="729">
        <v>34.409999999999997</v>
      </c>
      <c r="Y138" s="729">
        <v>0</v>
      </c>
      <c r="Z138" s="729">
        <v>117</v>
      </c>
      <c r="AA138" s="729">
        <v>1268.5899999999999</v>
      </c>
      <c r="AB138" s="729">
        <v>477.15</v>
      </c>
      <c r="AC138" s="729">
        <v>117</v>
      </c>
      <c r="AD138" s="729">
        <v>59</v>
      </c>
      <c r="AE138" s="729">
        <v>10</v>
      </c>
      <c r="AF138" s="730">
        <v>0</v>
      </c>
      <c r="AG138" s="729">
        <v>663.15</v>
      </c>
      <c r="AH138" s="731">
        <v>236.85</v>
      </c>
      <c r="AI138" s="825"/>
      <c r="AJ138" s="769"/>
      <c r="AK138" s="733"/>
      <c r="AL138" s="759"/>
      <c r="AM138" s="759"/>
      <c r="AN138" s="759"/>
      <c r="AO138" s="759"/>
      <c r="AP138" s="759"/>
      <c r="AQ138" s="759"/>
      <c r="AR138" s="759"/>
      <c r="AS138" s="759"/>
      <c r="AT138" s="759"/>
      <c r="AU138" s="759"/>
      <c r="AV138" s="759"/>
      <c r="AW138" s="759"/>
      <c r="AX138" s="759"/>
      <c r="AY138" s="759"/>
      <c r="AZ138" s="759"/>
      <c r="BA138" s="759"/>
      <c r="BB138" s="759"/>
    </row>
    <row r="139" spans="1:54" s="692" customFormat="1" ht="20.100000000000001" customHeight="1">
      <c r="A139" s="722">
        <v>14</v>
      </c>
      <c r="B139" s="822" t="s">
        <v>346</v>
      </c>
      <c r="C139" s="751" t="s">
        <v>203</v>
      </c>
      <c r="D139" s="772"/>
      <c r="E139" s="748" t="s">
        <v>575</v>
      </c>
      <c r="F139" s="773">
        <v>700</v>
      </c>
      <c r="G139" s="738">
        <v>200</v>
      </c>
      <c r="H139" s="824"/>
      <c r="I139" s="724">
        <v>0</v>
      </c>
      <c r="J139" s="713">
        <v>0</v>
      </c>
      <c r="K139" s="824"/>
      <c r="L139" s="824"/>
      <c r="M139" s="724"/>
      <c r="N139" s="824"/>
      <c r="O139" s="824"/>
      <c r="P139" s="727">
        <v>900</v>
      </c>
      <c r="Q139" s="728">
        <v>0</v>
      </c>
      <c r="R139" s="824"/>
      <c r="S139" s="824">
        <v>0</v>
      </c>
      <c r="T139" s="729">
        <v>734.08</v>
      </c>
      <c r="U139" s="729">
        <v>346.39</v>
      </c>
      <c r="V139" s="729">
        <v>27.53</v>
      </c>
      <c r="W139" s="729">
        <v>9.18</v>
      </c>
      <c r="X139" s="729">
        <v>34.409999999999997</v>
      </c>
      <c r="Y139" s="729">
        <v>0</v>
      </c>
      <c r="Z139" s="729">
        <v>117</v>
      </c>
      <c r="AA139" s="729">
        <v>1268.5899999999999</v>
      </c>
      <c r="AB139" s="729">
        <v>477.15</v>
      </c>
      <c r="AC139" s="729">
        <v>117</v>
      </c>
      <c r="AD139" s="729">
        <v>59</v>
      </c>
      <c r="AE139" s="729">
        <v>10</v>
      </c>
      <c r="AF139" s="730">
        <v>0</v>
      </c>
      <c r="AG139" s="729">
        <v>663.15</v>
      </c>
      <c r="AH139" s="731">
        <v>236.85</v>
      </c>
      <c r="AI139" s="825"/>
      <c r="AJ139" s="769"/>
      <c r="AK139" s="733"/>
      <c r="AL139" s="759"/>
      <c r="AM139" s="759"/>
      <c r="AN139" s="759"/>
      <c r="AO139" s="759"/>
      <c r="AP139" s="759"/>
      <c r="AQ139" s="759"/>
      <c r="AR139" s="759"/>
      <c r="AS139" s="759"/>
      <c r="AT139" s="759"/>
      <c r="AU139" s="759"/>
      <c r="AV139" s="759"/>
      <c r="AW139" s="759"/>
      <c r="AX139" s="759"/>
      <c r="AY139" s="759"/>
      <c r="AZ139" s="759"/>
      <c r="BA139" s="759"/>
      <c r="BB139" s="759"/>
    </row>
    <row r="140" spans="1:54" s="692" customFormat="1" ht="27" customHeight="1">
      <c r="A140" s="722">
        <v>15</v>
      </c>
      <c r="B140" s="774" t="s">
        <v>587</v>
      </c>
      <c r="C140" s="740" t="s">
        <v>214</v>
      </c>
      <c r="D140" s="776"/>
      <c r="E140" s="740" t="s">
        <v>589</v>
      </c>
      <c r="F140" s="771">
        <v>700</v>
      </c>
      <c r="G140" s="724">
        <v>200</v>
      </c>
      <c r="H140" s="724"/>
      <c r="I140" s="724">
        <v>0</v>
      </c>
      <c r="J140" s="713">
        <v>0</v>
      </c>
      <c r="K140" s="724"/>
      <c r="L140" s="724"/>
      <c r="M140" s="724"/>
      <c r="N140" s="724"/>
      <c r="O140" s="724"/>
      <c r="P140" s="727">
        <v>900</v>
      </c>
      <c r="Q140" s="728">
        <v>0</v>
      </c>
      <c r="R140" s="729"/>
      <c r="S140" s="729"/>
      <c r="T140" s="729">
        <v>734.08</v>
      </c>
      <c r="U140" s="729">
        <v>346.39</v>
      </c>
      <c r="V140" s="729">
        <v>27.53</v>
      </c>
      <c r="W140" s="729">
        <v>9.18</v>
      </c>
      <c r="X140" s="729">
        <v>34.409999999999997</v>
      </c>
      <c r="Y140" s="729">
        <v>0</v>
      </c>
      <c r="Z140" s="729">
        <v>117</v>
      </c>
      <c r="AA140" s="729">
        <v>1268.5899999999999</v>
      </c>
      <c r="AB140" s="729">
        <v>477.15</v>
      </c>
      <c r="AC140" s="729">
        <v>117</v>
      </c>
      <c r="AD140" s="729">
        <v>59</v>
      </c>
      <c r="AE140" s="729">
        <v>10</v>
      </c>
      <c r="AF140" s="730">
        <v>0</v>
      </c>
      <c r="AG140" s="729">
        <v>663.15</v>
      </c>
      <c r="AH140" s="731">
        <v>236.85</v>
      </c>
      <c r="AI140" s="736"/>
      <c r="AJ140" s="769"/>
      <c r="AK140" s="733"/>
      <c r="AL140" s="759"/>
      <c r="AM140" s="759"/>
      <c r="AN140" s="759"/>
      <c r="AO140" s="759"/>
      <c r="AP140" s="759"/>
      <c r="AQ140" s="759"/>
      <c r="AR140" s="759"/>
      <c r="AS140" s="759"/>
      <c r="AT140" s="759"/>
      <c r="AU140" s="759"/>
      <c r="AV140" s="759"/>
      <c r="AW140" s="759"/>
      <c r="AX140" s="759"/>
      <c r="AY140" s="759"/>
      <c r="AZ140" s="759"/>
      <c r="BA140" s="759"/>
      <c r="BB140" s="759"/>
    </row>
    <row r="141" spans="1:54" s="692" customFormat="1" ht="20.100000000000001" customHeight="1">
      <c r="A141" s="722">
        <v>16</v>
      </c>
      <c r="B141" s="774" t="s">
        <v>587</v>
      </c>
      <c r="C141" s="740" t="s">
        <v>215</v>
      </c>
      <c r="D141" s="776" t="s">
        <v>585</v>
      </c>
      <c r="E141" s="740" t="s">
        <v>589</v>
      </c>
      <c r="F141" s="771">
        <v>700</v>
      </c>
      <c r="G141" s="724">
        <v>200</v>
      </c>
      <c r="H141" s="724"/>
      <c r="I141" s="724">
        <v>0</v>
      </c>
      <c r="J141" s="713"/>
      <c r="K141" s="724"/>
      <c r="L141" s="724"/>
      <c r="M141" s="724"/>
      <c r="N141" s="724">
        <v>50</v>
      </c>
      <c r="O141" s="724"/>
      <c r="P141" s="727">
        <v>850</v>
      </c>
      <c r="Q141" s="728">
        <v>0</v>
      </c>
      <c r="R141" s="729"/>
      <c r="S141" s="729"/>
      <c r="T141" s="729">
        <v>734.08</v>
      </c>
      <c r="U141" s="729">
        <v>346.39</v>
      </c>
      <c r="V141" s="729">
        <v>27.53</v>
      </c>
      <c r="W141" s="729">
        <v>9.18</v>
      </c>
      <c r="X141" s="729">
        <v>34.409999999999997</v>
      </c>
      <c r="Y141" s="729">
        <v>0</v>
      </c>
      <c r="Z141" s="729">
        <v>117</v>
      </c>
      <c r="AA141" s="729">
        <v>1268.5899999999999</v>
      </c>
      <c r="AB141" s="729">
        <v>477.15</v>
      </c>
      <c r="AC141" s="729">
        <v>117</v>
      </c>
      <c r="AD141" s="729">
        <v>59</v>
      </c>
      <c r="AE141" s="729">
        <v>10</v>
      </c>
      <c r="AF141" s="730">
        <v>0</v>
      </c>
      <c r="AG141" s="729">
        <v>663.15</v>
      </c>
      <c r="AH141" s="731">
        <v>186.85</v>
      </c>
      <c r="AI141" s="736"/>
      <c r="AJ141" s="769"/>
      <c r="AK141" s="733"/>
      <c r="AL141" s="759"/>
      <c r="AM141" s="759"/>
      <c r="AN141" s="759"/>
      <c r="AO141" s="759"/>
      <c r="AP141" s="759"/>
      <c r="AQ141" s="759"/>
      <c r="AR141" s="759"/>
      <c r="AS141" s="759"/>
      <c r="AT141" s="759"/>
      <c r="AU141" s="759"/>
      <c r="AV141" s="759"/>
      <c r="AW141" s="759"/>
      <c r="AX141" s="759"/>
      <c r="AY141" s="759"/>
      <c r="AZ141" s="759"/>
      <c r="BA141" s="759"/>
      <c r="BB141" s="759"/>
    </row>
    <row r="142" spans="1:54" s="692" customFormat="1" ht="27" customHeight="1">
      <c r="A142" s="722">
        <v>17</v>
      </c>
      <c r="B142" s="774" t="s">
        <v>587</v>
      </c>
      <c r="C142" s="826" t="s">
        <v>218</v>
      </c>
      <c r="D142" s="776"/>
      <c r="E142" s="740" t="s">
        <v>589</v>
      </c>
      <c r="F142" s="771">
        <v>700</v>
      </c>
      <c r="G142" s="724">
        <v>200</v>
      </c>
      <c r="H142" s="724"/>
      <c r="I142" s="724">
        <v>0</v>
      </c>
      <c r="J142" s="713">
        <v>0</v>
      </c>
      <c r="K142" s="724"/>
      <c r="L142" s="724"/>
      <c r="M142" s="724"/>
      <c r="N142" s="724"/>
      <c r="O142" s="724"/>
      <c r="P142" s="727">
        <v>900</v>
      </c>
      <c r="Q142" s="728">
        <v>0</v>
      </c>
      <c r="R142" s="729"/>
      <c r="S142" s="729"/>
      <c r="T142" s="729">
        <v>734.08</v>
      </c>
      <c r="U142" s="729">
        <v>346.39</v>
      </c>
      <c r="V142" s="729">
        <v>27.53</v>
      </c>
      <c r="W142" s="729">
        <v>9.18</v>
      </c>
      <c r="X142" s="729">
        <v>34.409999999999997</v>
      </c>
      <c r="Y142" s="729">
        <v>0</v>
      </c>
      <c r="Z142" s="729">
        <v>117</v>
      </c>
      <c r="AA142" s="729">
        <v>1268.5899999999999</v>
      </c>
      <c r="AB142" s="729">
        <v>477.15</v>
      </c>
      <c r="AC142" s="729">
        <v>117</v>
      </c>
      <c r="AD142" s="729">
        <v>59</v>
      </c>
      <c r="AE142" s="729">
        <v>10</v>
      </c>
      <c r="AF142" s="730">
        <v>0</v>
      </c>
      <c r="AG142" s="729">
        <v>663.15</v>
      </c>
      <c r="AH142" s="731">
        <v>236.85</v>
      </c>
      <c r="AI142" s="736"/>
      <c r="AJ142" s="769"/>
      <c r="AK142" s="733"/>
      <c r="AL142" s="759"/>
      <c r="AM142" s="759"/>
      <c r="AN142" s="759"/>
      <c r="AO142" s="759"/>
      <c r="AP142" s="759"/>
      <c r="AQ142" s="759"/>
      <c r="AR142" s="759"/>
      <c r="AS142" s="759"/>
      <c r="AT142" s="759"/>
      <c r="AU142" s="759"/>
      <c r="AV142" s="759"/>
      <c r="AW142" s="759"/>
      <c r="AX142" s="759"/>
      <c r="AY142" s="759"/>
      <c r="AZ142" s="759"/>
      <c r="BA142" s="759"/>
      <c r="BB142" s="759"/>
    </row>
    <row r="143" spans="1:54" s="692" customFormat="1" ht="20.100000000000001" customHeight="1">
      <c r="A143" s="722">
        <v>18</v>
      </c>
      <c r="B143" s="774" t="s">
        <v>587</v>
      </c>
      <c r="C143" s="827" t="s">
        <v>216</v>
      </c>
      <c r="D143" s="776" t="s">
        <v>653</v>
      </c>
      <c r="E143" s="740" t="s">
        <v>589</v>
      </c>
      <c r="F143" s="771">
        <v>780</v>
      </c>
      <c r="G143" s="724"/>
      <c r="H143" s="724"/>
      <c r="I143" s="724">
        <v>0</v>
      </c>
      <c r="J143" s="713"/>
      <c r="K143" s="724"/>
      <c r="L143" s="724"/>
      <c r="M143" s="724"/>
      <c r="N143" s="724">
        <v>50</v>
      </c>
      <c r="O143" s="724"/>
      <c r="P143" s="727">
        <v>730</v>
      </c>
      <c r="Q143" s="728">
        <v>0</v>
      </c>
      <c r="R143" s="729"/>
      <c r="S143" s="729"/>
      <c r="T143" s="729">
        <v>734.08</v>
      </c>
      <c r="U143" s="729">
        <v>346.39</v>
      </c>
      <c r="V143" s="729">
        <v>27.53</v>
      </c>
      <c r="W143" s="729">
        <v>9.18</v>
      </c>
      <c r="X143" s="729">
        <v>34.409999999999997</v>
      </c>
      <c r="Y143" s="729">
        <v>0</v>
      </c>
      <c r="Z143" s="729">
        <v>117</v>
      </c>
      <c r="AA143" s="729">
        <v>1268.5899999999999</v>
      </c>
      <c r="AB143" s="729">
        <v>477.15</v>
      </c>
      <c r="AC143" s="729">
        <v>117</v>
      </c>
      <c r="AD143" s="729">
        <v>59</v>
      </c>
      <c r="AE143" s="729">
        <v>10</v>
      </c>
      <c r="AF143" s="730">
        <v>0</v>
      </c>
      <c r="AG143" s="729">
        <v>663.15</v>
      </c>
      <c r="AH143" s="731">
        <v>66.849999999999994</v>
      </c>
      <c r="AI143" s="736"/>
      <c r="AJ143" s="769"/>
      <c r="AK143" s="733"/>
      <c r="AL143" s="759"/>
      <c r="AM143" s="759"/>
      <c r="AN143" s="759"/>
      <c r="AO143" s="759"/>
      <c r="AP143" s="759"/>
      <c r="AQ143" s="759"/>
      <c r="AR143" s="759"/>
      <c r="AS143" s="759"/>
      <c r="AT143" s="759"/>
      <c r="AU143" s="759"/>
      <c r="AV143" s="759"/>
      <c r="AW143" s="759"/>
      <c r="AX143" s="759"/>
      <c r="AY143" s="759"/>
      <c r="AZ143" s="759"/>
      <c r="BA143" s="759"/>
      <c r="BB143" s="759"/>
    </row>
    <row r="144" spans="1:54" s="692" customFormat="1" ht="20.100000000000001" customHeight="1">
      <c r="A144" s="722">
        <v>19</v>
      </c>
      <c r="B144" s="762" t="s">
        <v>347</v>
      </c>
      <c r="C144" s="751" t="s">
        <v>212</v>
      </c>
      <c r="D144" s="772"/>
      <c r="E144" s="748" t="s">
        <v>654</v>
      </c>
      <c r="F144" s="771">
        <v>1200</v>
      </c>
      <c r="G144" s="724">
        <v>300</v>
      </c>
      <c r="H144" s="724">
        <v>100</v>
      </c>
      <c r="I144" s="724">
        <v>0</v>
      </c>
      <c r="J144" s="713">
        <v>0</v>
      </c>
      <c r="K144" s="724"/>
      <c r="L144" s="724">
        <v>100</v>
      </c>
      <c r="M144" s="724"/>
      <c r="N144" s="824"/>
      <c r="O144" s="824"/>
      <c r="P144" s="727">
        <v>1700</v>
      </c>
      <c r="Q144" s="728">
        <v>0</v>
      </c>
      <c r="R144" s="824"/>
      <c r="S144" s="824">
        <v>0</v>
      </c>
      <c r="T144" s="729">
        <v>734.08</v>
      </c>
      <c r="U144" s="729">
        <v>346.39</v>
      </c>
      <c r="V144" s="729">
        <v>27.53</v>
      </c>
      <c r="W144" s="729">
        <v>9.18</v>
      </c>
      <c r="X144" s="729">
        <v>34.409999999999997</v>
      </c>
      <c r="Y144" s="729">
        <v>0</v>
      </c>
      <c r="Z144" s="729">
        <v>117</v>
      </c>
      <c r="AA144" s="729">
        <v>1268.5899999999999</v>
      </c>
      <c r="AB144" s="729">
        <v>477.15</v>
      </c>
      <c r="AC144" s="729">
        <v>117</v>
      </c>
      <c r="AD144" s="729">
        <v>59</v>
      </c>
      <c r="AE144" s="729">
        <v>10</v>
      </c>
      <c r="AF144" s="730">
        <v>0</v>
      </c>
      <c r="AG144" s="729">
        <v>663.15</v>
      </c>
      <c r="AH144" s="731">
        <v>1036.8499999999999</v>
      </c>
      <c r="AI144" s="825"/>
      <c r="AJ144" s="769"/>
      <c r="AK144" s="733"/>
      <c r="AL144" s="759"/>
      <c r="AM144" s="759"/>
      <c r="AN144" s="759"/>
      <c r="AO144" s="759"/>
      <c r="AP144" s="759"/>
      <c r="AQ144" s="759"/>
      <c r="AR144" s="759"/>
      <c r="AS144" s="759"/>
      <c r="AT144" s="759"/>
      <c r="AU144" s="759"/>
      <c r="AV144" s="759"/>
      <c r="AW144" s="759"/>
      <c r="AX144" s="759"/>
      <c r="AY144" s="759"/>
      <c r="AZ144" s="759"/>
      <c r="BA144" s="759"/>
      <c r="BB144" s="759"/>
    </row>
    <row r="145" spans="1:54" s="692" customFormat="1" ht="24.9" customHeight="1">
      <c r="A145" s="722">
        <v>20</v>
      </c>
      <c r="B145" s="762" t="s">
        <v>347</v>
      </c>
      <c r="C145" s="789" t="s">
        <v>208</v>
      </c>
      <c r="D145" s="735"/>
      <c r="E145" s="740" t="s">
        <v>580</v>
      </c>
      <c r="F145" s="724">
        <v>700</v>
      </c>
      <c r="G145" s="724">
        <v>200</v>
      </c>
      <c r="H145" s="824"/>
      <c r="I145" s="724">
        <v>0</v>
      </c>
      <c r="J145" s="713">
        <v>0</v>
      </c>
      <c r="K145" s="824"/>
      <c r="L145" s="824"/>
      <c r="M145" s="724"/>
      <c r="N145" s="824"/>
      <c r="O145" s="824"/>
      <c r="P145" s="727">
        <v>900</v>
      </c>
      <c r="Q145" s="728">
        <v>0</v>
      </c>
      <c r="R145" s="824"/>
      <c r="S145" s="824">
        <v>0</v>
      </c>
      <c r="T145" s="729">
        <v>734.08</v>
      </c>
      <c r="U145" s="729">
        <v>346.39</v>
      </c>
      <c r="V145" s="729">
        <v>27.53</v>
      </c>
      <c r="W145" s="729">
        <v>9.18</v>
      </c>
      <c r="X145" s="729">
        <v>34.409999999999997</v>
      </c>
      <c r="Y145" s="729">
        <v>0</v>
      </c>
      <c r="Z145" s="729">
        <v>117</v>
      </c>
      <c r="AA145" s="729">
        <v>1268.5899999999999</v>
      </c>
      <c r="AB145" s="729">
        <v>477.15</v>
      </c>
      <c r="AC145" s="729">
        <v>117</v>
      </c>
      <c r="AD145" s="729">
        <v>59</v>
      </c>
      <c r="AE145" s="729">
        <v>10</v>
      </c>
      <c r="AF145" s="730">
        <v>0</v>
      </c>
      <c r="AG145" s="729">
        <v>663.15</v>
      </c>
      <c r="AH145" s="731">
        <v>236.85</v>
      </c>
      <c r="AI145" s="825"/>
      <c r="AJ145" s="769"/>
      <c r="AK145" s="733"/>
      <c r="AL145" s="759"/>
      <c r="AM145" s="759"/>
      <c r="AN145" s="759"/>
      <c r="AO145" s="759"/>
      <c r="AP145" s="759"/>
      <c r="AQ145" s="759"/>
      <c r="AR145" s="759"/>
      <c r="AS145" s="759"/>
      <c r="AT145" s="759"/>
      <c r="AU145" s="759"/>
      <c r="AV145" s="759"/>
      <c r="AW145" s="759"/>
      <c r="AX145" s="759"/>
      <c r="AY145" s="759"/>
      <c r="AZ145" s="759"/>
      <c r="BA145" s="759"/>
      <c r="BB145" s="759"/>
    </row>
    <row r="146" spans="1:54" s="692" customFormat="1" ht="24.9" customHeight="1">
      <c r="A146" s="722">
        <v>21</v>
      </c>
      <c r="B146" s="762" t="s">
        <v>347</v>
      </c>
      <c r="C146" s="789" t="s">
        <v>213</v>
      </c>
      <c r="D146" s="735"/>
      <c r="E146" s="740" t="s">
        <v>655</v>
      </c>
      <c r="F146" s="724">
        <v>1000</v>
      </c>
      <c r="G146" s="724">
        <v>200</v>
      </c>
      <c r="H146" s="824"/>
      <c r="I146" s="724">
        <v>0</v>
      </c>
      <c r="J146" s="713">
        <v>0</v>
      </c>
      <c r="K146" s="824"/>
      <c r="L146" s="824"/>
      <c r="M146" s="724"/>
      <c r="N146" s="824"/>
      <c r="O146" s="824"/>
      <c r="P146" s="727">
        <v>1200</v>
      </c>
      <c r="Q146" s="728">
        <v>0</v>
      </c>
      <c r="R146" s="824"/>
      <c r="S146" s="824">
        <v>0</v>
      </c>
      <c r="T146" s="729">
        <v>734.08</v>
      </c>
      <c r="U146" s="729">
        <v>346.39</v>
      </c>
      <c r="V146" s="729">
        <v>27.53</v>
      </c>
      <c r="W146" s="729">
        <v>9.18</v>
      </c>
      <c r="X146" s="729">
        <v>34.409999999999997</v>
      </c>
      <c r="Y146" s="729">
        <v>0</v>
      </c>
      <c r="Z146" s="729">
        <v>117</v>
      </c>
      <c r="AA146" s="729">
        <v>1268.5899999999999</v>
      </c>
      <c r="AB146" s="729">
        <v>477.15</v>
      </c>
      <c r="AC146" s="729">
        <v>117</v>
      </c>
      <c r="AD146" s="729">
        <v>59</v>
      </c>
      <c r="AE146" s="729">
        <v>10</v>
      </c>
      <c r="AF146" s="730">
        <v>0</v>
      </c>
      <c r="AG146" s="729">
        <v>663.15</v>
      </c>
      <c r="AH146" s="731">
        <v>536.85</v>
      </c>
      <c r="AI146" s="825"/>
      <c r="AJ146" s="769"/>
      <c r="AK146" s="733"/>
      <c r="AL146" s="759"/>
      <c r="AM146" s="759"/>
      <c r="AN146" s="759"/>
      <c r="AO146" s="759"/>
      <c r="AP146" s="759"/>
      <c r="AQ146" s="759"/>
      <c r="AR146" s="759"/>
      <c r="AS146" s="759"/>
      <c r="AT146" s="759"/>
      <c r="AU146" s="759"/>
      <c r="AV146" s="759"/>
      <c r="AW146" s="759"/>
      <c r="AX146" s="759"/>
      <c r="AY146" s="759"/>
      <c r="AZ146" s="759"/>
      <c r="BA146" s="759"/>
      <c r="BB146" s="759"/>
    </row>
    <row r="147" spans="1:54" s="692" customFormat="1" ht="20.100000000000001" customHeight="1">
      <c r="A147" s="722">
        <v>22</v>
      </c>
      <c r="B147" s="762" t="s">
        <v>347</v>
      </c>
      <c r="C147" s="763" t="s">
        <v>209</v>
      </c>
      <c r="D147" s="764"/>
      <c r="E147" s="763" t="s">
        <v>580</v>
      </c>
      <c r="F147" s="773">
        <v>700</v>
      </c>
      <c r="G147" s="738">
        <v>200</v>
      </c>
      <c r="H147" s="738"/>
      <c r="I147" s="726">
        <v>0</v>
      </c>
      <c r="J147" s="713">
        <v>0</v>
      </c>
      <c r="K147" s="738"/>
      <c r="L147" s="738"/>
      <c r="M147" s="724"/>
      <c r="N147" s="738"/>
      <c r="O147" s="738"/>
      <c r="P147" s="727">
        <v>900</v>
      </c>
      <c r="Q147" s="728">
        <v>0</v>
      </c>
      <c r="R147" s="741"/>
      <c r="S147" s="741">
        <v>0</v>
      </c>
      <c r="T147" s="729">
        <v>734.08</v>
      </c>
      <c r="U147" s="729">
        <v>346.39</v>
      </c>
      <c r="V147" s="729">
        <v>27.53</v>
      </c>
      <c r="W147" s="729">
        <v>9.18</v>
      </c>
      <c r="X147" s="729">
        <v>34.409999999999997</v>
      </c>
      <c r="Y147" s="729">
        <v>0</v>
      </c>
      <c r="Z147" s="729">
        <v>117</v>
      </c>
      <c r="AA147" s="729">
        <v>1268.5899999999999</v>
      </c>
      <c r="AB147" s="729">
        <v>477.15</v>
      </c>
      <c r="AC147" s="729">
        <v>117</v>
      </c>
      <c r="AD147" s="729">
        <v>59</v>
      </c>
      <c r="AE147" s="729">
        <v>10</v>
      </c>
      <c r="AF147" s="730">
        <v>0</v>
      </c>
      <c r="AG147" s="729">
        <v>663.15</v>
      </c>
      <c r="AH147" s="731">
        <v>236.85</v>
      </c>
      <c r="AI147" s="765"/>
      <c r="AJ147" s="769"/>
      <c r="AK147" s="733"/>
      <c r="AL147" s="759"/>
      <c r="AM147" s="759"/>
      <c r="AN147" s="759"/>
      <c r="AO147" s="759"/>
      <c r="AP147" s="759"/>
      <c r="AQ147" s="759"/>
      <c r="AR147" s="759"/>
      <c r="AS147" s="759"/>
      <c r="AT147" s="759"/>
      <c r="AU147" s="759"/>
      <c r="AV147" s="759"/>
      <c r="AW147" s="759"/>
      <c r="AX147" s="759"/>
      <c r="AY147" s="759"/>
      <c r="AZ147" s="759"/>
      <c r="BA147" s="759"/>
      <c r="BB147" s="759"/>
    </row>
    <row r="148" spans="1:54" s="692" customFormat="1" ht="20.100000000000001" customHeight="1">
      <c r="A148" s="722">
        <v>23</v>
      </c>
      <c r="B148" s="762" t="s">
        <v>347</v>
      </c>
      <c r="C148" s="763" t="s">
        <v>211</v>
      </c>
      <c r="D148" s="764" t="s">
        <v>585</v>
      </c>
      <c r="E148" s="763" t="s">
        <v>580</v>
      </c>
      <c r="F148" s="773">
        <v>700</v>
      </c>
      <c r="G148" s="738">
        <v>200</v>
      </c>
      <c r="H148" s="738"/>
      <c r="I148" s="726">
        <v>0</v>
      </c>
      <c r="J148" s="713">
        <v>0</v>
      </c>
      <c r="K148" s="738"/>
      <c r="L148" s="738"/>
      <c r="M148" s="724"/>
      <c r="N148" s="738">
        <v>50</v>
      </c>
      <c r="O148" s="738"/>
      <c r="P148" s="727">
        <v>850</v>
      </c>
      <c r="Q148" s="728">
        <v>0</v>
      </c>
      <c r="R148" s="741"/>
      <c r="S148" s="741">
        <v>0</v>
      </c>
      <c r="T148" s="729">
        <v>734.08</v>
      </c>
      <c r="U148" s="729">
        <v>346.39</v>
      </c>
      <c r="V148" s="729">
        <v>27.53</v>
      </c>
      <c r="W148" s="729">
        <v>9.18</v>
      </c>
      <c r="X148" s="729">
        <v>34.409999999999997</v>
      </c>
      <c r="Y148" s="729">
        <v>0</v>
      </c>
      <c r="Z148" s="729">
        <v>117</v>
      </c>
      <c r="AA148" s="729">
        <v>1268.5899999999999</v>
      </c>
      <c r="AB148" s="729">
        <v>477.15</v>
      </c>
      <c r="AC148" s="729">
        <v>117</v>
      </c>
      <c r="AD148" s="729">
        <v>59</v>
      </c>
      <c r="AE148" s="729">
        <v>10</v>
      </c>
      <c r="AF148" s="730">
        <v>0</v>
      </c>
      <c r="AG148" s="729">
        <v>663.15</v>
      </c>
      <c r="AH148" s="731">
        <v>186.85</v>
      </c>
      <c r="AI148" s="765"/>
      <c r="AJ148" s="769"/>
      <c r="AK148" s="733"/>
      <c r="AL148" s="759"/>
      <c r="AM148" s="759"/>
      <c r="AN148" s="759"/>
      <c r="AO148" s="759"/>
      <c r="AP148" s="759"/>
      <c r="AQ148" s="759"/>
      <c r="AR148" s="759"/>
      <c r="AS148" s="759"/>
      <c r="AT148" s="759"/>
      <c r="AU148" s="759"/>
      <c r="AV148" s="759"/>
      <c r="AW148" s="759"/>
      <c r="AX148" s="759"/>
      <c r="AY148" s="759"/>
      <c r="AZ148" s="759"/>
      <c r="BA148" s="759"/>
      <c r="BB148" s="759"/>
    </row>
    <row r="149" spans="1:54" s="692" customFormat="1" ht="20.100000000000001" customHeight="1">
      <c r="A149" s="722">
        <v>24</v>
      </c>
      <c r="B149" s="712" t="s">
        <v>656</v>
      </c>
      <c r="C149" s="748" t="s">
        <v>224</v>
      </c>
      <c r="D149" s="739"/>
      <c r="E149" s="748" t="s">
        <v>605</v>
      </c>
      <c r="F149" s="773">
        <v>850</v>
      </c>
      <c r="G149" s="738">
        <v>250</v>
      </c>
      <c r="H149" s="738"/>
      <c r="I149" s="724">
        <v>40</v>
      </c>
      <c r="J149" s="713">
        <v>0</v>
      </c>
      <c r="K149" s="738"/>
      <c r="L149" s="738"/>
      <c r="M149" s="738"/>
      <c r="N149" s="738"/>
      <c r="O149" s="738"/>
      <c r="P149" s="727">
        <v>1140</v>
      </c>
      <c r="Q149" s="728">
        <v>0</v>
      </c>
      <c r="R149" s="741"/>
      <c r="S149" s="741">
        <v>0</v>
      </c>
      <c r="T149" s="729">
        <v>734.08</v>
      </c>
      <c r="U149" s="729">
        <v>346.39</v>
      </c>
      <c r="V149" s="729">
        <v>27.53</v>
      </c>
      <c r="W149" s="729">
        <v>9.18</v>
      </c>
      <c r="X149" s="729">
        <v>34.409999999999997</v>
      </c>
      <c r="Y149" s="729">
        <v>0</v>
      </c>
      <c r="Z149" s="729">
        <v>117</v>
      </c>
      <c r="AA149" s="729">
        <v>1268.5899999999999</v>
      </c>
      <c r="AB149" s="729">
        <v>477.15</v>
      </c>
      <c r="AC149" s="729">
        <v>117</v>
      </c>
      <c r="AD149" s="729">
        <v>0</v>
      </c>
      <c r="AE149" s="741">
        <v>10</v>
      </c>
      <c r="AF149" s="730">
        <v>0</v>
      </c>
      <c r="AG149" s="729">
        <v>604.15</v>
      </c>
      <c r="AH149" s="731">
        <v>535.85</v>
      </c>
      <c r="AI149" s="742"/>
      <c r="AJ149" s="769"/>
      <c r="AK149" s="733"/>
      <c r="AL149" s="743"/>
      <c r="AM149" s="743"/>
      <c r="AN149" s="743"/>
      <c r="AO149" s="743"/>
      <c r="AP149" s="743"/>
      <c r="AQ149" s="743"/>
      <c r="AR149" s="743"/>
      <c r="AS149" s="743"/>
      <c r="AT149" s="743"/>
      <c r="AU149" s="743"/>
      <c r="AV149" s="743"/>
      <c r="AW149" s="743"/>
      <c r="AX149" s="743"/>
      <c r="AY149" s="743"/>
      <c r="AZ149" s="743"/>
      <c r="BA149" s="743"/>
      <c r="BB149" s="743"/>
    </row>
    <row r="150" spans="1:54" s="692" customFormat="1" ht="20.100000000000001" customHeight="1">
      <c r="A150" s="722">
        <v>25</v>
      </c>
      <c r="B150" s="712" t="s">
        <v>656</v>
      </c>
      <c r="C150" s="761" t="s">
        <v>225</v>
      </c>
      <c r="D150" s="828"/>
      <c r="E150" s="829" t="s">
        <v>610</v>
      </c>
      <c r="F150" s="771">
        <v>700</v>
      </c>
      <c r="G150" s="724">
        <v>200</v>
      </c>
      <c r="H150" s="724"/>
      <c r="I150" s="724">
        <v>30</v>
      </c>
      <c r="J150" s="713">
        <v>0</v>
      </c>
      <c r="K150" s="724"/>
      <c r="L150" s="724"/>
      <c r="M150" s="738"/>
      <c r="N150" s="724"/>
      <c r="O150" s="724"/>
      <c r="P150" s="727">
        <v>930</v>
      </c>
      <c r="Q150" s="728">
        <v>0</v>
      </c>
      <c r="R150" s="729"/>
      <c r="S150" s="729">
        <v>0</v>
      </c>
      <c r="T150" s="729">
        <v>734.08</v>
      </c>
      <c r="U150" s="729">
        <v>346.39</v>
      </c>
      <c r="V150" s="729">
        <v>27.53</v>
      </c>
      <c r="W150" s="729">
        <v>9.18</v>
      </c>
      <c r="X150" s="729">
        <v>34.409999999999997</v>
      </c>
      <c r="Y150" s="729">
        <v>0</v>
      </c>
      <c r="Z150" s="729">
        <v>117</v>
      </c>
      <c r="AA150" s="729">
        <v>1268.5899999999999</v>
      </c>
      <c r="AB150" s="729">
        <v>477.15</v>
      </c>
      <c r="AC150" s="729">
        <v>117</v>
      </c>
      <c r="AD150" s="729">
        <v>0</v>
      </c>
      <c r="AE150" s="729">
        <v>10</v>
      </c>
      <c r="AF150" s="730">
        <v>0</v>
      </c>
      <c r="AG150" s="729">
        <v>604.15</v>
      </c>
      <c r="AH150" s="731">
        <v>325.85000000000002</v>
      </c>
      <c r="AI150" s="736"/>
      <c r="AJ150" s="769"/>
      <c r="AK150" s="733"/>
      <c r="AL150" s="759"/>
      <c r="AM150" s="759"/>
      <c r="AN150" s="759"/>
      <c r="AO150" s="759"/>
      <c r="AP150" s="759"/>
      <c r="AQ150" s="759"/>
      <c r="AR150" s="759"/>
      <c r="AS150" s="759"/>
      <c r="AT150" s="759"/>
      <c r="AU150" s="759"/>
      <c r="AV150" s="759"/>
      <c r="AW150" s="759"/>
      <c r="AX150" s="759"/>
      <c r="AY150" s="759"/>
      <c r="AZ150" s="759"/>
      <c r="BA150" s="759"/>
      <c r="BB150" s="759"/>
    </row>
    <row r="151" spans="1:54" s="692" customFormat="1" ht="20.100000000000001" customHeight="1">
      <c r="A151" s="722">
        <v>26</v>
      </c>
      <c r="B151" s="712" t="s">
        <v>657</v>
      </c>
      <c r="C151" s="712" t="s">
        <v>226</v>
      </c>
      <c r="D151" s="776"/>
      <c r="E151" s="821" t="s">
        <v>605</v>
      </c>
      <c r="F151" s="771">
        <v>850</v>
      </c>
      <c r="G151" s="724">
        <v>250</v>
      </c>
      <c r="H151" s="724"/>
      <c r="I151" s="724">
        <v>30</v>
      </c>
      <c r="J151" s="713">
        <v>0</v>
      </c>
      <c r="K151" s="724"/>
      <c r="L151" s="724"/>
      <c r="M151" s="738"/>
      <c r="N151" s="724"/>
      <c r="O151" s="724"/>
      <c r="P151" s="727">
        <v>1130</v>
      </c>
      <c r="Q151" s="728">
        <v>0</v>
      </c>
      <c r="R151" s="729"/>
      <c r="S151" s="729">
        <v>0</v>
      </c>
      <c r="T151" s="729">
        <v>734.08</v>
      </c>
      <c r="U151" s="729">
        <v>346.39</v>
      </c>
      <c r="V151" s="729">
        <v>27.53</v>
      </c>
      <c r="W151" s="729">
        <v>9.18</v>
      </c>
      <c r="X151" s="729">
        <v>34.409999999999997</v>
      </c>
      <c r="Y151" s="729">
        <v>0</v>
      </c>
      <c r="Z151" s="729">
        <v>117</v>
      </c>
      <c r="AA151" s="729">
        <v>1268.5899999999999</v>
      </c>
      <c r="AB151" s="729">
        <v>477.15</v>
      </c>
      <c r="AC151" s="729">
        <v>117</v>
      </c>
      <c r="AD151" s="729">
        <v>0</v>
      </c>
      <c r="AE151" s="729">
        <v>10</v>
      </c>
      <c r="AF151" s="730">
        <v>0</v>
      </c>
      <c r="AG151" s="729">
        <v>604.15</v>
      </c>
      <c r="AH151" s="731">
        <v>525.85</v>
      </c>
      <c r="AI151" s="736"/>
      <c r="AJ151" s="769"/>
      <c r="AK151" s="733"/>
      <c r="AL151" s="759"/>
      <c r="AM151" s="759"/>
      <c r="AN151" s="759"/>
      <c r="AO151" s="759"/>
      <c r="AP151" s="759"/>
      <c r="AQ151" s="759"/>
      <c r="AR151" s="759"/>
      <c r="AS151" s="759"/>
      <c r="AT151" s="759"/>
      <c r="AU151" s="759"/>
      <c r="AV151" s="759"/>
      <c r="AW151" s="759"/>
      <c r="AX151" s="759"/>
      <c r="AY151" s="759"/>
      <c r="AZ151" s="759"/>
      <c r="BA151" s="759"/>
      <c r="BB151" s="759"/>
    </row>
    <row r="152" spans="1:54" s="692" customFormat="1" ht="20.100000000000001" customHeight="1">
      <c r="A152" s="722">
        <v>27</v>
      </c>
      <c r="B152" s="712" t="s">
        <v>657</v>
      </c>
      <c r="C152" s="712" t="s">
        <v>227</v>
      </c>
      <c r="D152" s="776"/>
      <c r="E152" s="821" t="s">
        <v>603</v>
      </c>
      <c r="F152" s="771">
        <v>700</v>
      </c>
      <c r="G152" s="724">
        <v>200</v>
      </c>
      <c r="H152" s="724"/>
      <c r="I152" s="724">
        <v>30</v>
      </c>
      <c r="J152" s="713">
        <v>0</v>
      </c>
      <c r="K152" s="724"/>
      <c r="L152" s="724"/>
      <c r="M152" s="738"/>
      <c r="N152" s="724"/>
      <c r="O152" s="724"/>
      <c r="P152" s="727">
        <v>930</v>
      </c>
      <c r="Q152" s="728">
        <v>0</v>
      </c>
      <c r="R152" s="729"/>
      <c r="S152" s="729">
        <v>0</v>
      </c>
      <c r="T152" s="729">
        <v>734.08</v>
      </c>
      <c r="U152" s="729">
        <v>346.39</v>
      </c>
      <c r="V152" s="729">
        <v>27.53</v>
      </c>
      <c r="W152" s="729">
        <v>9.18</v>
      </c>
      <c r="X152" s="729">
        <v>34.409999999999997</v>
      </c>
      <c r="Y152" s="729">
        <v>0</v>
      </c>
      <c r="Z152" s="729">
        <v>117</v>
      </c>
      <c r="AA152" s="729">
        <v>1268.5899999999999</v>
      </c>
      <c r="AB152" s="729">
        <v>477.15</v>
      </c>
      <c r="AC152" s="729">
        <v>117</v>
      </c>
      <c r="AD152" s="729">
        <v>0</v>
      </c>
      <c r="AE152" s="729">
        <v>10</v>
      </c>
      <c r="AF152" s="730">
        <v>0</v>
      </c>
      <c r="AG152" s="729">
        <v>604.15</v>
      </c>
      <c r="AH152" s="731">
        <v>325.85000000000002</v>
      </c>
      <c r="AI152" s="736"/>
      <c r="AJ152" s="769"/>
      <c r="AK152" s="733"/>
      <c r="AL152" s="759"/>
      <c r="AM152" s="759"/>
      <c r="AN152" s="759"/>
      <c r="AO152" s="759"/>
      <c r="AP152" s="759"/>
      <c r="AQ152" s="759"/>
      <c r="AR152" s="759"/>
      <c r="AS152" s="759"/>
      <c r="AT152" s="759"/>
      <c r="AU152" s="759"/>
      <c r="AV152" s="759"/>
      <c r="AW152" s="759"/>
      <c r="AX152" s="759"/>
      <c r="AY152" s="759"/>
      <c r="AZ152" s="759"/>
      <c r="BA152" s="759"/>
      <c r="BB152" s="759"/>
    </row>
    <row r="153" spans="1:54" s="692" customFormat="1" ht="26.1" customHeight="1">
      <c r="A153" s="722">
        <v>28</v>
      </c>
      <c r="B153" s="712" t="s">
        <v>658</v>
      </c>
      <c r="C153" s="712" t="s">
        <v>228</v>
      </c>
      <c r="D153" s="776" t="s">
        <v>585</v>
      </c>
      <c r="E153" s="748" t="s">
        <v>605</v>
      </c>
      <c r="F153" s="771">
        <v>850</v>
      </c>
      <c r="G153" s="724">
        <v>250</v>
      </c>
      <c r="H153" s="724"/>
      <c r="I153" s="724">
        <v>90</v>
      </c>
      <c r="J153" s="713">
        <v>0</v>
      </c>
      <c r="K153" s="724"/>
      <c r="L153" s="724"/>
      <c r="M153" s="738"/>
      <c r="N153" s="724">
        <v>50</v>
      </c>
      <c r="O153" s="724"/>
      <c r="P153" s="727">
        <v>1140</v>
      </c>
      <c r="Q153" s="728">
        <v>0</v>
      </c>
      <c r="R153" s="729"/>
      <c r="S153" s="729">
        <v>0</v>
      </c>
      <c r="T153" s="729">
        <v>734.08</v>
      </c>
      <c r="U153" s="729">
        <v>346.39</v>
      </c>
      <c r="V153" s="729">
        <v>27.53</v>
      </c>
      <c r="W153" s="729">
        <v>9.18</v>
      </c>
      <c r="X153" s="729">
        <v>34.409999999999997</v>
      </c>
      <c r="Y153" s="729">
        <v>0</v>
      </c>
      <c r="Z153" s="729">
        <v>117</v>
      </c>
      <c r="AA153" s="729">
        <v>1268.5899999999999</v>
      </c>
      <c r="AB153" s="729">
        <v>477.15</v>
      </c>
      <c r="AC153" s="729">
        <v>117</v>
      </c>
      <c r="AD153" s="729">
        <v>0</v>
      </c>
      <c r="AE153" s="729">
        <v>10</v>
      </c>
      <c r="AF153" s="730">
        <v>0</v>
      </c>
      <c r="AG153" s="729">
        <v>604.15</v>
      </c>
      <c r="AH153" s="731">
        <v>535.85</v>
      </c>
      <c r="AI153" s="736"/>
      <c r="AJ153" s="769"/>
      <c r="AK153" s="733"/>
      <c r="AL153" s="759"/>
      <c r="AM153" s="759"/>
      <c r="AN153" s="759"/>
      <c r="AO153" s="759"/>
      <c r="AP153" s="759"/>
      <c r="AQ153" s="759"/>
      <c r="AR153" s="759"/>
      <c r="AS153" s="759"/>
      <c r="AT153" s="759"/>
      <c r="AU153" s="759"/>
      <c r="AV153" s="759"/>
      <c r="AW153" s="759"/>
      <c r="AX153" s="759"/>
      <c r="AY153" s="759"/>
      <c r="AZ153" s="759"/>
      <c r="BA153" s="759"/>
      <c r="BB153" s="759"/>
    </row>
    <row r="154" spans="1:54" s="692" customFormat="1" ht="20.100000000000001" customHeight="1">
      <c r="A154" s="722">
        <v>29</v>
      </c>
      <c r="B154" s="712" t="s">
        <v>658</v>
      </c>
      <c r="C154" s="726" t="s">
        <v>230</v>
      </c>
      <c r="D154" s="776"/>
      <c r="E154" s="748" t="s">
        <v>659</v>
      </c>
      <c r="F154" s="773">
        <v>700</v>
      </c>
      <c r="G154" s="738">
        <v>200</v>
      </c>
      <c r="H154" s="738"/>
      <c r="I154" s="724">
        <v>60</v>
      </c>
      <c r="J154" s="713">
        <v>0</v>
      </c>
      <c r="K154" s="738"/>
      <c r="L154" s="738"/>
      <c r="M154" s="738"/>
      <c r="N154" s="738"/>
      <c r="O154" s="738"/>
      <c r="P154" s="727">
        <v>960</v>
      </c>
      <c r="Q154" s="728">
        <v>0</v>
      </c>
      <c r="R154" s="741"/>
      <c r="S154" s="741">
        <v>0</v>
      </c>
      <c r="T154" s="729">
        <v>734.08</v>
      </c>
      <c r="U154" s="729">
        <v>346.39</v>
      </c>
      <c r="V154" s="729">
        <v>27.53</v>
      </c>
      <c r="W154" s="729">
        <v>9.18</v>
      </c>
      <c r="X154" s="729">
        <v>34.409999999999997</v>
      </c>
      <c r="Y154" s="729">
        <v>0</v>
      </c>
      <c r="Z154" s="729">
        <v>117</v>
      </c>
      <c r="AA154" s="729">
        <v>1268.5899999999999</v>
      </c>
      <c r="AB154" s="729">
        <v>477.15</v>
      </c>
      <c r="AC154" s="729">
        <v>117</v>
      </c>
      <c r="AD154" s="729">
        <v>0</v>
      </c>
      <c r="AE154" s="729">
        <v>10</v>
      </c>
      <c r="AF154" s="730">
        <v>0</v>
      </c>
      <c r="AG154" s="729">
        <v>604.15</v>
      </c>
      <c r="AH154" s="731">
        <v>355.85</v>
      </c>
      <c r="AI154" s="765"/>
      <c r="AJ154" s="769"/>
      <c r="AK154" s="733"/>
      <c r="AL154" s="759"/>
      <c r="AM154" s="759"/>
      <c r="AN154" s="759"/>
      <c r="AO154" s="759"/>
      <c r="AP154" s="759"/>
      <c r="AQ154" s="759"/>
      <c r="AR154" s="759"/>
      <c r="AS154" s="759"/>
      <c r="AT154" s="759"/>
      <c r="AU154" s="759"/>
      <c r="AV154" s="759"/>
      <c r="AW154" s="759"/>
      <c r="AX154" s="759"/>
      <c r="AY154" s="759"/>
      <c r="AZ154" s="759"/>
      <c r="BA154" s="759"/>
      <c r="BB154" s="759"/>
    </row>
    <row r="155" spans="1:54" s="692" customFormat="1" ht="20.100000000000001" customHeight="1">
      <c r="A155" s="722">
        <v>30</v>
      </c>
      <c r="B155" s="712" t="s">
        <v>658</v>
      </c>
      <c r="C155" s="761" t="s">
        <v>231</v>
      </c>
      <c r="D155" s="828"/>
      <c r="E155" s="829" t="s">
        <v>610</v>
      </c>
      <c r="F155" s="771">
        <v>700</v>
      </c>
      <c r="G155" s="724">
        <v>200</v>
      </c>
      <c r="H155" s="724"/>
      <c r="I155" s="724">
        <v>100</v>
      </c>
      <c r="J155" s="713">
        <v>0</v>
      </c>
      <c r="K155" s="724"/>
      <c r="L155" s="724"/>
      <c r="M155" s="738"/>
      <c r="N155" s="724"/>
      <c r="O155" s="724"/>
      <c r="P155" s="727">
        <v>1000</v>
      </c>
      <c r="Q155" s="728">
        <v>0</v>
      </c>
      <c r="R155" s="729"/>
      <c r="S155" s="729">
        <v>0</v>
      </c>
      <c r="T155" s="729">
        <v>734.08</v>
      </c>
      <c r="U155" s="729">
        <v>346.39</v>
      </c>
      <c r="V155" s="729">
        <v>27.53</v>
      </c>
      <c r="W155" s="729">
        <v>9.18</v>
      </c>
      <c r="X155" s="729">
        <v>34.409999999999997</v>
      </c>
      <c r="Y155" s="729">
        <v>0</v>
      </c>
      <c r="Z155" s="729">
        <v>117</v>
      </c>
      <c r="AA155" s="729">
        <v>1268.5899999999999</v>
      </c>
      <c r="AB155" s="729">
        <v>477.15</v>
      </c>
      <c r="AC155" s="729">
        <v>117</v>
      </c>
      <c r="AD155" s="729">
        <v>0</v>
      </c>
      <c r="AE155" s="729">
        <v>10</v>
      </c>
      <c r="AF155" s="730">
        <v>0</v>
      </c>
      <c r="AG155" s="729">
        <v>604.15</v>
      </c>
      <c r="AH155" s="731">
        <v>395.85</v>
      </c>
      <c r="AI155" s="736"/>
      <c r="AJ155" s="769"/>
      <c r="AK155" s="733"/>
      <c r="AL155" s="759"/>
      <c r="AM155" s="759"/>
      <c r="AN155" s="759"/>
      <c r="AO155" s="759"/>
      <c r="AP155" s="759"/>
      <c r="AQ155" s="759"/>
      <c r="AR155" s="759"/>
      <c r="AS155" s="759"/>
      <c r="AT155" s="759"/>
      <c r="AU155" s="759"/>
      <c r="AV155" s="759"/>
      <c r="AW155" s="759"/>
      <c r="AX155" s="759"/>
      <c r="AY155" s="759"/>
      <c r="AZ155" s="759"/>
      <c r="BA155" s="759"/>
      <c r="BB155" s="759"/>
    </row>
    <row r="156" spans="1:54" s="688" customFormat="1" ht="20.100000000000001" customHeight="1">
      <c r="A156" s="722"/>
      <c r="B156" s="780" t="s">
        <v>232</v>
      </c>
      <c r="C156" s="781"/>
      <c r="D156" s="782"/>
      <c r="E156" s="783"/>
      <c r="F156" s="830">
        <v>26230</v>
      </c>
      <c r="G156" s="830">
        <v>7750</v>
      </c>
      <c r="H156" s="830">
        <v>1600</v>
      </c>
      <c r="I156" s="830">
        <v>380</v>
      </c>
      <c r="J156" s="830">
        <v>0</v>
      </c>
      <c r="K156" s="830">
        <v>0</v>
      </c>
      <c r="L156" s="830">
        <v>400</v>
      </c>
      <c r="M156" s="830">
        <v>0</v>
      </c>
      <c r="N156" s="830">
        <v>200</v>
      </c>
      <c r="O156" s="830">
        <v>0</v>
      </c>
      <c r="P156" s="830">
        <v>36160</v>
      </c>
      <c r="Q156" s="830">
        <v>0</v>
      </c>
      <c r="R156" s="830">
        <v>0</v>
      </c>
      <c r="S156" s="830">
        <v>0</v>
      </c>
      <c r="T156" s="830">
        <v>21434.240000000002</v>
      </c>
      <c r="U156" s="830">
        <v>10114.17</v>
      </c>
      <c r="V156" s="830">
        <v>803.84</v>
      </c>
      <c r="W156" s="830">
        <v>268.04000000000002</v>
      </c>
      <c r="X156" s="830">
        <v>1004.73</v>
      </c>
      <c r="Y156" s="830">
        <v>0</v>
      </c>
      <c r="Z156" s="830">
        <v>3393</v>
      </c>
      <c r="AA156" s="830">
        <v>37018.019999999997</v>
      </c>
      <c r="AB156" s="830">
        <v>13932.2</v>
      </c>
      <c r="AC156" s="830">
        <v>3393</v>
      </c>
      <c r="AD156" s="830">
        <v>1357</v>
      </c>
      <c r="AE156" s="830">
        <v>360</v>
      </c>
      <c r="AF156" s="830">
        <v>0</v>
      </c>
      <c r="AG156" s="830">
        <v>19042.2</v>
      </c>
      <c r="AH156" s="830">
        <v>17117.8</v>
      </c>
      <c r="AI156" s="830">
        <v>0</v>
      </c>
      <c r="AJ156" s="769"/>
      <c r="AK156" s="769"/>
      <c r="AL156" s="709"/>
      <c r="AM156" s="709"/>
      <c r="AN156" s="709"/>
      <c r="AO156" s="709"/>
      <c r="AP156" s="709"/>
      <c r="AQ156" s="709"/>
      <c r="AR156" s="709"/>
      <c r="AS156" s="709"/>
      <c r="AT156" s="709"/>
      <c r="AU156" s="709"/>
      <c r="AV156" s="709"/>
      <c r="AW156" s="709"/>
      <c r="AX156" s="709"/>
      <c r="AY156" s="709"/>
      <c r="AZ156" s="709"/>
      <c r="BA156" s="709"/>
      <c r="BB156" s="709"/>
    </row>
    <row r="157" spans="1:54" s="692" customFormat="1" ht="20.100000000000001" customHeight="1">
      <c r="A157" s="722">
        <v>31</v>
      </c>
      <c r="B157" s="723" t="s">
        <v>660</v>
      </c>
      <c r="C157" s="740" t="s">
        <v>233</v>
      </c>
      <c r="D157" s="776"/>
      <c r="E157" s="740" t="s">
        <v>609</v>
      </c>
      <c r="F157" s="771">
        <v>1000</v>
      </c>
      <c r="G157" s="724">
        <v>500</v>
      </c>
      <c r="H157" s="724"/>
      <c r="I157" s="724">
        <v>0</v>
      </c>
      <c r="J157" s="713">
        <v>0</v>
      </c>
      <c r="K157" s="724"/>
      <c r="L157" s="724"/>
      <c r="M157" s="738"/>
      <c r="N157" s="724"/>
      <c r="O157" s="724"/>
      <c r="P157" s="727">
        <v>1500</v>
      </c>
      <c r="Q157" s="728">
        <v>0</v>
      </c>
      <c r="R157" s="729"/>
      <c r="S157" s="729">
        <v>0</v>
      </c>
      <c r="T157" s="729">
        <v>734.08</v>
      </c>
      <c r="U157" s="729">
        <v>346.39</v>
      </c>
      <c r="V157" s="729">
        <v>27.53</v>
      </c>
      <c r="W157" s="729">
        <v>9.18</v>
      </c>
      <c r="X157" s="729">
        <v>34.409999999999997</v>
      </c>
      <c r="Y157" s="729">
        <v>0</v>
      </c>
      <c r="Z157" s="729">
        <v>117</v>
      </c>
      <c r="AA157" s="729">
        <v>1268.5899999999999</v>
      </c>
      <c r="AB157" s="729">
        <v>477.15</v>
      </c>
      <c r="AC157" s="729">
        <v>117</v>
      </c>
      <c r="AD157" s="729">
        <v>0</v>
      </c>
      <c r="AE157" s="729">
        <v>10</v>
      </c>
      <c r="AF157" s="730">
        <v>0</v>
      </c>
      <c r="AG157" s="729">
        <v>604.15</v>
      </c>
      <c r="AH157" s="731">
        <v>895.85</v>
      </c>
      <c r="AI157" s="736"/>
      <c r="AJ157" s="769"/>
      <c r="AK157" s="769"/>
      <c r="AL157" s="759"/>
      <c r="AM157" s="759"/>
      <c r="AN157" s="759"/>
      <c r="AO157" s="759"/>
      <c r="AP157" s="759"/>
      <c r="AQ157" s="759"/>
      <c r="AR157" s="759"/>
      <c r="AS157" s="759"/>
      <c r="AT157" s="759"/>
      <c r="AU157" s="759"/>
      <c r="AV157" s="759"/>
      <c r="AW157" s="759"/>
      <c r="AX157" s="759"/>
      <c r="AY157" s="759"/>
      <c r="AZ157" s="759"/>
      <c r="BA157" s="759"/>
      <c r="BB157" s="759"/>
    </row>
    <row r="158" spans="1:54" s="692" customFormat="1" ht="20.100000000000001" customHeight="1">
      <c r="A158" s="722">
        <v>32</v>
      </c>
      <c r="B158" s="723" t="s">
        <v>660</v>
      </c>
      <c r="C158" s="740" t="s">
        <v>235</v>
      </c>
      <c r="D158" s="831"/>
      <c r="E158" s="740" t="s">
        <v>609</v>
      </c>
      <c r="F158" s="771">
        <v>1000</v>
      </c>
      <c r="G158" s="724">
        <v>500</v>
      </c>
      <c r="H158" s="724"/>
      <c r="I158" s="724">
        <v>0</v>
      </c>
      <c r="J158" s="713">
        <v>0</v>
      </c>
      <c r="K158" s="724"/>
      <c r="L158" s="724"/>
      <c r="M158" s="738"/>
      <c r="N158" s="724"/>
      <c r="O158" s="724"/>
      <c r="P158" s="727">
        <v>1500</v>
      </c>
      <c r="Q158" s="728">
        <v>0</v>
      </c>
      <c r="R158" s="729"/>
      <c r="S158" s="729">
        <v>0</v>
      </c>
      <c r="T158" s="729">
        <v>734.08</v>
      </c>
      <c r="U158" s="729">
        <v>346.39</v>
      </c>
      <c r="V158" s="729">
        <v>27.53</v>
      </c>
      <c r="W158" s="729">
        <v>9.18</v>
      </c>
      <c r="X158" s="729">
        <v>34.409999999999997</v>
      </c>
      <c r="Y158" s="729">
        <v>0</v>
      </c>
      <c r="Z158" s="729">
        <v>117</v>
      </c>
      <c r="AA158" s="729">
        <v>1268.5899999999999</v>
      </c>
      <c r="AB158" s="729">
        <v>477.15</v>
      </c>
      <c r="AC158" s="729">
        <v>117</v>
      </c>
      <c r="AD158" s="729">
        <v>0</v>
      </c>
      <c r="AE158" s="729">
        <v>10</v>
      </c>
      <c r="AF158" s="730">
        <v>0</v>
      </c>
      <c r="AG158" s="729">
        <v>604.15</v>
      </c>
      <c r="AH158" s="731">
        <v>895.85</v>
      </c>
      <c r="AI158" s="736"/>
      <c r="AJ158" s="769"/>
      <c r="AK158" s="733"/>
      <c r="AL158" s="759"/>
      <c r="AM158" s="759"/>
      <c r="AN158" s="759"/>
      <c r="AO158" s="759"/>
      <c r="AP158" s="759"/>
      <c r="AQ158" s="759"/>
      <c r="AR158" s="759"/>
      <c r="AS158" s="759"/>
      <c r="AT158" s="759"/>
      <c r="AU158" s="759"/>
      <c r="AV158" s="759"/>
      <c r="AW158" s="759"/>
      <c r="AX158" s="759"/>
      <c r="AY158" s="759"/>
      <c r="AZ158" s="759"/>
      <c r="BA158" s="759"/>
      <c r="BB158" s="759"/>
    </row>
    <row r="159" spans="1:54" s="692" customFormat="1" ht="20.100000000000001" customHeight="1">
      <c r="A159" s="722">
        <v>33</v>
      </c>
      <c r="B159" s="723" t="s">
        <v>660</v>
      </c>
      <c r="C159" s="740" t="s">
        <v>236</v>
      </c>
      <c r="D159" s="831"/>
      <c r="E159" s="740" t="s">
        <v>609</v>
      </c>
      <c r="F159" s="771">
        <v>1000</v>
      </c>
      <c r="G159" s="724">
        <v>500</v>
      </c>
      <c r="H159" s="724"/>
      <c r="I159" s="724">
        <v>0</v>
      </c>
      <c r="J159" s="713">
        <v>0</v>
      </c>
      <c r="K159" s="724"/>
      <c r="L159" s="724"/>
      <c r="M159" s="738"/>
      <c r="N159" s="724"/>
      <c r="O159" s="724"/>
      <c r="P159" s="727">
        <v>1500</v>
      </c>
      <c r="Q159" s="728">
        <v>0</v>
      </c>
      <c r="R159" s="729"/>
      <c r="S159" s="729">
        <v>0</v>
      </c>
      <c r="T159" s="729">
        <v>734.08</v>
      </c>
      <c r="U159" s="729">
        <v>346.39</v>
      </c>
      <c r="V159" s="729">
        <v>27.53</v>
      </c>
      <c r="W159" s="729">
        <v>9.18</v>
      </c>
      <c r="X159" s="729">
        <v>34.409999999999997</v>
      </c>
      <c r="Y159" s="729">
        <v>0</v>
      </c>
      <c r="Z159" s="729">
        <v>117</v>
      </c>
      <c r="AA159" s="729">
        <v>1268.5899999999999</v>
      </c>
      <c r="AB159" s="729">
        <v>477.15</v>
      </c>
      <c r="AC159" s="729">
        <v>117</v>
      </c>
      <c r="AD159" s="729">
        <v>0</v>
      </c>
      <c r="AE159" s="729">
        <v>10</v>
      </c>
      <c r="AF159" s="730">
        <v>0</v>
      </c>
      <c r="AG159" s="729">
        <v>604.15</v>
      </c>
      <c r="AH159" s="731">
        <v>895.85</v>
      </c>
      <c r="AI159" s="736"/>
      <c r="AJ159" s="769"/>
      <c r="AK159" s="733"/>
      <c r="AL159" s="759"/>
      <c r="AM159" s="759"/>
      <c r="AN159" s="759"/>
      <c r="AO159" s="759"/>
      <c r="AP159" s="759"/>
      <c r="AQ159" s="759"/>
      <c r="AR159" s="759"/>
      <c r="AS159" s="759"/>
      <c r="AT159" s="759"/>
      <c r="AU159" s="759"/>
      <c r="AV159" s="759"/>
      <c r="AW159" s="759"/>
      <c r="AX159" s="759"/>
      <c r="AY159" s="759"/>
      <c r="AZ159" s="759"/>
      <c r="BA159" s="759"/>
      <c r="BB159" s="759"/>
    </row>
    <row r="160" spans="1:54" s="692" customFormat="1" ht="20.100000000000001" customHeight="1">
      <c r="A160" s="722">
        <v>34</v>
      </c>
      <c r="B160" s="723" t="s">
        <v>661</v>
      </c>
      <c r="C160" s="740" t="s">
        <v>238</v>
      </c>
      <c r="D160" s="831"/>
      <c r="E160" s="740" t="s">
        <v>609</v>
      </c>
      <c r="F160" s="771">
        <v>1000</v>
      </c>
      <c r="G160" s="724">
        <v>500</v>
      </c>
      <c r="H160" s="724"/>
      <c r="I160" s="724">
        <v>0</v>
      </c>
      <c r="J160" s="713">
        <v>0</v>
      </c>
      <c r="K160" s="724"/>
      <c r="L160" s="724"/>
      <c r="M160" s="738"/>
      <c r="N160" s="724"/>
      <c r="O160" s="724"/>
      <c r="P160" s="727">
        <v>1500</v>
      </c>
      <c r="Q160" s="728">
        <v>0</v>
      </c>
      <c r="R160" s="729"/>
      <c r="S160" s="729">
        <v>0</v>
      </c>
      <c r="T160" s="729">
        <v>734.08</v>
      </c>
      <c r="U160" s="729">
        <v>346.39</v>
      </c>
      <c r="V160" s="729">
        <v>27.53</v>
      </c>
      <c r="W160" s="729">
        <v>9.18</v>
      </c>
      <c r="X160" s="729">
        <v>34.409999999999997</v>
      </c>
      <c r="Y160" s="729">
        <v>0</v>
      </c>
      <c r="Z160" s="729">
        <v>117</v>
      </c>
      <c r="AA160" s="729">
        <v>1268.5899999999999</v>
      </c>
      <c r="AB160" s="729">
        <v>477.15</v>
      </c>
      <c r="AC160" s="729">
        <v>117</v>
      </c>
      <c r="AD160" s="729">
        <v>0</v>
      </c>
      <c r="AE160" s="729">
        <v>10</v>
      </c>
      <c r="AF160" s="730">
        <v>0</v>
      </c>
      <c r="AG160" s="729">
        <v>604.15</v>
      </c>
      <c r="AH160" s="731">
        <v>895.85</v>
      </c>
      <c r="AI160" s="736"/>
      <c r="AJ160" s="769"/>
      <c r="AK160" s="733"/>
      <c r="AL160" s="759"/>
      <c r="AM160" s="759"/>
      <c r="AN160" s="759"/>
      <c r="AO160" s="759"/>
      <c r="AP160" s="759"/>
      <c r="AQ160" s="759"/>
      <c r="AR160" s="759"/>
      <c r="AS160" s="759"/>
      <c r="AT160" s="759"/>
      <c r="AU160" s="759"/>
      <c r="AV160" s="759"/>
      <c r="AW160" s="759"/>
      <c r="AX160" s="759"/>
      <c r="AY160" s="759"/>
      <c r="AZ160" s="759"/>
      <c r="BA160" s="759"/>
      <c r="BB160" s="759"/>
    </row>
    <row r="161" spans="1:54" s="692" customFormat="1" ht="20.100000000000001" customHeight="1">
      <c r="A161" s="722">
        <v>35</v>
      </c>
      <c r="B161" s="723" t="s">
        <v>661</v>
      </c>
      <c r="C161" s="740" t="s">
        <v>240</v>
      </c>
      <c r="D161" s="832"/>
      <c r="E161" s="740" t="s">
        <v>609</v>
      </c>
      <c r="F161" s="771">
        <v>1000</v>
      </c>
      <c r="G161" s="724">
        <v>500</v>
      </c>
      <c r="H161" s="724"/>
      <c r="I161" s="724">
        <v>0</v>
      </c>
      <c r="J161" s="713">
        <v>0</v>
      </c>
      <c r="K161" s="724"/>
      <c r="L161" s="724"/>
      <c r="M161" s="738"/>
      <c r="N161" s="724"/>
      <c r="O161" s="724"/>
      <c r="P161" s="727">
        <v>1500</v>
      </c>
      <c r="Q161" s="728">
        <v>0</v>
      </c>
      <c r="R161" s="729"/>
      <c r="S161" s="729">
        <v>0</v>
      </c>
      <c r="T161" s="729">
        <v>734.08</v>
      </c>
      <c r="U161" s="729">
        <v>346.39</v>
      </c>
      <c r="V161" s="729">
        <v>27.53</v>
      </c>
      <c r="W161" s="729">
        <v>9.18</v>
      </c>
      <c r="X161" s="729">
        <v>34.409999999999997</v>
      </c>
      <c r="Y161" s="729">
        <v>0</v>
      </c>
      <c r="Z161" s="729">
        <v>117</v>
      </c>
      <c r="AA161" s="729">
        <v>1268.5899999999999</v>
      </c>
      <c r="AB161" s="729">
        <v>477.15</v>
      </c>
      <c r="AC161" s="729">
        <v>117</v>
      </c>
      <c r="AD161" s="729">
        <v>0</v>
      </c>
      <c r="AE161" s="729">
        <v>10</v>
      </c>
      <c r="AF161" s="730">
        <v>0</v>
      </c>
      <c r="AG161" s="729">
        <v>604.15</v>
      </c>
      <c r="AH161" s="731">
        <v>895.85</v>
      </c>
      <c r="AI161" s="736"/>
      <c r="AJ161" s="769"/>
      <c r="AK161" s="733"/>
      <c r="AL161" s="759"/>
      <c r="AM161" s="759"/>
      <c r="AN161" s="759"/>
      <c r="AO161" s="759"/>
      <c r="AP161" s="759"/>
      <c r="AQ161" s="759"/>
      <c r="AR161" s="759"/>
      <c r="AS161" s="759"/>
      <c r="AT161" s="759"/>
      <c r="AU161" s="759"/>
      <c r="AV161" s="759"/>
      <c r="AW161" s="759"/>
      <c r="AX161" s="759"/>
      <c r="AY161" s="759"/>
      <c r="AZ161" s="759"/>
      <c r="BA161" s="759"/>
      <c r="BB161" s="759"/>
    </row>
    <row r="162" spans="1:54" s="688" customFormat="1" ht="20.100000000000001" customHeight="1">
      <c r="A162" s="781"/>
      <c r="B162" s="780" t="s">
        <v>232</v>
      </c>
      <c r="C162" s="781"/>
      <c r="D162" s="782"/>
      <c r="E162" s="783"/>
      <c r="F162" s="830">
        <v>5000</v>
      </c>
      <c r="G162" s="830">
        <v>2500</v>
      </c>
      <c r="H162" s="830">
        <v>0</v>
      </c>
      <c r="I162" s="830">
        <v>0</v>
      </c>
      <c r="J162" s="830">
        <v>0</v>
      </c>
      <c r="K162" s="830">
        <v>0</v>
      </c>
      <c r="L162" s="830">
        <v>0</v>
      </c>
      <c r="M162" s="830">
        <v>0</v>
      </c>
      <c r="N162" s="830">
        <v>0</v>
      </c>
      <c r="O162" s="830">
        <v>0</v>
      </c>
      <c r="P162" s="830">
        <v>7500</v>
      </c>
      <c r="Q162" s="830">
        <v>0</v>
      </c>
      <c r="R162" s="830">
        <v>0</v>
      </c>
      <c r="S162" s="830">
        <v>0</v>
      </c>
      <c r="T162" s="830">
        <v>3670.4</v>
      </c>
      <c r="U162" s="830">
        <v>1731.95</v>
      </c>
      <c r="V162" s="830">
        <v>137.65</v>
      </c>
      <c r="W162" s="830">
        <v>45.9</v>
      </c>
      <c r="X162" s="830">
        <v>172.05</v>
      </c>
      <c r="Y162" s="830">
        <v>0</v>
      </c>
      <c r="Z162" s="830">
        <v>585</v>
      </c>
      <c r="AA162" s="830">
        <v>6342.95</v>
      </c>
      <c r="AB162" s="830">
        <v>2385.75</v>
      </c>
      <c r="AC162" s="830">
        <v>585</v>
      </c>
      <c r="AD162" s="830">
        <v>0</v>
      </c>
      <c r="AE162" s="830">
        <v>50</v>
      </c>
      <c r="AF162" s="830">
        <v>0</v>
      </c>
      <c r="AG162" s="830">
        <v>3020.75</v>
      </c>
      <c r="AH162" s="830">
        <v>4479.25</v>
      </c>
      <c r="AI162" s="830">
        <v>0</v>
      </c>
      <c r="AJ162" s="769"/>
      <c r="AK162" s="733"/>
      <c r="AL162" s="709"/>
      <c r="AM162" s="709"/>
      <c r="AN162" s="709"/>
      <c r="AO162" s="709"/>
      <c r="AP162" s="709"/>
      <c r="AQ162" s="709"/>
      <c r="AR162" s="709"/>
      <c r="AS162" s="709"/>
      <c r="AT162" s="709"/>
      <c r="AU162" s="709"/>
      <c r="AV162" s="709"/>
      <c r="AW162" s="709"/>
      <c r="AX162" s="709"/>
      <c r="AY162" s="709"/>
      <c r="AZ162" s="709"/>
      <c r="BA162" s="709"/>
      <c r="BB162" s="709"/>
    </row>
    <row r="163" spans="1:54" s="688" customFormat="1" ht="20.100000000000001" customHeight="1">
      <c r="A163" s="781"/>
      <c r="B163" s="780" t="s">
        <v>662</v>
      </c>
      <c r="C163" s="781"/>
      <c r="D163" s="782"/>
      <c r="E163" s="783"/>
      <c r="F163" s="830">
        <v>31230</v>
      </c>
      <c r="G163" s="830">
        <v>10250</v>
      </c>
      <c r="H163" s="830">
        <v>1600</v>
      </c>
      <c r="I163" s="830">
        <v>380</v>
      </c>
      <c r="J163" s="830">
        <v>0</v>
      </c>
      <c r="K163" s="830">
        <v>0</v>
      </c>
      <c r="L163" s="830">
        <v>400</v>
      </c>
      <c r="M163" s="830">
        <v>0</v>
      </c>
      <c r="N163" s="830">
        <v>200</v>
      </c>
      <c r="O163" s="830">
        <v>0</v>
      </c>
      <c r="P163" s="830">
        <v>43660</v>
      </c>
      <c r="Q163" s="830">
        <v>0</v>
      </c>
      <c r="R163" s="830">
        <v>0</v>
      </c>
      <c r="S163" s="830">
        <v>0</v>
      </c>
      <c r="T163" s="830">
        <v>25104.639999999999</v>
      </c>
      <c r="U163" s="830">
        <v>11846.12</v>
      </c>
      <c r="V163" s="830">
        <v>941.49</v>
      </c>
      <c r="W163" s="830">
        <v>313.94</v>
      </c>
      <c r="X163" s="830">
        <v>1176.78</v>
      </c>
      <c r="Y163" s="830">
        <v>0</v>
      </c>
      <c r="Z163" s="830">
        <v>3978</v>
      </c>
      <c r="AA163" s="830">
        <v>43360.97</v>
      </c>
      <c r="AB163" s="830">
        <v>16317.95</v>
      </c>
      <c r="AC163" s="830">
        <v>3978</v>
      </c>
      <c r="AD163" s="830">
        <v>1357</v>
      </c>
      <c r="AE163" s="830">
        <v>410</v>
      </c>
      <c r="AF163" s="830">
        <v>0</v>
      </c>
      <c r="AG163" s="830">
        <v>22062.95</v>
      </c>
      <c r="AH163" s="830">
        <v>21597.05</v>
      </c>
      <c r="AI163" s="830">
        <v>0</v>
      </c>
      <c r="AJ163" s="769"/>
      <c r="AK163" s="733"/>
      <c r="AL163" s="709"/>
      <c r="AM163" s="709"/>
      <c r="AN163" s="709"/>
      <c r="AO163" s="709"/>
      <c r="AP163" s="709"/>
      <c r="AQ163" s="709"/>
      <c r="AR163" s="709"/>
      <c r="AS163" s="709"/>
      <c r="AT163" s="709"/>
      <c r="AU163" s="709"/>
      <c r="AV163" s="709"/>
      <c r="AW163" s="709"/>
      <c r="AX163" s="709"/>
      <c r="AY163" s="709"/>
      <c r="AZ163" s="709"/>
      <c r="BA163" s="709"/>
      <c r="BB163" s="709"/>
    </row>
    <row r="164" spans="1:54" s="695" customFormat="1" ht="18" customHeight="1">
      <c r="A164" s="797"/>
      <c r="B164" s="833" t="s">
        <v>617</v>
      </c>
      <c r="C164" s="799"/>
      <c r="D164" s="799"/>
      <c r="E164" s="834" t="s">
        <v>663</v>
      </c>
      <c r="F164" s="800"/>
      <c r="G164" s="799"/>
      <c r="H164" s="799"/>
      <c r="I164" s="799"/>
      <c r="J164" s="799"/>
      <c r="K164" s="799"/>
      <c r="L164" s="799" t="s">
        <v>618</v>
      </c>
      <c r="M164" s="799"/>
      <c r="N164" s="806"/>
      <c r="O164" s="799"/>
      <c r="P164" s="800"/>
      <c r="Q164" s="800"/>
      <c r="R164" s="800" t="s">
        <v>619</v>
      </c>
      <c r="S164" s="800"/>
      <c r="T164" s="800" t="s">
        <v>620</v>
      </c>
      <c r="U164" s="801"/>
      <c r="V164" s="800"/>
      <c r="W164" s="800"/>
      <c r="X164" s="800"/>
      <c r="Y164" s="800"/>
      <c r="Z164" s="800"/>
      <c r="AA164" s="801" t="s">
        <v>621</v>
      </c>
      <c r="AB164" s="800"/>
      <c r="AC164" s="800"/>
      <c r="AD164" s="800"/>
      <c r="AE164" s="800"/>
      <c r="AF164" s="800"/>
      <c r="AG164" s="802"/>
      <c r="AH164" s="835" t="s">
        <v>193</v>
      </c>
      <c r="AI164" s="802"/>
      <c r="AJ164" s="803"/>
      <c r="AK164" s="803"/>
      <c r="AL164" s="803"/>
      <c r="AM164" s="803"/>
      <c r="AN164" s="803"/>
      <c r="AO164" s="803"/>
      <c r="AP164" s="803"/>
      <c r="AQ164" s="803"/>
      <c r="AR164" s="803"/>
    </row>
    <row r="165" spans="1:54" s="696" customFormat="1" ht="10.199999999999999" hidden="1">
      <c r="A165" s="797"/>
      <c r="B165" s="833"/>
      <c r="C165" s="799"/>
      <c r="D165" s="799"/>
      <c r="E165" s="799"/>
      <c r="F165" s="800"/>
      <c r="G165" s="799"/>
      <c r="H165" s="799"/>
      <c r="I165" s="799"/>
      <c r="J165" s="799"/>
      <c r="K165" s="799"/>
      <c r="L165" s="799"/>
      <c r="M165" s="799"/>
      <c r="N165" s="806"/>
      <c r="O165" s="799"/>
      <c r="P165" s="799"/>
      <c r="Q165" s="804"/>
      <c r="R165" s="804"/>
      <c r="S165" s="804"/>
      <c r="T165" s="804"/>
      <c r="U165" s="804"/>
      <c r="V165" s="804"/>
      <c r="W165" s="804"/>
      <c r="X165" s="804"/>
      <c r="Y165" s="804"/>
      <c r="Z165" s="804"/>
      <c r="AA165" s="804"/>
      <c r="AB165" s="804"/>
      <c r="AC165" s="804"/>
      <c r="AD165" s="804"/>
      <c r="AE165" s="804"/>
      <c r="AF165" s="804"/>
      <c r="AG165" s="804"/>
      <c r="AH165" s="804"/>
      <c r="AI165" s="804"/>
      <c r="AJ165" s="805"/>
      <c r="AK165" s="805"/>
      <c r="AL165" s="805"/>
      <c r="AM165" s="805"/>
      <c r="AN165" s="805"/>
      <c r="AO165" s="805"/>
      <c r="AP165" s="805"/>
      <c r="AQ165" s="805"/>
      <c r="AR165" s="805"/>
    </row>
    <row r="166" spans="1:54" s="696" customFormat="1" ht="10.199999999999999" hidden="1">
      <c r="A166" s="797"/>
      <c r="B166" s="833"/>
      <c r="C166" s="799"/>
      <c r="D166" s="799"/>
      <c r="E166" s="799"/>
      <c r="F166" s="800"/>
      <c r="G166" s="799"/>
      <c r="H166" s="799"/>
      <c r="I166" s="799"/>
      <c r="J166" s="799"/>
      <c r="K166" s="799"/>
      <c r="L166" s="799"/>
      <c r="M166" s="799"/>
      <c r="N166" s="806"/>
      <c r="O166" s="799"/>
      <c r="P166" s="799"/>
      <c r="Q166" s="804"/>
      <c r="R166" s="804"/>
      <c r="S166" s="804"/>
      <c r="T166" s="804"/>
      <c r="U166" s="804"/>
      <c r="V166" s="804"/>
      <c r="W166" s="804"/>
      <c r="X166" s="804"/>
      <c r="Y166" s="804"/>
      <c r="Z166" s="804"/>
      <c r="AA166" s="806"/>
      <c r="AB166" s="806"/>
      <c r="AC166" s="806"/>
      <c r="AD166" s="806"/>
      <c r="AE166" s="806"/>
      <c r="AF166" s="806"/>
      <c r="AG166" s="806"/>
      <c r="AH166" s="806"/>
      <c r="AI166" s="804"/>
      <c r="AJ166" s="805"/>
      <c r="AK166" s="805"/>
      <c r="AL166" s="805"/>
      <c r="AM166" s="805"/>
      <c r="AN166" s="805"/>
      <c r="AO166" s="805"/>
      <c r="AP166" s="805"/>
      <c r="AQ166" s="805"/>
      <c r="AR166" s="805"/>
    </row>
    <row r="167" spans="1:54" s="696" customFormat="1" ht="10.199999999999999">
      <c r="A167" s="807" t="s">
        <v>622</v>
      </c>
      <c r="B167" s="833"/>
      <c r="C167" s="799"/>
      <c r="D167" s="799"/>
      <c r="E167" s="799"/>
      <c r="F167" s="800"/>
      <c r="G167" s="799"/>
      <c r="H167" s="799"/>
      <c r="I167" s="799"/>
      <c r="J167" s="799"/>
      <c r="K167" s="799"/>
      <c r="L167" s="799"/>
      <c r="M167" s="799"/>
      <c r="N167" s="806"/>
      <c r="O167" s="799"/>
      <c r="P167" s="799"/>
      <c r="Q167" s="804"/>
      <c r="R167" s="804"/>
      <c r="S167" s="804"/>
      <c r="T167" s="804"/>
      <c r="U167" s="804"/>
      <c r="V167" s="804"/>
      <c r="W167" s="804"/>
      <c r="X167" s="804"/>
      <c r="Y167" s="804"/>
      <c r="Z167" s="804"/>
      <c r="AA167" s="804"/>
      <c r="AB167" s="804"/>
      <c r="AC167" s="804"/>
      <c r="AD167" s="804"/>
      <c r="AE167" s="804"/>
      <c r="AF167" s="804"/>
      <c r="AG167" s="804"/>
      <c r="AH167" s="804"/>
      <c r="AI167" s="804"/>
      <c r="AJ167" s="805"/>
      <c r="AK167" s="805"/>
      <c r="AL167" s="805"/>
      <c r="AM167" s="805"/>
      <c r="AN167" s="805"/>
      <c r="AO167" s="805"/>
      <c r="AP167" s="805"/>
      <c r="AQ167" s="805"/>
      <c r="AR167" s="805"/>
    </row>
    <row r="168" spans="1:54" s="697" customFormat="1" ht="10.8">
      <c r="A168" s="698"/>
      <c r="B168" s="699"/>
      <c r="C168" s="700"/>
      <c r="D168" s="701"/>
      <c r="E168" s="700"/>
      <c r="F168" s="700"/>
      <c r="G168" s="700"/>
      <c r="H168" s="700"/>
      <c r="I168" s="700"/>
      <c r="J168" s="700"/>
      <c r="K168" s="700"/>
      <c r="L168" s="700"/>
      <c r="M168" s="700"/>
      <c r="N168" s="700"/>
      <c r="O168" s="700"/>
      <c r="P168" s="700"/>
      <c r="Q168" s="692"/>
      <c r="R168" s="692"/>
      <c r="S168" s="692"/>
      <c r="T168" s="692"/>
      <c r="U168" s="692"/>
      <c r="V168" s="692"/>
      <c r="W168" s="692"/>
      <c r="X168" s="692"/>
      <c r="Y168" s="692"/>
      <c r="Z168" s="692"/>
      <c r="AA168" s="692"/>
      <c r="AB168" s="692"/>
      <c r="AC168" s="692"/>
      <c r="AD168" s="692"/>
      <c r="AE168" s="692"/>
      <c r="AF168" s="692"/>
      <c r="AG168" s="692"/>
      <c r="AH168" s="692"/>
      <c r="AI168" s="692"/>
      <c r="AJ168" s="702"/>
      <c r="AK168" s="702"/>
      <c r="AL168" s="702"/>
      <c r="AM168" s="702"/>
      <c r="AN168" s="702"/>
      <c r="AO168" s="702"/>
      <c r="AP168" s="702"/>
      <c r="AQ168" s="702"/>
      <c r="AR168" s="702"/>
      <c r="AS168" s="702"/>
      <c r="AT168" s="702"/>
      <c r="AU168" s="702"/>
      <c r="AV168" s="702"/>
      <c r="AW168" s="702"/>
      <c r="AX168" s="702"/>
      <c r="AY168" s="702"/>
      <c r="AZ168" s="702"/>
      <c r="BA168" s="702"/>
    </row>
    <row r="169" spans="1:54" s="697" customFormat="1" ht="10.8">
      <c r="A169" s="698"/>
      <c r="B169" s="699"/>
      <c r="C169" s="700"/>
      <c r="D169" s="701"/>
      <c r="E169" s="700"/>
      <c r="F169" s="700"/>
      <c r="G169" s="700"/>
      <c r="H169" s="700"/>
      <c r="I169" s="700"/>
      <c r="J169" s="700"/>
      <c r="K169" s="700"/>
      <c r="L169" s="700"/>
      <c r="M169" s="700"/>
      <c r="N169" s="700"/>
      <c r="O169" s="700"/>
      <c r="P169" s="700"/>
      <c r="Q169" s="692"/>
      <c r="R169" s="692"/>
      <c r="S169" s="692"/>
      <c r="T169" s="692"/>
      <c r="U169" s="692"/>
      <c r="V169" s="692"/>
      <c r="W169" s="692"/>
      <c r="X169" s="692"/>
      <c r="Y169" s="692"/>
      <c r="Z169" s="692"/>
      <c r="AA169" s="692"/>
      <c r="AB169" s="692"/>
      <c r="AC169" s="692"/>
      <c r="AD169" s="692"/>
      <c r="AE169" s="692"/>
      <c r="AF169" s="692"/>
      <c r="AG169" s="692"/>
      <c r="AH169" s="692"/>
      <c r="AI169" s="692"/>
      <c r="AJ169" s="702"/>
      <c r="AK169" s="702"/>
      <c r="AL169" s="702"/>
      <c r="AM169" s="702"/>
      <c r="AN169" s="702"/>
      <c r="AO169" s="702"/>
      <c r="AP169" s="702"/>
      <c r="AQ169" s="702"/>
      <c r="AR169" s="702"/>
      <c r="AS169" s="702"/>
      <c r="AT169" s="702"/>
      <c r="AU169" s="702"/>
      <c r="AV169" s="702"/>
      <c r="AW169" s="702"/>
      <c r="AX169" s="702"/>
      <c r="AY169" s="702"/>
      <c r="AZ169" s="702"/>
      <c r="BA169" s="702"/>
    </row>
    <row r="170" spans="1:54" s="697" customFormat="1" ht="10.8">
      <c r="A170" s="698"/>
      <c r="B170" s="699"/>
      <c r="C170" s="700"/>
      <c r="D170" s="701"/>
      <c r="E170" s="700"/>
      <c r="F170" s="700"/>
      <c r="G170" s="700"/>
      <c r="H170" s="700"/>
      <c r="I170" s="700"/>
      <c r="J170" s="700"/>
      <c r="K170" s="700"/>
      <c r="L170" s="700"/>
      <c r="M170" s="700"/>
      <c r="N170" s="700"/>
      <c r="O170" s="700"/>
      <c r="P170" s="700"/>
      <c r="Q170" s="692"/>
      <c r="R170" s="692"/>
      <c r="S170" s="692"/>
      <c r="T170" s="692"/>
      <c r="U170" s="692"/>
      <c r="V170" s="692"/>
      <c r="W170" s="692"/>
      <c r="X170" s="692"/>
      <c r="Y170" s="692"/>
      <c r="Z170" s="692"/>
      <c r="AA170" s="692"/>
      <c r="AB170" s="692"/>
      <c r="AC170" s="692"/>
      <c r="AD170" s="692"/>
      <c r="AE170" s="692"/>
      <c r="AF170" s="692"/>
      <c r="AG170" s="692"/>
      <c r="AH170" s="692"/>
      <c r="AI170" s="692"/>
      <c r="AJ170" s="702"/>
      <c r="AK170" s="702"/>
      <c r="AL170" s="702"/>
      <c r="AM170" s="702"/>
      <c r="AN170" s="702"/>
      <c r="AO170" s="702"/>
      <c r="AP170" s="702"/>
      <c r="AQ170" s="702"/>
      <c r="AR170" s="702"/>
      <c r="AS170" s="702"/>
      <c r="AT170" s="702"/>
      <c r="AU170" s="702"/>
      <c r="AV170" s="702"/>
      <c r="AW170" s="702"/>
      <c r="AX170" s="702"/>
      <c r="AY170" s="702"/>
      <c r="AZ170" s="702"/>
      <c r="BA170" s="702"/>
    </row>
    <row r="171" spans="1:54" s="697" customFormat="1" ht="10.8">
      <c r="A171" s="698"/>
      <c r="B171" s="699"/>
      <c r="C171" s="700"/>
      <c r="D171" s="701"/>
      <c r="E171" s="700"/>
      <c r="F171" s="700"/>
      <c r="G171" s="700"/>
      <c r="H171" s="700"/>
      <c r="I171" s="700"/>
      <c r="J171" s="700"/>
      <c r="K171" s="700"/>
      <c r="L171" s="700"/>
      <c r="M171" s="700"/>
      <c r="N171" s="700"/>
      <c r="O171" s="700"/>
      <c r="P171" s="700"/>
      <c r="Q171" s="692"/>
      <c r="R171" s="692"/>
      <c r="S171" s="692"/>
      <c r="T171" s="692"/>
      <c r="U171" s="692"/>
      <c r="V171" s="692"/>
      <c r="W171" s="692"/>
      <c r="X171" s="692"/>
      <c r="Y171" s="692"/>
      <c r="Z171" s="692"/>
      <c r="AA171" s="692"/>
      <c r="AB171" s="692"/>
      <c r="AC171" s="692"/>
      <c r="AD171" s="692"/>
      <c r="AE171" s="692"/>
      <c r="AF171" s="692"/>
      <c r="AG171" s="692"/>
      <c r="AH171" s="692"/>
      <c r="AI171" s="692"/>
      <c r="AJ171" s="702"/>
      <c r="AK171" s="702"/>
      <c r="AL171" s="702"/>
      <c r="AM171" s="702"/>
      <c r="AN171" s="702"/>
      <c r="AO171" s="702"/>
      <c r="AP171" s="702"/>
      <c r="AQ171" s="702"/>
      <c r="AR171" s="702"/>
      <c r="AS171" s="702"/>
      <c r="AT171" s="702"/>
      <c r="AU171" s="702"/>
      <c r="AV171" s="702"/>
      <c r="AW171" s="702"/>
      <c r="AX171" s="702"/>
      <c r="AY171" s="702"/>
      <c r="AZ171" s="702"/>
      <c r="BA171" s="702"/>
    </row>
    <row r="172" spans="1:54" s="697" customFormat="1" ht="10.8">
      <c r="A172" s="698"/>
      <c r="B172" s="699"/>
      <c r="C172" s="700"/>
      <c r="D172" s="701"/>
      <c r="E172" s="700"/>
      <c r="F172" s="700"/>
      <c r="G172" s="700"/>
      <c r="H172" s="700"/>
      <c r="I172" s="700"/>
      <c r="J172" s="700"/>
      <c r="K172" s="700"/>
      <c r="L172" s="700"/>
      <c r="M172" s="700"/>
      <c r="N172" s="700"/>
      <c r="O172" s="700"/>
      <c r="P172" s="700"/>
      <c r="Q172" s="692"/>
      <c r="R172" s="692"/>
      <c r="S172" s="692"/>
      <c r="T172" s="692"/>
      <c r="U172" s="692"/>
      <c r="V172" s="692"/>
      <c r="W172" s="692"/>
      <c r="X172" s="692"/>
      <c r="Y172" s="692"/>
      <c r="Z172" s="692"/>
      <c r="AA172" s="692"/>
      <c r="AB172" s="692"/>
      <c r="AC172" s="692"/>
      <c r="AD172" s="692"/>
      <c r="AE172" s="692"/>
      <c r="AF172" s="692"/>
      <c r="AG172" s="692"/>
      <c r="AH172" s="692"/>
      <c r="AI172" s="692"/>
      <c r="AJ172" s="702"/>
      <c r="AK172" s="702"/>
      <c r="AL172" s="702"/>
      <c r="AM172" s="702"/>
      <c r="AN172" s="702"/>
      <c r="AO172" s="702"/>
      <c r="AP172" s="702"/>
      <c r="AQ172" s="702"/>
      <c r="AR172" s="702"/>
      <c r="AS172" s="702"/>
      <c r="AT172" s="702"/>
      <c r="AU172" s="702"/>
      <c r="AV172" s="702"/>
      <c r="AW172" s="702"/>
      <c r="AX172" s="702"/>
      <c r="AY172" s="702"/>
      <c r="AZ172" s="702"/>
      <c r="BA172" s="702"/>
    </row>
    <row r="173" spans="1:54" s="697" customFormat="1" ht="10.8">
      <c r="A173" s="698"/>
      <c r="B173" s="699"/>
      <c r="C173" s="700"/>
      <c r="D173" s="701"/>
      <c r="E173" s="700"/>
      <c r="F173" s="700"/>
      <c r="G173" s="700"/>
      <c r="H173" s="700"/>
      <c r="I173" s="700"/>
      <c r="J173" s="700"/>
      <c r="K173" s="700"/>
      <c r="L173" s="700"/>
      <c r="M173" s="700"/>
      <c r="N173" s="700"/>
      <c r="O173" s="700"/>
      <c r="P173" s="700"/>
      <c r="Q173" s="692"/>
      <c r="R173" s="692"/>
      <c r="S173" s="692"/>
      <c r="T173" s="692"/>
      <c r="U173" s="692"/>
      <c r="V173" s="692"/>
      <c r="W173" s="692"/>
      <c r="X173" s="692"/>
      <c r="Y173" s="692"/>
      <c r="Z173" s="692"/>
      <c r="AA173" s="692"/>
      <c r="AB173" s="692"/>
      <c r="AC173" s="692"/>
      <c r="AD173" s="692"/>
      <c r="AE173" s="692"/>
      <c r="AF173" s="692"/>
      <c r="AG173" s="692"/>
      <c r="AH173" s="692"/>
      <c r="AI173" s="692"/>
      <c r="AJ173" s="702"/>
      <c r="AK173" s="702"/>
      <c r="AL173" s="702"/>
      <c r="AM173" s="702"/>
      <c r="AN173" s="702"/>
      <c r="AO173" s="702"/>
      <c r="AP173" s="702"/>
      <c r="AQ173" s="702"/>
      <c r="AR173" s="702"/>
      <c r="AS173" s="702"/>
      <c r="AT173" s="702"/>
      <c r="AU173" s="702"/>
      <c r="AV173" s="702"/>
      <c r="AW173" s="702"/>
      <c r="AX173" s="702"/>
      <c r="AY173" s="702"/>
      <c r="AZ173" s="702"/>
      <c r="BA173" s="702"/>
    </row>
    <row r="174" spans="1:54" s="697" customFormat="1" ht="10.8">
      <c r="A174" s="698"/>
      <c r="B174" s="699"/>
      <c r="C174" s="700"/>
      <c r="D174" s="701"/>
      <c r="E174" s="700"/>
      <c r="F174" s="700"/>
      <c r="G174" s="700"/>
      <c r="H174" s="700"/>
      <c r="I174" s="700"/>
      <c r="J174" s="700"/>
      <c r="K174" s="700"/>
      <c r="L174" s="700"/>
      <c r="M174" s="700"/>
      <c r="N174" s="700"/>
      <c r="O174" s="700"/>
      <c r="P174" s="700"/>
      <c r="Q174" s="692"/>
      <c r="R174" s="692"/>
      <c r="S174" s="692"/>
      <c r="T174" s="692"/>
      <c r="U174" s="692"/>
      <c r="V174" s="692"/>
      <c r="W174" s="692"/>
      <c r="X174" s="692"/>
      <c r="Y174" s="692"/>
      <c r="Z174" s="692"/>
      <c r="AA174" s="692"/>
      <c r="AB174" s="692"/>
      <c r="AC174" s="692"/>
      <c r="AD174" s="692"/>
      <c r="AE174" s="692"/>
      <c r="AF174" s="692"/>
      <c r="AG174" s="692"/>
      <c r="AH174" s="692"/>
      <c r="AI174" s="692"/>
      <c r="AJ174" s="702"/>
      <c r="AK174" s="702"/>
      <c r="AL174" s="702"/>
      <c r="AM174" s="702"/>
      <c r="AN174" s="702"/>
      <c r="AO174" s="702"/>
      <c r="AP174" s="702"/>
      <c r="AQ174" s="702"/>
      <c r="AR174" s="702"/>
      <c r="AS174" s="702"/>
      <c r="AT174" s="702"/>
      <c r="AU174" s="702"/>
      <c r="AV174" s="702"/>
      <c r="AW174" s="702"/>
      <c r="AX174" s="702"/>
      <c r="AY174" s="702"/>
      <c r="AZ174" s="702"/>
      <c r="BA174" s="702"/>
    </row>
    <row r="175" spans="1:54" s="697" customFormat="1" ht="10.8">
      <c r="A175" s="698"/>
      <c r="B175" s="699"/>
      <c r="C175" s="700"/>
      <c r="D175" s="701"/>
      <c r="E175" s="700"/>
      <c r="F175" s="700"/>
      <c r="G175" s="700"/>
      <c r="H175" s="700"/>
      <c r="I175" s="700"/>
      <c r="J175" s="700"/>
      <c r="K175" s="700"/>
      <c r="L175" s="700"/>
      <c r="M175" s="700"/>
      <c r="N175" s="700"/>
      <c r="O175" s="700"/>
      <c r="P175" s="700"/>
      <c r="Q175" s="692"/>
      <c r="R175" s="692"/>
      <c r="S175" s="692"/>
      <c r="T175" s="692"/>
      <c r="U175" s="692"/>
      <c r="V175" s="692"/>
      <c r="W175" s="692"/>
      <c r="X175" s="692"/>
      <c r="Y175" s="692"/>
      <c r="Z175" s="692"/>
      <c r="AA175" s="692"/>
      <c r="AB175" s="692"/>
      <c r="AC175" s="692"/>
      <c r="AD175" s="692"/>
      <c r="AE175" s="692"/>
      <c r="AF175" s="692"/>
      <c r="AG175" s="692"/>
      <c r="AH175" s="692"/>
      <c r="AI175" s="692"/>
      <c r="AJ175" s="702"/>
      <c r="AK175" s="702"/>
      <c r="AL175" s="702"/>
      <c r="AM175" s="702"/>
      <c r="AN175" s="702"/>
      <c r="AO175" s="702"/>
      <c r="AP175" s="702"/>
      <c r="AQ175" s="702"/>
      <c r="AR175" s="702"/>
      <c r="AS175" s="702"/>
      <c r="AT175" s="702"/>
      <c r="AU175" s="702"/>
      <c r="AV175" s="702"/>
      <c r="AW175" s="702"/>
      <c r="AX175" s="702"/>
      <c r="AY175" s="702"/>
      <c r="AZ175" s="702"/>
      <c r="BA175" s="702"/>
    </row>
    <row r="176" spans="1:54" s="697" customFormat="1" ht="10.8">
      <c r="A176" s="698"/>
      <c r="B176" s="699"/>
      <c r="C176" s="700"/>
      <c r="D176" s="701"/>
      <c r="E176" s="700"/>
      <c r="F176" s="700"/>
      <c r="G176" s="700"/>
      <c r="H176" s="700"/>
      <c r="I176" s="700"/>
      <c r="J176" s="700"/>
      <c r="K176" s="700"/>
      <c r="L176" s="700"/>
      <c r="M176" s="700"/>
      <c r="N176" s="700"/>
      <c r="O176" s="700"/>
      <c r="P176" s="700"/>
      <c r="Q176" s="692"/>
      <c r="R176" s="692"/>
      <c r="S176" s="692"/>
      <c r="T176" s="692"/>
      <c r="U176" s="692"/>
      <c r="V176" s="692"/>
      <c r="W176" s="692"/>
      <c r="X176" s="692"/>
      <c r="Y176" s="692"/>
      <c r="Z176" s="692"/>
      <c r="AA176" s="692"/>
      <c r="AB176" s="692"/>
      <c r="AC176" s="692"/>
      <c r="AD176" s="692"/>
      <c r="AE176" s="692"/>
      <c r="AF176" s="692"/>
      <c r="AG176" s="692"/>
      <c r="AH176" s="692"/>
      <c r="AI176" s="692"/>
      <c r="AJ176" s="702"/>
      <c r="AK176" s="702"/>
      <c r="AL176" s="702"/>
      <c r="AM176" s="702"/>
      <c r="AN176" s="702"/>
      <c r="AO176" s="702"/>
      <c r="AP176" s="702"/>
      <c r="AQ176" s="702"/>
      <c r="AR176" s="702"/>
      <c r="AS176" s="702"/>
      <c r="AT176" s="702"/>
      <c r="AU176" s="702"/>
      <c r="AV176" s="702"/>
      <c r="AW176" s="702"/>
      <c r="AX176" s="702"/>
      <c r="AY176" s="702"/>
      <c r="AZ176" s="702"/>
      <c r="BA176" s="702"/>
    </row>
    <row r="177" spans="1:53" s="697" customFormat="1" ht="10.8">
      <c r="A177" s="698"/>
      <c r="B177" s="699"/>
      <c r="C177" s="700"/>
      <c r="D177" s="701"/>
      <c r="E177" s="700"/>
      <c r="F177" s="700"/>
      <c r="G177" s="700"/>
      <c r="H177" s="700"/>
      <c r="I177" s="700"/>
      <c r="J177" s="700"/>
      <c r="K177" s="700"/>
      <c r="L177" s="700"/>
      <c r="M177" s="700"/>
      <c r="N177" s="700"/>
      <c r="O177" s="700"/>
      <c r="P177" s="700"/>
      <c r="Q177" s="692"/>
      <c r="R177" s="692"/>
      <c r="S177" s="692"/>
      <c r="T177" s="692"/>
      <c r="U177" s="692"/>
      <c r="V177" s="692"/>
      <c r="W177" s="692"/>
      <c r="X177" s="692"/>
      <c r="Y177" s="692"/>
      <c r="Z177" s="692"/>
      <c r="AA177" s="692"/>
      <c r="AB177" s="692"/>
      <c r="AC177" s="692"/>
      <c r="AD177" s="692"/>
      <c r="AE177" s="692"/>
      <c r="AF177" s="692"/>
      <c r="AG177" s="692"/>
      <c r="AH177" s="692"/>
      <c r="AI177" s="692"/>
      <c r="AJ177" s="702"/>
      <c r="AK177" s="702"/>
      <c r="AL177" s="702"/>
      <c r="AM177" s="702"/>
      <c r="AN177" s="702"/>
      <c r="AO177" s="702"/>
      <c r="AP177" s="702"/>
      <c r="AQ177" s="702"/>
      <c r="AR177" s="702"/>
      <c r="AS177" s="702"/>
      <c r="AT177" s="702"/>
      <c r="AU177" s="702"/>
      <c r="AV177" s="702"/>
      <c r="AW177" s="702"/>
      <c r="AX177" s="702"/>
      <c r="AY177" s="702"/>
      <c r="AZ177" s="702"/>
      <c r="BA177" s="702"/>
    </row>
    <row r="178" spans="1:53" s="697" customFormat="1" ht="10.8">
      <c r="A178" s="698"/>
      <c r="B178" s="699"/>
      <c r="C178" s="700"/>
      <c r="D178" s="701"/>
      <c r="E178" s="700"/>
      <c r="F178" s="700"/>
      <c r="G178" s="700"/>
      <c r="H178" s="700"/>
      <c r="I178" s="700"/>
      <c r="J178" s="700"/>
      <c r="K178" s="700"/>
      <c r="L178" s="700"/>
      <c r="M178" s="700"/>
      <c r="N178" s="700"/>
      <c r="O178" s="700"/>
      <c r="P178" s="700"/>
      <c r="Q178" s="692"/>
      <c r="R178" s="692"/>
      <c r="S178" s="692"/>
      <c r="T178" s="692"/>
      <c r="U178" s="692"/>
      <c r="V178" s="692"/>
      <c r="W178" s="692"/>
      <c r="X178" s="692"/>
      <c r="Y178" s="692"/>
      <c r="Z178" s="692"/>
      <c r="AA178" s="692"/>
      <c r="AB178" s="692"/>
      <c r="AC178" s="692"/>
      <c r="AD178" s="692"/>
      <c r="AE178" s="692"/>
      <c r="AF178" s="692"/>
      <c r="AG178" s="692"/>
      <c r="AH178" s="692"/>
      <c r="AI178" s="692"/>
      <c r="AJ178" s="702"/>
      <c r="AK178" s="702"/>
      <c r="AL178" s="702"/>
      <c r="AM178" s="702"/>
      <c r="AN178" s="702"/>
      <c r="AO178" s="702"/>
      <c r="AP178" s="702"/>
      <c r="AQ178" s="702"/>
      <c r="AR178" s="702"/>
      <c r="AS178" s="702"/>
      <c r="AT178" s="702"/>
      <c r="AU178" s="702"/>
      <c r="AV178" s="702"/>
      <c r="AW178" s="702"/>
      <c r="AX178" s="702"/>
      <c r="AY178" s="702"/>
      <c r="AZ178" s="702"/>
      <c r="BA178" s="702"/>
    </row>
    <row r="179" spans="1:53" s="697" customFormat="1" ht="10.8">
      <c r="A179" s="698"/>
      <c r="B179" s="699"/>
      <c r="C179" s="700"/>
      <c r="D179" s="701"/>
      <c r="E179" s="700"/>
      <c r="F179" s="700"/>
      <c r="G179" s="700"/>
      <c r="H179" s="700"/>
      <c r="I179" s="700"/>
      <c r="J179" s="700"/>
      <c r="K179" s="700"/>
      <c r="L179" s="700"/>
      <c r="M179" s="700"/>
      <c r="N179" s="700"/>
      <c r="O179" s="700"/>
      <c r="P179" s="700"/>
      <c r="Q179" s="692"/>
      <c r="R179" s="692"/>
      <c r="S179" s="692"/>
      <c r="T179" s="692"/>
      <c r="U179" s="692"/>
      <c r="V179" s="692"/>
      <c r="W179" s="692"/>
      <c r="X179" s="692"/>
      <c r="Y179" s="692"/>
      <c r="Z179" s="692"/>
      <c r="AA179" s="692"/>
      <c r="AB179" s="692"/>
      <c r="AC179" s="692"/>
      <c r="AD179" s="692"/>
      <c r="AE179" s="692"/>
      <c r="AF179" s="692"/>
      <c r="AG179" s="692"/>
      <c r="AH179" s="692"/>
      <c r="AI179" s="692"/>
      <c r="AJ179" s="702"/>
      <c r="AK179" s="702"/>
      <c r="AL179" s="702"/>
      <c r="AM179" s="702"/>
      <c r="AN179" s="702"/>
      <c r="AO179" s="702"/>
      <c r="AP179" s="702"/>
      <c r="AQ179" s="702"/>
      <c r="AR179" s="702"/>
      <c r="AS179" s="702"/>
      <c r="AT179" s="702"/>
      <c r="AU179" s="702"/>
      <c r="AV179" s="702"/>
      <c r="AW179" s="702"/>
      <c r="AX179" s="702"/>
      <c r="AY179" s="702"/>
      <c r="AZ179" s="702"/>
      <c r="BA179" s="702"/>
    </row>
    <row r="180" spans="1:53" s="697" customFormat="1" ht="10.8">
      <c r="A180" s="698"/>
      <c r="B180" s="699"/>
      <c r="C180" s="700"/>
      <c r="D180" s="701"/>
      <c r="E180" s="700"/>
      <c r="F180" s="700"/>
      <c r="G180" s="700"/>
      <c r="H180" s="700"/>
      <c r="I180" s="700"/>
      <c r="J180" s="700"/>
      <c r="K180" s="700"/>
      <c r="L180" s="700"/>
      <c r="M180" s="700"/>
      <c r="N180" s="700"/>
      <c r="O180" s="700"/>
      <c r="P180" s="700"/>
      <c r="Q180" s="692"/>
      <c r="R180" s="692"/>
      <c r="S180" s="692"/>
      <c r="T180" s="692"/>
      <c r="U180" s="692"/>
      <c r="V180" s="692"/>
      <c r="W180" s="692"/>
      <c r="X180" s="692"/>
      <c r="Y180" s="692"/>
      <c r="Z180" s="692"/>
      <c r="AA180" s="692"/>
      <c r="AB180" s="692"/>
      <c r="AC180" s="692"/>
      <c r="AD180" s="692"/>
      <c r="AE180" s="692"/>
      <c r="AF180" s="692"/>
      <c r="AG180" s="692"/>
      <c r="AH180" s="692"/>
      <c r="AI180" s="692"/>
      <c r="AJ180" s="702"/>
      <c r="AK180" s="702"/>
      <c r="AL180" s="702"/>
      <c r="AM180" s="702"/>
      <c r="AN180" s="702"/>
      <c r="AO180" s="702"/>
      <c r="AP180" s="702"/>
      <c r="AQ180" s="702"/>
      <c r="AR180" s="702"/>
      <c r="AS180" s="702"/>
      <c r="AT180" s="702"/>
      <c r="AU180" s="702"/>
      <c r="AV180" s="702"/>
      <c r="AW180" s="702"/>
      <c r="AX180" s="702"/>
      <c r="AY180" s="702"/>
      <c r="AZ180" s="702"/>
      <c r="BA180" s="702"/>
    </row>
    <row r="181" spans="1:53" s="697" customFormat="1" ht="10.8">
      <c r="A181" s="698"/>
      <c r="B181" s="699"/>
      <c r="C181" s="700"/>
      <c r="D181" s="701"/>
      <c r="E181" s="700"/>
      <c r="F181" s="700"/>
      <c r="G181" s="700"/>
      <c r="H181" s="700"/>
      <c r="I181" s="700"/>
      <c r="J181" s="700"/>
      <c r="K181" s="700"/>
      <c r="L181" s="700"/>
      <c r="M181" s="700"/>
      <c r="N181" s="700"/>
      <c r="O181" s="700"/>
      <c r="P181" s="700"/>
      <c r="Q181" s="692"/>
      <c r="R181" s="692"/>
      <c r="S181" s="692"/>
      <c r="T181" s="692"/>
      <c r="U181" s="692"/>
      <c r="V181" s="692"/>
      <c r="W181" s="692"/>
      <c r="X181" s="692"/>
      <c r="Y181" s="692"/>
      <c r="Z181" s="692"/>
      <c r="AA181" s="692"/>
      <c r="AB181" s="692"/>
      <c r="AC181" s="692"/>
      <c r="AD181" s="692"/>
      <c r="AE181" s="692"/>
      <c r="AF181" s="692"/>
      <c r="AG181" s="692"/>
      <c r="AH181" s="692"/>
      <c r="AI181" s="692"/>
      <c r="AJ181" s="702"/>
      <c r="AK181" s="702"/>
      <c r="AL181" s="702"/>
      <c r="AM181" s="702"/>
      <c r="AN181" s="702"/>
      <c r="AO181" s="702"/>
      <c r="AP181" s="702"/>
      <c r="AQ181" s="702"/>
      <c r="AR181" s="702"/>
      <c r="AS181" s="702"/>
      <c r="AT181" s="702"/>
      <c r="AU181" s="702"/>
      <c r="AV181" s="702"/>
      <c r="AW181" s="702"/>
      <c r="AX181" s="702"/>
      <c r="AY181" s="702"/>
      <c r="AZ181" s="702"/>
      <c r="BA181" s="702"/>
    </row>
    <row r="182" spans="1:53" s="697" customFormat="1" ht="10.8">
      <c r="A182" s="698"/>
      <c r="B182" s="699"/>
      <c r="C182" s="700"/>
      <c r="D182" s="701"/>
      <c r="E182" s="700"/>
      <c r="F182" s="700"/>
      <c r="G182" s="700"/>
      <c r="H182" s="700"/>
      <c r="I182" s="700"/>
      <c r="J182" s="700"/>
      <c r="K182" s="700"/>
      <c r="L182" s="700"/>
      <c r="M182" s="700"/>
      <c r="N182" s="700"/>
      <c r="O182" s="700"/>
      <c r="P182" s="700"/>
      <c r="Q182" s="692"/>
      <c r="R182" s="692"/>
      <c r="S182" s="692"/>
      <c r="T182" s="692"/>
      <c r="U182" s="692"/>
      <c r="V182" s="692"/>
      <c r="W182" s="692"/>
      <c r="X182" s="692"/>
      <c r="Y182" s="692"/>
      <c r="Z182" s="692"/>
      <c r="AA182" s="692"/>
      <c r="AB182" s="692"/>
      <c r="AC182" s="692"/>
      <c r="AD182" s="692"/>
      <c r="AE182" s="692"/>
      <c r="AF182" s="692"/>
      <c r="AG182" s="692"/>
      <c r="AH182" s="692"/>
      <c r="AI182" s="692"/>
      <c r="AJ182" s="702"/>
      <c r="AK182" s="702"/>
      <c r="AL182" s="702"/>
      <c r="AM182" s="702"/>
      <c r="AN182" s="702"/>
      <c r="AO182" s="702"/>
      <c r="AP182" s="702"/>
      <c r="AQ182" s="702"/>
      <c r="AR182" s="702"/>
      <c r="AS182" s="702"/>
      <c r="AT182" s="702"/>
      <c r="AU182" s="702"/>
      <c r="AV182" s="702"/>
      <c r="AW182" s="702"/>
      <c r="AX182" s="702"/>
      <c r="AY182" s="702"/>
      <c r="AZ182" s="702"/>
      <c r="BA182" s="702"/>
    </row>
    <row r="183" spans="1:53" s="697" customFormat="1" ht="10.8">
      <c r="A183" s="698"/>
      <c r="B183" s="699"/>
      <c r="C183" s="700"/>
      <c r="D183" s="701"/>
      <c r="E183" s="700"/>
      <c r="F183" s="700"/>
      <c r="G183" s="700"/>
      <c r="H183" s="700"/>
      <c r="I183" s="700"/>
      <c r="J183" s="700"/>
      <c r="K183" s="700"/>
      <c r="L183" s="700"/>
      <c r="M183" s="700"/>
      <c r="N183" s="700"/>
      <c r="O183" s="700"/>
      <c r="P183" s="700"/>
      <c r="Q183" s="692"/>
      <c r="R183" s="692"/>
      <c r="S183" s="692"/>
      <c r="T183" s="692"/>
      <c r="U183" s="692"/>
      <c r="V183" s="692"/>
      <c r="W183" s="692"/>
      <c r="X183" s="692"/>
      <c r="Y183" s="692"/>
      <c r="Z183" s="692"/>
      <c r="AA183" s="692"/>
      <c r="AB183" s="692"/>
      <c r="AC183" s="692"/>
      <c r="AD183" s="692"/>
      <c r="AE183" s="692"/>
      <c r="AF183" s="692"/>
      <c r="AG183" s="692"/>
      <c r="AH183" s="692"/>
      <c r="AI183" s="692"/>
      <c r="AJ183" s="702"/>
      <c r="AK183" s="702"/>
      <c r="AL183" s="702"/>
      <c r="AM183" s="702"/>
      <c r="AN183" s="702"/>
      <c r="AO183" s="702"/>
      <c r="AP183" s="702"/>
      <c r="AQ183" s="702"/>
      <c r="AR183" s="702"/>
      <c r="AS183" s="702"/>
      <c r="AT183" s="702"/>
      <c r="AU183" s="702"/>
      <c r="AV183" s="702"/>
      <c r="AW183" s="702"/>
      <c r="AX183" s="702"/>
      <c r="AY183" s="702"/>
      <c r="AZ183" s="702"/>
      <c r="BA183" s="702"/>
    </row>
  </sheetData>
  <protectedRanges>
    <protectedRange sqref="AA34:AA36" name="区域1_4_3"/>
    <protectedRange sqref="AG3:AG5" name="区域1_1_1"/>
    <protectedRange sqref="AG4:AG5 P4:P5" name="区域1_2"/>
    <protectedRange sqref="AD3:AD5" name="区域1_3_1_1_1"/>
    <protectedRange sqref="AF49 P49" name="区域1_2_2"/>
    <protectedRange sqref="AG48:AG49" name="区域1_1_1_1"/>
    <protectedRange sqref="AC48:AC49" name="区域1_3_1_1_2"/>
    <protectedRange sqref="AA48:AA49" name="区域1_4"/>
    <protectedRange sqref="AF174 P174" name="区域1_2_1"/>
    <protectedRange sqref="AG173:AG174" name="区域1_1_1_2"/>
    <protectedRange sqref="AC173:AC174" name="区域1_3_1_1"/>
    <protectedRange sqref="AA173:AA174" name="区域1_4_2"/>
    <protectedRange sqref="AF169 P169" name="区域1_2_3"/>
    <protectedRange sqref="AG168:AG169" name="区域1_1_1_4"/>
    <protectedRange sqref="AC168:AC169" name="区域1_3_1_1_3"/>
    <protectedRange sqref="AA168:AA169" name="区域1_4_1"/>
    <protectedRange sqref="AH167" name="区域1_1_1_3"/>
    <protectedRange sqref="AD167" name="区域1_3_1_1_4"/>
    <protectedRange sqref="AA167" name="区域1_4_4"/>
  </protectedRanges>
  <autoFilter ref="A12:BB170" xr:uid="{00000000-0009-0000-0000-000007000000}"/>
  <mergeCells count="22">
    <mergeCell ref="AI5:AI6"/>
    <mergeCell ref="AI124:AI125"/>
    <mergeCell ref="A120:AH120"/>
    <mergeCell ref="F124:P124"/>
    <mergeCell ref="T124:AA124"/>
    <mergeCell ref="AB124:AG124"/>
    <mergeCell ref="A5:A6"/>
    <mergeCell ref="A124:A125"/>
    <mergeCell ref="B5:B6"/>
    <mergeCell ref="B124:B125"/>
    <mergeCell ref="C5:C6"/>
    <mergeCell ref="D5:D6"/>
    <mergeCell ref="D124:D125"/>
    <mergeCell ref="E5:E6"/>
    <mergeCell ref="E124:E125"/>
    <mergeCell ref="AH5:AH6"/>
    <mergeCell ref="AH124:AH125"/>
    <mergeCell ref="A1:AH1"/>
    <mergeCell ref="F5:P5"/>
    <mergeCell ref="Q5:S5"/>
    <mergeCell ref="T5:AA5"/>
    <mergeCell ref="AB5:AG5"/>
  </mergeCells>
  <phoneticPr fontId="5" type="noConversion"/>
  <conditionalFormatting sqref="B10:F10 I10:S10 AE10:AG10">
    <cfRule type="duplicateValues" dxfId="1280" priority="33"/>
    <cfRule type="duplicateValues" dxfId="1279" priority="32"/>
  </conditionalFormatting>
  <conditionalFormatting sqref="C1:C4 C114:C119 C168:C1048576">
    <cfRule type="duplicateValues" dxfId="1278" priority="443"/>
  </conditionalFormatting>
  <conditionalFormatting sqref="C1:C6 C114:C119 C168:C1048576">
    <cfRule type="duplicateValues" dxfId="1277" priority="370"/>
  </conditionalFormatting>
  <conditionalFormatting sqref="C2:C4 C114:C119 C168:C1048576">
    <cfRule type="duplicateValues" dxfId="1276" priority="477"/>
  </conditionalFormatting>
  <conditionalFormatting sqref="C5:C6">
    <cfRule type="duplicateValues" dxfId="1275" priority="439"/>
  </conditionalFormatting>
  <conditionalFormatting sqref="C7">
    <cfRule type="duplicateValues" dxfId="1274" priority="116"/>
  </conditionalFormatting>
  <conditionalFormatting sqref="C7:C8 C11:C16 C19:C20 C23:C27 C32 C34 C38 C42:C48 C54:C61 C63:C68 C72:C76 C88 C92:C95 C97:C98 C103:C104 C112:C113">
    <cfRule type="duplicateValues" dxfId="1273" priority="107"/>
  </conditionalFormatting>
  <conditionalFormatting sqref="C7:C8 C11:C16 C19:C20 C23:C27 C32:C34 C38 C42:C48 C54:C61 C63:C68 C71:C76 C88 C92:C95 C97:C98 C103:C104 C112:C113">
    <cfRule type="duplicateValues" dxfId="1272" priority="103"/>
  </conditionalFormatting>
  <conditionalFormatting sqref="C7:C8 C11:C16 C19:C20 C23:C27 C32:C34 C38 C42:C48 C54:C61 C63:C68 C71:C76 C88 C92:C98 C103:C104 C112:C113">
    <cfRule type="duplicateValues" dxfId="1271" priority="100"/>
  </conditionalFormatting>
  <conditionalFormatting sqref="C7:C8 C11:C16 C19:C20 C23:C27 C32:C35 C38 C42:C48 C54:C61 C63:C68 C71:C76 C88 C92:C98 C103:C104 C112:C113">
    <cfRule type="duplicateValues" dxfId="1270" priority="97"/>
  </conditionalFormatting>
  <conditionalFormatting sqref="C7:C8 C11:C16 C19:C20 C23:C27 C32:C35 C38 C42:C48 C54:C61 C63:C68 C71:C76 C88 C92:C99 C103:C106 C108 C112:C113">
    <cfRule type="duplicateValues" dxfId="1269" priority="86"/>
  </conditionalFormatting>
  <conditionalFormatting sqref="C7:C8 C11:C16 C19:C20 C24:C27 C32 C34 C38 C42:C48 C54:C61 C64:C68 C72:C76 C88 C92:C95 C97:C98 C103:C104">
    <cfRule type="duplicateValues" dxfId="1268" priority="109"/>
  </conditionalFormatting>
  <conditionalFormatting sqref="C7:C8 C11:C17 C19:C20 C23:C27 C32:C35 C38 C42:C48 C54:C61 C63:C68 C71:C76 C88 C90 C92:C99 C103:C106 C108 C112:C113">
    <cfRule type="duplicateValues" dxfId="1267" priority="80"/>
  </conditionalFormatting>
  <conditionalFormatting sqref="C7:C8 C11:C17 C19:C20 C23:C27 C32:C35 C38 C42:C48 C54:C61 C63:C68 C71:C76 C88 C90 C92:C100 C103:C106 C108 C112:C113">
    <cfRule type="duplicateValues" dxfId="1266" priority="77"/>
  </conditionalFormatting>
  <conditionalFormatting sqref="C7:C8 C11:C17 C19:C20 C23:C27 C32:C35 C38 C42:C48 C54:C61 C63:C68 C71:C76 C88 C92:C99 C103:C106 C108 C112:C113">
    <cfRule type="duplicateValues" dxfId="1265" priority="83"/>
  </conditionalFormatting>
  <conditionalFormatting sqref="C7:C8 C11:C17 C19:C20 C23:C27 C32:C35 C38 C42:C48 C54:C61 C63:C69 C71:C76 C88 C90 C92:C100 C103:C106 C108 C112:C113">
    <cfRule type="duplicateValues" dxfId="1264" priority="75"/>
  </conditionalFormatting>
  <conditionalFormatting sqref="C7:C8 C11:C17 C19:C20 C23:C27 C32:C35 C38 C42:C48 C54:C61 C63:C69 C71:C76 C88 C90 C92:C100 C103:C108 C112:C113">
    <cfRule type="duplicateValues" dxfId="1263" priority="72"/>
  </conditionalFormatting>
  <conditionalFormatting sqref="C7:C8 C11:C17 C19:C20 C23:C27 C32:C35 C38 C42:C48 C54:C61 C63:C69 C71:C76 C88:C90 C92:C100 C103:C108 C110 C112:C113">
    <cfRule type="duplicateValues" dxfId="1262" priority="67"/>
  </conditionalFormatting>
  <conditionalFormatting sqref="C7:C8 C11:C17 C19:C20 C23:C27 C32:C36 C38 C42:C48 C54:C61 C63:C69 C71:C76 C88:C90 C92:C100 C103:C108 C110 C112:C113">
    <cfRule type="duplicateValues" dxfId="1261" priority="64"/>
  </conditionalFormatting>
  <conditionalFormatting sqref="C7:C8 C11:C20 C23:C27 C32:C36 C38 C42:C48 C54:C61 C63:C69 C71:C76 C88:C90 C92:C100 C103:C108 C110 C112:C113">
    <cfRule type="duplicateValues" dxfId="1260" priority="61"/>
  </conditionalFormatting>
  <conditionalFormatting sqref="C7:C8 C11:C20 C23:C27 C32:C36 C38 C42:C48 C54:C61 C63:C69 C71:C77 C84 C86 C88:C90 C92:C100 C103:C108 C110 C112:C113">
    <cfRule type="duplicateValues" dxfId="1259" priority="59"/>
  </conditionalFormatting>
  <conditionalFormatting sqref="C7:C8 C11:C20 C23:C27 C32:C36 C38 C42:C48 C54:C61 C63:C77 C84 C86 C88:C90 C92:C100 C103:C108 C110 C112:C113">
    <cfRule type="duplicateValues" dxfId="1258" priority="58"/>
  </conditionalFormatting>
  <conditionalFormatting sqref="C7:C8 C11:C20 C23:C27 C32:C36 C38 C42:C48 C54:C61 C63:C77 C84 C86 C88:C90 C92:C100 C103:C110 C112:C113">
    <cfRule type="duplicateValues" dxfId="1257" priority="55"/>
  </conditionalFormatting>
  <conditionalFormatting sqref="C7:C8 C11:C20 C23:C27 C32:C36 C38 C42:C48 C54:C61 C63:C77 C84 C86 C88:C90 C92:C101 C103:C110 C112:C113">
    <cfRule type="duplicateValues" dxfId="1256" priority="51"/>
  </conditionalFormatting>
  <conditionalFormatting sqref="C7:C8 C11:C20 C23:C27 C32:C38 C42:C49 C54:C61 C63:C77 C84 C86 C88:C90 C92:C101 C103:C110 C112:C113">
    <cfRule type="duplicateValues" dxfId="1255" priority="46"/>
  </conditionalFormatting>
  <conditionalFormatting sqref="C7:C8 C11:C20 C23:C27 C32:C38 C42:C49 C54:C61 C63:C78 C84 C86 C88:C90 C92:C101 C103:C110 C112:C113">
    <cfRule type="duplicateValues" dxfId="1254" priority="44"/>
  </conditionalFormatting>
  <conditionalFormatting sqref="C7:C8 C11:C20 C23:C29 C32:C38 C42:C49 C54:C61 C63:C78 C83:C84 C86 C88:C90 C92:C101 C103:C113">
    <cfRule type="duplicateValues" dxfId="1253" priority="38"/>
  </conditionalFormatting>
  <conditionalFormatting sqref="C7:C9 C11:C20 C23:C29 C32:C38 C42:C49 C54:C61 C63:C78 C83:C84 C86 C88:C90 C92:C101 C103:C113">
    <cfRule type="duplicateValues" dxfId="1252" priority="36"/>
  </conditionalFormatting>
  <conditionalFormatting sqref="C7:C20 C22:C50 C54:C113">
    <cfRule type="duplicateValues" dxfId="1251" priority="7"/>
  </conditionalFormatting>
  <conditionalFormatting sqref="C7:C20 C22:C113">
    <cfRule type="duplicateValues" dxfId="1250" priority="2"/>
  </conditionalFormatting>
  <conditionalFormatting sqref="C7:C20 C23:C30 C32:C38 C42:C49 C54:C78 C80 C83:C86 C88:C90 C92:C101 C103:C113">
    <cfRule type="duplicateValues" dxfId="1249" priority="31"/>
  </conditionalFormatting>
  <conditionalFormatting sqref="C7:C20 C23:C30 C32:C38 C42:C49 C54:C78 C80:C81 C83:C86 C88:C113">
    <cfRule type="duplicateValues" dxfId="1248" priority="24"/>
  </conditionalFormatting>
  <conditionalFormatting sqref="C7:C20 C23:C30 C32:C40 C42:C49 C54:C78 C80:C81 C83:C86 C88:C113">
    <cfRule type="duplicateValues" dxfId="1247" priority="19"/>
  </conditionalFormatting>
  <conditionalFormatting sqref="C7:C20 C23:C40 C42:C49 C54:C78 C80:C86 C88:C113">
    <cfRule type="duplicateValues" dxfId="1246" priority="16"/>
  </conditionalFormatting>
  <conditionalFormatting sqref="C7:C20 C23:C49 C54:C86 C88:C113">
    <cfRule type="duplicateValues" dxfId="1245" priority="12"/>
  </conditionalFormatting>
  <conditionalFormatting sqref="C8 C11:C12 C14:C15 C19:C20 C32 C34 C42:C48 C54:C55 C58 C60:C61">
    <cfRule type="duplicateValues" dxfId="1244" priority="160"/>
  </conditionalFormatting>
  <conditionalFormatting sqref="C8 C11:C15 C19:C20 C24 C26 C32 C34 C38 C42:C48 C54:C61 C64:C68 C72:C76 C88 C92:C95 C97:C98 C103:C104">
    <cfRule type="duplicateValues" dxfId="1243" priority="117"/>
  </conditionalFormatting>
  <conditionalFormatting sqref="C8 C11:C15 C19:C20 C24 C32 C34 C38 C42:C48 C54:C61 C64:C68 C72:C76 C88 C92:C95 C97:C98 C103:C104">
    <cfRule type="duplicateValues" dxfId="1242" priority="120"/>
  </conditionalFormatting>
  <conditionalFormatting sqref="C8 C11:C15 C19:C20 C32 C34 C38 C42:C48 C54:C61">
    <cfRule type="duplicateValues" dxfId="1241" priority="146"/>
  </conditionalFormatting>
  <conditionalFormatting sqref="C8 C11:C15 C19:C20 C32 C34 C42:C48 C54:C55 C57:C58 C60:C61">
    <cfRule type="duplicateValues" dxfId="1240" priority="154"/>
  </conditionalFormatting>
  <conditionalFormatting sqref="C8 C11:C15 C19:C20 C32 C34 C42:C48 C54:C55 C57:C61">
    <cfRule type="duplicateValues" dxfId="1239" priority="151"/>
  </conditionalFormatting>
  <conditionalFormatting sqref="C8 C11:C15 C19:C20 C32 C34 C42:C48 C54:C55 C58 C60:C61">
    <cfRule type="duplicateValues" dxfId="1238" priority="157"/>
  </conditionalFormatting>
  <conditionalFormatting sqref="C8 C34 C42:C46 C48 C54:C55 C58 C60:C61">
    <cfRule type="duplicateValues" dxfId="1237" priority="165"/>
  </conditionalFormatting>
  <conditionalFormatting sqref="C8">
    <cfRule type="duplicateValues" dxfId="1236" priority="174"/>
    <cfRule type="duplicateValues" dxfId="1235" priority="175"/>
  </conditionalFormatting>
  <conditionalFormatting sqref="C9">
    <cfRule type="duplicateValues" dxfId="1234" priority="37"/>
  </conditionalFormatting>
  <conditionalFormatting sqref="C11">
    <cfRule type="duplicateValues" dxfId="1233" priority="181"/>
  </conditionalFormatting>
  <conditionalFormatting sqref="C11:C12 C14:C15 C20 C32">
    <cfRule type="duplicateValues" dxfId="1232" priority="180"/>
  </conditionalFormatting>
  <conditionalFormatting sqref="C12 C14:C15 C20">
    <cfRule type="duplicateValues" dxfId="1231" priority="184"/>
  </conditionalFormatting>
  <conditionalFormatting sqref="C12">
    <cfRule type="duplicateValues" dxfId="1230" priority="185"/>
  </conditionalFormatting>
  <conditionalFormatting sqref="C13">
    <cfRule type="duplicateValues" dxfId="1229" priority="158"/>
    <cfRule type="duplicateValues" dxfId="1228" priority="159"/>
  </conditionalFormatting>
  <conditionalFormatting sqref="C14">
    <cfRule type="duplicateValues" dxfId="1227" priority="186"/>
  </conditionalFormatting>
  <conditionalFormatting sqref="C15 C20">
    <cfRule type="duplicateValues" dxfId="1226" priority="187"/>
  </conditionalFormatting>
  <conditionalFormatting sqref="C16">
    <cfRule type="duplicateValues" dxfId="1225" priority="110"/>
    <cfRule type="duplicateValues" dxfId="1224" priority="111"/>
  </conditionalFormatting>
  <conditionalFormatting sqref="C17">
    <cfRule type="duplicateValues" dxfId="1223" priority="84"/>
    <cfRule type="duplicateValues" dxfId="1222" priority="85"/>
  </conditionalFormatting>
  <conditionalFormatting sqref="C18">
    <cfRule type="duplicateValues" dxfId="1221" priority="62"/>
    <cfRule type="duplicateValues" dxfId="1220" priority="63"/>
  </conditionalFormatting>
  <conditionalFormatting sqref="C19">
    <cfRule type="duplicateValues" dxfId="1219" priority="163"/>
    <cfRule type="duplicateValues" dxfId="1218" priority="164"/>
  </conditionalFormatting>
  <conditionalFormatting sqref="C21">
    <cfRule type="duplicateValues" dxfId="1217" priority="1"/>
  </conditionalFormatting>
  <conditionalFormatting sqref="C22">
    <cfRule type="duplicateValues" dxfId="1216" priority="8"/>
  </conditionalFormatting>
  <conditionalFormatting sqref="C23">
    <cfRule type="duplicateValues" dxfId="1215" priority="108"/>
  </conditionalFormatting>
  <conditionalFormatting sqref="C24">
    <cfRule type="duplicateValues" dxfId="1214" priority="144"/>
    <cfRule type="duplicateValues" dxfId="1213" priority="145"/>
  </conditionalFormatting>
  <conditionalFormatting sqref="C25">
    <cfRule type="duplicateValues" dxfId="1212" priority="115"/>
    <cfRule type="duplicateValues" dxfId="1211" priority="114"/>
  </conditionalFormatting>
  <conditionalFormatting sqref="C26">
    <cfRule type="duplicateValues" dxfId="1210" priority="119"/>
    <cfRule type="duplicateValues" dxfId="1209" priority="118"/>
  </conditionalFormatting>
  <conditionalFormatting sqref="C27">
    <cfRule type="duplicateValues" dxfId="1208" priority="112"/>
    <cfRule type="duplicateValues" dxfId="1207" priority="113"/>
  </conditionalFormatting>
  <conditionalFormatting sqref="C28">
    <cfRule type="duplicateValues" dxfId="1206" priority="43"/>
  </conditionalFormatting>
  <conditionalFormatting sqref="C29">
    <cfRule type="duplicateValues" dxfId="1205" priority="42"/>
  </conditionalFormatting>
  <conditionalFormatting sqref="C30">
    <cfRule type="duplicateValues" dxfId="1204" priority="25"/>
  </conditionalFormatting>
  <conditionalFormatting sqref="C31">
    <cfRule type="duplicateValues" dxfId="1203" priority="18"/>
  </conditionalFormatting>
  <conditionalFormatting sqref="C32">
    <cfRule type="duplicateValues" dxfId="1202" priority="183"/>
    <cfRule type="duplicateValues" dxfId="1201" priority="182"/>
  </conditionalFormatting>
  <conditionalFormatting sqref="C33">
    <cfRule type="duplicateValues" dxfId="1200" priority="105"/>
    <cfRule type="duplicateValues" dxfId="1199" priority="106"/>
  </conditionalFormatting>
  <conditionalFormatting sqref="C34 C43:C44 C46 C48 C54 C60:C61">
    <cfRule type="duplicateValues" dxfId="1198" priority="176"/>
  </conditionalFormatting>
  <conditionalFormatting sqref="C34">
    <cfRule type="duplicateValues" dxfId="1197" priority="177"/>
  </conditionalFormatting>
  <conditionalFormatting sqref="C35">
    <cfRule type="duplicateValues" dxfId="1196" priority="99"/>
    <cfRule type="duplicateValues" dxfId="1195" priority="98"/>
  </conditionalFormatting>
  <conditionalFormatting sqref="C36">
    <cfRule type="duplicateValues" dxfId="1194" priority="66"/>
    <cfRule type="duplicateValues" dxfId="1193" priority="65"/>
  </conditionalFormatting>
  <conditionalFormatting sqref="C37">
    <cfRule type="duplicateValues" dxfId="1192" priority="49"/>
    <cfRule type="duplicateValues" dxfId="1191" priority="50"/>
  </conditionalFormatting>
  <conditionalFormatting sqref="C38">
    <cfRule type="duplicateValues" dxfId="1190" priority="148"/>
    <cfRule type="duplicateValues" dxfId="1189" priority="147"/>
  </conditionalFormatting>
  <conditionalFormatting sqref="C39">
    <cfRule type="duplicateValues" dxfId="1188" priority="20"/>
    <cfRule type="duplicateValues" dxfId="1187" priority="21"/>
  </conditionalFormatting>
  <conditionalFormatting sqref="C40">
    <cfRule type="duplicateValues" dxfId="1186" priority="22"/>
    <cfRule type="duplicateValues" dxfId="1185" priority="23"/>
  </conditionalFormatting>
  <conditionalFormatting sqref="C41">
    <cfRule type="duplicateValues" dxfId="1184" priority="14"/>
    <cfRule type="duplicateValues" dxfId="1183" priority="15"/>
  </conditionalFormatting>
  <conditionalFormatting sqref="C42">
    <cfRule type="duplicateValues" dxfId="1182" priority="171"/>
    <cfRule type="duplicateValues" dxfId="1181" priority="170"/>
  </conditionalFormatting>
  <conditionalFormatting sqref="C43:C44 C46 C54 C60:C61">
    <cfRule type="duplicateValues" dxfId="1180" priority="179"/>
  </conditionalFormatting>
  <conditionalFormatting sqref="C45">
    <cfRule type="duplicateValues" dxfId="1179" priority="168"/>
    <cfRule type="duplicateValues" dxfId="1178" priority="169"/>
  </conditionalFormatting>
  <conditionalFormatting sqref="C47">
    <cfRule type="duplicateValues" dxfId="1177" priority="162"/>
    <cfRule type="duplicateValues" dxfId="1176" priority="161"/>
  </conditionalFormatting>
  <conditionalFormatting sqref="C48">
    <cfRule type="duplicateValues" dxfId="1175" priority="178"/>
  </conditionalFormatting>
  <conditionalFormatting sqref="C49">
    <cfRule type="duplicateValues" dxfId="1174" priority="48"/>
    <cfRule type="duplicateValues" dxfId="1173" priority="47"/>
  </conditionalFormatting>
  <conditionalFormatting sqref="C50">
    <cfRule type="duplicateValues" dxfId="1172" priority="10"/>
    <cfRule type="duplicateValues" dxfId="1171" priority="11"/>
  </conditionalFormatting>
  <conditionalFormatting sqref="C51">
    <cfRule type="duplicateValues" dxfId="1170" priority="3"/>
  </conditionalFormatting>
  <conditionalFormatting sqref="C52">
    <cfRule type="duplicateValues" dxfId="1169" priority="6"/>
  </conditionalFormatting>
  <conditionalFormatting sqref="C52:C53">
    <cfRule type="duplicateValues" dxfId="1168" priority="4"/>
  </conditionalFormatting>
  <conditionalFormatting sqref="C53">
    <cfRule type="duplicateValues" dxfId="1167" priority="5"/>
  </conditionalFormatting>
  <conditionalFormatting sqref="C55">
    <cfRule type="duplicateValues" dxfId="1166" priority="166"/>
    <cfRule type="duplicateValues" dxfId="1165" priority="167"/>
  </conditionalFormatting>
  <conditionalFormatting sqref="C56">
    <cfRule type="duplicateValues" dxfId="1164" priority="149"/>
    <cfRule type="duplicateValues" dxfId="1163" priority="150"/>
  </conditionalFormatting>
  <conditionalFormatting sqref="C57">
    <cfRule type="duplicateValues" dxfId="1162" priority="156"/>
    <cfRule type="duplicateValues" dxfId="1161" priority="155"/>
  </conditionalFormatting>
  <conditionalFormatting sqref="C58">
    <cfRule type="duplicateValues" dxfId="1160" priority="173"/>
    <cfRule type="duplicateValues" dxfId="1159" priority="172"/>
  </conditionalFormatting>
  <conditionalFormatting sqref="C59">
    <cfRule type="duplicateValues" dxfId="1158" priority="153"/>
    <cfRule type="duplicateValues" dxfId="1157" priority="152"/>
  </conditionalFormatting>
  <conditionalFormatting sqref="C62">
    <cfRule type="duplicateValues" dxfId="1156" priority="35"/>
    <cfRule type="duplicateValues" dxfId="1155" priority="34"/>
  </conditionalFormatting>
  <conditionalFormatting sqref="C64 C88 C93:C94">
    <cfRule type="duplicateValues" dxfId="1154" priority="190"/>
  </conditionalFormatting>
  <conditionalFormatting sqref="C64">
    <cfRule type="duplicateValues" dxfId="1153" priority="138"/>
    <cfRule type="duplicateValues" dxfId="1152" priority="137"/>
  </conditionalFormatting>
  <conditionalFormatting sqref="C64:C68 C73:C74 C88 C92:C94">
    <cfRule type="duplicateValues" dxfId="1151" priority="189"/>
  </conditionalFormatting>
  <conditionalFormatting sqref="C64:C68 C73:C75 C88 C92:C94">
    <cfRule type="duplicateValues" dxfId="1150" priority="188"/>
  </conditionalFormatting>
  <conditionalFormatting sqref="C65">
    <cfRule type="duplicateValues" dxfId="1149" priority="136"/>
  </conditionalFormatting>
  <conditionalFormatting sqref="C66">
    <cfRule type="duplicateValues" dxfId="1148" priority="140"/>
  </conditionalFormatting>
  <conditionalFormatting sqref="C67">
    <cfRule type="duplicateValues" dxfId="1147" priority="135"/>
  </conditionalFormatting>
  <conditionalFormatting sqref="C68 C74">
    <cfRule type="duplicateValues" dxfId="1146" priority="141"/>
  </conditionalFormatting>
  <conditionalFormatting sqref="C68">
    <cfRule type="duplicateValues" dxfId="1145" priority="142"/>
  </conditionalFormatting>
  <conditionalFormatting sqref="C69">
    <cfRule type="duplicateValues" dxfId="1144" priority="76"/>
  </conditionalFormatting>
  <conditionalFormatting sqref="C70">
    <cfRule type="duplicateValues" dxfId="1143" priority="52"/>
  </conditionalFormatting>
  <conditionalFormatting sqref="C71">
    <cfRule type="duplicateValues" dxfId="1142" priority="104"/>
  </conditionalFormatting>
  <conditionalFormatting sqref="C72 C76">
    <cfRule type="duplicateValues" dxfId="1141" priority="126"/>
  </conditionalFormatting>
  <conditionalFormatting sqref="C72">
    <cfRule type="duplicateValues" dxfId="1140" priority="128"/>
  </conditionalFormatting>
  <conditionalFormatting sqref="C73">
    <cfRule type="duplicateValues" dxfId="1139" priority="133"/>
    <cfRule type="duplicateValues" dxfId="1138" priority="134"/>
  </conditionalFormatting>
  <conditionalFormatting sqref="C74">
    <cfRule type="duplicateValues" dxfId="1137" priority="143"/>
  </conditionalFormatting>
  <conditionalFormatting sqref="C75">
    <cfRule type="duplicateValues" dxfId="1136" priority="130"/>
    <cfRule type="duplicateValues" dxfId="1135" priority="129"/>
  </conditionalFormatting>
  <conditionalFormatting sqref="C76">
    <cfRule type="duplicateValues" dxfId="1134" priority="127"/>
  </conditionalFormatting>
  <conditionalFormatting sqref="C77 C84 C86">
    <cfRule type="duplicateValues" dxfId="1133" priority="60"/>
  </conditionalFormatting>
  <conditionalFormatting sqref="C78">
    <cfRule type="duplicateValues" dxfId="1132" priority="45"/>
  </conditionalFormatting>
  <conditionalFormatting sqref="C79">
    <cfRule type="duplicateValues" dxfId="1131" priority="13"/>
  </conditionalFormatting>
  <conditionalFormatting sqref="C81">
    <cfRule type="duplicateValues" dxfId="1130" priority="30"/>
  </conditionalFormatting>
  <conditionalFormatting sqref="C82">
    <cfRule type="duplicateValues" dxfId="1129" priority="17"/>
  </conditionalFormatting>
  <conditionalFormatting sqref="C83">
    <cfRule type="duplicateValues" dxfId="1128" priority="41"/>
  </conditionalFormatting>
  <conditionalFormatting sqref="C87">
    <cfRule type="duplicateValues" dxfId="1127" priority="9"/>
  </conditionalFormatting>
  <conditionalFormatting sqref="C88 C93">
    <cfRule type="duplicateValues" dxfId="1126" priority="191"/>
  </conditionalFormatting>
  <conditionalFormatting sqref="C88 C93:C94">
    <cfRule type="duplicateValues" dxfId="1125" priority="192"/>
  </conditionalFormatting>
  <conditionalFormatting sqref="C89">
    <cfRule type="duplicateValues" dxfId="1124" priority="70"/>
    <cfRule type="duplicateValues" dxfId="1123" priority="71"/>
  </conditionalFormatting>
  <conditionalFormatting sqref="C90">
    <cfRule type="duplicateValues" dxfId="1122" priority="81"/>
    <cfRule type="duplicateValues" dxfId="1121" priority="82"/>
  </conditionalFormatting>
  <conditionalFormatting sqref="C91">
    <cfRule type="duplicateValues" dxfId="1120" priority="28"/>
    <cfRule type="duplicateValues" dxfId="1119" priority="29"/>
  </conditionalFormatting>
  <conditionalFormatting sqref="C92">
    <cfRule type="duplicateValues" dxfId="1118" priority="132"/>
    <cfRule type="duplicateValues" dxfId="1117" priority="131"/>
  </conditionalFormatting>
  <conditionalFormatting sqref="C94">
    <cfRule type="duplicateValues" dxfId="1116" priority="139"/>
  </conditionalFormatting>
  <conditionalFormatting sqref="C95 C97 C103:C104">
    <cfRule type="duplicateValues" dxfId="1115" priority="125"/>
    <cfRule type="duplicateValues" dxfId="1114" priority="124"/>
  </conditionalFormatting>
  <conditionalFormatting sqref="C95 C97:C98 C103:C104">
    <cfRule type="duplicateValues" dxfId="1113" priority="121"/>
  </conditionalFormatting>
  <conditionalFormatting sqref="C96">
    <cfRule type="duplicateValues" dxfId="1112" priority="101"/>
    <cfRule type="duplicateValues" dxfId="1111" priority="102"/>
  </conditionalFormatting>
  <conditionalFormatting sqref="C98">
    <cfRule type="duplicateValues" dxfId="1110" priority="122"/>
    <cfRule type="duplicateValues" dxfId="1109" priority="123"/>
  </conditionalFormatting>
  <conditionalFormatting sqref="C99">
    <cfRule type="duplicateValues" dxfId="1108" priority="96"/>
    <cfRule type="duplicateValues" dxfId="1107" priority="95"/>
  </conditionalFormatting>
  <conditionalFormatting sqref="C100">
    <cfRule type="duplicateValues" dxfId="1106" priority="78"/>
    <cfRule type="duplicateValues" dxfId="1105" priority="79"/>
  </conditionalFormatting>
  <conditionalFormatting sqref="C101">
    <cfRule type="duplicateValues" dxfId="1104" priority="53"/>
    <cfRule type="duplicateValues" dxfId="1103" priority="54"/>
  </conditionalFormatting>
  <conditionalFormatting sqref="C102">
    <cfRule type="duplicateValues" dxfId="1102" priority="26"/>
    <cfRule type="duplicateValues" dxfId="1101" priority="27"/>
  </conditionalFormatting>
  <conditionalFormatting sqref="C105">
    <cfRule type="duplicateValues" dxfId="1100" priority="91"/>
    <cfRule type="duplicateValues" dxfId="1099" priority="92"/>
  </conditionalFormatting>
  <conditionalFormatting sqref="C105:C106 C108">
    <cfRule type="duplicateValues" dxfId="1098" priority="87"/>
  </conditionalFormatting>
  <conditionalFormatting sqref="C105:C106">
    <cfRule type="duplicateValues" dxfId="1097" priority="90"/>
  </conditionalFormatting>
  <conditionalFormatting sqref="C106">
    <cfRule type="duplicateValues" dxfId="1096" priority="93"/>
    <cfRule type="duplicateValues" dxfId="1095" priority="94"/>
  </conditionalFormatting>
  <conditionalFormatting sqref="C107">
    <cfRule type="duplicateValues" dxfId="1094" priority="73"/>
    <cfRule type="duplicateValues" dxfId="1093" priority="74"/>
  </conditionalFormatting>
  <conditionalFormatting sqref="C108">
    <cfRule type="duplicateValues" dxfId="1092" priority="88"/>
    <cfRule type="duplicateValues" dxfId="1091" priority="89"/>
  </conditionalFormatting>
  <conditionalFormatting sqref="C109">
    <cfRule type="duplicateValues" dxfId="1090" priority="57"/>
    <cfRule type="duplicateValues" dxfId="1089" priority="56"/>
  </conditionalFormatting>
  <conditionalFormatting sqref="C110">
    <cfRule type="duplicateValues" dxfId="1088" priority="69"/>
    <cfRule type="duplicateValues" dxfId="1087" priority="68"/>
  </conditionalFormatting>
  <conditionalFormatting sqref="C111">
    <cfRule type="duplicateValues" dxfId="1086" priority="39"/>
    <cfRule type="duplicateValues" dxfId="1085" priority="40"/>
  </conditionalFormatting>
  <conditionalFormatting sqref="C120:C125 C164:C167">
    <cfRule type="duplicateValues" dxfId="1084" priority="284"/>
  </conditionalFormatting>
  <conditionalFormatting sqref="C120:C127 C131:C136 C140 C144 C147 C156:C167 C151:C153 C149">
    <cfRule type="duplicateValues" dxfId="1083" priority="227"/>
  </conditionalFormatting>
  <conditionalFormatting sqref="C120:C127 C131:C136 C140 C144 C149 C156:C167 C151:C153">
    <cfRule type="duplicateValues" dxfId="1082" priority="230"/>
  </conditionalFormatting>
  <conditionalFormatting sqref="C120:C127 C131:C136 C140 C149 C151:C153 C156:C167">
    <cfRule type="duplicateValues" dxfId="1081" priority="233"/>
  </conditionalFormatting>
  <conditionalFormatting sqref="C120:C127 C132:C134 C136 C140 C149 C151:C153 C156:C167">
    <cfRule type="duplicateValues" dxfId="1080" priority="239"/>
  </conditionalFormatting>
  <conditionalFormatting sqref="C120:C127 C132:C136 C140 C149 C151:C153 C156:C167">
    <cfRule type="duplicateValues" dxfId="1079" priority="236"/>
  </conditionalFormatting>
  <conditionalFormatting sqref="C120:C129 C131:C137 C139:C141 C144 C147:C153 C155:C167">
    <cfRule type="duplicateValues" dxfId="1078" priority="208"/>
  </conditionalFormatting>
  <conditionalFormatting sqref="C120:C129 C131:C137 C140 C144 C147 C156:C167 C151:C153 C149">
    <cfRule type="duplicateValues" dxfId="1077" priority="221"/>
  </conditionalFormatting>
  <conditionalFormatting sqref="C120:C129 C131:C137 C140:C141 C144 C147:C149 C155:C167 C151:C153">
    <cfRule type="duplicateValues" dxfId="1076" priority="214"/>
  </conditionalFormatting>
  <conditionalFormatting sqref="C120:C129 C131:C137 C140:C141 C144 C147:C153 C155:C167">
    <cfRule type="duplicateValues" dxfId="1075" priority="211"/>
  </conditionalFormatting>
  <conditionalFormatting sqref="C120:C129 C131:C141 C144 C147:C153 C155:C167">
    <cfRule type="duplicateValues" dxfId="1074" priority="205"/>
  </conditionalFormatting>
  <conditionalFormatting sqref="C120:C129 C131:C141 C144:C153 C155:C167">
    <cfRule type="duplicateValues" dxfId="1073" priority="199"/>
  </conditionalFormatting>
  <conditionalFormatting sqref="C120:C141 C144:C167">
    <cfRule type="duplicateValues" dxfId="1072" priority="196"/>
  </conditionalFormatting>
  <conditionalFormatting sqref="C121:C125 C164:C167">
    <cfRule type="duplicateValues" dxfId="1071" priority="285"/>
  </conditionalFormatting>
  <conditionalFormatting sqref="C126">
    <cfRule type="duplicateValues" dxfId="1070" priority="267"/>
    <cfRule type="duplicateValues" dxfId="1069" priority="266"/>
  </conditionalFormatting>
  <conditionalFormatting sqref="C126:C127 C132 C134 C136 C140 C149 C162 C156:C160 C151:C153">
    <cfRule type="duplicateValues" dxfId="1068" priority="245"/>
  </conditionalFormatting>
  <conditionalFormatting sqref="C126:C127 C132 C134 C136 C140 C149 C162 C160 C156:C157 C151:C153">
    <cfRule type="duplicateValues" dxfId="1067" priority="250"/>
  </conditionalFormatting>
  <conditionalFormatting sqref="C126:C127 C132 C134 C136 C149 C160 C156 C151:C153">
    <cfRule type="duplicateValues" dxfId="1066" priority="258"/>
  </conditionalFormatting>
  <conditionalFormatting sqref="C126:C127 C132 C134 C136 C149 C162 C160 C156 C151:C153">
    <cfRule type="duplicateValues" dxfId="1065" priority="256"/>
  </conditionalFormatting>
  <conditionalFormatting sqref="C126:C127 C132 C134 C136 C149 C162 C160 C156:C157 C151:C153">
    <cfRule type="duplicateValues" dxfId="1064" priority="253"/>
  </conditionalFormatting>
  <conditionalFormatting sqref="C126:C127 C132 C136 C149 C160 C156 C151:C153">
    <cfRule type="duplicateValues" dxfId="1063" priority="261"/>
  </conditionalFormatting>
  <conditionalFormatting sqref="C127 C132 C136 C149 C156 C152:C153">
    <cfRule type="duplicateValues" dxfId="1062" priority="268"/>
  </conditionalFormatting>
  <conditionalFormatting sqref="C127 C132 C136 C149 C156 C153">
    <cfRule type="duplicateValues" dxfId="1061" priority="271"/>
  </conditionalFormatting>
  <conditionalFormatting sqref="C127 C132 C136 C153 C156">
    <cfRule type="duplicateValues" dxfId="1060" priority="273"/>
  </conditionalFormatting>
  <conditionalFormatting sqref="C127 C132 C136 C153">
    <cfRule type="duplicateValues" dxfId="1059" priority="274"/>
  </conditionalFormatting>
  <conditionalFormatting sqref="C127 C153">
    <cfRule type="duplicateValues" dxfId="1058" priority="277"/>
  </conditionalFormatting>
  <conditionalFormatting sqref="C127">
    <cfRule type="duplicateValues" dxfId="1057" priority="281"/>
    <cfRule type="duplicateValues" dxfId="1056" priority="280"/>
  </conditionalFormatting>
  <conditionalFormatting sqref="C128">
    <cfRule type="duplicateValues" dxfId="1055" priority="225"/>
    <cfRule type="duplicateValues" dxfId="1054" priority="226"/>
  </conditionalFormatting>
  <conditionalFormatting sqref="C129">
    <cfRule type="duplicateValues" dxfId="1053" priority="224"/>
  </conditionalFormatting>
  <conditionalFormatting sqref="C130">
    <cfRule type="duplicateValues" dxfId="1052" priority="198"/>
  </conditionalFormatting>
  <conditionalFormatting sqref="C131">
    <cfRule type="duplicateValues" dxfId="1051" priority="234"/>
    <cfRule type="duplicateValues" dxfId="1050" priority="235"/>
  </conditionalFormatting>
  <conditionalFormatting sqref="C132">
    <cfRule type="duplicateValues" dxfId="1049" priority="276"/>
    <cfRule type="duplicateValues" dxfId="1048" priority="275"/>
  </conditionalFormatting>
  <conditionalFormatting sqref="C133">
    <cfRule type="duplicateValues" dxfId="1047" priority="240"/>
    <cfRule type="duplicateValues" dxfId="1046" priority="241"/>
  </conditionalFormatting>
  <conditionalFormatting sqref="C134">
    <cfRule type="duplicateValues" dxfId="1045" priority="260"/>
    <cfRule type="duplicateValues" dxfId="1044" priority="259"/>
  </conditionalFormatting>
  <conditionalFormatting sqref="C135">
    <cfRule type="duplicateValues" dxfId="1043" priority="237"/>
    <cfRule type="duplicateValues" dxfId="1042" priority="238"/>
  </conditionalFormatting>
  <conditionalFormatting sqref="C136">
    <cfRule type="duplicateValues" dxfId="1041" priority="283"/>
    <cfRule type="duplicateValues" dxfId="1040" priority="282"/>
  </conditionalFormatting>
  <conditionalFormatting sqref="C137">
    <cfRule type="duplicateValues" dxfId="1039" priority="223"/>
    <cfRule type="duplicateValues" dxfId="1038" priority="222"/>
  </conditionalFormatting>
  <conditionalFormatting sqref="C138">
    <cfRule type="duplicateValues" dxfId="1037" priority="207"/>
    <cfRule type="duplicateValues" dxfId="1036" priority="206"/>
  </conditionalFormatting>
  <conditionalFormatting sqref="C139">
    <cfRule type="duplicateValues" dxfId="1035" priority="209"/>
    <cfRule type="duplicateValues" dxfId="1034" priority="210"/>
  </conditionalFormatting>
  <conditionalFormatting sqref="C140">
    <cfRule type="duplicateValues" dxfId="1033" priority="251"/>
    <cfRule type="duplicateValues" dxfId="1032" priority="252"/>
  </conditionalFormatting>
  <conditionalFormatting sqref="C141">
    <cfRule type="duplicateValues" dxfId="1031" priority="220"/>
    <cfRule type="duplicateValues" dxfId="1030" priority="219"/>
  </conditionalFormatting>
  <conditionalFormatting sqref="C142">
    <cfRule type="duplicateValues" dxfId="1029" priority="194"/>
  </conditionalFormatting>
  <conditionalFormatting sqref="C142:C143">
    <cfRule type="duplicateValues" dxfId="1028" priority="193"/>
  </conditionalFormatting>
  <conditionalFormatting sqref="C143">
    <cfRule type="duplicateValues" dxfId="1027" priority="195"/>
  </conditionalFormatting>
  <conditionalFormatting sqref="C144">
    <cfRule type="duplicateValues" dxfId="1026" priority="232"/>
    <cfRule type="duplicateValues" dxfId="1025" priority="231"/>
  </conditionalFormatting>
  <conditionalFormatting sqref="C145">
    <cfRule type="duplicateValues" dxfId="1024" priority="204"/>
    <cfRule type="duplicateValues" dxfId="1023" priority="203"/>
  </conditionalFormatting>
  <conditionalFormatting sqref="C145:C146">
    <cfRule type="duplicateValues" dxfId="1022" priority="200"/>
  </conditionalFormatting>
  <conditionalFormatting sqref="C146">
    <cfRule type="duplicateValues" dxfId="1021" priority="202"/>
    <cfRule type="duplicateValues" dxfId="1020" priority="201"/>
  </conditionalFormatting>
  <conditionalFormatting sqref="C147">
    <cfRule type="duplicateValues" dxfId="1019" priority="228"/>
    <cfRule type="duplicateValues" dxfId="1018" priority="229"/>
  </conditionalFormatting>
  <conditionalFormatting sqref="C148">
    <cfRule type="duplicateValues" dxfId="1017" priority="217"/>
    <cfRule type="duplicateValues" dxfId="1016" priority="218"/>
  </conditionalFormatting>
  <conditionalFormatting sqref="C149">
    <cfRule type="duplicateValues" dxfId="1015" priority="272"/>
  </conditionalFormatting>
  <conditionalFormatting sqref="C150">
    <cfRule type="duplicateValues" dxfId="1014" priority="213"/>
  </conditionalFormatting>
  <conditionalFormatting sqref="C151">
    <cfRule type="duplicateValues" dxfId="1013" priority="262"/>
    <cfRule type="duplicateValues" dxfId="1012" priority="263"/>
  </conditionalFormatting>
  <conditionalFormatting sqref="C152">
    <cfRule type="duplicateValues" dxfId="1011" priority="270"/>
    <cfRule type="duplicateValues" dxfId="1010" priority="269"/>
  </conditionalFormatting>
  <conditionalFormatting sqref="C153">
    <cfRule type="duplicateValues" dxfId="1009" priority="278"/>
    <cfRule type="duplicateValues" dxfId="1008" priority="279"/>
  </conditionalFormatting>
  <conditionalFormatting sqref="C154">
    <cfRule type="duplicateValues" dxfId="1007" priority="197"/>
  </conditionalFormatting>
  <conditionalFormatting sqref="C155">
    <cfRule type="duplicateValues" dxfId="1006" priority="216"/>
  </conditionalFormatting>
  <conditionalFormatting sqref="C157">
    <cfRule type="duplicateValues" dxfId="1005" priority="255"/>
    <cfRule type="duplicateValues" dxfId="1004" priority="254"/>
  </conditionalFormatting>
  <conditionalFormatting sqref="C158">
    <cfRule type="duplicateValues" dxfId="1003" priority="249"/>
    <cfRule type="duplicateValues" dxfId="1002" priority="248"/>
  </conditionalFormatting>
  <conditionalFormatting sqref="C159">
    <cfRule type="duplicateValues" dxfId="1001" priority="247"/>
    <cfRule type="duplicateValues" dxfId="1000" priority="246"/>
  </conditionalFormatting>
  <conditionalFormatting sqref="C160">
    <cfRule type="duplicateValues" dxfId="999" priority="264"/>
    <cfRule type="duplicateValues" dxfId="998" priority="265"/>
  </conditionalFormatting>
  <conditionalFormatting sqref="C161">
    <cfRule type="duplicateValues" dxfId="997" priority="244"/>
    <cfRule type="duplicateValues" dxfId="996" priority="243"/>
  </conditionalFormatting>
  <conditionalFormatting sqref="C162">
    <cfRule type="duplicateValues" dxfId="995" priority="257"/>
  </conditionalFormatting>
  <conditionalFormatting sqref="C163">
    <cfRule type="duplicateValues" dxfId="994" priority="242"/>
  </conditionalFormatting>
  <conditionalFormatting sqref="E150">
    <cfRule type="duplicateValues" dxfId="993" priority="212"/>
  </conditionalFormatting>
  <conditionalFormatting sqref="E155">
    <cfRule type="duplicateValues" dxfId="992" priority="215"/>
  </conditionalFormatting>
  <conditionalFormatting sqref="F5 F6:I6">
    <cfRule type="cellIs" dxfId="991" priority="440" stopIfTrue="1" operator="lessThan">
      <formula>1000</formula>
    </cfRule>
    <cfRule type="cellIs" dxfId="990" priority="441" stopIfTrue="1" operator="between">
      <formula>1000</formula>
      <formula>1500</formula>
    </cfRule>
    <cfRule type="cellIs" dxfId="989" priority="442" stopIfTrue="1" operator="between">
      <formula>1500</formula>
      <formula>2000</formula>
    </cfRule>
  </conditionalFormatting>
  <pageMargins left="0.7" right="0.7" top="0.75" bottom="0.75" header="0.3" footer="0.3"/>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22"/>
  <sheetViews>
    <sheetView workbookViewId="0">
      <selection activeCell="Q27" sqref="Q27"/>
    </sheetView>
  </sheetViews>
  <sheetFormatPr defaultColWidth="9" defaultRowHeight="14.4"/>
  <cols>
    <col min="1" max="3" width="9" style="291"/>
    <col min="4" max="4" width="12.6640625" style="291" customWidth="1"/>
    <col min="5" max="9" width="9" style="291"/>
    <col min="10" max="10" width="10.109375" style="291" customWidth="1"/>
    <col min="11" max="26" width="9" style="291"/>
    <col min="27" max="27" width="15.6640625" style="291" customWidth="1"/>
    <col min="28" max="16384" width="9" style="291"/>
  </cols>
  <sheetData>
    <row r="1" spans="1:39" customFormat="1" ht="18" customHeight="1">
      <c r="A1" s="1937" t="s">
        <v>664</v>
      </c>
      <c r="B1" s="1937"/>
      <c r="C1" s="1937"/>
      <c r="D1" s="1937"/>
      <c r="E1" s="1937"/>
      <c r="F1" s="1937"/>
      <c r="G1" s="1937"/>
      <c r="H1" s="1937"/>
      <c r="I1" s="1937"/>
      <c r="J1" s="1937"/>
      <c r="K1" s="1937"/>
      <c r="L1" s="1937"/>
      <c r="M1" s="1937"/>
      <c r="N1" s="1937"/>
      <c r="O1" s="1937"/>
      <c r="P1" s="1937"/>
      <c r="Q1" s="1937"/>
      <c r="R1" s="1937"/>
      <c r="S1" s="1937"/>
      <c r="T1" s="1937"/>
      <c r="U1" s="1937"/>
      <c r="V1" s="1937"/>
      <c r="W1" s="1937"/>
      <c r="X1" s="1937"/>
      <c r="Y1" s="1937"/>
      <c r="AA1" s="651"/>
      <c r="AD1" s="652"/>
      <c r="AI1" s="653"/>
      <c r="AJ1" s="653"/>
      <c r="AL1" s="653"/>
      <c r="AM1" s="653"/>
    </row>
    <row r="2" spans="1:39" customFormat="1" ht="15.75" customHeight="1">
      <c r="A2" s="1938" t="s">
        <v>1</v>
      </c>
      <c r="B2" s="1938"/>
      <c r="C2" s="1938"/>
      <c r="D2" s="654"/>
      <c r="E2" s="654"/>
      <c r="F2" s="654"/>
      <c r="G2" s="654"/>
      <c r="H2" s="654"/>
      <c r="I2" s="654"/>
      <c r="J2" s="654"/>
      <c r="K2" s="654"/>
      <c r="L2" s="655"/>
      <c r="M2" s="655"/>
      <c r="N2" s="655"/>
      <c r="O2" s="655"/>
      <c r="P2" s="655"/>
      <c r="Q2" s="655"/>
      <c r="R2" s="656"/>
      <c r="S2" s="656"/>
      <c r="T2" s="657"/>
      <c r="U2" s="654"/>
      <c r="V2" s="654"/>
      <c r="W2" s="288"/>
      <c r="X2" s="288"/>
      <c r="Y2" s="654"/>
      <c r="Z2" s="654"/>
      <c r="AA2" s="651"/>
      <c r="AD2" s="652"/>
      <c r="AI2" s="653"/>
      <c r="AJ2" s="653"/>
      <c r="AL2" s="653"/>
      <c r="AM2" s="653"/>
    </row>
    <row r="3" spans="1:39" customFormat="1" ht="30.75" customHeight="1">
      <c r="A3" s="1942" t="s">
        <v>2</v>
      </c>
      <c r="B3" s="1944" t="s">
        <v>3</v>
      </c>
      <c r="C3" s="1948" t="s">
        <v>33</v>
      </c>
      <c r="D3" s="1950" t="s">
        <v>665</v>
      </c>
      <c r="E3" s="1952" t="s">
        <v>6</v>
      </c>
      <c r="F3" s="1952" t="s">
        <v>7</v>
      </c>
      <c r="G3" s="1950" t="s">
        <v>9</v>
      </c>
      <c r="H3" s="1952" t="s">
        <v>10</v>
      </c>
      <c r="I3" s="1952" t="s">
        <v>11</v>
      </c>
      <c r="J3" s="1954" t="s">
        <v>12</v>
      </c>
      <c r="K3" s="1956" t="s">
        <v>13</v>
      </c>
      <c r="L3" s="1950" t="s">
        <v>14</v>
      </c>
      <c r="M3" s="1950" t="s">
        <v>9</v>
      </c>
      <c r="N3" s="1950" t="s">
        <v>16</v>
      </c>
      <c r="O3" s="1958" t="s">
        <v>9</v>
      </c>
      <c r="P3" s="1950" t="s">
        <v>17</v>
      </c>
      <c r="Q3" s="1952" t="s">
        <v>18</v>
      </c>
      <c r="R3" s="1939" t="s">
        <v>19</v>
      </c>
      <c r="S3" s="1940"/>
      <c r="T3" s="1941"/>
      <c r="U3" s="1950" t="s">
        <v>20</v>
      </c>
      <c r="V3" s="1952" t="s">
        <v>21</v>
      </c>
      <c r="W3" s="1948" t="s">
        <v>304</v>
      </c>
      <c r="X3" s="658" t="s">
        <v>329</v>
      </c>
      <c r="Y3" s="658" t="s">
        <v>24</v>
      </c>
      <c r="Z3" s="1960" t="s">
        <v>232</v>
      </c>
      <c r="AA3" s="651"/>
      <c r="AB3" s="659"/>
      <c r="AD3" s="652"/>
      <c r="AI3" s="653"/>
      <c r="AJ3" s="653"/>
      <c r="AL3" s="653"/>
      <c r="AM3" s="653"/>
    </row>
    <row r="4" spans="1:39" customFormat="1" ht="37.5" customHeight="1">
      <c r="A4" s="1943"/>
      <c r="B4" s="1945"/>
      <c r="C4" s="1949"/>
      <c r="D4" s="1951"/>
      <c r="E4" s="1953"/>
      <c r="F4" s="1953"/>
      <c r="G4" s="1951"/>
      <c r="H4" s="1953"/>
      <c r="I4" s="1953"/>
      <c r="J4" s="1955"/>
      <c r="K4" s="1957"/>
      <c r="L4" s="1951"/>
      <c r="M4" s="1951"/>
      <c r="N4" s="1951"/>
      <c r="O4" s="1959"/>
      <c r="P4" s="1951"/>
      <c r="Q4" s="1953"/>
      <c r="R4" s="660" t="s">
        <v>29</v>
      </c>
      <c r="S4" s="660" t="s">
        <v>30</v>
      </c>
      <c r="T4" s="661" t="s">
        <v>31</v>
      </c>
      <c r="U4" s="1951"/>
      <c r="V4" s="1953"/>
      <c r="W4" s="1949"/>
      <c r="X4" s="660" t="s">
        <v>32</v>
      </c>
      <c r="Y4" s="660" t="s">
        <v>32</v>
      </c>
      <c r="Z4" s="1961"/>
      <c r="AA4" s="651"/>
      <c r="AD4" s="652"/>
      <c r="AI4" s="653"/>
      <c r="AJ4" s="653"/>
      <c r="AL4" s="653"/>
      <c r="AM4" s="653"/>
    </row>
    <row r="5" spans="1:39" customFormat="1" ht="14.1" customHeight="1">
      <c r="A5" s="662">
        <v>1</v>
      </c>
      <c r="B5" s="1946" t="s">
        <v>180</v>
      </c>
      <c r="C5" s="75" t="s">
        <v>666</v>
      </c>
      <c r="D5" s="663" t="s">
        <v>667</v>
      </c>
      <c r="E5" s="664"/>
      <c r="F5" s="664"/>
      <c r="G5" s="664"/>
      <c r="H5" s="664">
        <v>1500</v>
      </c>
      <c r="I5" s="664"/>
      <c r="J5" s="665">
        <v>7488</v>
      </c>
      <c r="K5" s="666"/>
      <c r="L5" s="665">
        <v>7488</v>
      </c>
      <c r="M5" s="665"/>
      <c r="N5" s="665">
        <v>7488</v>
      </c>
      <c r="O5" s="665"/>
      <c r="P5" s="665"/>
      <c r="Q5" s="665">
        <f t="shared" ref="Q5:Q20" si="0">H5+N5</f>
        <v>8988</v>
      </c>
      <c r="R5" s="665"/>
      <c r="S5" s="667"/>
      <c r="T5" s="665">
        <v>0</v>
      </c>
      <c r="U5" s="665"/>
      <c r="V5" s="665">
        <f t="shared" ref="V5:V20" si="1">N5</f>
        <v>7488</v>
      </c>
      <c r="W5" s="668"/>
      <c r="X5" s="669">
        <f>SUM(Y5:Z5)</f>
        <v>0</v>
      </c>
      <c r="Y5" s="668"/>
      <c r="Z5" s="670"/>
      <c r="AA5" s="671">
        <f>VLOOKUP(C:C,[4]车间绩效表!D$1:AB$65536,25,0)-V5</f>
        <v>0</v>
      </c>
      <c r="AB5" s="672"/>
      <c r="AD5" s="673"/>
      <c r="AE5" s="674"/>
      <c r="AF5" s="674"/>
      <c r="AG5" s="674"/>
      <c r="AH5" s="675"/>
      <c r="AI5" s="676"/>
      <c r="AJ5" s="676"/>
      <c r="AK5" s="676"/>
      <c r="AL5" s="676"/>
      <c r="AM5" s="676"/>
    </row>
    <row r="6" spans="1:39" customFormat="1" ht="14.1" customHeight="1">
      <c r="A6" s="662">
        <f t="shared" ref="A6:A20" si="2">A5+1</f>
        <v>2</v>
      </c>
      <c r="B6" s="1947"/>
      <c r="C6" s="75" t="s">
        <v>668</v>
      </c>
      <c r="D6" s="663" t="s">
        <v>667</v>
      </c>
      <c r="E6" s="664"/>
      <c r="F6" s="664"/>
      <c r="G6" s="664"/>
      <c r="H6" s="664">
        <v>1500</v>
      </c>
      <c r="I6" s="664"/>
      <c r="J6" s="665">
        <v>6696.4333333333298</v>
      </c>
      <c r="K6" s="666"/>
      <c r="L6" s="665">
        <v>6696.4333333333298</v>
      </c>
      <c r="M6" s="665"/>
      <c r="N6" s="665">
        <v>6696.4333333333298</v>
      </c>
      <c r="O6" s="665"/>
      <c r="P6" s="665"/>
      <c r="Q6" s="665">
        <f t="shared" si="0"/>
        <v>8196.4333333333307</v>
      </c>
      <c r="R6" s="665"/>
      <c r="S6" s="667"/>
      <c r="T6" s="665">
        <v>0</v>
      </c>
      <c r="U6" s="665"/>
      <c r="V6" s="665">
        <f t="shared" si="1"/>
        <v>6696.4333333333298</v>
      </c>
      <c r="W6" s="668"/>
      <c r="X6" s="669">
        <f>SUM(Y6:Z6)</f>
        <v>0</v>
      </c>
      <c r="Y6" s="668"/>
      <c r="Z6" s="670"/>
      <c r="AA6" s="671">
        <f>VLOOKUP(C:C,[4]车间绩效表!D$1:AB$65536,25,0)-V6</f>
        <v>0</v>
      </c>
      <c r="AB6" s="672"/>
      <c r="AD6" s="673"/>
      <c r="AE6" s="674"/>
      <c r="AF6" s="674"/>
      <c r="AG6" s="674"/>
      <c r="AH6" s="675"/>
      <c r="AI6" s="676"/>
      <c r="AJ6" s="676"/>
      <c r="AK6" s="676"/>
      <c r="AL6" s="676"/>
      <c r="AM6" s="676"/>
    </row>
    <row r="7" spans="1:39" customFormat="1" ht="14.1" customHeight="1">
      <c r="A7" s="662">
        <f t="shared" si="2"/>
        <v>3</v>
      </c>
      <c r="B7" s="1947"/>
      <c r="C7" s="75" t="s">
        <v>240</v>
      </c>
      <c r="D7" s="663" t="s">
        <v>669</v>
      </c>
      <c r="E7" s="664"/>
      <c r="F7" s="664"/>
      <c r="G7" s="664"/>
      <c r="H7" s="664">
        <v>1500</v>
      </c>
      <c r="I7" s="664"/>
      <c r="J7" s="665">
        <v>7264.9</v>
      </c>
      <c r="K7" s="666"/>
      <c r="L7" s="665">
        <v>7264.9</v>
      </c>
      <c r="M7" s="665"/>
      <c r="N7" s="665">
        <v>7264.9</v>
      </c>
      <c r="O7" s="665"/>
      <c r="P7" s="665"/>
      <c r="Q7" s="665">
        <f t="shared" si="0"/>
        <v>8764.9</v>
      </c>
      <c r="R7" s="665"/>
      <c r="S7" s="667"/>
      <c r="T7" s="665">
        <v>0</v>
      </c>
      <c r="U7" s="665"/>
      <c r="V7" s="665">
        <f t="shared" si="1"/>
        <v>7264.9</v>
      </c>
      <c r="W7" s="668"/>
      <c r="X7" s="669"/>
      <c r="Y7" s="668"/>
      <c r="Z7" s="670"/>
      <c r="AA7" s="671">
        <f>VLOOKUP(C:C,[4]车间绩效表!D$1:AB$65536,25,0)-V7</f>
        <v>0</v>
      </c>
      <c r="AB7" s="672"/>
      <c r="AD7" s="673"/>
      <c r="AE7" s="674"/>
      <c r="AF7" s="674"/>
      <c r="AG7" s="674"/>
      <c r="AH7" s="675"/>
      <c r="AI7" s="676"/>
      <c r="AJ7" s="676"/>
      <c r="AK7" s="676"/>
      <c r="AL7" s="676"/>
      <c r="AM7" s="676"/>
    </row>
    <row r="8" spans="1:39" customFormat="1" ht="14.1" customHeight="1">
      <c r="A8" s="662">
        <f t="shared" si="2"/>
        <v>4</v>
      </c>
      <c r="B8" s="1947"/>
      <c r="C8" s="75" t="s">
        <v>238</v>
      </c>
      <c r="D8" s="663" t="s">
        <v>669</v>
      </c>
      <c r="E8" s="664"/>
      <c r="F8" s="677"/>
      <c r="G8" s="664"/>
      <c r="H8" s="664">
        <v>1500</v>
      </c>
      <c r="I8" s="664"/>
      <c r="J8" s="665">
        <v>6696.4333333333298</v>
      </c>
      <c r="K8" s="666"/>
      <c r="L8" s="665">
        <v>6696.4333333333298</v>
      </c>
      <c r="M8" s="665"/>
      <c r="N8" s="665">
        <v>6696.4333333333298</v>
      </c>
      <c r="O8" s="665"/>
      <c r="P8" s="665"/>
      <c r="Q8" s="665">
        <f t="shared" si="0"/>
        <v>8196.4333333333307</v>
      </c>
      <c r="R8" s="665"/>
      <c r="S8" s="667"/>
      <c r="T8" s="665">
        <v>0</v>
      </c>
      <c r="U8" s="665"/>
      <c r="V8" s="665">
        <f t="shared" si="1"/>
        <v>6696.4333333333298</v>
      </c>
      <c r="W8" s="668"/>
      <c r="X8" s="669"/>
      <c r="Y8" s="668"/>
      <c r="Z8" s="670"/>
      <c r="AA8" s="671">
        <f>VLOOKUP(C:C,[4]车间绩效表!D$1:AB$65536,25,0)-V8</f>
        <v>0</v>
      </c>
      <c r="AB8" s="672"/>
      <c r="AD8" s="673"/>
      <c r="AE8" s="674"/>
      <c r="AF8" s="674"/>
      <c r="AG8" s="674"/>
      <c r="AH8" s="675"/>
      <c r="AI8" s="676"/>
      <c r="AJ8" s="676"/>
      <c r="AK8" s="676"/>
      <c r="AL8" s="676"/>
      <c r="AM8" s="676"/>
    </row>
    <row r="9" spans="1:39" customFormat="1" ht="14.1" customHeight="1">
      <c r="A9" s="662">
        <f t="shared" si="2"/>
        <v>5</v>
      </c>
      <c r="B9" s="1947"/>
      <c r="C9" s="75" t="s">
        <v>235</v>
      </c>
      <c r="D9" s="663" t="s">
        <v>669</v>
      </c>
      <c r="E9" s="664"/>
      <c r="F9" s="664"/>
      <c r="G9" s="664"/>
      <c r="H9" s="664">
        <v>1500</v>
      </c>
      <c r="I9" s="664"/>
      <c r="J9" s="665">
        <v>7866</v>
      </c>
      <c r="K9" s="666"/>
      <c r="L9" s="665">
        <v>7866</v>
      </c>
      <c r="M9" s="665"/>
      <c r="N9" s="665">
        <v>7866</v>
      </c>
      <c r="O9" s="665"/>
      <c r="P9" s="665"/>
      <c r="Q9" s="665">
        <f t="shared" si="0"/>
        <v>9366</v>
      </c>
      <c r="R9" s="665"/>
      <c r="S9" s="667"/>
      <c r="T9" s="665">
        <v>0</v>
      </c>
      <c r="U9" s="665"/>
      <c r="V9" s="665">
        <f t="shared" si="1"/>
        <v>7866</v>
      </c>
      <c r="W9" s="668"/>
      <c r="X9" s="669"/>
      <c r="Y9" s="668"/>
      <c r="Z9" s="670"/>
      <c r="AA9" s="671">
        <f>VLOOKUP(C:C,[4]车间绩效表!D$1:AB$65536,25,0)-V9</f>
        <v>0</v>
      </c>
      <c r="AB9" s="672"/>
      <c r="AD9" s="673"/>
      <c r="AE9" s="674"/>
      <c r="AF9" s="674"/>
      <c r="AG9" s="674"/>
      <c r="AH9" s="675"/>
      <c r="AI9" s="676"/>
      <c r="AJ9" s="676"/>
      <c r="AK9" s="676"/>
      <c r="AL9" s="676"/>
      <c r="AM9" s="676"/>
    </row>
    <row r="10" spans="1:39" customFormat="1" ht="14.1" customHeight="1">
      <c r="A10" s="662">
        <f t="shared" si="2"/>
        <v>6</v>
      </c>
      <c r="B10" s="1947"/>
      <c r="C10" s="75" t="s">
        <v>670</v>
      </c>
      <c r="D10" s="663" t="s">
        <v>671</v>
      </c>
      <c r="E10" s="664"/>
      <c r="F10" s="664"/>
      <c r="G10" s="664"/>
      <c r="H10" s="664">
        <v>1500</v>
      </c>
      <c r="I10" s="664"/>
      <c r="J10" s="665">
        <v>6996.4333333333298</v>
      </c>
      <c r="K10" s="666"/>
      <c r="L10" s="665">
        <v>6996.4333333333298</v>
      </c>
      <c r="M10" s="665"/>
      <c r="N10" s="665">
        <v>6996.4333333333298</v>
      </c>
      <c r="O10" s="665"/>
      <c r="P10" s="665"/>
      <c r="Q10" s="665">
        <f t="shared" si="0"/>
        <v>8496.4333333333307</v>
      </c>
      <c r="R10" s="665"/>
      <c r="S10" s="667"/>
      <c r="T10" s="665">
        <v>0</v>
      </c>
      <c r="U10" s="665"/>
      <c r="V10" s="665">
        <f t="shared" si="1"/>
        <v>6996.4333333333298</v>
      </c>
      <c r="W10" s="668"/>
      <c r="X10" s="669"/>
      <c r="Y10" s="668"/>
      <c r="Z10" s="670"/>
      <c r="AA10" s="671">
        <f>VLOOKUP(C:C,[4]车间绩效表!D$1:AB$65536,25,0)-V10</f>
        <v>0</v>
      </c>
      <c r="AB10" s="672"/>
      <c r="AD10" s="673"/>
      <c r="AE10" s="674"/>
      <c r="AF10" s="674"/>
      <c r="AG10" s="674"/>
      <c r="AH10" s="675"/>
      <c r="AI10" s="676"/>
      <c r="AJ10" s="676"/>
      <c r="AK10" s="676"/>
      <c r="AL10" s="676"/>
      <c r="AM10" s="676"/>
    </row>
    <row r="11" spans="1:39" customFormat="1" ht="14.1" customHeight="1">
      <c r="A11" s="662">
        <f t="shared" si="2"/>
        <v>7</v>
      </c>
      <c r="B11" s="1947"/>
      <c r="C11" s="75" t="s">
        <v>672</v>
      </c>
      <c r="D11" s="663" t="s">
        <v>671</v>
      </c>
      <c r="E11" s="664"/>
      <c r="F11" s="664"/>
      <c r="G11" s="664"/>
      <c r="H11" s="664">
        <v>1500</v>
      </c>
      <c r="I11" s="664"/>
      <c r="J11" s="665">
        <v>7401.2</v>
      </c>
      <c r="K11" s="666"/>
      <c r="L11" s="665">
        <v>7401.2</v>
      </c>
      <c r="M11" s="665"/>
      <c r="N11" s="665">
        <v>7401.2</v>
      </c>
      <c r="O11" s="665"/>
      <c r="P11" s="665"/>
      <c r="Q11" s="665">
        <f t="shared" si="0"/>
        <v>8901.2000000000007</v>
      </c>
      <c r="R11" s="665"/>
      <c r="S11" s="667"/>
      <c r="T11" s="665">
        <v>0</v>
      </c>
      <c r="U11" s="665"/>
      <c r="V11" s="665">
        <f t="shared" si="1"/>
        <v>7401.2</v>
      </c>
      <c r="W11" s="668"/>
      <c r="X11" s="669"/>
      <c r="Y11" s="668"/>
      <c r="Z11" s="670"/>
      <c r="AA11" s="671">
        <f>VLOOKUP(C:C,[4]车间绩效表!D$1:AB$65536,25,0)-V11</f>
        <v>0</v>
      </c>
      <c r="AB11" s="672"/>
      <c r="AD11" s="673"/>
      <c r="AE11" s="674"/>
      <c r="AF11" s="674"/>
      <c r="AG11" s="674"/>
      <c r="AH11" s="675"/>
      <c r="AI11" s="676"/>
      <c r="AJ11" s="676"/>
      <c r="AK11" s="676"/>
      <c r="AL11" s="676"/>
      <c r="AM11" s="676"/>
    </row>
    <row r="12" spans="1:39" customFormat="1" ht="14.1" customHeight="1">
      <c r="A12" s="662">
        <f t="shared" si="2"/>
        <v>8</v>
      </c>
      <c r="B12" s="1947"/>
      <c r="C12" s="75" t="s">
        <v>673</v>
      </c>
      <c r="D12" s="663" t="s">
        <v>671</v>
      </c>
      <c r="E12" s="664"/>
      <c r="F12" s="664"/>
      <c r="G12" s="664"/>
      <c r="H12" s="664">
        <v>1500</v>
      </c>
      <c r="I12" s="664"/>
      <c r="J12" s="665">
        <v>7575</v>
      </c>
      <c r="K12" s="666"/>
      <c r="L12" s="665">
        <v>7575</v>
      </c>
      <c r="M12" s="665"/>
      <c r="N12" s="665">
        <v>7575</v>
      </c>
      <c r="O12" s="665"/>
      <c r="P12" s="665"/>
      <c r="Q12" s="665">
        <f t="shared" si="0"/>
        <v>9075</v>
      </c>
      <c r="R12" s="665"/>
      <c r="S12" s="667"/>
      <c r="T12" s="665">
        <v>0</v>
      </c>
      <c r="U12" s="665"/>
      <c r="V12" s="665">
        <f t="shared" si="1"/>
        <v>7575</v>
      </c>
      <c r="W12" s="668"/>
      <c r="X12" s="669"/>
      <c r="Y12" s="668"/>
      <c r="Z12" s="670"/>
      <c r="AA12" s="671">
        <f>VLOOKUP(C:C,[4]车间绩效表!D$1:AB$65536,25,0)-V12</f>
        <v>0</v>
      </c>
      <c r="AB12" s="672"/>
      <c r="AD12" s="673"/>
      <c r="AE12" s="674"/>
      <c r="AF12" s="674"/>
      <c r="AG12" s="674"/>
      <c r="AH12" s="675"/>
      <c r="AI12" s="676"/>
      <c r="AJ12" s="676"/>
      <c r="AK12" s="676"/>
      <c r="AL12" s="676"/>
      <c r="AM12" s="676"/>
    </row>
    <row r="13" spans="1:39" customFormat="1" ht="14.1" customHeight="1">
      <c r="A13" s="662">
        <f t="shared" si="2"/>
        <v>9</v>
      </c>
      <c r="B13" s="1947"/>
      <c r="C13" s="75" t="s">
        <v>674</v>
      </c>
      <c r="D13" s="663" t="s">
        <v>671</v>
      </c>
      <c r="E13" s="664"/>
      <c r="F13" s="664"/>
      <c r="G13" s="664"/>
      <c r="H13" s="664">
        <v>1500</v>
      </c>
      <c r="I13" s="664"/>
      <c r="J13" s="665">
        <v>5388.6</v>
      </c>
      <c r="K13" s="666"/>
      <c r="L13" s="665">
        <v>5388.6</v>
      </c>
      <c r="M13" s="665"/>
      <c r="N13" s="665">
        <v>5388.6</v>
      </c>
      <c r="O13" s="665"/>
      <c r="P13" s="665"/>
      <c r="Q13" s="665">
        <f t="shared" si="0"/>
        <v>6888.6</v>
      </c>
      <c r="R13" s="665"/>
      <c r="S13" s="667"/>
      <c r="T13" s="665">
        <v>0</v>
      </c>
      <c r="U13" s="665"/>
      <c r="V13" s="665">
        <f t="shared" si="1"/>
        <v>5388.6</v>
      </c>
      <c r="W13" s="668"/>
      <c r="X13" s="669"/>
      <c r="Y13" s="668"/>
      <c r="Z13" s="670"/>
      <c r="AA13" s="671">
        <f>VLOOKUP(C:C,[4]车间绩效表!D$1:AB$65536,25,0)-V13</f>
        <v>0</v>
      </c>
      <c r="AB13" s="672"/>
      <c r="AD13" s="673"/>
      <c r="AE13" s="674"/>
      <c r="AF13" s="674"/>
      <c r="AG13" s="674"/>
      <c r="AH13" s="675"/>
      <c r="AI13" s="676"/>
      <c r="AJ13" s="676"/>
      <c r="AK13" s="676"/>
      <c r="AL13" s="676"/>
      <c r="AM13" s="676"/>
    </row>
    <row r="14" spans="1:39" customFormat="1" ht="14.1" customHeight="1">
      <c r="A14" s="662">
        <f t="shared" si="2"/>
        <v>10</v>
      </c>
      <c r="B14" s="1946" t="s">
        <v>179</v>
      </c>
      <c r="C14" s="75" t="s">
        <v>675</v>
      </c>
      <c r="D14" s="663" t="s">
        <v>667</v>
      </c>
      <c r="E14" s="664"/>
      <c r="F14" s="664"/>
      <c r="G14" s="664"/>
      <c r="H14" s="664">
        <v>1500</v>
      </c>
      <c r="I14" s="664"/>
      <c r="J14" s="665">
        <v>8078.1517659923002</v>
      </c>
      <c r="K14" s="666"/>
      <c r="L14" s="665">
        <v>8078.1517659923002</v>
      </c>
      <c r="M14" s="665"/>
      <c r="N14" s="665">
        <v>8078.1517659923002</v>
      </c>
      <c r="O14" s="665"/>
      <c r="P14" s="665"/>
      <c r="Q14" s="665">
        <f t="shared" si="0"/>
        <v>9578.1517659922993</v>
      </c>
      <c r="R14" s="665"/>
      <c r="S14" s="667"/>
      <c r="T14" s="665">
        <v>0</v>
      </c>
      <c r="U14" s="665"/>
      <c r="V14" s="665">
        <f t="shared" si="1"/>
        <v>8078.1517659923002</v>
      </c>
      <c r="W14" s="668"/>
      <c r="X14" s="669">
        <f t="shared" ref="X14:X20" si="3">SUM(Y14:Z14)</f>
        <v>0</v>
      </c>
      <c r="Y14" s="668"/>
      <c r="Z14" s="670"/>
      <c r="AA14" s="671">
        <f>VLOOKUP(C:C,[4]车间绩效表!D$1:AB$65536,25,0)-V14</f>
        <v>1.6098415599117299E-3</v>
      </c>
      <c r="AB14" s="672"/>
      <c r="AD14" s="673"/>
      <c r="AE14" s="674"/>
      <c r="AF14" s="674"/>
      <c r="AG14" s="674"/>
      <c r="AH14" s="675"/>
      <c r="AI14" s="676"/>
      <c r="AJ14" s="676"/>
      <c r="AK14" s="676"/>
      <c r="AL14" s="676"/>
      <c r="AM14" s="676"/>
    </row>
    <row r="15" spans="1:39" customFormat="1" ht="14.1" customHeight="1">
      <c r="A15" s="662">
        <f t="shared" si="2"/>
        <v>11</v>
      </c>
      <c r="B15" s="1947"/>
      <c r="C15" s="75" t="s">
        <v>676</v>
      </c>
      <c r="D15" s="663" t="s">
        <v>667</v>
      </c>
      <c r="E15" s="664"/>
      <c r="F15" s="664"/>
      <c r="G15" s="664"/>
      <c r="H15" s="664">
        <v>1500</v>
      </c>
      <c r="I15" s="664"/>
      <c r="J15" s="665">
        <v>6157.1</v>
      </c>
      <c r="K15" s="666"/>
      <c r="L15" s="665">
        <v>6157.1</v>
      </c>
      <c r="M15" s="665"/>
      <c r="N15" s="665">
        <v>6157.1</v>
      </c>
      <c r="O15" s="665"/>
      <c r="P15" s="665"/>
      <c r="Q15" s="665">
        <f t="shared" si="0"/>
        <v>7657.1</v>
      </c>
      <c r="R15" s="665"/>
      <c r="S15" s="667"/>
      <c r="T15" s="665">
        <v>0</v>
      </c>
      <c r="U15" s="665"/>
      <c r="V15" s="665">
        <f t="shared" si="1"/>
        <v>6157.1</v>
      </c>
      <c r="W15" s="668"/>
      <c r="X15" s="669">
        <f t="shared" si="3"/>
        <v>0</v>
      </c>
      <c r="Y15" s="668">
        <v>0</v>
      </c>
      <c r="Z15" s="670"/>
      <c r="AA15" s="671">
        <f>VLOOKUP(C:C,[4]车间绩效表!D$1:AB$65536,25,0)-V15</f>
        <v>1.2270078304936799E-3</v>
      </c>
      <c r="AB15" s="672"/>
      <c r="AD15" s="673"/>
      <c r="AE15" s="674"/>
      <c r="AF15" s="674"/>
      <c r="AG15" s="674"/>
      <c r="AH15" s="675"/>
      <c r="AI15" s="676"/>
      <c r="AJ15" s="676"/>
      <c r="AK15" s="676"/>
      <c r="AL15" s="676"/>
      <c r="AM15" s="676"/>
    </row>
    <row r="16" spans="1:39" customFormat="1" ht="14.1" customHeight="1">
      <c r="A16" s="662">
        <f t="shared" si="2"/>
        <v>12</v>
      </c>
      <c r="B16" s="1947"/>
      <c r="C16" s="75" t="s">
        <v>677</v>
      </c>
      <c r="D16" s="663" t="s">
        <v>671</v>
      </c>
      <c r="E16" s="664"/>
      <c r="F16" s="664"/>
      <c r="G16" s="664"/>
      <c r="H16" s="664">
        <v>1500</v>
      </c>
      <c r="I16" s="664"/>
      <c r="J16" s="665">
        <v>7249.3302608602598</v>
      </c>
      <c r="K16" s="666"/>
      <c r="L16" s="665">
        <v>7249.3302608602598</v>
      </c>
      <c r="M16" s="665"/>
      <c r="N16" s="665">
        <v>7249.3302608602598</v>
      </c>
      <c r="O16" s="665"/>
      <c r="P16" s="665"/>
      <c r="Q16" s="665">
        <f t="shared" si="0"/>
        <v>8749.3302608602608</v>
      </c>
      <c r="R16" s="665"/>
      <c r="S16" s="667"/>
      <c r="T16" s="665">
        <v>0</v>
      </c>
      <c r="U16" s="665"/>
      <c r="V16" s="665">
        <f t="shared" si="1"/>
        <v>7249.3302608602598</v>
      </c>
      <c r="W16" s="668"/>
      <c r="X16" s="669">
        <f t="shared" si="3"/>
        <v>0</v>
      </c>
      <c r="Y16" s="668"/>
      <c r="Z16" s="670"/>
      <c r="AA16" s="671">
        <f>VLOOKUP(C:C,[4]车间绩效表!D$1:AB$65536,25,0)-V16</f>
        <v>1.44467119116598E-3</v>
      </c>
      <c r="AB16" s="672"/>
      <c r="AD16" s="673"/>
      <c r="AE16" s="674"/>
      <c r="AF16" s="674"/>
      <c r="AG16" s="674"/>
      <c r="AH16" s="675"/>
      <c r="AI16" s="676"/>
      <c r="AJ16" s="676"/>
      <c r="AK16" s="676"/>
      <c r="AL16" s="676"/>
      <c r="AM16" s="676"/>
    </row>
    <row r="17" spans="1:39" customFormat="1" ht="14.1" customHeight="1">
      <c r="A17" s="662">
        <f t="shared" si="2"/>
        <v>13</v>
      </c>
      <c r="B17" s="1947"/>
      <c r="C17" s="75" t="s">
        <v>678</v>
      </c>
      <c r="D17" s="663" t="s">
        <v>671</v>
      </c>
      <c r="E17" s="664"/>
      <c r="F17" s="664"/>
      <c r="G17" s="664"/>
      <c r="H17" s="664">
        <v>1500</v>
      </c>
      <c r="I17" s="664"/>
      <c r="J17" s="665">
        <v>4584.18</v>
      </c>
      <c r="K17" s="666"/>
      <c r="L17" s="665">
        <v>4584.18</v>
      </c>
      <c r="M17" s="665"/>
      <c r="N17" s="665">
        <v>4584.18</v>
      </c>
      <c r="O17" s="665"/>
      <c r="P17" s="665"/>
      <c r="Q17" s="665">
        <f t="shared" si="0"/>
        <v>6084.18</v>
      </c>
      <c r="R17" s="665"/>
      <c r="S17" s="667"/>
      <c r="T17" s="665">
        <v>0</v>
      </c>
      <c r="U17" s="665"/>
      <c r="V17" s="665">
        <f t="shared" si="1"/>
        <v>4584.18</v>
      </c>
      <c r="W17" s="668"/>
      <c r="X17" s="669">
        <f t="shared" si="3"/>
        <v>0</v>
      </c>
      <c r="Y17" s="668"/>
      <c r="Z17" s="670"/>
      <c r="AA17" s="671">
        <f>VLOOKUP(C:C,[4]车间绩效表!D$1:AB$65536,25,0)-V17</f>
        <v>9.1355098265921697E-4</v>
      </c>
      <c r="AB17" s="672"/>
      <c r="AD17" s="673"/>
      <c r="AE17" s="674"/>
      <c r="AF17" s="674"/>
      <c r="AG17" s="674"/>
      <c r="AH17" s="675"/>
      <c r="AI17" s="676"/>
      <c r="AJ17" s="676"/>
      <c r="AK17" s="676"/>
      <c r="AL17" s="676"/>
      <c r="AM17" s="676"/>
    </row>
    <row r="18" spans="1:39" customFormat="1" ht="14.1" customHeight="1">
      <c r="A18" s="662">
        <f t="shared" si="2"/>
        <v>14</v>
      </c>
      <c r="B18" s="1947"/>
      <c r="C18" s="75" t="s">
        <v>679</v>
      </c>
      <c r="D18" s="663" t="s">
        <v>671</v>
      </c>
      <c r="E18" s="664"/>
      <c r="F18" s="664"/>
      <c r="G18" s="664"/>
      <c r="H18" s="664">
        <v>1500</v>
      </c>
      <c r="I18" s="664"/>
      <c r="J18" s="665">
        <v>7460.86</v>
      </c>
      <c r="K18" s="666"/>
      <c r="L18" s="665">
        <v>7460.86</v>
      </c>
      <c r="M18" s="665"/>
      <c r="N18" s="665">
        <v>7460.86</v>
      </c>
      <c r="O18" s="665"/>
      <c r="P18" s="665"/>
      <c r="Q18" s="665">
        <f t="shared" si="0"/>
        <v>8960.86</v>
      </c>
      <c r="R18" s="665"/>
      <c r="S18" s="667"/>
      <c r="T18" s="665">
        <v>0</v>
      </c>
      <c r="U18" s="665"/>
      <c r="V18" s="665">
        <f t="shared" si="1"/>
        <v>7460.86</v>
      </c>
      <c r="W18" s="668"/>
      <c r="X18" s="669">
        <f t="shared" si="3"/>
        <v>0</v>
      </c>
      <c r="Y18" s="668"/>
      <c r="Z18" s="670"/>
      <c r="AA18" s="671">
        <f>VLOOKUP(C:C,[4]车间绩效表!D$1:AB$65536,25,0)-V18</f>
        <v>1.48682555663981E-3</v>
      </c>
      <c r="AB18" s="672"/>
      <c r="AD18" s="673"/>
      <c r="AE18" s="674"/>
      <c r="AF18" s="674"/>
      <c r="AG18" s="674"/>
      <c r="AH18" s="675"/>
      <c r="AI18" s="676"/>
      <c r="AJ18" s="676"/>
      <c r="AK18" s="676"/>
      <c r="AL18" s="676"/>
      <c r="AM18" s="676"/>
    </row>
    <row r="19" spans="1:39" customFormat="1" ht="14.1" customHeight="1">
      <c r="A19" s="662">
        <f t="shared" si="2"/>
        <v>15</v>
      </c>
      <c r="B19" s="1947"/>
      <c r="C19" s="75" t="s">
        <v>233</v>
      </c>
      <c r="D19" s="663" t="s">
        <v>669</v>
      </c>
      <c r="E19" s="664"/>
      <c r="F19" s="664"/>
      <c r="G19" s="664"/>
      <c r="H19" s="664">
        <v>1500</v>
      </c>
      <c r="I19" s="664"/>
      <c r="J19" s="665">
        <v>7572.39</v>
      </c>
      <c r="K19" s="666"/>
      <c r="L19" s="665">
        <v>7572.39</v>
      </c>
      <c r="M19" s="665"/>
      <c r="N19" s="665">
        <v>7572.39</v>
      </c>
      <c r="O19" s="665"/>
      <c r="P19" s="665"/>
      <c r="Q19" s="665">
        <f t="shared" si="0"/>
        <v>9072.39</v>
      </c>
      <c r="R19" s="665"/>
      <c r="S19" s="667"/>
      <c r="T19" s="665">
        <v>0</v>
      </c>
      <c r="U19" s="665"/>
      <c r="V19" s="665">
        <f t="shared" si="1"/>
        <v>7572.39</v>
      </c>
      <c r="W19" s="668"/>
      <c r="X19" s="669">
        <f t="shared" si="3"/>
        <v>0</v>
      </c>
      <c r="Y19" s="668"/>
      <c r="Z19" s="670"/>
      <c r="AA19" s="671">
        <f>VLOOKUP(C:C,[4]车间绩效表!D$1:AB$65536,25,0)-V19</f>
        <v>1.50905163445714E-3</v>
      </c>
      <c r="AB19" s="672"/>
      <c r="AD19" s="673"/>
      <c r="AE19" s="674"/>
      <c r="AF19" s="674"/>
      <c r="AG19" s="674"/>
      <c r="AH19" s="675"/>
      <c r="AI19" s="676"/>
      <c r="AJ19" s="676"/>
      <c r="AK19" s="676"/>
      <c r="AL19" s="676"/>
      <c r="AM19" s="676"/>
    </row>
    <row r="20" spans="1:39" customFormat="1" ht="14.1" customHeight="1">
      <c r="A20" s="662">
        <f t="shared" si="2"/>
        <v>16</v>
      </c>
      <c r="B20" s="1947"/>
      <c r="C20" s="75" t="s">
        <v>236</v>
      </c>
      <c r="D20" s="663" t="s">
        <v>669</v>
      </c>
      <c r="E20" s="664"/>
      <c r="F20" s="664"/>
      <c r="G20" s="664"/>
      <c r="H20" s="664">
        <v>1500</v>
      </c>
      <c r="I20" s="664"/>
      <c r="J20" s="665">
        <v>7573.39</v>
      </c>
      <c r="K20" s="666"/>
      <c r="L20" s="665">
        <v>7573.39</v>
      </c>
      <c r="M20" s="665"/>
      <c r="N20" s="665">
        <v>7573.39</v>
      </c>
      <c r="O20" s="665"/>
      <c r="P20" s="665"/>
      <c r="Q20" s="665">
        <f t="shared" si="0"/>
        <v>9073.39</v>
      </c>
      <c r="R20" s="665"/>
      <c r="S20" s="667"/>
      <c r="T20" s="665">
        <v>0</v>
      </c>
      <c r="U20" s="665"/>
      <c r="V20" s="665">
        <f t="shared" si="1"/>
        <v>7573.39</v>
      </c>
      <c r="W20" s="668"/>
      <c r="X20" s="669">
        <f t="shared" si="3"/>
        <v>0</v>
      </c>
      <c r="Y20" s="668"/>
      <c r="Z20" s="670"/>
      <c r="AA20" s="671">
        <f>VLOOKUP(C:C,[4]车间绩效表!D$1:AB$65536,25,0)-V20</f>
        <v>1.50925091929821E-3</v>
      </c>
      <c r="AB20" s="672"/>
      <c r="AD20" s="673"/>
      <c r="AE20" s="674"/>
      <c r="AF20" s="674"/>
      <c r="AG20" s="674"/>
      <c r="AH20" s="675"/>
      <c r="AI20" s="676"/>
      <c r="AJ20" s="676"/>
      <c r="AK20" s="676"/>
      <c r="AL20" s="676"/>
      <c r="AM20" s="676"/>
    </row>
    <row r="21" spans="1:39" customFormat="1" ht="14.1" customHeight="1">
      <c r="A21" s="662"/>
      <c r="B21" s="678"/>
      <c r="C21" s="679"/>
      <c r="D21" s="680"/>
      <c r="E21" s="680">
        <f t="shared" ref="E21:Z21" si="4">SUM(E5:E20)</f>
        <v>0</v>
      </c>
      <c r="F21" s="680">
        <f t="shared" si="4"/>
        <v>0</v>
      </c>
      <c r="G21" s="680">
        <f t="shared" si="4"/>
        <v>0</v>
      </c>
      <c r="H21" s="680">
        <f t="shared" si="4"/>
        <v>24000</v>
      </c>
      <c r="I21" s="680">
        <f t="shared" si="4"/>
        <v>0</v>
      </c>
      <c r="J21" s="680">
        <f t="shared" si="4"/>
        <v>112048.402026853</v>
      </c>
      <c r="K21" s="680">
        <f t="shared" si="4"/>
        <v>0</v>
      </c>
      <c r="L21" s="680">
        <f t="shared" si="4"/>
        <v>112048.402026853</v>
      </c>
      <c r="M21" s="680">
        <f t="shared" si="4"/>
        <v>0</v>
      </c>
      <c r="N21" s="680">
        <f t="shared" si="4"/>
        <v>112048.402026853</v>
      </c>
      <c r="O21" s="680">
        <f t="shared" si="4"/>
        <v>0</v>
      </c>
      <c r="P21" s="680">
        <f t="shared" si="4"/>
        <v>0</v>
      </c>
      <c r="Q21" s="680">
        <f t="shared" si="4"/>
        <v>136048.402026853</v>
      </c>
      <c r="R21" s="680">
        <f t="shared" si="4"/>
        <v>0</v>
      </c>
      <c r="S21" s="680">
        <f t="shared" si="4"/>
        <v>0</v>
      </c>
      <c r="T21" s="680">
        <f t="shared" si="4"/>
        <v>0</v>
      </c>
      <c r="U21" s="680">
        <f t="shared" si="4"/>
        <v>0</v>
      </c>
      <c r="V21" s="680">
        <f t="shared" si="4"/>
        <v>112048.402026853</v>
      </c>
      <c r="W21" s="680">
        <f t="shared" si="4"/>
        <v>0</v>
      </c>
      <c r="X21" s="680">
        <f t="shared" si="4"/>
        <v>0</v>
      </c>
      <c r="Y21" s="680">
        <f t="shared" si="4"/>
        <v>0</v>
      </c>
      <c r="Z21" s="681">
        <f t="shared" si="4"/>
        <v>0</v>
      </c>
      <c r="AA21" s="651"/>
      <c r="AB21" s="672"/>
      <c r="AD21" s="673"/>
      <c r="AE21" s="674"/>
      <c r="AF21" s="674"/>
      <c r="AG21" s="674"/>
      <c r="AH21" s="675"/>
      <c r="AI21" s="676"/>
      <c r="AJ21" s="676"/>
      <c r="AK21" s="676"/>
      <c r="AL21" s="676"/>
      <c r="AM21" s="676"/>
    </row>
    <row r="22" spans="1:39" s="650" customFormat="1">
      <c r="A22" s="682"/>
      <c r="B22" s="683"/>
      <c r="C22" s="684"/>
      <c r="D22" s="685"/>
      <c r="E22" s="685"/>
      <c r="F22" s="685"/>
      <c r="G22" s="685"/>
      <c r="H22" s="685"/>
      <c r="I22" s="685"/>
      <c r="J22" s="685"/>
      <c r="K22" s="685"/>
      <c r="L22" s="685"/>
      <c r="M22" s="685"/>
      <c r="N22" s="685"/>
      <c r="O22" s="685"/>
      <c r="P22" s="685"/>
      <c r="Q22" s="685"/>
      <c r="R22" s="685"/>
      <c r="S22" s="685"/>
      <c r="T22" s="685"/>
      <c r="U22" s="685"/>
      <c r="V22" s="685"/>
      <c r="W22" s="685"/>
      <c r="X22" s="685"/>
      <c r="Y22" s="685"/>
      <c r="Z22" s="686"/>
      <c r="AA22" s="651"/>
      <c r="AB22" s="672"/>
      <c r="AC22"/>
      <c r="AD22" s="673"/>
      <c r="AF22" s="674"/>
      <c r="AG22" s="674"/>
      <c r="AH22" s="675"/>
      <c r="AI22" s="676"/>
      <c r="AJ22" s="676"/>
      <c r="AK22" s="676"/>
      <c r="AL22" s="676"/>
      <c r="AM22" s="676"/>
    </row>
  </sheetData>
  <autoFilter ref="A2:AI54" xr:uid="{00000000-0009-0000-0000-000008000000}"/>
  <mergeCells count="26">
    <mergeCell ref="Q3:Q4"/>
    <mergeCell ref="U3:U4"/>
    <mergeCell ref="V3:V4"/>
    <mergeCell ref="W3:W4"/>
    <mergeCell ref="Z3:Z4"/>
    <mergeCell ref="B5:B13"/>
    <mergeCell ref="B14:B20"/>
    <mergeCell ref="C3:C4"/>
    <mergeCell ref="D3:D4"/>
    <mergeCell ref="E3:E4"/>
    <mergeCell ref="A1:Y1"/>
    <mergeCell ref="A2:C2"/>
    <mergeCell ref="R3:T3"/>
    <mergeCell ref="A3:A4"/>
    <mergeCell ref="B3:B4"/>
    <mergeCell ref="F3:F4"/>
    <mergeCell ref="G3:G4"/>
    <mergeCell ref="H3:H4"/>
    <mergeCell ref="I3:I4"/>
    <mergeCell ref="J3:J4"/>
    <mergeCell ref="K3:K4"/>
    <mergeCell ref="L3:L4"/>
    <mergeCell ref="M3:M4"/>
    <mergeCell ref="N3:N4"/>
    <mergeCell ref="O3:O4"/>
    <mergeCell ref="P3:P4"/>
  </mergeCells>
  <phoneticPr fontId="5" type="noConversion"/>
  <conditionalFormatting sqref="C5">
    <cfRule type="duplicateValues" dxfId="988" priority="14" stopIfTrue="1"/>
    <cfRule type="duplicateValues" dxfId="987" priority="15"/>
  </conditionalFormatting>
  <conditionalFormatting sqref="C5:C8 C12:C13">
    <cfRule type="duplicateValues" dxfId="986" priority="29"/>
    <cfRule type="duplicateValues" dxfId="985" priority="30" stopIfTrue="1"/>
  </conditionalFormatting>
  <conditionalFormatting sqref="C6:C8 C12:C13">
    <cfRule type="duplicateValues" dxfId="984" priority="32" stopIfTrue="1"/>
    <cfRule type="duplicateValues" dxfId="983" priority="34"/>
  </conditionalFormatting>
  <conditionalFormatting sqref="C8">
    <cfRule type="duplicateValues" dxfId="982" priority="21"/>
    <cfRule type="duplicateValues" dxfId="981" priority="22" stopIfTrue="1"/>
  </conditionalFormatting>
  <conditionalFormatting sqref="C9:C11">
    <cfRule type="duplicateValues" dxfId="980" priority="2"/>
    <cfRule type="duplicateValues" dxfId="979" priority="5" stopIfTrue="1"/>
  </conditionalFormatting>
  <conditionalFormatting sqref="C11">
    <cfRule type="duplicateValues" dxfId="978" priority="7" stopIfTrue="1"/>
    <cfRule type="duplicateValues" dxfId="977" priority="9"/>
  </conditionalFormatting>
  <conditionalFormatting sqref="C14:C15">
    <cfRule type="duplicateValues" dxfId="976" priority="16"/>
  </conditionalFormatting>
  <conditionalFormatting sqref="C16">
    <cfRule type="duplicateValues" dxfId="975" priority="12" stopIfTrue="1"/>
    <cfRule type="duplicateValues" dxfId="974" priority="13"/>
  </conditionalFormatting>
  <conditionalFormatting sqref="C17:C18">
    <cfRule type="duplicateValues" dxfId="973" priority="35" stopIfTrue="1"/>
    <cfRule type="duplicateValues" dxfId="972" priority="36"/>
  </conditionalFormatting>
  <conditionalFormatting sqref="C19:C20">
    <cfRule type="duplicateValues" dxfId="971" priority="40"/>
  </conditionalFormatting>
  <conditionalFormatting sqref="C22 A21 C19:C20">
    <cfRule type="duplicateValues" dxfId="970" priority="27"/>
  </conditionalFormatting>
  <conditionalFormatting sqref="C22 A21">
    <cfRule type="duplicateValues" dxfId="969" priority="18"/>
  </conditionalFormatting>
  <conditionalFormatting sqref="C22 C1:C4 A21">
    <cfRule type="duplicateValues" dxfId="968" priority="17"/>
  </conditionalFormatting>
  <conditionalFormatting sqref="C22 C1:C4 C14:C15 A21 C19:C20">
    <cfRule type="duplicateValues" dxfId="967" priority="24" stopIfTrue="1"/>
    <cfRule type="duplicateValues" dxfId="966" priority="25"/>
  </conditionalFormatting>
  <conditionalFormatting sqref="C22 C1:C8 C12:C15 A21 C19:C20">
    <cfRule type="duplicateValues" dxfId="965" priority="26"/>
  </conditionalFormatting>
  <conditionalFormatting sqref="AA5:AA20">
    <cfRule type="duplicateValues" dxfId="964" priority="41"/>
  </conditionalFormatting>
  <conditionalFormatting sqref="AA21:AA22 AA1:AA4">
    <cfRule type="duplicateValues" dxfId="963" priority="28"/>
  </conditionalFormatting>
  <pageMargins left="0.75" right="0.75" top="1" bottom="1" header="0.5" footer="0.5"/>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AE57"/>
  <sheetViews>
    <sheetView topLeftCell="K1" workbookViewId="0">
      <selection activeCell="T12" sqref="T12"/>
    </sheetView>
  </sheetViews>
  <sheetFormatPr defaultColWidth="9.6640625" defaultRowHeight="21.15" customHeight="1"/>
  <cols>
    <col min="1" max="1" width="6.44140625" style="610" customWidth="1"/>
    <col min="2" max="2" width="10.6640625" style="610" customWidth="1"/>
    <col min="3" max="3" width="16.33203125" style="611" customWidth="1"/>
    <col min="4" max="4" width="6.21875" style="610" customWidth="1"/>
    <col min="5" max="5" width="11.44140625" style="612" customWidth="1"/>
    <col min="6" max="6" width="8.88671875" style="612" customWidth="1"/>
    <col min="7" max="7" width="13.77734375" style="612" customWidth="1"/>
    <col min="8" max="8" width="10.21875" style="612" customWidth="1"/>
    <col min="9" max="9" width="9" style="612" customWidth="1"/>
    <col min="10" max="10" width="9.33203125" style="612" customWidth="1"/>
    <col min="11" max="12" width="10" style="612" customWidth="1"/>
    <col min="13" max="13" width="9.6640625" style="612" customWidth="1"/>
    <col min="14" max="14" width="9.109375" style="612" customWidth="1"/>
    <col min="15" max="15" width="8.88671875" style="612" customWidth="1"/>
    <col min="16" max="17" width="8.6640625" style="612" customWidth="1"/>
    <col min="18" max="19" width="9.6640625" style="610" customWidth="1"/>
    <col min="20" max="20" width="15.6640625" style="613" customWidth="1"/>
    <col min="21" max="21" width="15.6640625" style="610" customWidth="1"/>
    <col min="22" max="22" width="13" style="610" customWidth="1"/>
    <col min="23" max="29" width="9.6640625" style="610"/>
    <col min="30" max="30" width="25.6640625" style="610" customWidth="1"/>
    <col min="31" max="16384" width="9.6640625" style="610"/>
  </cols>
  <sheetData>
    <row r="1" spans="1:31" ht="29.1" customHeight="1">
      <c r="A1" s="1962" t="s">
        <v>680</v>
      </c>
      <c r="B1" s="1962"/>
      <c r="C1" s="1962"/>
      <c r="D1" s="1962"/>
      <c r="E1" s="1962"/>
      <c r="F1" s="1962"/>
      <c r="G1" s="1962"/>
      <c r="H1" s="1962"/>
      <c r="I1" s="1962"/>
      <c r="J1" s="1962"/>
      <c r="K1" s="1962"/>
      <c r="L1" s="1962"/>
      <c r="M1" s="1962"/>
      <c r="N1" s="1962"/>
      <c r="O1" s="1962"/>
      <c r="P1" s="1962"/>
      <c r="Q1" s="1962"/>
    </row>
    <row r="2" spans="1:31" s="607" customFormat="1" ht="21.15" customHeight="1">
      <c r="A2" s="1974" t="s">
        <v>681</v>
      </c>
      <c r="B2" s="1974" t="s">
        <v>682</v>
      </c>
      <c r="C2" s="1976" t="s">
        <v>683</v>
      </c>
      <c r="D2" s="1974" t="s">
        <v>324</v>
      </c>
      <c r="E2" s="1963" t="s">
        <v>54</v>
      </c>
      <c r="F2" s="1963"/>
      <c r="G2" s="1963" t="s">
        <v>55</v>
      </c>
      <c r="H2" s="1963"/>
      <c r="I2" s="1963" t="s">
        <v>57</v>
      </c>
      <c r="J2" s="1963"/>
      <c r="K2" s="1964" t="s">
        <v>53</v>
      </c>
      <c r="L2" s="1965"/>
      <c r="M2" s="1966" t="s">
        <v>58</v>
      </c>
      <c r="N2" s="1965"/>
      <c r="O2" s="1966" t="s">
        <v>59</v>
      </c>
      <c r="P2" s="1965"/>
      <c r="Q2" s="1977" t="s">
        <v>304</v>
      </c>
      <c r="S2" s="616" t="s">
        <v>53</v>
      </c>
      <c r="T2" s="617">
        <f>L22</f>
        <v>4387</v>
      </c>
      <c r="V2" s="1967" t="s">
        <v>680</v>
      </c>
      <c r="W2" s="1968"/>
      <c r="X2" s="1968"/>
      <c r="Y2" s="1968"/>
      <c r="Z2" s="1968"/>
      <c r="AA2" s="1968"/>
      <c r="AB2" s="1968"/>
      <c r="AC2" s="1968"/>
      <c r="AD2" s="1969"/>
      <c r="AE2" s="610"/>
    </row>
    <row r="3" spans="1:31" s="607" customFormat="1" ht="21.15" customHeight="1">
      <c r="A3" s="1974"/>
      <c r="B3" s="1974"/>
      <c r="C3" s="1976"/>
      <c r="D3" s="1974"/>
      <c r="E3" s="615" t="s">
        <v>494</v>
      </c>
      <c r="F3" s="615" t="s">
        <v>232</v>
      </c>
      <c r="G3" s="615" t="s">
        <v>494</v>
      </c>
      <c r="H3" s="615" t="s">
        <v>232</v>
      </c>
      <c r="I3" s="615" t="s">
        <v>494</v>
      </c>
      <c r="J3" s="615" t="s">
        <v>232</v>
      </c>
      <c r="K3" s="615" t="s">
        <v>494</v>
      </c>
      <c r="L3" s="615" t="s">
        <v>232</v>
      </c>
      <c r="M3" s="615" t="s">
        <v>494</v>
      </c>
      <c r="N3" s="615" t="s">
        <v>232</v>
      </c>
      <c r="O3" s="615" t="s">
        <v>494</v>
      </c>
      <c r="P3" s="615" t="s">
        <v>232</v>
      </c>
      <c r="Q3" s="1977"/>
      <c r="S3" s="616" t="s">
        <v>55</v>
      </c>
      <c r="T3" s="617">
        <f>H22</f>
        <v>5244</v>
      </c>
      <c r="V3" s="1974" t="s">
        <v>681</v>
      </c>
      <c r="W3" s="1974" t="s">
        <v>682</v>
      </c>
      <c r="X3" s="1976" t="s">
        <v>683</v>
      </c>
      <c r="Y3" s="1974" t="s">
        <v>324</v>
      </c>
      <c r="Z3" s="1963" t="s">
        <v>220</v>
      </c>
      <c r="AA3" s="1963"/>
      <c r="AB3" s="1966" t="s">
        <v>219</v>
      </c>
      <c r="AC3" s="1965"/>
      <c r="AD3" s="1977" t="s">
        <v>304</v>
      </c>
    </row>
    <row r="4" spans="1:31" s="607" customFormat="1" ht="20.25" customHeight="1">
      <c r="A4" s="618" t="s">
        <v>684</v>
      </c>
      <c r="B4" s="619" t="s">
        <v>685</v>
      </c>
      <c r="C4" s="614">
        <v>0.62</v>
      </c>
      <c r="D4" s="620">
        <v>13</v>
      </c>
      <c r="E4" s="620">
        <v>21</v>
      </c>
      <c r="F4" s="615">
        <f t="shared" ref="F4:F16" si="0">E4*D4</f>
        <v>273</v>
      </c>
      <c r="G4" s="615">
        <v>36</v>
      </c>
      <c r="H4" s="615">
        <f t="shared" ref="H4:H18" si="1">+D4*G4</f>
        <v>468</v>
      </c>
      <c r="I4" s="615">
        <v>24</v>
      </c>
      <c r="J4" s="615">
        <f t="shared" ref="J4:J20" si="2">I4*D4</f>
        <v>312</v>
      </c>
      <c r="K4" s="615">
        <v>15</v>
      </c>
      <c r="L4" s="615">
        <f t="shared" ref="L4:L20" si="3">K4*D4</f>
        <v>195</v>
      </c>
      <c r="M4" s="615">
        <v>20</v>
      </c>
      <c r="N4" s="615">
        <f t="shared" ref="N4:N9" si="4">M4*D4</f>
        <v>260</v>
      </c>
      <c r="O4" s="615">
        <v>24</v>
      </c>
      <c r="P4" s="615">
        <f>D4*O4</f>
        <v>312</v>
      </c>
      <c r="Q4" s="621" t="s">
        <v>686</v>
      </c>
      <c r="R4" s="617"/>
      <c r="S4" s="616" t="s">
        <v>54</v>
      </c>
      <c r="T4" s="94">
        <f>F22</f>
        <v>3868</v>
      </c>
      <c r="U4" s="94"/>
      <c r="V4" s="1974"/>
      <c r="W4" s="1974"/>
      <c r="X4" s="1976"/>
      <c r="Y4" s="1974"/>
      <c r="Z4" s="615" t="s">
        <v>494</v>
      </c>
      <c r="AA4" s="615" t="s">
        <v>232</v>
      </c>
      <c r="AB4" s="615" t="s">
        <v>494</v>
      </c>
      <c r="AC4" s="615" t="s">
        <v>232</v>
      </c>
      <c r="AD4" s="1977"/>
    </row>
    <row r="5" spans="1:31" s="607" customFormat="1" ht="20.25" customHeight="1">
      <c r="A5" s="618" t="s">
        <v>684</v>
      </c>
      <c r="B5" s="619" t="s">
        <v>687</v>
      </c>
      <c r="C5" s="614">
        <v>0.71</v>
      </c>
      <c r="D5" s="620">
        <v>10</v>
      </c>
      <c r="E5" s="620">
        <v>2</v>
      </c>
      <c r="F5" s="615">
        <f t="shared" si="0"/>
        <v>20</v>
      </c>
      <c r="G5" s="615">
        <v>3</v>
      </c>
      <c r="H5" s="615">
        <f t="shared" si="1"/>
        <v>30</v>
      </c>
      <c r="I5" s="615">
        <v>7</v>
      </c>
      <c r="J5" s="615">
        <f t="shared" si="2"/>
        <v>70</v>
      </c>
      <c r="K5" s="615">
        <v>1</v>
      </c>
      <c r="L5" s="615">
        <f t="shared" si="3"/>
        <v>10</v>
      </c>
      <c r="M5" s="615">
        <v>1</v>
      </c>
      <c r="N5" s="615">
        <f t="shared" si="4"/>
        <v>10</v>
      </c>
      <c r="O5" s="615">
        <v>1</v>
      </c>
      <c r="P5" s="615">
        <f>D5*O5</f>
        <v>10</v>
      </c>
      <c r="Q5" s="621" t="s">
        <v>688</v>
      </c>
      <c r="R5" s="617"/>
      <c r="S5" s="616" t="s">
        <v>57</v>
      </c>
      <c r="T5" s="617">
        <f>J22</f>
        <v>5058</v>
      </c>
      <c r="V5" s="618" t="s">
        <v>684</v>
      </c>
      <c r="W5" s="619" t="s">
        <v>685</v>
      </c>
      <c r="X5" s="614">
        <v>0.44</v>
      </c>
      <c r="Y5" s="620">
        <v>13</v>
      </c>
      <c r="Z5" s="615">
        <v>42</v>
      </c>
      <c r="AA5" s="615">
        <f>Y5*Z5</f>
        <v>546</v>
      </c>
      <c r="AB5" s="615">
        <v>43</v>
      </c>
      <c r="AC5" s="615">
        <f>AB5*Y5</f>
        <v>559</v>
      </c>
      <c r="AD5" s="621" t="s">
        <v>689</v>
      </c>
    </row>
    <row r="6" spans="1:31" s="608" customFormat="1" ht="20.25" customHeight="1">
      <c r="A6" s="622" t="s">
        <v>684</v>
      </c>
      <c r="B6" s="623" t="s">
        <v>690</v>
      </c>
      <c r="C6" s="624">
        <v>0.68</v>
      </c>
      <c r="D6" s="625">
        <v>8</v>
      </c>
      <c r="E6" s="625">
        <v>0</v>
      </c>
      <c r="F6" s="626">
        <f t="shared" si="0"/>
        <v>0</v>
      </c>
      <c r="G6" s="626">
        <v>1</v>
      </c>
      <c r="H6" s="626">
        <f t="shared" si="1"/>
        <v>8</v>
      </c>
      <c r="I6" s="626">
        <v>1</v>
      </c>
      <c r="J6" s="626">
        <f t="shared" si="2"/>
        <v>8</v>
      </c>
      <c r="K6" s="626">
        <v>1</v>
      </c>
      <c r="L6" s="626">
        <f t="shared" si="3"/>
        <v>8</v>
      </c>
      <c r="M6" s="626">
        <v>0</v>
      </c>
      <c r="N6" s="626">
        <f t="shared" si="4"/>
        <v>0</v>
      </c>
      <c r="O6" s="626">
        <v>4</v>
      </c>
      <c r="P6" s="626">
        <f t="shared" ref="P6:P20" si="5">O6*D6</f>
        <v>32</v>
      </c>
      <c r="Q6" s="627" t="s">
        <v>691</v>
      </c>
      <c r="R6" s="628"/>
      <c r="S6" s="616" t="s">
        <v>58</v>
      </c>
      <c r="T6" s="628">
        <f>N22</f>
        <v>4773</v>
      </c>
      <c r="U6" s="629"/>
      <c r="V6" s="618" t="s">
        <v>684</v>
      </c>
      <c r="W6" s="619" t="s">
        <v>687</v>
      </c>
      <c r="X6" s="614">
        <v>0.61</v>
      </c>
      <c r="Y6" s="620">
        <v>10</v>
      </c>
      <c r="Z6" s="615">
        <v>4</v>
      </c>
      <c r="AA6" s="615">
        <f t="shared" ref="AA6:AA21" si="6">Y6*Z6</f>
        <v>40</v>
      </c>
      <c r="AB6" s="615">
        <v>7</v>
      </c>
      <c r="AC6" s="615">
        <f t="shared" ref="AC6:AC21" si="7">AB6*Y6</f>
        <v>70</v>
      </c>
      <c r="AD6" s="621" t="s">
        <v>692</v>
      </c>
      <c r="AE6" s="607"/>
    </row>
    <row r="7" spans="1:31" s="607" customFormat="1" ht="20.25" customHeight="1">
      <c r="A7" s="618" t="s">
        <v>684</v>
      </c>
      <c r="B7" s="630" t="s">
        <v>693</v>
      </c>
      <c r="C7" s="631">
        <v>0.09</v>
      </c>
      <c r="D7" s="620">
        <v>18</v>
      </c>
      <c r="E7" s="615">
        <v>4</v>
      </c>
      <c r="F7" s="615">
        <f t="shared" si="0"/>
        <v>72</v>
      </c>
      <c r="G7" s="615">
        <v>4</v>
      </c>
      <c r="H7" s="615">
        <f t="shared" si="1"/>
        <v>72</v>
      </c>
      <c r="I7" s="615">
        <v>5</v>
      </c>
      <c r="J7" s="615">
        <f t="shared" si="2"/>
        <v>90</v>
      </c>
      <c r="K7" s="615">
        <v>4</v>
      </c>
      <c r="L7" s="615">
        <f t="shared" si="3"/>
        <v>72</v>
      </c>
      <c r="M7" s="615">
        <v>7</v>
      </c>
      <c r="N7" s="615">
        <f t="shared" si="4"/>
        <v>126</v>
      </c>
      <c r="O7" s="615">
        <v>8</v>
      </c>
      <c r="P7" s="615">
        <f t="shared" si="5"/>
        <v>144</v>
      </c>
      <c r="Q7" s="621" t="s">
        <v>694</v>
      </c>
      <c r="R7" s="617"/>
      <c r="S7" s="616" t="s">
        <v>59</v>
      </c>
      <c r="T7" s="617">
        <f>P22</f>
        <v>4010</v>
      </c>
      <c r="V7" s="622" t="s">
        <v>684</v>
      </c>
      <c r="W7" s="623" t="s">
        <v>690</v>
      </c>
      <c r="X7" s="624">
        <v>0.63</v>
      </c>
      <c r="Y7" s="625">
        <v>8</v>
      </c>
      <c r="Z7" s="626">
        <v>1</v>
      </c>
      <c r="AA7" s="615">
        <f t="shared" si="6"/>
        <v>8</v>
      </c>
      <c r="AB7" s="626">
        <v>3</v>
      </c>
      <c r="AC7" s="615">
        <f t="shared" si="7"/>
        <v>24</v>
      </c>
      <c r="AD7" s="627" t="s">
        <v>695</v>
      </c>
      <c r="AE7" s="608"/>
    </row>
    <row r="8" spans="1:31" s="607" customFormat="1" ht="20.25" customHeight="1">
      <c r="A8" s="618" t="s">
        <v>684</v>
      </c>
      <c r="B8" s="630" t="s">
        <v>696</v>
      </c>
      <c r="C8" s="631">
        <v>0.26</v>
      </c>
      <c r="D8" s="620">
        <v>15</v>
      </c>
      <c r="E8" s="615">
        <v>7</v>
      </c>
      <c r="F8" s="615">
        <f t="shared" si="0"/>
        <v>105</v>
      </c>
      <c r="G8" s="615">
        <v>5</v>
      </c>
      <c r="H8" s="615">
        <f t="shared" si="1"/>
        <v>75</v>
      </c>
      <c r="I8" s="615">
        <v>6</v>
      </c>
      <c r="J8" s="615">
        <f t="shared" si="2"/>
        <v>90</v>
      </c>
      <c r="K8" s="615">
        <v>10</v>
      </c>
      <c r="L8" s="615">
        <f t="shared" si="3"/>
        <v>150</v>
      </c>
      <c r="M8" s="615">
        <v>4</v>
      </c>
      <c r="N8" s="615">
        <f t="shared" si="4"/>
        <v>60</v>
      </c>
      <c r="O8" s="615">
        <v>6</v>
      </c>
      <c r="P8" s="615">
        <f t="shared" si="5"/>
        <v>90</v>
      </c>
      <c r="Q8" s="621" t="s">
        <v>697</v>
      </c>
      <c r="R8" s="617"/>
      <c r="S8" s="616" t="s">
        <v>220</v>
      </c>
      <c r="T8" s="617">
        <f>AA23</f>
        <v>8027</v>
      </c>
      <c r="V8" s="618" t="s">
        <v>684</v>
      </c>
      <c r="W8" s="630" t="s">
        <v>693</v>
      </c>
      <c r="X8" s="631">
        <v>0.12</v>
      </c>
      <c r="Y8" s="620">
        <v>18</v>
      </c>
      <c r="Z8" s="615">
        <v>19</v>
      </c>
      <c r="AA8" s="615">
        <f t="shared" si="6"/>
        <v>342</v>
      </c>
      <c r="AB8" s="615">
        <v>15</v>
      </c>
      <c r="AC8" s="615">
        <f t="shared" si="7"/>
        <v>270</v>
      </c>
      <c r="AD8" s="621" t="s">
        <v>698</v>
      </c>
    </row>
    <row r="9" spans="1:31" s="608" customFormat="1" ht="20.25" customHeight="1">
      <c r="A9" s="622" t="s">
        <v>684</v>
      </c>
      <c r="B9" s="632" t="s">
        <v>699</v>
      </c>
      <c r="C9" s="633">
        <v>0.61</v>
      </c>
      <c r="D9" s="625">
        <v>26</v>
      </c>
      <c r="E9" s="626">
        <v>23</v>
      </c>
      <c r="F9" s="626">
        <f t="shared" si="0"/>
        <v>598</v>
      </c>
      <c r="G9" s="626">
        <v>21</v>
      </c>
      <c r="H9" s="626">
        <f t="shared" si="1"/>
        <v>546</v>
      </c>
      <c r="I9" s="626">
        <v>14</v>
      </c>
      <c r="J9" s="626">
        <f t="shared" si="2"/>
        <v>364</v>
      </c>
      <c r="K9" s="626">
        <v>21</v>
      </c>
      <c r="L9" s="626">
        <f t="shared" si="3"/>
        <v>546</v>
      </c>
      <c r="M9" s="626">
        <v>16</v>
      </c>
      <c r="N9" s="626">
        <f t="shared" si="4"/>
        <v>416</v>
      </c>
      <c r="O9" s="626">
        <v>23</v>
      </c>
      <c r="P9" s="626">
        <f t="shared" si="5"/>
        <v>598</v>
      </c>
      <c r="Q9" s="627" t="s">
        <v>700</v>
      </c>
      <c r="R9" s="617"/>
      <c r="S9" s="616" t="s">
        <v>219</v>
      </c>
      <c r="T9" s="628">
        <f>AC23</f>
        <v>5942</v>
      </c>
      <c r="V9" s="618" t="s">
        <v>684</v>
      </c>
      <c r="W9" s="630" t="s">
        <v>696</v>
      </c>
      <c r="X9" s="631">
        <v>0.25</v>
      </c>
      <c r="Y9" s="620">
        <v>15</v>
      </c>
      <c r="Z9" s="615">
        <v>27</v>
      </c>
      <c r="AA9" s="615">
        <f t="shared" si="6"/>
        <v>405</v>
      </c>
      <c r="AB9" s="615">
        <v>14</v>
      </c>
      <c r="AC9" s="615">
        <f t="shared" si="7"/>
        <v>210</v>
      </c>
      <c r="AD9" s="621" t="s">
        <v>701</v>
      </c>
      <c r="AE9" s="607"/>
    </row>
    <row r="10" spans="1:31" s="607" customFormat="1" ht="20.25" customHeight="1">
      <c r="A10" s="618" t="s">
        <v>684</v>
      </c>
      <c r="B10" s="630" t="s">
        <v>702</v>
      </c>
      <c r="C10" s="631">
        <v>0.22</v>
      </c>
      <c r="D10" s="620">
        <v>15</v>
      </c>
      <c r="E10" s="615">
        <v>12</v>
      </c>
      <c r="F10" s="615">
        <f t="shared" si="0"/>
        <v>180</v>
      </c>
      <c r="G10" s="615">
        <v>21</v>
      </c>
      <c r="H10" s="615">
        <f t="shared" si="1"/>
        <v>315</v>
      </c>
      <c r="I10" s="615">
        <v>25</v>
      </c>
      <c r="J10" s="615">
        <f t="shared" si="2"/>
        <v>375</v>
      </c>
      <c r="K10" s="615">
        <v>25</v>
      </c>
      <c r="L10" s="615">
        <f t="shared" si="3"/>
        <v>375</v>
      </c>
      <c r="M10" s="615">
        <v>26</v>
      </c>
      <c r="N10" s="615">
        <f t="shared" ref="N10:N12" si="8">D10*M10</f>
        <v>390</v>
      </c>
      <c r="O10" s="615">
        <v>15</v>
      </c>
      <c r="P10" s="615">
        <f t="shared" si="5"/>
        <v>225</v>
      </c>
      <c r="Q10" s="621" t="s">
        <v>703</v>
      </c>
      <c r="R10" s="617"/>
      <c r="S10" s="617"/>
      <c r="T10" s="617"/>
      <c r="V10" s="622" t="s">
        <v>684</v>
      </c>
      <c r="W10" s="632" t="s">
        <v>699</v>
      </c>
      <c r="X10" s="633">
        <v>0.62</v>
      </c>
      <c r="Y10" s="625">
        <v>26</v>
      </c>
      <c r="Z10" s="626">
        <v>47</v>
      </c>
      <c r="AA10" s="615">
        <f t="shared" si="6"/>
        <v>1222</v>
      </c>
      <c r="AB10" s="626">
        <v>37</v>
      </c>
      <c r="AC10" s="615">
        <f t="shared" si="7"/>
        <v>962</v>
      </c>
      <c r="AD10" s="627" t="s">
        <v>704</v>
      </c>
      <c r="AE10" s="608"/>
    </row>
    <row r="11" spans="1:31" s="607" customFormat="1" ht="20.25" customHeight="1">
      <c r="A11" s="618" t="s">
        <v>684</v>
      </c>
      <c r="B11" s="630" t="s">
        <v>705</v>
      </c>
      <c r="C11" s="631">
        <v>0.4</v>
      </c>
      <c r="D11" s="620">
        <v>10</v>
      </c>
      <c r="E11" s="615">
        <v>19</v>
      </c>
      <c r="F11" s="615">
        <f t="shared" si="0"/>
        <v>190</v>
      </c>
      <c r="G11" s="615">
        <v>22</v>
      </c>
      <c r="H11" s="615">
        <f t="shared" si="1"/>
        <v>220</v>
      </c>
      <c r="I11" s="615">
        <v>17</v>
      </c>
      <c r="J11" s="615">
        <f t="shared" si="2"/>
        <v>170</v>
      </c>
      <c r="K11" s="615">
        <v>15</v>
      </c>
      <c r="L11" s="615">
        <f t="shared" si="3"/>
        <v>150</v>
      </c>
      <c r="M11" s="615">
        <v>17</v>
      </c>
      <c r="N11" s="615">
        <f t="shared" si="8"/>
        <v>170</v>
      </c>
      <c r="O11" s="615">
        <v>9</v>
      </c>
      <c r="P11" s="615">
        <f t="shared" si="5"/>
        <v>90</v>
      </c>
      <c r="Q11" s="621" t="s">
        <v>706</v>
      </c>
      <c r="R11" s="617"/>
      <c r="S11" s="617"/>
      <c r="T11" s="617"/>
      <c r="V11" s="618" t="s">
        <v>684</v>
      </c>
      <c r="W11" s="630" t="s">
        <v>702</v>
      </c>
      <c r="X11" s="631">
        <v>0.2</v>
      </c>
      <c r="Y11" s="620">
        <v>15</v>
      </c>
      <c r="Z11" s="615">
        <v>49</v>
      </c>
      <c r="AA11" s="615">
        <f t="shared" si="6"/>
        <v>735</v>
      </c>
      <c r="AB11" s="615">
        <v>25</v>
      </c>
      <c r="AC11" s="615">
        <f t="shared" si="7"/>
        <v>375</v>
      </c>
      <c r="AD11" s="621" t="s">
        <v>707</v>
      </c>
    </row>
    <row r="12" spans="1:31" s="608" customFormat="1" ht="19.2" customHeight="1">
      <c r="A12" s="622" t="s">
        <v>684</v>
      </c>
      <c r="B12" s="632" t="s">
        <v>708</v>
      </c>
      <c r="C12" s="634">
        <v>0.66</v>
      </c>
      <c r="D12" s="625">
        <v>25</v>
      </c>
      <c r="E12" s="626">
        <v>37</v>
      </c>
      <c r="F12" s="626">
        <f t="shared" si="0"/>
        <v>925</v>
      </c>
      <c r="G12" s="626">
        <v>59</v>
      </c>
      <c r="H12" s="626">
        <f t="shared" si="1"/>
        <v>1475</v>
      </c>
      <c r="I12" s="626">
        <v>48</v>
      </c>
      <c r="J12" s="626">
        <f t="shared" si="2"/>
        <v>1200</v>
      </c>
      <c r="K12" s="626">
        <v>41</v>
      </c>
      <c r="L12" s="626">
        <f t="shared" si="3"/>
        <v>1025</v>
      </c>
      <c r="M12" s="626">
        <v>53</v>
      </c>
      <c r="N12" s="626">
        <f t="shared" si="8"/>
        <v>1325</v>
      </c>
      <c r="O12" s="626">
        <v>25</v>
      </c>
      <c r="P12" s="626">
        <f t="shared" si="5"/>
        <v>625</v>
      </c>
      <c r="Q12" s="627" t="s">
        <v>709</v>
      </c>
      <c r="R12" s="617"/>
      <c r="S12" s="628"/>
      <c r="T12" s="628"/>
      <c r="V12" s="618" t="s">
        <v>684</v>
      </c>
      <c r="W12" s="630" t="s">
        <v>705</v>
      </c>
      <c r="X12" s="631">
        <v>0.37</v>
      </c>
      <c r="Y12" s="620">
        <v>10</v>
      </c>
      <c r="Z12" s="615">
        <v>48</v>
      </c>
      <c r="AA12" s="615">
        <f t="shared" si="6"/>
        <v>480</v>
      </c>
      <c r="AB12" s="615">
        <v>19</v>
      </c>
      <c r="AC12" s="615">
        <f t="shared" si="7"/>
        <v>190</v>
      </c>
      <c r="AD12" s="621" t="s">
        <v>710</v>
      </c>
      <c r="AE12" s="607"/>
    </row>
    <row r="13" spans="1:31" s="607" customFormat="1" ht="20.25" customHeight="1">
      <c r="A13" s="618" t="s">
        <v>684</v>
      </c>
      <c r="B13" s="630" t="s">
        <v>711</v>
      </c>
      <c r="C13" s="631"/>
      <c r="D13" s="619">
        <v>20</v>
      </c>
      <c r="E13" s="615">
        <v>43</v>
      </c>
      <c r="F13" s="615">
        <f t="shared" si="0"/>
        <v>860</v>
      </c>
      <c r="G13" s="615">
        <v>59</v>
      </c>
      <c r="H13" s="615">
        <f t="shared" si="1"/>
        <v>1180</v>
      </c>
      <c r="I13" s="615">
        <v>79</v>
      </c>
      <c r="J13" s="615">
        <f t="shared" si="2"/>
        <v>1580</v>
      </c>
      <c r="K13" s="615">
        <v>54</v>
      </c>
      <c r="L13" s="615">
        <f t="shared" si="3"/>
        <v>1080</v>
      </c>
      <c r="M13" s="615">
        <v>57</v>
      </c>
      <c r="N13" s="615">
        <f t="shared" ref="N13:N20" si="9">M13*D13</f>
        <v>1140</v>
      </c>
      <c r="O13" s="615">
        <v>50</v>
      </c>
      <c r="P13" s="615">
        <f t="shared" si="5"/>
        <v>1000</v>
      </c>
      <c r="Q13" s="621"/>
      <c r="R13" s="635"/>
      <c r="T13" s="617"/>
      <c r="V13" s="622" t="s">
        <v>684</v>
      </c>
      <c r="W13" s="632" t="s">
        <v>708</v>
      </c>
      <c r="X13" s="634">
        <v>0.62</v>
      </c>
      <c r="Y13" s="625">
        <v>20</v>
      </c>
      <c r="Z13" s="626">
        <v>70</v>
      </c>
      <c r="AA13" s="615">
        <f t="shared" si="6"/>
        <v>1400</v>
      </c>
      <c r="AB13" s="626">
        <v>28</v>
      </c>
      <c r="AC13" s="615">
        <f t="shared" si="7"/>
        <v>560</v>
      </c>
      <c r="AD13" s="627" t="s">
        <v>712</v>
      </c>
      <c r="AE13" s="608"/>
    </row>
    <row r="14" spans="1:31" s="607" customFormat="1" ht="18" customHeight="1">
      <c r="A14" s="618" t="s">
        <v>684</v>
      </c>
      <c r="B14" s="630" t="s">
        <v>713</v>
      </c>
      <c r="C14" s="631">
        <v>0.35</v>
      </c>
      <c r="D14" s="619">
        <v>25</v>
      </c>
      <c r="E14" s="615">
        <v>1</v>
      </c>
      <c r="F14" s="615">
        <f t="shared" si="0"/>
        <v>25</v>
      </c>
      <c r="G14" s="615">
        <v>4</v>
      </c>
      <c r="H14" s="615">
        <f t="shared" si="1"/>
        <v>100</v>
      </c>
      <c r="I14" s="615">
        <v>2</v>
      </c>
      <c r="J14" s="615">
        <f t="shared" si="2"/>
        <v>50</v>
      </c>
      <c r="K14" s="615">
        <v>2</v>
      </c>
      <c r="L14" s="615">
        <f t="shared" si="3"/>
        <v>50</v>
      </c>
      <c r="M14" s="615">
        <v>4</v>
      </c>
      <c r="N14" s="615">
        <f t="shared" si="9"/>
        <v>100</v>
      </c>
      <c r="O14" s="615">
        <v>2</v>
      </c>
      <c r="P14" s="615">
        <f t="shared" si="5"/>
        <v>50</v>
      </c>
      <c r="Q14" s="621"/>
      <c r="R14" s="635"/>
      <c r="T14" s="617"/>
      <c r="V14" s="618" t="s">
        <v>684</v>
      </c>
      <c r="W14" s="630" t="s">
        <v>711</v>
      </c>
      <c r="X14" s="631"/>
      <c r="Y14" s="619">
        <v>20</v>
      </c>
      <c r="Z14" s="615">
        <v>65</v>
      </c>
      <c r="AA14" s="615">
        <f t="shared" si="6"/>
        <v>1300</v>
      </c>
      <c r="AB14" s="615">
        <v>52</v>
      </c>
      <c r="AC14" s="615">
        <f t="shared" si="7"/>
        <v>1040</v>
      </c>
      <c r="AD14" s="621"/>
    </row>
    <row r="15" spans="1:31" s="607" customFormat="1" ht="18" customHeight="1">
      <c r="A15" s="618" t="s">
        <v>684</v>
      </c>
      <c r="B15" s="630" t="s">
        <v>714</v>
      </c>
      <c r="C15" s="631">
        <v>0.41</v>
      </c>
      <c r="D15" s="619">
        <v>30</v>
      </c>
      <c r="E15" s="615">
        <v>1</v>
      </c>
      <c r="F15" s="615">
        <f t="shared" si="0"/>
        <v>30</v>
      </c>
      <c r="G15" s="615">
        <v>0</v>
      </c>
      <c r="H15" s="615">
        <f t="shared" si="1"/>
        <v>0</v>
      </c>
      <c r="I15" s="615">
        <v>0</v>
      </c>
      <c r="J15" s="615">
        <f t="shared" si="2"/>
        <v>0</v>
      </c>
      <c r="K15" s="615">
        <v>0</v>
      </c>
      <c r="L15" s="615">
        <f t="shared" si="3"/>
        <v>0</v>
      </c>
      <c r="M15" s="615">
        <v>1</v>
      </c>
      <c r="N15" s="615">
        <f t="shared" si="9"/>
        <v>30</v>
      </c>
      <c r="O15" s="615">
        <v>2</v>
      </c>
      <c r="P15" s="615">
        <f t="shared" si="5"/>
        <v>60</v>
      </c>
      <c r="Q15" s="636"/>
      <c r="R15" s="635"/>
      <c r="T15" s="617"/>
      <c r="V15" s="618" t="s">
        <v>684</v>
      </c>
      <c r="W15" s="630" t="s">
        <v>713</v>
      </c>
      <c r="X15" s="631">
        <v>0.35</v>
      </c>
      <c r="Y15" s="619">
        <v>25</v>
      </c>
      <c r="Z15" s="615">
        <v>7</v>
      </c>
      <c r="AA15" s="615">
        <f t="shared" si="6"/>
        <v>175</v>
      </c>
      <c r="AB15" s="615">
        <v>5</v>
      </c>
      <c r="AC15" s="615">
        <f t="shared" si="7"/>
        <v>125</v>
      </c>
      <c r="AD15" s="621"/>
    </row>
    <row r="16" spans="1:31" s="607" customFormat="1" ht="18" customHeight="1">
      <c r="A16" s="618" t="s">
        <v>684</v>
      </c>
      <c r="B16" s="630" t="s">
        <v>715</v>
      </c>
      <c r="C16" s="631">
        <v>0.45</v>
      </c>
      <c r="D16" s="619">
        <v>30</v>
      </c>
      <c r="E16" s="615">
        <v>1</v>
      </c>
      <c r="F16" s="615">
        <f t="shared" si="0"/>
        <v>30</v>
      </c>
      <c r="G16" s="615">
        <v>1</v>
      </c>
      <c r="H16" s="615">
        <f t="shared" si="1"/>
        <v>30</v>
      </c>
      <c r="I16" s="615">
        <v>1</v>
      </c>
      <c r="J16" s="615">
        <f t="shared" si="2"/>
        <v>30</v>
      </c>
      <c r="K16" s="615">
        <v>1</v>
      </c>
      <c r="L16" s="615">
        <f t="shared" si="3"/>
        <v>30</v>
      </c>
      <c r="M16" s="615">
        <v>1</v>
      </c>
      <c r="N16" s="615">
        <f t="shared" si="9"/>
        <v>30</v>
      </c>
      <c r="O16" s="615">
        <v>0</v>
      </c>
      <c r="P16" s="615">
        <f t="shared" si="5"/>
        <v>0</v>
      </c>
      <c r="Q16" s="621"/>
      <c r="R16" s="635"/>
      <c r="S16" s="617"/>
      <c r="T16" s="617"/>
      <c r="U16" s="617"/>
      <c r="V16" s="618" t="s">
        <v>684</v>
      </c>
      <c r="W16" s="630" t="s">
        <v>714</v>
      </c>
      <c r="X16" s="631">
        <v>0.41</v>
      </c>
      <c r="Y16" s="619">
        <v>30</v>
      </c>
      <c r="Z16" s="615">
        <v>3</v>
      </c>
      <c r="AA16" s="615">
        <f t="shared" si="6"/>
        <v>90</v>
      </c>
      <c r="AB16" s="615">
        <v>1</v>
      </c>
      <c r="AC16" s="615">
        <f t="shared" si="7"/>
        <v>30</v>
      </c>
      <c r="AD16" s="636"/>
    </row>
    <row r="17" spans="1:31" s="607" customFormat="1" ht="20.25" customHeight="1">
      <c r="A17" s="618" t="s">
        <v>684</v>
      </c>
      <c r="B17" s="630" t="s">
        <v>716</v>
      </c>
      <c r="C17" s="631"/>
      <c r="D17" s="619">
        <v>2</v>
      </c>
      <c r="E17" s="615">
        <v>104</v>
      </c>
      <c r="F17" s="615">
        <f>+E17*D17</f>
        <v>208</v>
      </c>
      <c r="G17" s="615">
        <v>125</v>
      </c>
      <c r="H17" s="615">
        <f t="shared" si="1"/>
        <v>250</v>
      </c>
      <c r="I17" s="615">
        <v>131</v>
      </c>
      <c r="J17" s="615">
        <f t="shared" si="2"/>
        <v>262</v>
      </c>
      <c r="K17" s="615">
        <v>126</v>
      </c>
      <c r="L17" s="615">
        <f t="shared" si="3"/>
        <v>252</v>
      </c>
      <c r="M17" s="615">
        <v>125</v>
      </c>
      <c r="N17" s="615">
        <f t="shared" si="9"/>
        <v>250</v>
      </c>
      <c r="O17" s="615">
        <v>79</v>
      </c>
      <c r="P17" s="615">
        <f t="shared" si="5"/>
        <v>158</v>
      </c>
      <c r="Q17" s="621"/>
      <c r="R17" s="635"/>
      <c r="T17" s="617"/>
      <c r="V17" s="618" t="s">
        <v>684</v>
      </c>
      <c r="W17" s="630" t="s">
        <v>715</v>
      </c>
      <c r="X17" s="631">
        <v>0.45</v>
      </c>
      <c r="Y17" s="619">
        <v>30</v>
      </c>
      <c r="Z17" s="615">
        <v>4</v>
      </c>
      <c r="AA17" s="615">
        <f t="shared" si="6"/>
        <v>120</v>
      </c>
      <c r="AB17" s="615">
        <v>1</v>
      </c>
      <c r="AC17" s="615">
        <f t="shared" si="7"/>
        <v>30</v>
      </c>
      <c r="AD17" s="621"/>
    </row>
    <row r="18" spans="1:31" s="607" customFormat="1" ht="20.25" customHeight="1">
      <c r="A18" s="618" t="s">
        <v>684</v>
      </c>
      <c r="B18" s="630" t="s">
        <v>83</v>
      </c>
      <c r="C18" s="631"/>
      <c r="D18" s="619">
        <v>25</v>
      </c>
      <c r="E18" s="615">
        <v>1</v>
      </c>
      <c r="F18" s="615">
        <f>E18*D18</f>
        <v>25</v>
      </c>
      <c r="G18" s="615">
        <v>3</v>
      </c>
      <c r="H18" s="615">
        <f t="shared" si="1"/>
        <v>75</v>
      </c>
      <c r="I18" s="615">
        <v>2</v>
      </c>
      <c r="J18" s="615">
        <f t="shared" si="2"/>
        <v>50</v>
      </c>
      <c r="K18" s="615">
        <v>3</v>
      </c>
      <c r="L18" s="615">
        <f t="shared" si="3"/>
        <v>75</v>
      </c>
      <c r="M18" s="615">
        <v>1</v>
      </c>
      <c r="N18" s="615">
        <f t="shared" si="9"/>
        <v>25</v>
      </c>
      <c r="O18" s="615">
        <v>5</v>
      </c>
      <c r="P18" s="615">
        <f t="shared" si="5"/>
        <v>125</v>
      </c>
      <c r="Q18" s="621"/>
      <c r="R18" s="635"/>
      <c r="T18" s="617"/>
      <c r="V18" s="618" t="s">
        <v>684</v>
      </c>
      <c r="W18" s="630" t="s">
        <v>716</v>
      </c>
      <c r="X18" s="631"/>
      <c r="Y18" s="619">
        <v>2</v>
      </c>
      <c r="Z18" s="615">
        <v>253</v>
      </c>
      <c r="AA18" s="615">
        <f t="shared" si="6"/>
        <v>506</v>
      </c>
      <c r="AB18" s="615">
        <v>154</v>
      </c>
      <c r="AC18" s="615">
        <f t="shared" si="7"/>
        <v>308</v>
      </c>
      <c r="AD18" s="621"/>
    </row>
    <row r="19" spans="1:31" s="607" customFormat="1" ht="20.25" customHeight="1">
      <c r="A19" s="618" t="s">
        <v>684</v>
      </c>
      <c r="B19" s="630" t="s">
        <v>717</v>
      </c>
      <c r="C19" s="631"/>
      <c r="D19" s="619">
        <v>8</v>
      </c>
      <c r="E19" s="615">
        <v>4</v>
      </c>
      <c r="F19" s="615">
        <f>D19*E19</f>
        <v>32</v>
      </c>
      <c r="G19" s="615">
        <v>2</v>
      </c>
      <c r="H19" s="615">
        <f>D19*G19</f>
        <v>16</v>
      </c>
      <c r="I19" s="615">
        <v>11</v>
      </c>
      <c r="J19" s="615">
        <f t="shared" si="2"/>
        <v>88</v>
      </c>
      <c r="K19" s="615">
        <v>6</v>
      </c>
      <c r="L19" s="615">
        <f t="shared" si="3"/>
        <v>48</v>
      </c>
      <c r="M19" s="615">
        <v>9</v>
      </c>
      <c r="N19" s="615">
        <f t="shared" si="9"/>
        <v>72</v>
      </c>
      <c r="O19" s="615">
        <v>4</v>
      </c>
      <c r="P19" s="615">
        <f t="shared" si="5"/>
        <v>32</v>
      </c>
      <c r="Q19" s="621"/>
      <c r="R19" s="635"/>
      <c r="T19" s="617"/>
      <c r="V19" s="618" t="s">
        <v>684</v>
      </c>
      <c r="W19" s="630" t="s">
        <v>83</v>
      </c>
      <c r="X19" s="631"/>
      <c r="Y19" s="619">
        <v>25</v>
      </c>
      <c r="Z19" s="615">
        <v>0</v>
      </c>
      <c r="AA19" s="615">
        <f t="shared" si="6"/>
        <v>0</v>
      </c>
      <c r="AB19" s="615">
        <v>0</v>
      </c>
      <c r="AC19" s="615">
        <f t="shared" si="7"/>
        <v>0</v>
      </c>
      <c r="AD19" s="621"/>
    </row>
    <row r="20" spans="1:31" s="607" customFormat="1" ht="20.25" customHeight="1">
      <c r="A20" s="618" t="s">
        <v>684</v>
      </c>
      <c r="B20" s="630" t="s">
        <v>718</v>
      </c>
      <c r="C20" s="631"/>
      <c r="D20" s="619">
        <v>1</v>
      </c>
      <c r="E20" s="615">
        <v>295</v>
      </c>
      <c r="F20" s="615">
        <f>E20*D20</f>
        <v>295</v>
      </c>
      <c r="G20" s="615">
        <v>384</v>
      </c>
      <c r="H20" s="615">
        <f>G20*D20</f>
        <v>384</v>
      </c>
      <c r="I20" s="615">
        <v>319</v>
      </c>
      <c r="J20" s="615">
        <f t="shared" si="2"/>
        <v>319</v>
      </c>
      <c r="K20" s="615">
        <v>321</v>
      </c>
      <c r="L20" s="615">
        <f t="shared" si="3"/>
        <v>321</v>
      </c>
      <c r="M20" s="615">
        <v>369</v>
      </c>
      <c r="N20" s="615">
        <f t="shared" si="9"/>
        <v>369</v>
      </c>
      <c r="O20" s="615">
        <v>459</v>
      </c>
      <c r="P20" s="615">
        <f t="shared" si="5"/>
        <v>459</v>
      </c>
      <c r="Q20" s="621"/>
      <c r="R20" s="635"/>
      <c r="T20" s="617"/>
      <c r="V20" s="618" t="s">
        <v>684</v>
      </c>
      <c r="W20" s="630" t="s">
        <v>717</v>
      </c>
      <c r="X20" s="631"/>
      <c r="Y20" s="619">
        <v>8</v>
      </c>
      <c r="Z20" s="615">
        <v>20</v>
      </c>
      <c r="AA20" s="615">
        <f t="shared" si="6"/>
        <v>160</v>
      </c>
      <c r="AB20" s="615">
        <v>90</v>
      </c>
      <c r="AC20" s="615">
        <f t="shared" si="7"/>
        <v>720</v>
      </c>
      <c r="AD20" s="621"/>
    </row>
    <row r="21" spans="1:31" s="607" customFormat="1" ht="20.25" customHeight="1">
      <c r="A21" s="618" t="s">
        <v>684</v>
      </c>
      <c r="B21" s="630" t="s">
        <v>719</v>
      </c>
      <c r="C21" s="631"/>
      <c r="D21" s="619"/>
      <c r="E21" s="615"/>
      <c r="F21" s="615"/>
      <c r="G21" s="615"/>
      <c r="H21" s="615"/>
      <c r="I21" s="615"/>
      <c r="J21" s="615"/>
      <c r="K21" s="615"/>
      <c r="L21" s="615"/>
      <c r="M21" s="615"/>
      <c r="N21" s="615"/>
      <c r="O21" s="615"/>
      <c r="P21" s="615"/>
      <c r="Q21" s="621"/>
      <c r="R21" s="635"/>
      <c r="T21" s="617"/>
      <c r="V21" s="618" t="s">
        <v>684</v>
      </c>
      <c r="W21" s="630" t="s">
        <v>718</v>
      </c>
      <c r="X21" s="631"/>
      <c r="Y21" s="619">
        <v>1</v>
      </c>
      <c r="Z21" s="615">
        <v>498</v>
      </c>
      <c r="AA21" s="615">
        <f t="shared" si="6"/>
        <v>498</v>
      </c>
      <c r="AB21" s="615">
        <v>469</v>
      </c>
      <c r="AC21" s="615">
        <f t="shared" si="7"/>
        <v>469</v>
      </c>
      <c r="AD21" s="621"/>
    </row>
    <row r="22" spans="1:31" s="608" customFormat="1" ht="20.25" customHeight="1">
      <c r="A22" s="622" t="s">
        <v>720</v>
      </c>
      <c r="B22" s="1970" t="s">
        <v>720</v>
      </c>
      <c r="C22" s="1970"/>
      <c r="D22" s="1970"/>
      <c r="E22" s="626">
        <f t="shared" ref="E22:G22" si="10">SUM(E4:E20)</f>
        <v>575</v>
      </c>
      <c r="F22" s="626">
        <f t="shared" si="10"/>
        <v>3868</v>
      </c>
      <c r="G22" s="626">
        <f t="shared" si="10"/>
        <v>750</v>
      </c>
      <c r="H22" s="626">
        <f t="shared" ref="H22:L22" si="11">SUM(H4:H21)</f>
        <v>5244</v>
      </c>
      <c r="I22" s="626">
        <f t="shared" ref="I22:M22" si="12">SUM(I4:I20)</f>
        <v>692</v>
      </c>
      <c r="J22" s="626">
        <f t="shared" si="11"/>
        <v>5058</v>
      </c>
      <c r="K22" s="626">
        <f t="shared" si="12"/>
        <v>646</v>
      </c>
      <c r="L22" s="626">
        <f t="shared" si="11"/>
        <v>4387</v>
      </c>
      <c r="M22" s="626">
        <f t="shared" si="12"/>
        <v>711</v>
      </c>
      <c r="N22" s="626">
        <f>SUM(N4:N21)</f>
        <v>4773</v>
      </c>
      <c r="O22" s="626">
        <f>SUM(O4:O20)</f>
        <v>716</v>
      </c>
      <c r="P22" s="626">
        <f>SUM(P4:P21)</f>
        <v>4010</v>
      </c>
      <c r="Q22" s="627"/>
      <c r="R22" s="635"/>
      <c r="T22" s="628"/>
      <c r="V22" s="618" t="s">
        <v>684</v>
      </c>
      <c r="W22" s="630" t="s">
        <v>719</v>
      </c>
      <c r="X22" s="631"/>
      <c r="Y22" s="619"/>
      <c r="Z22" s="615"/>
      <c r="AA22" s="615"/>
      <c r="AB22" s="615"/>
      <c r="AC22" s="615"/>
      <c r="AD22" s="621"/>
      <c r="AE22" s="607"/>
    </row>
    <row r="23" spans="1:31" s="608" customFormat="1" ht="20.25" customHeight="1">
      <c r="A23" s="637"/>
      <c r="B23" s="638"/>
      <c r="C23" s="638"/>
      <c r="D23" s="638"/>
      <c r="E23" s="639"/>
      <c r="F23" s="639"/>
      <c r="G23" s="639"/>
      <c r="H23" s="639"/>
      <c r="I23" s="639"/>
      <c r="J23" s="639"/>
      <c r="K23" s="639"/>
      <c r="L23" s="639"/>
      <c r="M23" s="639"/>
      <c r="N23" s="639"/>
      <c r="O23" s="639"/>
      <c r="P23" s="639"/>
      <c r="Q23" s="639"/>
      <c r="R23" s="635"/>
      <c r="T23" s="628"/>
      <c r="V23" s="622" t="s">
        <v>720</v>
      </c>
      <c r="W23" s="1970" t="s">
        <v>720</v>
      </c>
      <c r="X23" s="1970"/>
      <c r="Y23" s="1970"/>
      <c r="Z23" s="626"/>
      <c r="AA23" s="626">
        <f>SUM(AA5:AA22)</f>
        <v>8027</v>
      </c>
      <c r="AB23" s="626">
        <f>SUM(AB5:AB22)</f>
        <v>963</v>
      </c>
      <c r="AC23" s="626">
        <f>SUM(AC5:AC22)</f>
        <v>5942</v>
      </c>
      <c r="AD23" s="627"/>
    </row>
    <row r="24" spans="1:31" s="609" customFormat="1" ht="27" customHeight="1">
      <c r="A24" s="640"/>
      <c r="B24" s="1971" t="s">
        <v>721</v>
      </c>
      <c r="C24" s="1971"/>
      <c r="D24" s="1971"/>
      <c r="E24" s="1971"/>
      <c r="F24" s="1971"/>
      <c r="G24" s="1971"/>
      <c r="H24" s="1971"/>
      <c r="I24" s="641"/>
      <c r="J24" s="641"/>
      <c r="K24" s="641"/>
      <c r="L24" s="641"/>
      <c r="M24" s="641"/>
      <c r="N24" s="641"/>
      <c r="O24" s="641"/>
      <c r="P24" s="641"/>
      <c r="Q24" s="641"/>
      <c r="T24" s="642"/>
      <c r="V24" s="637"/>
      <c r="W24" s="638"/>
      <c r="X24" s="638"/>
      <c r="Y24" s="638"/>
      <c r="Z24" s="639"/>
      <c r="AA24" s="639"/>
      <c r="AB24" s="639"/>
      <c r="AC24" s="639"/>
      <c r="AD24" s="639"/>
      <c r="AE24" s="608"/>
    </row>
    <row r="25" spans="1:31" s="607" customFormat="1" ht="27" customHeight="1">
      <c r="A25" s="643"/>
      <c r="B25" s="1972"/>
      <c r="C25" s="1972"/>
      <c r="D25" s="1972"/>
      <c r="E25" s="1972"/>
      <c r="F25" s="1972"/>
      <c r="G25" s="645"/>
      <c r="H25" s="645"/>
      <c r="I25" s="645"/>
      <c r="J25" s="645"/>
      <c r="K25" s="645"/>
      <c r="L25" s="645"/>
      <c r="M25" s="645"/>
      <c r="N25" s="645"/>
      <c r="O25" s="645"/>
      <c r="P25" s="645"/>
      <c r="Q25" s="645"/>
      <c r="T25" s="617"/>
      <c r="V25" s="640"/>
      <c r="W25" s="1971" t="s">
        <v>722</v>
      </c>
      <c r="X25" s="1971"/>
      <c r="Y25" s="1971"/>
      <c r="Z25" s="1971"/>
      <c r="AA25" s="1971"/>
      <c r="AB25" s="1971"/>
      <c r="AC25" s="1971"/>
      <c r="AD25" s="641"/>
      <c r="AE25" s="609"/>
    </row>
    <row r="26" spans="1:31" s="607" customFormat="1" ht="27" customHeight="1">
      <c r="A26" s="1975" t="s">
        <v>723</v>
      </c>
      <c r="B26" s="1973" t="s">
        <v>724</v>
      </c>
      <c r="C26" s="1973" t="s">
        <v>725</v>
      </c>
      <c r="D26" s="1973"/>
      <c r="E26" s="1973" t="s">
        <v>726</v>
      </c>
      <c r="F26" s="1973"/>
      <c r="G26" s="1973" t="s">
        <v>727</v>
      </c>
      <c r="H26" s="1973"/>
      <c r="I26" s="645"/>
      <c r="J26" s="645"/>
      <c r="K26" s="645"/>
      <c r="L26" s="645"/>
      <c r="M26" s="645"/>
      <c r="N26" s="645"/>
      <c r="O26" s="645"/>
      <c r="P26" s="645"/>
      <c r="Q26" s="645"/>
      <c r="T26" s="617"/>
      <c r="V26" s="643"/>
      <c r="W26" s="1972"/>
      <c r="X26" s="1972"/>
      <c r="Y26" s="1972"/>
      <c r="Z26" s="1972"/>
      <c r="AA26" s="1972"/>
      <c r="AB26" s="645"/>
      <c r="AC26" s="645"/>
      <c r="AD26" s="645"/>
    </row>
    <row r="27" spans="1:31" s="607" customFormat="1" ht="27" customHeight="1">
      <c r="A27" s="1975"/>
      <c r="B27" s="1973"/>
      <c r="C27" s="646" t="s">
        <v>728</v>
      </c>
      <c r="D27" s="646" t="s">
        <v>729</v>
      </c>
      <c r="E27" s="646" t="s">
        <v>728</v>
      </c>
      <c r="F27" s="646" t="s">
        <v>729</v>
      </c>
      <c r="G27" s="646" t="s">
        <v>728</v>
      </c>
      <c r="H27" s="646" t="s">
        <v>729</v>
      </c>
      <c r="I27" s="645"/>
      <c r="J27" s="645"/>
      <c r="K27" s="645"/>
      <c r="L27" s="645"/>
      <c r="M27" s="645"/>
      <c r="N27" s="645"/>
      <c r="O27" s="645"/>
      <c r="P27" s="645"/>
      <c r="Q27" s="645"/>
      <c r="T27" s="617"/>
      <c r="V27" s="1975" t="s">
        <v>723</v>
      </c>
      <c r="W27" s="1973" t="s">
        <v>724</v>
      </c>
      <c r="X27" s="1973" t="s">
        <v>725</v>
      </c>
      <c r="Y27" s="1973"/>
      <c r="Z27" s="1973" t="s">
        <v>726</v>
      </c>
      <c r="AA27" s="1973"/>
      <c r="AB27" s="1973" t="s">
        <v>727</v>
      </c>
      <c r="AC27" s="1973"/>
      <c r="AD27" s="645"/>
    </row>
    <row r="28" spans="1:31" s="607" customFormat="1" ht="27" customHeight="1">
      <c r="A28" s="1975" t="s">
        <v>730</v>
      </c>
      <c r="B28" s="646" t="s">
        <v>731</v>
      </c>
      <c r="C28" s="646" t="s">
        <v>732</v>
      </c>
      <c r="D28" s="646">
        <v>13</v>
      </c>
      <c r="E28" s="646" t="s">
        <v>733</v>
      </c>
      <c r="F28" s="646">
        <v>10</v>
      </c>
      <c r="G28" s="646" t="s">
        <v>733</v>
      </c>
      <c r="H28" s="646">
        <v>8</v>
      </c>
      <c r="I28" s="645"/>
      <c r="J28" s="645"/>
      <c r="K28" s="645"/>
      <c r="L28" s="645"/>
      <c r="M28" s="645"/>
      <c r="N28" s="645"/>
      <c r="O28" s="645"/>
      <c r="P28" s="645"/>
      <c r="Q28" s="645"/>
      <c r="T28" s="617"/>
      <c r="V28" s="1975"/>
      <c r="W28" s="1973"/>
      <c r="X28" s="646" t="s">
        <v>728</v>
      </c>
      <c r="Y28" s="646" t="s">
        <v>729</v>
      </c>
      <c r="Z28" s="646" t="s">
        <v>728</v>
      </c>
      <c r="AA28" s="646" t="s">
        <v>729</v>
      </c>
      <c r="AB28" s="646" t="s">
        <v>728</v>
      </c>
      <c r="AC28" s="646" t="s">
        <v>729</v>
      </c>
      <c r="AD28" s="645"/>
    </row>
    <row r="29" spans="1:31" s="607" customFormat="1" ht="27" customHeight="1">
      <c r="A29" s="1975"/>
      <c r="B29" s="646" t="s">
        <v>734</v>
      </c>
      <c r="C29" s="646" t="s">
        <v>735</v>
      </c>
      <c r="D29" s="646">
        <v>20</v>
      </c>
      <c r="E29" s="646" t="s">
        <v>736</v>
      </c>
      <c r="F29" s="646">
        <v>15</v>
      </c>
      <c r="G29" s="646" t="s">
        <v>736</v>
      </c>
      <c r="H29" s="646">
        <v>13</v>
      </c>
      <c r="I29" s="645"/>
      <c r="J29" s="645"/>
      <c r="K29" s="645"/>
      <c r="L29" s="645"/>
      <c r="M29" s="645"/>
      <c r="N29" s="645"/>
      <c r="O29" s="645"/>
      <c r="P29" s="645"/>
      <c r="Q29" s="645"/>
      <c r="T29" s="617"/>
      <c r="V29" s="1975" t="s">
        <v>730</v>
      </c>
      <c r="W29" s="646" t="s">
        <v>731</v>
      </c>
      <c r="X29" s="646" t="s">
        <v>732</v>
      </c>
      <c r="Y29" s="646">
        <v>13</v>
      </c>
      <c r="Z29" s="646" t="s">
        <v>733</v>
      </c>
      <c r="AA29" s="646">
        <v>10</v>
      </c>
      <c r="AB29" s="646" t="s">
        <v>733</v>
      </c>
      <c r="AC29" s="646">
        <v>8</v>
      </c>
      <c r="AD29" s="645"/>
    </row>
    <row r="30" spans="1:31" s="607" customFormat="1" ht="27" customHeight="1">
      <c r="A30" s="1975"/>
      <c r="B30" s="646" t="s">
        <v>737</v>
      </c>
      <c r="C30" s="646" t="s">
        <v>736</v>
      </c>
      <c r="D30" s="646">
        <v>25</v>
      </c>
      <c r="E30" s="646" t="s">
        <v>738</v>
      </c>
      <c r="F30" s="646">
        <v>17</v>
      </c>
      <c r="G30" s="646" t="s">
        <v>738</v>
      </c>
      <c r="H30" s="646">
        <v>15</v>
      </c>
      <c r="I30" s="645"/>
      <c r="J30" s="645"/>
      <c r="K30" s="645"/>
      <c r="L30" s="645"/>
      <c r="M30" s="645"/>
      <c r="N30" s="645"/>
      <c r="O30" s="645"/>
      <c r="P30" s="645"/>
      <c r="Q30" s="645"/>
      <c r="T30" s="617"/>
      <c r="V30" s="1975"/>
      <c r="W30" s="646" t="s">
        <v>734</v>
      </c>
      <c r="X30" s="646" t="s">
        <v>735</v>
      </c>
      <c r="Y30" s="646">
        <v>20</v>
      </c>
      <c r="Z30" s="646" t="s">
        <v>736</v>
      </c>
      <c r="AA30" s="646">
        <v>15</v>
      </c>
      <c r="AB30" s="646" t="s">
        <v>736</v>
      </c>
      <c r="AC30" s="646">
        <v>13</v>
      </c>
      <c r="AD30" s="645"/>
    </row>
    <row r="31" spans="1:31" s="607" customFormat="1" ht="27" customHeight="1">
      <c r="A31" s="1975"/>
      <c r="B31" s="646" t="s">
        <v>739</v>
      </c>
      <c r="C31" s="646" t="s">
        <v>740</v>
      </c>
      <c r="D31" s="646">
        <v>30</v>
      </c>
      <c r="E31" s="646" t="s">
        <v>741</v>
      </c>
      <c r="F31" s="646">
        <v>21</v>
      </c>
      <c r="G31" s="646" t="s">
        <v>741</v>
      </c>
      <c r="H31" s="646">
        <v>19</v>
      </c>
      <c r="I31" s="645"/>
      <c r="J31" s="645"/>
      <c r="K31" s="645"/>
      <c r="L31" s="645"/>
      <c r="M31" s="645"/>
      <c r="N31" s="645"/>
      <c r="O31" s="645"/>
      <c r="P31" s="645"/>
      <c r="Q31" s="645"/>
      <c r="T31" s="617"/>
      <c r="V31" s="1975"/>
      <c r="W31" s="646" t="s">
        <v>737</v>
      </c>
      <c r="X31" s="646" t="s">
        <v>736</v>
      </c>
      <c r="Y31" s="646">
        <v>25</v>
      </c>
      <c r="Z31" s="646" t="s">
        <v>738</v>
      </c>
      <c r="AA31" s="646">
        <v>17</v>
      </c>
      <c r="AB31" s="646" t="s">
        <v>738</v>
      </c>
      <c r="AC31" s="646">
        <v>15</v>
      </c>
      <c r="AD31" s="645"/>
    </row>
    <row r="32" spans="1:31" s="607" customFormat="1" ht="27" customHeight="1">
      <c r="A32" s="1975" t="s">
        <v>723</v>
      </c>
      <c r="B32" s="1973" t="s">
        <v>724</v>
      </c>
      <c r="C32" s="1973" t="s">
        <v>742</v>
      </c>
      <c r="D32" s="1973"/>
      <c r="E32" s="1973" t="s">
        <v>743</v>
      </c>
      <c r="F32" s="1973"/>
      <c r="G32" s="1973" t="s">
        <v>744</v>
      </c>
      <c r="H32" s="1973"/>
      <c r="I32" s="645"/>
      <c r="J32" s="645"/>
      <c r="K32" s="645"/>
      <c r="L32" s="645"/>
      <c r="M32" s="645"/>
      <c r="N32" s="645"/>
      <c r="O32" s="645"/>
      <c r="P32" s="645"/>
      <c r="Q32" s="645"/>
      <c r="T32" s="617"/>
      <c r="V32" s="1975"/>
      <c r="W32" s="646" t="s">
        <v>739</v>
      </c>
      <c r="X32" s="646" t="s">
        <v>740</v>
      </c>
      <c r="Y32" s="646">
        <v>30</v>
      </c>
      <c r="Z32" s="646" t="s">
        <v>741</v>
      </c>
      <c r="AA32" s="646">
        <v>21</v>
      </c>
      <c r="AB32" s="646" t="s">
        <v>741</v>
      </c>
      <c r="AC32" s="646">
        <v>19</v>
      </c>
      <c r="AD32" s="645"/>
    </row>
    <row r="33" spans="1:30" s="607" customFormat="1" ht="27" customHeight="1">
      <c r="A33" s="1975"/>
      <c r="B33" s="1973"/>
      <c r="C33" s="646" t="s">
        <v>728</v>
      </c>
      <c r="D33" s="646" t="s">
        <v>729</v>
      </c>
      <c r="E33" s="646" t="s">
        <v>728</v>
      </c>
      <c r="F33" s="646" t="s">
        <v>729</v>
      </c>
      <c r="G33" s="646" t="s">
        <v>728</v>
      </c>
      <c r="H33" s="646" t="s">
        <v>729</v>
      </c>
      <c r="I33" s="645"/>
      <c r="J33" s="645"/>
      <c r="K33" s="645"/>
      <c r="L33" s="645"/>
      <c r="M33" s="645"/>
      <c r="N33" s="645"/>
      <c r="O33" s="645"/>
      <c r="P33" s="645"/>
      <c r="Q33" s="645"/>
      <c r="T33" s="617"/>
      <c r="V33" s="1975" t="s">
        <v>723</v>
      </c>
      <c r="W33" s="1973" t="s">
        <v>724</v>
      </c>
      <c r="X33" s="1973" t="s">
        <v>742</v>
      </c>
      <c r="Y33" s="1973"/>
      <c r="Z33" s="1973" t="s">
        <v>743</v>
      </c>
      <c r="AA33" s="1973"/>
      <c r="AB33" s="1973" t="s">
        <v>744</v>
      </c>
      <c r="AC33" s="1973"/>
      <c r="AD33" s="645"/>
    </row>
    <row r="34" spans="1:30" s="607" customFormat="1" ht="27" customHeight="1">
      <c r="A34" s="1975" t="s">
        <v>745</v>
      </c>
      <c r="B34" s="646" t="s">
        <v>731</v>
      </c>
      <c r="C34" s="646" t="s">
        <v>746</v>
      </c>
      <c r="D34" s="646">
        <v>18</v>
      </c>
      <c r="E34" s="646" t="s">
        <v>747</v>
      </c>
      <c r="F34" s="646">
        <v>15</v>
      </c>
      <c r="G34" s="646" t="s">
        <v>748</v>
      </c>
      <c r="H34" s="646">
        <v>18</v>
      </c>
      <c r="I34" s="645"/>
      <c r="J34" s="645"/>
      <c r="K34" s="645"/>
      <c r="L34" s="645"/>
      <c r="M34" s="645"/>
      <c r="N34" s="645"/>
      <c r="O34" s="645"/>
      <c r="P34" s="645"/>
      <c r="Q34" s="645"/>
      <c r="T34" s="617"/>
      <c r="V34" s="1975"/>
      <c r="W34" s="1973"/>
      <c r="X34" s="646" t="s">
        <v>728</v>
      </c>
      <c r="Y34" s="646" t="s">
        <v>729</v>
      </c>
      <c r="Z34" s="646" t="s">
        <v>728</v>
      </c>
      <c r="AA34" s="646" t="s">
        <v>729</v>
      </c>
      <c r="AB34" s="646" t="s">
        <v>728</v>
      </c>
      <c r="AC34" s="646" t="s">
        <v>729</v>
      </c>
      <c r="AD34" s="645"/>
    </row>
    <row r="35" spans="1:30" s="607" customFormat="1" ht="27" customHeight="1">
      <c r="A35" s="1975"/>
      <c r="B35" s="646" t="s">
        <v>734</v>
      </c>
      <c r="C35" s="646" t="s">
        <v>749</v>
      </c>
      <c r="D35" s="646">
        <v>26</v>
      </c>
      <c r="E35" s="646" t="s">
        <v>750</v>
      </c>
      <c r="F35" s="646">
        <v>20</v>
      </c>
      <c r="G35" s="646" t="s">
        <v>751</v>
      </c>
      <c r="H35" s="646">
        <v>26</v>
      </c>
      <c r="I35" s="645"/>
      <c r="J35" s="645"/>
      <c r="K35" s="645"/>
      <c r="L35" s="645"/>
      <c r="M35" s="645"/>
      <c r="N35" s="645"/>
      <c r="O35" s="645"/>
      <c r="P35" s="645"/>
      <c r="Q35" s="645"/>
      <c r="T35" s="617"/>
      <c r="V35" s="1975" t="s">
        <v>745</v>
      </c>
      <c r="W35" s="646" t="s">
        <v>731</v>
      </c>
      <c r="X35" s="646" t="s">
        <v>746</v>
      </c>
      <c r="Y35" s="646">
        <v>18</v>
      </c>
      <c r="Z35" s="646" t="s">
        <v>747</v>
      </c>
      <c r="AA35" s="646">
        <v>15</v>
      </c>
      <c r="AB35" s="646" t="s">
        <v>748</v>
      </c>
      <c r="AC35" s="646">
        <v>18</v>
      </c>
      <c r="AD35" s="645"/>
    </row>
    <row r="36" spans="1:30" s="607" customFormat="1" ht="27" customHeight="1">
      <c r="A36" s="1975"/>
      <c r="B36" s="646" t="s">
        <v>737</v>
      </c>
      <c r="C36" s="646" t="s">
        <v>752</v>
      </c>
      <c r="D36" s="646">
        <v>30</v>
      </c>
      <c r="E36" s="646" t="s">
        <v>753</v>
      </c>
      <c r="F36" s="646">
        <v>25</v>
      </c>
      <c r="G36" s="646" t="s">
        <v>754</v>
      </c>
      <c r="H36" s="646">
        <v>30</v>
      </c>
      <c r="I36" s="645"/>
      <c r="J36" s="645"/>
      <c r="K36" s="645"/>
      <c r="L36" s="645"/>
      <c r="M36" s="645"/>
      <c r="N36" s="645"/>
      <c r="O36" s="645"/>
      <c r="P36" s="645"/>
      <c r="Q36" s="645"/>
      <c r="T36" s="617"/>
      <c r="V36" s="1975"/>
      <c r="W36" s="646" t="s">
        <v>734</v>
      </c>
      <c r="X36" s="646" t="s">
        <v>749</v>
      </c>
      <c r="Y36" s="646">
        <v>26</v>
      </c>
      <c r="Z36" s="646" t="s">
        <v>750</v>
      </c>
      <c r="AA36" s="646">
        <v>20</v>
      </c>
      <c r="AB36" s="646" t="s">
        <v>751</v>
      </c>
      <c r="AC36" s="646">
        <v>26</v>
      </c>
      <c r="AD36" s="645"/>
    </row>
    <row r="37" spans="1:30" s="607" customFormat="1" ht="27" customHeight="1">
      <c r="A37" s="1975"/>
      <c r="B37" s="646" t="s">
        <v>739</v>
      </c>
      <c r="C37" s="646" t="s">
        <v>755</v>
      </c>
      <c r="D37" s="646">
        <v>35</v>
      </c>
      <c r="E37" s="646" t="s">
        <v>756</v>
      </c>
      <c r="F37" s="646">
        <v>30</v>
      </c>
      <c r="G37" s="646" t="s">
        <v>757</v>
      </c>
      <c r="H37" s="646">
        <v>35</v>
      </c>
      <c r="I37" s="645"/>
      <c r="J37" s="645"/>
      <c r="K37" s="645"/>
      <c r="L37" s="645"/>
      <c r="M37" s="645"/>
      <c r="N37" s="645"/>
      <c r="O37" s="645"/>
      <c r="P37" s="645"/>
      <c r="Q37" s="645"/>
      <c r="T37" s="617"/>
      <c r="V37" s="1975"/>
      <c r="W37" s="646" t="s">
        <v>737</v>
      </c>
      <c r="X37" s="646" t="s">
        <v>752</v>
      </c>
      <c r="Y37" s="646">
        <v>30</v>
      </c>
      <c r="Z37" s="646" t="s">
        <v>753</v>
      </c>
      <c r="AA37" s="646">
        <v>25</v>
      </c>
      <c r="AB37" s="646" t="s">
        <v>754</v>
      </c>
      <c r="AC37" s="646">
        <v>30</v>
      </c>
      <c r="AD37" s="645"/>
    </row>
    <row r="38" spans="1:30" s="607" customFormat="1" ht="27" customHeight="1">
      <c r="A38" s="1975" t="s">
        <v>723</v>
      </c>
      <c r="B38" s="1973" t="s">
        <v>724</v>
      </c>
      <c r="C38" s="1973" t="s">
        <v>742</v>
      </c>
      <c r="D38" s="1973"/>
      <c r="E38" s="1973" t="s">
        <v>743</v>
      </c>
      <c r="F38" s="1973"/>
      <c r="G38" s="1973" t="s">
        <v>744</v>
      </c>
      <c r="H38" s="1973"/>
      <c r="I38" s="645"/>
      <c r="J38" s="645"/>
      <c r="K38" s="645"/>
      <c r="L38" s="645"/>
      <c r="M38" s="645"/>
      <c r="N38" s="645"/>
      <c r="O38" s="645"/>
      <c r="P38" s="645"/>
      <c r="Q38" s="645"/>
      <c r="T38" s="617"/>
      <c r="V38" s="1975"/>
      <c r="W38" s="646" t="s">
        <v>739</v>
      </c>
      <c r="X38" s="646" t="s">
        <v>755</v>
      </c>
      <c r="Y38" s="646">
        <v>35</v>
      </c>
      <c r="Z38" s="646" t="s">
        <v>756</v>
      </c>
      <c r="AA38" s="646">
        <v>30</v>
      </c>
      <c r="AB38" s="646" t="s">
        <v>757</v>
      </c>
      <c r="AC38" s="646">
        <v>35</v>
      </c>
      <c r="AD38" s="645"/>
    </row>
    <row r="39" spans="1:30" s="607" customFormat="1" ht="27" customHeight="1">
      <c r="A39" s="1975"/>
      <c r="B39" s="1973"/>
      <c r="C39" s="646" t="s">
        <v>728</v>
      </c>
      <c r="D39" s="646" t="s">
        <v>729</v>
      </c>
      <c r="E39" s="646" t="s">
        <v>728</v>
      </c>
      <c r="F39" s="646" t="s">
        <v>729</v>
      </c>
      <c r="G39" s="646" t="s">
        <v>728</v>
      </c>
      <c r="H39" s="646" t="s">
        <v>729</v>
      </c>
      <c r="I39" s="645"/>
      <c r="J39" s="645"/>
      <c r="K39" s="645"/>
      <c r="L39" s="645"/>
      <c r="M39" s="645"/>
      <c r="N39" s="645"/>
      <c r="O39" s="645"/>
      <c r="P39" s="645"/>
      <c r="Q39" s="645"/>
      <c r="T39" s="617"/>
      <c r="V39" s="1975" t="s">
        <v>723</v>
      </c>
      <c r="W39" s="1973" t="s">
        <v>724</v>
      </c>
      <c r="X39" s="1973" t="s">
        <v>742</v>
      </c>
      <c r="Y39" s="1973"/>
      <c r="Z39" s="1973" t="s">
        <v>743</v>
      </c>
      <c r="AA39" s="1973"/>
      <c r="AB39" s="1973" t="s">
        <v>744</v>
      </c>
      <c r="AC39" s="1973"/>
      <c r="AD39" s="645"/>
    </row>
    <row r="40" spans="1:30" s="607" customFormat="1" ht="27" customHeight="1">
      <c r="A40" s="1975" t="s">
        <v>758</v>
      </c>
      <c r="B40" s="646" t="s">
        <v>731</v>
      </c>
      <c r="C40" s="646" t="s">
        <v>746</v>
      </c>
      <c r="D40" s="646">
        <v>15</v>
      </c>
      <c r="E40" s="646" t="s">
        <v>759</v>
      </c>
      <c r="F40" s="646">
        <v>10</v>
      </c>
      <c r="G40" s="646" t="s">
        <v>760</v>
      </c>
      <c r="H40" s="646">
        <v>15</v>
      </c>
      <c r="I40" s="645"/>
      <c r="J40" s="645"/>
      <c r="K40" s="645"/>
      <c r="L40" s="645"/>
      <c r="M40" s="645"/>
      <c r="N40" s="645"/>
      <c r="O40" s="645"/>
      <c r="P40" s="645"/>
      <c r="Q40" s="645"/>
      <c r="T40" s="617"/>
      <c r="V40" s="1975"/>
      <c r="W40" s="1973"/>
      <c r="X40" s="646" t="s">
        <v>728</v>
      </c>
      <c r="Y40" s="646" t="s">
        <v>729</v>
      </c>
      <c r="Z40" s="646" t="s">
        <v>728</v>
      </c>
      <c r="AA40" s="646" t="s">
        <v>729</v>
      </c>
      <c r="AB40" s="646" t="s">
        <v>728</v>
      </c>
      <c r="AC40" s="646" t="s">
        <v>729</v>
      </c>
      <c r="AD40" s="645"/>
    </row>
    <row r="41" spans="1:30" s="607" customFormat="1" ht="27" customHeight="1">
      <c r="A41" s="1975"/>
      <c r="B41" s="646" t="s">
        <v>734</v>
      </c>
      <c r="C41" s="646" t="s">
        <v>749</v>
      </c>
      <c r="D41" s="646">
        <v>20</v>
      </c>
      <c r="E41" s="646" t="s">
        <v>761</v>
      </c>
      <c r="F41" s="646">
        <v>15</v>
      </c>
      <c r="G41" s="646" t="s">
        <v>762</v>
      </c>
      <c r="H41" s="646">
        <v>20</v>
      </c>
      <c r="I41" s="645"/>
      <c r="J41" s="645"/>
      <c r="K41" s="645"/>
      <c r="L41" s="645"/>
      <c r="M41" s="645"/>
      <c r="N41" s="645"/>
      <c r="O41" s="645"/>
      <c r="P41" s="645"/>
      <c r="Q41" s="645"/>
      <c r="T41" s="617"/>
      <c r="V41" s="1975" t="s">
        <v>758</v>
      </c>
      <c r="W41" s="646" t="s">
        <v>731</v>
      </c>
      <c r="X41" s="646" t="s">
        <v>746</v>
      </c>
      <c r="Y41" s="646">
        <v>15</v>
      </c>
      <c r="Z41" s="646" t="s">
        <v>759</v>
      </c>
      <c r="AA41" s="646">
        <v>10</v>
      </c>
      <c r="AB41" s="646" t="s">
        <v>760</v>
      </c>
      <c r="AC41" s="646">
        <v>15</v>
      </c>
      <c r="AD41" s="645"/>
    </row>
    <row r="42" spans="1:30" s="607" customFormat="1" ht="27" customHeight="1">
      <c r="A42" s="1975"/>
      <c r="B42" s="646" t="s">
        <v>737</v>
      </c>
      <c r="C42" s="646" t="s">
        <v>752</v>
      </c>
      <c r="D42" s="646">
        <v>25</v>
      </c>
      <c r="E42" s="646" t="s">
        <v>753</v>
      </c>
      <c r="F42" s="646">
        <v>20</v>
      </c>
      <c r="G42" s="646" t="s">
        <v>754</v>
      </c>
      <c r="H42" s="646">
        <v>25</v>
      </c>
      <c r="I42" s="645"/>
      <c r="J42" s="645"/>
      <c r="K42" s="645"/>
      <c r="L42" s="645"/>
      <c r="M42" s="645"/>
      <c r="N42" s="645"/>
      <c r="O42" s="645"/>
      <c r="P42" s="645"/>
      <c r="Q42" s="645"/>
      <c r="T42" s="617"/>
      <c r="V42" s="1975"/>
      <c r="W42" s="646" t="s">
        <v>734</v>
      </c>
      <c r="X42" s="646" t="s">
        <v>749</v>
      </c>
      <c r="Y42" s="646">
        <v>20</v>
      </c>
      <c r="Z42" s="646" t="s">
        <v>761</v>
      </c>
      <c r="AA42" s="646">
        <v>15</v>
      </c>
      <c r="AB42" s="646" t="s">
        <v>762</v>
      </c>
      <c r="AC42" s="646">
        <v>20</v>
      </c>
      <c r="AD42" s="645"/>
    </row>
    <row r="43" spans="1:30" s="607" customFormat="1" ht="27" customHeight="1">
      <c r="A43" s="1975"/>
      <c r="B43" s="646" t="s">
        <v>739</v>
      </c>
      <c r="C43" s="646" t="s">
        <v>755</v>
      </c>
      <c r="D43" s="646">
        <v>30</v>
      </c>
      <c r="E43" s="646" t="s">
        <v>756</v>
      </c>
      <c r="F43" s="646">
        <v>25</v>
      </c>
      <c r="G43" s="646" t="s">
        <v>757</v>
      </c>
      <c r="H43" s="646">
        <v>30</v>
      </c>
      <c r="I43" s="645"/>
      <c r="J43" s="645"/>
      <c r="K43" s="645"/>
      <c r="L43" s="645"/>
      <c r="M43" s="645"/>
      <c r="N43" s="645"/>
      <c r="O43" s="645"/>
      <c r="P43" s="645"/>
      <c r="Q43" s="645"/>
      <c r="T43" s="617"/>
      <c r="V43" s="1975"/>
      <c r="W43" s="646" t="s">
        <v>737</v>
      </c>
      <c r="X43" s="646" t="s">
        <v>752</v>
      </c>
      <c r="Y43" s="646">
        <v>25</v>
      </c>
      <c r="Z43" s="646" t="s">
        <v>753</v>
      </c>
      <c r="AA43" s="646">
        <v>20</v>
      </c>
      <c r="AB43" s="646" t="s">
        <v>754</v>
      </c>
      <c r="AC43" s="646">
        <v>25</v>
      </c>
      <c r="AD43" s="645"/>
    </row>
    <row r="44" spans="1:30" s="607" customFormat="1" ht="27" customHeight="1">
      <c r="A44" s="1975" t="s">
        <v>723</v>
      </c>
      <c r="B44" s="1973" t="s">
        <v>724</v>
      </c>
      <c r="C44" s="1973" t="s">
        <v>742</v>
      </c>
      <c r="D44" s="1973"/>
      <c r="E44" s="1973" t="s">
        <v>743</v>
      </c>
      <c r="F44" s="1973"/>
      <c r="G44" s="1973" t="s">
        <v>744</v>
      </c>
      <c r="H44" s="1973"/>
      <c r="I44" s="645"/>
      <c r="J44" s="645"/>
      <c r="K44" s="645"/>
      <c r="L44" s="645"/>
      <c r="M44" s="645"/>
      <c r="N44" s="645"/>
      <c r="O44" s="645"/>
      <c r="P44" s="645"/>
      <c r="Q44" s="645"/>
      <c r="T44" s="617"/>
      <c r="V44" s="1975"/>
      <c r="W44" s="646" t="s">
        <v>739</v>
      </c>
      <c r="X44" s="646" t="s">
        <v>755</v>
      </c>
      <c r="Y44" s="646">
        <v>30</v>
      </c>
      <c r="Z44" s="646" t="s">
        <v>756</v>
      </c>
      <c r="AA44" s="646">
        <v>25</v>
      </c>
      <c r="AB44" s="646" t="s">
        <v>757</v>
      </c>
      <c r="AC44" s="646">
        <v>30</v>
      </c>
      <c r="AD44" s="645"/>
    </row>
    <row r="45" spans="1:30" s="607" customFormat="1" ht="27" customHeight="1">
      <c r="A45" s="1975"/>
      <c r="B45" s="1973"/>
      <c r="C45" s="646" t="s">
        <v>728</v>
      </c>
      <c r="D45" s="646" t="s">
        <v>729</v>
      </c>
      <c r="E45" s="646" t="s">
        <v>728</v>
      </c>
      <c r="F45" s="646" t="s">
        <v>729</v>
      </c>
      <c r="G45" s="646" t="s">
        <v>728</v>
      </c>
      <c r="H45" s="646" t="s">
        <v>729</v>
      </c>
      <c r="I45" s="645"/>
      <c r="J45" s="645"/>
      <c r="K45" s="645"/>
      <c r="L45" s="645"/>
      <c r="M45" s="645"/>
      <c r="N45" s="645"/>
      <c r="O45" s="645"/>
      <c r="P45" s="645"/>
      <c r="Q45" s="645"/>
      <c r="T45" s="617"/>
      <c r="V45" s="1975" t="s">
        <v>723</v>
      </c>
      <c r="W45" s="1973" t="s">
        <v>724</v>
      </c>
      <c r="X45" s="1973" t="s">
        <v>742</v>
      </c>
      <c r="Y45" s="1973"/>
      <c r="Z45" s="1973" t="s">
        <v>743</v>
      </c>
      <c r="AA45" s="1973"/>
      <c r="AB45" s="1973" t="s">
        <v>744</v>
      </c>
      <c r="AC45" s="1973"/>
      <c r="AD45" s="645"/>
    </row>
    <row r="46" spans="1:30" s="607" customFormat="1" ht="27" customHeight="1">
      <c r="A46" s="1975" t="s">
        <v>498</v>
      </c>
      <c r="B46" s="646" t="s">
        <v>731</v>
      </c>
      <c r="C46" s="646" t="s">
        <v>763</v>
      </c>
      <c r="D46" s="646">
        <v>12</v>
      </c>
      <c r="E46" s="646" t="s">
        <v>764</v>
      </c>
      <c r="F46" s="646">
        <v>15</v>
      </c>
      <c r="G46" s="646" t="s">
        <v>765</v>
      </c>
      <c r="H46" s="646">
        <v>18</v>
      </c>
      <c r="I46" s="645"/>
      <c r="J46" s="645"/>
      <c r="K46" s="645"/>
      <c r="L46" s="645"/>
      <c r="M46" s="645"/>
      <c r="N46" s="645"/>
      <c r="O46" s="645"/>
      <c r="P46" s="645"/>
      <c r="Q46" s="645"/>
      <c r="T46" s="617"/>
      <c r="V46" s="1975"/>
      <c r="W46" s="1973"/>
      <c r="X46" s="646" t="s">
        <v>728</v>
      </c>
      <c r="Y46" s="646" t="s">
        <v>729</v>
      </c>
      <c r="Z46" s="646" t="s">
        <v>728</v>
      </c>
      <c r="AA46" s="646" t="s">
        <v>729</v>
      </c>
      <c r="AB46" s="646" t="s">
        <v>728</v>
      </c>
      <c r="AC46" s="646" t="s">
        <v>729</v>
      </c>
      <c r="AD46" s="645"/>
    </row>
    <row r="47" spans="1:30" s="607" customFormat="1" ht="27" customHeight="1">
      <c r="A47" s="1975"/>
      <c r="B47" s="646" t="s">
        <v>734</v>
      </c>
      <c r="C47" s="646" t="s">
        <v>766</v>
      </c>
      <c r="D47" s="646">
        <v>16</v>
      </c>
      <c r="E47" s="646" t="s">
        <v>767</v>
      </c>
      <c r="F47" s="646">
        <v>20</v>
      </c>
      <c r="G47" s="646" t="s">
        <v>752</v>
      </c>
      <c r="H47" s="646">
        <v>26</v>
      </c>
      <c r="I47" s="645"/>
      <c r="J47" s="645"/>
      <c r="K47" s="645"/>
      <c r="L47" s="645"/>
      <c r="M47" s="645"/>
      <c r="N47" s="645"/>
      <c r="O47" s="645"/>
      <c r="P47" s="645"/>
      <c r="Q47" s="645"/>
      <c r="T47" s="617"/>
      <c r="V47" s="1975" t="s">
        <v>498</v>
      </c>
      <c r="W47" s="646" t="s">
        <v>731</v>
      </c>
      <c r="X47" s="646" t="s">
        <v>763</v>
      </c>
      <c r="Y47" s="646">
        <v>12</v>
      </c>
      <c r="Z47" s="646" t="s">
        <v>764</v>
      </c>
      <c r="AA47" s="646">
        <v>15</v>
      </c>
      <c r="AB47" s="646" t="s">
        <v>765</v>
      </c>
      <c r="AC47" s="646">
        <v>18</v>
      </c>
      <c r="AD47" s="645"/>
    </row>
    <row r="48" spans="1:30" s="607" customFormat="1" ht="27" customHeight="1">
      <c r="A48" s="1975"/>
      <c r="B48" s="646" t="s">
        <v>737</v>
      </c>
      <c r="C48" s="646" t="s">
        <v>768</v>
      </c>
      <c r="D48" s="646">
        <v>20</v>
      </c>
      <c r="E48" s="646" t="s">
        <v>749</v>
      </c>
      <c r="F48" s="646">
        <v>25</v>
      </c>
      <c r="G48" s="646" t="s">
        <v>769</v>
      </c>
      <c r="H48" s="646">
        <v>30</v>
      </c>
      <c r="I48" s="645"/>
      <c r="J48" s="645"/>
      <c r="K48" s="645"/>
      <c r="L48" s="645"/>
      <c r="M48" s="645"/>
      <c r="N48" s="645"/>
      <c r="O48" s="645"/>
      <c r="P48" s="645"/>
      <c r="Q48" s="645"/>
      <c r="T48" s="617"/>
      <c r="V48" s="1975"/>
      <c r="W48" s="646" t="s">
        <v>734</v>
      </c>
      <c r="X48" s="646" t="s">
        <v>766</v>
      </c>
      <c r="Y48" s="646">
        <v>16</v>
      </c>
      <c r="Z48" s="646" t="s">
        <v>767</v>
      </c>
      <c r="AA48" s="646">
        <v>20</v>
      </c>
      <c r="AB48" s="646" t="s">
        <v>752</v>
      </c>
      <c r="AC48" s="646">
        <v>26</v>
      </c>
      <c r="AD48" s="645"/>
    </row>
    <row r="49" spans="1:31" s="607" customFormat="1" ht="27" customHeight="1">
      <c r="A49" s="1975"/>
      <c r="B49" s="646" t="s">
        <v>739</v>
      </c>
      <c r="C49" s="646" t="s">
        <v>770</v>
      </c>
      <c r="D49" s="646">
        <v>25</v>
      </c>
      <c r="E49" s="646" t="s">
        <v>771</v>
      </c>
      <c r="F49" s="646">
        <v>30</v>
      </c>
      <c r="G49" s="646" t="s">
        <v>772</v>
      </c>
      <c r="H49" s="646">
        <v>35</v>
      </c>
      <c r="I49" s="645"/>
      <c r="J49" s="645"/>
      <c r="K49" s="645"/>
      <c r="L49" s="645"/>
      <c r="M49" s="645"/>
      <c r="N49" s="645"/>
      <c r="O49" s="645"/>
      <c r="P49" s="645"/>
      <c r="Q49" s="645"/>
      <c r="T49" s="617"/>
      <c r="V49" s="1975"/>
      <c r="W49" s="646" t="s">
        <v>737</v>
      </c>
      <c r="X49" s="646" t="s">
        <v>768</v>
      </c>
      <c r="Y49" s="646">
        <v>20</v>
      </c>
      <c r="Z49" s="646" t="s">
        <v>749</v>
      </c>
      <c r="AA49" s="646">
        <v>25</v>
      </c>
      <c r="AB49" s="646" t="s">
        <v>769</v>
      </c>
      <c r="AC49" s="646">
        <v>30</v>
      </c>
      <c r="AD49" s="645"/>
    </row>
    <row r="50" spans="1:31" s="607" customFormat="1" ht="27" customHeight="1">
      <c r="A50" s="643"/>
      <c r="B50" s="644"/>
      <c r="C50" s="644"/>
      <c r="D50" s="644"/>
      <c r="E50" s="644"/>
      <c r="F50" s="644"/>
      <c r="G50" s="645"/>
      <c r="H50" s="645"/>
      <c r="I50" s="645"/>
      <c r="J50" s="645"/>
      <c r="K50" s="645"/>
      <c r="L50" s="645"/>
      <c r="M50" s="645"/>
      <c r="N50" s="645"/>
      <c r="O50" s="645"/>
      <c r="P50" s="645"/>
      <c r="Q50" s="645"/>
      <c r="T50" s="617"/>
      <c r="V50" s="1975"/>
      <c r="W50" s="646" t="s">
        <v>739</v>
      </c>
      <c r="X50" s="646" t="s">
        <v>770</v>
      </c>
      <c r="Y50" s="646">
        <v>25</v>
      </c>
      <c r="Z50" s="646" t="s">
        <v>771</v>
      </c>
      <c r="AA50" s="646">
        <v>30</v>
      </c>
      <c r="AB50" s="646" t="s">
        <v>772</v>
      </c>
      <c r="AC50" s="646">
        <v>35</v>
      </c>
      <c r="AD50" s="645"/>
    </row>
    <row r="51" spans="1:31" ht="21.15" customHeight="1">
      <c r="A51" s="647"/>
      <c r="B51" s="648"/>
      <c r="C51" s="648"/>
      <c r="D51" s="648"/>
      <c r="E51" s="648"/>
      <c r="F51" s="648"/>
      <c r="G51" s="647"/>
      <c r="V51" s="643"/>
      <c r="W51" s="644"/>
      <c r="X51" s="644"/>
      <c r="Y51" s="644"/>
      <c r="Z51" s="644"/>
      <c r="AA51" s="644"/>
      <c r="AB51" s="645"/>
      <c r="AC51" s="645"/>
      <c r="AD51" s="645"/>
      <c r="AE51" s="607"/>
    </row>
    <row r="52" spans="1:31" ht="21.15" customHeight="1">
      <c r="A52" s="647" t="s">
        <v>773</v>
      </c>
      <c r="B52" s="649" t="s">
        <v>774</v>
      </c>
      <c r="C52" s="648"/>
      <c r="D52" s="648"/>
      <c r="E52" s="648"/>
      <c r="F52" s="648"/>
      <c r="G52" s="647"/>
      <c r="V52" s="647"/>
      <c r="W52" s="648"/>
      <c r="X52" s="648"/>
      <c r="Y52" s="648"/>
      <c r="Z52" s="648"/>
      <c r="AA52" s="648"/>
      <c r="AB52" s="647"/>
      <c r="AC52" s="612"/>
      <c r="AD52" s="612"/>
    </row>
    <row r="53" spans="1:31" ht="21.15" customHeight="1">
      <c r="A53" s="647"/>
      <c r="B53" s="649" t="s">
        <v>775</v>
      </c>
      <c r="C53" s="648"/>
      <c r="D53" s="648"/>
      <c r="E53" s="648"/>
      <c r="F53" s="648"/>
      <c r="G53" s="647"/>
      <c r="V53" s="647" t="s">
        <v>773</v>
      </c>
      <c r="W53" s="649" t="s">
        <v>774</v>
      </c>
      <c r="X53" s="648"/>
      <c r="Y53" s="648"/>
      <c r="Z53" s="648"/>
      <c r="AA53" s="648"/>
      <c r="AB53" s="647"/>
      <c r="AC53" s="612"/>
      <c r="AD53" s="612"/>
    </row>
    <row r="54" spans="1:31" ht="21.15" customHeight="1">
      <c r="A54" s="647"/>
      <c r="B54" s="649" t="s">
        <v>776</v>
      </c>
      <c r="C54" s="648"/>
      <c r="D54" s="648"/>
      <c r="E54" s="648"/>
      <c r="F54" s="648"/>
      <c r="G54" s="647"/>
      <c r="V54" s="647"/>
      <c r="W54" s="649" t="s">
        <v>775</v>
      </c>
      <c r="X54" s="648"/>
      <c r="Y54" s="648"/>
      <c r="Z54" s="648"/>
      <c r="AA54" s="648"/>
      <c r="AB54" s="647"/>
      <c r="AC54" s="612"/>
      <c r="AD54" s="612"/>
    </row>
    <row r="55" spans="1:31" ht="21.15" customHeight="1">
      <c r="V55" s="647"/>
      <c r="W55" s="649" t="s">
        <v>776</v>
      </c>
      <c r="X55" s="648"/>
      <c r="Y55" s="648"/>
      <c r="Z55" s="648"/>
      <c r="AA55" s="648"/>
      <c r="AB55" s="647"/>
      <c r="AC55" s="612"/>
      <c r="AD55" s="612"/>
    </row>
    <row r="56" spans="1:31" ht="21.15" customHeight="1">
      <c r="X56" s="611"/>
      <c r="Z56" s="612"/>
      <c r="AA56" s="612"/>
      <c r="AB56" s="612"/>
      <c r="AC56" s="612"/>
      <c r="AD56" s="612"/>
    </row>
    <row r="57" spans="1:31" ht="21.15" customHeight="1">
      <c r="X57" s="611"/>
      <c r="Z57" s="612"/>
      <c r="AA57" s="612"/>
      <c r="AB57" s="612"/>
      <c r="AC57" s="612"/>
      <c r="AD57" s="612"/>
    </row>
  </sheetData>
  <mergeCells count="74">
    <mergeCell ref="V45:V46"/>
    <mergeCell ref="V47:V50"/>
    <mergeCell ref="W3:W4"/>
    <mergeCell ref="W27:W28"/>
    <mergeCell ref="W33:W34"/>
    <mergeCell ref="W39:W40"/>
    <mergeCell ref="W45:W46"/>
    <mergeCell ref="A46:A49"/>
    <mergeCell ref="B2:B3"/>
    <mergeCell ref="B26:B27"/>
    <mergeCell ref="B32:B33"/>
    <mergeCell ref="B38:B39"/>
    <mergeCell ref="B44:B45"/>
    <mergeCell ref="X45:Y45"/>
    <mergeCell ref="Z45:AA45"/>
    <mergeCell ref="AB45:AC45"/>
    <mergeCell ref="A2:A3"/>
    <mergeCell ref="A26:A27"/>
    <mergeCell ref="A28:A31"/>
    <mergeCell ref="A32:A33"/>
    <mergeCell ref="A34:A37"/>
    <mergeCell ref="A38:A39"/>
    <mergeCell ref="A40:A43"/>
    <mergeCell ref="A44:A45"/>
    <mergeCell ref="C2:C3"/>
    <mergeCell ref="D2:D3"/>
    <mergeCell ref="Q2:Q3"/>
    <mergeCell ref="V3:V4"/>
    <mergeCell ref="V27:V28"/>
    <mergeCell ref="X39:Y39"/>
    <mergeCell ref="Z39:AA39"/>
    <mergeCell ref="AB39:AC39"/>
    <mergeCell ref="C44:D44"/>
    <mergeCell ref="E44:F44"/>
    <mergeCell ref="G44:H44"/>
    <mergeCell ref="V39:V40"/>
    <mergeCell ref="V41:V44"/>
    <mergeCell ref="X33:Y33"/>
    <mergeCell ref="Z33:AA33"/>
    <mergeCell ref="AB33:AC33"/>
    <mergeCell ref="C38:D38"/>
    <mergeCell ref="E38:F38"/>
    <mergeCell ref="G38:H38"/>
    <mergeCell ref="V33:V34"/>
    <mergeCell ref="V35:V38"/>
    <mergeCell ref="X27:Y27"/>
    <mergeCell ref="Z27:AA27"/>
    <mergeCell ref="AB27:AC27"/>
    <mergeCell ref="C32:D32"/>
    <mergeCell ref="E32:F32"/>
    <mergeCell ref="G32:H32"/>
    <mergeCell ref="V29:V32"/>
    <mergeCell ref="B24:H24"/>
    <mergeCell ref="B25:F25"/>
    <mergeCell ref="W25:AC25"/>
    <mergeCell ref="C26:D26"/>
    <mergeCell ref="E26:F26"/>
    <mergeCell ref="G26:H26"/>
    <mergeCell ref="W26:AA26"/>
    <mergeCell ref="V2:AD2"/>
    <mergeCell ref="Z3:AA3"/>
    <mergeCell ref="AB3:AC3"/>
    <mergeCell ref="B22:D22"/>
    <mergeCell ref="W23:Y23"/>
    <mergeCell ref="X3:X4"/>
    <mergeCell ref="Y3:Y4"/>
    <mergeCell ref="AD3:AD4"/>
    <mergeCell ref="A1:Q1"/>
    <mergeCell ref="E2:F2"/>
    <mergeCell ref="G2:H2"/>
    <mergeCell ref="I2:J2"/>
    <mergeCell ref="K2:L2"/>
    <mergeCell ref="M2:N2"/>
    <mergeCell ref="O2:P2"/>
  </mergeCells>
  <phoneticPr fontId="5" type="noConversion"/>
  <conditionalFormatting sqref="S2 S4">
    <cfRule type="duplicateValues" dxfId="962" priority="20" stopIfTrue="1"/>
  </conditionalFormatting>
  <conditionalFormatting sqref="S2:S4">
    <cfRule type="duplicateValues" dxfId="961" priority="17" stopIfTrue="1"/>
    <cfRule type="duplicateValues" dxfId="960" priority="18" stopIfTrue="1"/>
  </conditionalFormatting>
  <conditionalFormatting sqref="S2:S9">
    <cfRule type="duplicateValues" dxfId="959" priority="1"/>
  </conditionalFormatting>
  <conditionalFormatting sqref="S3">
    <cfRule type="duplicateValues" dxfId="958" priority="19"/>
  </conditionalFormatting>
  <conditionalFormatting sqref="S5">
    <cfRule type="duplicateValues" dxfId="957" priority="8" stopIfTrue="1"/>
    <cfRule type="duplicateValues" dxfId="956" priority="9" stopIfTrue="1"/>
    <cfRule type="duplicateValues" dxfId="955" priority="10"/>
  </conditionalFormatting>
  <conditionalFormatting sqref="S6">
    <cfRule type="duplicateValues" dxfId="954" priority="11" stopIfTrue="1"/>
    <cfRule type="duplicateValues" dxfId="953" priority="12" stopIfTrue="1"/>
    <cfRule type="duplicateValues" dxfId="952" priority="13"/>
  </conditionalFormatting>
  <conditionalFormatting sqref="S7">
    <cfRule type="duplicateValues" dxfId="951" priority="5" stopIfTrue="1"/>
    <cfRule type="duplicateValues" dxfId="950" priority="6" stopIfTrue="1"/>
    <cfRule type="duplicateValues" dxfId="949" priority="7"/>
  </conditionalFormatting>
  <conditionalFormatting sqref="S8">
    <cfRule type="duplicateValues" dxfId="948" priority="2" stopIfTrue="1"/>
    <cfRule type="duplicateValues" dxfId="947" priority="3" stopIfTrue="1"/>
    <cfRule type="duplicateValues" dxfId="946" priority="4"/>
  </conditionalFormatting>
  <conditionalFormatting sqref="S9">
    <cfRule type="duplicateValues" dxfId="945" priority="14" stopIfTrue="1"/>
    <cfRule type="duplicateValues" dxfId="944" priority="15" stopIfTrue="1"/>
    <cfRule type="duplicateValues" dxfId="943" priority="16"/>
  </conditionalFormatting>
  <pageMargins left="0.69930555555555596" right="0.69930555555555596"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26"/>
  <sheetViews>
    <sheetView topLeftCell="A103" workbookViewId="0">
      <selection activeCell="L34" sqref="L34"/>
    </sheetView>
  </sheetViews>
  <sheetFormatPr defaultColWidth="9" defaultRowHeight="15.6"/>
  <cols>
    <col min="1" max="1" width="15.21875" style="583" customWidth="1"/>
    <col min="2" max="2" width="11" style="584" customWidth="1"/>
    <col min="3" max="3" width="19.44140625" style="96" customWidth="1"/>
    <col min="4" max="5" width="9" style="96"/>
    <col min="6" max="6" width="17.109375" style="96" customWidth="1"/>
    <col min="7" max="7" width="12.21875" style="585" customWidth="1"/>
    <col min="8" max="8" width="14.77734375" style="96" customWidth="1"/>
    <col min="9" max="9" width="13.33203125" style="96" customWidth="1"/>
    <col min="10" max="16384" width="9" style="96"/>
  </cols>
  <sheetData>
    <row r="1" spans="1:10">
      <c r="A1" s="586" t="s">
        <v>777</v>
      </c>
      <c r="B1" s="587" t="s">
        <v>778</v>
      </c>
      <c r="C1" s="118" t="s">
        <v>779</v>
      </c>
      <c r="D1" s="118" t="s">
        <v>780</v>
      </c>
      <c r="E1" s="118" t="s">
        <v>33</v>
      </c>
      <c r="F1" s="118" t="s">
        <v>781</v>
      </c>
      <c r="G1" s="587" t="s">
        <v>782</v>
      </c>
      <c r="H1" s="118" t="s">
        <v>783</v>
      </c>
      <c r="I1" s="118" t="s">
        <v>784</v>
      </c>
      <c r="J1" s="588" t="s">
        <v>785</v>
      </c>
    </row>
    <row r="2" spans="1:10">
      <c r="A2" s="589" t="s">
        <v>786</v>
      </c>
      <c r="B2" s="590" t="s">
        <v>787</v>
      </c>
      <c r="C2" s="118" t="s">
        <v>35</v>
      </c>
      <c r="D2" s="118" t="s">
        <v>334</v>
      </c>
      <c r="E2" s="118" t="s">
        <v>788</v>
      </c>
      <c r="F2" s="118" t="s">
        <v>789</v>
      </c>
      <c r="G2" s="591">
        <v>40063</v>
      </c>
      <c r="H2" s="118">
        <v>1</v>
      </c>
      <c r="I2" s="118">
        <v>2</v>
      </c>
      <c r="J2" s="588"/>
    </row>
    <row r="3" spans="1:10">
      <c r="A3" s="589" t="s">
        <v>786</v>
      </c>
      <c r="B3" s="592" t="s">
        <v>787</v>
      </c>
      <c r="C3" s="118" t="s">
        <v>790</v>
      </c>
      <c r="D3" s="118" t="s">
        <v>334</v>
      </c>
      <c r="E3" s="118" t="s">
        <v>791</v>
      </c>
      <c r="F3" s="118" t="s">
        <v>792</v>
      </c>
      <c r="G3" s="593">
        <v>41906</v>
      </c>
      <c r="H3" s="118">
        <v>1</v>
      </c>
      <c r="I3" s="118">
        <v>1</v>
      </c>
      <c r="J3" s="588"/>
    </row>
    <row r="4" spans="1:10">
      <c r="A4" s="589" t="s">
        <v>786</v>
      </c>
      <c r="B4" s="592" t="s">
        <v>793</v>
      </c>
      <c r="C4" s="118" t="s">
        <v>790</v>
      </c>
      <c r="D4" s="118" t="s">
        <v>334</v>
      </c>
      <c r="E4" s="118" t="s">
        <v>794</v>
      </c>
      <c r="F4" s="118" t="s">
        <v>795</v>
      </c>
      <c r="G4" s="593">
        <v>41852</v>
      </c>
      <c r="H4" s="118">
        <v>1</v>
      </c>
      <c r="I4" s="118">
        <v>0</v>
      </c>
      <c r="J4" s="588"/>
    </row>
    <row r="5" spans="1:10">
      <c r="A5" s="589" t="s">
        <v>669</v>
      </c>
      <c r="B5" s="592" t="s">
        <v>793</v>
      </c>
      <c r="C5" s="118" t="s">
        <v>790</v>
      </c>
      <c r="D5" s="118" t="s">
        <v>334</v>
      </c>
      <c r="E5" s="118" t="s">
        <v>796</v>
      </c>
      <c r="F5" s="118" t="s">
        <v>797</v>
      </c>
      <c r="G5" s="593">
        <v>39244</v>
      </c>
      <c r="H5" s="118">
        <v>1</v>
      </c>
      <c r="I5" s="118">
        <v>0</v>
      </c>
      <c r="J5" s="588"/>
    </row>
    <row r="6" spans="1:10">
      <c r="A6" s="589" t="s">
        <v>669</v>
      </c>
      <c r="B6" s="592" t="s">
        <v>793</v>
      </c>
      <c r="C6" s="118" t="s">
        <v>790</v>
      </c>
      <c r="D6" s="118" t="s">
        <v>335</v>
      </c>
      <c r="E6" s="118" t="s">
        <v>798</v>
      </c>
      <c r="F6" s="118" t="s">
        <v>797</v>
      </c>
      <c r="G6" s="593">
        <v>40174</v>
      </c>
      <c r="H6" s="118">
        <v>1</v>
      </c>
      <c r="I6" s="118">
        <v>1</v>
      </c>
      <c r="J6" s="588"/>
    </row>
    <row r="7" spans="1:10">
      <c r="A7" s="589" t="s">
        <v>786</v>
      </c>
      <c r="B7" s="594" t="s">
        <v>793</v>
      </c>
      <c r="C7" s="118" t="s">
        <v>790</v>
      </c>
      <c r="D7" s="118" t="s">
        <v>334</v>
      </c>
      <c r="E7" s="118" t="s">
        <v>799</v>
      </c>
      <c r="F7" s="118" t="s">
        <v>800</v>
      </c>
      <c r="G7" s="595">
        <v>45902</v>
      </c>
      <c r="H7" s="118">
        <v>1</v>
      </c>
      <c r="I7" s="118">
        <v>0</v>
      </c>
      <c r="J7" s="588"/>
    </row>
    <row r="8" spans="1:10">
      <c r="A8" s="589" t="s">
        <v>669</v>
      </c>
      <c r="B8" s="596" t="s">
        <v>793</v>
      </c>
      <c r="C8" s="118" t="s">
        <v>790</v>
      </c>
      <c r="D8" s="118" t="s">
        <v>334</v>
      </c>
      <c r="E8" s="118" t="s">
        <v>801</v>
      </c>
      <c r="F8" s="118" t="s">
        <v>797</v>
      </c>
      <c r="G8" s="597">
        <v>43185</v>
      </c>
      <c r="H8" s="118">
        <v>1</v>
      </c>
      <c r="I8" s="118">
        <v>0</v>
      </c>
      <c r="J8" s="588"/>
    </row>
    <row r="9" spans="1:10">
      <c r="A9" s="589" t="s">
        <v>669</v>
      </c>
      <c r="B9" s="592" t="s">
        <v>793</v>
      </c>
      <c r="C9" s="118" t="s">
        <v>790</v>
      </c>
      <c r="D9" s="118" t="s">
        <v>334</v>
      </c>
      <c r="E9" s="118" t="s">
        <v>802</v>
      </c>
      <c r="F9" s="118" t="s">
        <v>803</v>
      </c>
      <c r="G9" s="593">
        <v>44768</v>
      </c>
      <c r="H9" s="118">
        <v>1</v>
      </c>
      <c r="I9" s="118">
        <v>0</v>
      </c>
      <c r="J9" s="588"/>
    </row>
    <row r="10" spans="1:10">
      <c r="A10" s="589" t="s">
        <v>786</v>
      </c>
      <c r="B10" s="592" t="s">
        <v>793</v>
      </c>
      <c r="C10" s="118" t="s">
        <v>790</v>
      </c>
      <c r="D10" s="118" t="s">
        <v>334</v>
      </c>
      <c r="E10" s="118" t="s">
        <v>804</v>
      </c>
      <c r="F10" s="118" t="s">
        <v>805</v>
      </c>
      <c r="G10" s="598">
        <v>45356</v>
      </c>
      <c r="H10" s="118">
        <v>1</v>
      </c>
      <c r="I10" s="118">
        <v>0</v>
      </c>
      <c r="J10" s="588"/>
    </row>
    <row r="11" spans="1:10">
      <c r="A11" s="589" t="s">
        <v>786</v>
      </c>
      <c r="B11" s="592" t="s">
        <v>793</v>
      </c>
      <c r="C11" s="118" t="s">
        <v>790</v>
      </c>
      <c r="D11" s="118" t="s">
        <v>334</v>
      </c>
      <c r="E11" s="118" t="s">
        <v>806</v>
      </c>
      <c r="F11" s="118" t="s">
        <v>805</v>
      </c>
      <c r="G11" s="598">
        <v>45783</v>
      </c>
      <c r="H11" s="118">
        <v>1</v>
      </c>
      <c r="I11" s="118">
        <v>0</v>
      </c>
      <c r="J11" s="588"/>
    </row>
    <row r="12" spans="1:10">
      <c r="A12" s="589" t="s">
        <v>786</v>
      </c>
      <c r="B12" s="592" t="s">
        <v>787</v>
      </c>
      <c r="C12" s="118" t="s">
        <v>807</v>
      </c>
      <c r="D12" s="118" t="s">
        <v>334</v>
      </c>
      <c r="E12" s="118" t="s">
        <v>808</v>
      </c>
      <c r="F12" s="118" t="s">
        <v>809</v>
      </c>
      <c r="G12" s="597">
        <v>39321</v>
      </c>
      <c r="H12" s="118">
        <v>1</v>
      </c>
      <c r="I12" s="118">
        <v>1</v>
      </c>
      <c r="J12" s="588"/>
    </row>
    <row r="13" spans="1:10">
      <c r="A13" s="589" t="s">
        <v>786</v>
      </c>
      <c r="B13" s="592" t="s">
        <v>793</v>
      </c>
      <c r="C13" s="118" t="s">
        <v>807</v>
      </c>
      <c r="D13" s="118" t="s">
        <v>334</v>
      </c>
      <c r="E13" s="118" t="s">
        <v>810</v>
      </c>
      <c r="F13" s="118" t="s">
        <v>811</v>
      </c>
      <c r="G13" s="593">
        <v>44277</v>
      </c>
      <c r="H13" s="118">
        <v>1</v>
      </c>
      <c r="I13" s="118">
        <v>0</v>
      </c>
      <c r="J13" s="588"/>
    </row>
    <row r="14" spans="1:10">
      <c r="A14" s="589" t="s">
        <v>669</v>
      </c>
      <c r="B14" s="592" t="s">
        <v>793</v>
      </c>
      <c r="C14" s="118" t="s">
        <v>807</v>
      </c>
      <c r="D14" s="118" t="s">
        <v>335</v>
      </c>
      <c r="E14" s="118" t="s">
        <v>812</v>
      </c>
      <c r="F14" s="118" t="s">
        <v>813</v>
      </c>
      <c r="G14" s="593">
        <v>44600</v>
      </c>
      <c r="H14" s="118">
        <v>1</v>
      </c>
      <c r="I14" s="118">
        <v>0</v>
      </c>
      <c r="J14" s="588"/>
    </row>
    <row r="15" spans="1:10">
      <c r="A15" s="589" t="s">
        <v>786</v>
      </c>
      <c r="B15" s="592" t="s">
        <v>793</v>
      </c>
      <c r="C15" s="118" t="s">
        <v>807</v>
      </c>
      <c r="D15" s="118" t="s">
        <v>334</v>
      </c>
      <c r="E15" s="118" t="s">
        <v>814</v>
      </c>
      <c r="F15" s="118" t="s">
        <v>813</v>
      </c>
      <c r="G15" s="593">
        <v>45033</v>
      </c>
      <c r="H15" s="118">
        <v>1</v>
      </c>
      <c r="I15" s="118">
        <v>1</v>
      </c>
      <c r="J15" s="588"/>
    </row>
    <row r="16" spans="1:10">
      <c r="A16" s="589" t="s">
        <v>669</v>
      </c>
      <c r="B16" s="592" t="s">
        <v>793</v>
      </c>
      <c r="C16" s="118" t="s">
        <v>815</v>
      </c>
      <c r="D16" s="118" t="s">
        <v>334</v>
      </c>
      <c r="E16" s="118" t="s">
        <v>816</v>
      </c>
      <c r="F16" s="118" t="s">
        <v>817</v>
      </c>
      <c r="G16" s="593">
        <v>45251</v>
      </c>
      <c r="H16" s="118">
        <v>1</v>
      </c>
      <c r="I16" s="118">
        <v>0</v>
      </c>
      <c r="J16" s="588"/>
    </row>
    <row r="17" spans="1:10">
      <c r="A17" s="589" t="s">
        <v>786</v>
      </c>
      <c r="B17" s="592" t="s">
        <v>793</v>
      </c>
      <c r="C17" s="118" t="s">
        <v>818</v>
      </c>
      <c r="D17" s="118" t="s">
        <v>334</v>
      </c>
      <c r="E17" s="118" t="s">
        <v>819</v>
      </c>
      <c r="F17" s="118" t="s">
        <v>820</v>
      </c>
      <c r="G17" s="593">
        <v>44450</v>
      </c>
      <c r="H17" s="118">
        <v>1</v>
      </c>
      <c r="I17" s="118">
        <v>0</v>
      </c>
      <c r="J17" s="588"/>
    </row>
    <row r="18" spans="1:10">
      <c r="A18" s="589" t="s">
        <v>669</v>
      </c>
      <c r="B18" s="592" t="s">
        <v>793</v>
      </c>
      <c r="C18" s="118" t="s">
        <v>818</v>
      </c>
      <c r="D18" s="118" t="s">
        <v>335</v>
      </c>
      <c r="E18" s="118" t="s">
        <v>821</v>
      </c>
      <c r="F18" s="118" t="s">
        <v>820</v>
      </c>
      <c r="G18" s="593">
        <v>44734</v>
      </c>
      <c r="H18" s="118">
        <v>1</v>
      </c>
      <c r="I18" s="118">
        <v>1</v>
      </c>
      <c r="J18" s="588"/>
    </row>
    <row r="19" spans="1:10">
      <c r="A19" s="589" t="s">
        <v>786</v>
      </c>
      <c r="B19" s="592" t="s">
        <v>787</v>
      </c>
      <c r="C19" s="118" t="s">
        <v>822</v>
      </c>
      <c r="D19" s="118" t="s">
        <v>334</v>
      </c>
      <c r="E19" s="118" t="s">
        <v>823</v>
      </c>
      <c r="F19" s="118" t="s">
        <v>824</v>
      </c>
      <c r="G19" s="593">
        <v>42795</v>
      </c>
      <c r="H19" s="118">
        <v>1</v>
      </c>
      <c r="I19" s="118">
        <v>2</v>
      </c>
      <c r="J19" s="588"/>
    </row>
    <row r="20" spans="1:10">
      <c r="A20" s="589" t="s">
        <v>669</v>
      </c>
      <c r="B20" s="592" t="s">
        <v>793</v>
      </c>
      <c r="C20" s="118" t="s">
        <v>822</v>
      </c>
      <c r="D20" s="118" t="s">
        <v>335</v>
      </c>
      <c r="E20" s="118" t="s">
        <v>825</v>
      </c>
      <c r="F20" s="118" t="s">
        <v>826</v>
      </c>
      <c r="G20" s="599">
        <v>43252</v>
      </c>
      <c r="H20" s="118">
        <v>1</v>
      </c>
      <c r="I20" s="118">
        <v>0</v>
      </c>
      <c r="J20" s="588"/>
    </row>
    <row r="21" spans="1:10">
      <c r="A21" s="589" t="s">
        <v>669</v>
      </c>
      <c r="B21" s="592" t="s">
        <v>793</v>
      </c>
      <c r="C21" s="118" t="s">
        <v>822</v>
      </c>
      <c r="D21" s="118" t="s">
        <v>335</v>
      </c>
      <c r="E21" s="118" t="s">
        <v>827</v>
      </c>
      <c r="F21" s="118" t="s">
        <v>828</v>
      </c>
      <c r="G21" s="597">
        <v>45880</v>
      </c>
      <c r="H21" s="118">
        <v>1</v>
      </c>
      <c r="I21" s="118">
        <v>1</v>
      </c>
      <c r="J21" s="588"/>
    </row>
    <row r="22" spans="1:10">
      <c r="A22" s="589" t="s">
        <v>786</v>
      </c>
      <c r="B22" s="592" t="s">
        <v>793</v>
      </c>
      <c r="C22" s="118" t="s">
        <v>822</v>
      </c>
      <c r="D22" s="118" t="s">
        <v>334</v>
      </c>
      <c r="E22" s="118" t="s">
        <v>829</v>
      </c>
      <c r="F22" s="118" t="s">
        <v>828</v>
      </c>
      <c r="G22" s="593">
        <v>43596</v>
      </c>
      <c r="H22" s="118">
        <v>1</v>
      </c>
      <c r="I22" s="118">
        <v>4</v>
      </c>
      <c r="J22" s="588"/>
    </row>
    <row r="23" spans="1:10">
      <c r="A23" s="589" t="s">
        <v>786</v>
      </c>
      <c r="B23" s="592" t="s">
        <v>793</v>
      </c>
      <c r="C23" s="118" t="s">
        <v>822</v>
      </c>
      <c r="D23" s="118" t="s">
        <v>334</v>
      </c>
      <c r="E23" s="118" t="s">
        <v>830</v>
      </c>
      <c r="F23" s="118" t="s">
        <v>826</v>
      </c>
      <c r="G23" s="595">
        <v>45928</v>
      </c>
      <c r="H23" s="118">
        <v>1</v>
      </c>
      <c r="I23" s="118">
        <v>0</v>
      </c>
      <c r="J23" s="588"/>
    </row>
    <row r="24" spans="1:10">
      <c r="A24" s="589" t="s">
        <v>786</v>
      </c>
      <c r="B24" s="592" t="s">
        <v>793</v>
      </c>
      <c r="C24" s="118" t="s">
        <v>831</v>
      </c>
      <c r="D24" s="118" t="s">
        <v>334</v>
      </c>
      <c r="E24" s="118" t="s">
        <v>832</v>
      </c>
      <c r="F24" s="118" t="s">
        <v>833</v>
      </c>
      <c r="G24" s="593">
        <v>43278</v>
      </c>
      <c r="H24" s="118">
        <v>1</v>
      </c>
      <c r="I24" s="118">
        <v>0</v>
      </c>
      <c r="J24" s="588"/>
    </row>
    <row r="25" spans="1:10">
      <c r="A25" s="589" t="s">
        <v>786</v>
      </c>
      <c r="B25" s="592" t="s">
        <v>793</v>
      </c>
      <c r="C25" s="118" t="s">
        <v>834</v>
      </c>
      <c r="D25" s="118" t="s">
        <v>334</v>
      </c>
      <c r="E25" s="118" t="s">
        <v>835</v>
      </c>
      <c r="F25" s="118" t="s">
        <v>836</v>
      </c>
      <c r="G25" s="593">
        <v>39961</v>
      </c>
      <c r="H25" s="118">
        <v>1</v>
      </c>
      <c r="I25" s="118">
        <v>0</v>
      </c>
      <c r="J25" s="588"/>
    </row>
    <row r="26" spans="1:10">
      <c r="A26" s="589" t="s">
        <v>669</v>
      </c>
      <c r="B26" s="592" t="s">
        <v>793</v>
      </c>
      <c r="C26" s="118" t="s">
        <v>834</v>
      </c>
      <c r="D26" s="118" t="s">
        <v>335</v>
      </c>
      <c r="E26" s="118" t="s">
        <v>837</v>
      </c>
      <c r="F26" s="118" t="s">
        <v>838</v>
      </c>
      <c r="G26" s="593">
        <v>42969</v>
      </c>
      <c r="H26" s="118">
        <v>1</v>
      </c>
      <c r="I26" s="118">
        <v>0</v>
      </c>
      <c r="J26" s="588"/>
    </row>
    <row r="27" spans="1:10">
      <c r="A27" s="589" t="s">
        <v>669</v>
      </c>
      <c r="B27" s="592" t="s">
        <v>793</v>
      </c>
      <c r="C27" s="118" t="s">
        <v>834</v>
      </c>
      <c r="D27" s="118" t="s">
        <v>334</v>
      </c>
      <c r="E27" s="118" t="s">
        <v>839</v>
      </c>
      <c r="F27" s="118" t="s">
        <v>840</v>
      </c>
      <c r="G27" s="593">
        <v>39799</v>
      </c>
      <c r="H27" s="118">
        <v>1</v>
      </c>
      <c r="I27" s="118">
        <v>0</v>
      </c>
      <c r="J27" s="588"/>
    </row>
    <row r="28" spans="1:10">
      <c r="A28" s="589" t="s">
        <v>786</v>
      </c>
      <c r="B28" s="592" t="s">
        <v>793</v>
      </c>
      <c r="C28" s="118" t="s">
        <v>834</v>
      </c>
      <c r="D28" s="118" t="s">
        <v>334</v>
      </c>
      <c r="E28" s="118" t="s">
        <v>841</v>
      </c>
      <c r="F28" s="118" t="s">
        <v>840</v>
      </c>
      <c r="G28" s="593">
        <v>45068</v>
      </c>
      <c r="H28" s="118">
        <v>1</v>
      </c>
      <c r="I28" s="118">
        <v>0</v>
      </c>
      <c r="J28" s="588"/>
    </row>
    <row r="29" spans="1:10">
      <c r="A29" s="589" t="s">
        <v>786</v>
      </c>
      <c r="B29" s="592" t="s">
        <v>793</v>
      </c>
      <c r="C29" s="118" t="s">
        <v>842</v>
      </c>
      <c r="D29" s="118" t="s">
        <v>334</v>
      </c>
      <c r="E29" s="118" t="s">
        <v>843</v>
      </c>
      <c r="F29" s="118" t="s">
        <v>844</v>
      </c>
      <c r="G29" s="593">
        <v>42337</v>
      </c>
      <c r="H29" s="118">
        <v>1</v>
      </c>
      <c r="I29" s="118">
        <v>0</v>
      </c>
      <c r="J29" s="588"/>
    </row>
    <row r="30" spans="1:10">
      <c r="A30" s="589" t="s">
        <v>786</v>
      </c>
      <c r="B30" s="592" t="s">
        <v>787</v>
      </c>
      <c r="C30" s="118" t="s">
        <v>834</v>
      </c>
      <c r="D30" s="118" t="s">
        <v>334</v>
      </c>
      <c r="E30" s="118" t="s">
        <v>845</v>
      </c>
      <c r="F30" s="118" t="s">
        <v>846</v>
      </c>
      <c r="G30" s="597">
        <v>42689</v>
      </c>
      <c r="H30" s="118">
        <v>1</v>
      </c>
      <c r="I30" s="118">
        <v>1</v>
      </c>
      <c r="J30" s="588"/>
    </row>
    <row r="31" spans="1:10">
      <c r="A31" s="589" t="s">
        <v>669</v>
      </c>
      <c r="B31" s="592" t="s">
        <v>793</v>
      </c>
      <c r="C31" s="118" t="s">
        <v>842</v>
      </c>
      <c r="D31" s="118" t="s">
        <v>335</v>
      </c>
      <c r="E31" s="118" t="s">
        <v>847</v>
      </c>
      <c r="F31" s="118" t="s">
        <v>848</v>
      </c>
      <c r="G31" s="593">
        <v>41330</v>
      </c>
      <c r="H31" s="118">
        <v>1</v>
      </c>
      <c r="I31" s="118">
        <v>0</v>
      </c>
      <c r="J31" s="588"/>
    </row>
    <row r="32" spans="1:10">
      <c r="A32" s="589" t="s">
        <v>786</v>
      </c>
      <c r="B32" s="592" t="s">
        <v>793</v>
      </c>
      <c r="C32" s="118" t="s">
        <v>834</v>
      </c>
      <c r="D32" s="118" t="s">
        <v>334</v>
      </c>
      <c r="E32" s="118" t="s">
        <v>849</v>
      </c>
      <c r="F32" s="118" t="s">
        <v>838</v>
      </c>
      <c r="G32" s="593">
        <v>40204</v>
      </c>
      <c r="H32" s="118">
        <v>1</v>
      </c>
      <c r="I32" s="118">
        <v>1</v>
      </c>
      <c r="J32" s="588"/>
    </row>
    <row r="33" spans="1:10">
      <c r="A33" s="589" t="s">
        <v>786</v>
      </c>
      <c r="B33" s="592" t="s">
        <v>793</v>
      </c>
      <c r="C33" s="118" t="s">
        <v>842</v>
      </c>
      <c r="D33" s="118" t="s">
        <v>334</v>
      </c>
      <c r="E33" s="118" t="s">
        <v>850</v>
      </c>
      <c r="F33" s="118" t="s">
        <v>848</v>
      </c>
      <c r="G33" s="593">
        <v>42842</v>
      </c>
      <c r="H33" s="118">
        <v>1</v>
      </c>
      <c r="I33" s="118">
        <v>0</v>
      </c>
      <c r="J33" s="588"/>
    </row>
    <row r="34" spans="1:10">
      <c r="A34" s="589" t="s">
        <v>669</v>
      </c>
      <c r="B34" s="592" t="s">
        <v>793</v>
      </c>
      <c r="C34" s="118" t="s">
        <v>842</v>
      </c>
      <c r="D34" s="118" t="s">
        <v>334</v>
      </c>
      <c r="E34" s="118" t="s">
        <v>851</v>
      </c>
      <c r="F34" s="118" t="s">
        <v>848</v>
      </c>
      <c r="G34" s="593">
        <v>44431</v>
      </c>
      <c r="H34" s="118">
        <v>1</v>
      </c>
      <c r="I34" s="118">
        <v>0</v>
      </c>
      <c r="J34" s="588"/>
    </row>
    <row r="35" spans="1:10">
      <c r="A35" s="589" t="s">
        <v>786</v>
      </c>
      <c r="B35" s="592" t="s">
        <v>793</v>
      </c>
      <c r="C35" s="118" t="s">
        <v>842</v>
      </c>
      <c r="D35" s="118" t="s">
        <v>334</v>
      </c>
      <c r="E35" s="118" t="s">
        <v>852</v>
      </c>
      <c r="F35" s="118" t="s">
        <v>853</v>
      </c>
      <c r="G35" s="593">
        <v>42562</v>
      </c>
      <c r="H35" s="118">
        <v>1</v>
      </c>
      <c r="I35" s="118">
        <v>0</v>
      </c>
      <c r="J35" s="588"/>
    </row>
    <row r="36" spans="1:10">
      <c r="A36" s="589" t="s">
        <v>786</v>
      </c>
      <c r="B36" s="592" t="s">
        <v>793</v>
      </c>
      <c r="C36" s="118" t="s">
        <v>854</v>
      </c>
      <c r="D36" s="118" t="s">
        <v>334</v>
      </c>
      <c r="E36" s="118" t="s">
        <v>855</v>
      </c>
      <c r="F36" s="118" t="s">
        <v>856</v>
      </c>
      <c r="G36" s="593">
        <v>43525</v>
      </c>
      <c r="H36" s="118">
        <v>1</v>
      </c>
      <c r="I36" s="118">
        <v>0</v>
      </c>
      <c r="J36" s="588"/>
    </row>
    <row r="37" spans="1:10">
      <c r="A37" s="589" t="s">
        <v>786</v>
      </c>
      <c r="B37" s="592" t="s">
        <v>857</v>
      </c>
      <c r="C37" s="118" t="s">
        <v>858</v>
      </c>
      <c r="D37" s="118" t="s">
        <v>334</v>
      </c>
      <c r="E37" s="118" t="s">
        <v>859</v>
      </c>
      <c r="F37" s="118" t="s">
        <v>860</v>
      </c>
      <c r="G37" s="593">
        <v>44382</v>
      </c>
      <c r="H37" s="118">
        <v>1</v>
      </c>
      <c r="I37" s="118">
        <v>0</v>
      </c>
      <c r="J37" s="588"/>
    </row>
    <row r="38" spans="1:10">
      <c r="A38" s="589" t="s">
        <v>669</v>
      </c>
      <c r="B38" s="592" t="s">
        <v>787</v>
      </c>
      <c r="C38" s="118" t="s">
        <v>858</v>
      </c>
      <c r="D38" s="118" t="s">
        <v>335</v>
      </c>
      <c r="E38" s="118" t="s">
        <v>861</v>
      </c>
      <c r="F38" s="118" t="s">
        <v>860</v>
      </c>
      <c r="G38" s="593">
        <v>42777</v>
      </c>
      <c r="H38" s="118">
        <v>1</v>
      </c>
      <c r="I38" s="118">
        <v>0</v>
      </c>
      <c r="J38" s="588"/>
    </row>
    <row r="39" spans="1:10">
      <c r="A39" s="589" t="s">
        <v>669</v>
      </c>
      <c r="B39" s="592" t="s">
        <v>857</v>
      </c>
      <c r="C39" s="118" t="s">
        <v>858</v>
      </c>
      <c r="D39" s="118" t="s">
        <v>335</v>
      </c>
      <c r="E39" s="118" t="s">
        <v>862</v>
      </c>
      <c r="F39" s="118" t="s">
        <v>863</v>
      </c>
      <c r="G39" s="597">
        <v>45717</v>
      </c>
      <c r="H39" s="118"/>
      <c r="I39" s="118">
        <v>0</v>
      </c>
      <c r="J39" s="588"/>
    </row>
    <row r="40" spans="1:10">
      <c r="A40" s="589" t="s">
        <v>669</v>
      </c>
      <c r="B40" s="592" t="s">
        <v>857</v>
      </c>
      <c r="C40" s="118" t="s">
        <v>858</v>
      </c>
      <c r="D40" s="118" t="s">
        <v>335</v>
      </c>
      <c r="E40" s="118" t="s">
        <v>864</v>
      </c>
      <c r="F40" s="118" t="s">
        <v>865</v>
      </c>
      <c r="G40" s="593">
        <v>43911</v>
      </c>
      <c r="H40" s="118"/>
      <c r="I40" s="118">
        <v>0</v>
      </c>
      <c r="J40" s="588"/>
    </row>
    <row r="41" spans="1:10">
      <c r="A41" s="589" t="s">
        <v>786</v>
      </c>
      <c r="B41" s="592" t="s">
        <v>793</v>
      </c>
      <c r="C41" s="118" t="s">
        <v>842</v>
      </c>
      <c r="D41" s="118" t="s">
        <v>334</v>
      </c>
      <c r="E41" s="118" t="s">
        <v>866</v>
      </c>
      <c r="F41" s="118" t="s">
        <v>867</v>
      </c>
      <c r="G41" s="593">
        <v>41534</v>
      </c>
      <c r="H41" s="118">
        <v>1</v>
      </c>
      <c r="I41" s="118">
        <v>5</v>
      </c>
      <c r="J41" s="588"/>
    </row>
    <row r="42" spans="1:10">
      <c r="A42" s="589" t="s">
        <v>669</v>
      </c>
      <c r="B42" s="592" t="s">
        <v>793</v>
      </c>
      <c r="C42" s="118" t="s">
        <v>842</v>
      </c>
      <c r="D42" s="118" t="s">
        <v>335</v>
      </c>
      <c r="E42" s="118" t="s">
        <v>868</v>
      </c>
      <c r="F42" s="118" t="s">
        <v>867</v>
      </c>
      <c r="G42" s="593">
        <v>44200</v>
      </c>
      <c r="H42" s="118">
        <v>1</v>
      </c>
      <c r="I42" s="118">
        <v>1</v>
      </c>
      <c r="J42" s="588"/>
    </row>
    <row r="43" spans="1:10">
      <c r="A43" s="589" t="s">
        <v>669</v>
      </c>
      <c r="B43" s="592" t="s">
        <v>793</v>
      </c>
      <c r="C43" s="118" t="s">
        <v>842</v>
      </c>
      <c r="D43" s="118" t="s">
        <v>334</v>
      </c>
      <c r="E43" s="118" t="s">
        <v>869</v>
      </c>
      <c r="F43" s="118" t="s">
        <v>853</v>
      </c>
      <c r="G43" s="593">
        <v>43187</v>
      </c>
      <c r="H43" s="118">
        <v>1</v>
      </c>
      <c r="I43" s="118">
        <v>1</v>
      </c>
      <c r="J43" s="588"/>
    </row>
    <row r="44" spans="1:10">
      <c r="A44" s="589" t="s">
        <v>786</v>
      </c>
      <c r="B44" s="592" t="s">
        <v>793</v>
      </c>
      <c r="C44" s="118" t="s">
        <v>870</v>
      </c>
      <c r="D44" s="118" t="s">
        <v>334</v>
      </c>
      <c r="E44" s="118" t="s">
        <v>871</v>
      </c>
      <c r="F44" s="118" t="s">
        <v>872</v>
      </c>
      <c r="G44" s="593">
        <v>43292</v>
      </c>
      <c r="H44" s="118">
        <v>1</v>
      </c>
      <c r="I44" s="118">
        <v>1</v>
      </c>
      <c r="J44" s="588"/>
    </row>
    <row r="45" spans="1:10">
      <c r="A45" s="589" t="s">
        <v>786</v>
      </c>
      <c r="B45" s="600" t="s">
        <v>787</v>
      </c>
      <c r="C45" s="118" t="s">
        <v>35</v>
      </c>
      <c r="D45" s="118" t="s">
        <v>873</v>
      </c>
      <c r="E45" s="118" t="s">
        <v>874</v>
      </c>
      <c r="F45" s="118" t="s">
        <v>860</v>
      </c>
      <c r="G45" s="593">
        <v>44788</v>
      </c>
      <c r="H45" s="118">
        <v>1</v>
      </c>
      <c r="I45" s="118">
        <v>0</v>
      </c>
      <c r="J45" s="588"/>
    </row>
    <row r="46" spans="1:10">
      <c r="A46" s="589" t="s">
        <v>786</v>
      </c>
      <c r="B46" s="600" t="s">
        <v>857</v>
      </c>
      <c r="C46" s="118" t="s">
        <v>858</v>
      </c>
      <c r="D46" s="118" t="s">
        <v>873</v>
      </c>
      <c r="E46" s="118" t="s">
        <v>875</v>
      </c>
      <c r="F46" s="118" t="s">
        <v>876</v>
      </c>
      <c r="G46" s="597">
        <v>45762</v>
      </c>
      <c r="H46" s="118">
        <v>1</v>
      </c>
      <c r="I46" s="118">
        <v>0</v>
      </c>
      <c r="J46" s="588"/>
    </row>
    <row r="47" spans="1:10">
      <c r="A47" s="589" t="s">
        <v>669</v>
      </c>
      <c r="B47" s="592" t="s">
        <v>857</v>
      </c>
      <c r="C47" s="118" t="s">
        <v>877</v>
      </c>
      <c r="D47" s="118" t="s">
        <v>334</v>
      </c>
      <c r="E47" s="118" t="s">
        <v>878</v>
      </c>
      <c r="F47" s="118" t="s">
        <v>865</v>
      </c>
      <c r="G47" s="593">
        <v>41852</v>
      </c>
      <c r="H47" s="118">
        <v>1</v>
      </c>
      <c r="I47" s="118">
        <v>0</v>
      </c>
      <c r="J47" s="588"/>
    </row>
    <row r="48" spans="1:10">
      <c r="A48" s="589" t="s">
        <v>669</v>
      </c>
      <c r="B48" s="592" t="s">
        <v>857</v>
      </c>
      <c r="C48" s="118" t="s">
        <v>877</v>
      </c>
      <c r="D48" s="118" t="s">
        <v>334</v>
      </c>
      <c r="E48" s="118" t="s">
        <v>879</v>
      </c>
      <c r="F48" s="118" t="s">
        <v>880</v>
      </c>
      <c r="G48" s="593">
        <v>40717</v>
      </c>
      <c r="H48" s="118"/>
      <c r="I48" s="118">
        <v>0</v>
      </c>
      <c r="J48" s="588"/>
    </row>
    <row r="49" spans="1:10">
      <c r="A49" s="589" t="s">
        <v>669</v>
      </c>
      <c r="B49" s="592" t="s">
        <v>787</v>
      </c>
      <c r="C49" s="118" t="s">
        <v>877</v>
      </c>
      <c r="D49" s="118" t="s">
        <v>881</v>
      </c>
      <c r="E49" s="118" t="s">
        <v>882</v>
      </c>
      <c r="F49" s="118" t="s">
        <v>883</v>
      </c>
      <c r="G49" s="593">
        <v>42553</v>
      </c>
      <c r="H49" s="118">
        <v>1</v>
      </c>
      <c r="I49" s="118">
        <v>0</v>
      </c>
      <c r="J49" s="588"/>
    </row>
    <row r="50" spans="1:10">
      <c r="A50" s="589" t="s">
        <v>669</v>
      </c>
      <c r="B50" s="592" t="s">
        <v>857</v>
      </c>
      <c r="C50" s="118" t="s">
        <v>877</v>
      </c>
      <c r="D50" s="118" t="s">
        <v>881</v>
      </c>
      <c r="E50" s="118" t="s">
        <v>884</v>
      </c>
      <c r="F50" s="118" t="s">
        <v>885</v>
      </c>
      <c r="G50" s="593">
        <v>42522</v>
      </c>
      <c r="H50" s="118">
        <v>1</v>
      </c>
      <c r="I50" s="118">
        <v>0</v>
      </c>
      <c r="J50" s="588"/>
    </row>
    <row r="51" spans="1:10">
      <c r="A51" s="589" t="s">
        <v>786</v>
      </c>
      <c r="B51" s="592" t="s">
        <v>793</v>
      </c>
      <c r="C51" s="118" t="s">
        <v>854</v>
      </c>
      <c r="D51" s="118" t="s">
        <v>334</v>
      </c>
      <c r="E51" s="118" t="s">
        <v>886</v>
      </c>
      <c r="F51" s="118" t="s">
        <v>887</v>
      </c>
      <c r="G51" s="593">
        <v>44378</v>
      </c>
      <c r="H51" s="118">
        <v>1</v>
      </c>
      <c r="I51" s="118">
        <v>7</v>
      </c>
      <c r="J51" s="588"/>
    </row>
    <row r="52" spans="1:10">
      <c r="A52" s="589" t="s">
        <v>669</v>
      </c>
      <c r="B52" s="592" t="s">
        <v>793</v>
      </c>
      <c r="C52" s="118" t="s">
        <v>854</v>
      </c>
      <c r="D52" s="118" t="s">
        <v>335</v>
      </c>
      <c r="E52" s="118" t="s">
        <v>888</v>
      </c>
      <c r="F52" s="118" t="s">
        <v>887</v>
      </c>
      <c r="G52" s="593">
        <v>44777</v>
      </c>
      <c r="H52" s="118">
        <v>1</v>
      </c>
      <c r="I52" s="118">
        <v>3</v>
      </c>
      <c r="J52" s="588"/>
    </row>
    <row r="53" spans="1:10">
      <c r="A53" s="589" t="s">
        <v>669</v>
      </c>
      <c r="B53" s="592" t="s">
        <v>787</v>
      </c>
      <c r="C53" s="118" t="s">
        <v>877</v>
      </c>
      <c r="D53" s="118" t="s">
        <v>334</v>
      </c>
      <c r="E53" s="118" t="s">
        <v>889</v>
      </c>
      <c r="F53" s="118" t="s">
        <v>890</v>
      </c>
      <c r="G53" s="593">
        <v>42797</v>
      </c>
      <c r="H53" s="118">
        <v>1</v>
      </c>
      <c r="I53" s="118">
        <v>0</v>
      </c>
      <c r="J53" s="588"/>
    </row>
    <row r="54" spans="1:10" ht="12.9" customHeight="1">
      <c r="A54" s="589" t="s">
        <v>669</v>
      </c>
      <c r="B54" s="592" t="s">
        <v>857</v>
      </c>
      <c r="C54" s="118" t="s">
        <v>877</v>
      </c>
      <c r="D54" s="118" t="s">
        <v>891</v>
      </c>
      <c r="E54" s="118" t="s">
        <v>892</v>
      </c>
      <c r="F54" s="118" t="s">
        <v>883</v>
      </c>
      <c r="G54" s="593">
        <v>45075</v>
      </c>
      <c r="H54" s="118">
        <v>1</v>
      </c>
      <c r="I54" s="118">
        <v>0</v>
      </c>
      <c r="J54" s="588"/>
    </row>
    <row r="55" spans="1:10">
      <c r="A55" s="589" t="s">
        <v>669</v>
      </c>
      <c r="B55" s="592" t="s">
        <v>857</v>
      </c>
      <c r="C55" s="118" t="s">
        <v>877</v>
      </c>
      <c r="D55" s="118" t="s">
        <v>893</v>
      </c>
      <c r="E55" s="118" t="s">
        <v>894</v>
      </c>
      <c r="F55" s="118" t="s">
        <v>883</v>
      </c>
      <c r="G55" s="593">
        <v>44968</v>
      </c>
      <c r="H55" s="118">
        <v>1</v>
      </c>
      <c r="I55" s="118">
        <v>0</v>
      </c>
      <c r="J55" s="588"/>
    </row>
    <row r="56" spans="1:10">
      <c r="A56" s="589" t="s">
        <v>669</v>
      </c>
      <c r="B56" s="592" t="s">
        <v>787</v>
      </c>
      <c r="C56" s="118" t="s">
        <v>877</v>
      </c>
      <c r="D56" s="118" t="s">
        <v>895</v>
      </c>
      <c r="E56" s="118" t="s">
        <v>896</v>
      </c>
      <c r="F56" s="118" t="s">
        <v>883</v>
      </c>
      <c r="G56" s="593">
        <v>42945</v>
      </c>
      <c r="H56" s="118">
        <v>1</v>
      </c>
      <c r="I56" s="118">
        <v>0</v>
      </c>
      <c r="J56" s="588"/>
    </row>
    <row r="57" spans="1:10">
      <c r="A57" s="589" t="s">
        <v>669</v>
      </c>
      <c r="B57" s="592" t="s">
        <v>787</v>
      </c>
      <c r="C57" s="118" t="s">
        <v>877</v>
      </c>
      <c r="D57" s="118" t="s">
        <v>897</v>
      </c>
      <c r="E57" s="118" t="s">
        <v>898</v>
      </c>
      <c r="F57" s="118" t="s">
        <v>883</v>
      </c>
      <c r="G57" s="593">
        <v>43412</v>
      </c>
      <c r="H57" s="118">
        <v>1</v>
      </c>
      <c r="I57" s="118">
        <v>0</v>
      </c>
      <c r="J57" s="588"/>
    </row>
    <row r="58" spans="1:10">
      <c r="A58" s="589" t="s">
        <v>786</v>
      </c>
      <c r="B58" s="592" t="s">
        <v>793</v>
      </c>
      <c r="C58" s="118" t="s">
        <v>831</v>
      </c>
      <c r="D58" s="118" t="s">
        <v>334</v>
      </c>
      <c r="E58" s="118" t="s">
        <v>899</v>
      </c>
      <c r="F58" s="118" t="s">
        <v>900</v>
      </c>
      <c r="G58" s="593">
        <v>42376</v>
      </c>
      <c r="H58" s="118"/>
      <c r="I58" s="118">
        <v>0</v>
      </c>
      <c r="J58" s="588"/>
    </row>
    <row r="59" spans="1:10">
      <c r="A59" s="589" t="s">
        <v>786</v>
      </c>
      <c r="B59" s="592" t="s">
        <v>857</v>
      </c>
      <c r="C59" s="118" t="s">
        <v>858</v>
      </c>
      <c r="D59" s="118" t="s">
        <v>334</v>
      </c>
      <c r="E59" s="118" t="s">
        <v>901</v>
      </c>
      <c r="F59" s="118" t="s">
        <v>902</v>
      </c>
      <c r="G59" s="593">
        <v>44277</v>
      </c>
      <c r="H59" s="118"/>
      <c r="I59" s="118">
        <v>3</v>
      </c>
      <c r="J59" s="588"/>
    </row>
    <row r="60" spans="1:10">
      <c r="A60" s="589" t="s">
        <v>786</v>
      </c>
      <c r="B60" s="592" t="s">
        <v>793</v>
      </c>
      <c r="C60" s="118" t="s">
        <v>831</v>
      </c>
      <c r="D60" s="118" t="s">
        <v>334</v>
      </c>
      <c r="E60" s="118" t="s">
        <v>903</v>
      </c>
      <c r="F60" s="118" t="s">
        <v>876</v>
      </c>
      <c r="G60" s="595">
        <v>45824</v>
      </c>
      <c r="H60" s="118"/>
      <c r="I60" s="118">
        <v>0</v>
      </c>
      <c r="J60" s="588"/>
    </row>
    <row r="61" spans="1:10">
      <c r="A61" s="589" t="s">
        <v>669</v>
      </c>
      <c r="B61" s="601" t="s">
        <v>787</v>
      </c>
      <c r="C61" s="118" t="s">
        <v>35</v>
      </c>
      <c r="D61" s="118" t="s">
        <v>335</v>
      </c>
      <c r="E61" s="118" t="s">
        <v>904</v>
      </c>
      <c r="F61" s="118" t="s">
        <v>789</v>
      </c>
      <c r="G61" s="602">
        <v>43313</v>
      </c>
      <c r="H61" s="118"/>
      <c r="I61" s="118">
        <v>1</v>
      </c>
      <c r="J61" s="588"/>
    </row>
    <row r="62" spans="1:10">
      <c r="A62" s="589" t="s">
        <v>669</v>
      </c>
      <c r="B62" s="601" t="s">
        <v>787</v>
      </c>
      <c r="C62" s="118" t="s">
        <v>35</v>
      </c>
      <c r="D62" s="118" t="s">
        <v>335</v>
      </c>
      <c r="E62" s="118" t="s">
        <v>905</v>
      </c>
      <c r="F62" s="118" t="s">
        <v>789</v>
      </c>
      <c r="G62" s="602"/>
      <c r="H62" s="118">
        <v>1</v>
      </c>
      <c r="I62" s="118">
        <v>1</v>
      </c>
      <c r="J62" s="588"/>
    </row>
    <row r="63" spans="1:10">
      <c r="A63" s="589" t="s">
        <v>669</v>
      </c>
      <c r="B63" s="592" t="s">
        <v>857</v>
      </c>
      <c r="C63" s="118" t="s">
        <v>831</v>
      </c>
      <c r="D63" s="118" t="s">
        <v>334</v>
      </c>
      <c r="E63" s="118" t="s">
        <v>906</v>
      </c>
      <c r="F63" s="118" t="s">
        <v>876</v>
      </c>
      <c r="G63" s="597">
        <v>45754</v>
      </c>
      <c r="H63" s="118"/>
      <c r="I63" s="118">
        <v>0</v>
      </c>
      <c r="J63" s="588"/>
    </row>
    <row r="64" spans="1:10">
      <c r="A64" s="589" t="s">
        <v>669</v>
      </c>
      <c r="B64" s="592" t="s">
        <v>857</v>
      </c>
      <c r="C64" s="118" t="s">
        <v>858</v>
      </c>
      <c r="D64" s="118" t="s">
        <v>335</v>
      </c>
      <c r="E64" s="118" t="s">
        <v>907</v>
      </c>
      <c r="F64" s="118" t="s">
        <v>908</v>
      </c>
      <c r="G64" s="593">
        <v>43598</v>
      </c>
      <c r="H64" s="118"/>
      <c r="I64" s="118">
        <v>1</v>
      </c>
      <c r="J64" s="588"/>
    </row>
    <row r="65" spans="1:10">
      <c r="A65" s="589" t="s">
        <v>669</v>
      </c>
      <c r="B65" s="592" t="s">
        <v>857</v>
      </c>
      <c r="C65" s="118" t="s">
        <v>831</v>
      </c>
      <c r="D65" s="118" t="s">
        <v>334</v>
      </c>
      <c r="E65" s="118" t="s">
        <v>909</v>
      </c>
      <c r="F65" s="118" t="s">
        <v>876</v>
      </c>
      <c r="G65" s="597">
        <v>45925</v>
      </c>
      <c r="H65" s="118"/>
      <c r="I65" s="118">
        <v>0</v>
      </c>
      <c r="J65" s="588"/>
    </row>
    <row r="66" spans="1:10">
      <c r="A66" s="589" t="s">
        <v>669</v>
      </c>
      <c r="B66" s="592" t="s">
        <v>857</v>
      </c>
      <c r="C66" s="118" t="s">
        <v>831</v>
      </c>
      <c r="D66" s="118" t="s">
        <v>334</v>
      </c>
      <c r="E66" s="118" t="s">
        <v>910</v>
      </c>
      <c r="F66" s="118" t="s">
        <v>876</v>
      </c>
      <c r="G66" s="597">
        <v>45510</v>
      </c>
      <c r="H66" s="118"/>
      <c r="I66" s="118">
        <v>0</v>
      </c>
      <c r="J66" s="588"/>
    </row>
    <row r="67" spans="1:10">
      <c r="A67" s="589" t="s">
        <v>669</v>
      </c>
      <c r="B67" s="592" t="s">
        <v>793</v>
      </c>
      <c r="C67" s="118" t="s">
        <v>870</v>
      </c>
      <c r="D67" s="118" t="s">
        <v>334</v>
      </c>
      <c r="E67" s="118" t="s">
        <v>911</v>
      </c>
      <c r="F67" s="118" t="s">
        <v>912</v>
      </c>
      <c r="G67" s="593">
        <v>40770</v>
      </c>
      <c r="H67" s="118"/>
      <c r="I67" s="118">
        <v>0</v>
      </c>
      <c r="J67" s="588"/>
    </row>
    <row r="68" spans="1:10">
      <c r="A68" s="589" t="s">
        <v>669</v>
      </c>
      <c r="B68" s="592" t="s">
        <v>793</v>
      </c>
      <c r="C68" s="118" t="s">
        <v>870</v>
      </c>
      <c r="D68" s="118" t="s">
        <v>334</v>
      </c>
      <c r="E68" s="118" t="s">
        <v>913</v>
      </c>
      <c r="F68" s="118" t="s">
        <v>872</v>
      </c>
      <c r="G68" s="593">
        <v>40812</v>
      </c>
      <c r="H68" s="118"/>
      <c r="I68" s="118">
        <v>0</v>
      </c>
      <c r="J68" s="588"/>
    </row>
    <row r="69" spans="1:10">
      <c r="A69" s="589" t="s">
        <v>669</v>
      </c>
      <c r="B69" s="592" t="s">
        <v>857</v>
      </c>
      <c r="C69" s="118" t="s">
        <v>858</v>
      </c>
      <c r="D69" s="118" t="s">
        <v>335</v>
      </c>
      <c r="E69" s="118" t="s">
        <v>914</v>
      </c>
      <c r="F69" s="118" t="s">
        <v>902</v>
      </c>
      <c r="G69" s="593">
        <v>44550</v>
      </c>
      <c r="H69" s="118"/>
      <c r="I69" s="118">
        <v>2</v>
      </c>
      <c r="J69" s="588"/>
    </row>
    <row r="70" spans="1:10">
      <c r="A70" s="589" t="s">
        <v>669</v>
      </c>
      <c r="B70" s="592" t="s">
        <v>793</v>
      </c>
      <c r="C70" s="118" t="s">
        <v>870</v>
      </c>
      <c r="D70" s="118" t="s">
        <v>334</v>
      </c>
      <c r="E70" s="118" t="s">
        <v>915</v>
      </c>
      <c r="F70" s="118" t="s">
        <v>872</v>
      </c>
      <c r="G70" s="593">
        <v>42954</v>
      </c>
      <c r="H70" s="118"/>
      <c r="I70" s="118">
        <v>0</v>
      </c>
      <c r="J70" s="588"/>
    </row>
    <row r="71" spans="1:10">
      <c r="A71" s="589" t="s">
        <v>669</v>
      </c>
      <c r="B71" s="592" t="s">
        <v>793</v>
      </c>
      <c r="C71" s="118" t="s">
        <v>870</v>
      </c>
      <c r="D71" s="118" t="s">
        <v>334</v>
      </c>
      <c r="E71" s="118" t="s">
        <v>916</v>
      </c>
      <c r="F71" s="118" t="s">
        <v>872</v>
      </c>
      <c r="G71" s="593">
        <v>44781</v>
      </c>
      <c r="H71" s="118"/>
      <c r="I71" s="118">
        <v>0</v>
      </c>
      <c r="J71" s="588"/>
    </row>
    <row r="72" spans="1:10">
      <c r="A72" s="589" t="s">
        <v>786</v>
      </c>
      <c r="B72" s="592" t="s">
        <v>787</v>
      </c>
      <c r="C72" s="118" t="s">
        <v>35</v>
      </c>
      <c r="D72" s="118" t="s">
        <v>873</v>
      </c>
      <c r="E72" s="118" t="s">
        <v>905</v>
      </c>
      <c r="F72" s="118" t="s">
        <v>789</v>
      </c>
      <c r="G72" s="593">
        <v>42539</v>
      </c>
      <c r="H72" s="118">
        <v>1</v>
      </c>
      <c r="I72" s="118">
        <v>1</v>
      </c>
      <c r="J72" s="588"/>
    </row>
    <row r="73" spans="1:10">
      <c r="A73" s="589" t="s">
        <v>669</v>
      </c>
      <c r="B73" s="592" t="s">
        <v>793</v>
      </c>
      <c r="C73" s="118" t="s">
        <v>870</v>
      </c>
      <c r="D73" s="118" t="s">
        <v>334</v>
      </c>
      <c r="E73" s="118" t="s">
        <v>917</v>
      </c>
      <c r="F73" s="118" t="s">
        <v>872</v>
      </c>
      <c r="G73" s="597">
        <v>45495</v>
      </c>
      <c r="H73" s="118"/>
      <c r="I73" s="118">
        <v>0</v>
      </c>
      <c r="J73" s="588"/>
    </row>
    <row r="74" spans="1:10">
      <c r="A74" s="589" t="s">
        <v>786</v>
      </c>
      <c r="B74" s="592" t="s">
        <v>857</v>
      </c>
      <c r="C74" s="118" t="s">
        <v>858</v>
      </c>
      <c r="D74" s="118" t="s">
        <v>334</v>
      </c>
      <c r="E74" s="118" t="s">
        <v>918</v>
      </c>
      <c r="F74" s="118" t="s">
        <v>908</v>
      </c>
      <c r="G74" s="593">
        <v>42889</v>
      </c>
      <c r="H74" s="118"/>
      <c r="I74" s="118">
        <v>0</v>
      </c>
      <c r="J74" s="588"/>
    </row>
    <row r="75" spans="1:10">
      <c r="A75" s="589" t="s">
        <v>786</v>
      </c>
      <c r="B75" s="592" t="s">
        <v>857</v>
      </c>
      <c r="C75" s="118" t="s">
        <v>858</v>
      </c>
      <c r="D75" s="118" t="s">
        <v>334</v>
      </c>
      <c r="E75" s="118" t="s">
        <v>919</v>
      </c>
      <c r="F75" s="118" t="s">
        <v>920</v>
      </c>
      <c r="G75" s="597">
        <v>45563</v>
      </c>
      <c r="H75" s="118"/>
      <c r="I75" s="118">
        <v>0</v>
      </c>
      <c r="J75" s="588"/>
    </row>
    <row r="76" spans="1:10">
      <c r="A76" s="589" t="s">
        <v>786</v>
      </c>
      <c r="B76" s="592" t="s">
        <v>857</v>
      </c>
      <c r="C76" s="118" t="s">
        <v>858</v>
      </c>
      <c r="D76" s="118" t="s">
        <v>334</v>
      </c>
      <c r="E76" s="118" t="s">
        <v>921</v>
      </c>
      <c r="F76" s="118" t="s">
        <v>902</v>
      </c>
      <c r="G76" s="593">
        <v>44686</v>
      </c>
      <c r="H76" s="118"/>
      <c r="I76" s="118">
        <v>0</v>
      </c>
      <c r="J76" s="588"/>
    </row>
    <row r="77" spans="1:10">
      <c r="A77" s="589" t="s">
        <v>786</v>
      </c>
      <c r="B77" s="592" t="s">
        <v>857</v>
      </c>
      <c r="C77" s="118" t="s">
        <v>858</v>
      </c>
      <c r="D77" s="118" t="s">
        <v>334</v>
      </c>
      <c r="E77" s="118" t="s">
        <v>922</v>
      </c>
      <c r="F77" s="118" t="s">
        <v>902</v>
      </c>
      <c r="G77" s="593">
        <v>43928</v>
      </c>
      <c r="H77" s="118"/>
      <c r="I77" s="118">
        <v>0</v>
      </c>
      <c r="J77" s="588"/>
    </row>
    <row r="78" spans="1:10">
      <c r="A78" s="589" t="s">
        <v>786</v>
      </c>
      <c r="B78" s="592" t="s">
        <v>857</v>
      </c>
      <c r="C78" s="118" t="s">
        <v>858</v>
      </c>
      <c r="D78" s="118" t="s">
        <v>334</v>
      </c>
      <c r="E78" s="118" t="s">
        <v>923</v>
      </c>
      <c r="F78" s="118" t="s">
        <v>902</v>
      </c>
      <c r="G78" s="593">
        <v>44446</v>
      </c>
      <c r="H78" s="118"/>
      <c r="I78" s="118">
        <v>0</v>
      </c>
      <c r="J78" s="588"/>
    </row>
    <row r="79" spans="1:10">
      <c r="A79" s="589" t="s">
        <v>786</v>
      </c>
      <c r="B79" s="592" t="s">
        <v>857</v>
      </c>
      <c r="C79" s="118" t="s">
        <v>858</v>
      </c>
      <c r="D79" s="118" t="s">
        <v>334</v>
      </c>
      <c r="E79" s="118" t="s">
        <v>924</v>
      </c>
      <c r="F79" s="118" t="s">
        <v>925</v>
      </c>
      <c r="G79" s="593">
        <v>43915</v>
      </c>
      <c r="H79" s="118"/>
      <c r="I79" s="118">
        <v>0</v>
      </c>
      <c r="J79" s="588"/>
    </row>
    <row r="80" spans="1:10">
      <c r="A80" s="589" t="s">
        <v>669</v>
      </c>
      <c r="B80" s="592" t="s">
        <v>787</v>
      </c>
      <c r="C80" s="118" t="s">
        <v>858</v>
      </c>
      <c r="D80" s="118" t="s">
        <v>335</v>
      </c>
      <c r="E80" s="118" t="s">
        <v>926</v>
      </c>
      <c r="F80" s="118" t="s">
        <v>920</v>
      </c>
      <c r="G80" s="593">
        <v>42800</v>
      </c>
      <c r="H80" s="118"/>
      <c r="I80" s="118">
        <v>0</v>
      </c>
      <c r="J80" s="588"/>
    </row>
    <row r="81" spans="1:10">
      <c r="A81" s="592" t="s">
        <v>669</v>
      </c>
      <c r="B81" s="592" t="s">
        <v>857</v>
      </c>
      <c r="C81" s="118" t="s">
        <v>858</v>
      </c>
      <c r="D81" s="118" t="s">
        <v>335</v>
      </c>
      <c r="E81" s="118" t="s">
        <v>927</v>
      </c>
      <c r="F81" s="118" t="s">
        <v>925</v>
      </c>
      <c r="G81" s="597">
        <v>42614</v>
      </c>
      <c r="H81" s="118"/>
      <c r="I81" s="118">
        <v>0</v>
      </c>
      <c r="J81" s="588"/>
    </row>
    <row r="82" spans="1:10">
      <c r="A82" s="589" t="s">
        <v>669</v>
      </c>
      <c r="B82" s="592" t="s">
        <v>857</v>
      </c>
      <c r="C82" s="118" t="s">
        <v>858</v>
      </c>
      <c r="D82" s="118" t="s">
        <v>335</v>
      </c>
      <c r="E82" s="118" t="s">
        <v>928</v>
      </c>
      <c r="F82" s="118" t="s">
        <v>902</v>
      </c>
      <c r="G82" s="597">
        <v>45410</v>
      </c>
      <c r="H82" s="118"/>
      <c r="I82" s="118">
        <v>0</v>
      </c>
      <c r="J82" s="588"/>
    </row>
    <row r="83" spans="1:10">
      <c r="A83" s="589" t="s">
        <v>669</v>
      </c>
      <c r="B83" s="592" t="s">
        <v>857</v>
      </c>
      <c r="C83" s="118" t="s">
        <v>858</v>
      </c>
      <c r="D83" s="118" t="s">
        <v>335</v>
      </c>
      <c r="E83" s="118" t="s">
        <v>929</v>
      </c>
      <c r="F83" s="118" t="s">
        <v>902</v>
      </c>
      <c r="G83" s="597">
        <v>45638</v>
      </c>
      <c r="H83" s="118"/>
      <c r="I83" s="118">
        <v>0</v>
      </c>
      <c r="J83" s="588"/>
    </row>
    <row r="84" spans="1:10">
      <c r="A84" s="589" t="s">
        <v>786</v>
      </c>
      <c r="B84" s="600" t="s">
        <v>787</v>
      </c>
      <c r="C84" s="118" t="s">
        <v>35</v>
      </c>
      <c r="D84" s="118" t="s">
        <v>873</v>
      </c>
      <c r="E84" s="118" t="s">
        <v>930</v>
      </c>
      <c r="F84" s="118" t="s">
        <v>860</v>
      </c>
      <c r="G84" s="597">
        <v>46125</v>
      </c>
      <c r="H84" s="118"/>
      <c r="I84" s="118">
        <v>0</v>
      </c>
      <c r="J84" s="588"/>
    </row>
    <row r="85" spans="1:10">
      <c r="A85" s="589" t="s">
        <v>786</v>
      </c>
      <c r="B85" s="600" t="s">
        <v>787</v>
      </c>
      <c r="C85" s="118" t="s">
        <v>35</v>
      </c>
      <c r="D85" s="118" t="s">
        <v>873</v>
      </c>
      <c r="E85" s="118" t="s">
        <v>931</v>
      </c>
      <c r="F85" s="118" t="s">
        <v>860</v>
      </c>
      <c r="G85" s="595">
        <v>46118</v>
      </c>
      <c r="H85" s="118"/>
      <c r="I85" s="118">
        <v>0</v>
      </c>
      <c r="J85" s="588"/>
    </row>
    <row r="86" spans="1:10">
      <c r="A86" s="589" t="s">
        <v>786</v>
      </c>
      <c r="B86" s="603" t="s">
        <v>793</v>
      </c>
      <c r="C86" s="118" t="s">
        <v>822</v>
      </c>
      <c r="D86" s="118" t="s">
        <v>873</v>
      </c>
      <c r="E86" s="118" t="s">
        <v>932</v>
      </c>
      <c r="F86" s="118" t="s">
        <v>826</v>
      </c>
      <c r="G86" s="604">
        <v>46129</v>
      </c>
      <c r="H86" s="118"/>
      <c r="I86" s="118">
        <v>0</v>
      </c>
      <c r="J86" s="588"/>
    </row>
    <row r="87" spans="1:10">
      <c r="A87" s="589" t="s">
        <v>786</v>
      </c>
      <c r="B87" s="592" t="s">
        <v>793</v>
      </c>
      <c r="C87" s="118" t="s">
        <v>877</v>
      </c>
      <c r="D87" s="118" t="s">
        <v>334</v>
      </c>
      <c r="E87" s="118" t="s">
        <v>933</v>
      </c>
      <c r="F87" s="118" t="s">
        <v>880</v>
      </c>
      <c r="G87" s="593">
        <v>42652</v>
      </c>
      <c r="H87" s="118"/>
      <c r="I87" s="118">
        <v>0</v>
      </c>
      <c r="J87" s="588"/>
    </row>
    <row r="88" spans="1:10">
      <c r="A88" s="589" t="s">
        <v>669</v>
      </c>
      <c r="B88" s="592" t="s">
        <v>857</v>
      </c>
      <c r="C88" s="118" t="s">
        <v>877</v>
      </c>
      <c r="D88" s="118" t="s">
        <v>893</v>
      </c>
      <c r="E88" s="118" t="s">
        <v>934</v>
      </c>
      <c r="F88" s="118" t="s">
        <v>902</v>
      </c>
      <c r="G88" s="598">
        <v>45708</v>
      </c>
      <c r="H88" s="118"/>
      <c r="I88" s="118">
        <v>0</v>
      </c>
      <c r="J88" s="118"/>
    </row>
    <row r="89" spans="1:10">
      <c r="A89" s="605" t="s">
        <v>669</v>
      </c>
      <c r="B89" s="606" t="s">
        <v>787</v>
      </c>
      <c r="C89" s="118" t="s">
        <v>35</v>
      </c>
      <c r="D89" s="118" t="s">
        <v>334</v>
      </c>
      <c r="E89" s="118" t="s">
        <v>37</v>
      </c>
      <c r="F89" s="118"/>
      <c r="G89" s="598">
        <v>44249</v>
      </c>
      <c r="H89" s="118">
        <v>1</v>
      </c>
      <c r="I89" s="118">
        <v>0</v>
      </c>
      <c r="J89" s="118"/>
    </row>
    <row r="90" spans="1:10">
      <c r="A90" s="605" t="s">
        <v>669</v>
      </c>
      <c r="B90" s="606" t="s">
        <v>787</v>
      </c>
      <c r="C90" s="118" t="s">
        <v>35</v>
      </c>
      <c r="D90" s="118" t="s">
        <v>334</v>
      </c>
      <c r="E90" s="118" t="s">
        <v>36</v>
      </c>
      <c r="F90" s="118"/>
      <c r="G90" s="598">
        <v>39586</v>
      </c>
      <c r="H90" s="118">
        <v>1</v>
      </c>
      <c r="I90" s="118">
        <v>0</v>
      </c>
      <c r="J90" s="118"/>
    </row>
    <row r="91" spans="1:10">
      <c r="A91" s="605" t="s">
        <v>669</v>
      </c>
      <c r="B91" s="606" t="s">
        <v>787</v>
      </c>
      <c r="C91" s="118" t="s">
        <v>935</v>
      </c>
      <c r="D91" s="118" t="s">
        <v>334</v>
      </c>
      <c r="E91" s="118" t="s">
        <v>38</v>
      </c>
      <c r="F91" s="118"/>
      <c r="G91" s="598">
        <v>44376</v>
      </c>
      <c r="H91" s="118">
        <v>1</v>
      </c>
      <c r="I91" s="118">
        <v>0</v>
      </c>
      <c r="J91" s="118"/>
    </row>
    <row r="92" spans="1:10">
      <c r="A92" s="605" t="s">
        <v>669</v>
      </c>
      <c r="B92" s="606" t="s">
        <v>936</v>
      </c>
      <c r="C92" s="118" t="s">
        <v>937</v>
      </c>
      <c r="D92" s="118" t="s">
        <v>334</v>
      </c>
      <c r="E92" s="118" t="s">
        <v>41</v>
      </c>
      <c r="F92" s="118"/>
      <c r="G92" s="598">
        <v>43326</v>
      </c>
      <c r="H92" s="118">
        <v>1</v>
      </c>
      <c r="I92" s="118">
        <v>1</v>
      </c>
      <c r="J92" s="118"/>
    </row>
    <row r="93" spans="1:10">
      <c r="A93" s="605" t="s">
        <v>669</v>
      </c>
      <c r="B93" s="606" t="s">
        <v>936</v>
      </c>
      <c r="C93" s="118" t="s">
        <v>937</v>
      </c>
      <c r="D93" s="118" t="s">
        <v>334</v>
      </c>
      <c r="E93" s="118" t="s">
        <v>43</v>
      </c>
      <c r="F93" s="118"/>
      <c r="G93" s="598">
        <v>45629</v>
      </c>
      <c r="H93" s="118">
        <v>1</v>
      </c>
      <c r="I93" s="118">
        <v>0</v>
      </c>
      <c r="J93" s="118"/>
    </row>
    <row r="94" spans="1:10">
      <c r="A94" s="605" t="s">
        <v>669</v>
      </c>
      <c r="B94" s="606" t="s">
        <v>936</v>
      </c>
      <c r="C94" s="118" t="s">
        <v>937</v>
      </c>
      <c r="D94" s="118" t="s">
        <v>334</v>
      </c>
      <c r="E94" s="118" t="s">
        <v>44</v>
      </c>
      <c r="F94" s="118"/>
      <c r="G94" s="598">
        <v>43192</v>
      </c>
      <c r="H94" s="118">
        <v>1</v>
      </c>
      <c r="I94" s="118">
        <v>0</v>
      </c>
      <c r="J94" s="118"/>
    </row>
    <row r="95" spans="1:10">
      <c r="A95" s="605" t="s">
        <v>669</v>
      </c>
      <c r="B95" s="606" t="s">
        <v>936</v>
      </c>
      <c r="C95" s="118" t="s">
        <v>938</v>
      </c>
      <c r="D95" s="118" t="s">
        <v>334</v>
      </c>
      <c r="E95" s="118" t="s">
        <v>77</v>
      </c>
      <c r="F95" s="118"/>
      <c r="G95" s="598">
        <v>42430</v>
      </c>
      <c r="H95" s="118">
        <v>1</v>
      </c>
      <c r="I95" s="118">
        <v>0</v>
      </c>
      <c r="J95" s="118"/>
    </row>
    <row r="96" spans="1:10">
      <c r="A96" s="605" t="s">
        <v>669</v>
      </c>
      <c r="B96" s="606" t="s">
        <v>936</v>
      </c>
      <c r="C96" s="118" t="s">
        <v>938</v>
      </c>
      <c r="D96" s="118" t="s">
        <v>334</v>
      </c>
      <c r="E96" s="118" t="s">
        <v>79</v>
      </c>
      <c r="F96" s="118"/>
      <c r="G96" s="598">
        <v>44973</v>
      </c>
      <c r="H96" s="118">
        <v>1</v>
      </c>
      <c r="I96" s="118">
        <v>0</v>
      </c>
      <c r="J96" s="118"/>
    </row>
    <row r="97" spans="1:10">
      <c r="A97" s="605" t="s">
        <v>669</v>
      </c>
      <c r="B97" s="606" t="s">
        <v>936</v>
      </c>
      <c r="C97" s="118" t="s">
        <v>938</v>
      </c>
      <c r="D97" s="118" t="s">
        <v>334</v>
      </c>
      <c r="E97" s="118" t="s">
        <v>80</v>
      </c>
      <c r="F97" s="118"/>
      <c r="G97" s="598">
        <v>44747</v>
      </c>
      <c r="H97" s="118">
        <v>1</v>
      </c>
      <c r="I97" s="118">
        <v>0</v>
      </c>
      <c r="J97" s="118"/>
    </row>
    <row r="98" spans="1:10">
      <c r="A98" s="605" t="s">
        <v>669</v>
      </c>
      <c r="B98" s="606" t="s">
        <v>936</v>
      </c>
      <c r="C98" s="118" t="s">
        <v>938</v>
      </c>
      <c r="D98" s="118" t="s">
        <v>334</v>
      </c>
      <c r="E98" s="118" t="s">
        <v>78</v>
      </c>
      <c r="F98" s="118"/>
      <c r="G98" s="598">
        <v>43192</v>
      </c>
      <c r="H98" s="118">
        <v>1</v>
      </c>
      <c r="I98" s="118">
        <v>0</v>
      </c>
      <c r="J98" s="118"/>
    </row>
    <row r="99" spans="1:10">
      <c r="A99" s="605" t="s">
        <v>669</v>
      </c>
      <c r="B99" s="606" t="s">
        <v>936</v>
      </c>
      <c r="C99" s="118" t="s">
        <v>938</v>
      </c>
      <c r="D99" s="118" t="s">
        <v>334</v>
      </c>
      <c r="E99" s="118" t="s">
        <v>87</v>
      </c>
      <c r="F99" s="118"/>
      <c r="G99" s="598">
        <v>45803</v>
      </c>
      <c r="H99" s="118">
        <v>1</v>
      </c>
      <c r="I99" s="118">
        <v>0</v>
      </c>
      <c r="J99" s="118"/>
    </row>
    <row r="100" spans="1:10">
      <c r="A100" s="605" t="s">
        <v>669</v>
      </c>
      <c r="B100" s="606" t="s">
        <v>936</v>
      </c>
      <c r="C100" s="118" t="s">
        <v>938</v>
      </c>
      <c r="D100" s="118" t="s">
        <v>334</v>
      </c>
      <c r="E100" s="118" t="s">
        <v>86</v>
      </c>
      <c r="F100" s="118"/>
      <c r="G100" s="598">
        <v>46122</v>
      </c>
      <c r="H100" s="118">
        <v>1</v>
      </c>
      <c r="I100" s="118">
        <v>0</v>
      </c>
      <c r="J100" s="118"/>
    </row>
    <row r="101" spans="1:10">
      <c r="A101" s="605" t="s">
        <v>669</v>
      </c>
      <c r="B101" s="606" t="s">
        <v>936</v>
      </c>
      <c r="C101" s="118" t="s">
        <v>938</v>
      </c>
      <c r="D101" s="118" t="s">
        <v>334</v>
      </c>
      <c r="E101" s="118" t="s">
        <v>84</v>
      </c>
      <c r="F101" s="118"/>
      <c r="G101" s="598">
        <v>46160</v>
      </c>
      <c r="H101" s="118">
        <v>1</v>
      </c>
      <c r="I101" s="118">
        <v>0</v>
      </c>
      <c r="J101" s="118"/>
    </row>
    <row r="102" spans="1:10">
      <c r="A102" s="605" t="s">
        <v>669</v>
      </c>
      <c r="B102" s="606" t="s">
        <v>936</v>
      </c>
      <c r="C102" s="118" t="s">
        <v>939</v>
      </c>
      <c r="D102" s="118" t="s">
        <v>334</v>
      </c>
      <c r="E102" s="118" t="s">
        <v>59</v>
      </c>
      <c r="F102" s="118"/>
      <c r="G102" s="598">
        <v>45579</v>
      </c>
      <c r="H102" s="118">
        <v>1</v>
      </c>
      <c r="I102" s="118">
        <v>0</v>
      </c>
      <c r="J102" s="118"/>
    </row>
    <row r="103" spans="1:10">
      <c r="A103" s="605" t="s">
        <v>669</v>
      </c>
      <c r="B103" s="606" t="s">
        <v>936</v>
      </c>
      <c r="C103" s="118" t="s">
        <v>939</v>
      </c>
      <c r="D103" s="118" t="s">
        <v>334</v>
      </c>
      <c r="E103" s="118" t="s">
        <v>53</v>
      </c>
      <c r="F103" s="118"/>
      <c r="G103" s="598">
        <v>43360</v>
      </c>
      <c r="H103" s="118">
        <v>1</v>
      </c>
      <c r="I103" s="118">
        <v>1</v>
      </c>
      <c r="J103" s="118"/>
    </row>
    <row r="104" spans="1:10">
      <c r="A104" s="605" t="s">
        <v>669</v>
      </c>
      <c r="B104" s="606" t="s">
        <v>936</v>
      </c>
      <c r="C104" s="118" t="s">
        <v>939</v>
      </c>
      <c r="D104" s="118" t="s">
        <v>334</v>
      </c>
      <c r="E104" s="118" t="s">
        <v>54</v>
      </c>
      <c r="F104" s="118"/>
      <c r="G104" s="598">
        <v>43523</v>
      </c>
      <c r="H104" s="118">
        <v>1</v>
      </c>
      <c r="I104" s="118">
        <v>1</v>
      </c>
      <c r="J104" s="118"/>
    </row>
    <row r="105" spans="1:10">
      <c r="A105" s="605" t="s">
        <v>669</v>
      </c>
      <c r="B105" s="606" t="s">
        <v>936</v>
      </c>
      <c r="C105" s="118" t="s">
        <v>939</v>
      </c>
      <c r="D105" s="118" t="s">
        <v>334</v>
      </c>
      <c r="E105" s="118" t="s">
        <v>55</v>
      </c>
      <c r="F105" s="118"/>
      <c r="G105" s="598">
        <v>43697</v>
      </c>
      <c r="H105" s="118">
        <v>1</v>
      </c>
      <c r="I105" s="118">
        <v>1</v>
      </c>
      <c r="J105" s="118"/>
    </row>
    <row r="106" spans="1:10">
      <c r="A106" s="605" t="s">
        <v>669</v>
      </c>
      <c r="B106" s="606" t="s">
        <v>936</v>
      </c>
      <c r="C106" s="118" t="s">
        <v>939</v>
      </c>
      <c r="D106" s="118" t="s">
        <v>334</v>
      </c>
      <c r="E106" s="118" t="s">
        <v>58</v>
      </c>
      <c r="F106" s="118"/>
      <c r="G106" s="598">
        <v>45357</v>
      </c>
      <c r="H106" s="118">
        <v>1</v>
      </c>
      <c r="I106" s="118">
        <v>0</v>
      </c>
      <c r="J106" s="118"/>
    </row>
    <row r="107" spans="1:10">
      <c r="A107" s="605" t="s">
        <v>669</v>
      </c>
      <c r="B107" s="606" t="s">
        <v>936</v>
      </c>
      <c r="C107" s="118" t="s">
        <v>939</v>
      </c>
      <c r="D107" s="118" t="s">
        <v>334</v>
      </c>
      <c r="E107" s="118" t="s">
        <v>57</v>
      </c>
      <c r="F107" s="118"/>
      <c r="G107" s="598">
        <v>44830</v>
      </c>
      <c r="H107" s="118">
        <v>1</v>
      </c>
      <c r="I107" s="118">
        <v>1</v>
      </c>
      <c r="J107" s="118"/>
    </row>
    <row r="108" spans="1:10">
      <c r="A108" s="605" t="s">
        <v>669</v>
      </c>
      <c r="B108" s="606" t="s">
        <v>936</v>
      </c>
      <c r="C108" s="118" t="s">
        <v>940</v>
      </c>
      <c r="D108" s="118" t="s">
        <v>334</v>
      </c>
      <c r="E108" s="118" t="s">
        <v>90</v>
      </c>
      <c r="F108" s="118"/>
      <c r="G108" s="598">
        <v>38620</v>
      </c>
      <c r="H108" s="118">
        <v>1</v>
      </c>
      <c r="I108" s="118">
        <v>0</v>
      </c>
      <c r="J108" s="118"/>
    </row>
    <row r="109" spans="1:10">
      <c r="A109" s="605" t="s">
        <v>669</v>
      </c>
      <c r="B109" s="606" t="s">
        <v>936</v>
      </c>
      <c r="C109" s="118" t="s">
        <v>940</v>
      </c>
      <c r="D109" s="118" t="s">
        <v>334</v>
      </c>
      <c r="E109" s="118" t="s">
        <v>92</v>
      </c>
      <c r="F109" s="118"/>
      <c r="G109" s="598">
        <v>39014</v>
      </c>
      <c r="H109" s="118">
        <v>1</v>
      </c>
      <c r="I109" s="118">
        <v>0</v>
      </c>
      <c r="J109" s="118"/>
    </row>
    <row r="110" spans="1:10">
      <c r="A110" s="605" t="s">
        <v>669</v>
      </c>
      <c r="B110" s="606" t="s">
        <v>936</v>
      </c>
      <c r="C110" s="118" t="s">
        <v>940</v>
      </c>
      <c r="D110" s="118" t="s">
        <v>334</v>
      </c>
      <c r="E110" s="118" t="s">
        <v>91</v>
      </c>
      <c r="F110" s="118"/>
      <c r="G110" s="598">
        <v>41134</v>
      </c>
      <c r="H110" s="118">
        <v>1</v>
      </c>
      <c r="I110" s="118">
        <v>0</v>
      </c>
      <c r="J110" s="118"/>
    </row>
    <row r="111" spans="1:10">
      <c r="A111" s="605" t="s">
        <v>669</v>
      </c>
      <c r="B111" s="606" t="s">
        <v>936</v>
      </c>
      <c r="C111" s="118" t="s">
        <v>935</v>
      </c>
      <c r="D111" s="118" t="s">
        <v>334</v>
      </c>
      <c r="E111" s="118" t="s">
        <v>47</v>
      </c>
      <c r="F111" s="118"/>
      <c r="G111" s="598">
        <v>45050</v>
      </c>
      <c r="H111" s="118">
        <v>1</v>
      </c>
      <c r="I111" s="118">
        <v>0</v>
      </c>
      <c r="J111" s="118"/>
    </row>
    <row r="112" spans="1:10">
      <c r="A112" s="605" t="s">
        <v>786</v>
      </c>
      <c r="B112" s="606" t="s">
        <v>787</v>
      </c>
      <c r="C112" s="118" t="s">
        <v>35</v>
      </c>
      <c r="D112" s="118" t="s">
        <v>335</v>
      </c>
      <c r="E112" s="118" t="s">
        <v>196</v>
      </c>
      <c r="F112" s="118"/>
      <c r="G112" s="598">
        <v>39043</v>
      </c>
      <c r="H112" s="118">
        <v>1</v>
      </c>
      <c r="I112" s="118">
        <v>1</v>
      </c>
      <c r="J112" s="118"/>
    </row>
    <row r="113" spans="1:11">
      <c r="A113" s="605" t="s">
        <v>786</v>
      </c>
      <c r="B113" s="606" t="s">
        <v>936</v>
      </c>
      <c r="C113" s="118" t="s">
        <v>937</v>
      </c>
      <c r="D113" s="118" t="s">
        <v>334</v>
      </c>
      <c r="E113" s="118" t="s">
        <v>198</v>
      </c>
      <c r="F113" s="118"/>
      <c r="G113" s="598">
        <v>45880</v>
      </c>
      <c r="H113" s="118">
        <v>1</v>
      </c>
      <c r="I113" s="118">
        <v>0</v>
      </c>
      <c r="J113" s="118"/>
      <c r="K113" s="96" t="s">
        <v>941</v>
      </c>
    </row>
    <row r="114" spans="1:11">
      <c r="A114" s="605" t="s">
        <v>786</v>
      </c>
      <c r="B114" s="606" t="s">
        <v>936</v>
      </c>
      <c r="C114" s="118" t="s">
        <v>942</v>
      </c>
      <c r="D114" s="118" t="s">
        <v>335</v>
      </c>
      <c r="E114" s="118" t="s">
        <v>221</v>
      </c>
      <c r="F114" s="118"/>
      <c r="G114" s="598">
        <v>46027</v>
      </c>
      <c r="H114" s="118"/>
      <c r="I114" s="118">
        <v>0</v>
      </c>
      <c r="J114" s="118"/>
    </row>
    <row r="115" spans="1:11">
      <c r="A115" s="605" t="s">
        <v>786</v>
      </c>
      <c r="B115" s="606" t="s">
        <v>936</v>
      </c>
      <c r="C115" s="118" t="s">
        <v>938</v>
      </c>
      <c r="D115" s="118" t="s">
        <v>335</v>
      </c>
      <c r="E115" s="118" t="s">
        <v>214</v>
      </c>
      <c r="F115" s="118"/>
      <c r="G115" s="598">
        <v>45595</v>
      </c>
      <c r="H115" s="118">
        <v>1</v>
      </c>
      <c r="I115" s="118">
        <v>0</v>
      </c>
      <c r="J115" s="118"/>
    </row>
    <row r="116" spans="1:11">
      <c r="A116" s="605" t="s">
        <v>786</v>
      </c>
      <c r="B116" s="606" t="s">
        <v>936</v>
      </c>
      <c r="C116" s="118" t="s">
        <v>938</v>
      </c>
      <c r="D116" s="118" t="s">
        <v>335</v>
      </c>
      <c r="E116" s="118" t="s">
        <v>215</v>
      </c>
      <c r="F116" s="118"/>
      <c r="G116" s="598">
        <v>45923</v>
      </c>
      <c r="H116" s="118">
        <v>1</v>
      </c>
      <c r="I116" s="118">
        <v>0</v>
      </c>
      <c r="J116" s="118"/>
    </row>
    <row r="117" spans="1:11">
      <c r="A117" s="605" t="s">
        <v>786</v>
      </c>
      <c r="B117" s="606" t="s">
        <v>936</v>
      </c>
      <c r="C117" s="118" t="s">
        <v>938</v>
      </c>
      <c r="D117" s="118" t="s">
        <v>335</v>
      </c>
      <c r="E117" s="118" t="s">
        <v>218</v>
      </c>
      <c r="F117" s="118"/>
      <c r="G117" s="598">
        <v>45747</v>
      </c>
      <c r="H117" s="118">
        <v>1</v>
      </c>
      <c r="I117" s="118">
        <v>0</v>
      </c>
      <c r="J117" s="118"/>
    </row>
    <row r="118" spans="1:11">
      <c r="A118" s="605" t="s">
        <v>786</v>
      </c>
      <c r="B118" s="606" t="s">
        <v>936</v>
      </c>
      <c r="C118" s="118" t="s">
        <v>938</v>
      </c>
      <c r="D118" s="118" t="s">
        <v>335</v>
      </c>
      <c r="E118" s="118" t="s">
        <v>216</v>
      </c>
      <c r="F118" s="118"/>
      <c r="G118" s="598">
        <v>46148</v>
      </c>
      <c r="H118" s="118"/>
      <c r="I118" s="118">
        <v>0</v>
      </c>
      <c r="J118" s="118"/>
    </row>
    <row r="119" spans="1:11">
      <c r="A119" s="605" t="s">
        <v>786</v>
      </c>
      <c r="B119" s="606" t="s">
        <v>936</v>
      </c>
      <c r="C119" s="118" t="s">
        <v>939</v>
      </c>
      <c r="D119" s="118" t="s">
        <v>335</v>
      </c>
      <c r="E119" s="118" t="s">
        <v>220</v>
      </c>
      <c r="F119" s="118"/>
      <c r="G119" s="598">
        <v>45489</v>
      </c>
      <c r="H119" s="118">
        <v>1</v>
      </c>
      <c r="I119" s="118">
        <v>0</v>
      </c>
      <c r="J119" s="118"/>
    </row>
    <row r="120" spans="1:11">
      <c r="A120" s="605" t="s">
        <v>786</v>
      </c>
      <c r="B120" s="606" t="s">
        <v>936</v>
      </c>
      <c r="C120" s="118" t="s">
        <v>939</v>
      </c>
      <c r="D120" s="118" t="s">
        <v>335</v>
      </c>
      <c r="E120" s="118" t="s">
        <v>219</v>
      </c>
      <c r="F120" s="118"/>
      <c r="G120" s="598">
        <v>45717</v>
      </c>
      <c r="H120" s="118">
        <v>1</v>
      </c>
      <c r="I120" s="118">
        <v>1</v>
      </c>
      <c r="J120" s="118"/>
    </row>
    <row r="121" spans="1:11">
      <c r="A121" s="605" t="s">
        <v>786</v>
      </c>
      <c r="B121" s="606" t="s">
        <v>787</v>
      </c>
      <c r="C121" s="118" t="s">
        <v>35</v>
      </c>
      <c r="D121" s="118" t="s">
        <v>334</v>
      </c>
      <c r="E121" s="118" t="s">
        <v>943</v>
      </c>
      <c r="F121" s="118" t="s">
        <v>944</v>
      </c>
      <c r="G121" s="598">
        <v>36799</v>
      </c>
      <c r="H121" s="118">
        <v>1</v>
      </c>
      <c r="I121" s="118">
        <v>1</v>
      </c>
      <c r="J121" s="118"/>
    </row>
    <row r="122" spans="1:11">
      <c r="A122" s="605" t="s">
        <v>786</v>
      </c>
      <c r="B122" s="606" t="s">
        <v>787</v>
      </c>
      <c r="C122" s="118" t="s">
        <v>35</v>
      </c>
      <c r="D122" s="118" t="s">
        <v>334</v>
      </c>
      <c r="E122" s="118" t="s">
        <v>945</v>
      </c>
      <c r="F122" s="118" t="s">
        <v>946</v>
      </c>
      <c r="G122" s="598">
        <v>44207</v>
      </c>
      <c r="H122" s="118">
        <v>1</v>
      </c>
      <c r="I122" s="118">
        <v>1</v>
      </c>
      <c r="J122" s="118"/>
    </row>
    <row r="123" spans="1:11">
      <c r="A123" s="605" t="s">
        <v>786</v>
      </c>
      <c r="B123" s="606" t="s">
        <v>787</v>
      </c>
      <c r="C123" s="118" t="s">
        <v>35</v>
      </c>
      <c r="D123" s="118" t="s">
        <v>334</v>
      </c>
      <c r="E123" s="118" t="s">
        <v>947</v>
      </c>
      <c r="F123" s="118" t="s">
        <v>948</v>
      </c>
      <c r="G123" s="598">
        <v>40630</v>
      </c>
      <c r="H123" s="118">
        <v>1</v>
      </c>
      <c r="I123" s="118">
        <v>1</v>
      </c>
      <c r="J123" s="118"/>
    </row>
    <row r="124" spans="1:11">
      <c r="A124" s="605" t="s">
        <v>786</v>
      </c>
      <c r="B124" s="606" t="s">
        <v>787</v>
      </c>
      <c r="C124" s="118" t="s">
        <v>35</v>
      </c>
      <c r="D124" s="118" t="s">
        <v>334</v>
      </c>
      <c r="E124" s="118" t="s">
        <v>949</v>
      </c>
      <c r="F124" s="118" t="s">
        <v>950</v>
      </c>
      <c r="G124" s="598">
        <v>43040</v>
      </c>
      <c r="H124" s="118">
        <v>1</v>
      </c>
      <c r="I124" s="118">
        <v>3</v>
      </c>
      <c r="J124" s="118"/>
    </row>
    <row r="125" spans="1:11">
      <c r="A125" s="605" t="s">
        <v>786</v>
      </c>
      <c r="B125" s="606" t="s">
        <v>787</v>
      </c>
      <c r="C125" s="118" t="s">
        <v>35</v>
      </c>
      <c r="D125" s="118" t="s">
        <v>334</v>
      </c>
      <c r="E125" s="118" t="s">
        <v>951</v>
      </c>
      <c r="F125" s="118" t="s">
        <v>952</v>
      </c>
      <c r="G125" s="598">
        <v>43571</v>
      </c>
      <c r="H125" s="118">
        <v>1</v>
      </c>
      <c r="I125" s="118">
        <v>1</v>
      </c>
      <c r="J125" s="118"/>
    </row>
    <row r="126" spans="1:11">
      <c r="A126" s="605" t="s">
        <v>786</v>
      </c>
      <c r="B126" s="606" t="s">
        <v>787</v>
      </c>
      <c r="C126" s="118" t="s">
        <v>35</v>
      </c>
      <c r="D126" s="118" t="s">
        <v>334</v>
      </c>
      <c r="E126" s="118" t="s">
        <v>953</v>
      </c>
      <c r="F126" s="118" t="s">
        <v>954</v>
      </c>
      <c r="G126" s="598">
        <v>40969</v>
      </c>
      <c r="H126" s="118">
        <v>1</v>
      </c>
      <c r="I126" s="118">
        <v>1</v>
      </c>
      <c r="J126" s="118"/>
    </row>
  </sheetData>
  <phoneticPr fontId="5" type="noConversion"/>
  <conditionalFormatting sqref="A1">
    <cfRule type="duplicateValues" dxfId="942" priority="103"/>
  </conditionalFormatting>
  <conditionalFormatting sqref="A2">
    <cfRule type="duplicateValues" dxfId="941" priority="48"/>
  </conditionalFormatting>
  <conditionalFormatting sqref="A3">
    <cfRule type="duplicateValues" dxfId="940" priority="93"/>
  </conditionalFormatting>
  <conditionalFormatting sqref="A4">
    <cfRule type="duplicateValues" dxfId="939" priority="92"/>
  </conditionalFormatting>
  <conditionalFormatting sqref="A5:A6">
    <cfRule type="duplicateValues" dxfId="938" priority="52"/>
  </conditionalFormatting>
  <conditionalFormatting sqref="A7">
    <cfRule type="duplicateValues" dxfId="937" priority="102"/>
  </conditionalFormatting>
  <conditionalFormatting sqref="A8">
    <cfRule type="duplicateValues" dxfId="936" priority="46"/>
  </conditionalFormatting>
  <conditionalFormatting sqref="A9">
    <cfRule type="duplicateValues" dxfId="935" priority="101"/>
  </conditionalFormatting>
  <conditionalFormatting sqref="A10">
    <cfRule type="duplicateValues" dxfId="934" priority="100"/>
  </conditionalFormatting>
  <conditionalFormatting sqref="A11">
    <cfRule type="duplicateValues" dxfId="933" priority="99"/>
  </conditionalFormatting>
  <conditionalFormatting sqref="A12">
    <cfRule type="duplicateValues" dxfId="932" priority="98"/>
  </conditionalFormatting>
  <conditionalFormatting sqref="A13">
    <cfRule type="duplicateValues" dxfId="931" priority="97"/>
  </conditionalFormatting>
  <conditionalFormatting sqref="A14">
    <cfRule type="duplicateValues" dxfId="930" priority="96"/>
  </conditionalFormatting>
  <conditionalFormatting sqref="A15">
    <cfRule type="duplicateValues" dxfId="929" priority="95"/>
  </conditionalFormatting>
  <conditionalFormatting sqref="A16">
    <cfRule type="duplicateValues" dxfId="928" priority="94"/>
  </conditionalFormatting>
  <conditionalFormatting sqref="A17">
    <cfRule type="duplicateValues" dxfId="927" priority="91"/>
  </conditionalFormatting>
  <conditionalFormatting sqref="A18">
    <cfRule type="duplicateValues" dxfId="926" priority="90"/>
  </conditionalFormatting>
  <conditionalFormatting sqref="A19">
    <cfRule type="duplicateValues" dxfId="925" priority="89"/>
  </conditionalFormatting>
  <conditionalFormatting sqref="A21">
    <cfRule type="duplicateValues" dxfId="924" priority="44"/>
  </conditionalFormatting>
  <conditionalFormatting sqref="A22">
    <cfRule type="duplicateValues" dxfId="923" priority="87"/>
  </conditionalFormatting>
  <conditionalFormatting sqref="A23">
    <cfRule type="duplicateValues" dxfId="922" priority="43"/>
  </conditionalFormatting>
  <conditionalFormatting sqref="A24">
    <cfRule type="duplicateValues" dxfId="921" priority="86"/>
  </conditionalFormatting>
  <conditionalFormatting sqref="A25">
    <cfRule type="duplicateValues" dxfId="920" priority="85"/>
  </conditionalFormatting>
  <conditionalFormatting sqref="A26">
    <cfRule type="duplicateValues" dxfId="919" priority="45"/>
  </conditionalFormatting>
  <conditionalFormatting sqref="A27:A29">
    <cfRule type="duplicateValues" dxfId="918" priority="88"/>
  </conditionalFormatting>
  <conditionalFormatting sqref="A30">
    <cfRule type="duplicateValues" dxfId="917" priority="77"/>
  </conditionalFormatting>
  <conditionalFormatting sqref="A31">
    <cfRule type="duplicateValues" dxfId="916" priority="76"/>
  </conditionalFormatting>
  <conditionalFormatting sqref="A32">
    <cfRule type="duplicateValues" dxfId="915" priority="75"/>
  </conditionalFormatting>
  <conditionalFormatting sqref="A33">
    <cfRule type="duplicateValues" dxfId="914" priority="74"/>
  </conditionalFormatting>
  <conditionalFormatting sqref="A34">
    <cfRule type="duplicateValues" dxfId="913" priority="73"/>
  </conditionalFormatting>
  <conditionalFormatting sqref="A35">
    <cfRule type="duplicateValues" dxfId="912" priority="72"/>
  </conditionalFormatting>
  <conditionalFormatting sqref="A36">
    <cfRule type="duplicateValues" dxfId="911" priority="71"/>
  </conditionalFormatting>
  <conditionalFormatting sqref="A37">
    <cfRule type="duplicateValues" dxfId="910" priority="70"/>
  </conditionalFormatting>
  <conditionalFormatting sqref="A38">
    <cfRule type="duplicateValues" dxfId="909" priority="69"/>
  </conditionalFormatting>
  <conditionalFormatting sqref="A39">
    <cfRule type="duplicateValues" dxfId="908" priority="68"/>
  </conditionalFormatting>
  <conditionalFormatting sqref="A40">
    <cfRule type="duplicateValues" dxfId="907" priority="67"/>
  </conditionalFormatting>
  <conditionalFormatting sqref="A41">
    <cfRule type="duplicateValues" dxfId="906" priority="84"/>
  </conditionalFormatting>
  <conditionalFormatting sqref="A42">
    <cfRule type="duplicateValues" dxfId="905" priority="83"/>
  </conditionalFormatting>
  <conditionalFormatting sqref="A44">
    <cfRule type="duplicateValues" dxfId="904" priority="82"/>
  </conditionalFormatting>
  <conditionalFormatting sqref="A45">
    <cfRule type="duplicateValues" dxfId="903" priority="81"/>
  </conditionalFormatting>
  <conditionalFormatting sqref="A46:A49 A43">
    <cfRule type="duplicateValues" dxfId="902" priority="80"/>
  </conditionalFormatting>
  <conditionalFormatting sqref="A50">
    <cfRule type="duplicateValues" dxfId="901" priority="79"/>
  </conditionalFormatting>
  <conditionalFormatting sqref="A51">
    <cfRule type="duplicateValues" dxfId="900" priority="78"/>
  </conditionalFormatting>
  <conditionalFormatting sqref="A52">
    <cfRule type="duplicateValues" dxfId="899" priority="66"/>
  </conditionalFormatting>
  <conditionalFormatting sqref="A53">
    <cfRule type="duplicateValues" dxfId="898" priority="61"/>
  </conditionalFormatting>
  <conditionalFormatting sqref="A54">
    <cfRule type="duplicateValues" dxfId="897" priority="62"/>
  </conditionalFormatting>
  <conditionalFormatting sqref="A55">
    <cfRule type="duplicateValues" dxfId="896" priority="51"/>
  </conditionalFormatting>
  <conditionalFormatting sqref="A56">
    <cfRule type="duplicateValues" dxfId="895" priority="60"/>
  </conditionalFormatting>
  <conditionalFormatting sqref="A57">
    <cfRule type="duplicateValues" dxfId="894" priority="59"/>
  </conditionalFormatting>
  <conditionalFormatting sqref="A58">
    <cfRule type="duplicateValues" dxfId="893" priority="58"/>
  </conditionalFormatting>
  <conditionalFormatting sqref="A59">
    <cfRule type="duplicateValues" dxfId="892" priority="65"/>
  </conditionalFormatting>
  <conditionalFormatting sqref="A60">
    <cfRule type="duplicateValues" dxfId="891" priority="64"/>
  </conditionalFormatting>
  <conditionalFormatting sqref="A61:A70">
    <cfRule type="duplicateValues" dxfId="890" priority="63"/>
  </conditionalFormatting>
  <conditionalFormatting sqref="A71">
    <cfRule type="duplicateValues" dxfId="889" priority="50"/>
  </conditionalFormatting>
  <conditionalFormatting sqref="A72:A75">
    <cfRule type="duplicateValues" dxfId="888" priority="56"/>
  </conditionalFormatting>
  <conditionalFormatting sqref="A76:A77">
    <cfRule type="duplicateValues" dxfId="887" priority="47"/>
  </conditionalFormatting>
  <conditionalFormatting sqref="A78">
    <cfRule type="duplicateValues" dxfId="886" priority="55"/>
  </conditionalFormatting>
  <conditionalFormatting sqref="A79">
    <cfRule type="duplicateValues" dxfId="885" priority="54"/>
  </conditionalFormatting>
  <conditionalFormatting sqref="A80">
    <cfRule type="duplicateValues" dxfId="884" priority="53"/>
  </conditionalFormatting>
  <conditionalFormatting sqref="A81:A85 A87:A88">
    <cfRule type="duplicateValues" dxfId="883" priority="57"/>
  </conditionalFormatting>
  <conditionalFormatting sqref="A86">
    <cfRule type="duplicateValues" dxfId="882" priority="49"/>
  </conditionalFormatting>
  <conditionalFormatting sqref="B1 B3:B6 B9 B11:B19 B22 B24:B25 B27:B28 B30:B54 B56:B60 B63:B64 B66:B70 B72 B75 B78:B85 B87:B112 B121:B65519">
    <cfRule type="duplicateValues" dxfId="881" priority="31"/>
  </conditionalFormatting>
  <conditionalFormatting sqref="B1 B3:B6 B9 B11:B19 B22 B24:B25 B27:B28 B30:B60 B63:B64 B66:B72 B75 B78:B85 B87:B112 B121:B65519">
    <cfRule type="duplicateValues" dxfId="880" priority="27"/>
  </conditionalFormatting>
  <conditionalFormatting sqref="B1:B6 B8:B19 B22 B24:B28 B30:B60 B63:B72 B75:B76 B78:B112 B121:B65519">
    <cfRule type="duplicateValues" dxfId="879" priority="18"/>
  </conditionalFormatting>
  <conditionalFormatting sqref="B2">
    <cfRule type="duplicateValues" dxfId="878" priority="23"/>
  </conditionalFormatting>
  <conditionalFormatting sqref="B3:B6 B9 B11:B19 B22 B24:B25 B27:B28 B30:B54 B56:B60 B63:B64 B66:B70 B72 B78:B85 B87:B88">
    <cfRule type="duplicateValues" dxfId="877" priority="34"/>
  </conditionalFormatting>
  <conditionalFormatting sqref="B3:B6 B9 B11:B19 B22 B24:B25 B27:B28 B31:B54 B56:B60 B63:B64 B66 B68:B70 B72 B78 B81:B85 B87:B88">
    <cfRule type="duplicateValues" dxfId="876" priority="38"/>
  </conditionalFormatting>
  <conditionalFormatting sqref="B3:B6 B9">
    <cfRule type="duplicateValues" dxfId="875" priority="42"/>
  </conditionalFormatting>
  <conditionalFormatting sqref="B7">
    <cfRule type="duplicateValues" dxfId="874" priority="16"/>
  </conditionalFormatting>
  <conditionalFormatting sqref="B8">
    <cfRule type="duplicateValues" dxfId="873" priority="20"/>
  </conditionalFormatting>
  <conditionalFormatting sqref="B10">
    <cfRule type="duplicateValues" dxfId="872" priority="24"/>
  </conditionalFormatting>
  <conditionalFormatting sqref="B11:B19 B22 B27:B28 B24:B25">
    <cfRule type="duplicateValues" dxfId="871" priority="39"/>
  </conditionalFormatting>
  <conditionalFormatting sqref="B20">
    <cfRule type="duplicateValues" dxfId="870" priority="11"/>
  </conditionalFormatting>
  <conditionalFormatting sqref="B21">
    <cfRule type="duplicateValues" dxfId="869" priority="17"/>
  </conditionalFormatting>
  <conditionalFormatting sqref="B23">
    <cfRule type="duplicateValues" dxfId="868" priority="15"/>
  </conditionalFormatting>
  <conditionalFormatting sqref="B26">
    <cfRule type="duplicateValues" dxfId="867" priority="19"/>
  </conditionalFormatting>
  <conditionalFormatting sqref="B29">
    <cfRule type="duplicateValues" dxfId="866" priority="13"/>
    <cfRule type="duplicateValues" dxfId="865" priority="14"/>
  </conditionalFormatting>
  <conditionalFormatting sqref="B30">
    <cfRule type="duplicateValues" dxfId="864" priority="35"/>
  </conditionalFormatting>
  <conditionalFormatting sqref="B31:B54 B56:B60 B63:B64 B66 B68:B69 B72 B78 B81:B85 B87:B88">
    <cfRule type="duplicateValues" dxfId="863" priority="41"/>
  </conditionalFormatting>
  <conditionalFormatting sqref="B55">
    <cfRule type="duplicateValues" dxfId="862" priority="29"/>
  </conditionalFormatting>
  <conditionalFormatting sqref="B61:B62">
    <cfRule type="duplicateValues" dxfId="861" priority="12"/>
  </conditionalFormatting>
  <conditionalFormatting sqref="B65">
    <cfRule type="duplicateValues" dxfId="860" priority="25"/>
  </conditionalFormatting>
  <conditionalFormatting sqref="B67">
    <cfRule type="duplicateValues" dxfId="859" priority="37"/>
  </conditionalFormatting>
  <conditionalFormatting sqref="B70">
    <cfRule type="duplicateValues" dxfId="858" priority="40"/>
  </conditionalFormatting>
  <conditionalFormatting sqref="B71">
    <cfRule type="duplicateValues" dxfId="857" priority="28"/>
  </conditionalFormatting>
  <conditionalFormatting sqref="B73">
    <cfRule type="duplicateValues" dxfId="856" priority="8"/>
    <cfRule type="duplicateValues" dxfId="855" priority="7"/>
  </conditionalFormatting>
  <conditionalFormatting sqref="B74">
    <cfRule type="duplicateValues" dxfId="854" priority="9"/>
    <cfRule type="duplicateValues" dxfId="853" priority="10"/>
  </conditionalFormatting>
  <conditionalFormatting sqref="B75">
    <cfRule type="duplicateValues" dxfId="852" priority="32"/>
    <cfRule type="duplicateValues" dxfId="851" priority="33"/>
  </conditionalFormatting>
  <conditionalFormatting sqref="B76">
    <cfRule type="duplicateValues" dxfId="850" priority="21"/>
    <cfRule type="duplicateValues" dxfId="849" priority="22"/>
  </conditionalFormatting>
  <conditionalFormatting sqref="B77">
    <cfRule type="duplicateValues" dxfId="848" priority="6"/>
    <cfRule type="duplicateValues" dxfId="847" priority="5"/>
  </conditionalFormatting>
  <conditionalFormatting sqref="B79:B80">
    <cfRule type="duplicateValues" dxfId="846" priority="36"/>
  </conditionalFormatting>
  <conditionalFormatting sqref="B86">
    <cfRule type="duplicateValues" dxfId="845" priority="26"/>
  </conditionalFormatting>
  <conditionalFormatting sqref="B113:B120">
    <cfRule type="duplicateValues" dxfId="844" priority="1"/>
  </conditionalFormatting>
  <pageMargins left="0.75" right="0.75" top="1" bottom="1" header="0.5" footer="0.5"/>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theme="5" tint="-0.249977111117893"/>
  </sheetPr>
  <dimension ref="A1:O45"/>
  <sheetViews>
    <sheetView workbookViewId="0">
      <selection activeCell="N36" sqref="N36"/>
    </sheetView>
  </sheetViews>
  <sheetFormatPr defaultColWidth="9" defaultRowHeight="14.4"/>
  <cols>
    <col min="1" max="1" width="16.6640625" style="545" customWidth="1"/>
    <col min="2" max="2" width="9" style="545"/>
    <col min="3" max="7" width="9" style="454"/>
    <col min="8" max="12" width="9.33203125" style="454"/>
    <col min="13" max="16384" width="9" style="454"/>
  </cols>
  <sheetData>
    <row r="1" spans="1:15">
      <c r="A1" s="1978" t="s">
        <v>33</v>
      </c>
      <c r="B1" s="565"/>
      <c r="C1" s="1978" t="s">
        <v>955</v>
      </c>
      <c r="D1" s="1978"/>
      <c r="E1" s="1978"/>
      <c r="F1" s="1978"/>
      <c r="G1" s="1979" t="s">
        <v>956</v>
      </c>
      <c r="H1" s="1979"/>
      <c r="I1" s="1979"/>
      <c r="J1" s="1979"/>
      <c r="K1" s="566"/>
      <c r="L1" s="1986" t="s">
        <v>957</v>
      </c>
    </row>
    <row r="2" spans="1:15">
      <c r="A2" s="1978"/>
      <c r="B2" s="565" t="s">
        <v>955</v>
      </c>
      <c r="C2" s="565" t="s">
        <v>958</v>
      </c>
      <c r="D2" s="565" t="s">
        <v>959</v>
      </c>
      <c r="E2" s="565" t="s">
        <v>960</v>
      </c>
      <c r="F2" s="565" t="s">
        <v>961</v>
      </c>
      <c r="G2" s="566" t="s">
        <v>962</v>
      </c>
      <c r="H2" s="566" t="s">
        <v>963</v>
      </c>
      <c r="I2" s="566" t="s">
        <v>964</v>
      </c>
      <c r="J2" s="566" t="s">
        <v>965</v>
      </c>
      <c r="K2" s="566" t="s">
        <v>9</v>
      </c>
      <c r="L2" s="1986"/>
    </row>
    <row r="3" spans="1:15">
      <c r="A3" s="1978"/>
      <c r="B3" s="565">
        <v>70</v>
      </c>
      <c r="C3" s="565">
        <f>B3*45%</f>
        <v>31.5</v>
      </c>
      <c r="D3" s="565">
        <f>B3*0.33</f>
        <v>23.1</v>
      </c>
      <c r="E3" s="565">
        <f>B3*0.11</f>
        <v>7.7</v>
      </c>
      <c r="F3" s="565">
        <f>B3*0.11</f>
        <v>7.7</v>
      </c>
      <c r="G3" s="39"/>
      <c r="H3" s="39"/>
      <c r="I3" s="39"/>
      <c r="J3" s="39"/>
      <c r="K3" s="39"/>
      <c r="L3" s="568"/>
    </row>
    <row r="4" spans="1:15">
      <c r="A4" s="569" t="s">
        <v>170</v>
      </c>
      <c r="B4" s="39"/>
      <c r="C4" s="570">
        <f t="shared" ref="C4:C12" si="0">$C$3</f>
        <v>31.5</v>
      </c>
      <c r="D4" s="570">
        <f t="shared" ref="D4:D12" si="1">$D$3</f>
        <v>23.1</v>
      </c>
      <c r="E4" s="570">
        <f t="shared" ref="E4:E12" si="2">$E$3</f>
        <v>7.7</v>
      </c>
      <c r="F4" s="570">
        <f t="shared" ref="F4:F12" si="3">$F$3</f>
        <v>7.7</v>
      </c>
      <c r="G4" s="39">
        <v>237</v>
      </c>
      <c r="H4" s="39"/>
      <c r="I4" s="39"/>
      <c r="J4" s="39"/>
      <c r="K4" s="39"/>
      <c r="L4" s="568">
        <f>C4*G4+H4*D4+E4*I4+F4*J4+K4</f>
        <v>7465.5</v>
      </c>
    </row>
    <row r="5" spans="1:15" s="564" customFormat="1">
      <c r="A5" s="569" t="s">
        <v>171</v>
      </c>
      <c r="B5" s="39"/>
      <c r="C5" s="570">
        <f t="shared" si="0"/>
        <v>31.5</v>
      </c>
      <c r="D5" s="570">
        <f t="shared" si="1"/>
        <v>23.1</v>
      </c>
      <c r="E5" s="570">
        <f t="shared" si="2"/>
        <v>7.7</v>
      </c>
      <c r="F5" s="570">
        <f t="shared" si="3"/>
        <v>7.7</v>
      </c>
      <c r="G5" s="39"/>
      <c r="H5" s="39"/>
      <c r="I5" s="39">
        <v>910</v>
      </c>
      <c r="J5" s="39"/>
      <c r="K5" s="39"/>
      <c r="L5" s="568">
        <f>C5*G5+H5*D5+E5*I5+F5*J5+K5</f>
        <v>7007</v>
      </c>
      <c r="O5" s="454"/>
    </row>
    <row r="6" spans="1:15" s="564" customFormat="1">
      <c r="A6" s="569" t="s">
        <v>163</v>
      </c>
      <c r="B6" s="39"/>
      <c r="C6" s="570">
        <f t="shared" si="0"/>
        <v>31.5</v>
      </c>
      <c r="D6" s="570">
        <f t="shared" si="1"/>
        <v>23.1</v>
      </c>
      <c r="E6" s="570">
        <f t="shared" si="2"/>
        <v>7.7</v>
      </c>
      <c r="F6" s="570">
        <f t="shared" si="3"/>
        <v>7.7</v>
      </c>
      <c r="G6" s="39"/>
      <c r="H6" s="39"/>
      <c r="I6" s="39"/>
      <c r="J6" s="39">
        <v>925.5</v>
      </c>
      <c r="K6" s="39"/>
      <c r="L6" s="568">
        <f>C6*G6+H6*D6+E6*I6+F6*J6+K6</f>
        <v>7126.35</v>
      </c>
      <c r="O6" s="454"/>
    </row>
    <row r="7" spans="1:15">
      <c r="A7" s="569" t="s">
        <v>162</v>
      </c>
      <c r="B7" s="454"/>
      <c r="C7" s="570">
        <f t="shared" si="0"/>
        <v>31.5</v>
      </c>
      <c r="D7" s="570">
        <f t="shared" si="1"/>
        <v>23.1</v>
      </c>
      <c r="E7" s="570">
        <f t="shared" si="2"/>
        <v>7.7</v>
      </c>
      <c r="F7" s="570">
        <f t="shared" si="3"/>
        <v>7.7</v>
      </c>
      <c r="G7" s="39">
        <v>55</v>
      </c>
      <c r="H7" s="39">
        <v>275.5</v>
      </c>
      <c r="I7" s="39">
        <v>55.5</v>
      </c>
      <c r="J7" s="39">
        <v>40</v>
      </c>
      <c r="K7" s="39"/>
      <c r="L7" s="568">
        <f>C7*G7+H7*D7+E7*I7+F7*J7+K7</f>
        <v>8831.9</v>
      </c>
    </row>
    <row r="8" spans="1:15">
      <c r="A8" s="569" t="s">
        <v>165</v>
      </c>
      <c r="B8" s="39"/>
      <c r="C8" s="570">
        <f t="shared" si="0"/>
        <v>31.5</v>
      </c>
      <c r="D8" s="570">
        <f t="shared" si="1"/>
        <v>23.1</v>
      </c>
      <c r="E8" s="570">
        <f t="shared" si="2"/>
        <v>7.7</v>
      </c>
      <c r="F8" s="570">
        <f t="shared" si="3"/>
        <v>7.7</v>
      </c>
      <c r="G8" s="39">
        <v>226</v>
      </c>
      <c r="H8" s="39"/>
      <c r="I8" s="39"/>
      <c r="J8" s="39"/>
      <c r="K8" s="39"/>
      <c r="L8" s="568">
        <f>C8*G8+H8*D8+E8*I8+F8*J8+K8</f>
        <v>7119</v>
      </c>
    </row>
    <row r="9" spans="1:15" ht="13.95" customHeight="1">
      <c r="A9" s="39" t="s">
        <v>167</v>
      </c>
      <c r="B9" s="39"/>
      <c r="C9" s="570">
        <f t="shared" si="0"/>
        <v>31.5</v>
      </c>
      <c r="D9" s="570">
        <f t="shared" si="1"/>
        <v>23.1</v>
      </c>
      <c r="E9" s="570">
        <f t="shared" si="2"/>
        <v>7.7</v>
      </c>
      <c r="F9" s="570">
        <f t="shared" si="3"/>
        <v>7.7</v>
      </c>
      <c r="G9" s="39"/>
      <c r="H9" s="39">
        <v>350</v>
      </c>
      <c r="I9" s="39"/>
      <c r="J9" s="39"/>
      <c r="K9" s="39"/>
      <c r="L9" s="568">
        <f t="shared" ref="L9:L15" si="4">C9*G9+H9*D9+E9*I9+F9*J9+K9</f>
        <v>8085</v>
      </c>
    </row>
    <row r="10" spans="1:15" ht="13.95" customHeight="1">
      <c r="A10" s="571" t="s">
        <v>168</v>
      </c>
      <c r="B10" s="39"/>
      <c r="C10" s="570">
        <f t="shared" si="0"/>
        <v>31.5</v>
      </c>
      <c r="D10" s="570">
        <f t="shared" si="1"/>
        <v>23.1</v>
      </c>
      <c r="E10" s="570">
        <f t="shared" si="2"/>
        <v>7.7</v>
      </c>
      <c r="F10" s="570">
        <f t="shared" si="3"/>
        <v>7.7</v>
      </c>
      <c r="G10" s="39"/>
      <c r="H10" s="39">
        <v>340</v>
      </c>
      <c r="I10" s="39"/>
      <c r="J10" s="39"/>
      <c r="K10" s="39"/>
      <c r="L10" s="568">
        <f t="shared" si="4"/>
        <v>7854</v>
      </c>
    </row>
    <row r="11" spans="1:15" ht="13.95" customHeight="1">
      <c r="A11" s="39" t="s">
        <v>173</v>
      </c>
      <c r="B11" s="39"/>
      <c r="C11" s="570">
        <f t="shared" si="0"/>
        <v>31.5</v>
      </c>
      <c r="D11" s="570">
        <f t="shared" si="1"/>
        <v>23.1</v>
      </c>
      <c r="E11" s="570">
        <f t="shared" si="2"/>
        <v>7.7</v>
      </c>
      <c r="F11" s="570">
        <f t="shared" si="3"/>
        <v>7.7</v>
      </c>
      <c r="G11" s="39">
        <v>229</v>
      </c>
      <c r="H11" s="39"/>
      <c r="I11" s="39"/>
      <c r="J11" s="39"/>
      <c r="K11" s="39"/>
      <c r="L11" s="568">
        <f t="shared" si="4"/>
        <v>7213.5</v>
      </c>
    </row>
    <row r="12" spans="1:15" ht="13.95" customHeight="1">
      <c r="A12" s="571" t="s">
        <v>175</v>
      </c>
      <c r="B12" s="572"/>
      <c r="C12" s="570">
        <f t="shared" si="0"/>
        <v>31.5</v>
      </c>
      <c r="D12" s="570">
        <f t="shared" si="1"/>
        <v>23.1</v>
      </c>
      <c r="E12" s="570">
        <f t="shared" si="2"/>
        <v>7.7</v>
      </c>
      <c r="F12" s="570">
        <f t="shared" si="3"/>
        <v>7.7</v>
      </c>
      <c r="G12" s="39">
        <v>218.5</v>
      </c>
      <c r="H12" s="39"/>
      <c r="I12" s="39"/>
      <c r="J12" s="39"/>
      <c r="K12" s="39"/>
      <c r="L12" s="568">
        <f t="shared" si="4"/>
        <v>6882.75</v>
      </c>
    </row>
    <row r="13" spans="1:15" ht="13.95" customHeight="1">
      <c r="A13" s="571"/>
      <c r="B13" s="454"/>
      <c r="C13" s="570"/>
      <c r="D13" s="570"/>
      <c r="E13" s="570"/>
      <c r="F13" s="570"/>
      <c r="G13" s="39"/>
      <c r="H13" s="39"/>
      <c r="I13" s="39"/>
      <c r="J13" s="39"/>
      <c r="K13" s="39"/>
      <c r="L13" s="568">
        <f t="shared" si="4"/>
        <v>0</v>
      </c>
    </row>
    <row r="14" spans="1:15" ht="13.95" customHeight="1">
      <c r="A14" s="39"/>
      <c r="B14" s="39"/>
      <c r="C14" s="570"/>
      <c r="D14" s="570"/>
      <c r="E14" s="570"/>
      <c r="F14" s="570"/>
      <c r="G14" s="39"/>
      <c r="H14" s="39"/>
      <c r="I14" s="39"/>
      <c r="J14" s="39"/>
      <c r="K14" s="39"/>
      <c r="L14" s="568">
        <f t="shared" si="4"/>
        <v>0</v>
      </c>
    </row>
    <row r="15" spans="1:15">
      <c r="A15" s="39"/>
      <c r="B15" s="39"/>
      <c r="C15" s="570"/>
      <c r="D15" s="570"/>
      <c r="E15" s="570"/>
      <c r="F15" s="570"/>
      <c r="G15" s="39"/>
      <c r="H15" s="39"/>
      <c r="I15" s="39"/>
      <c r="J15" s="39"/>
      <c r="K15" s="39"/>
      <c r="L15" s="568">
        <f t="shared" si="4"/>
        <v>0</v>
      </c>
    </row>
    <row r="16" spans="1:15">
      <c r="A16" s="39"/>
      <c r="B16" s="39"/>
      <c r="C16" s="570"/>
      <c r="D16" s="570"/>
      <c r="E16" s="570"/>
      <c r="F16" s="570"/>
      <c r="G16" s="39"/>
      <c r="H16" s="39"/>
      <c r="I16" s="39"/>
      <c r="J16" s="39"/>
      <c r="K16" s="39"/>
      <c r="L16" s="568"/>
    </row>
    <row r="17" spans="1:12" ht="13.95" customHeight="1">
      <c r="A17" s="39"/>
      <c r="B17" s="39"/>
      <c r="C17" s="570"/>
      <c r="D17" s="570"/>
      <c r="E17" s="570"/>
      <c r="F17" s="570"/>
      <c r="G17" s="39"/>
      <c r="H17" s="39"/>
      <c r="I17" s="39"/>
      <c r="J17" s="39"/>
      <c r="K17" s="39"/>
      <c r="L17" s="568"/>
    </row>
    <row r="18" spans="1:12" ht="13.95" customHeight="1">
      <c r="A18" s="39"/>
      <c r="B18" s="39"/>
      <c r="C18" s="570"/>
      <c r="D18" s="570"/>
      <c r="E18" s="570"/>
      <c r="F18" s="570"/>
      <c r="G18" s="39"/>
      <c r="H18" s="39"/>
      <c r="I18" s="39"/>
      <c r="J18" s="39"/>
      <c r="K18" s="39"/>
      <c r="L18" s="568">
        <f t="shared" ref="L18:L26" si="5">C18*G18+H18*D18+E18*I18+F18*J18</f>
        <v>0</v>
      </c>
    </row>
    <row r="19" spans="1:12" ht="13.95" customHeight="1">
      <c r="A19" s="39"/>
      <c r="B19" s="39"/>
      <c r="C19" s="570"/>
      <c r="D19" s="570"/>
      <c r="E19" s="570"/>
      <c r="F19" s="570"/>
      <c r="G19" s="39"/>
      <c r="H19" s="39"/>
      <c r="I19" s="39"/>
      <c r="J19" s="39"/>
      <c r="K19" s="39"/>
      <c r="L19" s="568">
        <f t="shared" si="5"/>
        <v>0</v>
      </c>
    </row>
    <row r="20" spans="1:12" ht="13.95" customHeight="1">
      <c r="A20" s="39"/>
      <c r="B20" s="39"/>
      <c r="C20" s="570"/>
      <c r="D20" s="570"/>
      <c r="E20" s="570"/>
      <c r="F20" s="570"/>
      <c r="G20" s="39"/>
      <c r="H20" s="39"/>
      <c r="I20" s="39"/>
      <c r="J20" s="39"/>
      <c r="K20" s="39"/>
      <c r="L20" s="568">
        <f t="shared" si="5"/>
        <v>0</v>
      </c>
    </row>
    <row r="21" spans="1:12">
      <c r="A21" s="39"/>
      <c r="B21" s="39"/>
      <c r="C21" s="570"/>
      <c r="D21" s="570"/>
      <c r="E21" s="570"/>
      <c r="F21" s="570"/>
      <c r="G21" s="39"/>
      <c r="H21" s="39"/>
      <c r="I21" s="39"/>
      <c r="J21" s="39"/>
      <c r="K21" s="39"/>
      <c r="L21" s="568">
        <f t="shared" si="5"/>
        <v>0</v>
      </c>
    </row>
    <row r="22" spans="1:12">
      <c r="A22" s="39"/>
      <c r="B22" s="39"/>
      <c r="C22" s="570"/>
      <c r="D22" s="570"/>
      <c r="E22" s="570"/>
      <c r="F22" s="570"/>
      <c r="G22" s="39"/>
      <c r="H22" s="39"/>
      <c r="I22" s="39"/>
      <c r="J22" s="39"/>
      <c r="K22" s="39"/>
      <c r="L22" s="568">
        <f t="shared" si="5"/>
        <v>0</v>
      </c>
    </row>
    <row r="23" spans="1:12">
      <c r="A23" s="39"/>
      <c r="B23" s="39"/>
      <c r="C23" s="570"/>
      <c r="D23" s="570"/>
      <c r="E23" s="570"/>
      <c r="F23" s="570"/>
      <c r="G23" s="39"/>
      <c r="H23" s="39"/>
      <c r="I23" s="39"/>
      <c r="J23" s="39"/>
      <c r="K23" s="39"/>
      <c r="L23" s="568">
        <f t="shared" si="5"/>
        <v>0</v>
      </c>
    </row>
    <row r="24" spans="1:12">
      <c r="A24" s="39"/>
      <c r="B24" s="39"/>
      <c r="C24" s="570"/>
      <c r="D24" s="570"/>
      <c r="E24" s="570"/>
      <c r="F24" s="570"/>
      <c r="G24" s="39"/>
      <c r="H24" s="39"/>
      <c r="I24" s="39"/>
      <c r="J24" s="39"/>
      <c r="K24" s="39"/>
      <c r="L24" s="568">
        <f t="shared" si="5"/>
        <v>0</v>
      </c>
    </row>
    <row r="25" spans="1:12">
      <c r="A25" s="39"/>
      <c r="B25" s="39"/>
      <c r="C25" s="570"/>
      <c r="D25" s="570"/>
      <c r="E25" s="570"/>
      <c r="F25" s="570"/>
      <c r="G25" s="39"/>
      <c r="H25" s="39"/>
      <c r="I25" s="39"/>
      <c r="J25" s="39"/>
      <c r="K25" s="39"/>
      <c r="L25" s="568">
        <f t="shared" si="5"/>
        <v>0</v>
      </c>
    </row>
    <row r="26" spans="1:12">
      <c r="A26" s="39"/>
      <c r="B26" s="39"/>
      <c r="C26" s="570"/>
      <c r="D26" s="570"/>
      <c r="E26" s="570"/>
      <c r="F26" s="570"/>
      <c r="G26" s="39"/>
      <c r="H26" s="39"/>
      <c r="I26" s="39"/>
      <c r="J26" s="39"/>
      <c r="K26" s="39"/>
      <c r="L26" s="568">
        <f t="shared" si="5"/>
        <v>0</v>
      </c>
    </row>
    <row r="27" spans="1:12">
      <c r="A27" s="567" t="s">
        <v>311</v>
      </c>
      <c r="B27" s="567"/>
      <c r="C27" s="567"/>
      <c r="D27" s="567"/>
      <c r="E27" s="567"/>
      <c r="F27" s="567"/>
      <c r="G27" s="567">
        <f t="shared" ref="G27:L27" si="6">SUM(G3:G26)</f>
        <v>965.5</v>
      </c>
      <c r="H27" s="567">
        <f t="shared" si="6"/>
        <v>965.5</v>
      </c>
      <c r="I27" s="567">
        <f t="shared" si="6"/>
        <v>965.5</v>
      </c>
      <c r="J27" s="567">
        <f t="shared" si="6"/>
        <v>965.5</v>
      </c>
      <c r="K27" s="567">
        <f t="shared" si="6"/>
        <v>0</v>
      </c>
      <c r="L27" s="567">
        <f t="shared" si="6"/>
        <v>67585</v>
      </c>
    </row>
    <row r="28" spans="1:12">
      <c r="A28" s="573" t="s">
        <v>966</v>
      </c>
      <c r="B28" s="574"/>
      <c r="C28" s="1980" t="s">
        <v>967</v>
      </c>
      <c r="D28" s="1980"/>
      <c r="E28" s="1980"/>
      <c r="F28" s="1980"/>
      <c r="G28" s="1980"/>
      <c r="H28" s="1980"/>
      <c r="I28" s="1980"/>
      <c r="J28" s="1980"/>
      <c r="K28" s="575"/>
      <c r="L28" s="545"/>
    </row>
    <row r="29" spans="1:12">
      <c r="A29" s="1979" t="s">
        <v>968</v>
      </c>
      <c r="B29" s="1979"/>
      <c r="C29" s="1979"/>
      <c r="D29" s="1979"/>
      <c r="E29" s="1979"/>
      <c r="F29" s="1979"/>
      <c r="G29" s="1979"/>
      <c r="H29" s="1979"/>
      <c r="I29" s="1979"/>
      <c r="J29" s="1979"/>
      <c r="K29" s="576"/>
      <c r="L29" s="576"/>
    </row>
    <row r="30" spans="1:12">
      <c r="A30" s="1981" t="s">
        <v>969</v>
      </c>
      <c r="B30" s="39"/>
      <c r="C30" s="1981" t="s">
        <v>408</v>
      </c>
      <c r="D30" s="1981"/>
      <c r="E30" s="1981"/>
      <c r="F30" s="1981" t="s">
        <v>970</v>
      </c>
      <c r="G30" s="1981"/>
      <c r="H30" s="1981" t="s">
        <v>971</v>
      </c>
      <c r="I30" s="1981"/>
      <c r="J30" s="1981"/>
      <c r="K30" s="545"/>
      <c r="L30" s="545"/>
    </row>
    <row r="31" spans="1:12">
      <c r="A31" s="1981"/>
      <c r="B31" s="39"/>
      <c r="C31" s="39" t="s">
        <v>972</v>
      </c>
      <c r="D31" s="39" t="s">
        <v>268</v>
      </c>
      <c r="E31" s="39" t="s">
        <v>973</v>
      </c>
      <c r="F31" s="39" t="s">
        <v>972</v>
      </c>
      <c r="G31" s="39" t="s">
        <v>973</v>
      </c>
      <c r="H31" s="39" t="s">
        <v>972</v>
      </c>
      <c r="I31" s="39" t="s">
        <v>268</v>
      </c>
      <c r="J31" s="39" t="s">
        <v>973</v>
      </c>
      <c r="K31" s="545"/>
      <c r="L31" s="545"/>
    </row>
    <row r="32" spans="1:12">
      <c r="A32" s="39" t="s">
        <v>971</v>
      </c>
      <c r="B32" s="39"/>
      <c r="C32" s="39"/>
      <c r="D32" s="39"/>
      <c r="E32" s="39"/>
      <c r="F32" s="39"/>
      <c r="G32" s="39"/>
      <c r="H32" s="39">
        <v>9</v>
      </c>
      <c r="I32" s="39">
        <v>361</v>
      </c>
      <c r="J32" s="39">
        <v>965.5</v>
      </c>
      <c r="K32" s="545"/>
      <c r="L32" s="545"/>
    </row>
    <row r="33" spans="1:12">
      <c r="A33" s="39" t="s">
        <v>974</v>
      </c>
      <c r="B33" s="39"/>
      <c r="C33" s="39"/>
      <c r="D33" s="39"/>
      <c r="E33" s="39"/>
      <c r="F33" s="39"/>
      <c r="G33" s="39"/>
      <c r="H33" s="39"/>
      <c r="I33" s="39"/>
      <c r="J33" s="39"/>
      <c r="K33" s="545"/>
      <c r="L33" s="545"/>
    </row>
    <row r="34" spans="1:12">
      <c r="A34" s="569" t="s">
        <v>975</v>
      </c>
      <c r="B34" s="569"/>
      <c r="C34" s="569"/>
      <c r="D34" s="569"/>
      <c r="E34" s="577" t="e">
        <f>E32/C32/E33</f>
        <v>#DIV/0!</v>
      </c>
      <c r="F34" s="569"/>
      <c r="G34" s="577" t="e">
        <f>G32/F32/G33</f>
        <v>#DIV/0!</v>
      </c>
      <c r="H34" s="569"/>
      <c r="I34" s="569"/>
      <c r="J34" s="577" t="e">
        <f>J32/J33/H32</f>
        <v>#DIV/0!</v>
      </c>
      <c r="K34" s="578"/>
      <c r="L34" s="545"/>
    </row>
    <row r="35" spans="1:12">
      <c r="A35" s="1982" t="s">
        <v>976</v>
      </c>
      <c r="B35" s="1983"/>
      <c r="C35" s="1984"/>
      <c r="D35" s="1984"/>
      <c r="E35" s="1984"/>
      <c r="F35" s="1984"/>
      <c r="G35" s="1984"/>
      <c r="H35" s="1984"/>
      <c r="I35" s="1984"/>
      <c r="J35" s="1985"/>
      <c r="L35" s="545"/>
    </row>
    <row r="36" spans="1:12">
      <c r="A36" s="39" t="s">
        <v>977</v>
      </c>
      <c r="B36" s="39"/>
      <c r="C36" s="1981"/>
      <c r="D36" s="1981"/>
      <c r="E36" s="1981"/>
      <c r="F36" s="1981"/>
      <c r="G36" s="1981"/>
      <c r="H36" s="1981" t="s">
        <v>978</v>
      </c>
      <c r="I36" s="1981"/>
      <c r="J36" s="1981"/>
      <c r="K36" s="545"/>
      <c r="L36" s="545"/>
    </row>
    <row r="37" spans="1:12">
      <c r="A37" s="39" t="s">
        <v>969</v>
      </c>
      <c r="B37" s="39"/>
      <c r="C37" s="39"/>
      <c r="D37" s="39"/>
      <c r="E37" s="39"/>
      <c r="F37" s="39"/>
      <c r="G37" s="39"/>
      <c r="H37" s="39" t="s">
        <v>979</v>
      </c>
      <c r="I37" s="39" t="s">
        <v>980</v>
      </c>
      <c r="J37" s="39" t="s">
        <v>981</v>
      </c>
      <c r="K37" s="545"/>
      <c r="L37" s="545"/>
    </row>
    <row r="38" spans="1:12">
      <c r="A38" s="39" t="s">
        <v>972</v>
      </c>
      <c r="B38" s="39"/>
      <c r="C38" s="572"/>
      <c r="D38" s="572"/>
      <c r="E38" s="577"/>
      <c r="F38" s="572"/>
      <c r="G38" s="577"/>
      <c r="H38" s="572">
        <v>9</v>
      </c>
      <c r="I38" s="572">
        <v>9</v>
      </c>
      <c r="J38" s="572">
        <v>0</v>
      </c>
      <c r="K38" s="575"/>
      <c r="L38" s="545"/>
    </row>
    <row r="39" spans="1:12">
      <c r="A39" s="39" t="s">
        <v>268</v>
      </c>
      <c r="B39" s="39"/>
      <c r="C39" s="572"/>
      <c r="D39" s="572"/>
      <c r="E39" s="577"/>
      <c r="F39" s="572"/>
      <c r="G39" s="577"/>
      <c r="H39" s="572">
        <v>383</v>
      </c>
      <c r="I39" s="572">
        <v>361</v>
      </c>
      <c r="J39" s="572">
        <f>I39-H39</f>
        <v>-22</v>
      </c>
      <c r="K39" s="575"/>
      <c r="L39" s="545"/>
    </row>
    <row r="40" spans="1:12">
      <c r="A40" s="39" t="s">
        <v>973</v>
      </c>
      <c r="B40" s="39"/>
      <c r="C40" s="572"/>
      <c r="D40" s="572"/>
      <c r="E40" s="577"/>
      <c r="F40" s="572"/>
      <c r="G40" s="577"/>
      <c r="H40" s="579">
        <v>1143.5</v>
      </c>
      <c r="I40" s="579">
        <v>965.5</v>
      </c>
      <c r="J40" s="579">
        <f>I40-H40</f>
        <v>-178</v>
      </c>
      <c r="K40" s="580"/>
      <c r="L40" s="545"/>
    </row>
    <row r="41" spans="1:12">
      <c r="A41" s="39" t="s">
        <v>974</v>
      </c>
      <c r="B41" s="39"/>
      <c r="C41" s="572"/>
      <c r="D41" s="572"/>
      <c r="E41" s="579"/>
      <c r="F41" s="572"/>
      <c r="G41" s="579"/>
      <c r="H41" s="572">
        <v>26</v>
      </c>
      <c r="I41" s="572">
        <v>26</v>
      </c>
      <c r="J41" s="572">
        <f>I41-H41</f>
        <v>0</v>
      </c>
      <c r="K41" s="575"/>
      <c r="L41" s="545"/>
    </row>
    <row r="42" spans="1:12">
      <c r="A42" s="581" t="s">
        <v>975</v>
      </c>
      <c r="B42" s="581"/>
      <c r="C42" s="577" t="e">
        <f t="shared" ref="C42:F42" si="7">C40/C38/C41</f>
        <v>#DIV/0!</v>
      </c>
      <c r="D42" s="577" t="e">
        <f t="shared" si="7"/>
        <v>#DIV/0!</v>
      </c>
      <c r="E42" s="577" t="e">
        <f>C42-D42</f>
        <v>#DIV/0!</v>
      </c>
      <c r="F42" s="577" t="e">
        <f t="shared" si="7"/>
        <v>#DIV/0!</v>
      </c>
      <c r="G42" s="577" t="e">
        <f>F42-#REF!</f>
        <v>#DIV/0!</v>
      </c>
      <c r="H42" s="577">
        <f>H40/H38/H41</f>
        <v>4.8867521367521398</v>
      </c>
      <c r="I42" s="577">
        <f>I40/I38/I41</f>
        <v>4.1260683760683801</v>
      </c>
      <c r="J42" s="577">
        <f t="shared" ref="J42" si="8">I42-H42</f>
        <v>-0.76068376068376198</v>
      </c>
      <c r="K42" s="578"/>
      <c r="L42" s="545"/>
    </row>
    <row r="43" spans="1:12">
      <c r="A43" s="39"/>
      <c r="B43" s="39"/>
      <c r="C43" s="572"/>
      <c r="D43" s="572"/>
      <c r="E43" s="577"/>
      <c r="F43" s="572"/>
      <c r="G43" s="577"/>
      <c r="H43" s="579"/>
      <c r="I43" s="579"/>
      <c r="J43" s="572"/>
      <c r="K43" s="575"/>
      <c r="L43" s="545"/>
    </row>
    <row r="44" spans="1:12">
      <c r="A44" s="39"/>
      <c r="B44" s="39"/>
      <c r="C44" s="572"/>
      <c r="D44" s="572"/>
      <c r="E44" s="579"/>
      <c r="F44" s="572"/>
      <c r="G44" s="579"/>
      <c r="H44" s="572"/>
      <c r="I44" s="572"/>
      <c r="J44" s="572"/>
      <c r="K44" s="575"/>
      <c r="L44" s="545"/>
    </row>
    <row r="45" spans="1:12">
      <c r="A45" s="581"/>
      <c r="B45" s="581"/>
      <c r="C45" s="577"/>
      <c r="D45" s="577"/>
      <c r="E45" s="577"/>
      <c r="F45" s="577"/>
      <c r="G45" s="577"/>
      <c r="H45" s="582"/>
      <c r="I45" s="582"/>
      <c r="J45" s="577"/>
      <c r="K45" s="578"/>
      <c r="L45" s="545"/>
    </row>
  </sheetData>
  <mergeCells count="14">
    <mergeCell ref="L1:L2"/>
    <mergeCell ref="A35:J35"/>
    <mergeCell ref="C36:E36"/>
    <mergeCell ref="F36:G36"/>
    <mergeCell ref="H36:J36"/>
    <mergeCell ref="A1:A3"/>
    <mergeCell ref="A30:A31"/>
    <mergeCell ref="C1:F1"/>
    <mergeCell ref="G1:J1"/>
    <mergeCell ref="C28:J28"/>
    <mergeCell ref="A29:J29"/>
    <mergeCell ref="C30:E30"/>
    <mergeCell ref="F30:G30"/>
    <mergeCell ref="H30:J30"/>
  </mergeCells>
  <phoneticPr fontId="5" type="noConversion"/>
  <conditionalFormatting sqref="A1:A42">
    <cfRule type="duplicateValues" dxfId="843" priority="14"/>
  </conditionalFormatting>
  <conditionalFormatting sqref="A43:A1048576">
    <cfRule type="duplicateValues" dxfId="842" priority="22"/>
  </conditionalFormatting>
  <pageMargins left="0.69930555555555596" right="0.69930555555555596"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rgb="FF0070C0"/>
  </sheetPr>
  <dimension ref="A1:T11"/>
  <sheetViews>
    <sheetView topLeftCell="B1" workbookViewId="0">
      <selection activeCell="M22" sqref="M22"/>
    </sheetView>
  </sheetViews>
  <sheetFormatPr defaultColWidth="9" defaultRowHeight="14.4"/>
  <cols>
    <col min="1" max="1" width="9" style="454"/>
    <col min="2" max="2" width="10.109375" customWidth="1"/>
    <col min="3" max="3" width="15.77734375" style="545" customWidth="1"/>
    <col min="4" max="4" width="14.33203125" style="545" customWidth="1"/>
    <col min="5" max="5" width="12.33203125" style="545" customWidth="1"/>
    <col min="6" max="6" width="11" style="545" customWidth="1"/>
    <col min="7" max="7" width="14.33203125" style="545" customWidth="1"/>
    <col min="8" max="8" width="11.33203125" style="545" customWidth="1"/>
    <col min="9" max="11" width="11.33203125" style="546" customWidth="1"/>
    <col min="12" max="12" width="13.88671875" style="546" customWidth="1"/>
    <col min="13" max="13" width="14.109375" style="546" customWidth="1"/>
    <col min="14" max="14" width="13.44140625" style="547" customWidth="1"/>
    <col min="15" max="15" width="10.6640625" style="546" customWidth="1"/>
    <col min="16" max="16" width="11.21875" style="546" customWidth="1"/>
    <col min="17" max="17" width="13.21875" style="546" customWidth="1"/>
    <col min="18" max="18" width="11.109375" style="546" customWidth="1"/>
    <col min="19" max="19" width="11.109375" style="545" customWidth="1"/>
    <col min="20" max="20" width="9.88671875" style="545" customWidth="1"/>
    <col min="21" max="21" width="7.6640625" style="545" customWidth="1"/>
    <col min="22" max="16384" width="9" style="545"/>
  </cols>
  <sheetData>
    <row r="1" spans="1:20" ht="30.15" customHeight="1">
      <c r="A1" s="545"/>
      <c r="B1" s="545"/>
      <c r="C1" s="1987" t="s">
        <v>982</v>
      </c>
      <c r="D1" s="1987"/>
      <c r="E1" s="1987"/>
      <c r="F1" s="1987"/>
      <c r="G1" s="1987"/>
      <c r="H1" s="1987"/>
      <c r="I1" s="1987"/>
      <c r="J1" s="1987"/>
      <c r="K1" s="1987"/>
      <c r="L1" s="1987"/>
      <c r="M1" s="1987"/>
      <c r="N1" s="1987"/>
    </row>
    <row r="2" spans="1:20" s="543" customFormat="1" ht="36">
      <c r="B2" s="548" t="s">
        <v>972</v>
      </c>
      <c r="C2" s="549" t="s">
        <v>983</v>
      </c>
      <c r="D2" s="550" t="s">
        <v>324</v>
      </c>
      <c r="E2" s="550" t="s">
        <v>984</v>
      </c>
      <c r="F2" s="549" t="s">
        <v>985</v>
      </c>
      <c r="G2" s="551" t="s">
        <v>986</v>
      </c>
      <c r="H2" s="549" t="s">
        <v>984</v>
      </c>
      <c r="I2" s="550" t="s">
        <v>299</v>
      </c>
      <c r="J2" s="550" t="s">
        <v>987</v>
      </c>
      <c r="K2" s="548" t="s">
        <v>988</v>
      </c>
      <c r="L2" s="551" t="s">
        <v>989</v>
      </c>
      <c r="M2" s="551" t="s">
        <v>990</v>
      </c>
      <c r="N2" s="552" t="s">
        <v>424</v>
      </c>
      <c r="O2" s="553"/>
      <c r="P2" s="553"/>
      <c r="Q2" s="553"/>
      <c r="R2" s="553"/>
    </row>
    <row r="3" spans="1:20" s="544" customFormat="1" ht="24.45" customHeight="1">
      <c r="B3" s="554" t="s">
        <v>48</v>
      </c>
      <c r="C3" s="1988">
        <f>'05月其他部门提成'!K6</f>
        <v>24258</v>
      </c>
      <c r="D3" s="1988">
        <v>0.1</v>
      </c>
      <c r="E3" s="1988">
        <f>D3*C3</f>
        <v>2425.8000000000002</v>
      </c>
      <c r="F3" s="1990">
        <v>2421</v>
      </c>
      <c r="G3" s="1992">
        <v>4</v>
      </c>
      <c r="H3" s="1994">
        <f>F3*G3</f>
        <v>9684</v>
      </c>
      <c r="I3" s="555"/>
      <c r="J3" s="555"/>
      <c r="K3" s="554">
        <v>0.3</v>
      </c>
      <c r="L3" s="555">
        <f>($E$3+$H$3)*K3</f>
        <v>3632.94</v>
      </c>
      <c r="M3" s="555">
        <f>I3+L3+J3</f>
        <v>3632.94</v>
      </c>
      <c r="N3" s="556"/>
      <c r="O3" s="557">
        <v>1500</v>
      </c>
      <c r="P3" s="557">
        <f>O3+M3</f>
        <v>5132.9399999999996</v>
      </c>
      <c r="Q3" s="557"/>
      <c r="R3" s="558">
        <f>Q3+P3</f>
        <v>5132.9399999999996</v>
      </c>
      <c r="S3" s="558">
        <v>4674.8991999999998</v>
      </c>
      <c r="T3" s="559">
        <f>R3-S3</f>
        <v>458.04079999999999</v>
      </c>
    </row>
    <row r="4" spans="1:20" s="544" customFormat="1" ht="24.45" customHeight="1">
      <c r="B4" s="554" t="s">
        <v>49</v>
      </c>
      <c r="C4" s="1989"/>
      <c r="D4" s="1989"/>
      <c r="E4" s="1989"/>
      <c r="F4" s="1991"/>
      <c r="G4" s="1993"/>
      <c r="H4" s="1995"/>
      <c r="I4" s="555"/>
      <c r="J4" s="555"/>
      <c r="K4" s="554">
        <v>0.1</v>
      </c>
      <c r="L4" s="555">
        <f>($E$3+$H$3)*K4</f>
        <v>1210.98</v>
      </c>
      <c r="M4" s="555">
        <f>I4+L4+J4</f>
        <v>1210.98</v>
      </c>
      <c r="N4" s="556"/>
      <c r="O4" s="557">
        <v>1500</v>
      </c>
      <c r="P4" s="557">
        <f>O4+M4</f>
        <v>2710.98</v>
      </c>
      <c r="Q4" s="557"/>
      <c r="R4" s="558">
        <f>Q4+P4</f>
        <v>2710.98</v>
      </c>
      <c r="S4" s="558">
        <v>4106.1743999999999</v>
      </c>
      <c r="T4" s="559">
        <f>R4-S4</f>
        <v>-1395.1944000000001</v>
      </c>
    </row>
    <row r="5" spans="1:20" s="544" customFormat="1" ht="24.45" customHeight="1">
      <c r="B5" s="554" t="s">
        <v>52</v>
      </c>
      <c r="C5" s="1989"/>
      <c r="D5" s="1989"/>
      <c r="E5" s="1989"/>
      <c r="F5" s="1991"/>
      <c r="G5" s="1993"/>
      <c r="H5" s="1995"/>
      <c r="I5" s="555"/>
      <c r="J5" s="555"/>
      <c r="K5" s="554">
        <v>0.22</v>
      </c>
      <c r="L5" s="555">
        <f>($E$3+$H$3)*K5</f>
        <v>2664.1559999999999</v>
      </c>
      <c r="M5" s="555">
        <f>I5+L5+J5</f>
        <v>2664.1559999999999</v>
      </c>
      <c r="N5" s="556"/>
      <c r="O5" s="557">
        <v>1500</v>
      </c>
      <c r="P5" s="557">
        <f>O5+M5</f>
        <v>4164.1559999999999</v>
      </c>
      <c r="Q5" s="557"/>
      <c r="R5" s="558">
        <f>Q5+P5</f>
        <v>4164.1559999999999</v>
      </c>
      <c r="S5" s="558">
        <v>3821.8119999999999</v>
      </c>
      <c r="T5" s="559">
        <f>R5-S5</f>
        <v>342.34399999999999</v>
      </c>
    </row>
    <row r="6" spans="1:20" s="544" customFormat="1" ht="24.45" customHeight="1">
      <c r="B6" s="554" t="s">
        <v>819</v>
      </c>
      <c r="C6" s="1989"/>
      <c r="D6" s="1989"/>
      <c r="E6" s="1989"/>
      <c r="F6" s="1991"/>
      <c r="G6" s="1993"/>
      <c r="H6" s="1995"/>
      <c r="I6" s="555"/>
      <c r="J6" s="555"/>
      <c r="K6" s="554">
        <v>0.24</v>
      </c>
      <c r="L6" s="555">
        <f>($E$3+$H$3)*K6</f>
        <v>2906.3519999999999</v>
      </c>
      <c r="M6" s="555">
        <f>I6+L6+J6</f>
        <v>2906.3519999999999</v>
      </c>
      <c r="N6" s="556"/>
      <c r="O6" s="557">
        <v>1500</v>
      </c>
      <c r="P6" s="557">
        <f>O6+M6</f>
        <v>4406.3519999999999</v>
      </c>
      <c r="Q6" s="557"/>
      <c r="R6" s="558">
        <f>Q6+P6</f>
        <v>4406.3519999999999</v>
      </c>
      <c r="S6" s="558">
        <v>4106.1743999999999</v>
      </c>
      <c r="T6" s="559">
        <f>R6-S6</f>
        <v>300.17759999999998</v>
      </c>
    </row>
    <row r="7" spans="1:20" s="544" customFormat="1" ht="24.45" customHeight="1">
      <c r="B7" s="554" t="s">
        <v>51</v>
      </c>
      <c r="C7" s="1989"/>
      <c r="D7" s="1989"/>
      <c r="E7" s="1989"/>
      <c r="F7" s="1991"/>
      <c r="G7" s="1993"/>
      <c r="H7" s="1995"/>
      <c r="I7" s="555"/>
      <c r="J7" s="555"/>
      <c r="K7" s="554">
        <v>0.14000000000000001</v>
      </c>
      <c r="L7" s="555">
        <f>($E$3+$H$3)*K7</f>
        <v>1695.3720000000001</v>
      </c>
      <c r="M7" s="555">
        <f>I7+L7+J7</f>
        <v>1695.3720000000001</v>
      </c>
      <c r="N7" s="560"/>
      <c r="O7" s="557"/>
      <c r="P7" s="557"/>
      <c r="Q7" s="557"/>
      <c r="R7" s="558"/>
      <c r="T7" s="559">
        <f>R7-S7</f>
        <v>0</v>
      </c>
    </row>
    <row r="8" spans="1:20" ht="24.45" customHeight="1">
      <c r="B8" s="554"/>
      <c r="C8" s="1989"/>
      <c r="D8" s="1989"/>
      <c r="E8" s="1989"/>
      <c r="F8" s="1991"/>
      <c r="G8" s="1993"/>
      <c r="H8" s="1995"/>
      <c r="I8" s="555"/>
      <c r="J8" s="555"/>
      <c r="K8" s="554"/>
      <c r="L8" s="555"/>
      <c r="M8" s="555"/>
      <c r="N8" s="560"/>
      <c r="R8" s="561"/>
    </row>
    <row r="9" spans="1:20" ht="30.15" customHeight="1">
      <c r="B9" s="562" t="s">
        <v>311</v>
      </c>
      <c r="C9" s="560">
        <f>SUM(C3:C8)</f>
        <v>24258</v>
      </c>
      <c r="D9" s="560">
        <f t="shared" ref="D9:N9" si="0">SUM(D3:D8)</f>
        <v>0.1</v>
      </c>
      <c r="E9" s="560">
        <f t="shared" si="0"/>
        <v>2425.8000000000002</v>
      </c>
      <c r="F9" s="560">
        <f t="shared" si="0"/>
        <v>2421</v>
      </c>
      <c r="G9" s="563">
        <f t="shared" si="0"/>
        <v>4</v>
      </c>
      <c r="H9" s="560">
        <f t="shared" si="0"/>
        <v>9684</v>
      </c>
      <c r="I9" s="560">
        <f t="shared" si="0"/>
        <v>0</v>
      </c>
      <c r="J9" s="560">
        <f t="shared" si="0"/>
        <v>0</v>
      </c>
      <c r="K9" s="560">
        <f t="shared" si="0"/>
        <v>1</v>
      </c>
      <c r="L9" s="560">
        <f t="shared" si="0"/>
        <v>12109.8</v>
      </c>
      <c r="M9" s="560">
        <f t="shared" si="0"/>
        <v>12109.8</v>
      </c>
      <c r="N9" s="560">
        <f t="shared" si="0"/>
        <v>0</v>
      </c>
    </row>
    <row r="10" spans="1:20">
      <c r="Q10" s="546">
        <f>P10/30*13</f>
        <v>0</v>
      </c>
    </row>
    <row r="11" spans="1:20">
      <c r="E11" s="546"/>
    </row>
  </sheetData>
  <mergeCells count="7">
    <mergeCell ref="C1:N1"/>
    <mergeCell ref="C3:C8"/>
    <mergeCell ref="D3:D8"/>
    <mergeCell ref="E3:E8"/>
    <mergeCell ref="F3:F8"/>
    <mergeCell ref="G3:G8"/>
    <mergeCell ref="H3:H8"/>
  </mergeCells>
  <phoneticPr fontId="5" type="noConversion"/>
  <pageMargins left="0.75" right="0.75" top="1" bottom="1" header="0.5" footer="0.5"/>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FF0000"/>
  </sheetPr>
  <dimension ref="A1:AE665"/>
  <sheetViews>
    <sheetView topLeftCell="M1" workbookViewId="0">
      <selection activeCell="AD25" sqref="AD25"/>
    </sheetView>
  </sheetViews>
  <sheetFormatPr defaultColWidth="10.88671875" defaultRowHeight="15.9" customHeight="1"/>
  <cols>
    <col min="1" max="1" width="12.33203125" style="481" customWidth="1"/>
    <col min="2" max="21" width="10.88671875" style="481" customWidth="1"/>
    <col min="22" max="23" width="16.109375" style="481"/>
    <col min="24" max="27" width="11.6640625" style="481"/>
    <col min="28" max="28" width="17.77734375" style="481" customWidth="1"/>
    <col min="29" max="29" width="11.88671875" style="481"/>
    <col min="30" max="30" width="8.33203125" style="481" customWidth="1"/>
    <col min="31" max="16384" width="10.88671875" style="481"/>
  </cols>
  <sheetData>
    <row r="1" spans="1:31" s="478" customFormat="1" ht="15.9" customHeight="1">
      <c r="A1" s="2008" t="s">
        <v>991</v>
      </c>
      <c r="B1" s="1996" t="s">
        <v>992</v>
      </c>
      <c r="C1" s="1997"/>
      <c r="D1" s="1998"/>
      <c r="E1" s="1997"/>
      <c r="F1" s="1997"/>
      <c r="G1" s="1997"/>
      <c r="H1" s="1999"/>
      <c r="I1" s="1996" t="s">
        <v>993</v>
      </c>
      <c r="J1" s="1997"/>
      <c r="K1" s="1998"/>
      <c r="L1" s="1997"/>
      <c r="M1" s="1997"/>
      <c r="N1" s="1997"/>
      <c r="O1" s="1999"/>
      <c r="P1" s="2000" t="s">
        <v>994</v>
      </c>
      <c r="Q1" s="1997"/>
      <c r="R1" s="1998"/>
      <c r="S1" s="1997"/>
      <c r="T1" s="1997"/>
      <c r="U1" s="1997"/>
      <c r="V1" s="2001"/>
      <c r="W1" s="1996" t="s">
        <v>995</v>
      </c>
      <c r="X1" s="1997"/>
      <c r="Y1" s="1997"/>
      <c r="Z1" s="1999" t="s">
        <v>311</v>
      </c>
      <c r="AA1" s="2021" t="s">
        <v>996</v>
      </c>
      <c r="AB1" s="2023" t="s">
        <v>997</v>
      </c>
      <c r="AC1" s="2023" t="s">
        <v>998</v>
      </c>
      <c r="AD1" s="2023" t="s">
        <v>999</v>
      </c>
    </row>
    <row r="2" spans="1:31" s="478" customFormat="1" ht="15.9" customHeight="1">
      <c r="A2" s="2009"/>
      <c r="B2" s="482" t="s">
        <v>1000</v>
      </c>
      <c r="C2" s="483" t="s">
        <v>1001</v>
      </c>
      <c r="D2" s="484" t="s">
        <v>1002</v>
      </c>
      <c r="E2" s="483" t="s">
        <v>1003</v>
      </c>
      <c r="F2" s="483" t="s">
        <v>1004</v>
      </c>
      <c r="G2" s="483" t="s">
        <v>1005</v>
      </c>
      <c r="H2" s="485" t="s">
        <v>1006</v>
      </c>
      <c r="I2" s="482" t="s">
        <v>1000</v>
      </c>
      <c r="J2" s="483" t="s">
        <v>1001</v>
      </c>
      <c r="K2" s="484" t="s">
        <v>1002</v>
      </c>
      <c r="L2" s="483" t="s">
        <v>1003</v>
      </c>
      <c r="M2" s="483" t="s">
        <v>1004</v>
      </c>
      <c r="N2" s="483" t="s">
        <v>1005</v>
      </c>
      <c r="O2" s="485" t="s">
        <v>1006</v>
      </c>
      <c r="P2" s="486" t="s">
        <v>1000</v>
      </c>
      <c r="Q2" s="483" t="s">
        <v>1001</v>
      </c>
      <c r="R2" s="484" t="s">
        <v>1002</v>
      </c>
      <c r="S2" s="483" t="s">
        <v>1003</v>
      </c>
      <c r="T2" s="483" t="s">
        <v>1004</v>
      </c>
      <c r="U2" s="483" t="s">
        <v>1005</v>
      </c>
      <c r="V2" s="487" t="s">
        <v>1006</v>
      </c>
      <c r="W2" s="482" t="s">
        <v>995</v>
      </c>
      <c r="X2" s="483" t="s">
        <v>1005</v>
      </c>
      <c r="Y2" s="483" t="s">
        <v>1006</v>
      </c>
      <c r="Z2" s="2020"/>
      <c r="AA2" s="2022"/>
      <c r="AB2" s="2024"/>
      <c r="AC2" s="2024"/>
      <c r="AD2" s="2024"/>
    </row>
    <row r="3" spans="1:31" s="478" customFormat="1" ht="15.9" customHeight="1">
      <c r="A3" s="488" t="s">
        <v>80</v>
      </c>
      <c r="B3" s="489">
        <v>118</v>
      </c>
      <c r="C3" s="490">
        <v>0.55000000000000004</v>
      </c>
      <c r="D3" s="321">
        <f t="shared" ref="D3:D6" si="0">C3*B3</f>
        <v>64.900000000000006</v>
      </c>
      <c r="E3" s="319">
        <v>60</v>
      </c>
      <c r="F3" s="490">
        <f t="shared" ref="F3:F6" si="1">E3/B3</f>
        <v>0.50847457627118597</v>
      </c>
      <c r="G3" s="319">
        <v>85</v>
      </c>
      <c r="H3" s="491">
        <f t="shared" ref="H3:H6" si="2">G3*E3</f>
        <v>5100</v>
      </c>
      <c r="I3" s="489">
        <v>224</v>
      </c>
      <c r="J3" s="490">
        <v>0.73</v>
      </c>
      <c r="K3" s="321">
        <f t="shared" ref="K3:K7" si="3">I3*J3</f>
        <v>163.52000000000001</v>
      </c>
      <c r="L3" s="319">
        <v>173</v>
      </c>
      <c r="M3" s="490">
        <f t="shared" ref="M3:M6" si="4">L3/I3</f>
        <v>0.77232142857142905</v>
      </c>
      <c r="N3" s="319">
        <v>75</v>
      </c>
      <c r="O3" s="491">
        <f t="shared" ref="O3:O6" si="5">N3*L3</f>
        <v>12975</v>
      </c>
      <c r="P3" s="492">
        <v>130</v>
      </c>
      <c r="Q3" s="490">
        <v>0.09</v>
      </c>
      <c r="R3" s="321">
        <f t="shared" ref="R3:R7" si="6">P3*Q3</f>
        <v>11.7</v>
      </c>
      <c r="S3" s="319">
        <v>2</v>
      </c>
      <c r="T3" s="490">
        <f t="shared" ref="T3:T6" si="7">S3/P3</f>
        <v>1.5384615384615399E-2</v>
      </c>
      <c r="U3" s="319">
        <v>75</v>
      </c>
      <c r="V3" s="493">
        <f t="shared" ref="V3:V6" si="8">U3*S3</f>
        <v>150</v>
      </c>
      <c r="W3" s="489">
        <v>1</v>
      </c>
      <c r="X3" s="319">
        <v>10</v>
      </c>
      <c r="Y3" s="319">
        <f>W3*X3</f>
        <v>10</v>
      </c>
      <c r="Z3" s="491">
        <f t="shared" ref="Z3:Z8" si="9">SUM(H3,O3,V3,Y3)</f>
        <v>18235</v>
      </c>
      <c r="AA3" s="494">
        <f t="shared" ref="AA3:AA8" si="10">E3+L3+S3</f>
        <v>235</v>
      </c>
      <c r="AB3" s="495">
        <v>0.57999999999999996</v>
      </c>
      <c r="AC3" s="496"/>
      <c r="AD3" s="496">
        <f>Z3-AC3</f>
        <v>18235</v>
      </c>
    </row>
    <row r="4" spans="1:31" s="478" customFormat="1" ht="15.9" customHeight="1">
      <c r="A4" s="488" t="s">
        <v>78</v>
      </c>
      <c r="B4" s="489">
        <v>61</v>
      </c>
      <c r="C4" s="490">
        <v>0.55000000000000004</v>
      </c>
      <c r="D4" s="321">
        <f t="shared" si="0"/>
        <v>33.549999999999997</v>
      </c>
      <c r="E4" s="319">
        <v>18</v>
      </c>
      <c r="F4" s="490">
        <f t="shared" si="1"/>
        <v>0.29508196721311503</v>
      </c>
      <c r="G4" s="319">
        <v>45</v>
      </c>
      <c r="H4" s="491">
        <f t="shared" si="2"/>
        <v>810</v>
      </c>
      <c r="I4" s="489">
        <v>116</v>
      </c>
      <c r="J4" s="490">
        <v>0.73</v>
      </c>
      <c r="K4" s="321">
        <f t="shared" si="3"/>
        <v>84.68</v>
      </c>
      <c r="L4" s="319">
        <v>86</v>
      </c>
      <c r="M4" s="490">
        <f t="shared" si="4"/>
        <v>0.74137931034482796</v>
      </c>
      <c r="N4" s="319">
        <v>75</v>
      </c>
      <c r="O4" s="491">
        <f t="shared" si="5"/>
        <v>6450</v>
      </c>
      <c r="P4" s="492">
        <v>130</v>
      </c>
      <c r="Q4" s="490">
        <v>0.09</v>
      </c>
      <c r="R4" s="321">
        <f t="shared" si="6"/>
        <v>11.7</v>
      </c>
      <c r="S4" s="319">
        <v>3</v>
      </c>
      <c r="T4" s="490">
        <f t="shared" si="7"/>
        <v>2.3076923076923099E-2</v>
      </c>
      <c r="U4" s="319">
        <v>75</v>
      </c>
      <c r="V4" s="493">
        <f t="shared" si="8"/>
        <v>225</v>
      </c>
      <c r="W4" s="489"/>
      <c r="X4" s="319"/>
      <c r="Y4" s="319"/>
      <c r="Z4" s="491">
        <f t="shared" si="9"/>
        <v>7485</v>
      </c>
      <c r="AA4" s="494">
        <f t="shared" si="10"/>
        <v>107</v>
      </c>
      <c r="AB4" s="495">
        <v>0.55000000000000004</v>
      </c>
      <c r="AC4" s="496"/>
      <c r="AD4" s="496">
        <f>Z4-AC4</f>
        <v>7485</v>
      </c>
    </row>
    <row r="5" spans="1:31" s="478" customFormat="1" ht="15.9" customHeight="1">
      <c r="A5" s="488" t="s">
        <v>87</v>
      </c>
      <c r="B5" s="489">
        <v>61</v>
      </c>
      <c r="C5" s="490">
        <v>0.55000000000000004</v>
      </c>
      <c r="D5" s="321">
        <f t="shared" si="0"/>
        <v>33.549999999999997</v>
      </c>
      <c r="E5" s="319">
        <v>22</v>
      </c>
      <c r="F5" s="490">
        <f t="shared" si="1"/>
        <v>0.36065573770491799</v>
      </c>
      <c r="G5" s="319">
        <v>45</v>
      </c>
      <c r="H5" s="491">
        <f t="shared" si="2"/>
        <v>990</v>
      </c>
      <c r="I5" s="489">
        <v>93</v>
      </c>
      <c r="J5" s="490">
        <v>0.73</v>
      </c>
      <c r="K5" s="321">
        <f t="shared" si="3"/>
        <v>67.89</v>
      </c>
      <c r="L5" s="319">
        <v>55</v>
      </c>
      <c r="M5" s="490">
        <f t="shared" si="4"/>
        <v>0.59139784946236595</v>
      </c>
      <c r="N5" s="319">
        <v>35</v>
      </c>
      <c r="O5" s="491">
        <f t="shared" si="5"/>
        <v>1925</v>
      </c>
      <c r="P5" s="492">
        <v>130</v>
      </c>
      <c r="Q5" s="490">
        <v>0.09</v>
      </c>
      <c r="R5" s="321">
        <f t="shared" si="6"/>
        <v>11.7</v>
      </c>
      <c r="S5" s="319">
        <v>9</v>
      </c>
      <c r="T5" s="490">
        <f t="shared" si="7"/>
        <v>6.9230769230769207E-2</v>
      </c>
      <c r="U5" s="319">
        <v>95</v>
      </c>
      <c r="V5" s="493">
        <f t="shared" si="8"/>
        <v>855</v>
      </c>
      <c r="W5" s="489"/>
      <c r="X5" s="319"/>
      <c r="Y5" s="319"/>
      <c r="Z5" s="491">
        <f t="shared" si="9"/>
        <v>3770</v>
      </c>
      <c r="AA5" s="494">
        <f t="shared" si="10"/>
        <v>86</v>
      </c>
      <c r="AB5" s="495">
        <v>0.5</v>
      </c>
      <c r="AC5" s="496"/>
      <c r="AD5" s="496">
        <f>Z5-AC5</f>
        <v>3770</v>
      </c>
    </row>
    <row r="6" spans="1:31" s="478" customFormat="1" ht="15.9" customHeight="1">
      <c r="A6" s="488" t="s">
        <v>79</v>
      </c>
      <c r="B6" s="489">
        <v>61</v>
      </c>
      <c r="C6" s="490">
        <v>0.55000000000000004</v>
      </c>
      <c r="D6" s="321">
        <f t="shared" si="0"/>
        <v>33.549999999999997</v>
      </c>
      <c r="E6" s="319">
        <v>26</v>
      </c>
      <c r="F6" s="490">
        <f t="shared" si="1"/>
        <v>0.42622950819672101</v>
      </c>
      <c r="G6" s="319">
        <v>45</v>
      </c>
      <c r="H6" s="491">
        <f t="shared" si="2"/>
        <v>1170</v>
      </c>
      <c r="I6" s="489">
        <v>77</v>
      </c>
      <c r="J6" s="490">
        <v>0.73</v>
      </c>
      <c r="K6" s="321">
        <f t="shared" si="3"/>
        <v>56.21</v>
      </c>
      <c r="L6" s="319">
        <v>56</v>
      </c>
      <c r="M6" s="490">
        <f t="shared" si="4"/>
        <v>0.72727272727272696</v>
      </c>
      <c r="N6" s="319">
        <v>75</v>
      </c>
      <c r="O6" s="491">
        <f t="shared" si="5"/>
        <v>4200</v>
      </c>
      <c r="P6" s="492">
        <v>130</v>
      </c>
      <c r="Q6" s="490">
        <v>0.09</v>
      </c>
      <c r="R6" s="321">
        <f t="shared" si="6"/>
        <v>11.7</v>
      </c>
      <c r="S6" s="319">
        <v>6</v>
      </c>
      <c r="T6" s="490">
        <f t="shared" si="7"/>
        <v>4.6153846153846198E-2</v>
      </c>
      <c r="U6" s="319">
        <v>75</v>
      </c>
      <c r="V6" s="493">
        <f t="shared" si="8"/>
        <v>450</v>
      </c>
      <c r="W6" s="489"/>
      <c r="X6" s="319"/>
      <c r="Y6" s="319"/>
      <c r="Z6" s="491">
        <f t="shared" si="9"/>
        <v>5820</v>
      </c>
      <c r="AA6" s="494">
        <f t="shared" si="10"/>
        <v>88</v>
      </c>
      <c r="AB6" s="495">
        <v>0.5</v>
      </c>
      <c r="AC6" s="496"/>
      <c r="AD6" s="496">
        <f>Z6-AC6</f>
        <v>5820</v>
      </c>
    </row>
    <row r="7" spans="1:31" s="478" customFormat="1" ht="15.9" customHeight="1">
      <c r="A7" s="488" t="s">
        <v>86</v>
      </c>
      <c r="B7" s="2010">
        <v>62</v>
      </c>
      <c r="C7" s="2012">
        <v>0.55000000000000004</v>
      </c>
      <c r="D7" s="2013">
        <f>B7*C7</f>
        <v>34.1</v>
      </c>
      <c r="E7" s="319">
        <v>15</v>
      </c>
      <c r="F7" s="2015">
        <f>(E7+E8)/B7</f>
        <v>0.5</v>
      </c>
      <c r="G7" s="2016">
        <v>85</v>
      </c>
      <c r="H7" s="491">
        <f>E7*G7</f>
        <v>1275</v>
      </c>
      <c r="I7" s="2010">
        <v>98</v>
      </c>
      <c r="J7" s="2012">
        <v>0.73</v>
      </c>
      <c r="K7" s="2013">
        <f t="shared" si="3"/>
        <v>71.540000000000006</v>
      </c>
      <c r="L7" s="319">
        <v>28</v>
      </c>
      <c r="M7" s="2015">
        <f>(L7+L8)/I7</f>
        <v>0.57142857142857095</v>
      </c>
      <c r="N7" s="2016">
        <v>35</v>
      </c>
      <c r="O7" s="491">
        <f>L7*N7</f>
        <v>980</v>
      </c>
      <c r="P7" s="2018">
        <v>130</v>
      </c>
      <c r="Q7" s="2012">
        <v>0.09</v>
      </c>
      <c r="R7" s="2013">
        <f t="shared" si="6"/>
        <v>11.7</v>
      </c>
      <c r="S7" s="319">
        <v>3</v>
      </c>
      <c r="T7" s="2015">
        <f>(S7+S8)/P7</f>
        <v>3.8461538461538498E-2</v>
      </c>
      <c r="U7" s="2016">
        <v>75</v>
      </c>
      <c r="V7" s="491">
        <f>S7*U7</f>
        <v>225</v>
      </c>
      <c r="W7" s="489">
        <v>3</v>
      </c>
      <c r="X7" s="319">
        <v>10</v>
      </c>
      <c r="Y7" s="319">
        <f>W7*X7</f>
        <v>30</v>
      </c>
      <c r="Z7" s="491">
        <f t="shared" si="9"/>
        <v>2510</v>
      </c>
      <c r="AA7" s="494">
        <f t="shared" si="10"/>
        <v>46</v>
      </c>
      <c r="AB7" s="495">
        <v>0.56000000000000005</v>
      </c>
      <c r="AC7" s="496"/>
      <c r="AD7" s="496">
        <f>Z7-AC7+1500</f>
        <v>4010</v>
      </c>
    </row>
    <row r="8" spans="1:31" s="478" customFormat="1" ht="15.9" customHeight="1">
      <c r="A8" s="499" t="s">
        <v>88</v>
      </c>
      <c r="B8" s="2011"/>
      <c r="C8" s="2012"/>
      <c r="D8" s="2014"/>
      <c r="E8" s="319">
        <v>16</v>
      </c>
      <c r="F8" s="2015"/>
      <c r="G8" s="2017"/>
      <c r="H8" s="491">
        <f>G7*E8</f>
        <v>1360</v>
      </c>
      <c r="I8" s="2011"/>
      <c r="J8" s="2012"/>
      <c r="K8" s="2014"/>
      <c r="L8" s="319">
        <v>28</v>
      </c>
      <c r="M8" s="2015"/>
      <c r="N8" s="2017"/>
      <c r="O8" s="491">
        <f>N7*L8</f>
        <v>980</v>
      </c>
      <c r="P8" s="2019"/>
      <c r="Q8" s="2012"/>
      <c r="R8" s="2014"/>
      <c r="S8" s="319">
        <v>2</v>
      </c>
      <c r="T8" s="2015"/>
      <c r="U8" s="2017"/>
      <c r="V8" s="491">
        <f>U7*S8</f>
        <v>150</v>
      </c>
      <c r="W8" s="489"/>
      <c r="X8" s="319"/>
      <c r="Y8" s="319"/>
      <c r="Z8" s="491">
        <f t="shared" si="9"/>
        <v>2490</v>
      </c>
      <c r="AA8" s="494">
        <f t="shared" si="10"/>
        <v>46</v>
      </c>
      <c r="AB8" s="495" t="s">
        <v>1007</v>
      </c>
      <c r="AC8" s="496"/>
      <c r="AD8" s="496">
        <f>Z8-AC8</f>
        <v>2490</v>
      </c>
    </row>
    <row r="9" spans="1:31" s="478" customFormat="1" ht="15.9" customHeight="1">
      <c r="A9" s="499" t="s">
        <v>77</v>
      </c>
      <c r="B9" s="500"/>
      <c r="C9" s="490"/>
      <c r="D9" s="501"/>
      <c r="E9" s="319"/>
      <c r="F9" s="497"/>
      <c r="G9" s="502"/>
      <c r="H9" s="491"/>
      <c r="I9" s="500"/>
      <c r="J9" s="490"/>
      <c r="K9" s="501"/>
      <c r="L9" s="319"/>
      <c r="M9" s="497"/>
      <c r="N9" s="504"/>
      <c r="O9" s="491"/>
      <c r="P9" s="503"/>
      <c r="Q9" s="490"/>
      <c r="R9" s="501"/>
      <c r="S9" s="319"/>
      <c r="T9" s="497"/>
      <c r="U9" s="504"/>
      <c r="V9" s="491"/>
      <c r="W9" s="489"/>
      <c r="X9" s="319"/>
      <c r="Y9" s="319"/>
      <c r="Z9" s="491"/>
      <c r="AA9" s="494"/>
      <c r="AB9" s="495"/>
      <c r="AC9" s="496"/>
      <c r="AD9" s="496">
        <f>'05月续保产值及提成'!I39</f>
        <v>9870</v>
      </c>
    </row>
    <row r="10" spans="1:31" s="478" customFormat="1" ht="15.9" customHeight="1">
      <c r="A10" s="499" t="s">
        <v>81</v>
      </c>
      <c r="B10" s="489"/>
      <c r="C10" s="490"/>
      <c r="D10" s="321"/>
      <c r="E10" s="319">
        <v>14</v>
      </c>
      <c r="F10" s="490"/>
      <c r="G10" s="319">
        <v>45</v>
      </c>
      <c r="H10" s="491">
        <f>G10*E10</f>
        <v>630</v>
      </c>
      <c r="I10" s="489"/>
      <c r="J10" s="490"/>
      <c r="K10" s="321"/>
      <c r="L10" s="319">
        <v>18</v>
      </c>
      <c r="M10" s="490"/>
      <c r="N10" s="498">
        <v>75</v>
      </c>
      <c r="O10" s="491">
        <f>N10*L10</f>
        <v>1350</v>
      </c>
      <c r="P10" s="492"/>
      <c r="Q10" s="490"/>
      <c r="R10" s="321"/>
      <c r="S10" s="319">
        <v>0</v>
      </c>
      <c r="T10" s="490"/>
      <c r="U10" s="498">
        <v>75</v>
      </c>
      <c r="V10" s="491">
        <f>U10*S10</f>
        <v>0</v>
      </c>
      <c r="W10" s="489"/>
      <c r="X10" s="319"/>
      <c r="Y10" s="319"/>
      <c r="Z10" s="491">
        <f>SUM(H10,O10,V10,Y10)</f>
        <v>1980</v>
      </c>
      <c r="AA10" s="494">
        <f>E10+L10+S10</f>
        <v>32</v>
      </c>
      <c r="AB10" s="495" t="s">
        <v>1007</v>
      </c>
      <c r="AC10" s="496"/>
      <c r="AD10" s="496">
        <f>Z10-AC10</f>
        <v>1980</v>
      </c>
    </row>
    <row r="11" spans="1:31" s="478" customFormat="1" ht="15.9" customHeight="1">
      <c r="A11" s="499" t="s">
        <v>82</v>
      </c>
      <c r="B11" s="489"/>
      <c r="C11" s="490"/>
      <c r="D11" s="321"/>
      <c r="E11" s="319">
        <v>2</v>
      </c>
      <c r="F11" s="490"/>
      <c r="G11" s="319">
        <v>45</v>
      </c>
      <c r="H11" s="491">
        <f>G11*E11</f>
        <v>90</v>
      </c>
      <c r="I11" s="489"/>
      <c r="J11" s="490"/>
      <c r="K11" s="321"/>
      <c r="L11" s="319">
        <v>7</v>
      </c>
      <c r="M11" s="490"/>
      <c r="N11" s="498">
        <v>75</v>
      </c>
      <c r="O11" s="491">
        <f>N11*L11</f>
        <v>525</v>
      </c>
      <c r="P11" s="492"/>
      <c r="Q11" s="490"/>
      <c r="R11" s="321"/>
      <c r="S11" s="319">
        <v>0</v>
      </c>
      <c r="T11" s="490"/>
      <c r="U11" s="498">
        <v>75</v>
      </c>
      <c r="V11" s="491">
        <f>U11*S11</f>
        <v>0</v>
      </c>
      <c r="W11" s="489"/>
      <c r="X11" s="319"/>
      <c r="Y11" s="319"/>
      <c r="Z11" s="491">
        <f>SUM(H11,O11,V11,Y11)</f>
        <v>615</v>
      </c>
      <c r="AA11" s="494">
        <f>E11+L11+S11</f>
        <v>9</v>
      </c>
      <c r="AB11" s="495" t="s">
        <v>1007</v>
      </c>
      <c r="AC11" s="496"/>
      <c r="AD11" s="496">
        <f>Z11-AC11</f>
        <v>615</v>
      </c>
    </row>
    <row r="12" spans="1:31" s="479" customFormat="1" ht="15.9" customHeight="1">
      <c r="A12" s="505" t="s">
        <v>84</v>
      </c>
      <c r="B12" s="506"/>
      <c r="C12" s="507"/>
      <c r="D12" s="508"/>
      <c r="E12" s="509"/>
      <c r="F12" s="507"/>
      <c r="G12" s="509"/>
      <c r="H12" s="510"/>
      <c r="I12" s="506"/>
      <c r="J12" s="507"/>
      <c r="K12" s="508"/>
      <c r="L12" s="509"/>
      <c r="M12" s="507"/>
      <c r="N12" s="509"/>
      <c r="O12" s="510"/>
      <c r="P12" s="511"/>
      <c r="Q12" s="507"/>
      <c r="R12" s="508"/>
      <c r="S12" s="509"/>
      <c r="T12" s="507"/>
      <c r="U12" s="509"/>
      <c r="V12" s="512"/>
      <c r="W12" s="506"/>
      <c r="X12" s="509"/>
      <c r="Y12" s="509"/>
      <c r="Z12" s="510">
        <f>4100/30*14</f>
        <v>1913.3333333333301</v>
      </c>
      <c r="AA12" s="513"/>
      <c r="AB12" s="514"/>
      <c r="AC12" s="515"/>
      <c r="AD12" s="515">
        <f>Z12</f>
        <v>1913.3333333333301</v>
      </c>
    </row>
    <row r="13" spans="1:31" s="479" customFormat="1" ht="15.9" customHeight="1">
      <c r="A13" s="505" t="s">
        <v>85</v>
      </c>
      <c r="B13" s="506"/>
      <c r="C13" s="507"/>
      <c r="D13" s="508"/>
      <c r="E13" s="509"/>
      <c r="F13" s="507"/>
      <c r="G13" s="509"/>
      <c r="H13" s="510"/>
      <c r="I13" s="506"/>
      <c r="J13" s="507"/>
      <c r="K13" s="508"/>
      <c r="L13" s="509"/>
      <c r="M13" s="507"/>
      <c r="N13" s="509"/>
      <c r="O13" s="510"/>
      <c r="P13" s="511"/>
      <c r="Q13" s="507"/>
      <c r="R13" s="508"/>
      <c r="S13" s="509"/>
      <c r="T13" s="507"/>
      <c r="U13" s="509"/>
      <c r="V13" s="512"/>
      <c r="W13" s="506"/>
      <c r="X13" s="509"/>
      <c r="Y13" s="509"/>
      <c r="Z13" s="510">
        <f>4100/30*7</f>
        <v>956.66666666666697</v>
      </c>
      <c r="AA13" s="513"/>
      <c r="AB13" s="514"/>
      <c r="AC13" s="515"/>
      <c r="AD13" s="515">
        <f>Z13</f>
        <v>956.66666666666697</v>
      </c>
    </row>
    <row r="14" spans="1:31" s="478" customFormat="1" ht="15.9" customHeight="1">
      <c r="A14" s="488" t="s">
        <v>214</v>
      </c>
      <c r="B14" s="489"/>
      <c r="C14" s="490"/>
      <c r="D14" s="321"/>
      <c r="E14" s="319"/>
      <c r="F14" s="490"/>
      <c r="G14" s="319"/>
      <c r="H14" s="491"/>
      <c r="I14" s="489"/>
      <c r="J14" s="490"/>
      <c r="K14" s="321"/>
      <c r="L14" s="319"/>
      <c r="M14" s="490"/>
      <c r="N14" s="319"/>
      <c r="O14" s="491"/>
      <c r="P14" s="492"/>
      <c r="Q14" s="490"/>
      <c r="R14" s="321"/>
      <c r="S14" s="319"/>
      <c r="T14" s="490"/>
      <c r="U14" s="319"/>
      <c r="V14" s="493"/>
      <c r="W14" s="489"/>
      <c r="X14" s="319"/>
      <c r="Y14" s="319"/>
      <c r="Z14" s="491">
        <v>6150</v>
      </c>
      <c r="AA14" s="494"/>
      <c r="AB14" s="495"/>
      <c r="AC14" s="496"/>
      <c r="AD14" s="496">
        <v>6150</v>
      </c>
      <c r="AE14" s="478">
        <v>246</v>
      </c>
    </row>
    <row r="15" spans="1:31" s="478" customFormat="1" ht="15.9" customHeight="1">
      <c r="A15" s="488" t="s">
        <v>218</v>
      </c>
      <c r="B15" s="489"/>
      <c r="C15" s="490"/>
      <c r="D15" s="321"/>
      <c r="E15" s="319"/>
      <c r="F15" s="490"/>
      <c r="G15" s="319"/>
      <c r="H15" s="491"/>
      <c r="I15" s="489"/>
      <c r="J15" s="490"/>
      <c r="K15" s="321"/>
      <c r="L15" s="319"/>
      <c r="M15" s="490"/>
      <c r="N15" s="319"/>
      <c r="O15" s="491"/>
      <c r="P15" s="492"/>
      <c r="Q15" s="490"/>
      <c r="R15" s="321"/>
      <c r="S15" s="319"/>
      <c r="T15" s="490"/>
      <c r="U15" s="319"/>
      <c r="V15" s="493"/>
      <c r="W15" s="489"/>
      <c r="X15" s="319"/>
      <c r="Y15" s="319"/>
      <c r="Z15" s="491">
        <v>4590</v>
      </c>
      <c r="AA15" s="494"/>
      <c r="AB15" s="495"/>
      <c r="AC15" s="496"/>
      <c r="AD15" s="496">
        <v>4590</v>
      </c>
      <c r="AE15" s="478">
        <v>159</v>
      </c>
    </row>
    <row r="16" spans="1:31" s="478" customFormat="1" ht="15.9" customHeight="1">
      <c r="A16" s="488" t="s">
        <v>215</v>
      </c>
      <c r="B16" s="489"/>
      <c r="C16" s="490"/>
      <c r="D16" s="321"/>
      <c r="E16" s="319"/>
      <c r="F16" s="319"/>
      <c r="G16" s="319"/>
      <c r="H16" s="491"/>
      <c r="I16" s="489"/>
      <c r="J16" s="319"/>
      <c r="K16" s="321"/>
      <c r="L16" s="319"/>
      <c r="M16" s="319"/>
      <c r="N16" s="319"/>
      <c r="O16" s="491"/>
      <c r="P16" s="492"/>
      <c r="Q16" s="319"/>
      <c r="R16" s="321"/>
      <c r="S16" s="319"/>
      <c r="T16" s="319"/>
      <c r="U16" s="319"/>
      <c r="V16" s="493"/>
      <c r="W16" s="489"/>
      <c r="X16" s="319"/>
      <c r="Y16" s="319"/>
      <c r="Z16" s="491">
        <v>4240</v>
      </c>
      <c r="AA16" s="494"/>
      <c r="AB16" s="495"/>
      <c r="AC16" s="496"/>
      <c r="AD16" s="496">
        <v>4240</v>
      </c>
      <c r="AE16" s="478">
        <v>141</v>
      </c>
    </row>
    <row r="17" spans="1:31" s="478" customFormat="1" ht="15.9" customHeight="1">
      <c r="A17" s="488" t="s">
        <v>1008</v>
      </c>
      <c r="B17" s="489"/>
      <c r="C17" s="490"/>
      <c r="D17" s="321"/>
      <c r="E17" s="319"/>
      <c r="F17" s="490"/>
      <c r="G17" s="319"/>
      <c r="H17" s="491"/>
      <c r="I17" s="489"/>
      <c r="J17" s="490"/>
      <c r="K17" s="321"/>
      <c r="L17" s="319"/>
      <c r="M17" s="490"/>
      <c r="N17" s="319"/>
      <c r="O17" s="491"/>
      <c r="P17" s="492"/>
      <c r="Q17" s="490"/>
      <c r="R17" s="321"/>
      <c r="S17" s="319"/>
      <c r="T17" s="490"/>
      <c r="U17" s="319"/>
      <c r="V17" s="493"/>
      <c r="W17" s="489"/>
      <c r="X17" s="319"/>
      <c r="Y17" s="319"/>
      <c r="Z17" s="491">
        <v>3409</v>
      </c>
      <c r="AA17" s="494"/>
      <c r="AB17" s="495"/>
      <c r="AC17" s="496"/>
      <c r="AD17" s="496">
        <v>3409</v>
      </c>
      <c r="AE17" s="478">
        <v>0</v>
      </c>
    </row>
    <row r="18" spans="1:31" s="478" customFormat="1" ht="15.9" customHeight="1">
      <c r="A18" s="488" t="s">
        <v>1009</v>
      </c>
      <c r="B18" s="489"/>
      <c r="C18" s="490"/>
      <c r="D18" s="321"/>
      <c r="E18" s="319"/>
      <c r="F18" s="319"/>
      <c r="G18" s="319"/>
      <c r="H18" s="491"/>
      <c r="I18" s="489"/>
      <c r="J18" s="319"/>
      <c r="K18" s="321"/>
      <c r="L18" s="319"/>
      <c r="M18" s="319"/>
      <c r="N18" s="319"/>
      <c r="O18" s="491"/>
      <c r="P18" s="492"/>
      <c r="Q18" s="319"/>
      <c r="R18" s="321"/>
      <c r="S18" s="319"/>
      <c r="T18" s="319"/>
      <c r="U18" s="319"/>
      <c r="V18" s="493"/>
      <c r="W18" s="489"/>
      <c r="X18" s="319"/>
      <c r="Y18" s="319"/>
      <c r="Z18" s="491">
        <v>800</v>
      </c>
      <c r="AA18" s="494"/>
      <c r="AB18" s="495"/>
      <c r="AC18" s="496"/>
      <c r="AD18" s="496">
        <v>800</v>
      </c>
      <c r="AE18" s="478">
        <v>60</v>
      </c>
    </row>
    <row r="19" spans="1:31" s="478" customFormat="1" ht="15.9" customHeight="1">
      <c r="A19" s="516" t="s">
        <v>311</v>
      </c>
      <c r="B19" s="517">
        <f>SUM(B3:B18)</f>
        <v>363</v>
      </c>
      <c r="C19" s="518">
        <f>AVERAGE(C3:C18)</f>
        <v>0.55000000000000004</v>
      </c>
      <c r="D19" s="519">
        <f>SUM(D3:D18)</f>
        <v>199.65</v>
      </c>
      <c r="E19" s="520">
        <f>SUM(E3:E18)</f>
        <v>173</v>
      </c>
      <c r="F19" s="518">
        <f>E19/B19</f>
        <v>0.47658402203856698</v>
      </c>
      <c r="G19" s="519">
        <f>AVERAGE(G3:G3)</f>
        <v>85</v>
      </c>
      <c r="H19" s="521">
        <f>SUM(H3:H18)</f>
        <v>11425</v>
      </c>
      <c r="I19" s="517">
        <f>SUM(I3:I18)</f>
        <v>608</v>
      </c>
      <c r="J19" s="518">
        <f>AVERAGE(J3:J18)</f>
        <v>0.73</v>
      </c>
      <c r="K19" s="519">
        <f>SUM(K3:K18)</f>
        <v>443.84</v>
      </c>
      <c r="L19" s="520">
        <f>SUM(L3:L18)</f>
        <v>451</v>
      </c>
      <c r="M19" s="518">
        <f>L19/I19</f>
        <v>0.74177631578947401</v>
      </c>
      <c r="N19" s="519">
        <f>AVERAGE(N3:N18)</f>
        <v>63.571428571428598</v>
      </c>
      <c r="O19" s="521">
        <f>SUM(O3:O18)</f>
        <v>29385</v>
      </c>
      <c r="P19" s="522">
        <f>SUM(P3:P18)</f>
        <v>650</v>
      </c>
      <c r="Q19" s="518">
        <f>AVERAGE(Q3:Q18)</f>
        <v>0.09</v>
      </c>
      <c r="R19" s="519">
        <f t="shared" ref="R19:AA19" si="11">SUM(R3:R18)</f>
        <v>58.5</v>
      </c>
      <c r="S19" s="520">
        <f t="shared" si="11"/>
        <v>25</v>
      </c>
      <c r="T19" s="518">
        <f>S19/P19</f>
        <v>3.8461538461538498E-2</v>
      </c>
      <c r="U19" s="519">
        <f>AVERAGE(U3:U18)</f>
        <v>77.857142857142904</v>
      </c>
      <c r="V19" s="523">
        <f t="shared" si="11"/>
        <v>2055</v>
      </c>
      <c r="W19" s="517">
        <f t="shared" si="11"/>
        <v>4</v>
      </c>
      <c r="X19" s="520">
        <f t="shared" si="11"/>
        <v>20</v>
      </c>
      <c r="Y19" s="520">
        <f t="shared" si="11"/>
        <v>40</v>
      </c>
      <c r="Z19" s="521">
        <f t="shared" si="11"/>
        <v>64964</v>
      </c>
      <c r="AA19" s="524">
        <f t="shared" si="11"/>
        <v>649</v>
      </c>
      <c r="AB19" s="525">
        <f>AVERAGE(AB3:AB8)</f>
        <v>0.53800000000000003</v>
      </c>
      <c r="AC19" s="526">
        <f>SUM(AC3:AC18)</f>
        <v>0</v>
      </c>
      <c r="AD19" s="527">
        <f>SUM(AD3:AD18)</f>
        <v>76334</v>
      </c>
    </row>
    <row r="20" spans="1:31" s="478" customFormat="1" ht="15.9" customHeight="1">
      <c r="A20" s="528"/>
      <c r="B20" s="528"/>
      <c r="C20" s="529"/>
      <c r="D20" s="530"/>
      <c r="E20" s="528"/>
      <c r="F20" s="529"/>
      <c r="G20" s="530"/>
      <c r="H20" s="528"/>
      <c r="I20" s="528"/>
      <c r="J20" s="529"/>
      <c r="K20" s="530"/>
      <c r="L20" s="528"/>
      <c r="M20" s="529"/>
      <c r="N20" s="530"/>
      <c r="O20" s="528"/>
      <c r="P20" s="528"/>
      <c r="Q20" s="529"/>
      <c r="R20" s="530"/>
      <c r="S20" s="528"/>
      <c r="T20" s="529"/>
      <c r="U20" s="530"/>
      <c r="V20" s="528"/>
    </row>
    <row r="21" spans="1:31" s="480" customFormat="1" ht="15">
      <c r="W21" s="454" t="s">
        <v>1010</v>
      </c>
      <c r="X21" s="454" t="s">
        <v>1011</v>
      </c>
    </row>
    <row r="22" spans="1:31" ht="15">
      <c r="A22" s="531" t="s">
        <v>1012</v>
      </c>
      <c r="B22" s="532" t="s">
        <v>1013</v>
      </c>
      <c r="C22" s="532" t="s">
        <v>1014</v>
      </c>
      <c r="D22" s="533" t="s">
        <v>1015</v>
      </c>
      <c r="E22" s="533" t="s">
        <v>1016</v>
      </c>
      <c r="F22" s="533" t="s">
        <v>1017</v>
      </c>
      <c r="G22" s="533" t="s">
        <v>1018</v>
      </c>
      <c r="H22" s="533" t="s">
        <v>1019</v>
      </c>
      <c r="I22" s="534" t="s">
        <v>1020</v>
      </c>
      <c r="J22" s="534" t="s">
        <v>1021</v>
      </c>
      <c r="K22" s="531" t="s">
        <v>311</v>
      </c>
      <c r="L22" s="531" t="s">
        <v>1022</v>
      </c>
      <c r="M22" s="531" t="s">
        <v>1023</v>
      </c>
      <c r="N22" s="535" t="s">
        <v>1010</v>
      </c>
      <c r="P22" s="2002" t="s">
        <v>1024</v>
      </c>
      <c r="Q22" s="2003"/>
      <c r="R22" s="2003"/>
      <c r="S22" s="2003"/>
      <c r="T22" s="2003"/>
      <c r="U22" s="2004"/>
    </row>
    <row r="23" spans="1:31" ht="15.9" customHeight="1">
      <c r="A23" s="319" t="s">
        <v>1025</v>
      </c>
      <c r="B23" s="536">
        <v>46113</v>
      </c>
      <c r="C23" s="536">
        <v>46143</v>
      </c>
      <c r="D23" s="319" t="s">
        <v>1026</v>
      </c>
      <c r="E23" s="319" t="s">
        <v>1027</v>
      </c>
      <c r="F23" s="319" t="s">
        <v>1028</v>
      </c>
      <c r="G23" s="319" t="s">
        <v>1029</v>
      </c>
      <c r="H23" s="319" t="s">
        <v>1030</v>
      </c>
      <c r="I23" s="535">
        <v>1387.01</v>
      </c>
      <c r="J23" s="535">
        <v>665</v>
      </c>
      <c r="K23" s="535">
        <v>2052.0100000000002</v>
      </c>
      <c r="L23" s="535" t="s">
        <v>80</v>
      </c>
      <c r="M23" s="535" t="s">
        <v>993</v>
      </c>
      <c r="N23" s="537"/>
      <c r="P23" s="2016" t="s">
        <v>1031</v>
      </c>
      <c r="Q23" s="2002" t="s">
        <v>1032</v>
      </c>
      <c r="R23" s="2004"/>
      <c r="S23" s="538">
        <v>45</v>
      </c>
      <c r="T23" s="538">
        <v>85</v>
      </c>
      <c r="U23" s="538">
        <v>95</v>
      </c>
      <c r="W23" s="454" t="s">
        <v>1033</v>
      </c>
      <c r="X23" s="454" t="s">
        <v>1023</v>
      </c>
      <c r="Y23" s="454"/>
      <c r="Z23" s="454"/>
      <c r="AA23" s="454"/>
      <c r="AB23" s="454"/>
      <c r="AC23" s="454"/>
      <c r="AD23" s="454"/>
    </row>
    <row r="24" spans="1:31" ht="15.9" customHeight="1">
      <c r="A24" s="319" t="s">
        <v>1025</v>
      </c>
      <c r="B24" s="536">
        <v>46113</v>
      </c>
      <c r="C24" s="536">
        <v>46143</v>
      </c>
      <c r="D24" s="319" t="s">
        <v>1034</v>
      </c>
      <c r="E24" s="319" t="s">
        <v>1035</v>
      </c>
      <c r="F24" s="319" t="s">
        <v>1036</v>
      </c>
      <c r="G24" s="319" t="s">
        <v>1029</v>
      </c>
      <c r="H24" s="319" t="s">
        <v>1037</v>
      </c>
      <c r="I24" s="535">
        <v>1086.19</v>
      </c>
      <c r="J24" s="535">
        <v>665</v>
      </c>
      <c r="K24" s="535">
        <v>1751.19</v>
      </c>
      <c r="L24" s="535" t="s">
        <v>80</v>
      </c>
      <c r="M24" s="535" t="s">
        <v>993</v>
      </c>
      <c r="N24" s="537"/>
      <c r="P24" s="2017"/>
      <c r="Q24" s="2002" t="s">
        <v>1038</v>
      </c>
      <c r="R24" s="2004"/>
      <c r="S24" s="539" t="s">
        <v>1039</v>
      </c>
      <c r="T24" s="539" t="s">
        <v>1040</v>
      </c>
      <c r="U24" s="539" t="s">
        <v>1041</v>
      </c>
      <c r="W24" s="454" t="s">
        <v>1022</v>
      </c>
      <c r="X24" s="454" t="s">
        <v>995</v>
      </c>
      <c r="Y24" s="454" t="s">
        <v>1042</v>
      </c>
      <c r="Z24" s="454" t="s">
        <v>993</v>
      </c>
      <c r="AA24" s="454" t="s">
        <v>994</v>
      </c>
      <c r="AB24" s="454" t="s">
        <v>183</v>
      </c>
      <c r="AC24" s="454"/>
      <c r="AD24" s="454"/>
    </row>
    <row r="25" spans="1:31" ht="15.9" customHeight="1">
      <c r="A25" s="319" t="s">
        <v>1025</v>
      </c>
      <c r="B25" s="536">
        <v>46113</v>
      </c>
      <c r="C25" s="536">
        <v>46143</v>
      </c>
      <c r="D25" s="319" t="s">
        <v>1043</v>
      </c>
      <c r="E25" s="319" t="s">
        <v>1044</v>
      </c>
      <c r="F25" s="319" t="s">
        <v>1045</v>
      </c>
      <c r="G25" s="319" t="s">
        <v>1029</v>
      </c>
      <c r="H25" s="319" t="s">
        <v>1046</v>
      </c>
      <c r="I25" s="535">
        <v>674.97</v>
      </c>
      <c r="J25" s="535">
        <v>950</v>
      </c>
      <c r="K25" s="535">
        <v>1624.97</v>
      </c>
      <c r="L25" s="535" t="s">
        <v>78</v>
      </c>
      <c r="M25" s="535" t="s">
        <v>993</v>
      </c>
      <c r="N25" s="537"/>
      <c r="P25" s="2016" t="s">
        <v>993</v>
      </c>
      <c r="Q25" s="2002" t="s">
        <v>1032</v>
      </c>
      <c r="R25" s="2004"/>
      <c r="S25" s="538">
        <v>35</v>
      </c>
      <c r="T25" s="538">
        <v>55</v>
      </c>
      <c r="U25" s="538">
        <v>75</v>
      </c>
      <c r="W25" s="454" t="s">
        <v>86</v>
      </c>
      <c r="X25" s="454">
        <v>3</v>
      </c>
      <c r="Y25" s="454">
        <v>15</v>
      </c>
      <c r="Z25" s="454">
        <v>28</v>
      </c>
      <c r="AA25" s="454">
        <v>3</v>
      </c>
      <c r="AB25" s="454">
        <v>49</v>
      </c>
      <c r="AC25" s="454"/>
      <c r="AD25" s="454"/>
    </row>
    <row r="26" spans="1:31" ht="15.9" customHeight="1">
      <c r="A26" s="319" t="s">
        <v>1025</v>
      </c>
      <c r="B26" s="536">
        <v>46113</v>
      </c>
      <c r="C26" s="536">
        <v>46143</v>
      </c>
      <c r="D26" s="319" t="s">
        <v>1047</v>
      </c>
      <c r="E26" s="319" t="s">
        <v>1048</v>
      </c>
      <c r="F26" s="319" t="s">
        <v>1049</v>
      </c>
      <c r="G26" s="319" t="s">
        <v>1029</v>
      </c>
      <c r="H26" s="319" t="s">
        <v>118</v>
      </c>
      <c r="I26" s="535">
        <v>860.43</v>
      </c>
      <c r="J26" s="535">
        <v>665</v>
      </c>
      <c r="K26" s="535">
        <v>1525.43</v>
      </c>
      <c r="L26" s="535" t="s">
        <v>87</v>
      </c>
      <c r="M26" s="535" t="s">
        <v>993</v>
      </c>
      <c r="N26" s="537"/>
      <c r="P26" s="2017"/>
      <c r="Q26" s="2002" t="s">
        <v>1050</v>
      </c>
      <c r="R26" s="2004"/>
      <c r="S26" s="539" t="s">
        <v>1051</v>
      </c>
      <c r="T26" s="539" t="s">
        <v>1052</v>
      </c>
      <c r="U26" s="539" t="s">
        <v>1053</v>
      </c>
      <c r="W26" s="454" t="s">
        <v>87</v>
      </c>
      <c r="X26" s="454"/>
      <c r="Y26" s="454">
        <v>22</v>
      </c>
      <c r="Z26" s="454">
        <v>55</v>
      </c>
      <c r="AA26" s="454">
        <v>9</v>
      </c>
      <c r="AB26" s="454">
        <v>86</v>
      </c>
      <c r="AC26" s="454"/>
      <c r="AD26" s="454"/>
    </row>
    <row r="27" spans="1:31" ht="15.9" customHeight="1">
      <c r="A27" s="319" t="s">
        <v>1054</v>
      </c>
      <c r="B27" s="536">
        <v>46114</v>
      </c>
      <c r="C27" s="536">
        <v>46144</v>
      </c>
      <c r="D27" s="319" t="s">
        <v>1055</v>
      </c>
      <c r="E27" s="319" t="s">
        <v>1056</v>
      </c>
      <c r="F27" s="319" t="s">
        <v>1057</v>
      </c>
      <c r="G27" s="319" t="s">
        <v>1029</v>
      </c>
      <c r="H27" s="319" t="s">
        <v>1058</v>
      </c>
      <c r="I27" s="535">
        <v>2086.4299999999998</v>
      </c>
      <c r="J27" s="535">
        <v>665</v>
      </c>
      <c r="K27" s="535">
        <v>2751.43</v>
      </c>
      <c r="L27" s="535" t="s">
        <v>87</v>
      </c>
      <c r="M27" s="535" t="s">
        <v>993</v>
      </c>
      <c r="N27" s="537"/>
      <c r="P27" s="2016" t="s">
        <v>1059</v>
      </c>
      <c r="Q27" s="2002" t="s">
        <v>1032</v>
      </c>
      <c r="R27" s="2004"/>
      <c r="S27" s="538">
        <v>75</v>
      </c>
      <c r="T27" s="538">
        <v>95</v>
      </c>
      <c r="U27" s="538">
        <v>115</v>
      </c>
      <c r="W27" s="454" t="s">
        <v>78</v>
      </c>
      <c r="X27" s="454"/>
      <c r="Y27" s="454">
        <v>18</v>
      </c>
      <c r="Z27" s="454">
        <v>86</v>
      </c>
      <c r="AA27" s="454">
        <v>3</v>
      </c>
      <c r="AB27" s="454">
        <v>107</v>
      </c>
      <c r="AC27" s="454"/>
      <c r="AD27" s="454"/>
    </row>
    <row r="28" spans="1:31" ht="15.9" customHeight="1">
      <c r="A28" s="319" t="s">
        <v>1054</v>
      </c>
      <c r="B28" s="536">
        <v>46114</v>
      </c>
      <c r="C28" s="536">
        <v>46143</v>
      </c>
      <c r="D28" s="319" t="s">
        <v>1060</v>
      </c>
      <c r="E28" s="319" t="s">
        <v>1061</v>
      </c>
      <c r="F28" s="319" t="s">
        <v>1062</v>
      </c>
      <c r="G28" s="319" t="s">
        <v>1029</v>
      </c>
      <c r="H28" s="319" t="s">
        <v>1063</v>
      </c>
      <c r="I28" s="535">
        <v>1441.1</v>
      </c>
      <c r="J28" s="535">
        <v>760</v>
      </c>
      <c r="K28" s="535">
        <v>2201.1</v>
      </c>
      <c r="L28" s="535" t="s">
        <v>78</v>
      </c>
      <c r="M28" s="535" t="s">
        <v>993</v>
      </c>
      <c r="N28" s="537"/>
      <c r="P28" s="2017"/>
      <c r="Q28" s="2002" t="s">
        <v>1050</v>
      </c>
      <c r="R28" s="2004"/>
      <c r="S28" s="540" t="s">
        <v>1064</v>
      </c>
      <c r="T28" s="539" t="s">
        <v>1065</v>
      </c>
      <c r="U28" s="539" t="s">
        <v>1066</v>
      </c>
      <c r="W28" s="454" t="s">
        <v>80</v>
      </c>
      <c r="X28" s="454">
        <v>1</v>
      </c>
      <c r="Y28" s="454">
        <v>60</v>
      </c>
      <c r="Z28" s="454">
        <v>173</v>
      </c>
      <c r="AA28" s="454">
        <v>2</v>
      </c>
      <c r="AB28" s="454">
        <v>236</v>
      </c>
      <c r="AC28" s="454"/>
      <c r="AD28" s="454"/>
    </row>
    <row r="29" spans="1:31" ht="15.9" customHeight="1">
      <c r="A29" s="319" t="s">
        <v>1067</v>
      </c>
      <c r="B29" s="536">
        <v>46114</v>
      </c>
      <c r="C29" s="536">
        <v>46144</v>
      </c>
      <c r="D29" s="319" t="s">
        <v>1068</v>
      </c>
      <c r="E29" s="319" t="s">
        <v>1069</v>
      </c>
      <c r="F29" s="319" t="s">
        <v>1070</v>
      </c>
      <c r="G29" s="319" t="s">
        <v>1029</v>
      </c>
      <c r="H29" s="319" t="s">
        <v>1071</v>
      </c>
      <c r="I29" s="535">
        <v>2124.35</v>
      </c>
      <c r="J29" s="535">
        <v>950</v>
      </c>
      <c r="K29" s="535">
        <v>3074.35</v>
      </c>
      <c r="L29" s="535" t="s">
        <v>80</v>
      </c>
      <c r="M29" s="535" t="s">
        <v>993</v>
      </c>
      <c r="N29" s="537"/>
      <c r="P29" s="539" t="s">
        <v>995</v>
      </c>
      <c r="Q29" s="2002" t="s">
        <v>1032</v>
      </c>
      <c r="R29" s="2004"/>
      <c r="S29" s="541">
        <v>10</v>
      </c>
      <c r="T29" s="541"/>
      <c r="U29" s="541"/>
      <c r="W29" s="454" t="s">
        <v>79</v>
      </c>
      <c r="X29" s="454"/>
      <c r="Y29" s="454">
        <v>26</v>
      </c>
      <c r="Z29" s="454">
        <v>56</v>
      </c>
      <c r="AA29" s="454">
        <v>6</v>
      </c>
      <c r="AB29" s="454">
        <v>88</v>
      </c>
      <c r="AC29" s="454"/>
      <c r="AD29" s="454"/>
    </row>
    <row r="30" spans="1:31" ht="15.9" customHeight="1">
      <c r="A30" s="319" t="s">
        <v>1054</v>
      </c>
      <c r="B30" s="536">
        <v>46114</v>
      </c>
      <c r="C30" s="536">
        <v>46143</v>
      </c>
      <c r="D30" s="319" t="s">
        <v>1072</v>
      </c>
      <c r="E30" s="319" t="s">
        <v>1073</v>
      </c>
      <c r="F30" s="319" t="s">
        <v>1074</v>
      </c>
      <c r="G30" s="319" t="s">
        <v>1029</v>
      </c>
      <c r="H30" s="319" t="s">
        <v>203</v>
      </c>
      <c r="I30" s="535">
        <v>1597.22</v>
      </c>
      <c r="J30" s="535">
        <v>665</v>
      </c>
      <c r="K30" s="535">
        <v>2262.2199999999998</v>
      </c>
      <c r="L30" s="535" t="s">
        <v>80</v>
      </c>
      <c r="M30" s="535" t="s">
        <v>993</v>
      </c>
      <c r="N30" s="537"/>
      <c r="P30" s="2005" t="s">
        <v>1075</v>
      </c>
      <c r="Q30" s="2006"/>
      <c r="R30" s="2006"/>
      <c r="S30" s="2006"/>
      <c r="T30" s="2007"/>
      <c r="U30" s="542" t="s">
        <v>1076</v>
      </c>
      <c r="W30" s="454" t="s">
        <v>88</v>
      </c>
      <c r="X30" s="454"/>
      <c r="Y30" s="454">
        <v>16</v>
      </c>
      <c r="Z30" s="454">
        <v>28</v>
      </c>
      <c r="AA30" s="454">
        <v>2</v>
      </c>
      <c r="AB30" s="454">
        <v>46</v>
      </c>
      <c r="AC30" s="454"/>
      <c r="AD30" s="454"/>
    </row>
    <row r="31" spans="1:31" ht="15.9" customHeight="1">
      <c r="A31" s="319" t="s">
        <v>1077</v>
      </c>
      <c r="B31" s="536">
        <v>46114</v>
      </c>
      <c r="C31" s="536">
        <v>46144</v>
      </c>
      <c r="D31" s="319" t="s">
        <v>1078</v>
      </c>
      <c r="E31" s="319" t="s">
        <v>1079</v>
      </c>
      <c r="F31" s="319" t="s">
        <v>1080</v>
      </c>
      <c r="G31" s="319" t="s">
        <v>1029</v>
      </c>
      <c r="H31" s="319" t="s">
        <v>1081</v>
      </c>
      <c r="I31" s="535">
        <v>1137.3</v>
      </c>
      <c r="J31" s="535">
        <v>770</v>
      </c>
      <c r="K31" s="535">
        <v>1907.3</v>
      </c>
      <c r="L31" s="535" t="s">
        <v>80</v>
      </c>
      <c r="M31" s="535" t="s">
        <v>993</v>
      </c>
      <c r="N31" s="537"/>
      <c r="W31" s="454" t="s">
        <v>183</v>
      </c>
      <c r="X31" s="454">
        <v>4</v>
      </c>
      <c r="Y31" s="454">
        <v>157</v>
      </c>
      <c r="Z31" s="454">
        <v>426</v>
      </c>
      <c r="AA31" s="454">
        <v>25</v>
      </c>
      <c r="AB31" s="454">
        <v>612</v>
      </c>
      <c r="AC31" s="454"/>
      <c r="AD31" s="454"/>
    </row>
    <row r="32" spans="1:31" ht="15.9" customHeight="1">
      <c r="A32" s="319" t="s">
        <v>1082</v>
      </c>
      <c r="B32" s="536">
        <v>46117</v>
      </c>
      <c r="C32" s="536">
        <v>46148</v>
      </c>
      <c r="D32" s="319" t="s">
        <v>1083</v>
      </c>
      <c r="E32" s="319" t="s">
        <v>1084</v>
      </c>
      <c r="F32" s="319" t="s">
        <v>1085</v>
      </c>
      <c r="G32" s="319" t="s">
        <v>1029</v>
      </c>
      <c r="H32" s="319" t="s">
        <v>1086</v>
      </c>
      <c r="I32" s="535">
        <v>2353.09</v>
      </c>
      <c r="J32" s="535">
        <v>950</v>
      </c>
      <c r="K32" s="535">
        <v>3303.09</v>
      </c>
      <c r="L32" s="535" t="s">
        <v>80</v>
      </c>
      <c r="M32" s="535" t="s">
        <v>1042</v>
      </c>
      <c r="N32" s="537"/>
      <c r="W32" s="454"/>
      <c r="X32" s="454"/>
      <c r="Y32" s="454"/>
      <c r="Z32" s="454"/>
      <c r="AA32" s="454"/>
      <c r="AB32" s="454"/>
      <c r="AC32" s="454"/>
      <c r="AD32" s="454"/>
    </row>
    <row r="33" spans="1:25" ht="15.9" customHeight="1">
      <c r="A33" s="319" t="s">
        <v>1054</v>
      </c>
      <c r="B33" s="536">
        <v>46117</v>
      </c>
      <c r="C33" s="536">
        <v>46145</v>
      </c>
      <c r="D33" s="319" t="s">
        <v>1087</v>
      </c>
      <c r="E33" s="319" t="s">
        <v>1088</v>
      </c>
      <c r="F33" s="319" t="s">
        <v>1085</v>
      </c>
      <c r="G33" s="319" t="s">
        <v>1029</v>
      </c>
      <c r="H33" s="319" t="s">
        <v>1089</v>
      </c>
      <c r="I33" s="535">
        <v>1866.25</v>
      </c>
      <c r="J33" s="535">
        <v>855</v>
      </c>
      <c r="K33" s="535">
        <v>2721.25</v>
      </c>
      <c r="L33" s="535" t="s">
        <v>80</v>
      </c>
      <c r="M33" s="535" t="s">
        <v>1042</v>
      </c>
      <c r="N33" s="537"/>
      <c r="W33" s="454"/>
      <c r="X33" s="454"/>
      <c r="Y33" s="454"/>
    </row>
    <row r="34" spans="1:25" ht="15.9" customHeight="1">
      <c r="A34" s="319" t="s">
        <v>1054</v>
      </c>
      <c r="B34" s="536">
        <v>46117</v>
      </c>
      <c r="C34" s="536">
        <v>46144</v>
      </c>
      <c r="D34" s="319" t="s">
        <v>1090</v>
      </c>
      <c r="E34" s="319" t="s">
        <v>1091</v>
      </c>
      <c r="F34" s="319" t="s">
        <v>1092</v>
      </c>
      <c r="G34" s="319" t="s">
        <v>1029</v>
      </c>
      <c r="H34" s="319" t="s">
        <v>1093</v>
      </c>
      <c r="I34" s="535">
        <v>1874.9</v>
      </c>
      <c r="J34" s="535">
        <v>855</v>
      </c>
      <c r="K34" s="535">
        <v>2729.9</v>
      </c>
      <c r="L34" s="535" t="s">
        <v>80</v>
      </c>
      <c r="M34" s="535" t="s">
        <v>1042</v>
      </c>
      <c r="N34" s="537"/>
      <c r="V34" s="454"/>
      <c r="W34" s="454"/>
      <c r="X34" s="454"/>
      <c r="Y34" s="454"/>
    </row>
    <row r="35" spans="1:25" ht="15.9" customHeight="1">
      <c r="A35" s="319" t="s">
        <v>1054</v>
      </c>
      <c r="B35" s="536">
        <v>46118</v>
      </c>
      <c r="C35" s="536">
        <v>46146</v>
      </c>
      <c r="D35" s="319" t="s">
        <v>1094</v>
      </c>
      <c r="E35" s="319" t="s">
        <v>1095</v>
      </c>
      <c r="F35" s="319" t="s">
        <v>1096</v>
      </c>
      <c r="G35" s="319" t="s">
        <v>1029</v>
      </c>
      <c r="H35" s="319" t="s">
        <v>1097</v>
      </c>
      <c r="I35" s="535">
        <v>1959.3</v>
      </c>
      <c r="J35" s="535">
        <v>760</v>
      </c>
      <c r="K35" s="535">
        <v>2719.3</v>
      </c>
      <c r="L35" s="535" t="s">
        <v>78</v>
      </c>
      <c r="M35" s="535" t="s">
        <v>993</v>
      </c>
      <c r="N35" s="537"/>
      <c r="V35" s="454"/>
      <c r="W35" s="454"/>
      <c r="X35" s="454"/>
      <c r="Y35" s="454"/>
    </row>
    <row r="36" spans="1:25" ht="15.9" customHeight="1">
      <c r="A36" s="319" t="s">
        <v>1054</v>
      </c>
      <c r="B36" s="536">
        <v>46118</v>
      </c>
      <c r="C36" s="536">
        <v>46143</v>
      </c>
      <c r="D36" s="319" t="s">
        <v>1098</v>
      </c>
      <c r="E36" s="319" t="s">
        <v>1099</v>
      </c>
      <c r="F36" s="319" t="s">
        <v>1100</v>
      </c>
      <c r="G36" s="319" t="s">
        <v>1029</v>
      </c>
      <c r="H36" s="319" t="s">
        <v>1101</v>
      </c>
      <c r="I36" s="535">
        <v>1978.58</v>
      </c>
      <c r="J36" s="535">
        <v>855</v>
      </c>
      <c r="K36" s="535">
        <v>2833.58</v>
      </c>
      <c r="L36" s="535" t="s">
        <v>78</v>
      </c>
      <c r="M36" s="535" t="s">
        <v>1042</v>
      </c>
      <c r="N36" s="537"/>
      <c r="V36" s="454"/>
      <c r="W36" s="454"/>
      <c r="X36" s="454"/>
      <c r="Y36" s="454"/>
    </row>
    <row r="37" spans="1:25" ht="15.9" customHeight="1">
      <c r="A37" s="319" t="s">
        <v>1102</v>
      </c>
      <c r="B37" s="536">
        <v>46118</v>
      </c>
      <c r="C37" s="536">
        <v>46147</v>
      </c>
      <c r="D37" s="319" t="s">
        <v>1103</v>
      </c>
      <c r="E37" s="319" t="s">
        <v>1104</v>
      </c>
      <c r="F37" s="319" t="s">
        <v>1057</v>
      </c>
      <c r="G37" s="319" t="s">
        <v>1029</v>
      </c>
      <c r="H37" s="319" t="s">
        <v>1105</v>
      </c>
      <c r="I37" s="535">
        <v>1823.56</v>
      </c>
      <c r="J37" s="535">
        <v>760</v>
      </c>
      <c r="K37" s="535">
        <v>2583.56</v>
      </c>
      <c r="L37" s="535" t="s">
        <v>78</v>
      </c>
      <c r="M37" s="535" t="s">
        <v>993</v>
      </c>
      <c r="N37" s="537"/>
      <c r="V37" s="454"/>
      <c r="W37" s="454"/>
      <c r="X37" s="454"/>
      <c r="Y37" s="454"/>
    </row>
    <row r="38" spans="1:25" ht="15.9" customHeight="1">
      <c r="A38" s="319" t="s">
        <v>1054</v>
      </c>
      <c r="B38" s="536">
        <v>46118</v>
      </c>
      <c r="C38" s="536">
        <v>46146</v>
      </c>
      <c r="D38" s="319" t="s">
        <v>1106</v>
      </c>
      <c r="E38" s="319" t="s">
        <v>1107</v>
      </c>
      <c r="F38" s="319" t="s">
        <v>1108</v>
      </c>
      <c r="G38" s="319" t="s">
        <v>1029</v>
      </c>
      <c r="H38" s="319" t="s">
        <v>1109</v>
      </c>
      <c r="I38" s="535">
        <v>1645.41</v>
      </c>
      <c r="J38" s="535">
        <v>760</v>
      </c>
      <c r="K38" s="535">
        <v>2405.41</v>
      </c>
      <c r="L38" s="535" t="s">
        <v>88</v>
      </c>
      <c r="M38" s="535" t="s">
        <v>993</v>
      </c>
      <c r="N38" s="537"/>
      <c r="V38" s="454"/>
      <c r="W38" s="454"/>
      <c r="X38" s="454"/>
      <c r="Y38" s="454"/>
    </row>
    <row r="39" spans="1:25" ht="15.9" customHeight="1">
      <c r="A39" s="319" t="s">
        <v>1110</v>
      </c>
      <c r="B39" s="536">
        <v>46117</v>
      </c>
      <c r="C39" s="536">
        <v>46146</v>
      </c>
      <c r="D39" s="319" t="s">
        <v>1111</v>
      </c>
      <c r="E39" s="319" t="s">
        <v>1112</v>
      </c>
      <c r="F39" s="319" t="s">
        <v>1113</v>
      </c>
      <c r="G39" s="319" t="s">
        <v>1029</v>
      </c>
      <c r="H39" s="319" t="s">
        <v>1114</v>
      </c>
      <c r="I39" s="535">
        <v>2002.14</v>
      </c>
      <c r="J39" s="535">
        <v>855</v>
      </c>
      <c r="K39" s="535">
        <v>2857.14</v>
      </c>
      <c r="L39" s="535" t="s">
        <v>80</v>
      </c>
      <c r="M39" s="535" t="s">
        <v>993</v>
      </c>
      <c r="N39" s="537"/>
      <c r="V39" s="454"/>
      <c r="W39" s="454"/>
      <c r="X39" s="454"/>
      <c r="Y39" s="454"/>
    </row>
    <row r="40" spans="1:25" ht="15.9" customHeight="1">
      <c r="A40" s="319" t="s">
        <v>1025</v>
      </c>
      <c r="B40" s="536">
        <v>46118</v>
      </c>
      <c r="C40" s="536">
        <v>46146</v>
      </c>
      <c r="D40" s="319" t="s">
        <v>1115</v>
      </c>
      <c r="E40" s="319" t="s">
        <v>1116</v>
      </c>
      <c r="F40" s="319" t="s">
        <v>1057</v>
      </c>
      <c r="G40" s="319" t="s">
        <v>1029</v>
      </c>
      <c r="H40" s="319" t="s">
        <v>1117</v>
      </c>
      <c r="I40" s="535">
        <v>1600.4</v>
      </c>
      <c r="J40" s="535">
        <v>665</v>
      </c>
      <c r="K40" s="535">
        <v>2265.4</v>
      </c>
      <c r="L40" s="535" t="s">
        <v>80</v>
      </c>
      <c r="M40" s="535" t="s">
        <v>993</v>
      </c>
      <c r="N40" s="537" t="s">
        <v>1118</v>
      </c>
      <c r="W40" s="454"/>
      <c r="X40" s="454"/>
      <c r="Y40" s="454"/>
    </row>
    <row r="41" spans="1:25" ht="15.9" customHeight="1">
      <c r="A41" s="319" t="s">
        <v>1054</v>
      </c>
      <c r="B41" s="536">
        <v>46119</v>
      </c>
      <c r="C41" s="536">
        <v>46143</v>
      </c>
      <c r="D41" s="319" t="s">
        <v>1119</v>
      </c>
      <c r="E41" s="319" t="s">
        <v>1120</v>
      </c>
      <c r="F41" s="319" t="s">
        <v>1108</v>
      </c>
      <c r="G41" s="319" t="s">
        <v>1029</v>
      </c>
      <c r="H41" s="319" t="s">
        <v>1121</v>
      </c>
      <c r="I41" s="535">
        <v>1505.62</v>
      </c>
      <c r="J41" s="535">
        <v>665</v>
      </c>
      <c r="K41" s="535">
        <v>2170.62</v>
      </c>
      <c r="L41" s="535" t="s">
        <v>87</v>
      </c>
      <c r="M41" s="535" t="s">
        <v>993</v>
      </c>
      <c r="N41" s="537"/>
    </row>
    <row r="42" spans="1:25" ht="15.9" customHeight="1">
      <c r="A42" s="319" t="s">
        <v>1054</v>
      </c>
      <c r="B42" s="536">
        <v>46119</v>
      </c>
      <c r="C42" s="536">
        <v>46147</v>
      </c>
      <c r="D42" s="319" t="s">
        <v>1122</v>
      </c>
      <c r="E42" s="319" t="s">
        <v>1123</v>
      </c>
      <c r="F42" s="319" t="s">
        <v>1108</v>
      </c>
      <c r="G42" s="319" t="s">
        <v>1029</v>
      </c>
      <c r="H42" s="319" t="s">
        <v>1124</v>
      </c>
      <c r="I42" s="535">
        <v>1434.4</v>
      </c>
      <c r="J42" s="535">
        <v>665</v>
      </c>
      <c r="K42" s="535">
        <v>2099.4</v>
      </c>
      <c r="L42" s="535" t="s">
        <v>88</v>
      </c>
      <c r="M42" s="535" t="s">
        <v>993</v>
      </c>
      <c r="N42" s="537"/>
    </row>
    <row r="43" spans="1:25" ht="15.9" customHeight="1">
      <c r="A43" s="319" t="s">
        <v>1125</v>
      </c>
      <c r="B43" s="536">
        <v>46119</v>
      </c>
      <c r="C43" s="536">
        <v>46148</v>
      </c>
      <c r="D43" s="319" t="s">
        <v>1126</v>
      </c>
      <c r="E43" s="319" t="s">
        <v>1127</v>
      </c>
      <c r="F43" s="319" t="s">
        <v>1128</v>
      </c>
      <c r="G43" s="319" t="s">
        <v>1029</v>
      </c>
      <c r="H43" s="319" t="s">
        <v>1129</v>
      </c>
      <c r="I43" s="535">
        <v>1329.04</v>
      </c>
      <c r="J43" s="535">
        <v>665</v>
      </c>
      <c r="K43" s="535">
        <v>1994.04</v>
      </c>
      <c r="L43" s="535" t="s">
        <v>79</v>
      </c>
      <c r="M43" s="535" t="s">
        <v>993</v>
      </c>
      <c r="N43" s="537"/>
    </row>
    <row r="44" spans="1:25" ht="15.9" customHeight="1">
      <c r="A44" s="319" t="s">
        <v>1130</v>
      </c>
      <c r="B44" s="536">
        <v>46119</v>
      </c>
      <c r="C44" s="536">
        <v>46149</v>
      </c>
      <c r="D44" s="319" t="s">
        <v>1131</v>
      </c>
      <c r="E44" s="319" t="s">
        <v>1132</v>
      </c>
      <c r="F44" s="319" t="s">
        <v>1133</v>
      </c>
      <c r="G44" s="319" t="s">
        <v>1029</v>
      </c>
      <c r="H44" s="319" t="s">
        <v>1134</v>
      </c>
      <c r="I44" s="535">
        <v>1051.83</v>
      </c>
      <c r="J44" s="535">
        <v>665</v>
      </c>
      <c r="K44" s="535">
        <v>1716.83</v>
      </c>
      <c r="L44" s="535" t="s">
        <v>78</v>
      </c>
      <c r="M44" s="535" t="s">
        <v>993</v>
      </c>
      <c r="N44" s="537"/>
    </row>
    <row r="45" spans="1:25" ht="15.9" customHeight="1">
      <c r="A45" s="319" t="s">
        <v>1054</v>
      </c>
      <c r="B45" s="536">
        <v>46119</v>
      </c>
      <c r="C45" s="536">
        <v>46144</v>
      </c>
      <c r="D45" s="319" t="s">
        <v>1135</v>
      </c>
      <c r="E45" s="319" t="s">
        <v>1136</v>
      </c>
      <c r="F45" s="319" t="s">
        <v>1137</v>
      </c>
      <c r="G45" s="319" t="s">
        <v>1029</v>
      </c>
      <c r="H45" s="319" t="s">
        <v>1138</v>
      </c>
      <c r="I45" s="535">
        <v>1107.31</v>
      </c>
      <c r="J45" s="535">
        <v>665</v>
      </c>
      <c r="K45" s="535">
        <v>1772.31</v>
      </c>
      <c r="L45" s="535" t="s">
        <v>78</v>
      </c>
      <c r="M45" s="535" t="s">
        <v>993</v>
      </c>
      <c r="N45" s="537"/>
    </row>
    <row r="46" spans="1:25" ht="15.9" customHeight="1">
      <c r="A46" s="319" t="s">
        <v>1025</v>
      </c>
      <c r="B46" s="536">
        <v>46119</v>
      </c>
      <c r="C46" s="536">
        <v>46147</v>
      </c>
      <c r="D46" s="319" t="s">
        <v>1139</v>
      </c>
      <c r="E46" s="319" t="s">
        <v>1140</v>
      </c>
      <c r="F46" s="319" t="s">
        <v>1141</v>
      </c>
      <c r="G46" s="319" t="s">
        <v>1029</v>
      </c>
      <c r="H46" s="319" t="s">
        <v>1142</v>
      </c>
      <c r="I46" s="535">
        <v>1603.94</v>
      </c>
      <c r="J46" s="535">
        <v>665</v>
      </c>
      <c r="K46" s="535">
        <v>2268.94</v>
      </c>
      <c r="L46" s="535" t="s">
        <v>80</v>
      </c>
      <c r="M46" s="535" t="s">
        <v>993</v>
      </c>
      <c r="N46" s="537"/>
    </row>
    <row r="47" spans="1:25" ht="15.9" customHeight="1">
      <c r="A47" s="319" t="s">
        <v>1143</v>
      </c>
      <c r="B47" s="536">
        <v>46119</v>
      </c>
      <c r="C47" s="536">
        <v>46147</v>
      </c>
      <c r="D47" s="319" t="s">
        <v>1144</v>
      </c>
      <c r="E47" s="319" t="s">
        <v>1145</v>
      </c>
      <c r="F47" s="319" t="s">
        <v>1057</v>
      </c>
      <c r="G47" s="319" t="s">
        <v>1029</v>
      </c>
      <c r="H47" s="319" t="s">
        <v>1146</v>
      </c>
      <c r="I47" s="535">
        <v>1701.92</v>
      </c>
      <c r="J47" s="535">
        <v>665</v>
      </c>
      <c r="K47" s="535">
        <v>2366.92</v>
      </c>
      <c r="L47" s="535" t="s">
        <v>80</v>
      </c>
      <c r="M47" s="535" t="s">
        <v>993</v>
      </c>
      <c r="N47" s="537"/>
    </row>
    <row r="48" spans="1:25" ht="15.9" customHeight="1">
      <c r="A48" s="319" t="s">
        <v>1025</v>
      </c>
      <c r="B48" s="536">
        <v>46119</v>
      </c>
      <c r="C48" s="536">
        <v>46144</v>
      </c>
      <c r="D48" s="319" t="s">
        <v>1147</v>
      </c>
      <c r="E48" s="319" t="s">
        <v>1148</v>
      </c>
      <c r="F48" s="319" t="s">
        <v>1149</v>
      </c>
      <c r="G48" s="319" t="s">
        <v>1029</v>
      </c>
      <c r="H48" s="319" t="s">
        <v>1150</v>
      </c>
      <c r="I48" s="535">
        <v>1846.03</v>
      </c>
      <c r="J48" s="535">
        <v>665</v>
      </c>
      <c r="K48" s="535">
        <v>2511.0300000000002</v>
      </c>
      <c r="L48" s="535" t="s">
        <v>80</v>
      </c>
      <c r="M48" s="535" t="s">
        <v>993</v>
      </c>
      <c r="N48" s="537" t="s">
        <v>1118</v>
      </c>
    </row>
    <row r="49" spans="1:14" ht="15.9" customHeight="1">
      <c r="A49" s="319" t="s">
        <v>1110</v>
      </c>
      <c r="B49" s="536">
        <v>46119</v>
      </c>
      <c r="C49" s="536">
        <v>46149</v>
      </c>
      <c r="D49" s="319" t="s">
        <v>1151</v>
      </c>
      <c r="E49" s="319" t="s">
        <v>1152</v>
      </c>
      <c r="F49" s="319" t="s">
        <v>1153</v>
      </c>
      <c r="G49" s="319" t="s">
        <v>1029</v>
      </c>
      <c r="H49" s="319" t="s">
        <v>1154</v>
      </c>
      <c r="I49" s="535">
        <v>2378.41</v>
      </c>
      <c r="J49" s="535">
        <v>950</v>
      </c>
      <c r="K49" s="535">
        <v>3328.41</v>
      </c>
      <c r="L49" s="535" t="s">
        <v>80</v>
      </c>
      <c r="M49" s="535" t="s">
        <v>1042</v>
      </c>
      <c r="N49" s="537"/>
    </row>
    <row r="50" spans="1:14" ht="15.9" customHeight="1">
      <c r="A50" s="319" t="s">
        <v>1082</v>
      </c>
      <c r="B50" s="536">
        <v>46119</v>
      </c>
      <c r="C50" s="536">
        <v>46149</v>
      </c>
      <c r="D50" s="319" t="s">
        <v>1155</v>
      </c>
      <c r="E50" s="319" t="s">
        <v>1156</v>
      </c>
      <c r="F50" s="319" t="s">
        <v>1157</v>
      </c>
      <c r="G50" s="319" t="s">
        <v>1029</v>
      </c>
      <c r="H50" s="319" t="s">
        <v>1158</v>
      </c>
      <c r="I50" s="535">
        <v>2069.31</v>
      </c>
      <c r="J50" s="535">
        <v>855</v>
      </c>
      <c r="K50" s="535">
        <v>2924.31</v>
      </c>
      <c r="L50" s="535" t="s">
        <v>80</v>
      </c>
      <c r="M50" s="535" t="s">
        <v>1042</v>
      </c>
      <c r="N50" s="537"/>
    </row>
    <row r="51" spans="1:14" ht="15.9" customHeight="1">
      <c r="A51" s="319" t="s">
        <v>1077</v>
      </c>
      <c r="B51" s="536">
        <v>46119</v>
      </c>
      <c r="C51" s="536">
        <v>46149</v>
      </c>
      <c r="D51" s="319" t="s">
        <v>1159</v>
      </c>
      <c r="E51" s="319" t="s">
        <v>1160</v>
      </c>
      <c r="F51" s="319" t="s">
        <v>1100</v>
      </c>
      <c r="G51" s="319" t="s">
        <v>1029</v>
      </c>
      <c r="H51" s="319" t="s">
        <v>802</v>
      </c>
      <c r="I51" s="535">
        <v>1982.33</v>
      </c>
      <c r="J51" s="535">
        <v>855</v>
      </c>
      <c r="K51" s="535">
        <v>2837.33</v>
      </c>
      <c r="L51" s="535" t="s">
        <v>88</v>
      </c>
      <c r="M51" s="535" t="s">
        <v>1042</v>
      </c>
      <c r="N51" s="537"/>
    </row>
    <row r="52" spans="1:14" ht="15.9" customHeight="1">
      <c r="A52" s="319" t="s">
        <v>1082</v>
      </c>
      <c r="B52" s="536">
        <v>46119</v>
      </c>
      <c r="C52" s="536">
        <v>46147</v>
      </c>
      <c r="D52" s="319" t="s">
        <v>1161</v>
      </c>
      <c r="E52" s="319" t="s">
        <v>1162</v>
      </c>
      <c r="F52" s="319" t="s">
        <v>1163</v>
      </c>
      <c r="G52" s="319" t="s">
        <v>1029</v>
      </c>
      <c r="H52" s="319" t="s">
        <v>1164</v>
      </c>
      <c r="I52" s="535">
        <v>1944.93</v>
      </c>
      <c r="J52" s="535">
        <v>855</v>
      </c>
      <c r="K52" s="535">
        <v>2799.93</v>
      </c>
      <c r="L52" s="535" t="s">
        <v>80</v>
      </c>
      <c r="M52" s="535" t="s">
        <v>1042</v>
      </c>
      <c r="N52" s="537"/>
    </row>
    <row r="53" spans="1:14" ht="15.9" customHeight="1">
      <c r="A53" s="319" t="s">
        <v>1054</v>
      </c>
      <c r="B53" s="536">
        <v>46120</v>
      </c>
      <c r="C53" s="536">
        <v>46150</v>
      </c>
      <c r="D53" s="319" t="s">
        <v>1165</v>
      </c>
      <c r="E53" s="319" t="s">
        <v>1166</v>
      </c>
      <c r="F53" s="319" t="s">
        <v>1108</v>
      </c>
      <c r="G53" s="319" t="s">
        <v>1029</v>
      </c>
      <c r="H53" s="319" t="s">
        <v>1167</v>
      </c>
      <c r="I53" s="535">
        <v>1727.3</v>
      </c>
      <c r="J53" s="535">
        <v>855</v>
      </c>
      <c r="K53" s="535">
        <v>2582.3000000000002</v>
      </c>
      <c r="L53" s="535" t="s">
        <v>88</v>
      </c>
      <c r="M53" s="535" t="s">
        <v>1042</v>
      </c>
      <c r="N53" s="537"/>
    </row>
    <row r="54" spans="1:14" ht="15.9" customHeight="1">
      <c r="A54" s="319" t="s">
        <v>1143</v>
      </c>
      <c r="B54" s="536">
        <v>46120</v>
      </c>
      <c r="C54" s="536">
        <v>46150</v>
      </c>
      <c r="D54" s="319" t="s">
        <v>1168</v>
      </c>
      <c r="E54" s="319" t="s">
        <v>1169</v>
      </c>
      <c r="F54" s="319" t="s">
        <v>1170</v>
      </c>
      <c r="G54" s="319" t="s">
        <v>1029</v>
      </c>
      <c r="H54" s="319" t="s">
        <v>1171</v>
      </c>
      <c r="I54" s="535">
        <v>1300.73</v>
      </c>
      <c r="J54" s="535">
        <v>665</v>
      </c>
      <c r="K54" s="535">
        <v>1965.73</v>
      </c>
      <c r="L54" s="535" t="s">
        <v>88</v>
      </c>
      <c r="M54" s="535" t="s">
        <v>993</v>
      </c>
      <c r="N54" s="537"/>
    </row>
    <row r="55" spans="1:14" ht="15.9" customHeight="1">
      <c r="A55" s="319" t="s">
        <v>1054</v>
      </c>
      <c r="B55" s="536">
        <v>46120</v>
      </c>
      <c r="C55" s="536">
        <v>46150</v>
      </c>
      <c r="D55" s="319" t="s">
        <v>1172</v>
      </c>
      <c r="E55" s="319" t="s">
        <v>1173</v>
      </c>
      <c r="F55" s="319" t="s">
        <v>1128</v>
      </c>
      <c r="G55" s="319" t="s">
        <v>1029</v>
      </c>
      <c r="H55" s="319" t="s">
        <v>1174</v>
      </c>
      <c r="I55" s="535">
        <v>1240.8499999999999</v>
      </c>
      <c r="J55" s="535">
        <v>665</v>
      </c>
      <c r="K55" s="535">
        <v>1905.85</v>
      </c>
      <c r="L55" s="535" t="s">
        <v>79</v>
      </c>
      <c r="M55" s="535" t="s">
        <v>993</v>
      </c>
      <c r="N55" s="537"/>
    </row>
    <row r="56" spans="1:14" ht="15.9" customHeight="1">
      <c r="A56" s="319" t="s">
        <v>1125</v>
      </c>
      <c r="B56" s="536">
        <v>46120</v>
      </c>
      <c r="C56" s="536">
        <v>46147</v>
      </c>
      <c r="D56" s="319" t="s">
        <v>1175</v>
      </c>
      <c r="E56" s="319" t="s">
        <v>1176</v>
      </c>
      <c r="F56" s="319" t="s">
        <v>1074</v>
      </c>
      <c r="G56" s="319" t="s">
        <v>1029</v>
      </c>
      <c r="H56" s="319" t="s">
        <v>1177</v>
      </c>
      <c r="I56" s="535">
        <v>1597.64</v>
      </c>
      <c r="J56" s="535">
        <v>665</v>
      </c>
      <c r="K56" s="535">
        <v>2262.64</v>
      </c>
      <c r="L56" s="535" t="s">
        <v>79</v>
      </c>
      <c r="M56" s="535" t="s">
        <v>993</v>
      </c>
      <c r="N56" s="537"/>
    </row>
    <row r="57" spans="1:14" ht="15.9" customHeight="1">
      <c r="A57" s="319" t="s">
        <v>1054</v>
      </c>
      <c r="B57" s="536">
        <v>46120</v>
      </c>
      <c r="C57" s="536">
        <v>46149</v>
      </c>
      <c r="D57" s="319" t="s">
        <v>1178</v>
      </c>
      <c r="E57" s="319" t="s">
        <v>1179</v>
      </c>
      <c r="F57" s="319" t="s">
        <v>1074</v>
      </c>
      <c r="G57" s="319" t="s">
        <v>1029</v>
      </c>
      <c r="H57" s="319" t="s">
        <v>1180</v>
      </c>
      <c r="I57" s="535">
        <v>1863.43</v>
      </c>
      <c r="J57" s="535">
        <v>665</v>
      </c>
      <c r="K57" s="535">
        <v>2528.4299999999998</v>
      </c>
      <c r="L57" s="535" t="s">
        <v>78</v>
      </c>
      <c r="M57" s="535" t="s">
        <v>993</v>
      </c>
      <c r="N57" s="537"/>
    </row>
    <row r="58" spans="1:14" ht="15.9" customHeight="1">
      <c r="A58" s="319" t="s">
        <v>1054</v>
      </c>
      <c r="B58" s="536">
        <v>46120</v>
      </c>
      <c r="C58" s="536">
        <v>46149</v>
      </c>
      <c r="D58" s="319" t="s">
        <v>1181</v>
      </c>
      <c r="E58" s="319" t="s">
        <v>1182</v>
      </c>
      <c r="F58" s="319" t="s">
        <v>1108</v>
      </c>
      <c r="G58" s="319" t="s">
        <v>1029</v>
      </c>
      <c r="H58" s="319" t="s">
        <v>1183</v>
      </c>
      <c r="I58" s="535">
        <v>1698.06</v>
      </c>
      <c r="J58" s="535">
        <v>760</v>
      </c>
      <c r="K58" s="535">
        <v>2458.06</v>
      </c>
      <c r="L58" s="535" t="s">
        <v>80</v>
      </c>
      <c r="M58" s="535" t="s">
        <v>993</v>
      </c>
      <c r="N58" s="537"/>
    </row>
    <row r="59" spans="1:14" ht="15.9" customHeight="1">
      <c r="A59" s="319" t="s">
        <v>1130</v>
      </c>
      <c r="B59" s="536">
        <v>46120</v>
      </c>
      <c r="C59" s="536">
        <v>46150</v>
      </c>
      <c r="D59" s="319" t="s">
        <v>1184</v>
      </c>
      <c r="E59" s="319" t="s">
        <v>1185</v>
      </c>
      <c r="F59" s="319" t="s">
        <v>1100</v>
      </c>
      <c r="G59" s="319" t="s">
        <v>1029</v>
      </c>
      <c r="H59" s="319" t="s">
        <v>1186</v>
      </c>
      <c r="I59" s="535">
        <v>1641.3</v>
      </c>
      <c r="J59" s="535">
        <v>855</v>
      </c>
      <c r="K59" s="535">
        <v>2496.3000000000002</v>
      </c>
      <c r="L59" s="535" t="s">
        <v>80</v>
      </c>
      <c r="M59" s="535" t="s">
        <v>1042</v>
      </c>
      <c r="N59" s="537"/>
    </row>
    <row r="60" spans="1:14" ht="15.9" customHeight="1">
      <c r="A60" s="319" t="s">
        <v>1025</v>
      </c>
      <c r="B60" s="536">
        <v>46120</v>
      </c>
      <c r="C60" s="536">
        <v>46150</v>
      </c>
      <c r="D60" s="319" t="s">
        <v>1187</v>
      </c>
      <c r="E60" s="319" t="s">
        <v>1188</v>
      </c>
      <c r="F60" s="319" t="s">
        <v>1189</v>
      </c>
      <c r="G60" s="319" t="s">
        <v>1029</v>
      </c>
      <c r="H60" s="319" t="s">
        <v>1190</v>
      </c>
      <c r="I60" s="535">
        <v>1237.0999999999999</v>
      </c>
      <c r="J60" s="535">
        <v>665</v>
      </c>
      <c r="K60" s="535">
        <v>1902.1</v>
      </c>
      <c r="L60" s="535" t="s">
        <v>80</v>
      </c>
      <c r="M60" s="535" t="s">
        <v>993</v>
      </c>
      <c r="N60" s="537" t="s">
        <v>1118</v>
      </c>
    </row>
    <row r="61" spans="1:14" ht="15.9" customHeight="1">
      <c r="A61" s="319" t="s">
        <v>1054</v>
      </c>
      <c r="B61" s="536">
        <v>46121</v>
      </c>
      <c r="C61" s="536">
        <v>46151</v>
      </c>
      <c r="D61" s="319" t="s">
        <v>1191</v>
      </c>
      <c r="E61" s="319" t="s">
        <v>1192</v>
      </c>
      <c r="F61" s="319" t="s">
        <v>1193</v>
      </c>
      <c r="G61" s="319" t="s">
        <v>1029</v>
      </c>
      <c r="H61" s="319" t="s">
        <v>1194</v>
      </c>
      <c r="I61" s="535">
        <v>1898.59</v>
      </c>
      <c r="J61" s="535">
        <v>855</v>
      </c>
      <c r="K61" s="535">
        <v>2753.59</v>
      </c>
      <c r="L61" s="535" t="s">
        <v>88</v>
      </c>
      <c r="M61" s="535" t="s">
        <v>1042</v>
      </c>
      <c r="N61" s="537"/>
    </row>
    <row r="62" spans="1:14" ht="15.9" customHeight="1">
      <c r="A62" s="319" t="s">
        <v>1082</v>
      </c>
      <c r="B62" s="536">
        <v>46121</v>
      </c>
      <c r="C62" s="536">
        <v>46146</v>
      </c>
      <c r="D62" s="319" t="s">
        <v>1195</v>
      </c>
      <c r="E62" s="319" t="s">
        <v>1196</v>
      </c>
      <c r="F62" s="319" t="s">
        <v>1057</v>
      </c>
      <c r="G62" s="319" t="s">
        <v>1029</v>
      </c>
      <c r="H62" s="319" t="s">
        <v>1197</v>
      </c>
      <c r="I62" s="535">
        <v>1647.82</v>
      </c>
      <c r="J62" s="535">
        <v>665</v>
      </c>
      <c r="K62" s="535">
        <v>2312.8200000000002</v>
      </c>
      <c r="L62" s="535" t="s">
        <v>87</v>
      </c>
      <c r="M62" s="535" t="s">
        <v>993</v>
      </c>
      <c r="N62" s="537"/>
    </row>
    <row r="63" spans="1:14" ht="15.9" customHeight="1">
      <c r="A63" s="319" t="s">
        <v>1025</v>
      </c>
      <c r="B63" s="536">
        <v>46121</v>
      </c>
      <c r="C63" s="536">
        <v>46145</v>
      </c>
      <c r="D63" s="319" t="s">
        <v>1198</v>
      </c>
      <c r="E63" s="319" t="s">
        <v>1199</v>
      </c>
      <c r="F63" s="319" t="s">
        <v>1200</v>
      </c>
      <c r="G63" s="319" t="s">
        <v>1029</v>
      </c>
      <c r="H63" s="319" t="s">
        <v>1201</v>
      </c>
      <c r="I63" s="535">
        <v>1331.51</v>
      </c>
      <c r="J63" s="535">
        <v>665</v>
      </c>
      <c r="K63" s="535">
        <v>1996.51</v>
      </c>
      <c r="L63" s="535" t="s">
        <v>87</v>
      </c>
      <c r="M63" s="535" t="s">
        <v>993</v>
      </c>
      <c r="N63" s="537" t="s">
        <v>1118</v>
      </c>
    </row>
    <row r="64" spans="1:14" ht="15.9" customHeight="1">
      <c r="A64" s="319" t="s">
        <v>1077</v>
      </c>
      <c r="B64" s="536">
        <v>46121</v>
      </c>
      <c r="C64" s="536">
        <v>46151</v>
      </c>
      <c r="D64" s="319" t="s">
        <v>1202</v>
      </c>
      <c r="E64" s="319" t="s">
        <v>1203</v>
      </c>
      <c r="F64" s="319" t="s">
        <v>1204</v>
      </c>
      <c r="G64" s="319" t="s">
        <v>1029</v>
      </c>
      <c r="H64" s="319" t="s">
        <v>1205</v>
      </c>
      <c r="I64" s="535">
        <v>1171.29</v>
      </c>
      <c r="J64" s="535">
        <v>665</v>
      </c>
      <c r="K64" s="535">
        <v>1836.29</v>
      </c>
      <c r="L64" s="535" t="s">
        <v>80</v>
      </c>
      <c r="M64" s="535" t="s">
        <v>993</v>
      </c>
      <c r="N64" s="537"/>
    </row>
    <row r="65" spans="1:14" ht="15.9" customHeight="1">
      <c r="A65" s="319" t="s">
        <v>1054</v>
      </c>
      <c r="B65" s="536">
        <v>46121</v>
      </c>
      <c r="C65" s="536">
        <v>46151</v>
      </c>
      <c r="D65" s="319" t="s">
        <v>1206</v>
      </c>
      <c r="E65" s="319" t="s">
        <v>1207</v>
      </c>
      <c r="F65" s="319" t="s">
        <v>1085</v>
      </c>
      <c r="G65" s="319" t="s">
        <v>1029</v>
      </c>
      <c r="H65" s="319" t="s">
        <v>1208</v>
      </c>
      <c r="I65" s="535">
        <v>2891.66</v>
      </c>
      <c r="J65" s="535">
        <v>950</v>
      </c>
      <c r="K65" s="535">
        <v>3841.66</v>
      </c>
      <c r="L65" s="535" t="s">
        <v>80</v>
      </c>
      <c r="M65" s="535" t="s">
        <v>1042</v>
      </c>
      <c r="N65" s="537"/>
    </row>
    <row r="66" spans="1:14" ht="15.9" customHeight="1">
      <c r="A66" s="319" t="s">
        <v>1054</v>
      </c>
      <c r="B66" s="536">
        <v>46121</v>
      </c>
      <c r="C66" s="536">
        <v>46151</v>
      </c>
      <c r="D66" s="319" t="s">
        <v>1209</v>
      </c>
      <c r="E66" s="319" t="s">
        <v>1210</v>
      </c>
      <c r="F66" s="319" t="s">
        <v>1211</v>
      </c>
      <c r="G66" s="319" t="s">
        <v>1029</v>
      </c>
      <c r="H66" s="319" t="s">
        <v>1212</v>
      </c>
      <c r="I66" s="535">
        <v>2735.24</v>
      </c>
      <c r="J66" s="535">
        <v>855</v>
      </c>
      <c r="K66" s="535">
        <v>3590.24</v>
      </c>
      <c r="L66" s="535" t="s">
        <v>80</v>
      </c>
      <c r="M66" s="535" t="s">
        <v>1042</v>
      </c>
      <c r="N66" s="537"/>
    </row>
    <row r="67" spans="1:14" ht="15.9" customHeight="1">
      <c r="A67" s="319" t="s">
        <v>1213</v>
      </c>
      <c r="B67" s="536">
        <v>46121</v>
      </c>
      <c r="C67" s="536">
        <v>46151</v>
      </c>
      <c r="D67" s="319" t="s">
        <v>1214</v>
      </c>
      <c r="E67" s="319" t="s">
        <v>1215</v>
      </c>
      <c r="F67" s="319" t="s">
        <v>1100</v>
      </c>
      <c r="G67" s="319" t="s">
        <v>1029</v>
      </c>
      <c r="H67" s="319" t="s">
        <v>1216</v>
      </c>
      <c r="I67" s="535">
        <v>2003.71</v>
      </c>
      <c r="J67" s="535">
        <v>855</v>
      </c>
      <c r="K67" s="535">
        <v>2858.71</v>
      </c>
      <c r="L67" s="535" t="s">
        <v>80</v>
      </c>
      <c r="M67" s="535" t="s">
        <v>1042</v>
      </c>
      <c r="N67" s="537"/>
    </row>
    <row r="68" spans="1:14" ht="15.9" customHeight="1">
      <c r="A68" s="319" t="s">
        <v>1025</v>
      </c>
      <c r="B68" s="536">
        <v>46118</v>
      </c>
      <c r="C68" s="536">
        <v>46147</v>
      </c>
      <c r="D68" s="319" t="s">
        <v>1217</v>
      </c>
      <c r="E68" s="319" t="s">
        <v>1218</v>
      </c>
      <c r="F68" s="319" t="s">
        <v>1219</v>
      </c>
      <c r="G68" s="319" t="s">
        <v>1029</v>
      </c>
      <c r="H68" s="319" t="s">
        <v>1220</v>
      </c>
      <c r="I68" s="535">
        <v>1943.29</v>
      </c>
      <c r="J68" s="535">
        <v>760</v>
      </c>
      <c r="K68" s="535">
        <v>2703.29</v>
      </c>
      <c r="L68" s="535" t="s">
        <v>87</v>
      </c>
      <c r="M68" s="535" t="s">
        <v>993</v>
      </c>
      <c r="N68" s="537" t="s">
        <v>1118</v>
      </c>
    </row>
    <row r="69" spans="1:14" ht="15.9" customHeight="1">
      <c r="A69" s="319" t="s">
        <v>1025</v>
      </c>
      <c r="B69" s="536">
        <v>46123</v>
      </c>
      <c r="C69" s="536">
        <v>46148</v>
      </c>
      <c r="D69" s="319" t="s">
        <v>1221</v>
      </c>
      <c r="E69" s="319" t="s">
        <v>1222</v>
      </c>
      <c r="F69" s="319" t="s">
        <v>1028</v>
      </c>
      <c r="G69" s="319" t="s">
        <v>1029</v>
      </c>
      <c r="H69" s="319" t="s">
        <v>1223</v>
      </c>
      <c r="I69" s="535">
        <v>1385.62</v>
      </c>
      <c r="J69" s="535">
        <v>950</v>
      </c>
      <c r="K69" s="535">
        <v>2335.62</v>
      </c>
      <c r="L69" s="535" t="s">
        <v>88</v>
      </c>
      <c r="M69" s="535" t="s">
        <v>993</v>
      </c>
      <c r="N69" s="537" t="s">
        <v>1118</v>
      </c>
    </row>
    <row r="70" spans="1:14" ht="15.9" customHeight="1">
      <c r="A70" s="319" t="s">
        <v>1224</v>
      </c>
      <c r="B70" s="536">
        <v>46123</v>
      </c>
      <c r="C70" s="536">
        <v>46152</v>
      </c>
      <c r="D70" s="319" t="s">
        <v>1225</v>
      </c>
      <c r="E70" s="319" t="s">
        <v>1226</v>
      </c>
      <c r="F70" s="319" t="s">
        <v>1045</v>
      </c>
      <c r="G70" s="319" t="s">
        <v>1029</v>
      </c>
      <c r="H70" s="319" t="s">
        <v>1227</v>
      </c>
      <c r="I70" s="535">
        <v>1153.8900000000001</v>
      </c>
      <c r="J70" s="535">
        <v>665</v>
      </c>
      <c r="K70" s="535">
        <v>1818.89</v>
      </c>
      <c r="L70" s="535" t="s">
        <v>88</v>
      </c>
      <c r="M70" s="535" t="s">
        <v>993</v>
      </c>
      <c r="N70" s="537"/>
    </row>
    <row r="71" spans="1:14" ht="15.9" customHeight="1">
      <c r="A71" s="319" t="s">
        <v>1102</v>
      </c>
      <c r="B71" s="536">
        <v>46123</v>
      </c>
      <c r="C71" s="536">
        <v>46153</v>
      </c>
      <c r="D71" s="319" t="s">
        <v>1228</v>
      </c>
      <c r="E71" s="319" t="s">
        <v>1229</v>
      </c>
      <c r="F71" s="319" t="s">
        <v>1096</v>
      </c>
      <c r="G71" s="319" t="s">
        <v>1029</v>
      </c>
      <c r="H71" s="319" t="s">
        <v>1230</v>
      </c>
      <c r="I71" s="535">
        <v>1599.92</v>
      </c>
      <c r="J71" s="535">
        <v>855</v>
      </c>
      <c r="K71" s="535">
        <v>2454.92</v>
      </c>
      <c r="L71" s="535" t="s">
        <v>88</v>
      </c>
      <c r="M71" s="535" t="s">
        <v>1042</v>
      </c>
      <c r="N71" s="537"/>
    </row>
    <row r="72" spans="1:14" ht="15.9" customHeight="1">
      <c r="A72" s="319" t="s">
        <v>1224</v>
      </c>
      <c r="B72" s="536">
        <v>46123</v>
      </c>
      <c r="C72" s="536">
        <v>46153</v>
      </c>
      <c r="D72" s="319" t="s">
        <v>1231</v>
      </c>
      <c r="E72" s="319" t="s">
        <v>1232</v>
      </c>
      <c r="F72" s="319" t="s">
        <v>1100</v>
      </c>
      <c r="G72" s="319" t="s">
        <v>1029</v>
      </c>
      <c r="H72" s="319" t="s">
        <v>1233</v>
      </c>
      <c r="I72" s="535">
        <v>1982.42</v>
      </c>
      <c r="J72" s="535">
        <v>855</v>
      </c>
      <c r="K72" s="535">
        <v>2837.42</v>
      </c>
      <c r="L72" s="535" t="s">
        <v>88</v>
      </c>
      <c r="M72" s="535" t="s">
        <v>1042</v>
      </c>
      <c r="N72" s="537"/>
    </row>
    <row r="73" spans="1:14" ht="15.9" customHeight="1">
      <c r="A73" s="319" t="s">
        <v>1125</v>
      </c>
      <c r="B73" s="536">
        <v>46123</v>
      </c>
      <c r="C73" s="536">
        <v>46148</v>
      </c>
      <c r="D73" s="319" t="s">
        <v>1234</v>
      </c>
      <c r="E73" s="319" t="s">
        <v>1235</v>
      </c>
      <c r="F73" s="319" t="s">
        <v>1236</v>
      </c>
      <c r="G73" s="319" t="s">
        <v>1029</v>
      </c>
      <c r="H73" s="319" t="s">
        <v>1237</v>
      </c>
      <c r="I73" s="535">
        <v>1692.55</v>
      </c>
      <c r="J73" s="535">
        <v>665</v>
      </c>
      <c r="K73" s="535">
        <v>2357.5500000000002</v>
      </c>
      <c r="L73" s="535" t="s">
        <v>79</v>
      </c>
      <c r="M73" s="535" t="s">
        <v>993</v>
      </c>
      <c r="N73" s="537"/>
    </row>
    <row r="74" spans="1:14" ht="15.9" customHeight="1">
      <c r="A74" s="319" t="s">
        <v>1054</v>
      </c>
      <c r="B74" s="536">
        <v>46123</v>
      </c>
      <c r="C74" s="536">
        <v>46153</v>
      </c>
      <c r="D74" s="319" t="s">
        <v>1238</v>
      </c>
      <c r="E74" s="319" t="s">
        <v>1239</v>
      </c>
      <c r="F74" s="319" t="s">
        <v>1092</v>
      </c>
      <c r="G74" s="319" t="s">
        <v>1029</v>
      </c>
      <c r="H74" s="319" t="s">
        <v>1240</v>
      </c>
      <c r="I74" s="535">
        <v>2497.0700000000002</v>
      </c>
      <c r="J74" s="535">
        <v>950</v>
      </c>
      <c r="K74" s="535">
        <v>3447.07</v>
      </c>
      <c r="L74" s="535" t="s">
        <v>80</v>
      </c>
      <c r="M74" s="535" t="s">
        <v>1042</v>
      </c>
      <c r="N74" s="537"/>
    </row>
    <row r="75" spans="1:14" ht="15.9" customHeight="1">
      <c r="A75" s="319" t="s">
        <v>1054</v>
      </c>
      <c r="B75" s="536">
        <v>46123</v>
      </c>
      <c r="C75" s="536">
        <v>46153</v>
      </c>
      <c r="D75" s="319" t="s">
        <v>1241</v>
      </c>
      <c r="E75" s="319" t="s">
        <v>1242</v>
      </c>
      <c r="F75" s="319" t="s">
        <v>1243</v>
      </c>
      <c r="G75" s="319" t="s">
        <v>1029</v>
      </c>
      <c r="H75" s="319" t="s">
        <v>1244</v>
      </c>
      <c r="I75" s="535">
        <v>3297.67</v>
      </c>
      <c r="J75" s="535">
        <v>855</v>
      </c>
      <c r="K75" s="535">
        <v>4152.67</v>
      </c>
      <c r="L75" s="535" t="s">
        <v>80</v>
      </c>
      <c r="M75" s="535" t="s">
        <v>1042</v>
      </c>
      <c r="N75" s="537"/>
    </row>
    <row r="76" spans="1:14" ht="15.9" customHeight="1">
      <c r="A76" s="319" t="s">
        <v>1025</v>
      </c>
      <c r="B76" s="536">
        <v>46122</v>
      </c>
      <c r="C76" s="536">
        <v>46152</v>
      </c>
      <c r="D76" s="319" t="s">
        <v>1245</v>
      </c>
      <c r="E76" s="319" t="s">
        <v>1246</v>
      </c>
      <c r="F76" s="319" t="s">
        <v>1247</v>
      </c>
      <c r="G76" s="319" t="s">
        <v>1029</v>
      </c>
      <c r="H76" s="319" t="s">
        <v>1248</v>
      </c>
      <c r="I76" s="535">
        <v>922.74</v>
      </c>
      <c r="J76" s="535">
        <v>665</v>
      </c>
      <c r="K76" s="535">
        <v>1587.74</v>
      </c>
      <c r="L76" s="535" t="s">
        <v>80</v>
      </c>
      <c r="M76" s="535" t="s">
        <v>993</v>
      </c>
      <c r="N76" s="537" t="s">
        <v>1118</v>
      </c>
    </row>
    <row r="77" spans="1:14" ht="15.9" customHeight="1">
      <c r="A77" s="319" t="s">
        <v>1249</v>
      </c>
      <c r="B77" s="536">
        <v>46124</v>
      </c>
      <c r="C77" s="536">
        <v>46154</v>
      </c>
      <c r="D77" s="319" t="s">
        <v>1250</v>
      </c>
      <c r="E77" s="319" t="s">
        <v>1251</v>
      </c>
      <c r="F77" s="319" t="s">
        <v>1252</v>
      </c>
      <c r="G77" s="319" t="s">
        <v>1029</v>
      </c>
      <c r="H77" s="319" t="s">
        <v>1253</v>
      </c>
      <c r="I77" s="535">
        <v>1252.7</v>
      </c>
      <c r="J77" s="535">
        <v>665</v>
      </c>
      <c r="K77" s="535">
        <v>1917.7</v>
      </c>
      <c r="L77" s="535" t="s">
        <v>78</v>
      </c>
      <c r="M77" s="535" t="s">
        <v>993</v>
      </c>
      <c r="N77" s="537"/>
    </row>
    <row r="78" spans="1:14" ht="15.9" customHeight="1">
      <c r="A78" s="319" t="s">
        <v>1077</v>
      </c>
      <c r="B78" s="536">
        <v>46124</v>
      </c>
      <c r="C78" s="536">
        <v>46153</v>
      </c>
      <c r="D78" s="319" t="s">
        <v>1254</v>
      </c>
      <c r="E78" s="319" t="s">
        <v>1255</v>
      </c>
      <c r="F78" s="319" t="s">
        <v>1256</v>
      </c>
      <c r="G78" s="319" t="s">
        <v>1029</v>
      </c>
      <c r="H78" s="319" t="s">
        <v>1257</v>
      </c>
      <c r="I78" s="535">
        <v>1270.48</v>
      </c>
      <c r="J78" s="535">
        <v>665</v>
      </c>
      <c r="K78" s="535">
        <v>1935.48</v>
      </c>
      <c r="L78" s="535" t="s">
        <v>80</v>
      </c>
      <c r="M78" s="535" t="s">
        <v>993</v>
      </c>
      <c r="N78" s="537"/>
    </row>
    <row r="79" spans="1:14" ht="15.9" customHeight="1">
      <c r="A79" s="319" t="s">
        <v>1054</v>
      </c>
      <c r="B79" s="536">
        <v>46125</v>
      </c>
      <c r="C79" s="536">
        <v>46145</v>
      </c>
      <c r="D79" s="319" t="s">
        <v>1258</v>
      </c>
      <c r="E79" s="319" t="s">
        <v>1259</v>
      </c>
      <c r="F79" s="319" t="s">
        <v>1260</v>
      </c>
      <c r="G79" s="319" t="s">
        <v>1029</v>
      </c>
      <c r="H79" s="319" t="s">
        <v>1261</v>
      </c>
      <c r="I79" s="535">
        <v>911.81</v>
      </c>
      <c r="J79" s="535">
        <v>665</v>
      </c>
      <c r="K79" s="535">
        <v>1576.81</v>
      </c>
      <c r="L79" s="535" t="s">
        <v>88</v>
      </c>
      <c r="M79" s="535" t="s">
        <v>993</v>
      </c>
      <c r="N79" s="537"/>
    </row>
    <row r="80" spans="1:14" ht="15.9" customHeight="1">
      <c r="A80" s="319" t="s">
        <v>1025</v>
      </c>
      <c r="B80" s="536">
        <v>46125</v>
      </c>
      <c r="C80" s="536">
        <v>46152</v>
      </c>
      <c r="D80" s="319" t="s">
        <v>1262</v>
      </c>
      <c r="E80" s="319" t="s">
        <v>1263</v>
      </c>
      <c r="F80" s="319" t="s">
        <v>1264</v>
      </c>
      <c r="G80" s="319" t="s">
        <v>1029</v>
      </c>
      <c r="H80" s="319" t="s">
        <v>1265</v>
      </c>
      <c r="I80" s="535">
        <v>1781.54</v>
      </c>
      <c r="J80" s="535">
        <v>880</v>
      </c>
      <c r="K80" s="535">
        <v>2661.54</v>
      </c>
      <c r="L80" s="535" t="s">
        <v>88</v>
      </c>
      <c r="M80" s="535" t="s">
        <v>993</v>
      </c>
      <c r="N80" s="537"/>
    </row>
    <row r="81" spans="1:14" ht="15.9" customHeight="1">
      <c r="A81" s="319" t="s">
        <v>1249</v>
      </c>
      <c r="B81" s="536">
        <v>46125</v>
      </c>
      <c r="C81" s="536">
        <v>46155</v>
      </c>
      <c r="D81" s="319" t="s">
        <v>1266</v>
      </c>
      <c r="E81" s="319" t="s">
        <v>1267</v>
      </c>
      <c r="F81" s="319" t="s">
        <v>1268</v>
      </c>
      <c r="G81" s="319" t="s">
        <v>1029</v>
      </c>
      <c r="H81" s="319" t="s">
        <v>1269</v>
      </c>
      <c r="I81" s="535">
        <v>1985.76</v>
      </c>
      <c r="J81" s="535">
        <v>855</v>
      </c>
      <c r="K81" s="535">
        <v>2840.76</v>
      </c>
      <c r="L81" s="535" t="s">
        <v>88</v>
      </c>
      <c r="M81" s="535" t="s">
        <v>1042</v>
      </c>
      <c r="N81" s="537"/>
    </row>
    <row r="82" spans="1:14" ht="15.9" customHeight="1">
      <c r="A82" s="319" t="s">
        <v>1054</v>
      </c>
      <c r="B82" s="536">
        <v>46125</v>
      </c>
      <c r="C82" s="536">
        <v>46147</v>
      </c>
      <c r="D82" s="319" t="s">
        <v>1270</v>
      </c>
      <c r="E82" s="319" t="s">
        <v>1271</v>
      </c>
      <c r="F82" s="319" t="s">
        <v>1272</v>
      </c>
      <c r="G82" s="319" t="s">
        <v>1029</v>
      </c>
      <c r="H82" s="319" t="s">
        <v>1273</v>
      </c>
      <c r="I82" s="535">
        <v>1931.82</v>
      </c>
      <c r="J82" s="535">
        <v>760</v>
      </c>
      <c r="K82" s="535">
        <v>2691.82</v>
      </c>
      <c r="L82" s="535" t="s">
        <v>88</v>
      </c>
      <c r="M82" s="535" t="s">
        <v>993</v>
      </c>
      <c r="N82" s="537"/>
    </row>
    <row r="83" spans="1:14" ht="15.9" customHeight="1">
      <c r="A83" s="319" t="s">
        <v>1054</v>
      </c>
      <c r="B83" s="536">
        <v>46125</v>
      </c>
      <c r="C83" s="536">
        <v>46143</v>
      </c>
      <c r="D83" s="319" t="s">
        <v>1274</v>
      </c>
      <c r="E83" s="319" t="s">
        <v>1275</v>
      </c>
      <c r="F83" s="319" t="s">
        <v>1149</v>
      </c>
      <c r="G83" s="319" t="s">
        <v>1029</v>
      </c>
      <c r="H83" s="319" t="s">
        <v>1276</v>
      </c>
      <c r="I83" s="535">
        <v>3000.78</v>
      </c>
      <c r="J83" s="535">
        <v>950</v>
      </c>
      <c r="K83" s="535">
        <v>3950.78</v>
      </c>
      <c r="L83" s="535" t="s">
        <v>79</v>
      </c>
      <c r="M83" s="535" t="s">
        <v>994</v>
      </c>
      <c r="N83" s="537"/>
    </row>
    <row r="84" spans="1:14" ht="15.9" customHeight="1">
      <c r="A84" s="319" t="s">
        <v>1054</v>
      </c>
      <c r="B84" s="536">
        <v>46125</v>
      </c>
      <c r="C84" s="536">
        <v>46149</v>
      </c>
      <c r="D84" s="319" t="s">
        <v>1277</v>
      </c>
      <c r="E84" s="319" t="s">
        <v>1278</v>
      </c>
      <c r="F84" s="319" t="s">
        <v>1279</v>
      </c>
      <c r="G84" s="319" t="s">
        <v>1029</v>
      </c>
      <c r="H84" s="319" t="s">
        <v>1280</v>
      </c>
      <c r="I84" s="535">
        <v>2182</v>
      </c>
      <c r="J84" s="535">
        <v>855</v>
      </c>
      <c r="K84" s="535">
        <v>3037</v>
      </c>
      <c r="L84" s="535" t="s">
        <v>79</v>
      </c>
      <c r="M84" s="535" t="s">
        <v>993</v>
      </c>
      <c r="N84" s="537"/>
    </row>
    <row r="85" spans="1:14" ht="15.9" customHeight="1">
      <c r="A85" s="319" t="s">
        <v>1054</v>
      </c>
      <c r="B85" s="536">
        <v>46125</v>
      </c>
      <c r="C85" s="536">
        <v>46151</v>
      </c>
      <c r="D85" s="319" t="s">
        <v>1281</v>
      </c>
      <c r="E85" s="319" t="s">
        <v>1282</v>
      </c>
      <c r="F85" s="319" t="s">
        <v>1283</v>
      </c>
      <c r="G85" s="319" t="s">
        <v>1029</v>
      </c>
      <c r="H85" s="319" t="s">
        <v>1284</v>
      </c>
      <c r="I85" s="535">
        <v>1627.94</v>
      </c>
      <c r="J85" s="535">
        <v>855</v>
      </c>
      <c r="K85" s="535">
        <v>2482.94</v>
      </c>
      <c r="L85" s="535" t="s">
        <v>79</v>
      </c>
      <c r="M85" s="535" t="s">
        <v>993</v>
      </c>
      <c r="N85" s="537"/>
    </row>
    <row r="86" spans="1:14" ht="15.9" customHeight="1">
      <c r="A86" s="319" t="s">
        <v>1054</v>
      </c>
      <c r="B86" s="536">
        <v>46125</v>
      </c>
      <c r="C86" s="536">
        <v>46146</v>
      </c>
      <c r="D86" s="319" t="s">
        <v>1285</v>
      </c>
      <c r="E86" s="319" t="s">
        <v>1286</v>
      </c>
      <c r="F86" s="319" t="s">
        <v>1153</v>
      </c>
      <c r="G86" s="319" t="s">
        <v>1029</v>
      </c>
      <c r="H86" s="319" t="s">
        <v>1287</v>
      </c>
      <c r="I86" s="535">
        <v>2069.87</v>
      </c>
      <c r="J86" s="535">
        <v>855</v>
      </c>
      <c r="K86" s="535">
        <v>2924.87</v>
      </c>
      <c r="L86" s="535" t="s">
        <v>80</v>
      </c>
      <c r="M86" s="535" t="s">
        <v>1042</v>
      </c>
      <c r="N86" s="537"/>
    </row>
    <row r="87" spans="1:14" ht="15.9" customHeight="1">
      <c r="A87" s="319" t="s">
        <v>1054</v>
      </c>
      <c r="B87" s="536">
        <v>46125</v>
      </c>
      <c r="C87" s="536">
        <v>46154</v>
      </c>
      <c r="D87" s="319" t="s">
        <v>1288</v>
      </c>
      <c r="E87" s="319" t="s">
        <v>1289</v>
      </c>
      <c r="F87" s="319" t="s">
        <v>1085</v>
      </c>
      <c r="G87" s="319" t="s">
        <v>1029</v>
      </c>
      <c r="H87" s="319" t="s">
        <v>1290</v>
      </c>
      <c r="I87" s="535">
        <v>1876.49</v>
      </c>
      <c r="J87" s="535">
        <v>950</v>
      </c>
      <c r="K87" s="535">
        <v>2826.49</v>
      </c>
      <c r="L87" s="535" t="s">
        <v>80</v>
      </c>
      <c r="M87" s="535" t="s">
        <v>1042</v>
      </c>
      <c r="N87" s="537"/>
    </row>
    <row r="88" spans="1:14" ht="15.9" customHeight="1">
      <c r="A88" s="319" t="s">
        <v>1025</v>
      </c>
      <c r="B88" s="536">
        <v>46125</v>
      </c>
      <c r="C88" s="536">
        <v>46152</v>
      </c>
      <c r="D88" s="319" t="s">
        <v>1291</v>
      </c>
      <c r="E88" s="319" t="s">
        <v>1292</v>
      </c>
      <c r="F88" s="319" t="s">
        <v>1153</v>
      </c>
      <c r="G88" s="319" t="s">
        <v>1029</v>
      </c>
      <c r="H88" s="319" t="s">
        <v>1293</v>
      </c>
      <c r="I88" s="535">
        <v>1921.8</v>
      </c>
      <c r="J88" s="535">
        <v>855</v>
      </c>
      <c r="K88" s="535">
        <v>2776.8</v>
      </c>
      <c r="L88" s="535" t="s">
        <v>80</v>
      </c>
      <c r="M88" s="535" t="s">
        <v>1042</v>
      </c>
      <c r="N88" s="537"/>
    </row>
    <row r="89" spans="1:14" ht="15.9" customHeight="1">
      <c r="A89" s="319" t="s">
        <v>1130</v>
      </c>
      <c r="B89" s="536">
        <v>46125</v>
      </c>
      <c r="C89" s="536">
        <v>46155</v>
      </c>
      <c r="D89" s="319" t="s">
        <v>1294</v>
      </c>
      <c r="E89" s="319" t="s">
        <v>1295</v>
      </c>
      <c r="F89" s="319" t="s">
        <v>1296</v>
      </c>
      <c r="G89" s="319" t="s">
        <v>1029</v>
      </c>
      <c r="H89" s="319" t="s">
        <v>1297</v>
      </c>
      <c r="I89" s="535">
        <v>906.14</v>
      </c>
      <c r="J89" s="535">
        <v>665</v>
      </c>
      <c r="K89" s="535">
        <v>1571.14</v>
      </c>
      <c r="L89" s="535" t="s">
        <v>80</v>
      </c>
      <c r="M89" s="535" t="s">
        <v>993</v>
      </c>
      <c r="N89" s="537"/>
    </row>
    <row r="90" spans="1:14" ht="15.9" customHeight="1">
      <c r="A90" s="319" t="s">
        <v>1025</v>
      </c>
      <c r="B90" s="536">
        <v>46125</v>
      </c>
      <c r="C90" s="536">
        <v>46153</v>
      </c>
      <c r="D90" s="319" t="s">
        <v>1298</v>
      </c>
      <c r="E90" s="319" t="s">
        <v>1299</v>
      </c>
      <c r="F90" s="319" t="s">
        <v>1300</v>
      </c>
      <c r="G90" s="319" t="s">
        <v>1029</v>
      </c>
      <c r="H90" s="319" t="s">
        <v>1301</v>
      </c>
      <c r="I90" s="535">
        <v>1521.83</v>
      </c>
      <c r="J90" s="535">
        <v>760</v>
      </c>
      <c r="K90" s="535">
        <v>2281.83</v>
      </c>
      <c r="L90" s="535" t="s">
        <v>80</v>
      </c>
      <c r="M90" s="535" t="s">
        <v>993</v>
      </c>
      <c r="N90" s="537"/>
    </row>
    <row r="91" spans="1:14" ht="15.9" customHeight="1">
      <c r="A91" s="319" t="s">
        <v>1054</v>
      </c>
      <c r="B91" s="536">
        <v>46125</v>
      </c>
      <c r="C91" s="536">
        <v>46146</v>
      </c>
      <c r="D91" s="319" t="s">
        <v>1302</v>
      </c>
      <c r="E91" s="319" t="s">
        <v>1303</v>
      </c>
      <c r="F91" s="319" t="s">
        <v>1028</v>
      </c>
      <c r="G91" s="319" t="s">
        <v>1029</v>
      </c>
      <c r="H91" s="319" t="s">
        <v>1304</v>
      </c>
      <c r="I91" s="535">
        <v>1775.47</v>
      </c>
      <c r="J91" s="535">
        <v>760</v>
      </c>
      <c r="K91" s="535">
        <v>2535.4699999999998</v>
      </c>
      <c r="L91" s="535" t="s">
        <v>80</v>
      </c>
      <c r="M91" s="535" t="s">
        <v>993</v>
      </c>
      <c r="N91" s="537"/>
    </row>
    <row r="92" spans="1:14" ht="15.9" customHeight="1">
      <c r="A92" s="319" t="s">
        <v>1025</v>
      </c>
      <c r="B92" s="536">
        <v>46125</v>
      </c>
      <c r="C92" s="536">
        <v>46154</v>
      </c>
      <c r="D92" s="319" t="s">
        <v>1305</v>
      </c>
      <c r="E92" s="319" t="s">
        <v>1306</v>
      </c>
      <c r="F92" s="319" t="s">
        <v>1307</v>
      </c>
      <c r="G92" s="319" t="s">
        <v>1029</v>
      </c>
      <c r="H92" s="319" t="s">
        <v>1308</v>
      </c>
      <c r="I92" s="535">
        <v>1150.79</v>
      </c>
      <c r="J92" s="535">
        <v>665</v>
      </c>
      <c r="K92" s="535">
        <v>1815.79</v>
      </c>
      <c r="L92" s="535" t="s">
        <v>80</v>
      </c>
      <c r="M92" s="535" t="s">
        <v>993</v>
      </c>
      <c r="N92" s="537"/>
    </row>
    <row r="93" spans="1:14" ht="15.9" customHeight="1">
      <c r="A93" s="319" t="s">
        <v>1143</v>
      </c>
      <c r="B93" s="536">
        <v>46125</v>
      </c>
      <c r="C93" s="536">
        <v>46149</v>
      </c>
      <c r="D93" s="319" t="s">
        <v>1309</v>
      </c>
      <c r="E93" s="319" t="s">
        <v>1310</v>
      </c>
      <c r="F93" s="319" t="s">
        <v>1311</v>
      </c>
      <c r="G93" s="319" t="s">
        <v>1029</v>
      </c>
      <c r="H93" s="319" t="s">
        <v>1312</v>
      </c>
      <c r="I93" s="535">
        <v>2417.31</v>
      </c>
      <c r="J93" s="535">
        <v>950</v>
      </c>
      <c r="K93" s="535">
        <v>3367.31</v>
      </c>
      <c r="L93" s="535" t="s">
        <v>88</v>
      </c>
      <c r="M93" s="535" t="s">
        <v>1042</v>
      </c>
      <c r="N93" s="537"/>
    </row>
    <row r="94" spans="1:14" ht="15.9" customHeight="1">
      <c r="A94" s="319" t="s">
        <v>1054</v>
      </c>
      <c r="B94" s="536">
        <v>46125</v>
      </c>
      <c r="C94" s="536">
        <v>46155</v>
      </c>
      <c r="D94" s="319" t="s">
        <v>1313</v>
      </c>
      <c r="E94" s="319" t="s">
        <v>1314</v>
      </c>
      <c r="F94" s="319" t="s">
        <v>1315</v>
      </c>
      <c r="G94" s="319" t="s">
        <v>1029</v>
      </c>
      <c r="H94" s="319" t="s">
        <v>1316</v>
      </c>
      <c r="I94" s="535">
        <v>1657.3</v>
      </c>
      <c r="J94" s="535">
        <v>950</v>
      </c>
      <c r="K94" s="535">
        <v>2607.3000000000002</v>
      </c>
      <c r="L94" s="535" t="s">
        <v>79</v>
      </c>
      <c r="M94" s="535" t="s">
        <v>993</v>
      </c>
      <c r="N94" s="537"/>
    </row>
    <row r="95" spans="1:14" ht="15.9" customHeight="1">
      <c r="A95" s="319" t="s">
        <v>1054</v>
      </c>
      <c r="B95" s="536">
        <v>46125</v>
      </c>
      <c r="C95" s="536">
        <v>46151</v>
      </c>
      <c r="D95" s="319" t="s">
        <v>1317</v>
      </c>
      <c r="E95" s="319" t="s">
        <v>1318</v>
      </c>
      <c r="F95" s="319" t="s">
        <v>1137</v>
      </c>
      <c r="G95" s="319" t="s">
        <v>1029</v>
      </c>
      <c r="H95" s="319" t="s">
        <v>1319</v>
      </c>
      <c r="I95" s="535">
        <v>1090.9000000000001</v>
      </c>
      <c r="J95" s="535">
        <v>665</v>
      </c>
      <c r="K95" s="535">
        <v>1755.9</v>
      </c>
      <c r="L95" s="535" t="s">
        <v>78</v>
      </c>
      <c r="M95" s="535" t="s">
        <v>993</v>
      </c>
      <c r="N95" s="537"/>
    </row>
    <row r="96" spans="1:14" ht="15.9" customHeight="1">
      <c r="A96" s="319" t="s">
        <v>1054</v>
      </c>
      <c r="B96" s="536">
        <v>46125</v>
      </c>
      <c r="C96" s="536">
        <v>46145</v>
      </c>
      <c r="D96" s="319" t="s">
        <v>1320</v>
      </c>
      <c r="E96" s="319" t="s">
        <v>1321</v>
      </c>
      <c r="F96" s="319" t="s">
        <v>1108</v>
      </c>
      <c r="G96" s="319" t="s">
        <v>1029</v>
      </c>
      <c r="H96" s="319" t="s">
        <v>1322</v>
      </c>
      <c r="I96" s="535">
        <v>1888.02</v>
      </c>
      <c r="J96" s="535">
        <v>855</v>
      </c>
      <c r="K96" s="535">
        <v>2743.02</v>
      </c>
      <c r="L96" s="535" t="s">
        <v>87</v>
      </c>
      <c r="M96" s="535" t="s">
        <v>1042</v>
      </c>
      <c r="N96" s="537"/>
    </row>
    <row r="97" spans="1:14" ht="15.9" customHeight="1">
      <c r="A97" s="319" t="s">
        <v>1054</v>
      </c>
      <c r="B97" s="536">
        <v>46125</v>
      </c>
      <c r="C97" s="536">
        <v>46143</v>
      </c>
      <c r="D97" s="319" t="s">
        <v>1323</v>
      </c>
      <c r="E97" s="319" t="s">
        <v>1324</v>
      </c>
      <c r="F97" s="319" t="s">
        <v>1325</v>
      </c>
      <c r="G97" s="319" t="s">
        <v>1029</v>
      </c>
      <c r="H97" s="319" t="s">
        <v>1326</v>
      </c>
      <c r="I97" s="535">
        <v>2011.21</v>
      </c>
      <c r="J97" s="535">
        <v>950</v>
      </c>
      <c r="K97" s="535">
        <v>2961.21</v>
      </c>
      <c r="L97" s="535" t="s">
        <v>88</v>
      </c>
      <c r="M97" s="535" t="s">
        <v>1042</v>
      </c>
      <c r="N97" s="537"/>
    </row>
    <row r="98" spans="1:14" ht="15.9" customHeight="1">
      <c r="A98" s="319" t="s">
        <v>1054</v>
      </c>
      <c r="B98" s="536">
        <v>46126</v>
      </c>
      <c r="C98" s="536">
        <v>46156</v>
      </c>
      <c r="D98" s="319" t="s">
        <v>1327</v>
      </c>
      <c r="E98" s="319" t="s">
        <v>1328</v>
      </c>
      <c r="F98" s="319" t="s">
        <v>1329</v>
      </c>
      <c r="G98" s="319" t="s">
        <v>1029</v>
      </c>
      <c r="H98" s="319" t="s">
        <v>1330</v>
      </c>
      <c r="I98" s="535">
        <v>3211.59</v>
      </c>
      <c r="J98" s="535">
        <v>855</v>
      </c>
      <c r="K98" s="535">
        <v>4066.59</v>
      </c>
      <c r="L98" s="535" t="s">
        <v>87</v>
      </c>
      <c r="M98" s="535" t="s">
        <v>1042</v>
      </c>
      <c r="N98" s="537"/>
    </row>
    <row r="99" spans="1:14" ht="15.9" customHeight="1">
      <c r="A99" s="319" t="s">
        <v>1331</v>
      </c>
      <c r="B99" s="536">
        <v>46126</v>
      </c>
      <c r="C99" s="536">
        <v>46150</v>
      </c>
      <c r="D99" s="319" t="s">
        <v>1332</v>
      </c>
      <c r="E99" s="319" t="s">
        <v>1333</v>
      </c>
      <c r="F99" s="319" t="s">
        <v>1334</v>
      </c>
      <c r="G99" s="319" t="s">
        <v>995</v>
      </c>
      <c r="H99" s="319" t="s">
        <v>1335</v>
      </c>
      <c r="I99" s="535">
        <v>866.19</v>
      </c>
      <c r="J99" s="535">
        <v>665</v>
      </c>
      <c r="K99" s="535">
        <v>1531.19</v>
      </c>
      <c r="L99" s="535" t="s">
        <v>86</v>
      </c>
      <c r="M99" s="535" t="s">
        <v>995</v>
      </c>
      <c r="N99" s="537"/>
    </row>
    <row r="100" spans="1:14" ht="15.9" customHeight="1">
      <c r="A100" s="319" t="s">
        <v>1331</v>
      </c>
      <c r="B100" s="536">
        <v>46126</v>
      </c>
      <c r="C100" s="536">
        <v>46149</v>
      </c>
      <c r="D100" s="319" t="s">
        <v>1336</v>
      </c>
      <c r="E100" s="319" t="s">
        <v>1337</v>
      </c>
      <c r="F100" s="319" t="s">
        <v>1153</v>
      </c>
      <c r="G100" s="319" t="s">
        <v>1029</v>
      </c>
      <c r="H100" s="319" t="s">
        <v>1338</v>
      </c>
      <c r="I100" s="535">
        <v>1816.92</v>
      </c>
      <c r="J100" s="535">
        <v>855</v>
      </c>
      <c r="K100" s="535">
        <v>2671.92</v>
      </c>
      <c r="L100" s="535" t="s">
        <v>79</v>
      </c>
      <c r="M100" s="535" t="s">
        <v>1042</v>
      </c>
      <c r="N100" s="537"/>
    </row>
    <row r="101" spans="1:14" ht="15.9" customHeight="1">
      <c r="A101" s="319" t="s">
        <v>1125</v>
      </c>
      <c r="B101" s="536">
        <v>46126</v>
      </c>
      <c r="C101" s="536">
        <v>46156</v>
      </c>
      <c r="D101" s="319" t="s">
        <v>1339</v>
      </c>
      <c r="E101" s="319" t="s">
        <v>1340</v>
      </c>
      <c r="F101" s="319" t="s">
        <v>1100</v>
      </c>
      <c r="G101" s="319" t="s">
        <v>1029</v>
      </c>
      <c r="H101" s="319" t="s">
        <v>1341</v>
      </c>
      <c r="I101" s="535">
        <v>2104.0500000000002</v>
      </c>
      <c r="J101" s="535">
        <v>855</v>
      </c>
      <c r="K101" s="535">
        <v>2959.05</v>
      </c>
      <c r="L101" s="535" t="s">
        <v>79</v>
      </c>
      <c r="M101" s="535" t="s">
        <v>1042</v>
      </c>
      <c r="N101" s="537"/>
    </row>
    <row r="102" spans="1:14" ht="15.9" customHeight="1">
      <c r="A102" s="319" t="s">
        <v>1077</v>
      </c>
      <c r="B102" s="536">
        <v>46126</v>
      </c>
      <c r="C102" s="536">
        <v>46145</v>
      </c>
      <c r="D102" s="319" t="s">
        <v>1342</v>
      </c>
      <c r="E102" s="319" t="s">
        <v>1343</v>
      </c>
      <c r="F102" s="319" t="s">
        <v>1057</v>
      </c>
      <c r="G102" s="319" t="s">
        <v>1029</v>
      </c>
      <c r="H102" s="319" t="s">
        <v>1344</v>
      </c>
      <c r="I102" s="535">
        <v>1637.94</v>
      </c>
      <c r="J102" s="535">
        <v>665</v>
      </c>
      <c r="K102" s="535">
        <v>2302.94</v>
      </c>
      <c r="L102" s="535" t="s">
        <v>88</v>
      </c>
      <c r="M102" s="535" t="s">
        <v>993</v>
      </c>
      <c r="N102" s="537"/>
    </row>
    <row r="103" spans="1:14" ht="15.9" customHeight="1">
      <c r="A103" s="319" t="s">
        <v>1077</v>
      </c>
      <c r="B103" s="536">
        <v>46126</v>
      </c>
      <c r="C103" s="536">
        <v>46155</v>
      </c>
      <c r="D103" s="319" t="s">
        <v>1345</v>
      </c>
      <c r="E103" s="319" t="s">
        <v>1346</v>
      </c>
      <c r="F103" s="319" t="s">
        <v>1149</v>
      </c>
      <c r="G103" s="319" t="s">
        <v>1029</v>
      </c>
      <c r="H103" s="319" t="s">
        <v>1347</v>
      </c>
      <c r="I103" s="535">
        <v>1669.41</v>
      </c>
      <c r="J103" s="535">
        <v>665</v>
      </c>
      <c r="K103" s="535">
        <v>2334.41</v>
      </c>
      <c r="L103" s="535" t="s">
        <v>80</v>
      </c>
      <c r="M103" s="535" t="s">
        <v>993</v>
      </c>
      <c r="N103" s="537"/>
    </row>
    <row r="104" spans="1:14" ht="15.9" customHeight="1">
      <c r="A104" s="319" t="s">
        <v>1054</v>
      </c>
      <c r="B104" s="536">
        <v>46126</v>
      </c>
      <c r="C104" s="536">
        <v>46156</v>
      </c>
      <c r="D104" s="319" t="s">
        <v>1348</v>
      </c>
      <c r="E104" s="319" t="s">
        <v>1349</v>
      </c>
      <c r="F104" s="319" t="s">
        <v>1070</v>
      </c>
      <c r="G104" s="319" t="s">
        <v>1029</v>
      </c>
      <c r="H104" s="319" t="s">
        <v>1350</v>
      </c>
      <c r="I104" s="535">
        <v>1474.62</v>
      </c>
      <c r="J104" s="535">
        <v>665</v>
      </c>
      <c r="K104" s="535">
        <v>2139.62</v>
      </c>
      <c r="L104" s="535" t="s">
        <v>80</v>
      </c>
      <c r="M104" s="535" t="s">
        <v>993</v>
      </c>
      <c r="N104" s="537"/>
    </row>
    <row r="105" spans="1:14" ht="15.9" customHeight="1">
      <c r="A105" s="319" t="s">
        <v>1077</v>
      </c>
      <c r="B105" s="536">
        <v>46126</v>
      </c>
      <c r="C105" s="536">
        <v>46154</v>
      </c>
      <c r="D105" s="319" t="s">
        <v>1351</v>
      </c>
      <c r="E105" s="319" t="s">
        <v>1352</v>
      </c>
      <c r="F105" s="319" t="s">
        <v>1353</v>
      </c>
      <c r="G105" s="319" t="s">
        <v>1029</v>
      </c>
      <c r="H105" s="319" t="s">
        <v>1354</v>
      </c>
      <c r="I105" s="535">
        <v>1044.4000000000001</v>
      </c>
      <c r="J105" s="535">
        <v>665</v>
      </c>
      <c r="K105" s="535">
        <v>1709.4</v>
      </c>
      <c r="L105" s="535" t="s">
        <v>80</v>
      </c>
      <c r="M105" s="535" t="s">
        <v>993</v>
      </c>
      <c r="N105" s="537"/>
    </row>
    <row r="106" spans="1:14" ht="15.9" customHeight="1">
      <c r="A106" s="319" t="s">
        <v>1102</v>
      </c>
      <c r="B106" s="536">
        <v>46126</v>
      </c>
      <c r="C106" s="536">
        <v>46155</v>
      </c>
      <c r="D106" s="319" t="s">
        <v>1355</v>
      </c>
      <c r="E106" s="319" t="s">
        <v>1356</v>
      </c>
      <c r="F106" s="319" t="s">
        <v>1268</v>
      </c>
      <c r="G106" s="319" t="s">
        <v>1029</v>
      </c>
      <c r="H106" s="319" t="s">
        <v>1357</v>
      </c>
      <c r="I106" s="535">
        <v>1871.37</v>
      </c>
      <c r="J106" s="535">
        <v>855</v>
      </c>
      <c r="K106" s="535">
        <v>2726.37</v>
      </c>
      <c r="L106" s="535" t="s">
        <v>80</v>
      </c>
      <c r="M106" s="535" t="s">
        <v>1042</v>
      </c>
      <c r="N106" s="537"/>
    </row>
    <row r="107" spans="1:14" ht="15.9" customHeight="1">
      <c r="A107" s="319" t="s">
        <v>1054</v>
      </c>
      <c r="B107" s="536">
        <v>46126</v>
      </c>
      <c r="C107" s="536">
        <v>46155</v>
      </c>
      <c r="D107" s="319" t="s">
        <v>1358</v>
      </c>
      <c r="E107" s="319" t="s">
        <v>1359</v>
      </c>
      <c r="F107" s="319" t="s">
        <v>1296</v>
      </c>
      <c r="G107" s="319" t="s">
        <v>1029</v>
      </c>
      <c r="H107" s="319" t="s">
        <v>1360</v>
      </c>
      <c r="I107" s="535">
        <v>1700.44</v>
      </c>
      <c r="J107" s="535">
        <v>665</v>
      </c>
      <c r="K107" s="535">
        <v>2365.44</v>
      </c>
      <c r="L107" s="535" t="s">
        <v>80</v>
      </c>
      <c r="M107" s="535" t="s">
        <v>993</v>
      </c>
      <c r="N107" s="537"/>
    </row>
    <row r="108" spans="1:14" ht="15.9" customHeight="1">
      <c r="A108" s="319" t="s">
        <v>1054</v>
      </c>
      <c r="B108" s="536">
        <v>46126</v>
      </c>
      <c r="C108" s="536">
        <v>46156</v>
      </c>
      <c r="D108" s="319" t="s">
        <v>1361</v>
      </c>
      <c r="E108" s="319" t="s">
        <v>1362</v>
      </c>
      <c r="F108" s="319" t="s">
        <v>1363</v>
      </c>
      <c r="G108" s="319" t="s">
        <v>1029</v>
      </c>
      <c r="H108" s="319" t="s">
        <v>1364</v>
      </c>
      <c r="I108" s="535">
        <v>1716.42</v>
      </c>
      <c r="J108" s="535">
        <v>665</v>
      </c>
      <c r="K108" s="535">
        <v>2381.42</v>
      </c>
      <c r="L108" s="535" t="s">
        <v>80</v>
      </c>
      <c r="M108" s="535" t="s">
        <v>993</v>
      </c>
      <c r="N108" s="537"/>
    </row>
    <row r="109" spans="1:14" ht="15.9" customHeight="1">
      <c r="A109" s="319" t="s">
        <v>1125</v>
      </c>
      <c r="B109" s="536">
        <v>46126</v>
      </c>
      <c r="C109" s="536">
        <v>46147</v>
      </c>
      <c r="D109" s="319" t="s">
        <v>1365</v>
      </c>
      <c r="E109" s="319" t="s">
        <v>1366</v>
      </c>
      <c r="F109" s="319" t="s">
        <v>1283</v>
      </c>
      <c r="G109" s="319" t="s">
        <v>1029</v>
      </c>
      <c r="H109" s="319" t="s">
        <v>1367</v>
      </c>
      <c r="I109" s="535">
        <v>1397</v>
      </c>
      <c r="J109" s="535">
        <v>665</v>
      </c>
      <c r="K109" s="535">
        <v>2062</v>
      </c>
      <c r="L109" s="535" t="s">
        <v>80</v>
      </c>
      <c r="M109" s="535" t="s">
        <v>993</v>
      </c>
      <c r="N109" s="537"/>
    </row>
    <row r="110" spans="1:14" ht="15.9" customHeight="1">
      <c r="A110" s="319" t="s">
        <v>1224</v>
      </c>
      <c r="B110" s="536">
        <v>46126</v>
      </c>
      <c r="C110" s="536">
        <v>46156</v>
      </c>
      <c r="D110" s="319" t="s">
        <v>1368</v>
      </c>
      <c r="E110" s="319" t="s">
        <v>1369</v>
      </c>
      <c r="F110" s="319" t="s">
        <v>1279</v>
      </c>
      <c r="G110" s="319" t="s">
        <v>1029</v>
      </c>
      <c r="H110" s="319" t="s">
        <v>1370</v>
      </c>
      <c r="I110" s="535">
        <v>1634.67</v>
      </c>
      <c r="J110" s="535">
        <v>855</v>
      </c>
      <c r="K110" s="535">
        <v>2489.67</v>
      </c>
      <c r="L110" s="535" t="s">
        <v>80</v>
      </c>
      <c r="M110" s="535" t="s">
        <v>1042</v>
      </c>
      <c r="N110" s="537"/>
    </row>
    <row r="111" spans="1:14" ht="15.9" customHeight="1">
      <c r="A111" s="319" t="s">
        <v>1102</v>
      </c>
      <c r="B111" s="536">
        <v>46126</v>
      </c>
      <c r="C111" s="536">
        <v>46147</v>
      </c>
      <c r="D111" s="319" t="s">
        <v>1371</v>
      </c>
      <c r="E111" s="319" t="s">
        <v>1372</v>
      </c>
      <c r="F111" s="319" t="s">
        <v>1100</v>
      </c>
      <c r="G111" s="319" t="s">
        <v>1029</v>
      </c>
      <c r="H111" s="319" t="s">
        <v>1373</v>
      </c>
      <c r="I111" s="535">
        <v>1867.95</v>
      </c>
      <c r="J111" s="535">
        <v>855</v>
      </c>
      <c r="K111" s="535">
        <v>2722.95</v>
      </c>
      <c r="L111" s="535" t="s">
        <v>78</v>
      </c>
      <c r="M111" s="535" t="s">
        <v>1042</v>
      </c>
      <c r="N111" s="537"/>
    </row>
    <row r="112" spans="1:14" ht="15.9" customHeight="1">
      <c r="A112" s="319" t="s">
        <v>1077</v>
      </c>
      <c r="B112" s="536">
        <v>46126</v>
      </c>
      <c r="C112" s="536">
        <v>46156</v>
      </c>
      <c r="D112" s="319" t="s">
        <v>1374</v>
      </c>
      <c r="E112" s="319" t="s">
        <v>1375</v>
      </c>
      <c r="F112" s="319" t="s">
        <v>1376</v>
      </c>
      <c r="G112" s="319" t="s">
        <v>1029</v>
      </c>
      <c r="H112" s="319" t="s">
        <v>1377</v>
      </c>
      <c r="I112" s="535">
        <v>1376.13</v>
      </c>
      <c r="J112" s="535">
        <v>760</v>
      </c>
      <c r="K112" s="535">
        <v>2136.13</v>
      </c>
      <c r="L112" s="535" t="s">
        <v>80</v>
      </c>
      <c r="M112" s="535" t="s">
        <v>993</v>
      </c>
      <c r="N112" s="537"/>
    </row>
    <row r="113" spans="1:14" ht="15.9" customHeight="1">
      <c r="A113" s="319" t="s">
        <v>1054</v>
      </c>
      <c r="B113" s="536">
        <v>46126</v>
      </c>
      <c r="C113" s="536">
        <v>46155</v>
      </c>
      <c r="D113" s="319" t="s">
        <v>1378</v>
      </c>
      <c r="E113" s="319" t="s">
        <v>1379</v>
      </c>
      <c r="F113" s="319" t="s">
        <v>1153</v>
      </c>
      <c r="G113" s="319" t="s">
        <v>1029</v>
      </c>
      <c r="H113" s="319" t="s">
        <v>1380</v>
      </c>
      <c r="I113" s="535">
        <v>1964.98</v>
      </c>
      <c r="J113" s="535">
        <v>855</v>
      </c>
      <c r="K113" s="535">
        <v>2819.98</v>
      </c>
      <c r="L113" s="535" t="s">
        <v>88</v>
      </c>
      <c r="M113" s="535" t="s">
        <v>1042</v>
      </c>
      <c r="N113" s="537"/>
    </row>
    <row r="114" spans="1:14" ht="15.9" customHeight="1">
      <c r="A114" s="319" t="s">
        <v>1054</v>
      </c>
      <c r="B114" s="536">
        <v>46126</v>
      </c>
      <c r="C114" s="536">
        <v>46153</v>
      </c>
      <c r="D114" s="319" t="s">
        <v>1381</v>
      </c>
      <c r="E114" s="319" t="s">
        <v>1382</v>
      </c>
      <c r="F114" s="319" t="s">
        <v>1085</v>
      </c>
      <c r="G114" s="319" t="s">
        <v>1029</v>
      </c>
      <c r="H114" s="319" t="s">
        <v>1383</v>
      </c>
      <c r="I114" s="535">
        <v>1897.01</v>
      </c>
      <c r="J114" s="535">
        <v>855</v>
      </c>
      <c r="K114" s="535">
        <v>2752.01</v>
      </c>
      <c r="L114" s="535" t="s">
        <v>78</v>
      </c>
      <c r="M114" s="535" t="s">
        <v>1042</v>
      </c>
      <c r="N114" s="537"/>
    </row>
    <row r="115" spans="1:14" ht="15.9" customHeight="1">
      <c r="A115" s="319" t="s">
        <v>1054</v>
      </c>
      <c r="B115" s="536">
        <v>46127</v>
      </c>
      <c r="C115" s="536">
        <v>46157</v>
      </c>
      <c r="D115" s="319" t="s">
        <v>1384</v>
      </c>
      <c r="E115" s="319" t="s">
        <v>1385</v>
      </c>
      <c r="F115" s="319" t="s">
        <v>1062</v>
      </c>
      <c r="G115" s="319" t="s">
        <v>1029</v>
      </c>
      <c r="H115" s="319" t="s">
        <v>1386</v>
      </c>
      <c r="I115" s="535">
        <v>1437.91</v>
      </c>
      <c r="J115" s="535">
        <v>900</v>
      </c>
      <c r="K115" s="535">
        <v>2337.91</v>
      </c>
      <c r="L115" s="535" t="s">
        <v>87</v>
      </c>
      <c r="M115" s="535" t="s">
        <v>993</v>
      </c>
      <c r="N115" s="537"/>
    </row>
    <row r="116" spans="1:14" ht="15.9" customHeight="1">
      <c r="A116" s="319" t="s">
        <v>1331</v>
      </c>
      <c r="B116" s="536">
        <v>46127</v>
      </c>
      <c r="C116" s="536">
        <v>46157</v>
      </c>
      <c r="D116" s="319" t="s">
        <v>1387</v>
      </c>
      <c r="E116" s="319" t="s">
        <v>1388</v>
      </c>
      <c r="F116" s="319" t="s">
        <v>1074</v>
      </c>
      <c r="G116" s="319" t="s">
        <v>1029</v>
      </c>
      <c r="H116" s="319" t="s">
        <v>1389</v>
      </c>
      <c r="I116" s="535">
        <v>1340.66</v>
      </c>
      <c r="J116" s="535">
        <v>665</v>
      </c>
      <c r="K116" s="535">
        <v>2005.66</v>
      </c>
      <c r="L116" s="535" t="s">
        <v>80</v>
      </c>
      <c r="M116" s="535" t="s">
        <v>993</v>
      </c>
      <c r="N116" s="537"/>
    </row>
    <row r="117" spans="1:14" ht="15.9" customHeight="1">
      <c r="A117" s="319" t="s">
        <v>1082</v>
      </c>
      <c r="B117" s="536">
        <v>46127</v>
      </c>
      <c r="C117" s="536">
        <v>46145</v>
      </c>
      <c r="D117" s="319" t="s">
        <v>1390</v>
      </c>
      <c r="E117" s="319" t="s">
        <v>1391</v>
      </c>
      <c r="F117" s="319" t="s">
        <v>1392</v>
      </c>
      <c r="G117" s="319" t="s">
        <v>1029</v>
      </c>
      <c r="H117" s="319" t="s">
        <v>1393</v>
      </c>
      <c r="I117" s="535">
        <v>912.62</v>
      </c>
      <c r="J117" s="535">
        <v>665</v>
      </c>
      <c r="K117" s="535">
        <v>1577.62</v>
      </c>
      <c r="L117" s="535" t="s">
        <v>80</v>
      </c>
      <c r="M117" s="535" t="s">
        <v>993</v>
      </c>
      <c r="N117" s="537"/>
    </row>
    <row r="118" spans="1:14" ht="15.9" customHeight="1">
      <c r="A118" s="319" t="s">
        <v>1077</v>
      </c>
      <c r="B118" s="536">
        <v>46127</v>
      </c>
      <c r="C118" s="536">
        <v>46157</v>
      </c>
      <c r="D118" s="319" t="s">
        <v>1394</v>
      </c>
      <c r="E118" s="319" t="s">
        <v>1395</v>
      </c>
      <c r="F118" s="319" t="s">
        <v>1396</v>
      </c>
      <c r="G118" s="319" t="s">
        <v>1029</v>
      </c>
      <c r="H118" s="319" t="s">
        <v>1397</v>
      </c>
      <c r="I118" s="535">
        <v>1056.83</v>
      </c>
      <c r="J118" s="535">
        <v>665</v>
      </c>
      <c r="K118" s="535">
        <v>1721.83</v>
      </c>
      <c r="L118" s="535" t="s">
        <v>80</v>
      </c>
      <c r="M118" s="535" t="s">
        <v>993</v>
      </c>
      <c r="N118" s="537"/>
    </row>
    <row r="119" spans="1:14" ht="15.9" customHeight="1">
      <c r="A119" s="319" t="s">
        <v>1077</v>
      </c>
      <c r="B119" s="536">
        <v>46127</v>
      </c>
      <c r="C119" s="536">
        <v>46144</v>
      </c>
      <c r="D119" s="319" t="s">
        <v>1398</v>
      </c>
      <c r="E119" s="319" t="s">
        <v>1399</v>
      </c>
      <c r="F119" s="319" t="s">
        <v>1400</v>
      </c>
      <c r="G119" s="319" t="s">
        <v>1029</v>
      </c>
      <c r="H119" s="319" t="s">
        <v>1401</v>
      </c>
      <c r="I119" s="535">
        <v>1659.17</v>
      </c>
      <c r="J119" s="535">
        <v>665</v>
      </c>
      <c r="K119" s="535">
        <v>2324.17</v>
      </c>
      <c r="L119" s="535" t="s">
        <v>80</v>
      </c>
      <c r="M119" s="535" t="s">
        <v>993</v>
      </c>
      <c r="N119" s="537"/>
    </row>
    <row r="120" spans="1:14" ht="15.9" customHeight="1">
      <c r="A120" s="319" t="s">
        <v>1025</v>
      </c>
      <c r="B120" s="536">
        <v>46127</v>
      </c>
      <c r="C120" s="536">
        <v>46152</v>
      </c>
      <c r="D120" s="319" t="s">
        <v>1402</v>
      </c>
      <c r="E120" s="319" t="s">
        <v>1403</v>
      </c>
      <c r="F120" s="319" t="s">
        <v>1404</v>
      </c>
      <c r="G120" s="319" t="s">
        <v>1029</v>
      </c>
      <c r="H120" s="319" t="s">
        <v>1405</v>
      </c>
      <c r="I120" s="535">
        <v>402.84</v>
      </c>
      <c r="J120" s="535">
        <v>665</v>
      </c>
      <c r="K120" s="535">
        <v>1067.8399999999999</v>
      </c>
      <c r="L120" s="535" t="s">
        <v>78</v>
      </c>
      <c r="M120" s="535" t="s">
        <v>993</v>
      </c>
      <c r="N120" s="537" t="s">
        <v>1118</v>
      </c>
    </row>
    <row r="121" spans="1:14" ht="15.9" customHeight="1">
      <c r="A121" s="319" t="s">
        <v>1102</v>
      </c>
      <c r="B121" s="536">
        <v>46127</v>
      </c>
      <c r="C121" s="536">
        <v>46146</v>
      </c>
      <c r="D121" s="319" t="s">
        <v>1406</v>
      </c>
      <c r="E121" s="319" t="s">
        <v>1407</v>
      </c>
      <c r="F121" s="319" t="s">
        <v>1252</v>
      </c>
      <c r="G121" s="319" t="s">
        <v>1029</v>
      </c>
      <c r="H121" s="319" t="s">
        <v>1408</v>
      </c>
      <c r="I121" s="535">
        <v>1295.8499999999999</v>
      </c>
      <c r="J121" s="535">
        <v>665</v>
      </c>
      <c r="K121" s="535">
        <v>1960.85</v>
      </c>
      <c r="L121" s="535" t="s">
        <v>79</v>
      </c>
      <c r="M121" s="535" t="s">
        <v>993</v>
      </c>
      <c r="N121" s="537"/>
    </row>
    <row r="122" spans="1:14" ht="15.9" customHeight="1">
      <c r="A122" s="319" t="s">
        <v>1054</v>
      </c>
      <c r="B122" s="536">
        <v>46128</v>
      </c>
      <c r="C122" s="536">
        <v>46143</v>
      </c>
      <c r="D122" s="319" t="s">
        <v>1409</v>
      </c>
      <c r="E122" s="319" t="s">
        <v>1410</v>
      </c>
      <c r="F122" s="319" t="s">
        <v>1108</v>
      </c>
      <c r="G122" s="319" t="s">
        <v>1029</v>
      </c>
      <c r="H122" s="319" t="s">
        <v>1411</v>
      </c>
      <c r="I122" s="535">
        <v>1437.97</v>
      </c>
      <c r="J122" s="535">
        <v>665</v>
      </c>
      <c r="K122" s="535">
        <v>2102.9699999999998</v>
      </c>
      <c r="L122" s="535" t="s">
        <v>88</v>
      </c>
      <c r="M122" s="535" t="s">
        <v>993</v>
      </c>
      <c r="N122" s="537"/>
    </row>
    <row r="123" spans="1:14" ht="15.9" customHeight="1">
      <c r="A123" s="319" t="s">
        <v>1025</v>
      </c>
      <c r="B123" s="536">
        <v>46128</v>
      </c>
      <c r="C123" s="536">
        <v>46158</v>
      </c>
      <c r="D123" s="319" t="s">
        <v>1412</v>
      </c>
      <c r="E123" s="319" t="s">
        <v>1413</v>
      </c>
      <c r="F123" s="319" t="s">
        <v>1149</v>
      </c>
      <c r="G123" s="319" t="s">
        <v>1029</v>
      </c>
      <c r="H123" s="319" t="s">
        <v>1414</v>
      </c>
      <c r="I123" s="535">
        <v>2001.93</v>
      </c>
      <c r="J123" s="535">
        <v>665</v>
      </c>
      <c r="K123" s="535">
        <v>2666.93</v>
      </c>
      <c r="L123" s="535" t="s">
        <v>88</v>
      </c>
      <c r="M123" s="535" t="s">
        <v>993</v>
      </c>
      <c r="N123" s="537"/>
    </row>
    <row r="124" spans="1:14" ht="15.9" customHeight="1">
      <c r="A124" s="319" t="s">
        <v>1054</v>
      </c>
      <c r="B124" s="536">
        <v>46128</v>
      </c>
      <c r="C124" s="536">
        <v>46157</v>
      </c>
      <c r="D124" s="319" t="s">
        <v>1415</v>
      </c>
      <c r="E124" s="319" t="s">
        <v>1416</v>
      </c>
      <c r="F124" s="319" t="s">
        <v>1157</v>
      </c>
      <c r="G124" s="319" t="s">
        <v>1029</v>
      </c>
      <c r="H124" s="319" t="s">
        <v>1417</v>
      </c>
      <c r="I124" s="535">
        <v>2219.3200000000002</v>
      </c>
      <c r="J124" s="535">
        <v>950</v>
      </c>
      <c r="K124" s="535">
        <v>3169.32</v>
      </c>
      <c r="L124" s="535" t="s">
        <v>87</v>
      </c>
      <c r="M124" s="535" t="s">
        <v>1042</v>
      </c>
      <c r="N124" s="537"/>
    </row>
    <row r="125" spans="1:14" ht="15.9" customHeight="1">
      <c r="A125" s="319" t="s">
        <v>1077</v>
      </c>
      <c r="B125" s="536">
        <v>46128</v>
      </c>
      <c r="C125" s="536">
        <v>46144</v>
      </c>
      <c r="D125" s="319" t="s">
        <v>1418</v>
      </c>
      <c r="E125" s="319" t="s">
        <v>1419</v>
      </c>
      <c r="F125" s="319" t="s">
        <v>1420</v>
      </c>
      <c r="G125" s="319" t="s">
        <v>1029</v>
      </c>
      <c r="H125" s="319" t="s">
        <v>1421</v>
      </c>
      <c r="I125" s="535">
        <v>1275.4000000000001</v>
      </c>
      <c r="J125" s="535">
        <v>665</v>
      </c>
      <c r="K125" s="535">
        <v>1940.4</v>
      </c>
      <c r="L125" s="535" t="s">
        <v>80</v>
      </c>
      <c r="M125" s="535" t="s">
        <v>993</v>
      </c>
      <c r="N125" s="537"/>
    </row>
    <row r="126" spans="1:14" ht="15.9" customHeight="1">
      <c r="A126" s="319" t="s">
        <v>1082</v>
      </c>
      <c r="B126" s="536">
        <v>46128</v>
      </c>
      <c r="C126" s="536">
        <v>46144</v>
      </c>
      <c r="D126" s="319" t="s">
        <v>1422</v>
      </c>
      <c r="E126" s="319" t="s">
        <v>1423</v>
      </c>
      <c r="F126" s="319" t="s">
        <v>1424</v>
      </c>
      <c r="G126" s="319" t="s">
        <v>1029</v>
      </c>
      <c r="H126" s="319" t="s">
        <v>41</v>
      </c>
      <c r="I126" s="535">
        <v>1390.51</v>
      </c>
      <c r="J126" s="535">
        <v>665</v>
      </c>
      <c r="K126" s="535">
        <v>2055.5100000000002</v>
      </c>
      <c r="L126" s="535" t="s">
        <v>80</v>
      </c>
      <c r="M126" s="535" t="s">
        <v>993</v>
      </c>
      <c r="N126" s="537"/>
    </row>
    <row r="127" spans="1:14" ht="15.9" customHeight="1">
      <c r="A127" s="319" t="s">
        <v>1130</v>
      </c>
      <c r="B127" s="536">
        <v>46128</v>
      </c>
      <c r="C127" s="536">
        <v>46154</v>
      </c>
      <c r="D127" s="319" t="s">
        <v>1425</v>
      </c>
      <c r="E127" s="319" t="s">
        <v>1426</v>
      </c>
      <c r="F127" s="319" t="s">
        <v>1427</v>
      </c>
      <c r="G127" s="319" t="s">
        <v>1029</v>
      </c>
      <c r="H127" s="319" t="s">
        <v>1428</v>
      </c>
      <c r="I127" s="535">
        <v>899.55</v>
      </c>
      <c r="J127" s="535">
        <v>665</v>
      </c>
      <c r="K127" s="535">
        <v>1564.55</v>
      </c>
      <c r="L127" s="535" t="s">
        <v>80</v>
      </c>
      <c r="M127" s="535" t="s">
        <v>993</v>
      </c>
      <c r="N127" s="537"/>
    </row>
    <row r="128" spans="1:14" ht="15.9" customHeight="1">
      <c r="A128" s="319" t="s">
        <v>1067</v>
      </c>
      <c r="B128" s="536">
        <v>46128</v>
      </c>
      <c r="C128" s="536">
        <v>46143</v>
      </c>
      <c r="D128" s="319" t="s">
        <v>1429</v>
      </c>
      <c r="E128" s="319" t="s">
        <v>1430</v>
      </c>
      <c r="F128" s="319" t="s">
        <v>1236</v>
      </c>
      <c r="G128" s="319" t="s">
        <v>1029</v>
      </c>
      <c r="H128" s="319" t="s">
        <v>1431</v>
      </c>
      <c r="I128" s="535">
        <v>347.8</v>
      </c>
      <c r="J128" s="535">
        <v>665</v>
      </c>
      <c r="K128" s="535">
        <v>1012.8</v>
      </c>
      <c r="L128" s="535" t="s">
        <v>80</v>
      </c>
      <c r="M128" s="535" t="s">
        <v>993</v>
      </c>
      <c r="N128" s="537"/>
    </row>
    <row r="129" spans="1:14" ht="15.9" customHeight="1">
      <c r="A129" s="319" t="s">
        <v>1054</v>
      </c>
      <c r="B129" s="536">
        <v>46128</v>
      </c>
      <c r="C129" s="536">
        <v>46158</v>
      </c>
      <c r="D129" s="319" t="s">
        <v>1432</v>
      </c>
      <c r="E129" s="319" t="s">
        <v>1433</v>
      </c>
      <c r="F129" s="319" t="s">
        <v>1434</v>
      </c>
      <c r="G129" s="319" t="s">
        <v>1029</v>
      </c>
      <c r="H129" s="319" t="s">
        <v>1435</v>
      </c>
      <c r="I129" s="535">
        <v>1346.24</v>
      </c>
      <c r="J129" s="535">
        <v>855</v>
      </c>
      <c r="K129" s="535">
        <v>2201.2399999999998</v>
      </c>
      <c r="L129" s="535" t="s">
        <v>78</v>
      </c>
      <c r="M129" s="535" t="s">
        <v>993</v>
      </c>
      <c r="N129" s="537"/>
    </row>
    <row r="130" spans="1:14" ht="15.9" customHeight="1">
      <c r="A130" s="319" t="s">
        <v>1102</v>
      </c>
      <c r="B130" s="536">
        <v>46128</v>
      </c>
      <c r="C130" s="536">
        <v>46147</v>
      </c>
      <c r="D130" s="319" t="s">
        <v>1436</v>
      </c>
      <c r="E130" s="319" t="s">
        <v>1437</v>
      </c>
      <c r="F130" s="319" t="s">
        <v>1157</v>
      </c>
      <c r="G130" s="319" t="s">
        <v>1029</v>
      </c>
      <c r="H130" s="319" t="s">
        <v>1438</v>
      </c>
      <c r="I130" s="535">
        <v>1538.97</v>
      </c>
      <c r="J130" s="535">
        <v>855</v>
      </c>
      <c r="K130" s="535">
        <v>2393.9699999999998</v>
      </c>
      <c r="L130" s="535" t="s">
        <v>78</v>
      </c>
      <c r="M130" s="535" t="s">
        <v>1042</v>
      </c>
      <c r="N130" s="537"/>
    </row>
    <row r="131" spans="1:14" ht="15.9" customHeight="1">
      <c r="A131" s="319" t="s">
        <v>1054</v>
      </c>
      <c r="B131" s="536">
        <v>46129</v>
      </c>
      <c r="C131" s="536">
        <v>46145</v>
      </c>
      <c r="D131" s="319" t="s">
        <v>1439</v>
      </c>
      <c r="E131" s="319" t="s">
        <v>1440</v>
      </c>
      <c r="F131" s="319" t="s">
        <v>1400</v>
      </c>
      <c r="G131" s="319" t="s">
        <v>1029</v>
      </c>
      <c r="H131" s="319" t="s">
        <v>1441</v>
      </c>
      <c r="I131" s="535">
        <v>1791.8</v>
      </c>
      <c r="J131" s="535">
        <v>950</v>
      </c>
      <c r="K131" s="535">
        <v>2741.8</v>
      </c>
      <c r="L131" s="535" t="s">
        <v>88</v>
      </c>
      <c r="M131" s="535" t="s">
        <v>993</v>
      </c>
      <c r="N131" s="537"/>
    </row>
    <row r="132" spans="1:14" ht="15.9" customHeight="1">
      <c r="A132" s="319" t="s">
        <v>1054</v>
      </c>
      <c r="B132" s="536">
        <v>46129</v>
      </c>
      <c r="C132" s="536">
        <v>46147</v>
      </c>
      <c r="D132" s="319" t="s">
        <v>1442</v>
      </c>
      <c r="E132" s="319" t="s">
        <v>1443</v>
      </c>
      <c r="F132" s="319" t="s">
        <v>1085</v>
      </c>
      <c r="G132" s="319" t="s">
        <v>1029</v>
      </c>
      <c r="H132" s="319" t="s">
        <v>1444</v>
      </c>
      <c r="I132" s="535">
        <v>1872.34</v>
      </c>
      <c r="J132" s="535">
        <v>855</v>
      </c>
      <c r="K132" s="535">
        <v>2727.34</v>
      </c>
      <c r="L132" s="535" t="s">
        <v>88</v>
      </c>
      <c r="M132" s="535" t="s">
        <v>1042</v>
      </c>
      <c r="N132" s="537"/>
    </row>
    <row r="133" spans="1:14" ht="15.9" customHeight="1">
      <c r="A133" s="319" t="s">
        <v>1054</v>
      </c>
      <c r="B133" s="536">
        <v>46129</v>
      </c>
      <c r="C133" s="536">
        <v>46146</v>
      </c>
      <c r="D133" s="319" t="s">
        <v>1445</v>
      </c>
      <c r="E133" s="319" t="s">
        <v>1446</v>
      </c>
      <c r="F133" s="319" t="s">
        <v>1279</v>
      </c>
      <c r="G133" s="319" t="s">
        <v>1029</v>
      </c>
      <c r="H133" s="319" t="s">
        <v>1447</v>
      </c>
      <c r="I133" s="535">
        <v>1340.44</v>
      </c>
      <c r="J133" s="535">
        <v>665</v>
      </c>
      <c r="K133" s="535">
        <v>2005.44</v>
      </c>
      <c r="L133" s="535" t="s">
        <v>87</v>
      </c>
      <c r="M133" s="535" t="s">
        <v>993</v>
      </c>
      <c r="N133" s="537"/>
    </row>
    <row r="134" spans="1:14" ht="15.9" customHeight="1">
      <c r="A134" s="319" t="s">
        <v>1054</v>
      </c>
      <c r="B134" s="536">
        <v>46129</v>
      </c>
      <c r="C134" s="536">
        <v>46146</v>
      </c>
      <c r="D134" s="319" t="s">
        <v>1448</v>
      </c>
      <c r="E134" s="319" t="s">
        <v>1449</v>
      </c>
      <c r="F134" s="319" t="s">
        <v>1133</v>
      </c>
      <c r="G134" s="319" t="s">
        <v>1029</v>
      </c>
      <c r="H134" s="319" t="s">
        <v>1450</v>
      </c>
      <c r="I134" s="535">
        <v>487.83</v>
      </c>
      <c r="J134" s="535">
        <v>760</v>
      </c>
      <c r="K134" s="535">
        <v>1247.83</v>
      </c>
      <c r="L134" s="535" t="s">
        <v>87</v>
      </c>
      <c r="M134" s="535" t="s">
        <v>993</v>
      </c>
      <c r="N134" s="537"/>
    </row>
    <row r="135" spans="1:14" ht="15.9" customHeight="1">
      <c r="A135" s="319" t="s">
        <v>1082</v>
      </c>
      <c r="B135" s="536">
        <v>46129</v>
      </c>
      <c r="C135" s="536">
        <v>46152</v>
      </c>
      <c r="D135" s="319" t="s">
        <v>1451</v>
      </c>
      <c r="E135" s="319" t="s">
        <v>1452</v>
      </c>
      <c r="F135" s="319" t="s">
        <v>1070</v>
      </c>
      <c r="G135" s="319" t="s">
        <v>1029</v>
      </c>
      <c r="H135" s="319" t="s">
        <v>1453</v>
      </c>
      <c r="I135" s="535">
        <v>1359.26</v>
      </c>
      <c r="J135" s="535">
        <v>760</v>
      </c>
      <c r="K135" s="535">
        <v>2119.2600000000002</v>
      </c>
      <c r="L135" s="535" t="s">
        <v>87</v>
      </c>
      <c r="M135" s="535" t="s">
        <v>993</v>
      </c>
      <c r="N135" s="537"/>
    </row>
    <row r="136" spans="1:14" ht="15.9" customHeight="1">
      <c r="A136" s="319" t="s">
        <v>1054</v>
      </c>
      <c r="B136" s="536">
        <v>46129</v>
      </c>
      <c r="C136" s="536">
        <v>46158</v>
      </c>
      <c r="D136" s="319" t="s">
        <v>1454</v>
      </c>
      <c r="E136" s="319" t="s">
        <v>1455</v>
      </c>
      <c r="F136" s="319" t="s">
        <v>1108</v>
      </c>
      <c r="G136" s="319" t="s">
        <v>1029</v>
      </c>
      <c r="H136" s="319" t="s">
        <v>1456</v>
      </c>
      <c r="I136" s="535">
        <v>1500.11</v>
      </c>
      <c r="J136" s="535">
        <v>665</v>
      </c>
      <c r="K136" s="535">
        <v>2165.11</v>
      </c>
      <c r="L136" s="535" t="s">
        <v>88</v>
      </c>
      <c r="M136" s="535" t="s">
        <v>993</v>
      </c>
      <c r="N136" s="537"/>
    </row>
    <row r="137" spans="1:14" ht="15.9" customHeight="1">
      <c r="A137" s="319" t="s">
        <v>1130</v>
      </c>
      <c r="B137" s="536">
        <v>46129</v>
      </c>
      <c r="C137" s="536">
        <v>46158</v>
      </c>
      <c r="D137" s="319" t="s">
        <v>1457</v>
      </c>
      <c r="E137" s="319" t="s">
        <v>1458</v>
      </c>
      <c r="F137" s="319" t="s">
        <v>1459</v>
      </c>
      <c r="G137" s="319" t="s">
        <v>1029</v>
      </c>
      <c r="H137" s="319" t="s">
        <v>1460</v>
      </c>
      <c r="I137" s="535">
        <v>759.54</v>
      </c>
      <c r="J137" s="535">
        <v>665</v>
      </c>
      <c r="K137" s="535">
        <v>1424.54</v>
      </c>
      <c r="L137" s="535" t="s">
        <v>80</v>
      </c>
      <c r="M137" s="535" t="s">
        <v>993</v>
      </c>
      <c r="N137" s="537"/>
    </row>
    <row r="138" spans="1:14" ht="15.9" customHeight="1">
      <c r="A138" s="319" t="s">
        <v>1054</v>
      </c>
      <c r="B138" s="536">
        <v>46129</v>
      </c>
      <c r="C138" s="536">
        <v>46148</v>
      </c>
      <c r="D138" s="319" t="s">
        <v>1461</v>
      </c>
      <c r="E138" s="319" t="s">
        <v>1462</v>
      </c>
      <c r="F138" s="319" t="s">
        <v>1463</v>
      </c>
      <c r="G138" s="319" t="s">
        <v>1029</v>
      </c>
      <c r="H138" s="319" t="s">
        <v>1464</v>
      </c>
      <c r="I138" s="535">
        <v>1134.54</v>
      </c>
      <c r="J138" s="535">
        <v>665</v>
      </c>
      <c r="K138" s="535">
        <v>1799.54</v>
      </c>
      <c r="L138" s="535" t="s">
        <v>80</v>
      </c>
      <c r="M138" s="535" t="s">
        <v>993</v>
      </c>
      <c r="N138" s="537"/>
    </row>
    <row r="139" spans="1:14" ht="15.9" customHeight="1">
      <c r="A139" s="319" t="s">
        <v>1054</v>
      </c>
      <c r="B139" s="536">
        <v>46129</v>
      </c>
      <c r="C139" s="536">
        <v>46150</v>
      </c>
      <c r="D139" s="319" t="s">
        <v>1465</v>
      </c>
      <c r="E139" s="319" t="s">
        <v>1466</v>
      </c>
      <c r="F139" s="319" t="s">
        <v>1467</v>
      </c>
      <c r="G139" s="319" t="s">
        <v>1029</v>
      </c>
      <c r="H139" s="319" t="s">
        <v>1468</v>
      </c>
      <c r="I139" s="535">
        <v>1560.67</v>
      </c>
      <c r="J139" s="535">
        <v>665</v>
      </c>
      <c r="K139" s="535">
        <v>2225.67</v>
      </c>
      <c r="L139" s="535" t="s">
        <v>80</v>
      </c>
      <c r="M139" s="535" t="s">
        <v>993</v>
      </c>
      <c r="N139" s="537"/>
    </row>
    <row r="140" spans="1:14" ht="15.9" customHeight="1">
      <c r="A140" s="319" t="s">
        <v>1054</v>
      </c>
      <c r="B140" s="536">
        <v>46129</v>
      </c>
      <c r="C140" s="536">
        <v>46144</v>
      </c>
      <c r="D140" s="319" t="s">
        <v>1469</v>
      </c>
      <c r="E140" s="319" t="s">
        <v>1470</v>
      </c>
      <c r="F140" s="319" t="s">
        <v>1092</v>
      </c>
      <c r="G140" s="319" t="s">
        <v>1029</v>
      </c>
      <c r="H140" s="319" t="s">
        <v>1471</v>
      </c>
      <c r="I140" s="535">
        <v>2008.62</v>
      </c>
      <c r="J140" s="535">
        <v>855</v>
      </c>
      <c r="K140" s="535">
        <v>2863.62</v>
      </c>
      <c r="L140" s="535" t="s">
        <v>80</v>
      </c>
      <c r="M140" s="535" t="s">
        <v>1042</v>
      </c>
      <c r="N140" s="537"/>
    </row>
    <row r="141" spans="1:14" ht="15.9" customHeight="1">
      <c r="A141" s="319" t="s">
        <v>1130</v>
      </c>
      <c r="B141" s="536">
        <v>46129</v>
      </c>
      <c r="C141" s="536">
        <v>46151</v>
      </c>
      <c r="D141" s="319" t="s">
        <v>1472</v>
      </c>
      <c r="E141" s="319" t="s">
        <v>1473</v>
      </c>
      <c r="F141" s="319" t="s">
        <v>1474</v>
      </c>
      <c r="G141" s="319" t="s">
        <v>1029</v>
      </c>
      <c r="H141" s="319" t="s">
        <v>1475</v>
      </c>
      <c r="I141" s="535">
        <v>1048.23</v>
      </c>
      <c r="J141" s="535">
        <v>770</v>
      </c>
      <c r="K141" s="535">
        <v>1818.23</v>
      </c>
      <c r="L141" s="535" t="s">
        <v>80</v>
      </c>
      <c r="M141" s="535" t="s">
        <v>993</v>
      </c>
      <c r="N141" s="537"/>
    </row>
    <row r="142" spans="1:14" ht="15.9" customHeight="1">
      <c r="A142" s="319" t="s">
        <v>1054</v>
      </c>
      <c r="B142" s="536">
        <v>46129</v>
      </c>
      <c r="C142" s="536">
        <v>46149</v>
      </c>
      <c r="D142" s="319" t="s">
        <v>1476</v>
      </c>
      <c r="E142" s="319" t="s">
        <v>1477</v>
      </c>
      <c r="F142" s="319" t="s">
        <v>1325</v>
      </c>
      <c r="G142" s="319" t="s">
        <v>1029</v>
      </c>
      <c r="H142" s="319" t="s">
        <v>1478</v>
      </c>
      <c r="I142" s="535">
        <v>3321.31</v>
      </c>
      <c r="J142" s="535">
        <v>1045</v>
      </c>
      <c r="K142" s="535">
        <v>4366.3100000000004</v>
      </c>
      <c r="L142" s="535" t="s">
        <v>80</v>
      </c>
      <c r="M142" s="535" t="s">
        <v>1042</v>
      </c>
      <c r="N142" s="537"/>
    </row>
    <row r="143" spans="1:14" ht="15.9" customHeight="1">
      <c r="A143" s="319" t="s">
        <v>1082</v>
      </c>
      <c r="B143" s="536">
        <v>46129</v>
      </c>
      <c r="C143" s="536">
        <v>46159</v>
      </c>
      <c r="D143" s="319" t="s">
        <v>1479</v>
      </c>
      <c r="E143" s="319" t="s">
        <v>1480</v>
      </c>
      <c r="F143" s="319" t="s">
        <v>1481</v>
      </c>
      <c r="G143" s="319" t="s">
        <v>1029</v>
      </c>
      <c r="H143" s="319" t="s">
        <v>1482</v>
      </c>
      <c r="I143" s="535">
        <v>1159.42</v>
      </c>
      <c r="J143" s="535">
        <v>665</v>
      </c>
      <c r="K143" s="535">
        <v>1824.42</v>
      </c>
      <c r="L143" s="535" t="s">
        <v>80</v>
      </c>
      <c r="M143" s="535" t="s">
        <v>993</v>
      </c>
      <c r="N143" s="537"/>
    </row>
    <row r="144" spans="1:14" ht="15.9" customHeight="1">
      <c r="A144" s="319" t="s">
        <v>1130</v>
      </c>
      <c r="B144" s="536">
        <v>46129</v>
      </c>
      <c r="C144" s="536">
        <v>46152</v>
      </c>
      <c r="D144" s="319" t="s">
        <v>1483</v>
      </c>
      <c r="E144" s="319" t="s">
        <v>1484</v>
      </c>
      <c r="F144" s="319" t="s">
        <v>1485</v>
      </c>
      <c r="G144" s="319" t="s">
        <v>1029</v>
      </c>
      <c r="H144" s="319" t="s">
        <v>1486</v>
      </c>
      <c r="I144" s="535">
        <v>1243.9100000000001</v>
      </c>
      <c r="J144" s="535">
        <v>665</v>
      </c>
      <c r="K144" s="535">
        <v>1908.91</v>
      </c>
      <c r="L144" s="535" t="s">
        <v>80</v>
      </c>
      <c r="M144" s="535" t="s">
        <v>993</v>
      </c>
      <c r="N144" s="537"/>
    </row>
    <row r="145" spans="1:14" ht="15.9" customHeight="1">
      <c r="A145" s="319" t="s">
        <v>1125</v>
      </c>
      <c r="B145" s="536">
        <v>46129</v>
      </c>
      <c r="C145" s="536">
        <v>46158</v>
      </c>
      <c r="D145" s="319" t="s">
        <v>1487</v>
      </c>
      <c r="E145" s="319" t="s">
        <v>1488</v>
      </c>
      <c r="F145" s="319" t="s">
        <v>1489</v>
      </c>
      <c r="G145" s="319" t="s">
        <v>1029</v>
      </c>
      <c r="H145" s="319" t="s">
        <v>1490</v>
      </c>
      <c r="I145" s="535">
        <v>1569.37</v>
      </c>
      <c r="J145" s="535">
        <v>665</v>
      </c>
      <c r="K145" s="535">
        <v>2234.37</v>
      </c>
      <c r="L145" s="535" t="s">
        <v>78</v>
      </c>
      <c r="M145" s="535" t="s">
        <v>993</v>
      </c>
      <c r="N145" s="537"/>
    </row>
    <row r="146" spans="1:14" ht="15.9" customHeight="1">
      <c r="A146" s="319" t="s">
        <v>1054</v>
      </c>
      <c r="B146" s="536">
        <v>46129</v>
      </c>
      <c r="C146" s="536">
        <v>46144</v>
      </c>
      <c r="D146" s="319" t="s">
        <v>1491</v>
      </c>
      <c r="E146" s="319" t="s">
        <v>1492</v>
      </c>
      <c r="F146" s="319" t="s">
        <v>1057</v>
      </c>
      <c r="G146" s="319" t="s">
        <v>1029</v>
      </c>
      <c r="H146" s="319" t="s">
        <v>1493</v>
      </c>
      <c r="I146" s="535">
        <v>2007.57</v>
      </c>
      <c r="J146" s="535">
        <v>760</v>
      </c>
      <c r="K146" s="535">
        <v>2767.57</v>
      </c>
      <c r="L146" s="535" t="s">
        <v>78</v>
      </c>
      <c r="M146" s="535" t="s">
        <v>993</v>
      </c>
      <c r="N146" s="537"/>
    </row>
    <row r="147" spans="1:14" ht="15.9" customHeight="1">
      <c r="A147" s="319" t="s">
        <v>1054</v>
      </c>
      <c r="B147" s="536">
        <v>46129</v>
      </c>
      <c r="C147" s="536">
        <v>46144</v>
      </c>
      <c r="D147" s="319" t="s">
        <v>1494</v>
      </c>
      <c r="E147" s="319" t="s">
        <v>1495</v>
      </c>
      <c r="F147" s="319" t="s">
        <v>1108</v>
      </c>
      <c r="G147" s="319" t="s">
        <v>1029</v>
      </c>
      <c r="H147" s="319" t="s">
        <v>1496</v>
      </c>
      <c r="I147" s="535">
        <v>1530.18</v>
      </c>
      <c r="J147" s="535">
        <v>665</v>
      </c>
      <c r="K147" s="535">
        <v>2195.1799999999998</v>
      </c>
      <c r="L147" s="535" t="s">
        <v>79</v>
      </c>
      <c r="M147" s="535" t="s">
        <v>993</v>
      </c>
      <c r="N147" s="537"/>
    </row>
    <row r="148" spans="1:14" ht="15.9" customHeight="1">
      <c r="A148" s="319" t="s">
        <v>1125</v>
      </c>
      <c r="B148" s="536">
        <v>46129</v>
      </c>
      <c r="C148" s="536">
        <v>46148</v>
      </c>
      <c r="D148" s="319" t="s">
        <v>1497</v>
      </c>
      <c r="E148" s="319" t="s">
        <v>1498</v>
      </c>
      <c r="F148" s="319" t="s">
        <v>1057</v>
      </c>
      <c r="G148" s="319" t="s">
        <v>1029</v>
      </c>
      <c r="H148" s="319" t="s">
        <v>1499</v>
      </c>
      <c r="I148" s="535">
        <v>1612.74</v>
      </c>
      <c r="J148" s="535">
        <v>665</v>
      </c>
      <c r="K148" s="535">
        <v>2277.7399999999998</v>
      </c>
      <c r="L148" s="535" t="s">
        <v>87</v>
      </c>
      <c r="M148" s="535" t="s">
        <v>993</v>
      </c>
      <c r="N148" s="537"/>
    </row>
    <row r="149" spans="1:14" ht="15.9" customHeight="1">
      <c r="A149" s="319" t="s">
        <v>1054</v>
      </c>
      <c r="B149" s="536">
        <v>46130</v>
      </c>
      <c r="C149" s="536">
        <v>46160</v>
      </c>
      <c r="D149" s="319" t="s">
        <v>1500</v>
      </c>
      <c r="E149" s="319" t="s">
        <v>1501</v>
      </c>
      <c r="F149" s="319" t="s">
        <v>1153</v>
      </c>
      <c r="G149" s="319" t="s">
        <v>1029</v>
      </c>
      <c r="H149" s="319" t="s">
        <v>1502</v>
      </c>
      <c r="I149" s="535">
        <v>2205.85</v>
      </c>
      <c r="J149" s="535">
        <v>855</v>
      </c>
      <c r="K149" s="535">
        <v>3060.85</v>
      </c>
      <c r="L149" s="535" t="s">
        <v>79</v>
      </c>
      <c r="M149" s="535" t="s">
        <v>1042</v>
      </c>
      <c r="N149" s="537"/>
    </row>
    <row r="150" spans="1:14" ht="15.9" customHeight="1">
      <c r="A150" s="319" t="s">
        <v>1102</v>
      </c>
      <c r="B150" s="536">
        <v>46130</v>
      </c>
      <c r="C150" s="536">
        <v>46158</v>
      </c>
      <c r="D150" s="319" t="s">
        <v>1503</v>
      </c>
      <c r="E150" s="319" t="s">
        <v>1504</v>
      </c>
      <c r="F150" s="319" t="s">
        <v>1149</v>
      </c>
      <c r="G150" s="319" t="s">
        <v>1029</v>
      </c>
      <c r="H150" s="319" t="s">
        <v>1505</v>
      </c>
      <c r="I150" s="535">
        <v>2241.64</v>
      </c>
      <c r="J150" s="535">
        <v>950</v>
      </c>
      <c r="K150" s="535">
        <v>3191.64</v>
      </c>
      <c r="L150" s="535" t="s">
        <v>79</v>
      </c>
      <c r="M150" s="535" t="s">
        <v>994</v>
      </c>
      <c r="N150" s="537"/>
    </row>
    <row r="151" spans="1:14" ht="15.9" customHeight="1">
      <c r="A151" s="319" t="s">
        <v>1054</v>
      </c>
      <c r="B151" s="536">
        <v>46130</v>
      </c>
      <c r="C151" s="536">
        <v>46160</v>
      </c>
      <c r="D151" s="319" t="s">
        <v>1506</v>
      </c>
      <c r="E151" s="319" t="s">
        <v>1507</v>
      </c>
      <c r="F151" s="319" t="s">
        <v>1057</v>
      </c>
      <c r="G151" s="319" t="s">
        <v>1029</v>
      </c>
      <c r="H151" s="319" t="s">
        <v>1508</v>
      </c>
      <c r="I151" s="535">
        <v>2920.36</v>
      </c>
      <c r="J151" s="535">
        <v>855</v>
      </c>
      <c r="K151" s="535">
        <v>3775.36</v>
      </c>
      <c r="L151" s="535" t="s">
        <v>88</v>
      </c>
      <c r="M151" s="535" t="s">
        <v>993</v>
      </c>
      <c r="N151" s="537"/>
    </row>
    <row r="152" spans="1:14" ht="15.9" customHeight="1">
      <c r="A152" s="319" t="s">
        <v>1130</v>
      </c>
      <c r="B152" s="536">
        <v>46130</v>
      </c>
      <c r="C152" s="536">
        <v>46157</v>
      </c>
      <c r="D152" s="319" t="s">
        <v>1509</v>
      </c>
      <c r="E152" s="319" t="s">
        <v>1510</v>
      </c>
      <c r="F152" s="319" t="s">
        <v>1396</v>
      </c>
      <c r="G152" s="319" t="s">
        <v>1029</v>
      </c>
      <c r="H152" s="319" t="s">
        <v>1511</v>
      </c>
      <c r="I152" s="535">
        <v>677.82</v>
      </c>
      <c r="J152" s="535">
        <v>855</v>
      </c>
      <c r="K152" s="535">
        <v>1532.82</v>
      </c>
      <c r="L152" s="535" t="s">
        <v>80</v>
      </c>
      <c r="M152" s="535" t="s">
        <v>993</v>
      </c>
      <c r="N152" s="537"/>
    </row>
    <row r="153" spans="1:14" ht="15.9" customHeight="1">
      <c r="A153" s="319" t="s">
        <v>1054</v>
      </c>
      <c r="B153" s="536">
        <v>46127</v>
      </c>
      <c r="C153" s="536">
        <v>46155</v>
      </c>
      <c r="D153" s="319" t="s">
        <v>1512</v>
      </c>
      <c r="E153" s="319" t="s">
        <v>1513</v>
      </c>
      <c r="F153" s="319" t="s">
        <v>1514</v>
      </c>
      <c r="G153" s="319" t="s">
        <v>1029</v>
      </c>
      <c r="H153" s="319" t="s">
        <v>1515</v>
      </c>
      <c r="I153" s="535">
        <v>1026.3</v>
      </c>
      <c r="J153" s="535">
        <v>665</v>
      </c>
      <c r="K153" s="535">
        <v>1691.3</v>
      </c>
      <c r="L153" s="535" t="s">
        <v>88</v>
      </c>
      <c r="M153" s="535" t="s">
        <v>993</v>
      </c>
      <c r="N153" s="537"/>
    </row>
    <row r="154" spans="1:14" ht="15.9" customHeight="1">
      <c r="A154" s="319" t="s">
        <v>1025</v>
      </c>
      <c r="B154" s="536">
        <v>46132</v>
      </c>
      <c r="C154" s="536">
        <v>46152</v>
      </c>
      <c r="D154" s="319" t="s">
        <v>1516</v>
      </c>
      <c r="E154" s="319" t="s">
        <v>1517</v>
      </c>
      <c r="F154" s="319" t="s">
        <v>1100</v>
      </c>
      <c r="G154" s="319" t="s">
        <v>1029</v>
      </c>
      <c r="H154" s="319" t="s">
        <v>1518</v>
      </c>
      <c r="I154" s="535">
        <v>2144.17</v>
      </c>
      <c r="J154" s="535">
        <v>950</v>
      </c>
      <c r="K154" s="535">
        <v>3094.17</v>
      </c>
      <c r="L154" s="535" t="s">
        <v>79</v>
      </c>
      <c r="M154" s="535" t="s">
        <v>993</v>
      </c>
      <c r="N154" s="537" t="s">
        <v>1118</v>
      </c>
    </row>
    <row r="155" spans="1:14" ht="15.9" customHeight="1">
      <c r="A155" s="319" t="s">
        <v>1054</v>
      </c>
      <c r="B155" s="536">
        <v>46132</v>
      </c>
      <c r="C155" s="536">
        <v>46152</v>
      </c>
      <c r="D155" s="319" t="s">
        <v>1519</v>
      </c>
      <c r="E155" s="319" t="s">
        <v>1520</v>
      </c>
      <c r="F155" s="319" t="s">
        <v>1307</v>
      </c>
      <c r="G155" s="319" t="s">
        <v>1029</v>
      </c>
      <c r="H155" s="319" t="s">
        <v>1521</v>
      </c>
      <c r="I155" s="535">
        <v>1616.22</v>
      </c>
      <c r="J155" s="535">
        <v>950</v>
      </c>
      <c r="K155" s="535">
        <v>2566.2199999999998</v>
      </c>
      <c r="L155" s="535" t="s">
        <v>79</v>
      </c>
      <c r="M155" s="535" t="s">
        <v>993</v>
      </c>
      <c r="N155" s="537"/>
    </row>
    <row r="156" spans="1:14" ht="15.9" customHeight="1">
      <c r="A156" s="319" t="s">
        <v>1054</v>
      </c>
      <c r="B156" s="536">
        <v>46132</v>
      </c>
      <c r="C156" s="536">
        <v>46151</v>
      </c>
      <c r="D156" s="319" t="s">
        <v>1522</v>
      </c>
      <c r="E156" s="319" t="s">
        <v>1523</v>
      </c>
      <c r="F156" s="319" t="s">
        <v>1133</v>
      </c>
      <c r="G156" s="319" t="s">
        <v>1029</v>
      </c>
      <c r="H156" s="319" t="s">
        <v>1524</v>
      </c>
      <c r="I156" s="535">
        <v>1369.45</v>
      </c>
      <c r="J156" s="535">
        <v>760</v>
      </c>
      <c r="K156" s="535">
        <v>2129.4499999999998</v>
      </c>
      <c r="L156" s="535" t="s">
        <v>87</v>
      </c>
      <c r="M156" s="535" t="s">
        <v>993</v>
      </c>
      <c r="N156" s="537"/>
    </row>
    <row r="157" spans="1:14" ht="15.9" customHeight="1">
      <c r="A157" s="319" t="s">
        <v>1125</v>
      </c>
      <c r="B157" s="536">
        <v>46132</v>
      </c>
      <c r="C157" s="536">
        <v>46150</v>
      </c>
      <c r="D157" s="319" t="s">
        <v>1525</v>
      </c>
      <c r="E157" s="319" t="s">
        <v>1526</v>
      </c>
      <c r="F157" s="319" t="s">
        <v>1189</v>
      </c>
      <c r="G157" s="319" t="s">
        <v>1029</v>
      </c>
      <c r="H157" s="319" t="s">
        <v>1527</v>
      </c>
      <c r="I157" s="535">
        <v>1264.6600000000001</v>
      </c>
      <c r="J157" s="535">
        <v>665</v>
      </c>
      <c r="K157" s="535">
        <v>1929.66</v>
      </c>
      <c r="L157" s="535" t="s">
        <v>79</v>
      </c>
      <c r="M157" s="535" t="s">
        <v>993</v>
      </c>
      <c r="N157" s="537"/>
    </row>
    <row r="158" spans="1:14" ht="15.9" customHeight="1">
      <c r="A158" s="319" t="s">
        <v>1054</v>
      </c>
      <c r="B158" s="536">
        <v>46132</v>
      </c>
      <c r="C158" s="536">
        <v>46153</v>
      </c>
      <c r="D158" s="319" t="s">
        <v>1528</v>
      </c>
      <c r="E158" s="319" t="s">
        <v>1529</v>
      </c>
      <c r="F158" s="319" t="s">
        <v>1396</v>
      </c>
      <c r="G158" s="319" t="s">
        <v>1029</v>
      </c>
      <c r="H158" s="319" t="s">
        <v>1530</v>
      </c>
      <c r="I158" s="535">
        <v>1134.54</v>
      </c>
      <c r="J158" s="535">
        <v>665</v>
      </c>
      <c r="K158" s="535">
        <v>1799.54</v>
      </c>
      <c r="L158" s="535" t="s">
        <v>78</v>
      </c>
      <c r="M158" s="535" t="s">
        <v>993</v>
      </c>
      <c r="N158" s="537"/>
    </row>
    <row r="159" spans="1:14" ht="15.9" customHeight="1">
      <c r="A159" s="319" t="s">
        <v>1054</v>
      </c>
      <c r="B159" s="536">
        <v>46132</v>
      </c>
      <c r="C159" s="536">
        <v>46145</v>
      </c>
      <c r="D159" s="319" t="s">
        <v>1531</v>
      </c>
      <c r="E159" s="319" t="s">
        <v>1532</v>
      </c>
      <c r="F159" s="319" t="s">
        <v>1533</v>
      </c>
      <c r="G159" s="319" t="s">
        <v>1029</v>
      </c>
      <c r="H159" s="319" t="s">
        <v>1534</v>
      </c>
      <c r="I159" s="535">
        <v>1096</v>
      </c>
      <c r="J159" s="535">
        <v>665</v>
      </c>
      <c r="K159" s="535">
        <v>1761</v>
      </c>
      <c r="L159" s="535" t="s">
        <v>78</v>
      </c>
      <c r="M159" s="535" t="s">
        <v>993</v>
      </c>
      <c r="N159" s="537"/>
    </row>
    <row r="160" spans="1:14" ht="15.9" customHeight="1">
      <c r="A160" s="319" t="s">
        <v>1054</v>
      </c>
      <c r="B160" s="536">
        <v>46132</v>
      </c>
      <c r="C160" s="536">
        <v>46148</v>
      </c>
      <c r="D160" s="319" t="s">
        <v>1535</v>
      </c>
      <c r="E160" s="319" t="s">
        <v>1536</v>
      </c>
      <c r="F160" s="319" t="s">
        <v>1315</v>
      </c>
      <c r="G160" s="319" t="s">
        <v>1029</v>
      </c>
      <c r="H160" s="319" t="s">
        <v>1537</v>
      </c>
      <c r="I160" s="535">
        <v>1149.22</v>
      </c>
      <c r="J160" s="535">
        <v>665</v>
      </c>
      <c r="K160" s="535">
        <v>1814.22</v>
      </c>
      <c r="L160" s="535" t="s">
        <v>78</v>
      </c>
      <c r="M160" s="535" t="s">
        <v>993</v>
      </c>
      <c r="N160" s="537"/>
    </row>
    <row r="161" spans="1:14" ht="15.9" customHeight="1">
      <c r="A161" s="319" t="s">
        <v>1110</v>
      </c>
      <c r="B161" s="536">
        <v>46132</v>
      </c>
      <c r="C161" s="536">
        <v>46147</v>
      </c>
      <c r="D161" s="319" t="s">
        <v>1538</v>
      </c>
      <c r="E161" s="319" t="s">
        <v>1539</v>
      </c>
      <c r="F161" s="319" t="s">
        <v>1057</v>
      </c>
      <c r="G161" s="319" t="s">
        <v>1029</v>
      </c>
      <c r="H161" s="319" t="s">
        <v>1417</v>
      </c>
      <c r="I161" s="535">
        <v>1638.99</v>
      </c>
      <c r="J161" s="535">
        <v>665</v>
      </c>
      <c r="K161" s="535">
        <v>2303.9899999999998</v>
      </c>
      <c r="L161" s="535" t="s">
        <v>78</v>
      </c>
      <c r="M161" s="535" t="s">
        <v>993</v>
      </c>
      <c r="N161" s="537"/>
    </row>
    <row r="162" spans="1:14" ht="15.9" customHeight="1">
      <c r="A162" s="319" t="s">
        <v>1082</v>
      </c>
      <c r="B162" s="536">
        <v>46132</v>
      </c>
      <c r="C162" s="536">
        <v>46147</v>
      </c>
      <c r="D162" s="319" t="s">
        <v>1540</v>
      </c>
      <c r="E162" s="319" t="s">
        <v>1541</v>
      </c>
      <c r="F162" s="319" t="s">
        <v>1542</v>
      </c>
      <c r="G162" s="319" t="s">
        <v>1029</v>
      </c>
      <c r="H162" s="319" t="s">
        <v>1543</v>
      </c>
      <c r="I162" s="535">
        <v>1044.55</v>
      </c>
      <c r="J162" s="535">
        <v>665</v>
      </c>
      <c r="K162" s="535">
        <v>1709.55</v>
      </c>
      <c r="L162" s="535" t="s">
        <v>78</v>
      </c>
      <c r="M162" s="535" t="s">
        <v>993</v>
      </c>
      <c r="N162" s="537"/>
    </row>
    <row r="163" spans="1:14" ht="15.9" customHeight="1">
      <c r="A163" s="319" t="s">
        <v>1130</v>
      </c>
      <c r="B163" s="536">
        <v>46132</v>
      </c>
      <c r="C163" s="536">
        <v>46149</v>
      </c>
      <c r="D163" s="319" t="s">
        <v>1544</v>
      </c>
      <c r="E163" s="319" t="s">
        <v>1545</v>
      </c>
      <c r="F163" s="319" t="s">
        <v>1049</v>
      </c>
      <c r="G163" s="319" t="s">
        <v>1029</v>
      </c>
      <c r="H163" s="319" t="s">
        <v>1546</v>
      </c>
      <c r="I163" s="535">
        <v>851.24</v>
      </c>
      <c r="J163" s="535">
        <v>665</v>
      </c>
      <c r="K163" s="535">
        <v>1516.24</v>
      </c>
      <c r="L163" s="535" t="s">
        <v>88</v>
      </c>
      <c r="M163" s="535" t="s">
        <v>993</v>
      </c>
      <c r="N163" s="537"/>
    </row>
    <row r="164" spans="1:14" ht="15.9" customHeight="1">
      <c r="A164" s="319" t="s">
        <v>1054</v>
      </c>
      <c r="B164" s="536">
        <v>46132</v>
      </c>
      <c r="C164" s="536">
        <v>46145</v>
      </c>
      <c r="D164" s="319" t="s">
        <v>1547</v>
      </c>
      <c r="E164" s="319" t="s">
        <v>1548</v>
      </c>
      <c r="F164" s="319" t="s">
        <v>1092</v>
      </c>
      <c r="G164" s="319" t="s">
        <v>1029</v>
      </c>
      <c r="H164" s="319" t="s">
        <v>1549</v>
      </c>
      <c r="I164" s="535">
        <v>2589</v>
      </c>
      <c r="J164" s="535">
        <v>855</v>
      </c>
      <c r="K164" s="535">
        <v>3444</v>
      </c>
      <c r="L164" s="535" t="s">
        <v>88</v>
      </c>
      <c r="M164" s="535" t="s">
        <v>1042</v>
      </c>
      <c r="N164" s="537"/>
    </row>
    <row r="165" spans="1:14" ht="15.9" customHeight="1">
      <c r="A165" s="319" t="s">
        <v>1054</v>
      </c>
      <c r="B165" s="536">
        <v>46132</v>
      </c>
      <c r="C165" s="536">
        <v>46151</v>
      </c>
      <c r="D165" s="319" t="s">
        <v>1550</v>
      </c>
      <c r="E165" s="319" t="s">
        <v>1551</v>
      </c>
      <c r="F165" s="319" t="s">
        <v>1552</v>
      </c>
      <c r="G165" s="319" t="s">
        <v>1029</v>
      </c>
      <c r="H165" s="319" t="s">
        <v>1553</v>
      </c>
      <c r="I165" s="535">
        <v>2269.37</v>
      </c>
      <c r="J165" s="535">
        <v>760</v>
      </c>
      <c r="K165" s="535">
        <v>3029.37</v>
      </c>
      <c r="L165" s="535" t="s">
        <v>88</v>
      </c>
      <c r="M165" s="535" t="s">
        <v>993</v>
      </c>
      <c r="N165" s="537"/>
    </row>
    <row r="166" spans="1:14" ht="15.9" customHeight="1">
      <c r="A166" s="319" t="s">
        <v>1110</v>
      </c>
      <c r="B166" s="536">
        <v>46132</v>
      </c>
      <c r="C166" s="536">
        <v>46162</v>
      </c>
      <c r="D166" s="319" t="s">
        <v>1554</v>
      </c>
      <c r="E166" s="319" t="s">
        <v>1555</v>
      </c>
      <c r="F166" s="319" t="s">
        <v>1556</v>
      </c>
      <c r="G166" s="319" t="s">
        <v>1029</v>
      </c>
      <c r="H166" s="319" t="s">
        <v>1557</v>
      </c>
      <c r="I166" s="535">
        <v>1887.5</v>
      </c>
      <c r="J166" s="535">
        <v>760</v>
      </c>
      <c r="K166" s="535">
        <v>2647.5</v>
      </c>
      <c r="L166" s="535" t="s">
        <v>88</v>
      </c>
      <c r="M166" s="535" t="s">
        <v>993</v>
      </c>
      <c r="N166" s="537"/>
    </row>
    <row r="167" spans="1:14" ht="15.9" customHeight="1">
      <c r="A167" s="319" t="s">
        <v>1082</v>
      </c>
      <c r="B167" s="536">
        <v>46132</v>
      </c>
      <c r="C167" s="536">
        <v>46145</v>
      </c>
      <c r="D167" s="319" t="s">
        <v>1558</v>
      </c>
      <c r="E167" s="319" t="s">
        <v>1559</v>
      </c>
      <c r="F167" s="319" t="s">
        <v>1128</v>
      </c>
      <c r="G167" s="319" t="s">
        <v>1029</v>
      </c>
      <c r="H167" s="319" t="s">
        <v>1560</v>
      </c>
      <c r="I167" s="535">
        <v>1401.22</v>
      </c>
      <c r="J167" s="535">
        <v>760</v>
      </c>
      <c r="K167" s="535">
        <v>2161.2199999999998</v>
      </c>
      <c r="L167" s="535" t="s">
        <v>88</v>
      </c>
      <c r="M167" s="535" t="s">
        <v>993</v>
      </c>
      <c r="N167" s="537"/>
    </row>
    <row r="168" spans="1:14" ht="15.9" customHeight="1">
      <c r="A168" s="319" t="s">
        <v>1054</v>
      </c>
      <c r="B168" s="536">
        <v>46132</v>
      </c>
      <c r="C168" s="536">
        <v>46150</v>
      </c>
      <c r="D168" s="319" t="s">
        <v>1561</v>
      </c>
      <c r="E168" s="319" t="s">
        <v>1562</v>
      </c>
      <c r="F168" s="319" t="s">
        <v>1563</v>
      </c>
      <c r="G168" s="319" t="s">
        <v>1029</v>
      </c>
      <c r="H168" s="319" t="s">
        <v>1564</v>
      </c>
      <c r="I168" s="535">
        <v>2743.31</v>
      </c>
      <c r="J168" s="535">
        <v>855</v>
      </c>
      <c r="K168" s="535">
        <v>3598.31</v>
      </c>
      <c r="L168" s="535" t="s">
        <v>87</v>
      </c>
      <c r="M168" s="535" t="s">
        <v>1042</v>
      </c>
      <c r="N168" s="537"/>
    </row>
    <row r="169" spans="1:14" ht="15.9" customHeight="1">
      <c r="A169" s="319" t="s">
        <v>1143</v>
      </c>
      <c r="B169" s="536">
        <v>46132</v>
      </c>
      <c r="C169" s="536">
        <v>46147</v>
      </c>
      <c r="D169" s="319" t="s">
        <v>1565</v>
      </c>
      <c r="E169" s="319" t="s">
        <v>1566</v>
      </c>
      <c r="F169" s="319" t="s">
        <v>1567</v>
      </c>
      <c r="G169" s="319" t="s">
        <v>1029</v>
      </c>
      <c r="H169" s="319" t="s">
        <v>1568</v>
      </c>
      <c r="I169" s="535">
        <v>960.62</v>
      </c>
      <c r="J169" s="535">
        <v>700</v>
      </c>
      <c r="K169" s="535">
        <v>1660.62</v>
      </c>
      <c r="L169" s="535" t="s">
        <v>87</v>
      </c>
      <c r="M169" s="535" t="s">
        <v>993</v>
      </c>
      <c r="N169" s="537"/>
    </row>
    <row r="170" spans="1:14" ht="15.9" customHeight="1">
      <c r="A170" s="319" t="s">
        <v>1054</v>
      </c>
      <c r="B170" s="536">
        <v>46132</v>
      </c>
      <c r="C170" s="536">
        <v>46157</v>
      </c>
      <c r="D170" s="319" t="s">
        <v>1569</v>
      </c>
      <c r="E170" s="319" t="s">
        <v>1570</v>
      </c>
      <c r="F170" s="319" t="s">
        <v>1404</v>
      </c>
      <c r="G170" s="319" t="s">
        <v>1029</v>
      </c>
      <c r="H170" s="319" t="s">
        <v>1571</v>
      </c>
      <c r="I170" s="535">
        <v>1159.1199999999999</v>
      </c>
      <c r="J170" s="535">
        <v>665</v>
      </c>
      <c r="K170" s="535">
        <v>1824.12</v>
      </c>
      <c r="L170" s="535" t="s">
        <v>80</v>
      </c>
      <c r="M170" s="535" t="s">
        <v>993</v>
      </c>
      <c r="N170" s="537"/>
    </row>
    <row r="171" spans="1:14" ht="15.9" customHeight="1">
      <c r="A171" s="319" t="s">
        <v>1054</v>
      </c>
      <c r="B171" s="536">
        <v>46132</v>
      </c>
      <c r="C171" s="536">
        <v>46161</v>
      </c>
      <c r="D171" s="319" t="s">
        <v>1572</v>
      </c>
      <c r="E171" s="319" t="s">
        <v>1573</v>
      </c>
      <c r="F171" s="319" t="s">
        <v>1028</v>
      </c>
      <c r="G171" s="319" t="s">
        <v>1029</v>
      </c>
      <c r="H171" s="319" t="s">
        <v>1574</v>
      </c>
      <c r="I171" s="535">
        <v>1515.4</v>
      </c>
      <c r="J171" s="535">
        <v>760</v>
      </c>
      <c r="K171" s="535">
        <v>2275.4</v>
      </c>
      <c r="L171" s="535" t="s">
        <v>80</v>
      </c>
      <c r="M171" s="535" t="s">
        <v>993</v>
      </c>
      <c r="N171" s="537"/>
    </row>
    <row r="172" spans="1:14" ht="15.9" customHeight="1">
      <c r="A172" s="319" t="s">
        <v>1054</v>
      </c>
      <c r="B172" s="536">
        <v>46132</v>
      </c>
      <c r="C172" s="536">
        <v>46146</v>
      </c>
      <c r="D172" s="319" t="s">
        <v>1575</v>
      </c>
      <c r="E172" s="319" t="s">
        <v>1576</v>
      </c>
      <c r="F172" s="319" t="s">
        <v>1092</v>
      </c>
      <c r="G172" s="319" t="s">
        <v>1029</v>
      </c>
      <c r="H172" s="319" t="s">
        <v>1577</v>
      </c>
      <c r="I172" s="535">
        <v>2132.0500000000002</v>
      </c>
      <c r="J172" s="535">
        <v>855</v>
      </c>
      <c r="K172" s="535">
        <v>2987.05</v>
      </c>
      <c r="L172" s="535" t="s">
        <v>80</v>
      </c>
      <c r="M172" s="535" t="s">
        <v>1042</v>
      </c>
      <c r="N172" s="537"/>
    </row>
    <row r="173" spans="1:14" ht="15.9" customHeight="1">
      <c r="A173" s="319" t="s">
        <v>1025</v>
      </c>
      <c r="B173" s="536">
        <v>46133</v>
      </c>
      <c r="C173" s="536">
        <v>46143</v>
      </c>
      <c r="D173" s="319" t="s">
        <v>1578</v>
      </c>
      <c r="E173" s="319" t="s">
        <v>1579</v>
      </c>
      <c r="F173" s="319" t="s">
        <v>1092</v>
      </c>
      <c r="G173" s="319" t="s">
        <v>1029</v>
      </c>
      <c r="H173" s="319" t="s">
        <v>1580</v>
      </c>
      <c r="I173" s="535">
        <v>793.69</v>
      </c>
      <c r="J173" s="535">
        <v>855</v>
      </c>
      <c r="K173" s="535">
        <v>1648.69</v>
      </c>
      <c r="L173" s="535" t="s">
        <v>88</v>
      </c>
      <c r="M173" s="535" t="s">
        <v>1042</v>
      </c>
      <c r="N173" s="537"/>
    </row>
    <row r="174" spans="1:14" ht="15.9" customHeight="1">
      <c r="A174" s="319" t="s">
        <v>1125</v>
      </c>
      <c r="B174" s="536">
        <v>46133</v>
      </c>
      <c r="C174" s="536">
        <v>46163</v>
      </c>
      <c r="D174" s="319" t="s">
        <v>1581</v>
      </c>
      <c r="E174" s="319" t="s">
        <v>1582</v>
      </c>
      <c r="F174" s="319" t="s">
        <v>1279</v>
      </c>
      <c r="G174" s="319" t="s">
        <v>1029</v>
      </c>
      <c r="H174" s="319" t="s">
        <v>1583</v>
      </c>
      <c r="I174" s="535">
        <v>674.67</v>
      </c>
      <c r="J174" s="535">
        <v>760</v>
      </c>
      <c r="K174" s="535">
        <v>1434.67</v>
      </c>
      <c r="L174" s="535" t="s">
        <v>88</v>
      </c>
      <c r="M174" s="535" t="s">
        <v>993</v>
      </c>
      <c r="N174" s="537"/>
    </row>
    <row r="175" spans="1:14" ht="15.9" customHeight="1">
      <c r="A175" s="319" t="s">
        <v>1025</v>
      </c>
      <c r="B175" s="536">
        <v>46133</v>
      </c>
      <c r="C175" s="536">
        <v>46163</v>
      </c>
      <c r="D175" s="319" t="s">
        <v>1584</v>
      </c>
      <c r="E175" s="319" t="s">
        <v>1585</v>
      </c>
      <c r="F175" s="319" t="s">
        <v>1057</v>
      </c>
      <c r="G175" s="319" t="s">
        <v>1029</v>
      </c>
      <c r="H175" s="319" t="s">
        <v>1586</v>
      </c>
      <c r="I175" s="535">
        <v>1656.5</v>
      </c>
      <c r="J175" s="535">
        <v>665</v>
      </c>
      <c r="K175" s="535">
        <v>2321.5</v>
      </c>
      <c r="L175" s="535" t="s">
        <v>88</v>
      </c>
      <c r="M175" s="535" t="s">
        <v>993</v>
      </c>
      <c r="N175" s="537"/>
    </row>
    <row r="176" spans="1:14" ht="15.9" customHeight="1">
      <c r="A176" s="319" t="s">
        <v>1130</v>
      </c>
      <c r="B176" s="536">
        <v>46133</v>
      </c>
      <c r="C176" s="536">
        <v>46155</v>
      </c>
      <c r="D176" s="319" t="s">
        <v>1587</v>
      </c>
      <c r="E176" s="319" t="s">
        <v>1588</v>
      </c>
      <c r="F176" s="319" t="s">
        <v>1589</v>
      </c>
      <c r="G176" s="319" t="s">
        <v>1029</v>
      </c>
      <c r="H176" s="319" t="s">
        <v>1590</v>
      </c>
      <c r="I176" s="535">
        <v>2216.39</v>
      </c>
      <c r="J176" s="535">
        <v>665</v>
      </c>
      <c r="K176" s="535">
        <v>2881.39</v>
      </c>
      <c r="L176" s="535" t="s">
        <v>88</v>
      </c>
      <c r="M176" s="535" t="s">
        <v>993</v>
      </c>
      <c r="N176" s="537"/>
    </row>
    <row r="177" spans="1:14" ht="15.9" customHeight="1">
      <c r="A177" s="319" t="s">
        <v>1054</v>
      </c>
      <c r="B177" s="536">
        <v>46133</v>
      </c>
      <c r="C177" s="536">
        <v>46163</v>
      </c>
      <c r="D177" s="319" t="s">
        <v>1591</v>
      </c>
      <c r="E177" s="319" t="s">
        <v>1592</v>
      </c>
      <c r="F177" s="319" t="s">
        <v>1593</v>
      </c>
      <c r="G177" s="319" t="s">
        <v>1029</v>
      </c>
      <c r="H177" s="319" t="s">
        <v>1594</v>
      </c>
      <c r="I177" s="535">
        <v>1949.84</v>
      </c>
      <c r="J177" s="535">
        <v>855</v>
      </c>
      <c r="K177" s="535">
        <v>2804.84</v>
      </c>
      <c r="L177" s="535" t="s">
        <v>78</v>
      </c>
      <c r="M177" s="535" t="s">
        <v>993</v>
      </c>
      <c r="N177" s="537"/>
    </row>
    <row r="178" spans="1:14" ht="15.9" customHeight="1">
      <c r="A178" s="319" t="s">
        <v>1054</v>
      </c>
      <c r="B178" s="536">
        <v>46133</v>
      </c>
      <c r="C178" s="536">
        <v>46146</v>
      </c>
      <c r="D178" s="319" t="s">
        <v>1595</v>
      </c>
      <c r="E178" s="319" t="s">
        <v>1596</v>
      </c>
      <c r="F178" s="319" t="s">
        <v>1467</v>
      </c>
      <c r="G178" s="319" t="s">
        <v>1029</v>
      </c>
      <c r="H178" s="319" t="s">
        <v>1597</v>
      </c>
      <c r="I178" s="535">
        <v>1594.77</v>
      </c>
      <c r="J178" s="535">
        <v>665</v>
      </c>
      <c r="K178" s="535">
        <v>2259.77</v>
      </c>
      <c r="L178" s="535" t="s">
        <v>78</v>
      </c>
      <c r="M178" s="535" t="s">
        <v>993</v>
      </c>
      <c r="N178" s="537"/>
    </row>
    <row r="179" spans="1:14" ht="15.9" customHeight="1">
      <c r="A179" s="319" t="s">
        <v>1054</v>
      </c>
      <c r="B179" s="536">
        <v>46133</v>
      </c>
      <c r="C179" s="536">
        <v>46145</v>
      </c>
      <c r="D179" s="319" t="s">
        <v>1598</v>
      </c>
      <c r="E179" s="319" t="s">
        <v>1599</v>
      </c>
      <c r="F179" s="319" t="s">
        <v>1100</v>
      </c>
      <c r="G179" s="319" t="s">
        <v>1029</v>
      </c>
      <c r="H179" s="319" t="s">
        <v>136</v>
      </c>
      <c r="I179" s="535">
        <v>1806.66</v>
      </c>
      <c r="J179" s="535">
        <v>760</v>
      </c>
      <c r="K179" s="535">
        <v>2566.66</v>
      </c>
      <c r="L179" s="535" t="s">
        <v>78</v>
      </c>
      <c r="M179" s="535" t="s">
        <v>993</v>
      </c>
      <c r="N179" s="537"/>
    </row>
    <row r="180" spans="1:14" ht="15.9" customHeight="1">
      <c r="A180" s="319" t="s">
        <v>1082</v>
      </c>
      <c r="B180" s="536">
        <v>46133</v>
      </c>
      <c r="C180" s="536">
        <v>46149</v>
      </c>
      <c r="D180" s="319" t="s">
        <v>1600</v>
      </c>
      <c r="E180" s="319" t="s">
        <v>1601</v>
      </c>
      <c r="F180" s="319" t="s">
        <v>1602</v>
      </c>
      <c r="G180" s="319" t="s">
        <v>1029</v>
      </c>
      <c r="H180" s="319" t="s">
        <v>1603</v>
      </c>
      <c r="I180" s="535">
        <v>1216.33</v>
      </c>
      <c r="J180" s="535">
        <v>760</v>
      </c>
      <c r="K180" s="535">
        <v>1976.33</v>
      </c>
      <c r="L180" s="535" t="s">
        <v>78</v>
      </c>
      <c r="M180" s="535" t="s">
        <v>993</v>
      </c>
      <c r="N180" s="537"/>
    </row>
    <row r="181" spans="1:14" ht="15.9" customHeight="1">
      <c r="A181" s="319" t="s">
        <v>1082</v>
      </c>
      <c r="B181" s="536">
        <v>46133</v>
      </c>
      <c r="C181" s="536">
        <v>46146</v>
      </c>
      <c r="D181" s="319" t="s">
        <v>1604</v>
      </c>
      <c r="E181" s="319" t="s">
        <v>1605</v>
      </c>
      <c r="F181" s="319" t="s">
        <v>1606</v>
      </c>
      <c r="G181" s="319" t="s">
        <v>1029</v>
      </c>
      <c r="H181" s="319" t="s">
        <v>1607</v>
      </c>
      <c r="I181" s="535">
        <v>396.41</v>
      </c>
      <c r="J181" s="535">
        <v>665</v>
      </c>
      <c r="K181" s="535">
        <v>1061.4100000000001</v>
      </c>
      <c r="L181" s="535" t="s">
        <v>78</v>
      </c>
      <c r="M181" s="535" t="s">
        <v>993</v>
      </c>
      <c r="N181" s="537"/>
    </row>
    <row r="182" spans="1:14" ht="15.9" customHeight="1">
      <c r="A182" s="319" t="s">
        <v>1054</v>
      </c>
      <c r="B182" s="536">
        <v>46133</v>
      </c>
      <c r="C182" s="536">
        <v>46161</v>
      </c>
      <c r="D182" s="319" t="s">
        <v>1608</v>
      </c>
      <c r="E182" s="319" t="s">
        <v>1609</v>
      </c>
      <c r="F182" s="319" t="s">
        <v>1028</v>
      </c>
      <c r="G182" s="319" t="s">
        <v>1029</v>
      </c>
      <c r="H182" s="319" t="s">
        <v>1610</v>
      </c>
      <c r="I182" s="535">
        <v>1514.94</v>
      </c>
      <c r="J182" s="535">
        <v>760</v>
      </c>
      <c r="K182" s="535">
        <v>2274.94</v>
      </c>
      <c r="L182" s="535" t="s">
        <v>80</v>
      </c>
      <c r="M182" s="535" t="s">
        <v>993</v>
      </c>
      <c r="N182" s="537"/>
    </row>
    <row r="183" spans="1:14" ht="15.9" customHeight="1">
      <c r="A183" s="319" t="s">
        <v>1054</v>
      </c>
      <c r="B183" s="536">
        <v>46133</v>
      </c>
      <c r="C183" s="536">
        <v>46161</v>
      </c>
      <c r="D183" s="319" t="s">
        <v>1611</v>
      </c>
      <c r="E183" s="319" t="s">
        <v>1612</v>
      </c>
      <c r="F183" s="319" t="s">
        <v>1085</v>
      </c>
      <c r="G183" s="319" t="s">
        <v>1029</v>
      </c>
      <c r="H183" s="319" t="s">
        <v>1613</v>
      </c>
      <c r="I183" s="535">
        <v>2568.67</v>
      </c>
      <c r="J183" s="535">
        <v>855</v>
      </c>
      <c r="K183" s="535">
        <v>3423.67</v>
      </c>
      <c r="L183" s="535" t="s">
        <v>80</v>
      </c>
      <c r="M183" s="535" t="s">
        <v>1042</v>
      </c>
      <c r="N183" s="537"/>
    </row>
    <row r="184" spans="1:14" ht="15.9" customHeight="1">
      <c r="A184" s="319" t="s">
        <v>1054</v>
      </c>
      <c r="B184" s="536">
        <v>46133</v>
      </c>
      <c r="C184" s="536">
        <v>46163</v>
      </c>
      <c r="D184" s="319" t="s">
        <v>1614</v>
      </c>
      <c r="E184" s="319" t="s">
        <v>1615</v>
      </c>
      <c r="F184" s="319" t="s">
        <v>1153</v>
      </c>
      <c r="G184" s="319" t="s">
        <v>1029</v>
      </c>
      <c r="H184" s="319" t="s">
        <v>1616</v>
      </c>
      <c r="I184" s="535">
        <v>2586.6799999999998</v>
      </c>
      <c r="J184" s="535">
        <v>855</v>
      </c>
      <c r="K184" s="535">
        <v>3441.68</v>
      </c>
      <c r="L184" s="535" t="s">
        <v>80</v>
      </c>
      <c r="M184" s="535" t="s">
        <v>1042</v>
      </c>
      <c r="N184" s="537"/>
    </row>
    <row r="185" spans="1:14" ht="15.9" customHeight="1">
      <c r="A185" s="319" t="s">
        <v>1025</v>
      </c>
      <c r="B185" s="536">
        <v>46133</v>
      </c>
      <c r="C185" s="536">
        <v>46143</v>
      </c>
      <c r="D185" s="319" t="s">
        <v>1617</v>
      </c>
      <c r="E185" s="319" t="s">
        <v>1618</v>
      </c>
      <c r="F185" s="319" t="s">
        <v>1619</v>
      </c>
      <c r="G185" s="319" t="s">
        <v>1029</v>
      </c>
      <c r="H185" s="319" t="s">
        <v>1620</v>
      </c>
      <c r="I185" s="535">
        <v>920.71</v>
      </c>
      <c r="J185" s="535">
        <v>665</v>
      </c>
      <c r="K185" s="535">
        <v>1585.71</v>
      </c>
      <c r="L185" s="535" t="s">
        <v>80</v>
      </c>
      <c r="M185" s="535" t="s">
        <v>993</v>
      </c>
      <c r="N185" s="537"/>
    </row>
    <row r="186" spans="1:14" ht="15.9" customHeight="1">
      <c r="A186" s="319" t="s">
        <v>1025</v>
      </c>
      <c r="B186" s="536">
        <v>46133</v>
      </c>
      <c r="C186" s="536">
        <v>46164</v>
      </c>
      <c r="D186" s="319" t="s">
        <v>1621</v>
      </c>
      <c r="E186" s="319" t="s">
        <v>1622</v>
      </c>
      <c r="F186" s="319" t="s">
        <v>1623</v>
      </c>
      <c r="G186" s="319" t="s">
        <v>1029</v>
      </c>
      <c r="H186" s="319" t="s">
        <v>1624</v>
      </c>
      <c r="I186" s="535">
        <v>2529.54</v>
      </c>
      <c r="J186" s="535">
        <v>855</v>
      </c>
      <c r="K186" s="535">
        <v>3384.54</v>
      </c>
      <c r="L186" s="535" t="s">
        <v>80</v>
      </c>
      <c r="M186" s="535" t="s">
        <v>1042</v>
      </c>
      <c r="N186" s="537"/>
    </row>
    <row r="187" spans="1:14" ht="15.9" customHeight="1">
      <c r="A187" s="319" t="s">
        <v>1054</v>
      </c>
      <c r="B187" s="536">
        <v>46133</v>
      </c>
      <c r="C187" s="536">
        <v>46144</v>
      </c>
      <c r="D187" s="319" t="s">
        <v>1625</v>
      </c>
      <c r="E187" s="319" t="s">
        <v>1626</v>
      </c>
      <c r="F187" s="319" t="s">
        <v>1627</v>
      </c>
      <c r="G187" s="319" t="s">
        <v>1029</v>
      </c>
      <c r="H187" s="319" t="s">
        <v>1628</v>
      </c>
      <c r="I187" s="535">
        <v>1714.21</v>
      </c>
      <c r="J187" s="535">
        <v>760</v>
      </c>
      <c r="K187" s="535">
        <v>2474.21</v>
      </c>
      <c r="L187" s="535" t="s">
        <v>80</v>
      </c>
      <c r="M187" s="535" t="s">
        <v>993</v>
      </c>
      <c r="N187" s="537"/>
    </row>
    <row r="188" spans="1:14" ht="15.9" customHeight="1">
      <c r="A188" s="319" t="s">
        <v>1025</v>
      </c>
      <c r="B188" s="536">
        <v>46133</v>
      </c>
      <c r="C188" s="536">
        <v>46163</v>
      </c>
      <c r="D188" s="319" t="s">
        <v>1629</v>
      </c>
      <c r="E188" s="319" t="s">
        <v>1630</v>
      </c>
      <c r="F188" s="319" t="s">
        <v>1631</v>
      </c>
      <c r="G188" s="319" t="s">
        <v>1029</v>
      </c>
      <c r="H188" s="319" t="s">
        <v>1632</v>
      </c>
      <c r="I188" s="535">
        <v>3043.77</v>
      </c>
      <c r="J188" s="535">
        <v>950</v>
      </c>
      <c r="K188" s="535">
        <v>3993.77</v>
      </c>
      <c r="L188" s="535" t="s">
        <v>80</v>
      </c>
      <c r="M188" s="535" t="s">
        <v>1042</v>
      </c>
      <c r="N188" s="537"/>
    </row>
    <row r="189" spans="1:14" ht="15.9" customHeight="1">
      <c r="A189" s="319" t="s">
        <v>1054</v>
      </c>
      <c r="B189" s="536">
        <v>46133</v>
      </c>
      <c r="C189" s="536">
        <v>46163</v>
      </c>
      <c r="D189" s="319" t="s">
        <v>1633</v>
      </c>
      <c r="E189" s="319" t="s">
        <v>1634</v>
      </c>
      <c r="F189" s="319" t="s">
        <v>1635</v>
      </c>
      <c r="G189" s="319" t="s">
        <v>1029</v>
      </c>
      <c r="H189" s="319" t="s">
        <v>1636</v>
      </c>
      <c r="I189" s="535">
        <v>1527.27</v>
      </c>
      <c r="J189" s="535">
        <v>950</v>
      </c>
      <c r="K189" s="535">
        <v>2477.27</v>
      </c>
      <c r="L189" s="535" t="s">
        <v>80</v>
      </c>
      <c r="M189" s="535" t="s">
        <v>993</v>
      </c>
      <c r="N189" s="537"/>
    </row>
    <row r="190" spans="1:14" ht="15.9" customHeight="1">
      <c r="A190" s="319" t="s">
        <v>1054</v>
      </c>
      <c r="B190" s="536">
        <v>46133</v>
      </c>
      <c r="C190" s="536">
        <v>46156</v>
      </c>
      <c r="D190" s="319" t="s">
        <v>1637</v>
      </c>
      <c r="E190" s="319" t="s">
        <v>1638</v>
      </c>
      <c r="F190" s="319" t="s">
        <v>1096</v>
      </c>
      <c r="G190" s="319" t="s">
        <v>1029</v>
      </c>
      <c r="H190" s="319" t="s">
        <v>1639</v>
      </c>
      <c r="I190" s="535">
        <v>1978.58</v>
      </c>
      <c r="J190" s="535">
        <v>855</v>
      </c>
      <c r="K190" s="535">
        <v>2833.58</v>
      </c>
      <c r="L190" s="535" t="s">
        <v>80</v>
      </c>
      <c r="M190" s="535" t="s">
        <v>1042</v>
      </c>
      <c r="N190" s="537"/>
    </row>
    <row r="191" spans="1:14" ht="15.9" customHeight="1">
      <c r="A191" s="319" t="s">
        <v>1110</v>
      </c>
      <c r="B191" s="536">
        <v>46133</v>
      </c>
      <c r="C191" s="536">
        <v>46143</v>
      </c>
      <c r="D191" s="319" t="s">
        <v>1640</v>
      </c>
      <c r="E191" s="319" t="s">
        <v>1641</v>
      </c>
      <c r="F191" s="319" t="s">
        <v>1100</v>
      </c>
      <c r="G191" s="319" t="s">
        <v>1029</v>
      </c>
      <c r="H191" s="319" t="s">
        <v>1642</v>
      </c>
      <c r="I191" s="535">
        <v>1834.72</v>
      </c>
      <c r="J191" s="535">
        <v>855</v>
      </c>
      <c r="K191" s="535">
        <v>2689.72</v>
      </c>
      <c r="L191" s="535" t="s">
        <v>80</v>
      </c>
      <c r="M191" s="535" t="s">
        <v>1042</v>
      </c>
      <c r="N191" s="537"/>
    </row>
    <row r="192" spans="1:14" ht="15.9" customHeight="1">
      <c r="A192" s="319" t="s">
        <v>1643</v>
      </c>
      <c r="B192" s="536">
        <v>46133</v>
      </c>
      <c r="C192" s="536">
        <v>46163</v>
      </c>
      <c r="D192" s="319" t="s">
        <v>1644</v>
      </c>
      <c r="E192" s="319" t="s">
        <v>1645</v>
      </c>
      <c r="F192" s="319" t="s">
        <v>1646</v>
      </c>
      <c r="G192" s="319" t="s">
        <v>1029</v>
      </c>
      <c r="H192" s="319" t="s">
        <v>1647</v>
      </c>
      <c r="I192" s="535">
        <v>670.4</v>
      </c>
      <c r="J192" s="535">
        <v>665</v>
      </c>
      <c r="K192" s="535">
        <v>1335.4</v>
      </c>
      <c r="L192" s="535" t="s">
        <v>80</v>
      </c>
      <c r="M192" s="535" t="s">
        <v>993</v>
      </c>
      <c r="N192" s="537"/>
    </row>
    <row r="193" spans="1:14" ht="15.9" customHeight="1">
      <c r="A193" s="319" t="s">
        <v>1077</v>
      </c>
      <c r="B193" s="536">
        <v>46133</v>
      </c>
      <c r="C193" s="536">
        <v>46153</v>
      </c>
      <c r="D193" s="319" t="s">
        <v>1648</v>
      </c>
      <c r="E193" s="319" t="s">
        <v>1649</v>
      </c>
      <c r="F193" s="319" t="s">
        <v>1650</v>
      </c>
      <c r="G193" s="319" t="s">
        <v>1029</v>
      </c>
      <c r="H193" s="319" t="s">
        <v>1651</v>
      </c>
      <c r="I193" s="535">
        <v>1262.94</v>
      </c>
      <c r="J193" s="535">
        <v>855</v>
      </c>
      <c r="K193" s="535">
        <v>2117.94</v>
      </c>
      <c r="L193" s="535" t="s">
        <v>79</v>
      </c>
      <c r="M193" s="535" t="s">
        <v>993</v>
      </c>
      <c r="N193" s="537"/>
    </row>
    <row r="194" spans="1:14" ht="15.9" customHeight="1">
      <c r="A194" s="319" t="s">
        <v>1102</v>
      </c>
      <c r="B194" s="536">
        <v>46133</v>
      </c>
      <c r="C194" s="536">
        <v>46163</v>
      </c>
      <c r="D194" s="319" t="s">
        <v>1652</v>
      </c>
      <c r="E194" s="319" t="s">
        <v>1653</v>
      </c>
      <c r="F194" s="319" t="s">
        <v>1189</v>
      </c>
      <c r="G194" s="319" t="s">
        <v>1029</v>
      </c>
      <c r="H194" s="319" t="s">
        <v>1654</v>
      </c>
      <c r="I194" s="535">
        <v>1380.72</v>
      </c>
      <c r="J194" s="535">
        <v>855</v>
      </c>
      <c r="K194" s="535">
        <v>2235.7199999999998</v>
      </c>
      <c r="L194" s="535" t="s">
        <v>79</v>
      </c>
      <c r="M194" s="535" t="s">
        <v>993</v>
      </c>
      <c r="N194" s="537"/>
    </row>
    <row r="195" spans="1:14" ht="15.9" customHeight="1">
      <c r="A195" s="319" t="s">
        <v>1025</v>
      </c>
      <c r="B195" s="536">
        <v>46133</v>
      </c>
      <c r="C195" s="536">
        <v>46145</v>
      </c>
      <c r="D195" s="319" t="s">
        <v>1655</v>
      </c>
      <c r="E195" s="319" t="s">
        <v>1656</v>
      </c>
      <c r="F195" s="319" t="s">
        <v>1100</v>
      </c>
      <c r="G195" s="319" t="s">
        <v>1029</v>
      </c>
      <c r="H195" s="319" t="s">
        <v>1657</v>
      </c>
      <c r="I195" s="535">
        <v>2111.44</v>
      </c>
      <c r="J195" s="535">
        <v>855</v>
      </c>
      <c r="K195" s="535">
        <v>2966.44</v>
      </c>
      <c r="L195" s="535" t="s">
        <v>79</v>
      </c>
      <c r="M195" s="535" t="s">
        <v>1042</v>
      </c>
      <c r="N195" s="537"/>
    </row>
    <row r="196" spans="1:14" ht="15.9" customHeight="1">
      <c r="A196" s="319" t="s">
        <v>1054</v>
      </c>
      <c r="B196" s="536">
        <v>46133</v>
      </c>
      <c r="C196" s="536">
        <v>46163</v>
      </c>
      <c r="D196" s="319" t="s">
        <v>1658</v>
      </c>
      <c r="E196" s="319" t="s">
        <v>1659</v>
      </c>
      <c r="F196" s="319" t="s">
        <v>1113</v>
      </c>
      <c r="G196" s="319" t="s">
        <v>1029</v>
      </c>
      <c r="H196" s="319" t="s">
        <v>1660</v>
      </c>
      <c r="I196" s="535">
        <v>2167.8000000000002</v>
      </c>
      <c r="J196" s="535">
        <v>950</v>
      </c>
      <c r="K196" s="535">
        <v>3117.8</v>
      </c>
      <c r="L196" s="535" t="s">
        <v>79</v>
      </c>
      <c r="M196" s="535" t="s">
        <v>993</v>
      </c>
      <c r="N196" s="537"/>
    </row>
    <row r="197" spans="1:14" ht="15.9" customHeight="1">
      <c r="A197" s="319" t="s">
        <v>1130</v>
      </c>
      <c r="B197" s="536">
        <v>46133</v>
      </c>
      <c r="C197" s="536">
        <v>46163</v>
      </c>
      <c r="D197" s="319" t="s">
        <v>1661</v>
      </c>
      <c r="E197" s="319" t="s">
        <v>1662</v>
      </c>
      <c r="F197" s="319" t="s">
        <v>1045</v>
      </c>
      <c r="G197" s="319" t="s">
        <v>1029</v>
      </c>
      <c r="H197" s="319" t="s">
        <v>1663</v>
      </c>
      <c r="I197" s="535">
        <v>954.56</v>
      </c>
      <c r="J197" s="535">
        <v>665</v>
      </c>
      <c r="K197" s="535">
        <v>1619.56</v>
      </c>
      <c r="L197" s="535" t="s">
        <v>79</v>
      </c>
      <c r="M197" s="535" t="s">
        <v>993</v>
      </c>
      <c r="N197" s="537"/>
    </row>
    <row r="198" spans="1:14" ht="15.9" customHeight="1">
      <c r="A198" s="319" t="s">
        <v>1054</v>
      </c>
      <c r="B198" s="536">
        <v>46134</v>
      </c>
      <c r="C198" s="536">
        <v>46164</v>
      </c>
      <c r="D198" s="319" t="s">
        <v>1664</v>
      </c>
      <c r="E198" s="319" t="s">
        <v>1665</v>
      </c>
      <c r="F198" s="319" t="s">
        <v>1631</v>
      </c>
      <c r="G198" s="319" t="s">
        <v>1029</v>
      </c>
      <c r="H198" s="319" t="s">
        <v>1666</v>
      </c>
      <c r="I198" s="535">
        <v>2443.8200000000002</v>
      </c>
      <c r="J198" s="535">
        <v>855</v>
      </c>
      <c r="K198" s="535">
        <v>3298.82</v>
      </c>
      <c r="L198" s="535" t="s">
        <v>86</v>
      </c>
      <c r="M198" s="535" t="s">
        <v>1042</v>
      </c>
      <c r="N198" s="537"/>
    </row>
    <row r="199" spans="1:14" ht="15.9" customHeight="1">
      <c r="A199" s="319" t="s">
        <v>1025</v>
      </c>
      <c r="B199" s="536">
        <v>46134</v>
      </c>
      <c r="C199" s="536">
        <v>46144</v>
      </c>
      <c r="D199" s="319" t="s">
        <v>1667</v>
      </c>
      <c r="E199" s="319" t="s">
        <v>1668</v>
      </c>
      <c r="F199" s="319" t="s">
        <v>1669</v>
      </c>
      <c r="G199" s="319" t="s">
        <v>1029</v>
      </c>
      <c r="H199" s="319" t="s">
        <v>1670</v>
      </c>
      <c r="I199" s="535">
        <v>1067.1400000000001</v>
      </c>
      <c r="J199" s="535">
        <v>665</v>
      </c>
      <c r="K199" s="535">
        <v>1732.14</v>
      </c>
      <c r="L199" s="535" t="s">
        <v>88</v>
      </c>
      <c r="M199" s="535" t="s">
        <v>994</v>
      </c>
      <c r="N199" s="537"/>
    </row>
    <row r="200" spans="1:14" ht="15.9" customHeight="1">
      <c r="A200" s="319" t="s">
        <v>1025</v>
      </c>
      <c r="B200" s="536">
        <v>46134</v>
      </c>
      <c r="C200" s="536">
        <v>46145</v>
      </c>
      <c r="D200" s="319" t="s">
        <v>1671</v>
      </c>
      <c r="E200" s="319" t="s">
        <v>1672</v>
      </c>
      <c r="F200" s="319" t="s">
        <v>1673</v>
      </c>
      <c r="G200" s="319" t="s">
        <v>1029</v>
      </c>
      <c r="H200" s="319" t="s">
        <v>1674</v>
      </c>
      <c r="I200" s="535">
        <v>1539.34</v>
      </c>
      <c r="J200" s="535">
        <v>760</v>
      </c>
      <c r="K200" s="535">
        <v>2299.34</v>
      </c>
      <c r="L200" s="535" t="s">
        <v>79</v>
      </c>
      <c r="M200" s="535" t="s">
        <v>993</v>
      </c>
      <c r="N200" s="537"/>
    </row>
    <row r="201" spans="1:14" ht="15.9" customHeight="1">
      <c r="A201" s="319" t="s">
        <v>1110</v>
      </c>
      <c r="B201" s="536">
        <v>46134</v>
      </c>
      <c r="C201" s="536">
        <v>46148</v>
      </c>
      <c r="D201" s="319" t="s">
        <v>1675</v>
      </c>
      <c r="E201" s="319" t="s">
        <v>1676</v>
      </c>
      <c r="F201" s="319" t="s">
        <v>1100</v>
      </c>
      <c r="G201" s="319" t="s">
        <v>1029</v>
      </c>
      <c r="H201" s="319" t="s">
        <v>1677</v>
      </c>
      <c r="I201" s="535">
        <v>1711.86</v>
      </c>
      <c r="J201" s="535">
        <v>760</v>
      </c>
      <c r="K201" s="535">
        <v>2471.86</v>
      </c>
      <c r="L201" s="535" t="s">
        <v>79</v>
      </c>
      <c r="M201" s="535" t="s">
        <v>993</v>
      </c>
      <c r="N201" s="537"/>
    </row>
    <row r="202" spans="1:14" ht="15.9" customHeight="1">
      <c r="A202" s="319" t="s">
        <v>1130</v>
      </c>
      <c r="B202" s="536">
        <v>46134</v>
      </c>
      <c r="C202" s="536">
        <v>46151</v>
      </c>
      <c r="D202" s="319" t="s">
        <v>1678</v>
      </c>
      <c r="E202" s="319" t="s">
        <v>1679</v>
      </c>
      <c r="F202" s="319" t="s">
        <v>1108</v>
      </c>
      <c r="G202" s="319" t="s">
        <v>1029</v>
      </c>
      <c r="H202" s="319" t="s">
        <v>1680</v>
      </c>
      <c r="I202" s="535">
        <v>1588.32</v>
      </c>
      <c r="J202" s="535">
        <v>665</v>
      </c>
      <c r="K202" s="535">
        <v>2253.3200000000002</v>
      </c>
      <c r="L202" s="535" t="s">
        <v>80</v>
      </c>
      <c r="M202" s="535" t="s">
        <v>993</v>
      </c>
      <c r="N202" s="537"/>
    </row>
    <row r="203" spans="1:14" ht="15.9" customHeight="1">
      <c r="A203" s="319" t="s">
        <v>1077</v>
      </c>
      <c r="B203" s="536">
        <v>46134</v>
      </c>
      <c r="C203" s="536">
        <v>46149</v>
      </c>
      <c r="D203" s="319" t="s">
        <v>1681</v>
      </c>
      <c r="E203" s="319" t="s">
        <v>1682</v>
      </c>
      <c r="F203" s="319" t="s">
        <v>1474</v>
      </c>
      <c r="G203" s="319" t="s">
        <v>1029</v>
      </c>
      <c r="H203" s="319" t="s">
        <v>1683</v>
      </c>
      <c r="I203" s="535">
        <v>1466.01</v>
      </c>
      <c r="J203" s="535">
        <v>770</v>
      </c>
      <c r="K203" s="535">
        <v>2236.0100000000002</v>
      </c>
      <c r="L203" s="535" t="s">
        <v>80</v>
      </c>
      <c r="M203" s="535" t="s">
        <v>993</v>
      </c>
      <c r="N203" s="537"/>
    </row>
    <row r="204" spans="1:14" ht="15.9" customHeight="1">
      <c r="A204" s="319" t="s">
        <v>1054</v>
      </c>
      <c r="B204" s="536">
        <v>46134</v>
      </c>
      <c r="C204" s="536">
        <v>46164</v>
      </c>
      <c r="D204" s="319" t="s">
        <v>1684</v>
      </c>
      <c r="E204" s="319" t="s">
        <v>1685</v>
      </c>
      <c r="F204" s="319" t="s">
        <v>1619</v>
      </c>
      <c r="G204" s="319" t="s">
        <v>1029</v>
      </c>
      <c r="H204" s="319" t="s">
        <v>1686</v>
      </c>
      <c r="I204" s="535">
        <v>1004.05</v>
      </c>
      <c r="J204" s="535">
        <v>665</v>
      </c>
      <c r="K204" s="535">
        <v>1669.05</v>
      </c>
      <c r="L204" s="535" t="s">
        <v>80</v>
      </c>
      <c r="M204" s="535" t="s">
        <v>993</v>
      </c>
      <c r="N204" s="537"/>
    </row>
    <row r="205" spans="1:14" ht="15.9" customHeight="1">
      <c r="A205" s="319" t="s">
        <v>1054</v>
      </c>
      <c r="B205" s="536">
        <v>46134</v>
      </c>
      <c r="C205" s="536">
        <v>46163</v>
      </c>
      <c r="D205" s="319" t="s">
        <v>1687</v>
      </c>
      <c r="E205" s="319" t="s">
        <v>1688</v>
      </c>
      <c r="F205" s="319" t="s">
        <v>1296</v>
      </c>
      <c r="G205" s="319" t="s">
        <v>1029</v>
      </c>
      <c r="H205" s="319" t="s">
        <v>1689</v>
      </c>
      <c r="I205" s="535">
        <v>1081.74</v>
      </c>
      <c r="J205" s="535">
        <v>665</v>
      </c>
      <c r="K205" s="535">
        <v>1746.74</v>
      </c>
      <c r="L205" s="535" t="s">
        <v>80</v>
      </c>
      <c r="M205" s="535" t="s">
        <v>993</v>
      </c>
      <c r="N205" s="537"/>
    </row>
    <row r="206" spans="1:14" ht="15.9" customHeight="1">
      <c r="A206" s="319" t="s">
        <v>1054</v>
      </c>
      <c r="B206" s="536">
        <v>46134</v>
      </c>
      <c r="C206" s="536">
        <v>46163</v>
      </c>
      <c r="D206" s="319" t="s">
        <v>1690</v>
      </c>
      <c r="E206" s="319" t="s">
        <v>1691</v>
      </c>
      <c r="F206" s="319" t="s">
        <v>1149</v>
      </c>
      <c r="G206" s="319" t="s">
        <v>1029</v>
      </c>
      <c r="H206" s="319" t="s">
        <v>1692</v>
      </c>
      <c r="I206" s="535">
        <v>1719.63</v>
      </c>
      <c r="J206" s="535">
        <v>665</v>
      </c>
      <c r="K206" s="535">
        <v>2384.63</v>
      </c>
      <c r="L206" s="535" t="s">
        <v>79</v>
      </c>
      <c r="M206" s="535" t="s">
        <v>993</v>
      </c>
      <c r="N206" s="537"/>
    </row>
    <row r="207" spans="1:14" ht="15.9" customHeight="1">
      <c r="A207" s="319" t="s">
        <v>1054</v>
      </c>
      <c r="B207" s="536">
        <v>46134</v>
      </c>
      <c r="C207" s="536">
        <v>46163</v>
      </c>
      <c r="D207" s="319" t="s">
        <v>1693</v>
      </c>
      <c r="E207" s="319" t="s">
        <v>1694</v>
      </c>
      <c r="F207" s="319" t="s">
        <v>1695</v>
      </c>
      <c r="G207" s="319" t="s">
        <v>1029</v>
      </c>
      <c r="H207" s="319" t="s">
        <v>1696</v>
      </c>
      <c r="I207" s="535">
        <v>2397.21</v>
      </c>
      <c r="J207" s="535">
        <v>855</v>
      </c>
      <c r="K207" s="535">
        <v>3252.21</v>
      </c>
      <c r="L207" s="535" t="s">
        <v>80</v>
      </c>
      <c r="M207" s="535" t="s">
        <v>1042</v>
      </c>
      <c r="N207" s="537"/>
    </row>
    <row r="208" spans="1:14" ht="15.9" customHeight="1">
      <c r="A208" s="319" t="s">
        <v>1224</v>
      </c>
      <c r="B208" s="536">
        <v>46135</v>
      </c>
      <c r="C208" s="536">
        <v>46155</v>
      </c>
      <c r="D208" s="319" t="s">
        <v>1697</v>
      </c>
      <c r="E208" s="319" t="s">
        <v>1698</v>
      </c>
      <c r="F208" s="319" t="s">
        <v>1699</v>
      </c>
      <c r="G208" s="319" t="s">
        <v>1029</v>
      </c>
      <c r="H208" s="319" t="s">
        <v>1700</v>
      </c>
      <c r="I208" s="535">
        <v>516.24</v>
      </c>
      <c r="J208" s="535">
        <v>855</v>
      </c>
      <c r="K208" s="535">
        <v>1371.24</v>
      </c>
      <c r="L208" s="535" t="s">
        <v>87</v>
      </c>
      <c r="M208" s="535" t="s">
        <v>1042</v>
      </c>
      <c r="N208" s="537"/>
    </row>
    <row r="209" spans="1:14" ht="15.9" customHeight="1">
      <c r="A209" s="319" t="s">
        <v>1054</v>
      </c>
      <c r="B209" s="536">
        <v>46135</v>
      </c>
      <c r="C209" s="536">
        <v>46144</v>
      </c>
      <c r="D209" s="319" t="s">
        <v>1701</v>
      </c>
      <c r="E209" s="319" t="s">
        <v>1702</v>
      </c>
      <c r="F209" s="319" t="s">
        <v>1085</v>
      </c>
      <c r="G209" s="319" t="s">
        <v>1029</v>
      </c>
      <c r="H209" s="319" t="s">
        <v>1703</v>
      </c>
      <c r="I209" s="535">
        <v>2520.73</v>
      </c>
      <c r="J209" s="535">
        <v>950</v>
      </c>
      <c r="K209" s="535">
        <v>3470.73</v>
      </c>
      <c r="L209" s="535" t="s">
        <v>79</v>
      </c>
      <c r="M209" s="535" t="s">
        <v>1042</v>
      </c>
      <c r="N209" s="537"/>
    </row>
    <row r="210" spans="1:14" ht="15.9" customHeight="1">
      <c r="A210" s="319" t="s">
        <v>1054</v>
      </c>
      <c r="B210" s="536">
        <v>46135</v>
      </c>
      <c r="C210" s="536">
        <v>46143</v>
      </c>
      <c r="D210" s="319" t="s">
        <v>1704</v>
      </c>
      <c r="E210" s="319" t="s">
        <v>1705</v>
      </c>
      <c r="F210" s="319" t="s">
        <v>1211</v>
      </c>
      <c r="G210" s="319" t="s">
        <v>1029</v>
      </c>
      <c r="H210" s="319" t="s">
        <v>1706</v>
      </c>
      <c r="I210" s="535">
        <v>2259.81</v>
      </c>
      <c r="J210" s="535">
        <v>855</v>
      </c>
      <c r="K210" s="535">
        <v>3114.81</v>
      </c>
      <c r="L210" s="535" t="s">
        <v>79</v>
      </c>
      <c r="M210" s="535" t="s">
        <v>1042</v>
      </c>
      <c r="N210" s="537"/>
    </row>
    <row r="211" spans="1:14" ht="15.9" customHeight="1">
      <c r="A211" s="319" t="s">
        <v>1025</v>
      </c>
      <c r="B211" s="536">
        <v>46135</v>
      </c>
      <c r="C211" s="536">
        <v>46146</v>
      </c>
      <c r="D211" s="319" t="s">
        <v>1707</v>
      </c>
      <c r="E211" s="319" t="s">
        <v>1708</v>
      </c>
      <c r="F211" s="319" t="s">
        <v>1036</v>
      </c>
      <c r="G211" s="319" t="s">
        <v>1029</v>
      </c>
      <c r="H211" s="319" t="s">
        <v>1709</v>
      </c>
      <c r="I211" s="535">
        <v>1426.7</v>
      </c>
      <c r="J211" s="535">
        <v>665</v>
      </c>
      <c r="K211" s="535">
        <v>2091.6999999999998</v>
      </c>
      <c r="L211" s="535" t="s">
        <v>79</v>
      </c>
      <c r="M211" s="535" t="s">
        <v>994</v>
      </c>
      <c r="N211" s="537"/>
    </row>
    <row r="212" spans="1:14" ht="15.9" customHeight="1">
      <c r="A212" s="319" t="s">
        <v>1054</v>
      </c>
      <c r="B212" s="536">
        <v>46135</v>
      </c>
      <c r="C212" s="536">
        <v>46165</v>
      </c>
      <c r="D212" s="319" t="s">
        <v>1710</v>
      </c>
      <c r="E212" s="319" t="s">
        <v>1711</v>
      </c>
      <c r="F212" s="319" t="s">
        <v>1028</v>
      </c>
      <c r="G212" s="319" t="s">
        <v>1029</v>
      </c>
      <c r="H212" s="319" t="s">
        <v>1712</v>
      </c>
      <c r="I212" s="535">
        <v>1537.93</v>
      </c>
      <c r="J212" s="535">
        <v>760</v>
      </c>
      <c r="K212" s="535">
        <v>2297.9299999999998</v>
      </c>
      <c r="L212" s="535" t="s">
        <v>88</v>
      </c>
      <c r="M212" s="535" t="s">
        <v>993</v>
      </c>
      <c r="N212" s="537"/>
    </row>
    <row r="213" spans="1:14" ht="15.9" customHeight="1">
      <c r="A213" s="319" t="s">
        <v>1054</v>
      </c>
      <c r="B213" s="536">
        <v>46135</v>
      </c>
      <c r="C213" s="536">
        <v>46165</v>
      </c>
      <c r="D213" s="319" t="s">
        <v>1713</v>
      </c>
      <c r="E213" s="319" t="s">
        <v>1714</v>
      </c>
      <c r="F213" s="319" t="s">
        <v>1085</v>
      </c>
      <c r="G213" s="319" t="s">
        <v>1029</v>
      </c>
      <c r="H213" s="319" t="s">
        <v>1715</v>
      </c>
      <c r="I213" s="535">
        <v>2516.2600000000002</v>
      </c>
      <c r="J213" s="535">
        <v>855</v>
      </c>
      <c r="K213" s="535">
        <v>3371.26</v>
      </c>
      <c r="L213" s="535" t="s">
        <v>88</v>
      </c>
      <c r="M213" s="535" t="s">
        <v>1042</v>
      </c>
      <c r="N213" s="537"/>
    </row>
    <row r="214" spans="1:14" ht="15.9" customHeight="1">
      <c r="A214" s="319" t="s">
        <v>1025</v>
      </c>
      <c r="B214" s="536">
        <v>46135</v>
      </c>
      <c r="C214" s="536">
        <v>46145</v>
      </c>
      <c r="D214" s="319" t="s">
        <v>1716</v>
      </c>
      <c r="E214" s="319" t="s">
        <v>1717</v>
      </c>
      <c r="F214" s="319" t="s">
        <v>1070</v>
      </c>
      <c r="G214" s="319" t="s">
        <v>1029</v>
      </c>
      <c r="H214" s="319" t="s">
        <v>1718</v>
      </c>
      <c r="I214" s="535">
        <v>1548.11</v>
      </c>
      <c r="J214" s="535">
        <v>665</v>
      </c>
      <c r="K214" s="535">
        <v>2213.11</v>
      </c>
      <c r="L214" s="535" t="s">
        <v>88</v>
      </c>
      <c r="M214" s="535" t="s">
        <v>993</v>
      </c>
      <c r="N214" s="537"/>
    </row>
    <row r="215" spans="1:14" ht="15.9" customHeight="1">
      <c r="A215" s="319" t="s">
        <v>1054</v>
      </c>
      <c r="B215" s="536">
        <v>46135</v>
      </c>
      <c r="C215" s="536">
        <v>46164</v>
      </c>
      <c r="D215" s="319" t="s">
        <v>1719</v>
      </c>
      <c r="E215" s="319" t="s">
        <v>1720</v>
      </c>
      <c r="F215" s="319" t="s">
        <v>1170</v>
      </c>
      <c r="G215" s="319" t="s">
        <v>1029</v>
      </c>
      <c r="H215" s="319" t="s">
        <v>1721</v>
      </c>
      <c r="I215" s="535">
        <v>1282.8900000000001</v>
      </c>
      <c r="J215" s="535">
        <v>665</v>
      </c>
      <c r="K215" s="535">
        <v>1947.89</v>
      </c>
      <c r="L215" s="535" t="s">
        <v>88</v>
      </c>
      <c r="M215" s="535" t="s">
        <v>993</v>
      </c>
      <c r="N215" s="537"/>
    </row>
    <row r="216" spans="1:14" ht="15.9" customHeight="1">
      <c r="A216" s="319" t="s">
        <v>1054</v>
      </c>
      <c r="B216" s="536">
        <v>46135</v>
      </c>
      <c r="C216" s="536">
        <v>46150</v>
      </c>
      <c r="D216" s="319" t="s">
        <v>1722</v>
      </c>
      <c r="E216" s="319" t="s">
        <v>1723</v>
      </c>
      <c r="F216" s="319" t="s">
        <v>1100</v>
      </c>
      <c r="G216" s="319" t="s">
        <v>1029</v>
      </c>
      <c r="H216" s="319" t="s">
        <v>1724</v>
      </c>
      <c r="I216" s="535">
        <v>2552.67</v>
      </c>
      <c r="J216" s="535">
        <v>855</v>
      </c>
      <c r="K216" s="535">
        <v>3407.67</v>
      </c>
      <c r="L216" s="535" t="s">
        <v>78</v>
      </c>
      <c r="M216" s="535" t="s">
        <v>1042</v>
      </c>
      <c r="N216" s="537"/>
    </row>
    <row r="217" spans="1:14" ht="15.9" customHeight="1">
      <c r="A217" s="319" t="s">
        <v>1054</v>
      </c>
      <c r="B217" s="536">
        <v>46135</v>
      </c>
      <c r="C217" s="536">
        <v>46145</v>
      </c>
      <c r="D217" s="319" t="s">
        <v>1725</v>
      </c>
      <c r="E217" s="319" t="s">
        <v>1726</v>
      </c>
      <c r="F217" s="319" t="s">
        <v>1028</v>
      </c>
      <c r="G217" s="319" t="s">
        <v>1029</v>
      </c>
      <c r="H217" s="319" t="s">
        <v>1727</v>
      </c>
      <c r="I217" s="535">
        <v>1527.25</v>
      </c>
      <c r="J217" s="535">
        <v>760</v>
      </c>
      <c r="K217" s="535">
        <v>2287.25</v>
      </c>
      <c r="L217" s="535" t="s">
        <v>78</v>
      </c>
      <c r="M217" s="535" t="s">
        <v>994</v>
      </c>
      <c r="N217" s="537"/>
    </row>
    <row r="218" spans="1:14" ht="15.9" customHeight="1">
      <c r="A218" s="319" t="s">
        <v>1025</v>
      </c>
      <c r="B218" s="536">
        <v>46135</v>
      </c>
      <c r="C218" s="536">
        <v>46146</v>
      </c>
      <c r="D218" s="319" t="s">
        <v>1728</v>
      </c>
      <c r="E218" s="319" t="s">
        <v>1729</v>
      </c>
      <c r="F218" s="319" t="s">
        <v>1606</v>
      </c>
      <c r="G218" s="319" t="s">
        <v>1029</v>
      </c>
      <c r="H218" s="319" t="s">
        <v>1730</v>
      </c>
      <c r="I218" s="535">
        <v>1078.1300000000001</v>
      </c>
      <c r="J218" s="535">
        <v>665</v>
      </c>
      <c r="K218" s="535">
        <v>1743.13</v>
      </c>
      <c r="L218" s="535" t="s">
        <v>78</v>
      </c>
      <c r="M218" s="535" t="s">
        <v>993</v>
      </c>
      <c r="N218" s="537"/>
    </row>
    <row r="219" spans="1:14" ht="15.9" customHeight="1">
      <c r="A219" s="319" t="s">
        <v>1054</v>
      </c>
      <c r="B219" s="536">
        <v>46135</v>
      </c>
      <c r="C219" s="536">
        <v>46153</v>
      </c>
      <c r="D219" s="319" t="s">
        <v>1731</v>
      </c>
      <c r="E219" s="319" t="s">
        <v>1732</v>
      </c>
      <c r="F219" s="319" t="s">
        <v>1733</v>
      </c>
      <c r="G219" s="319" t="s">
        <v>1029</v>
      </c>
      <c r="H219" s="319" t="s">
        <v>1734</v>
      </c>
      <c r="I219" s="535">
        <v>1337.46</v>
      </c>
      <c r="J219" s="535">
        <v>665</v>
      </c>
      <c r="K219" s="535">
        <v>2002.46</v>
      </c>
      <c r="L219" s="535" t="s">
        <v>78</v>
      </c>
      <c r="M219" s="535" t="s">
        <v>993</v>
      </c>
      <c r="N219" s="537"/>
    </row>
    <row r="220" spans="1:14" ht="15.9" customHeight="1">
      <c r="A220" s="319" t="s">
        <v>1130</v>
      </c>
      <c r="B220" s="536">
        <v>46135</v>
      </c>
      <c r="C220" s="536">
        <v>46164</v>
      </c>
      <c r="D220" s="319" t="s">
        <v>1735</v>
      </c>
      <c r="E220" s="319" t="s">
        <v>1736</v>
      </c>
      <c r="F220" s="319" t="s">
        <v>1463</v>
      </c>
      <c r="G220" s="319" t="s">
        <v>1029</v>
      </c>
      <c r="H220" s="319" t="s">
        <v>1737</v>
      </c>
      <c r="I220" s="535">
        <v>1084.3</v>
      </c>
      <c r="J220" s="535">
        <v>665</v>
      </c>
      <c r="K220" s="535">
        <v>1749.3</v>
      </c>
      <c r="L220" s="535" t="s">
        <v>78</v>
      </c>
      <c r="M220" s="535" t="s">
        <v>993</v>
      </c>
      <c r="N220" s="537"/>
    </row>
    <row r="221" spans="1:14" ht="15.9" customHeight="1">
      <c r="A221" s="319" t="s">
        <v>1054</v>
      </c>
      <c r="B221" s="536">
        <v>46135</v>
      </c>
      <c r="C221" s="536">
        <v>46152</v>
      </c>
      <c r="D221" s="319" t="s">
        <v>1738</v>
      </c>
      <c r="E221" s="319" t="s">
        <v>1739</v>
      </c>
      <c r="F221" s="319" t="s">
        <v>1211</v>
      </c>
      <c r="G221" s="319" t="s">
        <v>1029</v>
      </c>
      <c r="H221" s="319" t="s">
        <v>1740</v>
      </c>
      <c r="I221" s="535">
        <v>2884.14</v>
      </c>
      <c r="J221" s="535">
        <v>855</v>
      </c>
      <c r="K221" s="535">
        <v>3739.14</v>
      </c>
      <c r="L221" s="535" t="s">
        <v>79</v>
      </c>
      <c r="M221" s="535" t="s">
        <v>1042</v>
      </c>
      <c r="N221" s="537"/>
    </row>
    <row r="222" spans="1:14" ht="15.9" customHeight="1">
      <c r="A222" s="319" t="s">
        <v>1025</v>
      </c>
      <c r="B222" s="536">
        <v>46135</v>
      </c>
      <c r="C222" s="536">
        <v>46165</v>
      </c>
      <c r="D222" s="319" t="s">
        <v>1741</v>
      </c>
      <c r="E222" s="319" t="s">
        <v>1742</v>
      </c>
      <c r="F222" s="319" t="s">
        <v>1170</v>
      </c>
      <c r="G222" s="319" t="s">
        <v>1029</v>
      </c>
      <c r="H222" s="319" t="s">
        <v>1743</v>
      </c>
      <c r="I222" s="535">
        <v>1208.48</v>
      </c>
      <c r="J222" s="535">
        <v>665</v>
      </c>
      <c r="K222" s="535">
        <v>1873.48</v>
      </c>
      <c r="L222" s="535" t="s">
        <v>80</v>
      </c>
      <c r="M222" s="535" t="s">
        <v>993</v>
      </c>
      <c r="N222" s="537"/>
    </row>
    <row r="223" spans="1:14" ht="15.9" customHeight="1">
      <c r="A223" s="319" t="s">
        <v>1054</v>
      </c>
      <c r="B223" s="536">
        <v>46135</v>
      </c>
      <c r="C223" s="536">
        <v>46165</v>
      </c>
      <c r="D223" s="319" t="s">
        <v>1744</v>
      </c>
      <c r="E223" s="319" t="s">
        <v>1745</v>
      </c>
      <c r="F223" s="319" t="s">
        <v>1400</v>
      </c>
      <c r="G223" s="319" t="s">
        <v>1029</v>
      </c>
      <c r="H223" s="319" t="s">
        <v>1746</v>
      </c>
      <c r="I223" s="535">
        <v>1242.6400000000001</v>
      </c>
      <c r="J223" s="535">
        <v>665</v>
      </c>
      <c r="K223" s="535">
        <v>1907.64</v>
      </c>
      <c r="L223" s="535" t="s">
        <v>80</v>
      </c>
      <c r="M223" s="535" t="s">
        <v>993</v>
      </c>
      <c r="N223" s="537"/>
    </row>
    <row r="224" spans="1:14" ht="15.9" customHeight="1">
      <c r="A224" s="319" t="s">
        <v>1025</v>
      </c>
      <c r="B224" s="536">
        <v>46135</v>
      </c>
      <c r="C224" s="536">
        <v>46147</v>
      </c>
      <c r="D224" s="319" t="s">
        <v>1747</v>
      </c>
      <c r="E224" s="319" t="s">
        <v>1748</v>
      </c>
      <c r="F224" s="319" t="s">
        <v>1074</v>
      </c>
      <c r="G224" s="319" t="s">
        <v>1029</v>
      </c>
      <c r="H224" s="319" t="s">
        <v>1749</v>
      </c>
      <c r="I224" s="535">
        <v>1776</v>
      </c>
      <c r="J224" s="535">
        <v>855</v>
      </c>
      <c r="K224" s="535">
        <v>2631</v>
      </c>
      <c r="L224" s="535" t="s">
        <v>80</v>
      </c>
      <c r="M224" s="535" t="s">
        <v>993</v>
      </c>
      <c r="N224" s="537"/>
    </row>
    <row r="225" spans="1:14" ht="15.9" customHeight="1">
      <c r="A225" s="319" t="s">
        <v>1025</v>
      </c>
      <c r="B225" s="536">
        <v>46135</v>
      </c>
      <c r="C225" s="536">
        <v>46147</v>
      </c>
      <c r="D225" s="319" t="s">
        <v>1750</v>
      </c>
      <c r="E225" s="319" t="s">
        <v>1751</v>
      </c>
      <c r="F225" s="319" t="s">
        <v>1752</v>
      </c>
      <c r="G225" s="319" t="s">
        <v>1029</v>
      </c>
      <c r="H225" s="319" t="s">
        <v>1753</v>
      </c>
      <c r="I225" s="535">
        <v>1181.68</v>
      </c>
      <c r="J225" s="535">
        <v>665</v>
      </c>
      <c r="K225" s="535">
        <v>1846.68</v>
      </c>
      <c r="L225" s="535" t="s">
        <v>80</v>
      </c>
      <c r="M225" s="535" t="s">
        <v>993</v>
      </c>
      <c r="N225" s="537"/>
    </row>
    <row r="226" spans="1:14" ht="15.9" customHeight="1">
      <c r="A226" s="319" t="s">
        <v>1054</v>
      </c>
      <c r="B226" s="536">
        <v>46135</v>
      </c>
      <c r="C226" s="536">
        <v>46147</v>
      </c>
      <c r="D226" s="319" t="s">
        <v>1754</v>
      </c>
      <c r="E226" s="319" t="s">
        <v>1755</v>
      </c>
      <c r="F226" s="319" t="s">
        <v>1096</v>
      </c>
      <c r="G226" s="319" t="s">
        <v>1029</v>
      </c>
      <c r="H226" s="319" t="s">
        <v>1756</v>
      </c>
      <c r="I226" s="535">
        <v>2269.37</v>
      </c>
      <c r="J226" s="535">
        <v>760</v>
      </c>
      <c r="K226" s="535">
        <v>3029.37</v>
      </c>
      <c r="L226" s="535" t="s">
        <v>80</v>
      </c>
      <c r="M226" s="535" t="s">
        <v>993</v>
      </c>
      <c r="N226" s="537"/>
    </row>
    <row r="227" spans="1:14" ht="15.9" customHeight="1">
      <c r="A227" s="319" t="s">
        <v>1054</v>
      </c>
      <c r="B227" s="536">
        <v>46135</v>
      </c>
      <c r="C227" s="536">
        <v>46147</v>
      </c>
      <c r="D227" s="319" t="s">
        <v>1757</v>
      </c>
      <c r="E227" s="319" t="s">
        <v>1758</v>
      </c>
      <c r="F227" s="319" t="s">
        <v>1315</v>
      </c>
      <c r="G227" s="319" t="s">
        <v>1029</v>
      </c>
      <c r="H227" s="319" t="s">
        <v>1759</v>
      </c>
      <c r="I227" s="535">
        <v>487.83</v>
      </c>
      <c r="J227" s="535">
        <v>855</v>
      </c>
      <c r="K227" s="535">
        <v>1342.83</v>
      </c>
      <c r="L227" s="535" t="s">
        <v>80</v>
      </c>
      <c r="M227" s="535" t="s">
        <v>993</v>
      </c>
      <c r="N227" s="537"/>
    </row>
    <row r="228" spans="1:14" ht="15.9" customHeight="1">
      <c r="A228" s="319" t="s">
        <v>1054</v>
      </c>
      <c r="B228" s="536">
        <v>46135</v>
      </c>
      <c r="C228" s="536">
        <v>46161</v>
      </c>
      <c r="D228" s="319" t="s">
        <v>1760</v>
      </c>
      <c r="E228" s="319" t="s">
        <v>1761</v>
      </c>
      <c r="F228" s="319" t="s">
        <v>1149</v>
      </c>
      <c r="G228" s="319" t="s">
        <v>1029</v>
      </c>
      <c r="H228" s="319" t="s">
        <v>1762</v>
      </c>
      <c r="I228" s="535">
        <v>1430.34</v>
      </c>
      <c r="J228" s="535">
        <v>665</v>
      </c>
      <c r="K228" s="535">
        <v>2095.34</v>
      </c>
      <c r="L228" s="535" t="s">
        <v>80</v>
      </c>
      <c r="M228" s="535" t="s">
        <v>993</v>
      </c>
      <c r="N228" s="537"/>
    </row>
    <row r="229" spans="1:14" ht="15.9" customHeight="1">
      <c r="A229" s="319" t="s">
        <v>1025</v>
      </c>
      <c r="B229" s="536">
        <v>46135</v>
      </c>
      <c r="C229" s="536">
        <v>46154</v>
      </c>
      <c r="D229" s="319" t="s">
        <v>1763</v>
      </c>
      <c r="E229" s="319" t="s">
        <v>1764</v>
      </c>
      <c r="F229" s="319" t="s">
        <v>1092</v>
      </c>
      <c r="G229" s="319" t="s">
        <v>1029</v>
      </c>
      <c r="H229" s="319" t="s">
        <v>1765</v>
      </c>
      <c r="I229" s="535">
        <v>3699.54</v>
      </c>
      <c r="J229" s="535">
        <v>1045</v>
      </c>
      <c r="K229" s="535">
        <v>4744.54</v>
      </c>
      <c r="L229" s="535" t="s">
        <v>80</v>
      </c>
      <c r="M229" s="535" t="s">
        <v>1042</v>
      </c>
      <c r="N229" s="537"/>
    </row>
    <row r="230" spans="1:14" ht="15.9" customHeight="1">
      <c r="A230" s="319" t="s">
        <v>1054</v>
      </c>
      <c r="B230" s="536">
        <v>46135</v>
      </c>
      <c r="C230" s="536">
        <v>46152</v>
      </c>
      <c r="D230" s="319" t="s">
        <v>1766</v>
      </c>
      <c r="E230" s="319" t="s">
        <v>1767</v>
      </c>
      <c r="F230" s="319" t="s">
        <v>1268</v>
      </c>
      <c r="G230" s="319" t="s">
        <v>1029</v>
      </c>
      <c r="H230" s="319" t="s">
        <v>1768</v>
      </c>
      <c r="I230" s="535">
        <v>2009.05</v>
      </c>
      <c r="J230" s="535">
        <v>855</v>
      </c>
      <c r="K230" s="535">
        <v>2864.05</v>
      </c>
      <c r="L230" s="535" t="s">
        <v>80</v>
      </c>
      <c r="M230" s="535" t="s">
        <v>1042</v>
      </c>
      <c r="N230" s="537"/>
    </row>
    <row r="231" spans="1:14" ht="15.9" customHeight="1">
      <c r="A231" s="319" t="s">
        <v>1054</v>
      </c>
      <c r="B231" s="536">
        <v>46135</v>
      </c>
      <c r="C231" s="536">
        <v>46164</v>
      </c>
      <c r="D231" s="319" t="s">
        <v>1769</v>
      </c>
      <c r="E231" s="319" t="s">
        <v>1770</v>
      </c>
      <c r="F231" s="319" t="s">
        <v>1329</v>
      </c>
      <c r="G231" s="319" t="s">
        <v>1029</v>
      </c>
      <c r="H231" s="319" t="s">
        <v>1771</v>
      </c>
      <c r="I231" s="535">
        <v>3221.7</v>
      </c>
      <c r="J231" s="535">
        <v>855</v>
      </c>
      <c r="K231" s="535">
        <v>4076.7</v>
      </c>
      <c r="L231" s="535" t="s">
        <v>80</v>
      </c>
      <c r="M231" s="535" t="s">
        <v>1042</v>
      </c>
      <c r="N231" s="537"/>
    </row>
    <row r="232" spans="1:14" ht="15.9" customHeight="1">
      <c r="A232" s="319" t="s">
        <v>1125</v>
      </c>
      <c r="B232" s="536">
        <v>46135</v>
      </c>
      <c r="C232" s="536">
        <v>46158</v>
      </c>
      <c r="D232" s="319" t="s">
        <v>1772</v>
      </c>
      <c r="E232" s="319" t="s">
        <v>1773</v>
      </c>
      <c r="F232" s="319" t="s">
        <v>1307</v>
      </c>
      <c r="G232" s="319" t="s">
        <v>1029</v>
      </c>
      <c r="H232" s="319" t="s">
        <v>1774</v>
      </c>
      <c r="I232" s="535">
        <v>1118.32</v>
      </c>
      <c r="J232" s="535">
        <v>665</v>
      </c>
      <c r="K232" s="535">
        <v>1783.32</v>
      </c>
      <c r="L232" s="535" t="s">
        <v>80</v>
      </c>
      <c r="M232" s="535" t="s">
        <v>993</v>
      </c>
      <c r="N232" s="537"/>
    </row>
    <row r="233" spans="1:14" ht="15.9" customHeight="1">
      <c r="A233" s="319" t="s">
        <v>1025</v>
      </c>
      <c r="B233" s="536">
        <v>46135</v>
      </c>
      <c r="C233" s="536">
        <v>46151</v>
      </c>
      <c r="D233" s="319" t="s">
        <v>1775</v>
      </c>
      <c r="E233" s="319" t="s">
        <v>1776</v>
      </c>
      <c r="F233" s="319" t="s">
        <v>1777</v>
      </c>
      <c r="G233" s="319" t="s">
        <v>1029</v>
      </c>
      <c r="H233" s="319" t="s">
        <v>1778</v>
      </c>
      <c r="I233" s="535">
        <v>399.34</v>
      </c>
      <c r="J233" s="535">
        <v>665</v>
      </c>
      <c r="K233" s="535">
        <v>1064.3399999999999</v>
      </c>
      <c r="L233" s="535" t="s">
        <v>80</v>
      </c>
      <c r="M233" s="535" t="s">
        <v>993</v>
      </c>
      <c r="N233" s="537" t="s">
        <v>1118</v>
      </c>
    </row>
    <row r="234" spans="1:14" ht="15.9" customHeight="1">
      <c r="A234" s="319" t="s">
        <v>1054</v>
      </c>
      <c r="B234" s="536">
        <v>46135</v>
      </c>
      <c r="C234" s="536">
        <v>46152</v>
      </c>
      <c r="D234" s="319" t="s">
        <v>1779</v>
      </c>
      <c r="E234" s="319" t="s">
        <v>1780</v>
      </c>
      <c r="F234" s="319" t="s">
        <v>1070</v>
      </c>
      <c r="G234" s="319" t="s">
        <v>1029</v>
      </c>
      <c r="H234" s="319" t="s">
        <v>1781</v>
      </c>
      <c r="I234" s="535">
        <v>1823.41</v>
      </c>
      <c r="J234" s="535">
        <v>1000</v>
      </c>
      <c r="K234" s="535">
        <v>2823.41</v>
      </c>
      <c r="L234" s="535" t="s">
        <v>80</v>
      </c>
      <c r="M234" s="535" t="s">
        <v>993</v>
      </c>
      <c r="N234" s="537"/>
    </row>
    <row r="235" spans="1:14" ht="15.9" customHeight="1">
      <c r="A235" s="319" t="s">
        <v>1130</v>
      </c>
      <c r="B235" s="536">
        <v>46135</v>
      </c>
      <c r="C235" s="536">
        <v>46159</v>
      </c>
      <c r="D235" s="319" t="s">
        <v>1782</v>
      </c>
      <c r="E235" s="319" t="s">
        <v>1783</v>
      </c>
      <c r="F235" s="319" t="s">
        <v>1467</v>
      </c>
      <c r="G235" s="319" t="s">
        <v>1029</v>
      </c>
      <c r="H235" s="319" t="s">
        <v>1784</v>
      </c>
      <c r="I235" s="535">
        <v>1397.6</v>
      </c>
      <c r="J235" s="535">
        <v>760</v>
      </c>
      <c r="K235" s="535">
        <v>2157.6</v>
      </c>
      <c r="L235" s="535" t="s">
        <v>80</v>
      </c>
      <c r="M235" s="535" t="s">
        <v>994</v>
      </c>
      <c r="N235" s="537"/>
    </row>
    <row r="236" spans="1:14" ht="15.9" customHeight="1">
      <c r="A236" s="319" t="s">
        <v>1054</v>
      </c>
      <c r="B236" s="536">
        <v>46136</v>
      </c>
      <c r="C236" s="536">
        <v>46150</v>
      </c>
      <c r="D236" s="319" t="s">
        <v>1785</v>
      </c>
      <c r="E236" s="319" t="s">
        <v>1786</v>
      </c>
      <c r="F236" s="319" t="s">
        <v>1149</v>
      </c>
      <c r="G236" s="319" t="s">
        <v>1029</v>
      </c>
      <c r="H236" s="319" t="s">
        <v>1787</v>
      </c>
      <c r="I236" s="535">
        <v>1635.48</v>
      </c>
      <c r="J236" s="535">
        <v>665</v>
      </c>
      <c r="K236" s="535">
        <v>2300.48</v>
      </c>
      <c r="L236" s="535" t="s">
        <v>88</v>
      </c>
      <c r="M236" s="535" t="s">
        <v>993</v>
      </c>
      <c r="N236" s="537"/>
    </row>
    <row r="237" spans="1:14" ht="15.9" customHeight="1">
      <c r="A237" s="319" t="s">
        <v>1025</v>
      </c>
      <c r="B237" s="536">
        <v>46136</v>
      </c>
      <c r="C237" s="536">
        <v>46166</v>
      </c>
      <c r="D237" s="319" t="s">
        <v>1788</v>
      </c>
      <c r="E237" s="319" t="s">
        <v>1789</v>
      </c>
      <c r="F237" s="319" t="s">
        <v>1790</v>
      </c>
      <c r="G237" s="319" t="s">
        <v>1029</v>
      </c>
      <c r="H237" s="319" t="s">
        <v>1791</v>
      </c>
      <c r="I237" s="535">
        <v>1661.3</v>
      </c>
      <c r="J237" s="535">
        <v>950</v>
      </c>
      <c r="K237" s="535">
        <v>2611.3000000000002</v>
      </c>
      <c r="L237" s="535" t="s">
        <v>88</v>
      </c>
      <c r="M237" s="535" t="s">
        <v>993</v>
      </c>
      <c r="N237" s="537"/>
    </row>
    <row r="238" spans="1:14" ht="15.9" customHeight="1">
      <c r="A238" s="319" t="s">
        <v>1331</v>
      </c>
      <c r="B238" s="536">
        <v>46136</v>
      </c>
      <c r="C238" s="536">
        <v>46154</v>
      </c>
      <c r="D238" s="319" t="s">
        <v>1792</v>
      </c>
      <c r="E238" s="319" t="s">
        <v>1793</v>
      </c>
      <c r="F238" s="319" t="s">
        <v>1794</v>
      </c>
      <c r="G238" s="319" t="s">
        <v>1029</v>
      </c>
      <c r="H238" s="319" t="s">
        <v>1795</v>
      </c>
      <c r="I238" s="535">
        <v>785.99</v>
      </c>
      <c r="J238" s="535">
        <v>665</v>
      </c>
      <c r="K238" s="535">
        <v>1450.99</v>
      </c>
      <c r="L238" s="535" t="s">
        <v>87</v>
      </c>
      <c r="M238" s="535" t="s">
        <v>993</v>
      </c>
      <c r="N238" s="537"/>
    </row>
    <row r="239" spans="1:14" ht="15.9" customHeight="1">
      <c r="A239" s="319" t="s">
        <v>1025</v>
      </c>
      <c r="B239" s="536">
        <v>46136</v>
      </c>
      <c r="C239" s="536">
        <v>46166</v>
      </c>
      <c r="D239" s="319" t="s">
        <v>1796</v>
      </c>
      <c r="E239" s="319" t="s">
        <v>1797</v>
      </c>
      <c r="F239" s="319" t="s">
        <v>1798</v>
      </c>
      <c r="G239" s="319" t="s">
        <v>1029</v>
      </c>
      <c r="H239" s="319" t="s">
        <v>1799</v>
      </c>
      <c r="I239" s="535">
        <v>1011.55</v>
      </c>
      <c r="J239" s="535">
        <v>665</v>
      </c>
      <c r="K239" s="535">
        <v>1676.55</v>
      </c>
      <c r="L239" s="535" t="s">
        <v>80</v>
      </c>
      <c r="M239" s="535" t="s">
        <v>993</v>
      </c>
      <c r="N239" s="537"/>
    </row>
    <row r="240" spans="1:14" ht="15.9" customHeight="1">
      <c r="A240" s="319" t="s">
        <v>1025</v>
      </c>
      <c r="B240" s="536">
        <v>46136</v>
      </c>
      <c r="C240" s="536">
        <v>46166</v>
      </c>
      <c r="D240" s="319" t="s">
        <v>1800</v>
      </c>
      <c r="E240" s="319" t="s">
        <v>1801</v>
      </c>
      <c r="F240" s="319" t="s">
        <v>1396</v>
      </c>
      <c r="G240" s="319" t="s">
        <v>1029</v>
      </c>
      <c r="H240" s="319" t="s">
        <v>1802</v>
      </c>
      <c r="I240" s="535">
        <v>1040.51</v>
      </c>
      <c r="J240" s="535">
        <v>665</v>
      </c>
      <c r="K240" s="535">
        <v>1705.51</v>
      </c>
      <c r="L240" s="535" t="s">
        <v>80</v>
      </c>
      <c r="M240" s="535" t="s">
        <v>993</v>
      </c>
      <c r="N240" s="537"/>
    </row>
    <row r="241" spans="1:14" ht="15.9" customHeight="1">
      <c r="A241" s="319" t="s">
        <v>1125</v>
      </c>
      <c r="B241" s="536">
        <v>46136</v>
      </c>
      <c r="C241" s="536">
        <v>46148</v>
      </c>
      <c r="D241" s="319" t="s">
        <v>1803</v>
      </c>
      <c r="E241" s="319" t="s">
        <v>1804</v>
      </c>
      <c r="F241" s="319" t="s">
        <v>1057</v>
      </c>
      <c r="G241" s="319" t="s">
        <v>1029</v>
      </c>
      <c r="H241" s="319" t="s">
        <v>1805</v>
      </c>
      <c r="I241" s="535">
        <v>1612.74</v>
      </c>
      <c r="J241" s="535">
        <v>665</v>
      </c>
      <c r="K241" s="535">
        <v>2277.7399999999998</v>
      </c>
      <c r="L241" s="535" t="s">
        <v>80</v>
      </c>
      <c r="M241" s="535" t="s">
        <v>993</v>
      </c>
      <c r="N241" s="537"/>
    </row>
    <row r="242" spans="1:14" ht="15.9" customHeight="1">
      <c r="A242" s="319" t="s">
        <v>1110</v>
      </c>
      <c r="B242" s="536">
        <v>46136</v>
      </c>
      <c r="C242" s="536">
        <v>46163</v>
      </c>
      <c r="D242" s="319" t="s">
        <v>1806</v>
      </c>
      <c r="E242" s="319" t="s">
        <v>1807</v>
      </c>
      <c r="F242" s="319" t="s">
        <v>1427</v>
      </c>
      <c r="G242" s="319" t="s">
        <v>1029</v>
      </c>
      <c r="H242" s="319" t="s">
        <v>1808</v>
      </c>
      <c r="I242" s="535">
        <v>1210.3</v>
      </c>
      <c r="J242" s="535">
        <v>950</v>
      </c>
      <c r="K242" s="535">
        <v>2160.3000000000002</v>
      </c>
      <c r="L242" s="535" t="s">
        <v>80</v>
      </c>
      <c r="M242" s="535" t="s">
        <v>993</v>
      </c>
      <c r="N242" s="537"/>
    </row>
    <row r="243" spans="1:14" ht="15.9" customHeight="1">
      <c r="A243" s="319" t="s">
        <v>1025</v>
      </c>
      <c r="B243" s="536">
        <v>46136</v>
      </c>
      <c r="C243" s="536">
        <v>46162</v>
      </c>
      <c r="D243" s="319" t="s">
        <v>1809</v>
      </c>
      <c r="E243" s="319" t="s">
        <v>1810</v>
      </c>
      <c r="F243" s="319" t="s">
        <v>1631</v>
      </c>
      <c r="G243" s="319" t="s">
        <v>1029</v>
      </c>
      <c r="H243" s="319" t="s">
        <v>1811</v>
      </c>
      <c r="I243" s="535">
        <v>2229.71</v>
      </c>
      <c r="J243" s="535"/>
      <c r="K243" s="535">
        <v>2229.71</v>
      </c>
      <c r="L243" s="535" t="s">
        <v>80</v>
      </c>
      <c r="M243" s="535" t="s">
        <v>1042</v>
      </c>
      <c r="N243" s="537"/>
    </row>
    <row r="244" spans="1:14" ht="15.9" customHeight="1">
      <c r="A244" s="319" t="s">
        <v>1054</v>
      </c>
      <c r="B244" s="536">
        <v>46136</v>
      </c>
      <c r="C244" s="536">
        <v>46160</v>
      </c>
      <c r="D244" s="319" t="s">
        <v>1812</v>
      </c>
      <c r="E244" s="319" t="s">
        <v>1813</v>
      </c>
      <c r="F244" s="319" t="s">
        <v>1108</v>
      </c>
      <c r="G244" s="319" t="s">
        <v>1029</v>
      </c>
      <c r="H244" s="319" t="s">
        <v>1814</v>
      </c>
      <c r="I244" s="535">
        <v>2546.7199999999998</v>
      </c>
      <c r="J244" s="535">
        <v>950</v>
      </c>
      <c r="K244" s="535">
        <v>3496.72</v>
      </c>
      <c r="L244" s="535" t="s">
        <v>80</v>
      </c>
      <c r="M244" s="535" t="s">
        <v>1042</v>
      </c>
      <c r="N244" s="537"/>
    </row>
    <row r="245" spans="1:14" ht="15.9" customHeight="1">
      <c r="A245" s="319" t="s">
        <v>1054</v>
      </c>
      <c r="B245" s="536">
        <v>46136</v>
      </c>
      <c r="C245" s="536">
        <v>46144</v>
      </c>
      <c r="D245" s="319" t="s">
        <v>1815</v>
      </c>
      <c r="E245" s="319" t="s">
        <v>1816</v>
      </c>
      <c r="F245" s="319" t="s">
        <v>1100</v>
      </c>
      <c r="G245" s="319" t="s">
        <v>1029</v>
      </c>
      <c r="H245" s="319" t="s">
        <v>1817</v>
      </c>
      <c r="I245" s="535">
        <v>2163.5500000000002</v>
      </c>
      <c r="J245" s="535">
        <v>855</v>
      </c>
      <c r="K245" s="535">
        <v>3018.55</v>
      </c>
      <c r="L245" s="535" t="s">
        <v>79</v>
      </c>
      <c r="M245" s="535" t="s">
        <v>993</v>
      </c>
      <c r="N245" s="537"/>
    </row>
    <row r="246" spans="1:14" ht="15.9" customHeight="1">
      <c r="A246" s="319" t="s">
        <v>1054</v>
      </c>
      <c r="B246" s="536">
        <v>46136</v>
      </c>
      <c r="C246" s="536">
        <v>46155</v>
      </c>
      <c r="D246" s="319" t="s">
        <v>1818</v>
      </c>
      <c r="E246" s="319" t="s">
        <v>1819</v>
      </c>
      <c r="F246" s="319" t="s">
        <v>1820</v>
      </c>
      <c r="G246" s="319" t="s">
        <v>1029</v>
      </c>
      <c r="H246" s="319" t="s">
        <v>1821</v>
      </c>
      <c r="I246" s="535">
        <v>1565.9</v>
      </c>
      <c r="J246" s="535">
        <v>855</v>
      </c>
      <c r="K246" s="535">
        <v>2420.9</v>
      </c>
      <c r="L246" s="535" t="s">
        <v>80</v>
      </c>
      <c r="M246" s="535" t="s">
        <v>993</v>
      </c>
      <c r="N246" s="537"/>
    </row>
    <row r="247" spans="1:14" ht="15.9" customHeight="1">
      <c r="A247" s="319" t="s">
        <v>1110</v>
      </c>
      <c r="B247" s="536">
        <v>46137</v>
      </c>
      <c r="C247" s="536">
        <v>46150</v>
      </c>
      <c r="D247" s="319" t="s">
        <v>1822</v>
      </c>
      <c r="E247" s="319" t="s">
        <v>1823</v>
      </c>
      <c r="F247" s="319" t="s">
        <v>1108</v>
      </c>
      <c r="G247" s="319" t="s">
        <v>1029</v>
      </c>
      <c r="H247" s="319" t="s">
        <v>1824</v>
      </c>
      <c r="I247" s="535">
        <v>1490.86</v>
      </c>
      <c r="J247" s="535">
        <v>665</v>
      </c>
      <c r="K247" s="535">
        <v>2155.86</v>
      </c>
      <c r="L247" s="535" t="s">
        <v>80</v>
      </c>
      <c r="M247" s="535" t="s">
        <v>993</v>
      </c>
      <c r="N247" s="537"/>
    </row>
    <row r="248" spans="1:14" ht="15.9" customHeight="1">
      <c r="A248" s="319" t="s">
        <v>1077</v>
      </c>
      <c r="B248" s="536">
        <v>46137</v>
      </c>
      <c r="C248" s="536">
        <v>46167</v>
      </c>
      <c r="D248" s="319" t="s">
        <v>1825</v>
      </c>
      <c r="E248" s="319" t="s">
        <v>1826</v>
      </c>
      <c r="F248" s="319" t="s">
        <v>1827</v>
      </c>
      <c r="G248" s="319" t="s">
        <v>1029</v>
      </c>
      <c r="H248" s="319" t="s">
        <v>1828</v>
      </c>
      <c r="I248" s="535">
        <v>1523.74</v>
      </c>
      <c r="J248" s="535">
        <v>665</v>
      </c>
      <c r="K248" s="535">
        <v>2188.7399999999998</v>
      </c>
      <c r="L248" s="535" t="s">
        <v>80</v>
      </c>
      <c r="M248" s="535" t="s">
        <v>993</v>
      </c>
      <c r="N248" s="537"/>
    </row>
    <row r="249" spans="1:14" ht="15.9" customHeight="1">
      <c r="A249" s="319" t="s">
        <v>1082</v>
      </c>
      <c r="B249" s="536">
        <v>46137</v>
      </c>
      <c r="C249" s="536">
        <v>46166</v>
      </c>
      <c r="D249" s="319" t="s">
        <v>1829</v>
      </c>
      <c r="E249" s="319" t="s">
        <v>1830</v>
      </c>
      <c r="F249" s="319" t="s">
        <v>1646</v>
      </c>
      <c r="G249" s="319" t="s">
        <v>1029</v>
      </c>
      <c r="H249" s="319" t="s">
        <v>1831</v>
      </c>
      <c r="I249" s="535">
        <v>843.9</v>
      </c>
      <c r="J249" s="535">
        <v>665</v>
      </c>
      <c r="K249" s="535">
        <v>1508.9</v>
      </c>
      <c r="L249" s="535" t="s">
        <v>78</v>
      </c>
      <c r="M249" s="535" t="s">
        <v>993</v>
      </c>
      <c r="N249" s="537"/>
    </row>
    <row r="250" spans="1:14" ht="15.9" customHeight="1">
      <c r="A250" s="319" t="s">
        <v>1213</v>
      </c>
      <c r="B250" s="536">
        <v>46137</v>
      </c>
      <c r="C250" s="536">
        <v>46165</v>
      </c>
      <c r="D250" s="319" t="s">
        <v>1832</v>
      </c>
      <c r="E250" s="319" t="s">
        <v>1833</v>
      </c>
      <c r="F250" s="319" t="s">
        <v>1467</v>
      </c>
      <c r="G250" s="319" t="s">
        <v>1029</v>
      </c>
      <c r="H250" s="319" t="s">
        <v>1834</v>
      </c>
      <c r="I250" s="535">
        <v>1519.85</v>
      </c>
      <c r="J250" s="535">
        <v>665</v>
      </c>
      <c r="K250" s="535">
        <v>2184.85</v>
      </c>
      <c r="L250" s="535" t="s">
        <v>88</v>
      </c>
      <c r="M250" s="535" t="s">
        <v>993</v>
      </c>
      <c r="N250" s="537"/>
    </row>
    <row r="251" spans="1:14" ht="15.9" customHeight="1">
      <c r="A251" s="319" t="s">
        <v>1025</v>
      </c>
      <c r="B251" s="536">
        <v>46139</v>
      </c>
      <c r="C251" s="536">
        <v>46160</v>
      </c>
      <c r="D251" s="319" t="s">
        <v>1835</v>
      </c>
      <c r="E251" s="319" t="s">
        <v>1836</v>
      </c>
      <c r="F251" s="319" t="s">
        <v>1329</v>
      </c>
      <c r="G251" s="319" t="s">
        <v>1029</v>
      </c>
      <c r="H251" s="319" t="s">
        <v>1837</v>
      </c>
      <c r="I251" s="535">
        <v>2593.15</v>
      </c>
      <c r="J251" s="535">
        <v>855</v>
      </c>
      <c r="K251" s="535">
        <v>3448.15</v>
      </c>
      <c r="L251" s="535" t="s">
        <v>88</v>
      </c>
      <c r="M251" s="535" t="s">
        <v>1042</v>
      </c>
      <c r="N251" s="537"/>
    </row>
    <row r="252" spans="1:14" ht="15.9" customHeight="1">
      <c r="A252" s="319" t="s">
        <v>1025</v>
      </c>
      <c r="B252" s="536">
        <v>46139</v>
      </c>
      <c r="C252" s="536">
        <v>46167</v>
      </c>
      <c r="D252" s="319" t="s">
        <v>1838</v>
      </c>
      <c r="E252" s="319" t="s">
        <v>1839</v>
      </c>
      <c r="F252" s="319" t="s">
        <v>1631</v>
      </c>
      <c r="G252" s="319" t="s">
        <v>1029</v>
      </c>
      <c r="H252" s="319" t="s">
        <v>1840</v>
      </c>
      <c r="I252" s="535">
        <v>2532.94</v>
      </c>
      <c r="J252" s="535">
        <v>855</v>
      </c>
      <c r="K252" s="535">
        <v>3387.94</v>
      </c>
      <c r="L252" s="535" t="s">
        <v>88</v>
      </c>
      <c r="M252" s="535" t="s">
        <v>1042</v>
      </c>
      <c r="N252" s="537"/>
    </row>
    <row r="253" spans="1:14" ht="15.9" customHeight="1">
      <c r="A253" s="319" t="s">
        <v>1054</v>
      </c>
      <c r="B253" s="536">
        <v>46139</v>
      </c>
      <c r="C253" s="536">
        <v>46143</v>
      </c>
      <c r="D253" s="319" t="s">
        <v>1841</v>
      </c>
      <c r="E253" s="319" t="s">
        <v>1842</v>
      </c>
      <c r="F253" s="319" t="s">
        <v>1400</v>
      </c>
      <c r="G253" s="319" t="s">
        <v>1029</v>
      </c>
      <c r="H253" s="319" t="s">
        <v>1843</v>
      </c>
      <c r="I253" s="535">
        <v>1318.78</v>
      </c>
      <c r="J253" s="535">
        <v>665</v>
      </c>
      <c r="K253" s="535">
        <v>1983.78</v>
      </c>
      <c r="L253" s="535" t="s">
        <v>79</v>
      </c>
      <c r="M253" s="535" t="s">
        <v>993</v>
      </c>
      <c r="N253" s="537"/>
    </row>
    <row r="254" spans="1:14" ht="15.9" customHeight="1">
      <c r="A254" s="319" t="s">
        <v>1025</v>
      </c>
      <c r="B254" s="536">
        <v>46139</v>
      </c>
      <c r="C254" s="536">
        <v>46155</v>
      </c>
      <c r="D254" s="319" t="s">
        <v>1844</v>
      </c>
      <c r="E254" s="319" t="s">
        <v>1845</v>
      </c>
      <c r="F254" s="319" t="s">
        <v>1606</v>
      </c>
      <c r="G254" s="319" t="s">
        <v>1029</v>
      </c>
      <c r="H254" s="319" t="s">
        <v>1846</v>
      </c>
      <c r="I254" s="535">
        <v>1066.6199999999999</v>
      </c>
      <c r="J254" s="535">
        <v>665</v>
      </c>
      <c r="K254" s="535">
        <v>1731.62</v>
      </c>
      <c r="L254" s="535" t="s">
        <v>79</v>
      </c>
      <c r="M254" s="535" t="s">
        <v>993</v>
      </c>
      <c r="N254" s="537"/>
    </row>
    <row r="255" spans="1:14" ht="15.9" customHeight="1">
      <c r="A255" s="319" t="s">
        <v>1054</v>
      </c>
      <c r="B255" s="536">
        <v>46139</v>
      </c>
      <c r="C255" s="536">
        <v>46157</v>
      </c>
      <c r="D255" s="319" t="s">
        <v>1847</v>
      </c>
      <c r="E255" s="319" t="s">
        <v>1848</v>
      </c>
      <c r="F255" s="319" t="s">
        <v>1137</v>
      </c>
      <c r="G255" s="319" t="s">
        <v>1029</v>
      </c>
      <c r="H255" s="319" t="s">
        <v>1849</v>
      </c>
      <c r="I255" s="535">
        <v>1090.9000000000001</v>
      </c>
      <c r="J255" s="535">
        <v>665</v>
      </c>
      <c r="K255" s="535">
        <v>1755.9</v>
      </c>
      <c r="L255" s="535" t="s">
        <v>79</v>
      </c>
      <c r="M255" s="535" t="s">
        <v>993</v>
      </c>
      <c r="N255" s="537"/>
    </row>
    <row r="256" spans="1:14" ht="15.9" customHeight="1">
      <c r="A256" s="319" t="s">
        <v>1054</v>
      </c>
      <c r="B256" s="536">
        <v>46139</v>
      </c>
      <c r="C256" s="536">
        <v>46165</v>
      </c>
      <c r="D256" s="319" t="s">
        <v>1850</v>
      </c>
      <c r="E256" s="319" t="s">
        <v>1851</v>
      </c>
      <c r="F256" s="319" t="s">
        <v>1045</v>
      </c>
      <c r="G256" s="319" t="s">
        <v>1029</v>
      </c>
      <c r="H256" s="319" t="s">
        <v>1852</v>
      </c>
      <c r="I256" s="535">
        <v>1414.14</v>
      </c>
      <c r="J256" s="535">
        <v>760</v>
      </c>
      <c r="K256" s="535">
        <v>2174.14</v>
      </c>
      <c r="L256" s="535" t="s">
        <v>79</v>
      </c>
      <c r="M256" s="535" t="s">
        <v>993</v>
      </c>
      <c r="N256" s="537"/>
    </row>
    <row r="257" spans="1:14" ht="15.9" customHeight="1">
      <c r="A257" s="319" t="s">
        <v>1054</v>
      </c>
      <c r="B257" s="536">
        <v>46139</v>
      </c>
      <c r="C257" s="536">
        <v>46166</v>
      </c>
      <c r="D257" s="319" t="s">
        <v>1853</v>
      </c>
      <c r="E257" s="319" t="s">
        <v>1854</v>
      </c>
      <c r="F257" s="319" t="s">
        <v>1260</v>
      </c>
      <c r="G257" s="319" t="s">
        <v>1029</v>
      </c>
      <c r="H257" s="319" t="s">
        <v>1855</v>
      </c>
      <c r="I257" s="535">
        <v>881.54</v>
      </c>
      <c r="J257" s="535">
        <v>665</v>
      </c>
      <c r="K257" s="535">
        <v>1546.54</v>
      </c>
      <c r="L257" s="535" t="s">
        <v>79</v>
      </c>
      <c r="M257" s="535" t="s">
        <v>993</v>
      </c>
      <c r="N257" s="537"/>
    </row>
    <row r="258" spans="1:14" ht="15.9" customHeight="1">
      <c r="A258" s="319" t="s">
        <v>1130</v>
      </c>
      <c r="B258" s="536">
        <v>46139</v>
      </c>
      <c r="C258" s="536">
        <v>46168</v>
      </c>
      <c r="D258" s="319" t="s">
        <v>1856</v>
      </c>
      <c r="E258" s="319" t="s">
        <v>1857</v>
      </c>
      <c r="F258" s="319" t="s">
        <v>1396</v>
      </c>
      <c r="G258" s="319" t="s">
        <v>1029</v>
      </c>
      <c r="H258" s="319" t="s">
        <v>1858</v>
      </c>
      <c r="I258" s="535">
        <v>1115.17</v>
      </c>
      <c r="J258" s="535">
        <v>665</v>
      </c>
      <c r="K258" s="535">
        <v>1780.17</v>
      </c>
      <c r="L258" s="535" t="s">
        <v>79</v>
      </c>
      <c r="M258" s="535" t="s">
        <v>993</v>
      </c>
      <c r="N258" s="537"/>
    </row>
    <row r="259" spans="1:14" ht="15.9" customHeight="1">
      <c r="A259" s="319" t="s">
        <v>1025</v>
      </c>
      <c r="B259" s="536">
        <v>46139</v>
      </c>
      <c r="C259" s="536">
        <v>46168</v>
      </c>
      <c r="D259" s="319" t="s">
        <v>1859</v>
      </c>
      <c r="E259" s="319" t="s">
        <v>1860</v>
      </c>
      <c r="F259" s="319" t="s">
        <v>1096</v>
      </c>
      <c r="G259" s="319" t="s">
        <v>1029</v>
      </c>
      <c r="H259" s="319" t="s">
        <v>1861</v>
      </c>
      <c r="I259" s="535">
        <v>2919.1</v>
      </c>
      <c r="J259" s="535">
        <v>855</v>
      </c>
      <c r="K259" s="535">
        <v>3774.1</v>
      </c>
      <c r="L259" s="535" t="s">
        <v>79</v>
      </c>
      <c r="M259" s="535" t="s">
        <v>1042</v>
      </c>
      <c r="N259" s="537"/>
    </row>
    <row r="260" spans="1:14" ht="15.9" customHeight="1">
      <c r="A260" s="319" t="s">
        <v>1054</v>
      </c>
      <c r="B260" s="536">
        <v>46139</v>
      </c>
      <c r="C260" s="536">
        <v>46146</v>
      </c>
      <c r="D260" s="319" t="s">
        <v>1862</v>
      </c>
      <c r="E260" s="319" t="s">
        <v>1863</v>
      </c>
      <c r="F260" s="319" t="s">
        <v>1695</v>
      </c>
      <c r="G260" s="319" t="s">
        <v>1029</v>
      </c>
      <c r="H260" s="319" t="s">
        <v>1864</v>
      </c>
      <c r="I260" s="535">
        <v>2572.7600000000002</v>
      </c>
      <c r="J260" s="535">
        <v>855</v>
      </c>
      <c r="K260" s="535">
        <v>3427.76</v>
      </c>
      <c r="L260" s="535" t="s">
        <v>79</v>
      </c>
      <c r="M260" s="535" t="s">
        <v>1042</v>
      </c>
      <c r="N260" s="537"/>
    </row>
    <row r="261" spans="1:14" ht="15.9" customHeight="1">
      <c r="A261" s="319" t="s">
        <v>1054</v>
      </c>
      <c r="B261" s="536">
        <v>46139</v>
      </c>
      <c r="C261" s="536">
        <v>46144</v>
      </c>
      <c r="D261" s="319" t="s">
        <v>1865</v>
      </c>
      <c r="E261" s="319" t="s">
        <v>1866</v>
      </c>
      <c r="F261" s="319" t="s">
        <v>1219</v>
      </c>
      <c r="G261" s="319" t="s">
        <v>1029</v>
      </c>
      <c r="H261" s="319" t="s">
        <v>1867</v>
      </c>
      <c r="I261" s="535">
        <v>2325.0100000000002</v>
      </c>
      <c r="J261" s="535">
        <v>855</v>
      </c>
      <c r="K261" s="535">
        <v>3180.01</v>
      </c>
      <c r="L261" s="535" t="s">
        <v>87</v>
      </c>
      <c r="M261" s="535" t="s">
        <v>1042</v>
      </c>
      <c r="N261" s="537"/>
    </row>
    <row r="262" spans="1:14" ht="15.9" customHeight="1">
      <c r="A262" s="319" t="s">
        <v>1054</v>
      </c>
      <c r="B262" s="536">
        <v>46139</v>
      </c>
      <c r="C262" s="536">
        <v>46148</v>
      </c>
      <c r="D262" s="319" t="s">
        <v>1868</v>
      </c>
      <c r="E262" s="319" t="s">
        <v>1869</v>
      </c>
      <c r="F262" s="319" t="s">
        <v>1153</v>
      </c>
      <c r="G262" s="319" t="s">
        <v>1029</v>
      </c>
      <c r="H262" s="319" t="s">
        <v>1870</v>
      </c>
      <c r="I262" s="535">
        <v>1918.49</v>
      </c>
      <c r="J262" s="535">
        <v>855</v>
      </c>
      <c r="K262" s="535">
        <v>2773.49</v>
      </c>
      <c r="L262" s="535" t="s">
        <v>87</v>
      </c>
      <c r="M262" s="535" t="s">
        <v>1042</v>
      </c>
      <c r="N262" s="537"/>
    </row>
    <row r="263" spans="1:14" ht="15.9" customHeight="1">
      <c r="A263" s="319" t="s">
        <v>1025</v>
      </c>
      <c r="B263" s="536">
        <v>46139</v>
      </c>
      <c r="C263" s="536">
        <v>46148</v>
      </c>
      <c r="D263" s="319" t="s">
        <v>1871</v>
      </c>
      <c r="E263" s="319" t="s">
        <v>1872</v>
      </c>
      <c r="F263" s="319" t="s">
        <v>1096</v>
      </c>
      <c r="G263" s="319" t="s">
        <v>1029</v>
      </c>
      <c r="H263" s="319" t="s">
        <v>1873</v>
      </c>
      <c r="I263" s="535">
        <v>1918.38</v>
      </c>
      <c r="J263" s="535">
        <v>760</v>
      </c>
      <c r="K263" s="535">
        <v>2678.38</v>
      </c>
      <c r="L263" s="535" t="s">
        <v>87</v>
      </c>
      <c r="M263" s="535" t="s">
        <v>994</v>
      </c>
      <c r="N263" s="537"/>
    </row>
    <row r="264" spans="1:14" ht="15.9" customHeight="1">
      <c r="A264" s="319" t="s">
        <v>1054</v>
      </c>
      <c r="B264" s="536">
        <v>46139</v>
      </c>
      <c r="C264" s="536">
        <v>46169</v>
      </c>
      <c r="D264" s="319" t="s">
        <v>1874</v>
      </c>
      <c r="E264" s="319" t="s">
        <v>1875</v>
      </c>
      <c r="F264" s="319" t="s">
        <v>1113</v>
      </c>
      <c r="G264" s="319" t="s">
        <v>1029</v>
      </c>
      <c r="H264" s="319" t="s">
        <v>1876</v>
      </c>
      <c r="I264" s="535">
        <v>1794.28</v>
      </c>
      <c r="J264" s="535">
        <v>760</v>
      </c>
      <c r="K264" s="535">
        <v>2554.2800000000002</v>
      </c>
      <c r="L264" s="535" t="s">
        <v>87</v>
      </c>
      <c r="M264" s="535" t="s">
        <v>993</v>
      </c>
      <c r="N264" s="537"/>
    </row>
    <row r="265" spans="1:14" ht="15.9" customHeight="1">
      <c r="A265" s="319" t="s">
        <v>1025</v>
      </c>
      <c r="B265" s="536">
        <v>46139</v>
      </c>
      <c r="C265" s="536">
        <v>46156</v>
      </c>
      <c r="D265" s="319" t="s">
        <v>1877</v>
      </c>
      <c r="E265" s="319" t="s">
        <v>1878</v>
      </c>
      <c r="F265" s="319" t="s">
        <v>1376</v>
      </c>
      <c r="G265" s="319" t="s">
        <v>1029</v>
      </c>
      <c r="H265" s="319" t="s">
        <v>1879</v>
      </c>
      <c r="I265" s="535">
        <v>512.99</v>
      </c>
      <c r="J265" s="535">
        <v>665</v>
      </c>
      <c r="K265" s="535">
        <v>1177.99</v>
      </c>
      <c r="L265" s="535" t="s">
        <v>78</v>
      </c>
      <c r="M265" s="535" t="s">
        <v>993</v>
      </c>
      <c r="N265" s="537"/>
    </row>
    <row r="266" spans="1:14" ht="15.9" customHeight="1">
      <c r="A266" s="319" t="s">
        <v>1025</v>
      </c>
      <c r="B266" s="536">
        <v>46139</v>
      </c>
      <c r="C266" s="536">
        <v>46151</v>
      </c>
      <c r="D266" s="319" t="s">
        <v>1880</v>
      </c>
      <c r="E266" s="319" t="s">
        <v>1881</v>
      </c>
      <c r="F266" s="319" t="s">
        <v>1100</v>
      </c>
      <c r="G266" s="319" t="s">
        <v>1029</v>
      </c>
      <c r="H266" s="319" t="s">
        <v>1882</v>
      </c>
      <c r="I266" s="535">
        <v>2080.66</v>
      </c>
      <c r="J266" s="535">
        <v>855</v>
      </c>
      <c r="K266" s="535">
        <v>2935.66</v>
      </c>
      <c r="L266" s="535" t="s">
        <v>78</v>
      </c>
      <c r="M266" s="535" t="s">
        <v>1042</v>
      </c>
      <c r="N266" s="537"/>
    </row>
    <row r="267" spans="1:14" ht="15.9" customHeight="1">
      <c r="A267" s="319" t="s">
        <v>1025</v>
      </c>
      <c r="B267" s="536">
        <v>46139</v>
      </c>
      <c r="C267" s="536">
        <v>46166</v>
      </c>
      <c r="D267" s="319" t="s">
        <v>1883</v>
      </c>
      <c r="E267" s="319" t="s">
        <v>1884</v>
      </c>
      <c r="F267" s="319" t="s">
        <v>1074</v>
      </c>
      <c r="G267" s="319" t="s">
        <v>1029</v>
      </c>
      <c r="H267" s="319" t="s">
        <v>1885</v>
      </c>
      <c r="I267" s="535">
        <v>1633.21</v>
      </c>
      <c r="J267" s="535">
        <v>665</v>
      </c>
      <c r="K267" s="535">
        <v>2298.21</v>
      </c>
      <c r="L267" s="535" t="s">
        <v>78</v>
      </c>
      <c r="M267" s="535" t="s">
        <v>993</v>
      </c>
      <c r="N267" s="537"/>
    </row>
    <row r="268" spans="1:14" ht="15.9" customHeight="1">
      <c r="A268" s="319" t="s">
        <v>1025</v>
      </c>
      <c r="B268" s="536">
        <v>46139</v>
      </c>
      <c r="C268" s="536">
        <v>46149</v>
      </c>
      <c r="D268" s="319" t="s">
        <v>1886</v>
      </c>
      <c r="E268" s="319" t="s">
        <v>1887</v>
      </c>
      <c r="F268" s="319" t="s">
        <v>1646</v>
      </c>
      <c r="G268" s="319" t="s">
        <v>1029</v>
      </c>
      <c r="H268" s="319" t="s">
        <v>1888</v>
      </c>
      <c r="I268" s="535">
        <v>932.67</v>
      </c>
      <c r="J268" s="535">
        <v>665</v>
      </c>
      <c r="K268" s="535">
        <v>1597.67</v>
      </c>
      <c r="L268" s="535" t="s">
        <v>78</v>
      </c>
      <c r="M268" s="535" t="s">
        <v>993</v>
      </c>
      <c r="N268" s="537"/>
    </row>
    <row r="269" spans="1:14" ht="15.9" customHeight="1">
      <c r="A269" s="319" t="s">
        <v>1025</v>
      </c>
      <c r="B269" s="536">
        <v>46139</v>
      </c>
      <c r="C269" s="536">
        <v>46152</v>
      </c>
      <c r="D269" s="319" t="s">
        <v>1889</v>
      </c>
      <c r="E269" s="319" t="s">
        <v>1890</v>
      </c>
      <c r="F269" s="319" t="s">
        <v>1891</v>
      </c>
      <c r="G269" s="319" t="s">
        <v>1029</v>
      </c>
      <c r="H269" s="319" t="s">
        <v>1892</v>
      </c>
      <c r="I269" s="535">
        <v>912.89</v>
      </c>
      <c r="J269" s="535">
        <v>665</v>
      </c>
      <c r="K269" s="535">
        <v>1577.89</v>
      </c>
      <c r="L269" s="535" t="s">
        <v>78</v>
      </c>
      <c r="M269" s="535" t="s">
        <v>993</v>
      </c>
      <c r="N269" s="537"/>
    </row>
    <row r="270" spans="1:14" ht="15.9" customHeight="1">
      <c r="A270" s="319" t="s">
        <v>1025</v>
      </c>
      <c r="B270" s="536">
        <v>46139</v>
      </c>
      <c r="C270" s="536">
        <v>46148</v>
      </c>
      <c r="D270" s="319" t="s">
        <v>1893</v>
      </c>
      <c r="E270" s="319" t="s">
        <v>1894</v>
      </c>
      <c r="F270" s="319" t="s">
        <v>1315</v>
      </c>
      <c r="G270" s="319" t="s">
        <v>1029</v>
      </c>
      <c r="H270" s="319" t="s">
        <v>1895</v>
      </c>
      <c r="I270" s="535">
        <v>1223.94</v>
      </c>
      <c r="J270" s="535">
        <v>665</v>
      </c>
      <c r="K270" s="535">
        <v>1888.94</v>
      </c>
      <c r="L270" s="535" t="s">
        <v>78</v>
      </c>
      <c r="M270" s="535" t="s">
        <v>993</v>
      </c>
      <c r="N270" s="537"/>
    </row>
    <row r="271" spans="1:14" ht="15.9" customHeight="1">
      <c r="A271" s="319" t="s">
        <v>1110</v>
      </c>
      <c r="B271" s="536">
        <v>46139</v>
      </c>
      <c r="C271" s="536">
        <v>46147</v>
      </c>
      <c r="D271" s="319" t="s">
        <v>1896</v>
      </c>
      <c r="E271" s="319" t="s">
        <v>1897</v>
      </c>
      <c r="F271" s="319" t="s">
        <v>1268</v>
      </c>
      <c r="G271" s="319" t="s">
        <v>1029</v>
      </c>
      <c r="H271" s="319" t="s">
        <v>1898</v>
      </c>
      <c r="I271" s="535">
        <v>2563.2800000000002</v>
      </c>
      <c r="J271" s="535">
        <v>855</v>
      </c>
      <c r="K271" s="535">
        <v>3418.28</v>
      </c>
      <c r="L271" s="535" t="s">
        <v>78</v>
      </c>
      <c r="M271" s="535" t="s">
        <v>1042</v>
      </c>
      <c r="N271" s="537"/>
    </row>
    <row r="272" spans="1:14" ht="15.9" customHeight="1">
      <c r="A272" s="319" t="s">
        <v>1025</v>
      </c>
      <c r="B272" s="536">
        <v>46139</v>
      </c>
      <c r="C272" s="536">
        <v>46152</v>
      </c>
      <c r="D272" s="319" t="s">
        <v>1899</v>
      </c>
      <c r="E272" s="319" t="s">
        <v>1900</v>
      </c>
      <c r="F272" s="319" t="s">
        <v>1901</v>
      </c>
      <c r="G272" s="319" t="s">
        <v>1029</v>
      </c>
      <c r="H272" s="319" t="s">
        <v>1902</v>
      </c>
      <c r="I272" s="535">
        <v>1295.83</v>
      </c>
      <c r="J272" s="535">
        <v>665</v>
      </c>
      <c r="K272" s="535">
        <v>1960.83</v>
      </c>
      <c r="L272" s="535" t="s">
        <v>79</v>
      </c>
      <c r="M272" s="535" t="s">
        <v>993</v>
      </c>
      <c r="N272" s="537"/>
    </row>
    <row r="273" spans="1:14" ht="15.9" customHeight="1">
      <c r="A273" s="319" t="s">
        <v>1025</v>
      </c>
      <c r="B273" s="536">
        <v>46139</v>
      </c>
      <c r="C273" s="536">
        <v>46156</v>
      </c>
      <c r="D273" s="319" t="s">
        <v>1903</v>
      </c>
      <c r="E273" s="319" t="s">
        <v>1904</v>
      </c>
      <c r="F273" s="319" t="s">
        <v>1752</v>
      </c>
      <c r="G273" s="319" t="s">
        <v>1029</v>
      </c>
      <c r="H273" s="319" t="s">
        <v>1905</v>
      </c>
      <c r="I273" s="535">
        <v>1364.99</v>
      </c>
      <c r="J273" s="535">
        <v>665</v>
      </c>
      <c r="K273" s="535">
        <v>2029.99</v>
      </c>
      <c r="L273" s="535" t="s">
        <v>79</v>
      </c>
      <c r="M273" s="535" t="s">
        <v>993</v>
      </c>
      <c r="N273" s="537"/>
    </row>
    <row r="274" spans="1:14" ht="15.9" customHeight="1">
      <c r="A274" s="319" t="s">
        <v>1025</v>
      </c>
      <c r="B274" s="536">
        <v>46139</v>
      </c>
      <c r="C274" s="536">
        <v>46151</v>
      </c>
      <c r="D274" s="319" t="s">
        <v>1906</v>
      </c>
      <c r="E274" s="319" t="s">
        <v>1907</v>
      </c>
      <c r="F274" s="319" t="s">
        <v>1908</v>
      </c>
      <c r="G274" s="319" t="s">
        <v>1029</v>
      </c>
      <c r="H274" s="319" t="s">
        <v>1909</v>
      </c>
      <c r="I274" s="535">
        <v>732.8</v>
      </c>
      <c r="J274" s="535">
        <v>760</v>
      </c>
      <c r="K274" s="535">
        <v>1492.8</v>
      </c>
      <c r="L274" s="535" t="s">
        <v>80</v>
      </c>
      <c r="M274" s="535" t="s">
        <v>993</v>
      </c>
      <c r="N274" s="537"/>
    </row>
    <row r="275" spans="1:14" ht="15.9" customHeight="1">
      <c r="A275" s="319" t="s">
        <v>1077</v>
      </c>
      <c r="B275" s="536">
        <v>46139</v>
      </c>
      <c r="C275" s="536">
        <v>46147</v>
      </c>
      <c r="D275" s="319" t="s">
        <v>1910</v>
      </c>
      <c r="E275" s="319" t="s">
        <v>1911</v>
      </c>
      <c r="F275" s="319" t="s">
        <v>1912</v>
      </c>
      <c r="G275" s="319" t="s">
        <v>1029</v>
      </c>
      <c r="H275" s="319" t="s">
        <v>1913</v>
      </c>
      <c r="I275" s="535">
        <v>780.74</v>
      </c>
      <c r="J275" s="535">
        <v>665</v>
      </c>
      <c r="K275" s="535">
        <v>1445.74</v>
      </c>
      <c r="L275" s="535" t="s">
        <v>80</v>
      </c>
      <c r="M275" s="535" t="s">
        <v>993</v>
      </c>
      <c r="N275" s="537"/>
    </row>
    <row r="276" spans="1:14" ht="15.9" customHeight="1">
      <c r="A276" s="319" t="s">
        <v>1025</v>
      </c>
      <c r="B276" s="536">
        <v>46139</v>
      </c>
      <c r="C276" s="536">
        <v>46151</v>
      </c>
      <c r="D276" s="319" t="s">
        <v>1914</v>
      </c>
      <c r="E276" s="319" t="s">
        <v>1915</v>
      </c>
      <c r="F276" s="319" t="s">
        <v>1315</v>
      </c>
      <c r="G276" s="319" t="s">
        <v>1029</v>
      </c>
      <c r="H276" s="319" t="s">
        <v>1916</v>
      </c>
      <c r="I276" s="535">
        <v>1222.3399999999999</v>
      </c>
      <c r="J276" s="535">
        <v>665</v>
      </c>
      <c r="K276" s="535">
        <v>1887.34</v>
      </c>
      <c r="L276" s="535" t="s">
        <v>80</v>
      </c>
      <c r="M276" s="535" t="s">
        <v>993</v>
      </c>
      <c r="N276" s="537"/>
    </row>
    <row r="277" spans="1:14" ht="15.9" customHeight="1">
      <c r="A277" s="319" t="s">
        <v>1054</v>
      </c>
      <c r="B277" s="536">
        <v>46139</v>
      </c>
      <c r="C277" s="536">
        <v>46144</v>
      </c>
      <c r="D277" s="319" t="s">
        <v>1917</v>
      </c>
      <c r="E277" s="319" t="s">
        <v>1918</v>
      </c>
      <c r="F277" s="319" t="s">
        <v>1912</v>
      </c>
      <c r="G277" s="319" t="s">
        <v>1029</v>
      </c>
      <c r="H277" s="319" t="s">
        <v>1919</v>
      </c>
      <c r="I277" s="535">
        <v>842.4</v>
      </c>
      <c r="J277" s="535">
        <v>665</v>
      </c>
      <c r="K277" s="535">
        <v>1507.4</v>
      </c>
      <c r="L277" s="535" t="s">
        <v>80</v>
      </c>
      <c r="M277" s="535" t="s">
        <v>993</v>
      </c>
      <c r="N277" s="537"/>
    </row>
    <row r="278" spans="1:14" ht="15.9" customHeight="1">
      <c r="A278" s="319" t="s">
        <v>1054</v>
      </c>
      <c r="B278" s="536">
        <v>46139</v>
      </c>
      <c r="C278" s="536">
        <v>46169</v>
      </c>
      <c r="D278" s="319" t="s">
        <v>1920</v>
      </c>
      <c r="E278" s="319" t="s">
        <v>1921</v>
      </c>
      <c r="F278" s="319" t="s">
        <v>1211</v>
      </c>
      <c r="G278" s="319" t="s">
        <v>1029</v>
      </c>
      <c r="H278" s="319" t="s">
        <v>1922</v>
      </c>
      <c r="I278" s="535">
        <v>2221.1999999999998</v>
      </c>
      <c r="J278" s="535">
        <v>760</v>
      </c>
      <c r="K278" s="535">
        <v>2981.2</v>
      </c>
      <c r="L278" s="535" t="s">
        <v>80</v>
      </c>
      <c r="M278" s="535" t="s">
        <v>993</v>
      </c>
      <c r="N278" s="537"/>
    </row>
    <row r="279" spans="1:14" ht="15.9" customHeight="1">
      <c r="A279" s="319" t="s">
        <v>1025</v>
      </c>
      <c r="B279" s="536">
        <v>46139</v>
      </c>
      <c r="C279" s="536">
        <v>46156</v>
      </c>
      <c r="D279" s="319" t="s">
        <v>1923</v>
      </c>
      <c r="E279" s="319" t="s">
        <v>1924</v>
      </c>
      <c r="F279" s="319" t="s">
        <v>1925</v>
      </c>
      <c r="G279" s="319" t="s">
        <v>1029</v>
      </c>
      <c r="H279" s="319" t="s">
        <v>206</v>
      </c>
      <c r="I279" s="535">
        <v>797.29</v>
      </c>
      <c r="J279" s="535"/>
      <c r="K279" s="535">
        <v>797.29</v>
      </c>
      <c r="L279" s="535" t="s">
        <v>80</v>
      </c>
      <c r="M279" s="535" t="s">
        <v>993</v>
      </c>
      <c r="N279" s="537"/>
    </row>
    <row r="280" spans="1:14" ht="15.9" customHeight="1">
      <c r="A280" s="319" t="s">
        <v>1054</v>
      </c>
      <c r="B280" s="536">
        <v>46139</v>
      </c>
      <c r="C280" s="536">
        <v>46143</v>
      </c>
      <c r="D280" s="319" t="s">
        <v>1926</v>
      </c>
      <c r="E280" s="319" t="s">
        <v>1927</v>
      </c>
      <c r="F280" s="319" t="s">
        <v>1928</v>
      </c>
      <c r="G280" s="319" t="s">
        <v>1029</v>
      </c>
      <c r="H280" s="319" t="s">
        <v>1929</v>
      </c>
      <c r="I280" s="535">
        <v>1463.25</v>
      </c>
      <c r="J280" s="535">
        <v>1045</v>
      </c>
      <c r="K280" s="535">
        <v>2508.25</v>
      </c>
      <c r="L280" s="535" t="s">
        <v>80</v>
      </c>
      <c r="M280" s="535" t="s">
        <v>993</v>
      </c>
      <c r="N280" s="537"/>
    </row>
    <row r="281" spans="1:14" ht="15.9" customHeight="1">
      <c r="A281" s="319" t="s">
        <v>1224</v>
      </c>
      <c r="B281" s="536">
        <v>46139</v>
      </c>
      <c r="C281" s="536">
        <v>46166</v>
      </c>
      <c r="D281" s="319" t="s">
        <v>1930</v>
      </c>
      <c r="E281" s="319" t="s">
        <v>1931</v>
      </c>
      <c r="F281" s="319" t="s">
        <v>1153</v>
      </c>
      <c r="G281" s="319" t="s">
        <v>1029</v>
      </c>
      <c r="H281" s="319" t="s">
        <v>1932</v>
      </c>
      <c r="I281" s="535">
        <v>2039.57</v>
      </c>
      <c r="J281" s="535">
        <v>855</v>
      </c>
      <c r="K281" s="535">
        <v>2894.57</v>
      </c>
      <c r="L281" s="535" t="s">
        <v>80</v>
      </c>
      <c r="M281" s="535" t="s">
        <v>1042</v>
      </c>
      <c r="N281" s="537"/>
    </row>
    <row r="282" spans="1:14" ht="15.9" customHeight="1">
      <c r="A282" s="319" t="s">
        <v>1130</v>
      </c>
      <c r="B282" s="536">
        <v>46139</v>
      </c>
      <c r="C282" s="536">
        <v>46149</v>
      </c>
      <c r="D282" s="319" t="s">
        <v>1933</v>
      </c>
      <c r="E282" s="319" t="s">
        <v>1934</v>
      </c>
      <c r="F282" s="319" t="s">
        <v>1935</v>
      </c>
      <c r="G282" s="319" t="s">
        <v>1029</v>
      </c>
      <c r="H282" s="319" t="s">
        <v>1936</v>
      </c>
      <c r="I282" s="535">
        <v>1269.71</v>
      </c>
      <c r="J282" s="535">
        <v>665</v>
      </c>
      <c r="K282" s="535">
        <v>1934.71</v>
      </c>
      <c r="L282" s="535" t="s">
        <v>80</v>
      </c>
      <c r="M282" s="535" t="s">
        <v>993</v>
      </c>
      <c r="N282" s="537"/>
    </row>
    <row r="283" spans="1:14" ht="15.9" customHeight="1">
      <c r="A283" s="319" t="s">
        <v>1054</v>
      </c>
      <c r="B283" s="536">
        <v>46139</v>
      </c>
      <c r="C283" s="536">
        <v>46143</v>
      </c>
      <c r="D283" s="319" t="s">
        <v>1937</v>
      </c>
      <c r="E283" s="319" t="s">
        <v>1938</v>
      </c>
      <c r="F283" s="319" t="s">
        <v>1396</v>
      </c>
      <c r="G283" s="319" t="s">
        <v>1029</v>
      </c>
      <c r="H283" s="319" t="s">
        <v>1939</v>
      </c>
      <c r="I283" s="535">
        <v>1134.54</v>
      </c>
      <c r="J283" s="535">
        <v>665</v>
      </c>
      <c r="K283" s="535">
        <v>1799.54</v>
      </c>
      <c r="L283" s="535" t="s">
        <v>80</v>
      </c>
      <c r="M283" s="535" t="s">
        <v>993</v>
      </c>
      <c r="N283" s="537"/>
    </row>
    <row r="284" spans="1:14" ht="15.9" customHeight="1">
      <c r="A284" s="319" t="s">
        <v>1077</v>
      </c>
      <c r="B284" s="536">
        <v>46139</v>
      </c>
      <c r="C284" s="536">
        <v>46143</v>
      </c>
      <c r="D284" s="319" t="s">
        <v>1940</v>
      </c>
      <c r="E284" s="319" t="s">
        <v>1941</v>
      </c>
      <c r="F284" s="319" t="s">
        <v>1485</v>
      </c>
      <c r="G284" s="319" t="s">
        <v>1029</v>
      </c>
      <c r="H284" s="319" t="s">
        <v>1942</v>
      </c>
      <c r="I284" s="535">
        <v>1729.86</v>
      </c>
      <c r="J284" s="535">
        <v>855</v>
      </c>
      <c r="K284" s="535">
        <v>2584.86</v>
      </c>
      <c r="L284" s="535" t="s">
        <v>80</v>
      </c>
      <c r="M284" s="535" t="s">
        <v>993</v>
      </c>
      <c r="N284" s="537"/>
    </row>
    <row r="285" spans="1:14" ht="15.9" customHeight="1">
      <c r="A285" s="319" t="s">
        <v>1054</v>
      </c>
      <c r="B285" s="536">
        <v>46139</v>
      </c>
      <c r="C285" s="536">
        <v>46166</v>
      </c>
      <c r="D285" s="319" t="s">
        <v>1943</v>
      </c>
      <c r="E285" s="319" t="s">
        <v>1944</v>
      </c>
      <c r="F285" s="319" t="s">
        <v>1945</v>
      </c>
      <c r="G285" s="319" t="s">
        <v>1029</v>
      </c>
      <c r="H285" s="319" t="s">
        <v>1946</v>
      </c>
      <c r="I285" s="535">
        <v>2025.11</v>
      </c>
      <c r="J285" s="535">
        <v>855</v>
      </c>
      <c r="K285" s="535">
        <v>2880.11</v>
      </c>
      <c r="L285" s="535" t="s">
        <v>80</v>
      </c>
      <c r="M285" s="535" t="s">
        <v>1042</v>
      </c>
      <c r="N285" s="537"/>
    </row>
    <row r="286" spans="1:14" ht="15.9" customHeight="1">
      <c r="A286" s="319" t="s">
        <v>1082</v>
      </c>
      <c r="B286" s="536">
        <v>46139</v>
      </c>
      <c r="C286" s="536">
        <v>46149</v>
      </c>
      <c r="D286" s="319" t="s">
        <v>1947</v>
      </c>
      <c r="E286" s="319" t="s">
        <v>1948</v>
      </c>
      <c r="F286" s="319" t="s">
        <v>1363</v>
      </c>
      <c r="G286" s="319" t="s">
        <v>1029</v>
      </c>
      <c r="H286" s="319" t="s">
        <v>1949</v>
      </c>
      <c r="I286" s="535">
        <v>1473.76</v>
      </c>
      <c r="J286" s="535">
        <v>665</v>
      </c>
      <c r="K286" s="535">
        <v>2138.7600000000002</v>
      </c>
      <c r="L286" s="535" t="s">
        <v>80</v>
      </c>
      <c r="M286" s="535" t="s">
        <v>993</v>
      </c>
      <c r="N286" s="537"/>
    </row>
    <row r="287" spans="1:14" ht="15.9" customHeight="1">
      <c r="A287" s="319" t="s">
        <v>1025</v>
      </c>
      <c r="B287" s="536">
        <v>46139</v>
      </c>
      <c r="C287" s="536">
        <v>46153</v>
      </c>
      <c r="D287" s="319" t="s">
        <v>1950</v>
      </c>
      <c r="E287" s="319" t="s">
        <v>1951</v>
      </c>
      <c r="F287" s="319" t="s">
        <v>1149</v>
      </c>
      <c r="G287" s="319" t="s">
        <v>1029</v>
      </c>
      <c r="H287" s="319" t="s">
        <v>1952</v>
      </c>
      <c r="I287" s="535">
        <v>1567.71</v>
      </c>
      <c r="J287" s="535">
        <v>665</v>
      </c>
      <c r="K287" s="535">
        <v>2232.71</v>
      </c>
      <c r="L287" s="535" t="s">
        <v>79</v>
      </c>
      <c r="M287" s="535" t="s">
        <v>993</v>
      </c>
      <c r="N287" s="537"/>
    </row>
    <row r="288" spans="1:14" ht="15.9" customHeight="1">
      <c r="A288" s="319" t="s">
        <v>1025</v>
      </c>
      <c r="B288" s="536">
        <v>46139</v>
      </c>
      <c r="C288" s="536">
        <v>46167</v>
      </c>
      <c r="D288" s="319" t="s">
        <v>1953</v>
      </c>
      <c r="E288" s="319" t="s">
        <v>1954</v>
      </c>
      <c r="F288" s="319" t="s">
        <v>1085</v>
      </c>
      <c r="G288" s="319" t="s">
        <v>1029</v>
      </c>
      <c r="H288" s="319" t="s">
        <v>119</v>
      </c>
      <c r="I288" s="535">
        <v>2065.09</v>
      </c>
      <c r="J288" s="535">
        <v>855</v>
      </c>
      <c r="K288" s="535">
        <v>2920.09</v>
      </c>
      <c r="L288" s="535" t="s">
        <v>88</v>
      </c>
      <c r="M288" s="535" t="s">
        <v>1042</v>
      </c>
      <c r="N288" s="537"/>
    </row>
    <row r="289" spans="1:14" ht="15.9" customHeight="1">
      <c r="A289" s="319" t="s">
        <v>1025</v>
      </c>
      <c r="B289" s="536">
        <v>46139</v>
      </c>
      <c r="C289" s="536">
        <v>46158</v>
      </c>
      <c r="D289" s="319" t="s">
        <v>1955</v>
      </c>
      <c r="E289" s="319" t="s">
        <v>1956</v>
      </c>
      <c r="F289" s="319" t="s">
        <v>1108</v>
      </c>
      <c r="G289" s="319" t="s">
        <v>1029</v>
      </c>
      <c r="H289" s="319" t="s">
        <v>1957</v>
      </c>
      <c r="I289" s="535">
        <v>3445.78</v>
      </c>
      <c r="J289" s="535">
        <v>950</v>
      </c>
      <c r="K289" s="535">
        <v>4395.78</v>
      </c>
      <c r="L289" s="535" t="s">
        <v>88</v>
      </c>
      <c r="M289" s="535" t="s">
        <v>994</v>
      </c>
      <c r="N289" s="537"/>
    </row>
    <row r="290" spans="1:14" ht="15.9" customHeight="1">
      <c r="A290" s="319" t="s">
        <v>1082</v>
      </c>
      <c r="B290" s="536">
        <v>46139</v>
      </c>
      <c r="C290" s="536">
        <v>46157</v>
      </c>
      <c r="D290" s="319" t="s">
        <v>1958</v>
      </c>
      <c r="E290" s="319" t="s">
        <v>1959</v>
      </c>
      <c r="F290" s="319" t="s">
        <v>1960</v>
      </c>
      <c r="G290" s="319" t="s">
        <v>1029</v>
      </c>
      <c r="H290" s="319" t="s">
        <v>1961</v>
      </c>
      <c r="I290" s="535">
        <v>877.86</v>
      </c>
      <c r="J290" s="535">
        <v>665</v>
      </c>
      <c r="K290" s="535">
        <v>1542.86</v>
      </c>
      <c r="L290" s="535" t="s">
        <v>80</v>
      </c>
      <c r="M290" s="535" t="s">
        <v>993</v>
      </c>
      <c r="N290" s="537"/>
    </row>
    <row r="291" spans="1:14" ht="15.9" customHeight="1">
      <c r="A291" s="319" t="s">
        <v>1054</v>
      </c>
      <c r="B291" s="536">
        <v>46139</v>
      </c>
      <c r="C291" s="536">
        <v>46159</v>
      </c>
      <c r="D291" s="319" t="s">
        <v>1962</v>
      </c>
      <c r="E291" s="319" t="s">
        <v>1963</v>
      </c>
      <c r="F291" s="319" t="s">
        <v>1396</v>
      </c>
      <c r="G291" s="319" t="s">
        <v>1029</v>
      </c>
      <c r="H291" s="319" t="s">
        <v>1964</v>
      </c>
      <c r="I291" s="535">
        <v>1008.36</v>
      </c>
      <c r="J291" s="535">
        <v>665</v>
      </c>
      <c r="K291" s="535">
        <v>1673.36</v>
      </c>
      <c r="L291" s="535" t="s">
        <v>79</v>
      </c>
      <c r="M291" s="535" t="s">
        <v>993</v>
      </c>
      <c r="N291" s="537"/>
    </row>
    <row r="292" spans="1:14" ht="15.9" customHeight="1">
      <c r="A292" s="319" t="s">
        <v>1025</v>
      </c>
      <c r="B292" s="536">
        <v>46140</v>
      </c>
      <c r="C292" s="536">
        <v>46155</v>
      </c>
      <c r="D292" s="319" t="s">
        <v>1965</v>
      </c>
      <c r="E292" s="319" t="s">
        <v>1966</v>
      </c>
      <c r="F292" s="319" t="s">
        <v>1542</v>
      </c>
      <c r="G292" s="319" t="s">
        <v>1029</v>
      </c>
      <c r="H292" s="319" t="s">
        <v>1967</v>
      </c>
      <c r="I292" s="535">
        <v>1676.01</v>
      </c>
      <c r="J292" s="535">
        <v>665</v>
      </c>
      <c r="K292" s="535">
        <v>2341.0100000000002</v>
      </c>
      <c r="L292" s="535" t="s">
        <v>87</v>
      </c>
      <c r="M292" s="535" t="s">
        <v>993</v>
      </c>
      <c r="N292" s="537"/>
    </row>
    <row r="293" spans="1:14" ht="15.9" customHeight="1">
      <c r="A293" s="319" t="s">
        <v>1054</v>
      </c>
      <c r="B293" s="536">
        <v>46140</v>
      </c>
      <c r="C293" s="536">
        <v>46163</v>
      </c>
      <c r="D293" s="319" t="s">
        <v>1968</v>
      </c>
      <c r="E293" s="319" t="s">
        <v>1969</v>
      </c>
      <c r="F293" s="319" t="s">
        <v>1325</v>
      </c>
      <c r="G293" s="319" t="s">
        <v>1029</v>
      </c>
      <c r="H293" s="319" t="s">
        <v>1970</v>
      </c>
      <c r="I293" s="535">
        <v>2142.39</v>
      </c>
      <c r="J293" s="535">
        <v>855</v>
      </c>
      <c r="K293" s="535">
        <v>2997.39</v>
      </c>
      <c r="L293" s="535" t="s">
        <v>79</v>
      </c>
      <c r="M293" s="535" t="s">
        <v>1042</v>
      </c>
      <c r="N293" s="537"/>
    </row>
    <row r="294" spans="1:14" ht="15.9" customHeight="1">
      <c r="A294" s="319" t="s">
        <v>1025</v>
      </c>
      <c r="B294" s="536">
        <v>46140</v>
      </c>
      <c r="C294" s="536">
        <v>46156</v>
      </c>
      <c r="D294" s="319" t="s">
        <v>1971</v>
      </c>
      <c r="E294" s="319" t="s">
        <v>1972</v>
      </c>
      <c r="F294" s="319" t="s">
        <v>1108</v>
      </c>
      <c r="G294" s="319" t="s">
        <v>1029</v>
      </c>
      <c r="H294" s="319" t="s">
        <v>1973</v>
      </c>
      <c r="I294" s="535">
        <v>1492.23</v>
      </c>
      <c r="J294" s="535">
        <v>665</v>
      </c>
      <c r="K294" s="535">
        <v>2157.23</v>
      </c>
      <c r="L294" s="535" t="s">
        <v>79</v>
      </c>
      <c r="M294" s="535" t="s">
        <v>993</v>
      </c>
      <c r="N294" s="537"/>
    </row>
    <row r="295" spans="1:14" ht="15.9" customHeight="1">
      <c r="A295" s="319" t="s">
        <v>1143</v>
      </c>
      <c r="B295" s="536">
        <v>46140</v>
      </c>
      <c r="C295" s="536">
        <v>46151</v>
      </c>
      <c r="D295" s="319" t="s">
        <v>1974</v>
      </c>
      <c r="E295" s="319" t="s">
        <v>1975</v>
      </c>
      <c r="F295" s="319" t="s">
        <v>1149</v>
      </c>
      <c r="G295" s="319" t="s">
        <v>1029</v>
      </c>
      <c r="H295" s="319" t="s">
        <v>1976</v>
      </c>
      <c r="I295" s="535">
        <v>1016.52</v>
      </c>
      <c r="J295" s="535">
        <v>700</v>
      </c>
      <c r="K295" s="535">
        <v>1716.52</v>
      </c>
      <c r="L295" s="535" t="s">
        <v>78</v>
      </c>
      <c r="M295" s="535" t="s">
        <v>993</v>
      </c>
      <c r="N295" s="537"/>
    </row>
    <row r="296" spans="1:14" ht="15.9" customHeight="1">
      <c r="A296" s="319" t="s">
        <v>1082</v>
      </c>
      <c r="B296" s="536">
        <v>46140</v>
      </c>
      <c r="C296" s="536">
        <v>46146</v>
      </c>
      <c r="D296" s="319" t="s">
        <v>1977</v>
      </c>
      <c r="E296" s="319" t="s">
        <v>1978</v>
      </c>
      <c r="F296" s="319" t="s">
        <v>1979</v>
      </c>
      <c r="G296" s="319" t="s">
        <v>1029</v>
      </c>
      <c r="H296" s="319" t="s">
        <v>1980</v>
      </c>
      <c r="I296" s="535">
        <v>978.83</v>
      </c>
      <c r="J296" s="535">
        <v>665</v>
      </c>
      <c r="K296" s="535">
        <v>1643.83</v>
      </c>
      <c r="L296" s="535" t="s">
        <v>78</v>
      </c>
      <c r="M296" s="535" t="s">
        <v>993</v>
      </c>
      <c r="N296" s="537"/>
    </row>
    <row r="297" spans="1:14" ht="15.9" customHeight="1">
      <c r="A297" s="319" t="s">
        <v>1025</v>
      </c>
      <c r="B297" s="536">
        <v>46140</v>
      </c>
      <c r="C297" s="536">
        <v>46170</v>
      </c>
      <c r="D297" s="319" t="s">
        <v>1981</v>
      </c>
      <c r="E297" s="319" t="s">
        <v>1982</v>
      </c>
      <c r="F297" s="319" t="s">
        <v>1427</v>
      </c>
      <c r="G297" s="319" t="s">
        <v>1029</v>
      </c>
      <c r="H297" s="319" t="s">
        <v>1983</v>
      </c>
      <c r="I297" s="535">
        <v>1045.68</v>
      </c>
      <c r="J297" s="535">
        <v>665</v>
      </c>
      <c r="K297" s="535">
        <v>1710.68</v>
      </c>
      <c r="L297" s="535" t="s">
        <v>78</v>
      </c>
      <c r="M297" s="535" t="s">
        <v>993</v>
      </c>
      <c r="N297" s="537"/>
    </row>
    <row r="298" spans="1:14" ht="15.9" customHeight="1">
      <c r="A298" s="319" t="s">
        <v>1025</v>
      </c>
      <c r="B298" s="536">
        <v>46140</v>
      </c>
      <c r="C298" s="536">
        <v>46144</v>
      </c>
      <c r="D298" s="319" t="s">
        <v>1984</v>
      </c>
      <c r="E298" s="319" t="s">
        <v>1985</v>
      </c>
      <c r="F298" s="319" t="s">
        <v>1396</v>
      </c>
      <c r="G298" s="319" t="s">
        <v>1029</v>
      </c>
      <c r="H298" s="319" t="s">
        <v>1986</v>
      </c>
      <c r="I298" s="535">
        <v>1162.3699999999999</v>
      </c>
      <c r="J298" s="535">
        <v>665</v>
      </c>
      <c r="K298" s="535">
        <v>1827.37</v>
      </c>
      <c r="L298" s="535" t="s">
        <v>78</v>
      </c>
      <c r="M298" s="535" t="s">
        <v>993</v>
      </c>
      <c r="N298" s="537"/>
    </row>
    <row r="299" spans="1:14" ht="15.9" customHeight="1">
      <c r="A299" s="319" t="s">
        <v>1054</v>
      </c>
      <c r="B299" s="536">
        <v>46140</v>
      </c>
      <c r="C299" s="536">
        <v>46155</v>
      </c>
      <c r="D299" s="319" t="s">
        <v>1987</v>
      </c>
      <c r="E299" s="319" t="s">
        <v>1988</v>
      </c>
      <c r="F299" s="319" t="s">
        <v>1057</v>
      </c>
      <c r="G299" s="319" t="s">
        <v>1029</v>
      </c>
      <c r="H299" s="319" t="s">
        <v>1989</v>
      </c>
      <c r="I299" s="535">
        <v>1943.62</v>
      </c>
      <c r="J299" s="535">
        <v>665</v>
      </c>
      <c r="K299" s="535">
        <v>2608.62</v>
      </c>
      <c r="L299" s="535" t="s">
        <v>78</v>
      </c>
      <c r="M299" s="535" t="s">
        <v>993</v>
      </c>
      <c r="N299" s="537"/>
    </row>
    <row r="300" spans="1:14" ht="15.9" customHeight="1">
      <c r="A300" s="319" t="s">
        <v>1025</v>
      </c>
      <c r="B300" s="536">
        <v>46140</v>
      </c>
      <c r="C300" s="536">
        <v>46167</v>
      </c>
      <c r="D300" s="319" t="s">
        <v>1990</v>
      </c>
      <c r="E300" s="319" t="s">
        <v>1991</v>
      </c>
      <c r="F300" s="319" t="s">
        <v>1300</v>
      </c>
      <c r="G300" s="319" t="s">
        <v>1029</v>
      </c>
      <c r="H300" s="319" t="s">
        <v>1992</v>
      </c>
      <c r="I300" s="535">
        <v>1305.94</v>
      </c>
      <c r="J300" s="535">
        <v>760</v>
      </c>
      <c r="K300" s="535">
        <v>2065.94</v>
      </c>
      <c r="L300" s="535" t="s">
        <v>88</v>
      </c>
      <c r="M300" s="535" t="s">
        <v>993</v>
      </c>
      <c r="N300" s="537" t="s">
        <v>1118</v>
      </c>
    </row>
    <row r="301" spans="1:14" ht="15.9" customHeight="1">
      <c r="A301" s="319" t="s">
        <v>1025</v>
      </c>
      <c r="B301" s="536">
        <v>46140</v>
      </c>
      <c r="C301" s="536">
        <v>46146</v>
      </c>
      <c r="D301" s="319" t="s">
        <v>1993</v>
      </c>
      <c r="E301" s="319" t="s">
        <v>1994</v>
      </c>
      <c r="F301" s="319" t="s">
        <v>1028</v>
      </c>
      <c r="G301" s="319" t="s">
        <v>1029</v>
      </c>
      <c r="H301" s="319" t="s">
        <v>1995</v>
      </c>
      <c r="I301" s="535">
        <v>708.01</v>
      </c>
      <c r="J301" s="535">
        <v>760</v>
      </c>
      <c r="K301" s="535">
        <v>1468.01</v>
      </c>
      <c r="L301" s="535" t="s">
        <v>88</v>
      </c>
      <c r="M301" s="535" t="s">
        <v>993</v>
      </c>
      <c r="N301" s="537"/>
    </row>
    <row r="302" spans="1:14" ht="15.9" customHeight="1">
      <c r="A302" s="319" t="s">
        <v>1054</v>
      </c>
      <c r="B302" s="536">
        <v>46140</v>
      </c>
      <c r="C302" s="536">
        <v>46145</v>
      </c>
      <c r="D302" s="319" t="s">
        <v>1996</v>
      </c>
      <c r="E302" s="319" t="s">
        <v>1997</v>
      </c>
      <c r="F302" s="319" t="s">
        <v>1113</v>
      </c>
      <c r="G302" s="319" t="s">
        <v>1029</v>
      </c>
      <c r="H302" s="319" t="s">
        <v>1998</v>
      </c>
      <c r="I302" s="535">
        <v>1907.33</v>
      </c>
      <c r="J302" s="535">
        <v>760</v>
      </c>
      <c r="K302" s="535">
        <v>2667.33</v>
      </c>
      <c r="L302" s="535" t="s">
        <v>87</v>
      </c>
      <c r="M302" s="535" t="s">
        <v>994</v>
      </c>
      <c r="N302" s="537"/>
    </row>
    <row r="303" spans="1:14" ht="15.9" customHeight="1">
      <c r="A303" s="319" t="s">
        <v>1025</v>
      </c>
      <c r="B303" s="536">
        <v>46140</v>
      </c>
      <c r="C303" s="536">
        <v>46151</v>
      </c>
      <c r="D303" s="319" t="s">
        <v>1999</v>
      </c>
      <c r="E303" s="319" t="s">
        <v>2000</v>
      </c>
      <c r="F303" s="319" t="s">
        <v>2001</v>
      </c>
      <c r="G303" s="319" t="s">
        <v>1029</v>
      </c>
      <c r="H303" s="319" t="s">
        <v>2002</v>
      </c>
      <c r="I303" s="535">
        <v>950.3</v>
      </c>
      <c r="J303" s="535">
        <v>760</v>
      </c>
      <c r="K303" s="535">
        <v>1710.3</v>
      </c>
      <c r="L303" s="535" t="s">
        <v>80</v>
      </c>
      <c r="M303" s="535" t="s">
        <v>993</v>
      </c>
      <c r="N303" s="537"/>
    </row>
    <row r="304" spans="1:14" ht="15.9" customHeight="1">
      <c r="A304" s="319" t="s">
        <v>1054</v>
      </c>
      <c r="B304" s="536">
        <v>46140</v>
      </c>
      <c r="C304" s="536">
        <v>46168</v>
      </c>
      <c r="D304" s="319" t="s">
        <v>2003</v>
      </c>
      <c r="E304" s="319" t="s">
        <v>2004</v>
      </c>
      <c r="F304" s="319" t="s">
        <v>1376</v>
      </c>
      <c r="G304" s="319" t="s">
        <v>1029</v>
      </c>
      <c r="H304" s="319" t="s">
        <v>2005</v>
      </c>
      <c r="I304" s="535">
        <v>1098.4000000000001</v>
      </c>
      <c r="J304" s="535">
        <v>950</v>
      </c>
      <c r="K304" s="535">
        <v>2048.4</v>
      </c>
      <c r="L304" s="535" t="s">
        <v>80</v>
      </c>
      <c r="M304" s="535" t="s">
        <v>993</v>
      </c>
      <c r="N304" s="537"/>
    </row>
    <row r="305" spans="1:14" ht="15.9" customHeight="1">
      <c r="A305" s="319" t="s">
        <v>1025</v>
      </c>
      <c r="B305" s="536">
        <v>46140</v>
      </c>
      <c r="C305" s="536">
        <v>46155</v>
      </c>
      <c r="D305" s="319" t="s">
        <v>2006</v>
      </c>
      <c r="E305" s="319" t="s">
        <v>2007</v>
      </c>
      <c r="F305" s="319" t="s">
        <v>1752</v>
      </c>
      <c r="G305" s="319" t="s">
        <v>1029</v>
      </c>
      <c r="H305" s="319" t="s">
        <v>2008</v>
      </c>
      <c r="I305" s="535">
        <v>1302.9100000000001</v>
      </c>
      <c r="J305" s="535">
        <v>665</v>
      </c>
      <c r="K305" s="535">
        <v>1967.91</v>
      </c>
      <c r="L305" s="535" t="s">
        <v>80</v>
      </c>
      <c r="M305" s="535" t="s">
        <v>993</v>
      </c>
      <c r="N305" s="537"/>
    </row>
    <row r="306" spans="1:14" ht="15.9" customHeight="1">
      <c r="A306" s="319" t="s">
        <v>1054</v>
      </c>
      <c r="B306" s="536">
        <v>46140</v>
      </c>
      <c r="C306" s="536">
        <v>46153</v>
      </c>
      <c r="D306" s="319" t="s">
        <v>2009</v>
      </c>
      <c r="E306" s="319" t="s">
        <v>2010</v>
      </c>
      <c r="F306" s="319" t="s">
        <v>1396</v>
      </c>
      <c r="G306" s="319" t="s">
        <v>1029</v>
      </c>
      <c r="H306" s="319" t="s">
        <v>2011</v>
      </c>
      <c r="I306" s="535">
        <v>1006.27</v>
      </c>
      <c r="J306" s="535">
        <v>665</v>
      </c>
      <c r="K306" s="535">
        <v>1671.27</v>
      </c>
      <c r="L306" s="535" t="s">
        <v>80</v>
      </c>
      <c r="M306" s="535" t="s">
        <v>993</v>
      </c>
      <c r="N306" s="537"/>
    </row>
    <row r="307" spans="1:14" ht="15.9" customHeight="1">
      <c r="A307" s="319" t="s">
        <v>1077</v>
      </c>
      <c r="B307" s="536">
        <v>46140</v>
      </c>
      <c r="C307" s="536">
        <v>46158</v>
      </c>
      <c r="D307" s="319" t="s">
        <v>2012</v>
      </c>
      <c r="E307" s="319" t="s">
        <v>2013</v>
      </c>
      <c r="F307" s="319" t="s">
        <v>1149</v>
      </c>
      <c r="G307" s="319" t="s">
        <v>1029</v>
      </c>
      <c r="H307" s="319" t="s">
        <v>2014</v>
      </c>
      <c r="I307" s="535">
        <v>1206.7</v>
      </c>
      <c r="J307" s="535">
        <v>665</v>
      </c>
      <c r="K307" s="535">
        <v>1871.7</v>
      </c>
      <c r="L307" s="535" t="s">
        <v>80</v>
      </c>
      <c r="M307" s="535" t="s">
        <v>993</v>
      </c>
      <c r="N307" s="537"/>
    </row>
    <row r="308" spans="1:14" ht="15.9" customHeight="1">
      <c r="A308" s="319" t="s">
        <v>1143</v>
      </c>
      <c r="B308" s="536">
        <v>46140</v>
      </c>
      <c r="C308" s="536">
        <v>46149</v>
      </c>
      <c r="D308" s="319" t="s">
        <v>2015</v>
      </c>
      <c r="E308" s="319" t="s">
        <v>2016</v>
      </c>
      <c r="F308" s="319" t="s">
        <v>1200</v>
      </c>
      <c r="G308" s="319" t="s">
        <v>1029</v>
      </c>
      <c r="H308" s="319" t="s">
        <v>2017</v>
      </c>
      <c r="I308" s="535">
        <v>766.51</v>
      </c>
      <c r="J308" s="535">
        <v>700</v>
      </c>
      <c r="K308" s="535">
        <v>1466.51</v>
      </c>
      <c r="L308" s="535" t="s">
        <v>80</v>
      </c>
      <c r="M308" s="535" t="s">
        <v>993</v>
      </c>
      <c r="N308" s="537"/>
    </row>
    <row r="309" spans="1:14" ht="15.9" customHeight="1">
      <c r="A309" s="319" t="s">
        <v>1025</v>
      </c>
      <c r="B309" s="536">
        <v>46140</v>
      </c>
      <c r="C309" s="536">
        <v>46149</v>
      </c>
      <c r="D309" s="319" t="s">
        <v>2018</v>
      </c>
      <c r="E309" s="319" t="s">
        <v>2019</v>
      </c>
      <c r="F309" s="319" t="s">
        <v>1264</v>
      </c>
      <c r="G309" s="319" t="s">
        <v>1029</v>
      </c>
      <c r="H309" s="319" t="s">
        <v>2020</v>
      </c>
      <c r="I309" s="535">
        <v>2121.5300000000002</v>
      </c>
      <c r="J309" s="535">
        <v>880</v>
      </c>
      <c r="K309" s="535">
        <v>3001.53</v>
      </c>
      <c r="L309" s="535" t="s">
        <v>80</v>
      </c>
      <c r="M309" s="535" t="s">
        <v>993</v>
      </c>
      <c r="N309" s="537"/>
    </row>
    <row r="310" spans="1:14" ht="15.9" customHeight="1">
      <c r="A310" s="319" t="s">
        <v>1025</v>
      </c>
      <c r="B310" s="536">
        <v>46140</v>
      </c>
      <c r="C310" s="536">
        <v>46144</v>
      </c>
      <c r="D310" s="319" t="s">
        <v>2021</v>
      </c>
      <c r="E310" s="319" t="s">
        <v>2022</v>
      </c>
      <c r="F310" s="319" t="s">
        <v>1108</v>
      </c>
      <c r="G310" s="319" t="s">
        <v>1029</v>
      </c>
      <c r="H310" s="319" t="s">
        <v>2023</v>
      </c>
      <c r="I310" s="535">
        <v>2027.62</v>
      </c>
      <c r="J310" s="535">
        <v>760</v>
      </c>
      <c r="K310" s="535">
        <v>2787.62</v>
      </c>
      <c r="L310" s="535" t="s">
        <v>79</v>
      </c>
      <c r="M310" s="535" t="s">
        <v>993</v>
      </c>
      <c r="N310" s="537"/>
    </row>
    <row r="311" spans="1:14" ht="15.9" customHeight="1">
      <c r="A311" s="319" t="s">
        <v>1054</v>
      </c>
      <c r="B311" s="536">
        <v>46140</v>
      </c>
      <c r="C311" s="536">
        <v>46166</v>
      </c>
      <c r="D311" s="319" t="s">
        <v>2024</v>
      </c>
      <c r="E311" s="319" t="s">
        <v>2025</v>
      </c>
      <c r="F311" s="319" t="s">
        <v>1157</v>
      </c>
      <c r="G311" s="319" t="s">
        <v>1029</v>
      </c>
      <c r="H311" s="319" t="s">
        <v>2026</v>
      </c>
      <c r="I311" s="535">
        <v>2035.42</v>
      </c>
      <c r="J311" s="535">
        <v>855</v>
      </c>
      <c r="K311" s="535">
        <v>2890.42</v>
      </c>
      <c r="L311" s="535" t="s">
        <v>78</v>
      </c>
      <c r="M311" s="535" t="s">
        <v>1042</v>
      </c>
      <c r="N311" s="537"/>
    </row>
    <row r="312" spans="1:14" ht="15.9" customHeight="1">
      <c r="A312" s="319" t="s">
        <v>1054</v>
      </c>
      <c r="B312" s="536">
        <v>46140</v>
      </c>
      <c r="C312" s="536">
        <v>46152</v>
      </c>
      <c r="D312" s="319" t="s">
        <v>2027</v>
      </c>
      <c r="E312" s="319" t="s">
        <v>2028</v>
      </c>
      <c r="F312" s="319" t="s">
        <v>1085</v>
      </c>
      <c r="G312" s="319" t="s">
        <v>1029</v>
      </c>
      <c r="H312" s="319" t="s">
        <v>2029</v>
      </c>
      <c r="I312" s="535">
        <v>2409.7199999999998</v>
      </c>
      <c r="J312" s="535">
        <v>950</v>
      </c>
      <c r="K312" s="535">
        <v>3359.72</v>
      </c>
      <c r="L312" s="535" t="s">
        <v>78</v>
      </c>
      <c r="M312" s="535" t="s">
        <v>1042</v>
      </c>
      <c r="N312" s="537"/>
    </row>
    <row r="313" spans="1:14" ht="15.9" customHeight="1">
      <c r="A313" s="319" t="s">
        <v>1054</v>
      </c>
      <c r="B313" s="536">
        <v>46141</v>
      </c>
      <c r="C313" s="536">
        <v>46171</v>
      </c>
      <c r="D313" s="319" t="s">
        <v>2030</v>
      </c>
      <c r="E313" s="319" t="s">
        <v>2031</v>
      </c>
      <c r="F313" s="319" t="s">
        <v>2032</v>
      </c>
      <c r="G313" s="319" t="s">
        <v>1029</v>
      </c>
      <c r="H313" s="319" t="s">
        <v>2033</v>
      </c>
      <c r="I313" s="535">
        <v>1896.54</v>
      </c>
      <c r="J313" s="535">
        <v>855</v>
      </c>
      <c r="K313" s="535">
        <v>2751.54</v>
      </c>
      <c r="L313" s="535" t="s">
        <v>87</v>
      </c>
      <c r="M313" s="535" t="s">
        <v>993</v>
      </c>
      <c r="N313" s="537"/>
    </row>
    <row r="314" spans="1:14" ht="15.9" customHeight="1">
      <c r="A314" s="319" t="s">
        <v>1025</v>
      </c>
      <c r="B314" s="536">
        <v>46141</v>
      </c>
      <c r="C314" s="536">
        <v>46143</v>
      </c>
      <c r="D314" s="319" t="s">
        <v>2034</v>
      </c>
      <c r="E314" s="319" t="s">
        <v>2035</v>
      </c>
      <c r="F314" s="319" t="s">
        <v>2036</v>
      </c>
      <c r="G314" s="319" t="s">
        <v>1029</v>
      </c>
      <c r="H314" s="319" t="s">
        <v>2037</v>
      </c>
      <c r="I314" s="535">
        <v>1950.73</v>
      </c>
      <c r="J314" s="535">
        <v>990</v>
      </c>
      <c r="K314" s="535">
        <v>2940.73</v>
      </c>
      <c r="L314" s="535" t="s">
        <v>87</v>
      </c>
      <c r="M314" s="535" t="s">
        <v>993</v>
      </c>
      <c r="N314" s="537"/>
    </row>
    <row r="315" spans="1:14" ht="15.9" customHeight="1">
      <c r="A315" s="319" t="s">
        <v>1054</v>
      </c>
      <c r="B315" s="536">
        <v>46141</v>
      </c>
      <c r="C315" s="536">
        <v>46171</v>
      </c>
      <c r="D315" s="319" t="s">
        <v>2038</v>
      </c>
      <c r="E315" s="319" t="s">
        <v>2039</v>
      </c>
      <c r="F315" s="319" t="s">
        <v>1108</v>
      </c>
      <c r="G315" s="319" t="s">
        <v>1029</v>
      </c>
      <c r="H315" s="319" t="s">
        <v>2040</v>
      </c>
      <c r="I315" s="535">
        <v>1848.97</v>
      </c>
      <c r="J315" s="535">
        <v>855</v>
      </c>
      <c r="K315" s="535">
        <v>2703.97</v>
      </c>
      <c r="L315" s="535" t="s">
        <v>87</v>
      </c>
      <c r="M315" s="535" t="s">
        <v>1042</v>
      </c>
      <c r="N315" s="537"/>
    </row>
    <row r="316" spans="1:14" ht="15.9" customHeight="1">
      <c r="A316" s="319" t="s">
        <v>1054</v>
      </c>
      <c r="B316" s="536">
        <v>46141</v>
      </c>
      <c r="C316" s="536">
        <v>46166</v>
      </c>
      <c r="D316" s="319" t="s">
        <v>2041</v>
      </c>
      <c r="E316" s="319" t="s">
        <v>2042</v>
      </c>
      <c r="F316" s="319" t="s">
        <v>1427</v>
      </c>
      <c r="G316" s="319" t="s">
        <v>1029</v>
      </c>
      <c r="H316" s="319" t="s">
        <v>2043</v>
      </c>
      <c r="I316" s="535">
        <v>982.23</v>
      </c>
      <c r="J316" s="535">
        <v>665</v>
      </c>
      <c r="K316" s="535">
        <v>1647.23</v>
      </c>
      <c r="L316" s="535" t="s">
        <v>87</v>
      </c>
      <c r="M316" s="535" t="s">
        <v>993</v>
      </c>
      <c r="N316" s="537"/>
    </row>
    <row r="317" spans="1:14" ht="15.9" customHeight="1">
      <c r="A317" s="319" t="s">
        <v>1054</v>
      </c>
      <c r="B317" s="536">
        <v>46141</v>
      </c>
      <c r="C317" s="536">
        <v>46171</v>
      </c>
      <c r="D317" s="319" t="s">
        <v>2044</v>
      </c>
      <c r="E317" s="319" t="s">
        <v>2045</v>
      </c>
      <c r="F317" s="319" t="s">
        <v>1631</v>
      </c>
      <c r="G317" s="319" t="s">
        <v>1029</v>
      </c>
      <c r="H317" s="319" t="s">
        <v>2046</v>
      </c>
      <c r="I317" s="535">
        <v>4509.6499999999996</v>
      </c>
      <c r="J317" s="535">
        <v>950</v>
      </c>
      <c r="K317" s="535">
        <v>5459.65</v>
      </c>
      <c r="L317" s="535" t="s">
        <v>79</v>
      </c>
      <c r="M317" s="535" t="s">
        <v>1042</v>
      </c>
      <c r="N317" s="537"/>
    </row>
    <row r="318" spans="1:14" ht="15.9" customHeight="1">
      <c r="A318" s="319" t="s">
        <v>1224</v>
      </c>
      <c r="B318" s="536">
        <v>46141</v>
      </c>
      <c r="C318" s="536">
        <v>46169</v>
      </c>
      <c r="D318" s="319" t="s">
        <v>2047</v>
      </c>
      <c r="E318" s="319" t="s">
        <v>2048</v>
      </c>
      <c r="F318" s="319" t="s">
        <v>1100</v>
      </c>
      <c r="G318" s="319" t="s">
        <v>1029</v>
      </c>
      <c r="H318" s="319" t="s">
        <v>2049</v>
      </c>
      <c r="I318" s="535">
        <v>1943.72</v>
      </c>
      <c r="J318" s="535">
        <v>855</v>
      </c>
      <c r="K318" s="535">
        <v>2798.72</v>
      </c>
      <c r="L318" s="535" t="s">
        <v>79</v>
      </c>
      <c r="M318" s="535" t="s">
        <v>1042</v>
      </c>
      <c r="N318" s="537"/>
    </row>
    <row r="319" spans="1:14" ht="15.9" customHeight="1">
      <c r="A319" s="319" t="s">
        <v>1025</v>
      </c>
      <c r="B319" s="536">
        <v>46141</v>
      </c>
      <c r="C319" s="536">
        <v>46151</v>
      </c>
      <c r="D319" s="319" t="s">
        <v>2050</v>
      </c>
      <c r="E319" s="319" t="s">
        <v>2051</v>
      </c>
      <c r="F319" s="319" t="s">
        <v>1300</v>
      </c>
      <c r="G319" s="319" t="s">
        <v>1029</v>
      </c>
      <c r="H319" s="319" t="s">
        <v>2052</v>
      </c>
      <c r="I319" s="535">
        <v>1396.51</v>
      </c>
      <c r="J319" s="535">
        <v>760</v>
      </c>
      <c r="K319" s="535">
        <v>2156.5100000000002</v>
      </c>
      <c r="L319" s="535" t="s">
        <v>79</v>
      </c>
      <c r="M319" s="535" t="s">
        <v>993</v>
      </c>
      <c r="N319" s="537"/>
    </row>
    <row r="320" spans="1:14" ht="15.9" customHeight="1">
      <c r="A320" s="319" t="s">
        <v>1054</v>
      </c>
      <c r="B320" s="536">
        <v>46141</v>
      </c>
      <c r="C320" s="536">
        <v>46147</v>
      </c>
      <c r="D320" s="319" t="s">
        <v>2053</v>
      </c>
      <c r="E320" s="319" t="s">
        <v>2054</v>
      </c>
      <c r="F320" s="319" t="s">
        <v>1153</v>
      </c>
      <c r="G320" s="319" t="s">
        <v>1029</v>
      </c>
      <c r="H320" s="319" t="s">
        <v>2055</v>
      </c>
      <c r="I320" s="535">
        <v>1925.93</v>
      </c>
      <c r="J320" s="535">
        <v>855</v>
      </c>
      <c r="K320" s="535">
        <v>2780.93</v>
      </c>
      <c r="L320" s="535" t="s">
        <v>79</v>
      </c>
      <c r="M320" s="535" t="s">
        <v>1042</v>
      </c>
      <c r="N320" s="537"/>
    </row>
    <row r="321" spans="1:14" ht="15.9" customHeight="1">
      <c r="A321" s="319" t="s">
        <v>1054</v>
      </c>
      <c r="B321" s="536">
        <v>46141</v>
      </c>
      <c r="C321" s="536">
        <v>46170</v>
      </c>
      <c r="D321" s="319" t="s">
        <v>2056</v>
      </c>
      <c r="E321" s="319" t="s">
        <v>2057</v>
      </c>
      <c r="F321" s="319" t="s">
        <v>1100</v>
      </c>
      <c r="G321" s="319" t="s">
        <v>1029</v>
      </c>
      <c r="H321" s="319" t="s">
        <v>2058</v>
      </c>
      <c r="I321" s="535">
        <v>1978.58</v>
      </c>
      <c r="J321" s="535">
        <v>855</v>
      </c>
      <c r="K321" s="535">
        <v>2833.58</v>
      </c>
      <c r="L321" s="535" t="s">
        <v>86</v>
      </c>
      <c r="M321" s="535" t="s">
        <v>1042</v>
      </c>
      <c r="N321" s="537"/>
    </row>
    <row r="322" spans="1:14" ht="15.9" customHeight="1">
      <c r="A322" s="319" t="s">
        <v>1054</v>
      </c>
      <c r="B322" s="536">
        <v>46141</v>
      </c>
      <c r="C322" s="536">
        <v>46165</v>
      </c>
      <c r="D322" s="319" t="s">
        <v>2059</v>
      </c>
      <c r="E322" s="319" t="s">
        <v>2060</v>
      </c>
      <c r="F322" s="319" t="s">
        <v>1100</v>
      </c>
      <c r="G322" s="319" t="s">
        <v>1029</v>
      </c>
      <c r="H322" s="319" t="s">
        <v>2061</v>
      </c>
      <c r="I322" s="535">
        <v>1968.4</v>
      </c>
      <c r="J322" s="535">
        <v>855</v>
      </c>
      <c r="K322" s="535">
        <v>2823.4</v>
      </c>
      <c r="L322" s="535" t="s">
        <v>86</v>
      </c>
      <c r="M322" s="535" t="s">
        <v>1042</v>
      </c>
      <c r="N322" s="537"/>
    </row>
    <row r="323" spans="1:14" ht="15.9" customHeight="1">
      <c r="A323" s="319" t="s">
        <v>1054</v>
      </c>
      <c r="B323" s="536">
        <v>46141</v>
      </c>
      <c r="C323" s="536">
        <v>46151</v>
      </c>
      <c r="D323" s="319" t="s">
        <v>2062</v>
      </c>
      <c r="E323" s="319" t="s">
        <v>2063</v>
      </c>
      <c r="F323" s="319" t="s">
        <v>1137</v>
      </c>
      <c r="G323" s="319" t="s">
        <v>1029</v>
      </c>
      <c r="H323" s="319" t="s">
        <v>2064</v>
      </c>
      <c r="I323" s="535">
        <v>1159.82</v>
      </c>
      <c r="J323" s="535">
        <v>665</v>
      </c>
      <c r="K323" s="535">
        <v>1824.82</v>
      </c>
      <c r="L323" s="535" t="s">
        <v>80</v>
      </c>
      <c r="M323" s="535" t="s">
        <v>993</v>
      </c>
      <c r="N323" s="537"/>
    </row>
    <row r="324" spans="1:14" ht="15.9" customHeight="1">
      <c r="A324" s="319" t="s">
        <v>1025</v>
      </c>
      <c r="B324" s="536">
        <v>46141</v>
      </c>
      <c r="C324" s="536">
        <v>46143</v>
      </c>
      <c r="D324" s="319" t="s">
        <v>2065</v>
      </c>
      <c r="E324" s="319" t="s">
        <v>2066</v>
      </c>
      <c r="F324" s="319" t="s">
        <v>1108</v>
      </c>
      <c r="G324" s="319" t="s">
        <v>1029</v>
      </c>
      <c r="H324" s="319" t="s">
        <v>2067</v>
      </c>
      <c r="I324" s="535">
        <v>1485.23</v>
      </c>
      <c r="J324" s="535">
        <v>665</v>
      </c>
      <c r="K324" s="535">
        <v>2150.23</v>
      </c>
      <c r="L324" s="535" t="s">
        <v>80</v>
      </c>
      <c r="M324" s="535" t="s">
        <v>993</v>
      </c>
      <c r="N324" s="537"/>
    </row>
    <row r="325" spans="1:14" ht="15.9" customHeight="1">
      <c r="A325" s="319" t="s">
        <v>1130</v>
      </c>
      <c r="B325" s="536">
        <v>46141</v>
      </c>
      <c r="C325" s="536">
        <v>46171</v>
      </c>
      <c r="D325" s="319" t="s">
        <v>2068</v>
      </c>
      <c r="E325" s="319" t="s">
        <v>2069</v>
      </c>
      <c r="F325" s="319" t="s">
        <v>1236</v>
      </c>
      <c r="G325" s="319" t="s">
        <v>1029</v>
      </c>
      <c r="H325" s="319" t="s">
        <v>2070</v>
      </c>
      <c r="I325" s="535">
        <v>1541.47</v>
      </c>
      <c r="J325" s="535">
        <v>760</v>
      </c>
      <c r="K325" s="535">
        <v>2301.4699999999998</v>
      </c>
      <c r="L325" s="535" t="s">
        <v>80</v>
      </c>
      <c r="M325" s="535" t="s">
        <v>993</v>
      </c>
      <c r="N325" s="537"/>
    </row>
    <row r="326" spans="1:14" ht="15.9" customHeight="1">
      <c r="A326" s="319" t="s">
        <v>1054</v>
      </c>
      <c r="B326" s="536">
        <v>46141</v>
      </c>
      <c r="C326" s="536">
        <v>46148</v>
      </c>
      <c r="D326" s="319" t="s">
        <v>2071</v>
      </c>
      <c r="E326" s="319" t="s">
        <v>2072</v>
      </c>
      <c r="F326" s="319" t="s">
        <v>1699</v>
      </c>
      <c r="G326" s="319" t="s">
        <v>1029</v>
      </c>
      <c r="H326" s="319" t="s">
        <v>2073</v>
      </c>
      <c r="I326" s="535">
        <v>2001.81</v>
      </c>
      <c r="J326" s="535">
        <v>855</v>
      </c>
      <c r="K326" s="535">
        <v>2856.81</v>
      </c>
      <c r="L326" s="535" t="s">
        <v>80</v>
      </c>
      <c r="M326" s="535" t="s">
        <v>1042</v>
      </c>
      <c r="N326" s="537"/>
    </row>
    <row r="327" spans="1:14" ht="15.9" customHeight="1">
      <c r="A327" s="319" t="s">
        <v>1077</v>
      </c>
      <c r="B327" s="536">
        <v>46141</v>
      </c>
      <c r="C327" s="536">
        <v>46144</v>
      </c>
      <c r="D327" s="319" t="s">
        <v>2074</v>
      </c>
      <c r="E327" s="319" t="s">
        <v>2075</v>
      </c>
      <c r="F327" s="319" t="s">
        <v>1074</v>
      </c>
      <c r="G327" s="319" t="s">
        <v>1029</v>
      </c>
      <c r="H327" s="319" t="s">
        <v>2076</v>
      </c>
      <c r="I327" s="535">
        <v>1495.16</v>
      </c>
      <c r="J327" s="535">
        <v>665</v>
      </c>
      <c r="K327" s="535">
        <v>2160.16</v>
      </c>
      <c r="L327" s="535" t="s">
        <v>80</v>
      </c>
      <c r="M327" s="535" t="s">
        <v>993</v>
      </c>
      <c r="N327" s="537"/>
    </row>
    <row r="328" spans="1:14" ht="15.9" customHeight="1">
      <c r="A328" s="319" t="s">
        <v>1130</v>
      </c>
      <c r="B328" s="536">
        <v>46141</v>
      </c>
      <c r="C328" s="536">
        <v>46170</v>
      </c>
      <c r="D328" s="319" t="s">
        <v>2077</v>
      </c>
      <c r="E328" s="319" t="s">
        <v>2078</v>
      </c>
      <c r="F328" s="319" t="s">
        <v>2079</v>
      </c>
      <c r="G328" s="319" t="s">
        <v>1029</v>
      </c>
      <c r="H328" s="319" t="s">
        <v>2080</v>
      </c>
      <c r="I328" s="535">
        <v>885.17</v>
      </c>
      <c r="J328" s="535">
        <v>665</v>
      </c>
      <c r="K328" s="535">
        <v>1550.17</v>
      </c>
      <c r="L328" s="535" t="s">
        <v>80</v>
      </c>
      <c r="M328" s="535" t="s">
        <v>993</v>
      </c>
      <c r="N328" s="537"/>
    </row>
    <row r="329" spans="1:14" ht="15.9" customHeight="1">
      <c r="A329" s="319" t="s">
        <v>1054</v>
      </c>
      <c r="B329" s="536">
        <v>46141</v>
      </c>
      <c r="C329" s="536">
        <v>46164</v>
      </c>
      <c r="D329" s="319" t="s">
        <v>2081</v>
      </c>
      <c r="E329" s="319" t="s">
        <v>2082</v>
      </c>
      <c r="F329" s="319" t="s">
        <v>1329</v>
      </c>
      <c r="G329" s="319" t="s">
        <v>1029</v>
      </c>
      <c r="H329" s="319" t="s">
        <v>2083</v>
      </c>
      <c r="I329" s="535">
        <v>2510.13</v>
      </c>
      <c r="J329" s="535">
        <v>855</v>
      </c>
      <c r="K329" s="535">
        <v>3365.13</v>
      </c>
      <c r="L329" s="535" t="s">
        <v>80</v>
      </c>
      <c r="M329" s="535" t="s">
        <v>1042</v>
      </c>
      <c r="N329" s="537"/>
    </row>
    <row r="330" spans="1:14" ht="15.9" customHeight="1">
      <c r="A330" s="319" t="s">
        <v>1110</v>
      </c>
      <c r="B330" s="536">
        <v>46141</v>
      </c>
      <c r="C330" s="536">
        <v>46154</v>
      </c>
      <c r="D330" s="319" t="s">
        <v>2084</v>
      </c>
      <c r="E330" s="319" t="s">
        <v>2085</v>
      </c>
      <c r="F330" s="319" t="s">
        <v>1092</v>
      </c>
      <c r="G330" s="319" t="s">
        <v>1029</v>
      </c>
      <c r="H330" s="319" t="s">
        <v>2086</v>
      </c>
      <c r="I330" s="535">
        <v>1769.66</v>
      </c>
      <c r="J330" s="535">
        <v>855</v>
      </c>
      <c r="K330" s="535">
        <v>2624.66</v>
      </c>
      <c r="L330" s="535" t="s">
        <v>80</v>
      </c>
      <c r="M330" s="535" t="s">
        <v>1042</v>
      </c>
      <c r="N330" s="537"/>
    </row>
    <row r="331" spans="1:14" ht="15.9" customHeight="1">
      <c r="A331" s="319" t="s">
        <v>1025</v>
      </c>
      <c r="B331" s="536">
        <v>46141</v>
      </c>
      <c r="C331" s="536">
        <v>46171</v>
      </c>
      <c r="D331" s="319" t="s">
        <v>2087</v>
      </c>
      <c r="E331" s="319" t="s">
        <v>2088</v>
      </c>
      <c r="F331" s="319" t="s">
        <v>2001</v>
      </c>
      <c r="G331" s="319" t="s">
        <v>1029</v>
      </c>
      <c r="H331" s="319" t="s">
        <v>2089</v>
      </c>
      <c r="I331" s="535">
        <v>1340.33</v>
      </c>
      <c r="J331" s="535">
        <v>950</v>
      </c>
      <c r="K331" s="535">
        <v>2290.33</v>
      </c>
      <c r="L331" s="535" t="s">
        <v>80</v>
      </c>
      <c r="M331" s="535" t="s">
        <v>993</v>
      </c>
      <c r="N331" s="537"/>
    </row>
    <row r="332" spans="1:14" ht="15.9" customHeight="1">
      <c r="A332" s="319" t="s">
        <v>1054</v>
      </c>
      <c r="B332" s="536">
        <v>46141</v>
      </c>
      <c r="C332" s="536">
        <v>46145</v>
      </c>
      <c r="D332" s="319" t="s">
        <v>2090</v>
      </c>
      <c r="E332" s="319" t="s">
        <v>2091</v>
      </c>
      <c r="F332" s="319" t="s">
        <v>1935</v>
      </c>
      <c r="G332" s="319" t="s">
        <v>1029</v>
      </c>
      <c r="H332" s="319" t="s">
        <v>2092</v>
      </c>
      <c r="I332" s="535">
        <v>1209.4000000000001</v>
      </c>
      <c r="J332" s="535">
        <v>665</v>
      </c>
      <c r="K332" s="535">
        <v>1874.4</v>
      </c>
      <c r="L332" s="535" t="s">
        <v>78</v>
      </c>
      <c r="M332" s="535" t="s">
        <v>993</v>
      </c>
      <c r="N332" s="537"/>
    </row>
    <row r="333" spans="1:14" ht="15.9" customHeight="1">
      <c r="A333" s="319" t="s">
        <v>1054</v>
      </c>
      <c r="B333" s="536">
        <v>46141</v>
      </c>
      <c r="C333" s="536">
        <v>46149</v>
      </c>
      <c r="D333" s="319" t="s">
        <v>2093</v>
      </c>
      <c r="E333" s="319" t="s">
        <v>2094</v>
      </c>
      <c r="F333" s="319" t="s">
        <v>1463</v>
      </c>
      <c r="G333" s="319" t="s">
        <v>1029</v>
      </c>
      <c r="H333" s="319" t="s">
        <v>2095</v>
      </c>
      <c r="I333" s="535">
        <v>983.48</v>
      </c>
      <c r="J333" s="535">
        <v>665</v>
      </c>
      <c r="K333" s="535">
        <v>1648.48</v>
      </c>
      <c r="L333" s="535" t="s">
        <v>78</v>
      </c>
      <c r="M333" s="535" t="s">
        <v>993</v>
      </c>
      <c r="N333" s="537"/>
    </row>
    <row r="334" spans="1:14" ht="15.9" customHeight="1">
      <c r="A334" s="319" t="s">
        <v>1054</v>
      </c>
      <c r="B334" s="536">
        <v>46141</v>
      </c>
      <c r="C334" s="536">
        <v>46159</v>
      </c>
      <c r="D334" s="319" t="s">
        <v>2096</v>
      </c>
      <c r="E334" s="319" t="s">
        <v>2097</v>
      </c>
      <c r="F334" s="319" t="s">
        <v>1467</v>
      </c>
      <c r="G334" s="319" t="s">
        <v>1029</v>
      </c>
      <c r="H334" s="319" t="s">
        <v>2098</v>
      </c>
      <c r="I334" s="535">
        <v>1908.06</v>
      </c>
      <c r="J334" s="535">
        <v>665</v>
      </c>
      <c r="K334" s="535">
        <v>2573.06</v>
      </c>
      <c r="L334" s="535" t="s">
        <v>78</v>
      </c>
      <c r="M334" s="535" t="s">
        <v>993</v>
      </c>
      <c r="N334" s="537"/>
    </row>
    <row r="335" spans="1:14" ht="15.9" customHeight="1">
      <c r="A335" s="319" t="s">
        <v>1249</v>
      </c>
      <c r="B335" s="536">
        <v>46141</v>
      </c>
      <c r="C335" s="536">
        <v>46170</v>
      </c>
      <c r="D335" s="319" t="s">
        <v>2099</v>
      </c>
      <c r="E335" s="319" t="s">
        <v>2100</v>
      </c>
      <c r="F335" s="319" t="s">
        <v>2101</v>
      </c>
      <c r="G335" s="319" t="s">
        <v>1029</v>
      </c>
      <c r="H335" s="319" t="s">
        <v>2102</v>
      </c>
      <c r="I335" s="535">
        <v>2204.34</v>
      </c>
      <c r="J335" s="535">
        <v>760</v>
      </c>
      <c r="K335" s="535">
        <v>2964.34</v>
      </c>
      <c r="L335" s="535" t="s">
        <v>78</v>
      </c>
      <c r="M335" s="535" t="s">
        <v>993</v>
      </c>
      <c r="N335" s="537"/>
    </row>
    <row r="336" spans="1:14" ht="15.9" customHeight="1">
      <c r="A336" s="319" t="s">
        <v>1125</v>
      </c>
      <c r="B336" s="536">
        <v>46141</v>
      </c>
      <c r="C336" s="536">
        <v>46170</v>
      </c>
      <c r="D336" s="319" t="s">
        <v>2103</v>
      </c>
      <c r="E336" s="319" t="s">
        <v>2104</v>
      </c>
      <c r="F336" s="319" t="s">
        <v>1028</v>
      </c>
      <c r="G336" s="319" t="s">
        <v>1029</v>
      </c>
      <c r="H336" s="319" t="s">
        <v>2105</v>
      </c>
      <c r="I336" s="535">
        <v>1669.11</v>
      </c>
      <c r="J336" s="535">
        <v>665</v>
      </c>
      <c r="K336" s="535">
        <v>2334.11</v>
      </c>
      <c r="L336" s="535" t="s">
        <v>78</v>
      </c>
      <c r="M336" s="535" t="s">
        <v>993</v>
      </c>
      <c r="N336" s="537"/>
    </row>
    <row r="337" spans="1:14" ht="15.9" customHeight="1">
      <c r="A337" s="319" t="s">
        <v>1054</v>
      </c>
      <c r="B337" s="536">
        <v>46141</v>
      </c>
      <c r="C337" s="536">
        <v>46170</v>
      </c>
      <c r="D337" s="319" t="s">
        <v>2106</v>
      </c>
      <c r="E337" s="319" t="s">
        <v>2107</v>
      </c>
      <c r="F337" s="319" t="s">
        <v>1396</v>
      </c>
      <c r="G337" s="319" t="s">
        <v>1029</v>
      </c>
      <c r="H337" s="319" t="s">
        <v>2108</v>
      </c>
      <c r="I337" s="535">
        <v>982.23</v>
      </c>
      <c r="J337" s="535">
        <v>665</v>
      </c>
      <c r="K337" s="535">
        <v>1647.23</v>
      </c>
      <c r="L337" s="535" t="s">
        <v>78</v>
      </c>
      <c r="M337" s="535" t="s">
        <v>993</v>
      </c>
      <c r="N337" s="537"/>
    </row>
    <row r="338" spans="1:14" ht="15.9" customHeight="1">
      <c r="A338" s="319" t="s">
        <v>1082</v>
      </c>
      <c r="B338" s="536">
        <v>46141</v>
      </c>
      <c r="C338" s="536">
        <v>46163</v>
      </c>
      <c r="D338" s="319" t="s">
        <v>2109</v>
      </c>
      <c r="E338" s="319" t="s">
        <v>2110</v>
      </c>
      <c r="F338" s="319" t="s">
        <v>1315</v>
      </c>
      <c r="G338" s="319" t="s">
        <v>1029</v>
      </c>
      <c r="H338" s="319" t="s">
        <v>2111</v>
      </c>
      <c r="I338" s="535">
        <v>1169.94</v>
      </c>
      <c r="J338" s="535">
        <v>665</v>
      </c>
      <c r="K338" s="535">
        <v>1834.94</v>
      </c>
      <c r="L338" s="535" t="s">
        <v>79</v>
      </c>
      <c r="M338" s="535" t="s">
        <v>993</v>
      </c>
      <c r="N338" s="537"/>
    </row>
    <row r="339" spans="1:14" ht="15.9" customHeight="1">
      <c r="A339" s="319" t="s">
        <v>1077</v>
      </c>
      <c r="B339" s="536">
        <v>46141</v>
      </c>
      <c r="C339" s="536">
        <v>46148</v>
      </c>
      <c r="D339" s="319" t="s">
        <v>2112</v>
      </c>
      <c r="E339" s="319" t="s">
        <v>2113</v>
      </c>
      <c r="F339" s="319" t="s">
        <v>2114</v>
      </c>
      <c r="G339" s="319" t="s">
        <v>1029</v>
      </c>
      <c r="H339" s="319" t="s">
        <v>2115</v>
      </c>
      <c r="I339" s="535">
        <v>819.01</v>
      </c>
      <c r="J339" s="535">
        <v>665</v>
      </c>
      <c r="K339" s="535">
        <v>1484.01</v>
      </c>
      <c r="L339" s="535" t="s">
        <v>87</v>
      </c>
      <c r="M339" s="535" t="s">
        <v>993</v>
      </c>
      <c r="N339" s="537"/>
    </row>
    <row r="340" spans="1:14" ht="15.9" customHeight="1">
      <c r="A340" s="319" t="s">
        <v>1224</v>
      </c>
      <c r="B340" s="536">
        <v>46141</v>
      </c>
      <c r="C340" s="536">
        <v>46143</v>
      </c>
      <c r="D340" s="319" t="s">
        <v>2116</v>
      </c>
      <c r="E340" s="319" t="s">
        <v>2117</v>
      </c>
      <c r="F340" s="319" t="s">
        <v>2118</v>
      </c>
      <c r="G340" s="319" t="s">
        <v>1029</v>
      </c>
      <c r="H340" s="319" t="s">
        <v>2119</v>
      </c>
      <c r="I340" s="535">
        <v>2064.21</v>
      </c>
      <c r="J340" s="535">
        <v>950</v>
      </c>
      <c r="K340" s="535">
        <v>3014.21</v>
      </c>
      <c r="L340" s="535" t="s">
        <v>80</v>
      </c>
      <c r="M340" s="535" t="s">
        <v>1042</v>
      </c>
      <c r="N340" s="537"/>
    </row>
    <row r="341" spans="1:14" ht="15.9" customHeight="1">
      <c r="A341" s="319" t="s">
        <v>1143</v>
      </c>
      <c r="B341" s="536">
        <v>46141</v>
      </c>
      <c r="C341" s="536">
        <v>46168</v>
      </c>
      <c r="D341" s="319" t="s">
        <v>2120</v>
      </c>
      <c r="E341" s="319" t="s">
        <v>2121</v>
      </c>
      <c r="F341" s="319" t="s">
        <v>2122</v>
      </c>
      <c r="G341" s="319" t="s">
        <v>1029</v>
      </c>
      <c r="H341" s="319" t="s">
        <v>2123</v>
      </c>
      <c r="I341" s="535">
        <v>1398.39</v>
      </c>
      <c r="J341" s="535">
        <v>950</v>
      </c>
      <c r="K341" s="535">
        <v>2348.39</v>
      </c>
      <c r="L341" s="535" t="s">
        <v>86</v>
      </c>
      <c r="M341" s="535" t="s">
        <v>993</v>
      </c>
      <c r="N341" s="537"/>
    </row>
    <row r="342" spans="1:14" ht="15.9" customHeight="1">
      <c r="A342" s="319" t="s">
        <v>1025</v>
      </c>
      <c r="B342" s="536">
        <v>46140</v>
      </c>
      <c r="C342" s="536">
        <v>46149</v>
      </c>
      <c r="D342" s="319" t="s">
        <v>2124</v>
      </c>
      <c r="E342" s="319" t="s">
        <v>2125</v>
      </c>
      <c r="F342" s="319" t="s">
        <v>2126</v>
      </c>
      <c r="G342" s="319" t="s">
        <v>1029</v>
      </c>
      <c r="H342" s="319" t="s">
        <v>2127</v>
      </c>
      <c r="I342" s="535">
        <v>1141.47</v>
      </c>
      <c r="J342" s="535">
        <v>665</v>
      </c>
      <c r="K342" s="535">
        <v>1806.47</v>
      </c>
      <c r="L342" s="535" t="s">
        <v>80</v>
      </c>
      <c r="M342" s="535" t="s">
        <v>993</v>
      </c>
      <c r="N342" s="537"/>
    </row>
    <row r="343" spans="1:14" ht="15.9" customHeight="1">
      <c r="A343" s="319" t="s">
        <v>1077</v>
      </c>
      <c r="B343" s="536">
        <v>46140</v>
      </c>
      <c r="C343" s="536">
        <v>46153</v>
      </c>
      <c r="D343" s="319" t="s">
        <v>2128</v>
      </c>
      <c r="E343" s="319" t="s">
        <v>2129</v>
      </c>
      <c r="F343" s="319" t="s">
        <v>2130</v>
      </c>
      <c r="G343" s="319" t="s">
        <v>1029</v>
      </c>
      <c r="H343" s="319" t="s">
        <v>2131</v>
      </c>
      <c r="I343" s="535">
        <v>1286.4000000000001</v>
      </c>
      <c r="J343" s="535">
        <v>760</v>
      </c>
      <c r="K343" s="535">
        <v>2046.4</v>
      </c>
      <c r="L343" s="535" t="s">
        <v>80</v>
      </c>
      <c r="M343" s="535" t="s">
        <v>993</v>
      </c>
      <c r="N343" s="537"/>
    </row>
    <row r="344" spans="1:14" ht="15.9" customHeight="1">
      <c r="A344" s="319" t="s">
        <v>1077</v>
      </c>
      <c r="B344" s="536">
        <v>46142</v>
      </c>
      <c r="C344" s="536">
        <v>46146</v>
      </c>
      <c r="D344" s="319" t="s">
        <v>2132</v>
      </c>
      <c r="E344" s="319" t="s">
        <v>2133</v>
      </c>
      <c r="F344" s="319" t="s">
        <v>2134</v>
      </c>
      <c r="G344" s="319" t="s">
        <v>1029</v>
      </c>
      <c r="H344" s="319" t="s">
        <v>2135</v>
      </c>
      <c r="I344" s="535">
        <v>2264.8200000000002</v>
      </c>
      <c r="J344" s="535">
        <v>665</v>
      </c>
      <c r="K344" s="535">
        <v>2929.82</v>
      </c>
      <c r="L344" s="535" t="s">
        <v>79</v>
      </c>
      <c r="M344" s="535" t="s">
        <v>994</v>
      </c>
      <c r="N344" s="537"/>
    </row>
    <row r="345" spans="1:14" ht="15.9" customHeight="1">
      <c r="A345" s="319" t="s">
        <v>1054</v>
      </c>
      <c r="B345" s="536">
        <v>46142</v>
      </c>
      <c r="C345" s="536">
        <v>46144</v>
      </c>
      <c r="D345" s="319" t="s">
        <v>2136</v>
      </c>
      <c r="E345" s="319" t="s">
        <v>2137</v>
      </c>
      <c r="F345" s="319" t="s">
        <v>2138</v>
      </c>
      <c r="G345" s="319" t="s">
        <v>1029</v>
      </c>
      <c r="H345" s="319" t="s">
        <v>2139</v>
      </c>
      <c r="I345" s="535">
        <v>1906.05</v>
      </c>
      <c r="J345" s="535">
        <v>760</v>
      </c>
      <c r="K345" s="535">
        <v>2666.05</v>
      </c>
      <c r="L345" s="535" t="s">
        <v>80</v>
      </c>
      <c r="M345" s="535" t="s">
        <v>993</v>
      </c>
      <c r="N345" s="537"/>
    </row>
    <row r="346" spans="1:14" ht="15.9" customHeight="1">
      <c r="A346" s="319" t="s">
        <v>1102</v>
      </c>
      <c r="B346" s="536">
        <v>46142</v>
      </c>
      <c r="C346" s="536">
        <v>46171</v>
      </c>
      <c r="D346" s="319" t="s">
        <v>2140</v>
      </c>
      <c r="E346" s="319" t="s">
        <v>2141</v>
      </c>
      <c r="F346" s="319" t="s">
        <v>1752</v>
      </c>
      <c r="G346" s="319" t="s">
        <v>1029</v>
      </c>
      <c r="H346" s="319" t="s">
        <v>2142</v>
      </c>
      <c r="I346" s="535">
        <v>1014.64</v>
      </c>
      <c r="J346" s="535">
        <v>665</v>
      </c>
      <c r="K346" s="535">
        <v>1679.64</v>
      </c>
      <c r="L346" s="535" t="s">
        <v>80</v>
      </c>
      <c r="M346" s="535" t="s">
        <v>993</v>
      </c>
      <c r="N346" s="537"/>
    </row>
    <row r="347" spans="1:14" ht="15.9" customHeight="1">
      <c r="A347" s="319" t="s">
        <v>1082</v>
      </c>
      <c r="B347" s="536">
        <v>46142</v>
      </c>
      <c r="C347" s="536">
        <v>46148</v>
      </c>
      <c r="D347" s="319" t="s">
        <v>2143</v>
      </c>
      <c r="E347" s="319" t="s">
        <v>2144</v>
      </c>
      <c r="F347" s="319" t="s">
        <v>1092</v>
      </c>
      <c r="G347" s="319" t="s">
        <v>1029</v>
      </c>
      <c r="H347" s="319" t="s">
        <v>2145</v>
      </c>
      <c r="I347" s="535">
        <v>2015.47</v>
      </c>
      <c r="J347" s="535">
        <v>855</v>
      </c>
      <c r="K347" s="535">
        <v>2870.47</v>
      </c>
      <c r="L347" s="535" t="s">
        <v>80</v>
      </c>
      <c r="M347" s="535" t="s">
        <v>1042</v>
      </c>
      <c r="N347" s="537"/>
    </row>
    <row r="348" spans="1:14" ht="15.9" customHeight="1">
      <c r="A348" s="319" t="s">
        <v>1130</v>
      </c>
      <c r="B348" s="536">
        <v>46142</v>
      </c>
      <c r="C348" s="536">
        <v>46172</v>
      </c>
      <c r="D348" s="319" t="s">
        <v>2146</v>
      </c>
      <c r="E348" s="319" t="s">
        <v>2147</v>
      </c>
      <c r="F348" s="319" t="s">
        <v>1908</v>
      </c>
      <c r="G348" s="319" t="s">
        <v>1029</v>
      </c>
      <c r="H348" s="319" t="s">
        <v>2148</v>
      </c>
      <c r="I348" s="535">
        <v>973.29</v>
      </c>
      <c r="J348" s="535">
        <v>665</v>
      </c>
      <c r="K348" s="535">
        <v>1638.29</v>
      </c>
      <c r="L348" s="535" t="s">
        <v>80</v>
      </c>
      <c r="M348" s="535" t="s">
        <v>993</v>
      </c>
      <c r="N348" s="537"/>
    </row>
    <row r="349" spans="1:14" ht="15.9" customHeight="1">
      <c r="A349" s="319" t="s">
        <v>1110</v>
      </c>
      <c r="B349" s="536">
        <v>46142</v>
      </c>
      <c r="C349" s="536">
        <v>46148</v>
      </c>
      <c r="D349" s="319" t="s">
        <v>2149</v>
      </c>
      <c r="E349" s="319" t="s">
        <v>2150</v>
      </c>
      <c r="F349" s="319" t="s">
        <v>1096</v>
      </c>
      <c r="G349" s="319" t="s">
        <v>1029</v>
      </c>
      <c r="H349" s="319" t="s">
        <v>2151</v>
      </c>
      <c r="I349" s="535">
        <v>1908.59</v>
      </c>
      <c r="J349" s="535">
        <v>855</v>
      </c>
      <c r="K349" s="535">
        <v>2763.59</v>
      </c>
      <c r="L349" s="535" t="s">
        <v>80</v>
      </c>
      <c r="M349" s="535" t="s">
        <v>1042</v>
      </c>
      <c r="N349" s="537"/>
    </row>
    <row r="350" spans="1:14" ht="15.9" customHeight="1">
      <c r="A350" s="319" t="s">
        <v>1054</v>
      </c>
      <c r="B350" s="536">
        <v>46142</v>
      </c>
      <c r="C350" s="536">
        <v>46153</v>
      </c>
      <c r="D350" s="319" t="s">
        <v>2152</v>
      </c>
      <c r="E350" s="319" t="s">
        <v>2153</v>
      </c>
      <c r="F350" s="319" t="s">
        <v>2154</v>
      </c>
      <c r="G350" s="319" t="s">
        <v>1029</v>
      </c>
      <c r="H350" s="319" t="s">
        <v>2155</v>
      </c>
      <c r="I350" s="535">
        <v>1710.71</v>
      </c>
      <c r="J350" s="535">
        <v>760</v>
      </c>
      <c r="K350" s="535">
        <v>2470.71</v>
      </c>
      <c r="L350" s="535" t="s">
        <v>80</v>
      </c>
      <c r="M350" s="535" t="s">
        <v>993</v>
      </c>
      <c r="N350" s="537"/>
    </row>
    <row r="351" spans="1:14" ht="15.9" customHeight="1">
      <c r="A351" s="319" t="s">
        <v>1224</v>
      </c>
      <c r="B351" s="536">
        <v>46142</v>
      </c>
      <c r="C351" s="536">
        <v>46172</v>
      </c>
      <c r="D351" s="319" t="s">
        <v>2156</v>
      </c>
      <c r="E351" s="319" t="s">
        <v>2157</v>
      </c>
      <c r="F351" s="319" t="s">
        <v>1096</v>
      </c>
      <c r="G351" s="319" t="s">
        <v>1029</v>
      </c>
      <c r="H351" s="319" t="s">
        <v>2158</v>
      </c>
      <c r="I351" s="535">
        <v>1830.88</v>
      </c>
      <c r="J351" s="535">
        <v>855</v>
      </c>
      <c r="K351" s="535">
        <v>2685.88</v>
      </c>
      <c r="L351" s="535" t="s">
        <v>80</v>
      </c>
      <c r="M351" s="535" t="s">
        <v>1042</v>
      </c>
      <c r="N351" s="537"/>
    </row>
    <row r="352" spans="1:14" ht="15.9" customHeight="1">
      <c r="A352" s="319" t="s">
        <v>1054</v>
      </c>
      <c r="B352" s="536">
        <v>46142</v>
      </c>
      <c r="C352" s="536">
        <v>46152</v>
      </c>
      <c r="D352" s="319" t="s">
        <v>2159</v>
      </c>
      <c r="E352" s="319" t="s">
        <v>2160</v>
      </c>
      <c r="F352" s="319" t="s">
        <v>1085</v>
      </c>
      <c r="G352" s="319" t="s">
        <v>1029</v>
      </c>
      <c r="H352" s="319" t="s">
        <v>2161</v>
      </c>
      <c r="I352" s="535">
        <v>2559.41</v>
      </c>
      <c r="J352" s="535">
        <v>855</v>
      </c>
      <c r="K352" s="535">
        <v>3414.41</v>
      </c>
      <c r="L352" s="535" t="s">
        <v>87</v>
      </c>
      <c r="M352" s="535" t="s">
        <v>1042</v>
      </c>
      <c r="N352" s="537"/>
    </row>
    <row r="353" spans="1:14" ht="15.9" customHeight="1">
      <c r="A353" s="319" t="s">
        <v>1054</v>
      </c>
      <c r="B353" s="536">
        <v>46142</v>
      </c>
      <c r="C353" s="536">
        <v>46157</v>
      </c>
      <c r="D353" s="319" t="s">
        <v>2162</v>
      </c>
      <c r="E353" s="319" t="s">
        <v>2163</v>
      </c>
      <c r="F353" s="319" t="s">
        <v>1108</v>
      </c>
      <c r="G353" s="319" t="s">
        <v>1029</v>
      </c>
      <c r="H353" s="319" t="s">
        <v>2164</v>
      </c>
      <c r="I353" s="535">
        <v>1791.8</v>
      </c>
      <c r="J353" s="535">
        <v>665</v>
      </c>
      <c r="K353" s="535">
        <v>2456.8000000000002</v>
      </c>
      <c r="L353" s="535" t="s">
        <v>87</v>
      </c>
      <c r="M353" s="535" t="s">
        <v>993</v>
      </c>
      <c r="N353" s="537"/>
    </row>
    <row r="354" spans="1:14" ht="15.9" customHeight="1">
      <c r="A354" s="319" t="s">
        <v>1054</v>
      </c>
      <c r="B354" s="536">
        <v>46142</v>
      </c>
      <c r="C354" s="536">
        <v>46151</v>
      </c>
      <c r="D354" s="319" t="s">
        <v>2165</v>
      </c>
      <c r="E354" s="319" t="s">
        <v>2166</v>
      </c>
      <c r="F354" s="319" t="s">
        <v>1153</v>
      </c>
      <c r="G354" s="319" t="s">
        <v>1029</v>
      </c>
      <c r="H354" s="319" t="s">
        <v>2167</v>
      </c>
      <c r="I354" s="535">
        <v>2029.19</v>
      </c>
      <c r="J354" s="535">
        <v>855</v>
      </c>
      <c r="K354" s="535">
        <v>2884.19</v>
      </c>
      <c r="L354" s="535" t="s">
        <v>87</v>
      </c>
      <c r="M354" s="535" t="s">
        <v>1042</v>
      </c>
      <c r="N354" s="537"/>
    </row>
    <row r="355" spans="1:14" ht="15.9" customHeight="1">
      <c r="A355" s="319" t="s">
        <v>1054</v>
      </c>
      <c r="B355" s="536">
        <v>46142</v>
      </c>
      <c r="C355" s="536">
        <v>46150</v>
      </c>
      <c r="D355" s="319" t="s">
        <v>2168</v>
      </c>
      <c r="E355" s="319" t="s">
        <v>2169</v>
      </c>
      <c r="F355" s="319" t="s">
        <v>2138</v>
      </c>
      <c r="G355" s="319" t="s">
        <v>1029</v>
      </c>
      <c r="H355" s="319" t="s">
        <v>2170</v>
      </c>
      <c r="I355" s="535">
        <v>2344.83</v>
      </c>
      <c r="J355" s="535">
        <v>760</v>
      </c>
      <c r="K355" s="535">
        <v>3104.83</v>
      </c>
      <c r="L355" s="535" t="s">
        <v>79</v>
      </c>
      <c r="M355" s="535" t="s">
        <v>993</v>
      </c>
      <c r="N355" s="537"/>
    </row>
    <row r="356" spans="1:14" ht="15.9" customHeight="1">
      <c r="A356" s="319" t="s">
        <v>1054</v>
      </c>
      <c r="B356" s="536">
        <v>46142</v>
      </c>
      <c r="C356" s="536">
        <v>46171</v>
      </c>
      <c r="D356" s="319" t="s">
        <v>2171</v>
      </c>
      <c r="E356" s="319" t="s">
        <v>2172</v>
      </c>
      <c r="F356" s="319" t="s">
        <v>1427</v>
      </c>
      <c r="G356" s="319" t="s">
        <v>1029</v>
      </c>
      <c r="H356" s="319" t="s">
        <v>2173</v>
      </c>
      <c r="I356" s="535">
        <v>984.22</v>
      </c>
      <c r="J356" s="535">
        <v>665</v>
      </c>
      <c r="K356" s="535">
        <v>1649.22</v>
      </c>
      <c r="L356" s="535" t="s">
        <v>78</v>
      </c>
      <c r="M356" s="535" t="s">
        <v>993</v>
      </c>
      <c r="N356" s="537"/>
    </row>
    <row r="357" spans="1:14" ht="15.9" customHeight="1">
      <c r="A357" s="319" t="s">
        <v>1077</v>
      </c>
      <c r="B357" s="536">
        <v>46142</v>
      </c>
      <c r="C357" s="536">
        <v>46155</v>
      </c>
      <c r="D357" s="319" t="s">
        <v>2174</v>
      </c>
      <c r="E357" s="319" t="s">
        <v>2175</v>
      </c>
      <c r="F357" s="319" t="s">
        <v>1589</v>
      </c>
      <c r="G357" s="319" t="s">
        <v>1029</v>
      </c>
      <c r="H357" s="319" t="s">
        <v>2176</v>
      </c>
      <c r="I357" s="535">
        <v>2103.4899999999998</v>
      </c>
      <c r="J357" s="535">
        <v>665</v>
      </c>
      <c r="K357" s="535">
        <v>2768.49</v>
      </c>
      <c r="L357" s="535" t="s">
        <v>80</v>
      </c>
      <c r="M357" s="535" t="s">
        <v>993</v>
      </c>
      <c r="N357" s="537"/>
    </row>
    <row r="358" spans="1:14" ht="15.9" customHeight="1">
      <c r="A358" s="319" t="s">
        <v>1213</v>
      </c>
      <c r="B358" s="536">
        <v>46142</v>
      </c>
      <c r="C358" s="536">
        <v>46170</v>
      </c>
      <c r="D358" s="319" t="s">
        <v>2177</v>
      </c>
      <c r="E358" s="319" t="s">
        <v>2178</v>
      </c>
      <c r="F358" s="319" t="s">
        <v>1100</v>
      </c>
      <c r="G358" s="319" t="s">
        <v>1029</v>
      </c>
      <c r="H358" s="319" t="s">
        <v>2179</v>
      </c>
      <c r="I358" s="535">
        <v>2716.68</v>
      </c>
      <c r="J358" s="535">
        <v>950</v>
      </c>
      <c r="K358" s="535">
        <v>3666.68</v>
      </c>
      <c r="L358" s="535" t="s">
        <v>80</v>
      </c>
      <c r="M358" s="535" t="s">
        <v>1042</v>
      </c>
      <c r="N358" s="537"/>
    </row>
    <row r="359" spans="1:14" ht="15.9" customHeight="1">
      <c r="A359" s="319" t="s">
        <v>1125</v>
      </c>
      <c r="B359" s="536">
        <v>46142</v>
      </c>
      <c r="C359" s="536">
        <v>46143</v>
      </c>
      <c r="D359" s="319" t="s">
        <v>2180</v>
      </c>
      <c r="E359" s="319" t="s">
        <v>2181</v>
      </c>
      <c r="F359" s="319" t="s">
        <v>1673</v>
      </c>
      <c r="G359" s="319" t="s">
        <v>1029</v>
      </c>
      <c r="H359" s="319" t="s">
        <v>2182</v>
      </c>
      <c r="I359" s="535">
        <v>1452.83</v>
      </c>
      <c r="J359" s="535">
        <v>760</v>
      </c>
      <c r="K359" s="535">
        <v>2212.83</v>
      </c>
      <c r="L359" s="535" t="s">
        <v>78</v>
      </c>
      <c r="M359" s="535" t="s">
        <v>993</v>
      </c>
      <c r="N359" s="537"/>
    </row>
    <row r="360" spans="1:14" ht="15.9" customHeight="1">
      <c r="A360" s="319" t="s">
        <v>1025</v>
      </c>
      <c r="B360" s="536">
        <v>46142</v>
      </c>
      <c r="C360" s="536">
        <v>46162</v>
      </c>
      <c r="D360" s="319" t="s">
        <v>2183</v>
      </c>
      <c r="E360" s="319" t="s">
        <v>2184</v>
      </c>
      <c r="F360" s="319" t="s">
        <v>1096</v>
      </c>
      <c r="G360" s="319" t="s">
        <v>1029</v>
      </c>
      <c r="H360" s="319" t="s">
        <v>202</v>
      </c>
      <c r="I360" s="535">
        <v>1870.72</v>
      </c>
      <c r="J360" s="535">
        <v>760</v>
      </c>
      <c r="K360" s="535">
        <v>2630.72</v>
      </c>
      <c r="L360" s="535" t="s">
        <v>86</v>
      </c>
      <c r="M360" s="535" t="s">
        <v>993</v>
      </c>
      <c r="N360" s="537"/>
    </row>
    <row r="361" spans="1:14" ht="15.9" customHeight="1">
      <c r="A361" s="319" t="s">
        <v>1143</v>
      </c>
      <c r="B361" s="536">
        <v>46142</v>
      </c>
      <c r="C361" s="536">
        <v>46166</v>
      </c>
      <c r="D361" s="319" t="s">
        <v>2185</v>
      </c>
      <c r="E361" s="319" t="s">
        <v>2186</v>
      </c>
      <c r="F361" s="319" t="s">
        <v>2187</v>
      </c>
      <c r="G361" s="319" t="s">
        <v>1029</v>
      </c>
      <c r="H361" s="319" t="s">
        <v>2188</v>
      </c>
      <c r="I361" s="535">
        <v>1568.26</v>
      </c>
      <c r="J361" s="535">
        <v>665</v>
      </c>
      <c r="K361" s="535">
        <v>2233.2600000000002</v>
      </c>
      <c r="L361" s="535" t="s">
        <v>79</v>
      </c>
      <c r="M361" s="535" t="s">
        <v>993</v>
      </c>
      <c r="N361" s="537"/>
    </row>
    <row r="362" spans="1:14" ht="15.9" customHeight="1">
      <c r="A362" s="319" t="s">
        <v>1025</v>
      </c>
      <c r="B362" s="536">
        <v>46143</v>
      </c>
      <c r="C362" s="536">
        <v>46164</v>
      </c>
      <c r="D362" s="319" t="s">
        <v>2189</v>
      </c>
      <c r="E362" s="319" t="s">
        <v>2190</v>
      </c>
      <c r="F362" s="319" t="s">
        <v>1153</v>
      </c>
      <c r="G362" s="319" t="s">
        <v>1029</v>
      </c>
      <c r="H362" s="319" t="s">
        <v>2191</v>
      </c>
      <c r="I362" s="535">
        <v>1861.65</v>
      </c>
      <c r="J362" s="535">
        <v>855</v>
      </c>
      <c r="K362" s="535">
        <v>2716.65</v>
      </c>
      <c r="L362" s="535" t="s">
        <v>78</v>
      </c>
      <c r="M362" s="535" t="s">
        <v>1042</v>
      </c>
      <c r="N362" s="537" t="s">
        <v>1118</v>
      </c>
    </row>
    <row r="363" spans="1:14" ht="15.9" customHeight="1">
      <c r="A363" s="319" t="s">
        <v>1077</v>
      </c>
      <c r="B363" s="536">
        <v>46143</v>
      </c>
      <c r="C363" s="536">
        <v>46145</v>
      </c>
      <c r="D363" s="319" t="s">
        <v>2192</v>
      </c>
      <c r="E363" s="319" t="s">
        <v>2193</v>
      </c>
      <c r="F363" s="319" t="s">
        <v>1028</v>
      </c>
      <c r="G363" s="319" t="s">
        <v>1029</v>
      </c>
      <c r="H363" s="319" t="s">
        <v>2194</v>
      </c>
      <c r="I363" s="535">
        <v>1564.57</v>
      </c>
      <c r="J363" s="535">
        <v>665</v>
      </c>
      <c r="K363" s="535">
        <v>2229.5700000000002</v>
      </c>
      <c r="L363" s="535" t="s">
        <v>78</v>
      </c>
      <c r="M363" s="535" t="s">
        <v>993</v>
      </c>
      <c r="N363" s="537"/>
    </row>
    <row r="364" spans="1:14" ht="15.9" customHeight="1">
      <c r="A364" s="319" t="s">
        <v>1082</v>
      </c>
      <c r="B364" s="536">
        <v>46143</v>
      </c>
      <c r="C364" s="536">
        <v>46148</v>
      </c>
      <c r="D364" s="319" t="s">
        <v>2195</v>
      </c>
      <c r="E364" s="319" t="s">
        <v>2196</v>
      </c>
      <c r="F364" s="319" t="s">
        <v>1404</v>
      </c>
      <c r="G364" s="319" t="s">
        <v>1029</v>
      </c>
      <c r="H364" s="319" t="s">
        <v>2197</v>
      </c>
      <c r="I364" s="535">
        <v>368.95</v>
      </c>
      <c r="J364" s="535">
        <v>665</v>
      </c>
      <c r="K364" s="535">
        <v>1033.95</v>
      </c>
      <c r="L364" s="535" t="s">
        <v>78</v>
      </c>
      <c r="M364" s="535" t="s">
        <v>993</v>
      </c>
      <c r="N364" s="537"/>
    </row>
    <row r="365" spans="1:14" ht="15.9" customHeight="1">
      <c r="A365" s="319" t="s">
        <v>1102</v>
      </c>
      <c r="B365" s="536">
        <v>46144</v>
      </c>
      <c r="C365" s="536">
        <v>46172</v>
      </c>
      <c r="D365" s="319" t="s">
        <v>2198</v>
      </c>
      <c r="E365" s="319" t="s">
        <v>2199</v>
      </c>
      <c r="F365" s="319" t="s">
        <v>1028</v>
      </c>
      <c r="G365" s="319" t="s">
        <v>1029</v>
      </c>
      <c r="H365" s="319" t="s">
        <v>2200</v>
      </c>
      <c r="I365" s="535">
        <v>1749.09</v>
      </c>
      <c r="J365" s="535">
        <v>760</v>
      </c>
      <c r="K365" s="535">
        <v>2509.09</v>
      </c>
      <c r="L365" s="535" t="s">
        <v>80</v>
      </c>
      <c r="M365" s="535" t="s">
        <v>993</v>
      </c>
      <c r="N365" s="537"/>
    </row>
    <row r="366" spans="1:14" ht="15.9" customHeight="1">
      <c r="A366" s="319" t="s">
        <v>1110</v>
      </c>
      <c r="B366" s="536">
        <v>46144</v>
      </c>
      <c r="C366" s="536">
        <v>46169</v>
      </c>
      <c r="D366" s="319" t="s">
        <v>2201</v>
      </c>
      <c r="E366" s="319" t="s">
        <v>2202</v>
      </c>
      <c r="F366" s="319" t="s">
        <v>1113</v>
      </c>
      <c r="G366" s="319" t="s">
        <v>1029</v>
      </c>
      <c r="H366" s="319" t="s">
        <v>2203</v>
      </c>
      <c r="I366" s="535">
        <v>1755.15</v>
      </c>
      <c r="J366" s="535">
        <v>855</v>
      </c>
      <c r="K366" s="535">
        <v>2610.15</v>
      </c>
      <c r="L366" s="535" t="s">
        <v>80</v>
      </c>
      <c r="M366" s="535" t="s">
        <v>993</v>
      </c>
      <c r="N366" s="537"/>
    </row>
    <row r="367" spans="1:14" ht="15.9" customHeight="1">
      <c r="A367" s="319" t="s">
        <v>1025</v>
      </c>
      <c r="B367" s="536">
        <v>46144</v>
      </c>
      <c r="C367" s="536">
        <v>46145</v>
      </c>
      <c r="D367" s="319" t="s">
        <v>2204</v>
      </c>
      <c r="E367" s="319" t="s">
        <v>2205</v>
      </c>
      <c r="F367" s="319" t="s">
        <v>1752</v>
      </c>
      <c r="G367" s="319" t="s">
        <v>1029</v>
      </c>
      <c r="H367" s="319" t="s">
        <v>2206</v>
      </c>
      <c r="I367" s="535">
        <v>402.81</v>
      </c>
      <c r="J367" s="535">
        <v>665</v>
      </c>
      <c r="K367" s="535">
        <v>1067.81</v>
      </c>
      <c r="L367" s="535" t="s">
        <v>80</v>
      </c>
      <c r="M367" s="535" t="s">
        <v>993</v>
      </c>
      <c r="N367" s="537" t="s">
        <v>1118</v>
      </c>
    </row>
    <row r="368" spans="1:14" ht="15.9" customHeight="1">
      <c r="A368" s="319" t="s">
        <v>1077</v>
      </c>
      <c r="B368" s="536">
        <v>46143</v>
      </c>
      <c r="C368" s="536">
        <v>46150</v>
      </c>
      <c r="D368" s="319" t="s">
        <v>2207</v>
      </c>
      <c r="E368" s="319" t="s">
        <v>2208</v>
      </c>
      <c r="F368" s="319" t="s">
        <v>1100</v>
      </c>
      <c r="G368" s="319" t="s">
        <v>1029</v>
      </c>
      <c r="H368" s="319" t="s">
        <v>2209</v>
      </c>
      <c r="I368" s="535">
        <v>2000.97</v>
      </c>
      <c r="J368" s="535">
        <v>760</v>
      </c>
      <c r="K368" s="535">
        <v>2760.97</v>
      </c>
      <c r="L368" s="535" t="s">
        <v>79</v>
      </c>
      <c r="M368" s="535" t="s">
        <v>993</v>
      </c>
      <c r="N368" s="537"/>
    </row>
    <row r="369" spans="1:14" ht="15.9" customHeight="1">
      <c r="A369" s="319" t="s">
        <v>1077</v>
      </c>
      <c r="B369" s="536">
        <v>46143</v>
      </c>
      <c r="C369" s="536">
        <v>46172</v>
      </c>
      <c r="D369" s="319" t="s">
        <v>2210</v>
      </c>
      <c r="E369" s="319" t="s">
        <v>2211</v>
      </c>
      <c r="F369" s="319" t="s">
        <v>1028</v>
      </c>
      <c r="G369" s="319" t="s">
        <v>1029</v>
      </c>
      <c r="H369" s="319" t="s">
        <v>2212</v>
      </c>
      <c r="I369" s="535">
        <v>1760.28</v>
      </c>
      <c r="J369" s="535">
        <v>855</v>
      </c>
      <c r="K369" s="535">
        <v>2615.2800000000002</v>
      </c>
      <c r="L369" s="535" t="s">
        <v>79</v>
      </c>
      <c r="M369" s="535" t="s">
        <v>993</v>
      </c>
      <c r="N369" s="537"/>
    </row>
    <row r="370" spans="1:14" ht="15.9" customHeight="1">
      <c r="A370" s="319" t="s">
        <v>1224</v>
      </c>
      <c r="B370" s="536">
        <v>46143</v>
      </c>
      <c r="C370" s="536">
        <v>46153</v>
      </c>
      <c r="D370" s="319" t="s">
        <v>2213</v>
      </c>
      <c r="E370" s="319" t="s">
        <v>2214</v>
      </c>
      <c r="F370" s="319" t="s">
        <v>1100</v>
      </c>
      <c r="G370" s="319" t="s">
        <v>1029</v>
      </c>
      <c r="H370" s="319" t="s">
        <v>2215</v>
      </c>
      <c r="I370" s="535">
        <v>1982.42</v>
      </c>
      <c r="J370" s="535">
        <v>855</v>
      </c>
      <c r="K370" s="535">
        <v>2837.42</v>
      </c>
      <c r="L370" s="535" t="s">
        <v>79</v>
      </c>
      <c r="M370" s="535" t="s">
        <v>1042</v>
      </c>
      <c r="N370" s="537"/>
    </row>
    <row r="371" spans="1:14" ht="15.9" customHeight="1">
      <c r="A371" s="319" t="s">
        <v>1213</v>
      </c>
      <c r="B371" s="536">
        <v>46144</v>
      </c>
      <c r="C371" s="536">
        <v>46169</v>
      </c>
      <c r="D371" s="319" t="s">
        <v>2216</v>
      </c>
      <c r="E371" s="319" t="s">
        <v>2217</v>
      </c>
      <c r="F371" s="319" t="s">
        <v>1602</v>
      </c>
      <c r="G371" s="319" t="s">
        <v>1029</v>
      </c>
      <c r="H371" s="319" t="s">
        <v>2218</v>
      </c>
      <c r="I371" s="535">
        <v>2599.62</v>
      </c>
      <c r="J371" s="535">
        <v>950</v>
      </c>
      <c r="K371" s="535">
        <v>3549.62</v>
      </c>
      <c r="L371" s="535" t="s">
        <v>79</v>
      </c>
      <c r="M371" s="535" t="s">
        <v>993</v>
      </c>
      <c r="N371" s="537"/>
    </row>
    <row r="372" spans="1:14" ht="15.9" customHeight="1">
      <c r="A372" s="319" t="s">
        <v>1025</v>
      </c>
      <c r="B372" s="536">
        <v>46145</v>
      </c>
      <c r="C372" s="536">
        <v>46154</v>
      </c>
      <c r="D372" s="319" t="s">
        <v>2219</v>
      </c>
      <c r="E372" s="319" t="s">
        <v>2220</v>
      </c>
      <c r="F372" s="319" t="s">
        <v>1300</v>
      </c>
      <c r="G372" s="319" t="s">
        <v>1029</v>
      </c>
      <c r="H372" s="319" t="s">
        <v>2221</v>
      </c>
      <c r="I372" s="535">
        <v>1669.44</v>
      </c>
      <c r="J372" s="535">
        <v>760</v>
      </c>
      <c r="K372" s="535">
        <v>2429.44</v>
      </c>
      <c r="L372" s="535" t="s">
        <v>79</v>
      </c>
      <c r="M372" s="535" t="s">
        <v>993</v>
      </c>
      <c r="N372" s="537" t="s">
        <v>1118</v>
      </c>
    </row>
    <row r="373" spans="1:14" ht="15.9" customHeight="1">
      <c r="A373" s="319" t="s">
        <v>1025</v>
      </c>
      <c r="B373" s="536">
        <v>46143</v>
      </c>
      <c r="C373" s="536">
        <v>46150</v>
      </c>
      <c r="D373" s="319" t="s">
        <v>2222</v>
      </c>
      <c r="E373" s="319" t="s">
        <v>2223</v>
      </c>
      <c r="F373" s="319" t="s">
        <v>1315</v>
      </c>
      <c r="G373" s="319" t="s">
        <v>1029</v>
      </c>
      <c r="H373" s="319" t="s">
        <v>2224</v>
      </c>
      <c r="I373" s="535">
        <v>1149.54</v>
      </c>
      <c r="J373" s="535">
        <v>665</v>
      </c>
      <c r="K373" s="535">
        <v>1814.54</v>
      </c>
      <c r="L373" s="535" t="s">
        <v>87</v>
      </c>
      <c r="M373" s="535" t="s">
        <v>993</v>
      </c>
      <c r="N373" s="537" t="s">
        <v>1118</v>
      </c>
    </row>
    <row r="374" spans="1:14" ht="15.9" customHeight="1">
      <c r="A374" s="319" t="s">
        <v>1025</v>
      </c>
      <c r="B374" s="536">
        <v>46144</v>
      </c>
      <c r="C374" s="536">
        <v>46145</v>
      </c>
      <c r="D374" s="319" t="s">
        <v>2225</v>
      </c>
      <c r="E374" s="319" t="s">
        <v>2226</v>
      </c>
      <c r="F374" s="319" t="s">
        <v>1427</v>
      </c>
      <c r="G374" s="319" t="s">
        <v>1029</v>
      </c>
      <c r="H374" s="319" t="s">
        <v>2227</v>
      </c>
      <c r="I374" s="535">
        <v>281.92</v>
      </c>
      <c r="J374" s="535">
        <v>855</v>
      </c>
      <c r="K374" s="535">
        <v>1136.92</v>
      </c>
      <c r="L374" s="535" t="s">
        <v>80</v>
      </c>
      <c r="M374" s="535" t="s">
        <v>993</v>
      </c>
      <c r="N374" s="537" t="s">
        <v>1118</v>
      </c>
    </row>
    <row r="375" spans="1:14" ht="15.9" customHeight="1">
      <c r="A375" s="319" t="s">
        <v>1054</v>
      </c>
      <c r="B375" s="536">
        <v>46146</v>
      </c>
      <c r="C375" s="536">
        <v>46173</v>
      </c>
      <c r="D375" s="319" t="s">
        <v>2228</v>
      </c>
      <c r="E375" s="319" t="s">
        <v>2229</v>
      </c>
      <c r="F375" s="319" t="s">
        <v>2230</v>
      </c>
      <c r="G375" s="319" t="s">
        <v>1029</v>
      </c>
      <c r="H375" s="319" t="s">
        <v>2231</v>
      </c>
      <c r="I375" s="535">
        <v>1926.97</v>
      </c>
      <c r="J375" s="535">
        <v>950</v>
      </c>
      <c r="K375" s="535">
        <v>2876.97</v>
      </c>
      <c r="L375" s="535" t="s">
        <v>80</v>
      </c>
      <c r="M375" s="535" t="s">
        <v>993</v>
      </c>
      <c r="N375" s="537"/>
    </row>
    <row r="376" spans="1:14" ht="15.9" customHeight="1">
      <c r="A376" s="319" t="s">
        <v>1054</v>
      </c>
      <c r="B376" s="536">
        <v>46146</v>
      </c>
      <c r="C376" s="536">
        <v>46172</v>
      </c>
      <c r="D376" s="319" t="s">
        <v>2232</v>
      </c>
      <c r="E376" s="319" t="s">
        <v>2233</v>
      </c>
      <c r="F376" s="319" t="s">
        <v>1096</v>
      </c>
      <c r="G376" s="319" t="s">
        <v>1029</v>
      </c>
      <c r="H376" s="319" t="s">
        <v>2234</v>
      </c>
      <c r="I376" s="535">
        <v>1614.71</v>
      </c>
      <c r="J376" s="535">
        <v>950</v>
      </c>
      <c r="K376" s="535">
        <v>2564.71</v>
      </c>
      <c r="L376" s="535" t="s">
        <v>80</v>
      </c>
      <c r="M376" s="535" t="s">
        <v>993</v>
      </c>
      <c r="N376" s="537"/>
    </row>
    <row r="377" spans="1:14" ht="15.9" customHeight="1">
      <c r="A377" s="319" t="s">
        <v>1025</v>
      </c>
      <c r="B377" s="536">
        <v>46144</v>
      </c>
      <c r="C377" s="536">
        <v>46151</v>
      </c>
      <c r="D377" s="319" t="s">
        <v>2235</v>
      </c>
      <c r="E377" s="319" t="s">
        <v>2236</v>
      </c>
      <c r="F377" s="319" t="s">
        <v>1036</v>
      </c>
      <c r="G377" s="319" t="s">
        <v>1029</v>
      </c>
      <c r="H377" s="319" t="s">
        <v>2237</v>
      </c>
      <c r="I377" s="535">
        <v>1083.24</v>
      </c>
      <c r="J377" s="535">
        <v>665</v>
      </c>
      <c r="K377" s="535">
        <v>1748.24</v>
      </c>
      <c r="L377" s="535" t="s">
        <v>78</v>
      </c>
      <c r="M377" s="535" t="s">
        <v>993</v>
      </c>
      <c r="N377" s="537" t="s">
        <v>1118</v>
      </c>
    </row>
    <row r="378" spans="1:14" ht="15.9" customHeight="1">
      <c r="A378" s="319" t="s">
        <v>1054</v>
      </c>
      <c r="B378" s="536">
        <v>46147</v>
      </c>
      <c r="C378" s="536">
        <v>46171</v>
      </c>
      <c r="D378" s="319" t="s">
        <v>2238</v>
      </c>
      <c r="E378" s="319" t="s">
        <v>2239</v>
      </c>
      <c r="F378" s="319" t="s">
        <v>1424</v>
      </c>
      <c r="G378" s="319" t="s">
        <v>1029</v>
      </c>
      <c r="H378" s="319" t="s">
        <v>2240</v>
      </c>
      <c r="I378" s="535">
        <v>1192.8</v>
      </c>
      <c r="J378" s="535">
        <v>665</v>
      </c>
      <c r="K378" s="535">
        <v>1857.8</v>
      </c>
      <c r="L378" s="535" t="s">
        <v>78</v>
      </c>
      <c r="M378" s="535" t="s">
        <v>993</v>
      </c>
      <c r="N378" s="537"/>
    </row>
    <row r="379" spans="1:14" ht="15.9" customHeight="1">
      <c r="A379" s="319" t="s">
        <v>1054</v>
      </c>
      <c r="B379" s="536">
        <v>46147</v>
      </c>
      <c r="C379" s="536">
        <v>46171</v>
      </c>
      <c r="D379" s="319" t="s">
        <v>2241</v>
      </c>
      <c r="E379" s="319" t="s">
        <v>2242</v>
      </c>
      <c r="F379" s="319" t="s">
        <v>1036</v>
      </c>
      <c r="G379" s="319" t="s">
        <v>1029</v>
      </c>
      <c r="H379" s="319" t="s">
        <v>2243</v>
      </c>
      <c r="I379" s="535">
        <v>1514.73</v>
      </c>
      <c r="J379" s="535">
        <v>855</v>
      </c>
      <c r="K379" s="535">
        <v>2369.73</v>
      </c>
      <c r="L379" s="535" t="s">
        <v>78</v>
      </c>
      <c r="M379" s="535" t="s">
        <v>993</v>
      </c>
      <c r="N379" s="537"/>
    </row>
    <row r="380" spans="1:14" ht="15.9" customHeight="1">
      <c r="A380" s="319" t="s">
        <v>1054</v>
      </c>
      <c r="B380" s="536">
        <v>46145</v>
      </c>
      <c r="C380" s="536">
        <v>46171</v>
      </c>
      <c r="D380" s="319" t="s">
        <v>2244</v>
      </c>
      <c r="E380" s="319" t="s">
        <v>2245</v>
      </c>
      <c r="F380" s="319" t="s">
        <v>1279</v>
      </c>
      <c r="G380" s="319" t="s">
        <v>1029</v>
      </c>
      <c r="H380" s="319" t="s">
        <v>2246</v>
      </c>
      <c r="I380" s="535">
        <v>1707.15</v>
      </c>
      <c r="J380" s="535">
        <v>760</v>
      </c>
      <c r="K380" s="535">
        <v>2467.15</v>
      </c>
      <c r="L380" s="535" t="s">
        <v>79</v>
      </c>
      <c r="M380" s="535" t="s">
        <v>993</v>
      </c>
      <c r="N380" s="537"/>
    </row>
    <row r="381" spans="1:14" ht="15.9" customHeight="1">
      <c r="A381" s="319" t="s">
        <v>1025</v>
      </c>
      <c r="B381" s="536">
        <v>46146</v>
      </c>
      <c r="C381" s="536">
        <v>46154</v>
      </c>
      <c r="D381" s="319" t="s">
        <v>2247</v>
      </c>
      <c r="E381" s="319" t="s">
        <v>2248</v>
      </c>
      <c r="F381" s="319" t="s">
        <v>1113</v>
      </c>
      <c r="G381" s="319" t="s">
        <v>1029</v>
      </c>
      <c r="H381" s="319" t="s">
        <v>2249</v>
      </c>
      <c r="I381" s="535">
        <v>3300.3</v>
      </c>
      <c r="J381" s="535">
        <v>950</v>
      </c>
      <c r="K381" s="535">
        <v>4250.3</v>
      </c>
      <c r="L381" s="535" t="s">
        <v>79</v>
      </c>
      <c r="M381" s="535" t="s">
        <v>1042</v>
      </c>
      <c r="N381" s="537"/>
    </row>
    <row r="382" spans="1:14" ht="15.9" customHeight="1">
      <c r="A382" s="319" t="s">
        <v>1054</v>
      </c>
      <c r="B382" s="536">
        <v>46147</v>
      </c>
      <c r="C382" s="536">
        <v>46169</v>
      </c>
      <c r="D382" s="319" t="s">
        <v>2250</v>
      </c>
      <c r="E382" s="319" t="s">
        <v>2251</v>
      </c>
      <c r="F382" s="319" t="s">
        <v>2252</v>
      </c>
      <c r="G382" s="319" t="s">
        <v>1029</v>
      </c>
      <c r="H382" s="319" t="s">
        <v>2253</v>
      </c>
      <c r="I382" s="535">
        <v>1905.53</v>
      </c>
      <c r="J382" s="535">
        <v>855</v>
      </c>
      <c r="K382" s="535">
        <v>2760.53</v>
      </c>
      <c r="L382" s="535" t="s">
        <v>80</v>
      </c>
      <c r="M382" s="535" t="s">
        <v>993</v>
      </c>
      <c r="N382" s="537"/>
    </row>
    <row r="383" spans="1:14" ht="15.9" customHeight="1">
      <c r="A383" s="319" t="s">
        <v>1054</v>
      </c>
      <c r="B383" s="536">
        <v>46147</v>
      </c>
      <c r="C383" s="536">
        <v>46165</v>
      </c>
      <c r="D383" s="319" t="s">
        <v>2254</v>
      </c>
      <c r="E383" s="319" t="s">
        <v>2255</v>
      </c>
      <c r="F383" s="319" t="s">
        <v>2252</v>
      </c>
      <c r="G383" s="319" t="s">
        <v>1029</v>
      </c>
      <c r="H383" s="319" t="s">
        <v>2256</v>
      </c>
      <c r="I383" s="535">
        <v>1774.83</v>
      </c>
      <c r="J383" s="535">
        <v>855</v>
      </c>
      <c r="K383" s="535">
        <v>2629.83</v>
      </c>
      <c r="L383" s="535" t="s">
        <v>80</v>
      </c>
      <c r="M383" s="535" t="s">
        <v>993</v>
      </c>
      <c r="N383" s="537"/>
    </row>
    <row r="384" spans="1:14" ht="15.9" customHeight="1">
      <c r="A384" s="319" t="s">
        <v>1025</v>
      </c>
      <c r="B384" s="536">
        <v>46147</v>
      </c>
      <c r="C384" s="536">
        <v>46153</v>
      </c>
      <c r="D384" s="319" t="s">
        <v>2257</v>
      </c>
      <c r="E384" s="319" t="s">
        <v>2258</v>
      </c>
      <c r="F384" s="319" t="s">
        <v>1434</v>
      </c>
      <c r="G384" s="319" t="s">
        <v>1029</v>
      </c>
      <c r="H384" s="319" t="s">
        <v>2259</v>
      </c>
      <c r="I384" s="535">
        <v>1025.27</v>
      </c>
      <c r="J384" s="535">
        <v>665</v>
      </c>
      <c r="K384" s="535">
        <v>1690.27</v>
      </c>
      <c r="L384" s="535" t="s">
        <v>80</v>
      </c>
      <c r="M384" s="535" t="s">
        <v>993</v>
      </c>
      <c r="N384" s="537"/>
    </row>
    <row r="385" spans="1:14" ht="15.9" customHeight="1">
      <c r="A385" s="319" t="s">
        <v>1025</v>
      </c>
      <c r="B385" s="536">
        <v>46147</v>
      </c>
      <c r="C385" s="536">
        <v>46153</v>
      </c>
      <c r="D385" s="319" t="s">
        <v>2260</v>
      </c>
      <c r="E385" s="319" t="s">
        <v>2261</v>
      </c>
      <c r="F385" s="319" t="s">
        <v>1113</v>
      </c>
      <c r="G385" s="319" t="s">
        <v>1029</v>
      </c>
      <c r="H385" s="319" t="s">
        <v>2262</v>
      </c>
      <c r="I385" s="535">
        <v>1815.14</v>
      </c>
      <c r="J385" s="535">
        <v>760</v>
      </c>
      <c r="K385" s="535">
        <v>2575.14</v>
      </c>
      <c r="L385" s="535" t="s">
        <v>80</v>
      </c>
      <c r="M385" s="535" t="s">
        <v>993</v>
      </c>
      <c r="N385" s="537"/>
    </row>
    <row r="386" spans="1:14" ht="15.9" customHeight="1">
      <c r="A386" s="319" t="s">
        <v>1025</v>
      </c>
      <c r="B386" s="536">
        <v>46147</v>
      </c>
      <c r="C386" s="536">
        <v>46148</v>
      </c>
      <c r="D386" s="319" t="s">
        <v>2263</v>
      </c>
      <c r="E386" s="319" t="s">
        <v>2264</v>
      </c>
      <c r="F386" s="319" t="s">
        <v>2265</v>
      </c>
      <c r="G386" s="319" t="s">
        <v>1029</v>
      </c>
      <c r="H386" s="319" t="s">
        <v>2266</v>
      </c>
      <c r="I386" s="535">
        <v>1017.03</v>
      </c>
      <c r="J386" s="535">
        <v>665</v>
      </c>
      <c r="K386" s="535">
        <v>1682.03</v>
      </c>
      <c r="L386" s="535" t="s">
        <v>80</v>
      </c>
      <c r="M386" s="535" t="s">
        <v>993</v>
      </c>
      <c r="N386" s="537"/>
    </row>
    <row r="387" spans="1:14" ht="15.9" customHeight="1">
      <c r="A387" s="319" t="s">
        <v>1331</v>
      </c>
      <c r="B387" s="536">
        <v>46148</v>
      </c>
      <c r="C387" s="536">
        <v>46150</v>
      </c>
      <c r="D387" s="319" t="s">
        <v>2267</v>
      </c>
      <c r="E387" s="319" t="s">
        <v>2268</v>
      </c>
      <c r="F387" s="319" t="s">
        <v>2269</v>
      </c>
      <c r="G387" s="319" t="s">
        <v>995</v>
      </c>
      <c r="H387" s="319" t="s">
        <v>2270</v>
      </c>
      <c r="I387" s="535">
        <v>4957.8999999999996</v>
      </c>
      <c r="J387" s="535">
        <v>760</v>
      </c>
      <c r="K387" s="535">
        <v>5717.9</v>
      </c>
      <c r="L387" s="535" t="s">
        <v>86</v>
      </c>
      <c r="M387" s="535" t="s">
        <v>995</v>
      </c>
      <c r="N387" s="537"/>
    </row>
    <row r="388" spans="1:14" ht="15.9" customHeight="1">
      <c r="A388" s="319" t="s">
        <v>1025</v>
      </c>
      <c r="B388" s="536">
        <v>46147</v>
      </c>
      <c r="C388" s="536">
        <v>46169</v>
      </c>
      <c r="D388" s="319" t="s">
        <v>2271</v>
      </c>
      <c r="E388" s="319" t="s">
        <v>2272</v>
      </c>
      <c r="F388" s="319" t="s">
        <v>1752</v>
      </c>
      <c r="G388" s="319" t="s">
        <v>1029</v>
      </c>
      <c r="H388" s="319" t="s">
        <v>2273</v>
      </c>
      <c r="I388" s="535">
        <v>1118.1099999999999</v>
      </c>
      <c r="J388" s="535">
        <v>665</v>
      </c>
      <c r="K388" s="535">
        <v>1783.11</v>
      </c>
      <c r="L388" s="535" t="s">
        <v>79</v>
      </c>
      <c r="M388" s="535" t="s">
        <v>993</v>
      </c>
      <c r="N388" s="537" t="s">
        <v>1118</v>
      </c>
    </row>
    <row r="389" spans="1:14" ht="15.9" customHeight="1">
      <c r="A389" s="319" t="s">
        <v>1054</v>
      </c>
      <c r="B389" s="536">
        <v>46148</v>
      </c>
      <c r="C389" s="536">
        <v>46173</v>
      </c>
      <c r="D389" s="319" t="s">
        <v>2274</v>
      </c>
      <c r="E389" s="319" t="s">
        <v>2275</v>
      </c>
      <c r="F389" s="319" t="s">
        <v>1108</v>
      </c>
      <c r="G389" s="319" t="s">
        <v>1029</v>
      </c>
      <c r="H389" s="319" t="s">
        <v>2276</v>
      </c>
      <c r="I389" s="535">
        <v>1491.18</v>
      </c>
      <c r="J389" s="535">
        <v>665</v>
      </c>
      <c r="K389" s="535">
        <v>2156.1799999999998</v>
      </c>
      <c r="L389" s="535" t="s">
        <v>79</v>
      </c>
      <c r="M389" s="535" t="s">
        <v>993</v>
      </c>
      <c r="N389" s="537"/>
    </row>
    <row r="390" spans="1:14" ht="15.9" customHeight="1">
      <c r="A390" s="319" t="s">
        <v>1054</v>
      </c>
      <c r="B390" s="536">
        <v>46146</v>
      </c>
      <c r="C390" s="536">
        <v>46149</v>
      </c>
      <c r="D390" s="319" t="s">
        <v>2277</v>
      </c>
      <c r="E390" s="319" t="s">
        <v>2278</v>
      </c>
      <c r="F390" s="319" t="s">
        <v>1057</v>
      </c>
      <c r="G390" s="319" t="s">
        <v>1029</v>
      </c>
      <c r="H390" s="319" t="s">
        <v>2279</v>
      </c>
      <c r="I390" s="535">
        <v>1645.04</v>
      </c>
      <c r="J390" s="535">
        <v>665</v>
      </c>
      <c r="K390" s="535">
        <v>2310.04</v>
      </c>
      <c r="L390" s="535" t="s">
        <v>87</v>
      </c>
      <c r="M390" s="535" t="s">
        <v>993</v>
      </c>
      <c r="N390" s="537"/>
    </row>
    <row r="391" spans="1:14" ht="15.9" customHeight="1">
      <c r="A391" s="319" t="s">
        <v>1054</v>
      </c>
      <c r="B391" s="536">
        <v>46146</v>
      </c>
      <c r="C391" s="536">
        <v>46150</v>
      </c>
      <c r="D391" s="319" t="s">
        <v>2280</v>
      </c>
      <c r="E391" s="319" t="s">
        <v>2281</v>
      </c>
      <c r="F391" s="319" t="s">
        <v>1673</v>
      </c>
      <c r="G391" s="319" t="s">
        <v>1029</v>
      </c>
      <c r="H391" s="319" t="s">
        <v>2282</v>
      </c>
      <c r="I391" s="535">
        <v>1604.51</v>
      </c>
      <c r="J391" s="535">
        <v>760</v>
      </c>
      <c r="K391" s="535">
        <v>2364.5100000000002</v>
      </c>
      <c r="L391" s="535" t="s">
        <v>87</v>
      </c>
      <c r="M391" s="535" t="s">
        <v>993</v>
      </c>
      <c r="N391" s="537"/>
    </row>
    <row r="392" spans="1:14" ht="15.9" customHeight="1">
      <c r="A392" s="319" t="s">
        <v>1077</v>
      </c>
      <c r="B392" s="536">
        <v>46147</v>
      </c>
      <c r="C392" s="536">
        <v>46150</v>
      </c>
      <c r="D392" s="319" t="s">
        <v>2283</v>
      </c>
      <c r="E392" s="319" t="s">
        <v>2284</v>
      </c>
      <c r="F392" s="319" t="s">
        <v>1593</v>
      </c>
      <c r="G392" s="319" t="s">
        <v>1029</v>
      </c>
      <c r="H392" s="319" t="s">
        <v>2285</v>
      </c>
      <c r="I392" s="535">
        <v>2017.83</v>
      </c>
      <c r="J392" s="535">
        <v>665</v>
      </c>
      <c r="K392" s="535">
        <v>2682.83</v>
      </c>
      <c r="L392" s="535" t="s">
        <v>87</v>
      </c>
      <c r="M392" s="535" t="s">
        <v>993</v>
      </c>
      <c r="N392" s="537"/>
    </row>
    <row r="393" spans="1:14" ht="15.9" customHeight="1">
      <c r="A393" s="319" t="s">
        <v>1054</v>
      </c>
      <c r="B393" s="536">
        <v>46148</v>
      </c>
      <c r="C393" s="536">
        <v>46173</v>
      </c>
      <c r="D393" s="319" t="s">
        <v>2286</v>
      </c>
      <c r="E393" s="319" t="s">
        <v>2287</v>
      </c>
      <c r="F393" s="319" t="s">
        <v>2288</v>
      </c>
      <c r="G393" s="319" t="s">
        <v>1029</v>
      </c>
      <c r="H393" s="319" t="s">
        <v>2289</v>
      </c>
      <c r="I393" s="535">
        <v>1716.42</v>
      </c>
      <c r="J393" s="535">
        <v>665</v>
      </c>
      <c r="K393" s="535">
        <v>2381.42</v>
      </c>
      <c r="L393" s="535" t="s">
        <v>87</v>
      </c>
      <c r="M393" s="535" t="s">
        <v>993</v>
      </c>
      <c r="N393" s="537"/>
    </row>
    <row r="394" spans="1:14" ht="15.9" customHeight="1">
      <c r="A394" s="319" t="s">
        <v>1054</v>
      </c>
      <c r="B394" s="536">
        <v>46148</v>
      </c>
      <c r="C394" s="536">
        <v>46169</v>
      </c>
      <c r="D394" s="319" t="s">
        <v>2290</v>
      </c>
      <c r="E394" s="319" t="s">
        <v>2291</v>
      </c>
      <c r="F394" s="319" t="s">
        <v>2292</v>
      </c>
      <c r="G394" s="319" t="s">
        <v>1029</v>
      </c>
      <c r="H394" s="319" t="s">
        <v>2293</v>
      </c>
      <c r="I394" s="535">
        <v>1314.33</v>
      </c>
      <c r="J394" s="535">
        <v>665</v>
      </c>
      <c r="K394" s="535">
        <v>1979.33</v>
      </c>
      <c r="L394" s="535" t="s">
        <v>87</v>
      </c>
      <c r="M394" s="535" t="s">
        <v>993</v>
      </c>
      <c r="N394" s="537"/>
    </row>
    <row r="395" spans="1:14" ht="15.9" customHeight="1">
      <c r="A395" s="319" t="s">
        <v>1054</v>
      </c>
      <c r="B395" s="536">
        <v>46148</v>
      </c>
      <c r="C395" s="536">
        <v>46171</v>
      </c>
      <c r="D395" s="319" t="s">
        <v>2294</v>
      </c>
      <c r="E395" s="319" t="s">
        <v>2295</v>
      </c>
      <c r="F395" s="319" t="s">
        <v>1057</v>
      </c>
      <c r="G395" s="319" t="s">
        <v>1029</v>
      </c>
      <c r="H395" s="319" t="s">
        <v>2296</v>
      </c>
      <c r="I395" s="535">
        <v>1898.15</v>
      </c>
      <c r="J395" s="535">
        <v>760</v>
      </c>
      <c r="K395" s="535">
        <v>2658.15</v>
      </c>
      <c r="L395" s="535" t="s">
        <v>87</v>
      </c>
      <c r="M395" s="535" t="s">
        <v>993</v>
      </c>
      <c r="N395" s="537"/>
    </row>
    <row r="396" spans="1:14" ht="15.9" customHeight="1">
      <c r="A396" s="319" t="s">
        <v>1054</v>
      </c>
      <c r="B396" s="536">
        <v>46148</v>
      </c>
      <c r="C396" s="536">
        <v>46151</v>
      </c>
      <c r="D396" s="319" t="s">
        <v>2297</v>
      </c>
      <c r="E396" s="319" t="s">
        <v>2298</v>
      </c>
      <c r="F396" s="319" t="s">
        <v>1699</v>
      </c>
      <c r="G396" s="319" t="s">
        <v>1029</v>
      </c>
      <c r="H396" s="319" t="s">
        <v>2299</v>
      </c>
      <c r="I396" s="535">
        <v>1571.12</v>
      </c>
      <c r="J396" s="535">
        <v>855</v>
      </c>
      <c r="K396" s="535">
        <v>2426.12</v>
      </c>
      <c r="L396" s="535" t="s">
        <v>79</v>
      </c>
      <c r="M396" s="535" t="s">
        <v>1042</v>
      </c>
      <c r="N396" s="537"/>
    </row>
    <row r="397" spans="1:14" ht="15.9" customHeight="1">
      <c r="A397" s="319" t="s">
        <v>1025</v>
      </c>
      <c r="B397" s="536">
        <v>46146</v>
      </c>
      <c r="C397" s="536">
        <v>46162</v>
      </c>
      <c r="D397" s="319" t="s">
        <v>2300</v>
      </c>
      <c r="E397" s="319" t="s">
        <v>2301</v>
      </c>
      <c r="F397" s="319" t="s">
        <v>1396</v>
      </c>
      <c r="G397" s="319" t="s">
        <v>1029</v>
      </c>
      <c r="H397" s="319" t="s">
        <v>2302</v>
      </c>
      <c r="I397" s="535">
        <v>1000.21</v>
      </c>
      <c r="J397" s="535">
        <v>665</v>
      </c>
      <c r="K397" s="535">
        <v>1665.21</v>
      </c>
      <c r="L397" s="535" t="s">
        <v>87</v>
      </c>
      <c r="M397" s="535" t="s">
        <v>993</v>
      </c>
      <c r="N397" s="537" t="s">
        <v>1118</v>
      </c>
    </row>
    <row r="398" spans="1:14" ht="15.9" customHeight="1">
      <c r="A398" s="319" t="s">
        <v>1054</v>
      </c>
      <c r="B398" s="536">
        <v>46148</v>
      </c>
      <c r="C398" s="536">
        <v>46163</v>
      </c>
      <c r="D398" s="319" t="s">
        <v>2303</v>
      </c>
      <c r="E398" s="319" t="s">
        <v>2304</v>
      </c>
      <c r="F398" s="319" t="s">
        <v>1085</v>
      </c>
      <c r="G398" s="319" t="s">
        <v>1029</v>
      </c>
      <c r="H398" s="319" t="s">
        <v>2305</v>
      </c>
      <c r="I398" s="535">
        <v>1971.74</v>
      </c>
      <c r="J398" s="535">
        <v>855</v>
      </c>
      <c r="K398" s="535">
        <v>2826.74</v>
      </c>
      <c r="L398" s="535" t="s">
        <v>87</v>
      </c>
      <c r="M398" s="535" t="s">
        <v>1042</v>
      </c>
      <c r="N398" s="537"/>
    </row>
    <row r="399" spans="1:14" ht="15.9" customHeight="1">
      <c r="A399" s="319" t="s">
        <v>1054</v>
      </c>
      <c r="B399" s="536">
        <v>46148</v>
      </c>
      <c r="C399" s="536">
        <v>46163</v>
      </c>
      <c r="D399" s="319" t="s">
        <v>2306</v>
      </c>
      <c r="E399" s="319" t="s">
        <v>2307</v>
      </c>
      <c r="F399" s="319" t="s">
        <v>1153</v>
      </c>
      <c r="G399" s="319" t="s">
        <v>1029</v>
      </c>
      <c r="H399" s="319" t="s">
        <v>2308</v>
      </c>
      <c r="I399" s="535">
        <v>1904.15</v>
      </c>
      <c r="J399" s="535">
        <v>855</v>
      </c>
      <c r="K399" s="535">
        <v>2759.15</v>
      </c>
      <c r="L399" s="535" t="s">
        <v>87</v>
      </c>
      <c r="M399" s="535" t="s">
        <v>1042</v>
      </c>
      <c r="N399" s="537"/>
    </row>
    <row r="400" spans="1:14" ht="15.9" customHeight="1">
      <c r="A400" s="319" t="s">
        <v>1054</v>
      </c>
      <c r="B400" s="536">
        <v>46148</v>
      </c>
      <c r="C400" s="536">
        <v>46157</v>
      </c>
      <c r="D400" s="319" t="s">
        <v>2309</v>
      </c>
      <c r="E400" s="319" t="s">
        <v>2310</v>
      </c>
      <c r="F400" s="319" t="s">
        <v>1329</v>
      </c>
      <c r="G400" s="319" t="s">
        <v>1029</v>
      </c>
      <c r="H400" s="319" t="s">
        <v>2311</v>
      </c>
      <c r="I400" s="535">
        <v>3223.39</v>
      </c>
      <c r="J400" s="535">
        <v>855</v>
      </c>
      <c r="K400" s="535">
        <v>4078.39</v>
      </c>
      <c r="L400" s="535" t="s">
        <v>78</v>
      </c>
      <c r="M400" s="535" t="s">
        <v>1042</v>
      </c>
      <c r="N400" s="537"/>
    </row>
    <row r="401" spans="1:14" ht="15.9" customHeight="1">
      <c r="A401" s="319" t="s">
        <v>1054</v>
      </c>
      <c r="B401" s="536">
        <v>46148</v>
      </c>
      <c r="C401" s="536">
        <v>46159</v>
      </c>
      <c r="D401" s="319" t="s">
        <v>2312</v>
      </c>
      <c r="E401" s="319" t="s">
        <v>2313</v>
      </c>
      <c r="F401" s="319" t="s">
        <v>1752</v>
      </c>
      <c r="G401" s="319" t="s">
        <v>1029</v>
      </c>
      <c r="H401" s="319" t="s">
        <v>2314</v>
      </c>
      <c r="I401" s="535">
        <v>1049.5899999999999</v>
      </c>
      <c r="J401" s="535">
        <v>665</v>
      </c>
      <c r="K401" s="535">
        <v>1714.59</v>
      </c>
      <c r="L401" s="535" t="s">
        <v>78</v>
      </c>
      <c r="M401" s="535" t="s">
        <v>993</v>
      </c>
      <c r="N401" s="537"/>
    </row>
    <row r="402" spans="1:14" ht="15.9" customHeight="1">
      <c r="A402" s="319" t="s">
        <v>1054</v>
      </c>
      <c r="B402" s="536">
        <v>46148</v>
      </c>
      <c r="C402" s="536">
        <v>46158</v>
      </c>
      <c r="D402" s="319" t="s">
        <v>2315</v>
      </c>
      <c r="E402" s="319" t="s">
        <v>2316</v>
      </c>
      <c r="F402" s="319" t="s">
        <v>1396</v>
      </c>
      <c r="G402" s="319" t="s">
        <v>1029</v>
      </c>
      <c r="H402" s="319" t="s">
        <v>2317</v>
      </c>
      <c r="I402" s="535">
        <v>1354.17</v>
      </c>
      <c r="J402" s="535">
        <v>665</v>
      </c>
      <c r="K402" s="535">
        <v>2019.17</v>
      </c>
      <c r="L402" s="535" t="s">
        <v>78</v>
      </c>
      <c r="M402" s="535" t="s">
        <v>993</v>
      </c>
      <c r="N402" s="537"/>
    </row>
    <row r="403" spans="1:14" ht="15.9" customHeight="1">
      <c r="A403" s="319" t="s">
        <v>1054</v>
      </c>
      <c r="B403" s="536">
        <v>46148</v>
      </c>
      <c r="C403" s="536">
        <v>46169</v>
      </c>
      <c r="D403" s="319" t="s">
        <v>2318</v>
      </c>
      <c r="E403" s="319" t="s">
        <v>2319</v>
      </c>
      <c r="F403" s="319" t="s">
        <v>1163</v>
      </c>
      <c r="G403" s="319" t="s">
        <v>1029</v>
      </c>
      <c r="H403" s="319" t="s">
        <v>2320</v>
      </c>
      <c r="I403" s="535">
        <v>1322.85</v>
      </c>
      <c r="J403" s="535">
        <v>665</v>
      </c>
      <c r="K403" s="535">
        <v>1987.85</v>
      </c>
      <c r="L403" s="535" t="s">
        <v>78</v>
      </c>
      <c r="M403" s="535" t="s">
        <v>993</v>
      </c>
      <c r="N403" s="537"/>
    </row>
    <row r="404" spans="1:14" ht="15.9" customHeight="1">
      <c r="A404" s="319" t="s">
        <v>1054</v>
      </c>
      <c r="B404" s="536">
        <v>46148</v>
      </c>
      <c r="C404" s="536">
        <v>46149</v>
      </c>
      <c r="D404" s="319" t="s">
        <v>2321</v>
      </c>
      <c r="E404" s="319" t="s">
        <v>2322</v>
      </c>
      <c r="F404" s="319" t="s">
        <v>1211</v>
      </c>
      <c r="G404" s="319" t="s">
        <v>1029</v>
      </c>
      <c r="H404" s="319" t="s">
        <v>2323</v>
      </c>
      <c r="I404" s="535">
        <v>2245.2199999999998</v>
      </c>
      <c r="J404" s="535">
        <v>855</v>
      </c>
      <c r="K404" s="535">
        <v>3100.22</v>
      </c>
      <c r="L404" s="535" t="s">
        <v>78</v>
      </c>
      <c r="M404" s="535" t="s">
        <v>994</v>
      </c>
      <c r="N404" s="537"/>
    </row>
    <row r="405" spans="1:14" ht="15.9" customHeight="1">
      <c r="A405" s="319" t="s">
        <v>1025</v>
      </c>
      <c r="B405" s="536">
        <v>46148</v>
      </c>
      <c r="C405" s="536">
        <v>46172</v>
      </c>
      <c r="D405" s="319" t="s">
        <v>2324</v>
      </c>
      <c r="E405" s="319" t="s">
        <v>2325</v>
      </c>
      <c r="F405" s="319" t="s">
        <v>2079</v>
      </c>
      <c r="G405" s="319" t="s">
        <v>1029</v>
      </c>
      <c r="H405" s="319" t="s">
        <v>2326</v>
      </c>
      <c r="I405" s="535">
        <v>966.52</v>
      </c>
      <c r="J405" s="535">
        <v>665</v>
      </c>
      <c r="K405" s="535">
        <v>1631.52</v>
      </c>
      <c r="L405" s="535" t="s">
        <v>78</v>
      </c>
      <c r="M405" s="535" t="s">
        <v>993</v>
      </c>
      <c r="N405" s="537"/>
    </row>
    <row r="406" spans="1:14" ht="15.9" customHeight="1">
      <c r="A406" s="319" t="s">
        <v>1077</v>
      </c>
      <c r="B406" s="536">
        <v>46148</v>
      </c>
      <c r="C406" s="536">
        <v>46154</v>
      </c>
      <c r="D406" s="319" t="s">
        <v>2327</v>
      </c>
      <c r="E406" s="319" t="s">
        <v>2328</v>
      </c>
      <c r="F406" s="319" t="s">
        <v>2329</v>
      </c>
      <c r="G406" s="319" t="s">
        <v>1029</v>
      </c>
      <c r="H406" s="319" t="s">
        <v>2330</v>
      </c>
      <c r="I406" s="535">
        <v>836.45</v>
      </c>
      <c r="J406" s="535">
        <v>700</v>
      </c>
      <c r="K406" s="535">
        <v>1536.45</v>
      </c>
      <c r="L406" s="535" t="s">
        <v>80</v>
      </c>
      <c r="M406" s="535" t="s">
        <v>993</v>
      </c>
      <c r="N406" s="537"/>
    </row>
    <row r="407" spans="1:14" ht="15.9" customHeight="1">
      <c r="A407" s="319" t="s">
        <v>1025</v>
      </c>
      <c r="B407" s="536">
        <v>46148</v>
      </c>
      <c r="C407" s="536">
        <v>46153</v>
      </c>
      <c r="D407" s="319" t="s">
        <v>2331</v>
      </c>
      <c r="E407" s="319" t="s">
        <v>2332</v>
      </c>
      <c r="F407" s="319" t="s">
        <v>1463</v>
      </c>
      <c r="G407" s="319" t="s">
        <v>1029</v>
      </c>
      <c r="H407" s="319" t="s">
        <v>2333</v>
      </c>
      <c r="I407" s="535">
        <v>387.91</v>
      </c>
      <c r="J407" s="535">
        <v>665</v>
      </c>
      <c r="K407" s="535">
        <v>1052.9100000000001</v>
      </c>
      <c r="L407" s="535" t="s">
        <v>80</v>
      </c>
      <c r="M407" s="535" t="s">
        <v>993</v>
      </c>
      <c r="N407" s="537"/>
    </row>
    <row r="408" spans="1:14" ht="15.9" customHeight="1">
      <c r="A408" s="319" t="s">
        <v>2334</v>
      </c>
      <c r="B408" s="536">
        <v>46148</v>
      </c>
      <c r="C408" s="536">
        <v>46165</v>
      </c>
      <c r="D408" s="319" t="s">
        <v>2335</v>
      </c>
      <c r="E408" s="319" t="s">
        <v>2336</v>
      </c>
      <c r="F408" s="319" t="s">
        <v>1100</v>
      </c>
      <c r="G408" s="319" t="s">
        <v>1029</v>
      </c>
      <c r="H408" s="319" t="s">
        <v>2337</v>
      </c>
      <c r="I408" s="535">
        <v>1977.65</v>
      </c>
      <c r="J408" s="535">
        <v>855</v>
      </c>
      <c r="K408" s="535">
        <v>2832.65</v>
      </c>
      <c r="L408" s="535" t="s">
        <v>80</v>
      </c>
      <c r="M408" s="535" t="s">
        <v>1042</v>
      </c>
      <c r="N408" s="537"/>
    </row>
    <row r="409" spans="1:14" ht="15.9" customHeight="1">
      <c r="A409" s="319" t="s">
        <v>1077</v>
      </c>
      <c r="B409" s="536">
        <v>46148</v>
      </c>
      <c r="C409" s="536">
        <v>46161</v>
      </c>
      <c r="D409" s="319" t="s">
        <v>2338</v>
      </c>
      <c r="E409" s="319" t="s">
        <v>2339</v>
      </c>
      <c r="F409" s="319" t="s">
        <v>1434</v>
      </c>
      <c r="G409" s="319" t="s">
        <v>1029</v>
      </c>
      <c r="H409" s="319" t="s">
        <v>2340</v>
      </c>
      <c r="I409" s="535">
        <v>1202.81</v>
      </c>
      <c r="J409" s="535">
        <v>665</v>
      </c>
      <c r="K409" s="535">
        <v>1867.81</v>
      </c>
      <c r="L409" s="535" t="s">
        <v>80</v>
      </c>
      <c r="M409" s="535" t="s">
        <v>993</v>
      </c>
      <c r="N409" s="537"/>
    </row>
    <row r="410" spans="1:14" ht="15.9" customHeight="1">
      <c r="A410" s="319" t="s">
        <v>1054</v>
      </c>
      <c r="B410" s="536">
        <v>46148</v>
      </c>
      <c r="C410" s="536">
        <v>46172</v>
      </c>
      <c r="D410" s="319" t="s">
        <v>2341</v>
      </c>
      <c r="E410" s="319" t="s">
        <v>2342</v>
      </c>
      <c r="F410" s="319" t="s">
        <v>1092</v>
      </c>
      <c r="G410" s="319" t="s">
        <v>1029</v>
      </c>
      <c r="H410" s="319" t="s">
        <v>2343</v>
      </c>
      <c r="I410" s="535">
        <v>3094.44</v>
      </c>
      <c r="J410" s="535">
        <v>950</v>
      </c>
      <c r="K410" s="535">
        <v>4044.44</v>
      </c>
      <c r="L410" s="535" t="s">
        <v>80</v>
      </c>
      <c r="M410" s="535" t="s">
        <v>1042</v>
      </c>
      <c r="N410" s="537"/>
    </row>
    <row r="411" spans="1:14" ht="15.9" customHeight="1">
      <c r="A411" s="319" t="s">
        <v>1054</v>
      </c>
      <c r="B411" s="536">
        <v>46148</v>
      </c>
      <c r="C411" s="536">
        <v>46156</v>
      </c>
      <c r="D411" s="319" t="s">
        <v>2344</v>
      </c>
      <c r="E411" s="319" t="s">
        <v>2345</v>
      </c>
      <c r="F411" s="319" t="s">
        <v>1794</v>
      </c>
      <c r="G411" s="319" t="s">
        <v>1029</v>
      </c>
      <c r="H411" s="319" t="s">
        <v>2346</v>
      </c>
      <c r="I411" s="535">
        <v>1292.01</v>
      </c>
      <c r="J411" s="535">
        <v>665</v>
      </c>
      <c r="K411" s="535">
        <v>1957.01</v>
      </c>
      <c r="L411" s="535" t="s">
        <v>80</v>
      </c>
      <c r="M411" s="535" t="s">
        <v>993</v>
      </c>
      <c r="N411" s="537"/>
    </row>
    <row r="412" spans="1:14" ht="15.9" customHeight="1">
      <c r="A412" s="319" t="s">
        <v>1130</v>
      </c>
      <c r="B412" s="536">
        <v>46148</v>
      </c>
      <c r="C412" s="536">
        <v>46155</v>
      </c>
      <c r="D412" s="319" t="s">
        <v>2347</v>
      </c>
      <c r="E412" s="319" t="s">
        <v>2348</v>
      </c>
      <c r="F412" s="319" t="s">
        <v>1236</v>
      </c>
      <c r="G412" s="319" t="s">
        <v>1029</v>
      </c>
      <c r="H412" s="319" t="s">
        <v>2349</v>
      </c>
      <c r="I412" s="535">
        <v>1554.95</v>
      </c>
      <c r="J412" s="535">
        <v>855</v>
      </c>
      <c r="K412" s="535">
        <v>2409.9499999999998</v>
      </c>
      <c r="L412" s="535" t="s">
        <v>80</v>
      </c>
      <c r="M412" s="535" t="s">
        <v>993</v>
      </c>
      <c r="N412" s="537"/>
    </row>
    <row r="413" spans="1:14" ht="15.9" customHeight="1">
      <c r="A413" s="319" t="s">
        <v>1067</v>
      </c>
      <c r="B413" s="536">
        <v>46148</v>
      </c>
      <c r="C413" s="536">
        <v>46158</v>
      </c>
      <c r="D413" s="319" t="s">
        <v>2350</v>
      </c>
      <c r="E413" s="319" t="s">
        <v>2351</v>
      </c>
      <c r="F413" s="319" t="s">
        <v>1912</v>
      </c>
      <c r="G413" s="319" t="s">
        <v>1029</v>
      </c>
      <c r="H413" s="319" t="s">
        <v>2352</v>
      </c>
      <c r="I413" s="535">
        <v>798.21</v>
      </c>
      <c r="J413" s="535">
        <v>665</v>
      </c>
      <c r="K413" s="535">
        <v>1463.21</v>
      </c>
      <c r="L413" s="535" t="s">
        <v>87</v>
      </c>
      <c r="M413" s="535" t="s">
        <v>993</v>
      </c>
      <c r="N413" s="537"/>
    </row>
    <row r="414" spans="1:14" ht="15.9" customHeight="1">
      <c r="A414" s="319" t="s">
        <v>1125</v>
      </c>
      <c r="B414" s="536">
        <v>46148</v>
      </c>
      <c r="C414" s="536">
        <v>46149</v>
      </c>
      <c r="D414" s="319" t="s">
        <v>2353</v>
      </c>
      <c r="E414" s="319" t="s">
        <v>2354</v>
      </c>
      <c r="F414" s="319" t="s">
        <v>1028</v>
      </c>
      <c r="G414" s="319" t="s">
        <v>1029</v>
      </c>
      <c r="H414" s="319" t="s">
        <v>2355</v>
      </c>
      <c r="I414" s="535">
        <v>1727.02</v>
      </c>
      <c r="J414" s="535">
        <v>760</v>
      </c>
      <c r="K414" s="535">
        <v>2487.02</v>
      </c>
      <c r="L414" s="535" t="s">
        <v>87</v>
      </c>
      <c r="M414" s="535" t="s">
        <v>994</v>
      </c>
      <c r="N414" s="537"/>
    </row>
    <row r="415" spans="1:14" ht="15.9" customHeight="1">
      <c r="A415" s="319" t="s">
        <v>1025</v>
      </c>
      <c r="B415" s="536">
        <v>46143</v>
      </c>
      <c r="C415" s="536">
        <v>46143</v>
      </c>
      <c r="D415" s="319" t="s">
        <v>2356</v>
      </c>
      <c r="E415" s="319" t="s">
        <v>2357</v>
      </c>
      <c r="F415" s="319" t="s">
        <v>1057</v>
      </c>
      <c r="G415" s="319" t="s">
        <v>1029</v>
      </c>
      <c r="H415" s="319" t="s">
        <v>2358</v>
      </c>
      <c r="I415" s="535">
        <v>2122.2800000000002</v>
      </c>
      <c r="J415" s="535"/>
      <c r="K415" s="535">
        <v>2122.2800000000002</v>
      </c>
      <c r="L415" s="535" t="s">
        <v>86</v>
      </c>
      <c r="M415" s="535" t="s">
        <v>993</v>
      </c>
      <c r="N415" s="537"/>
    </row>
    <row r="416" spans="1:14" ht="15.9" customHeight="1">
      <c r="A416" s="319" t="s">
        <v>1143</v>
      </c>
      <c r="B416" s="536">
        <v>46145</v>
      </c>
      <c r="C416" s="536">
        <v>46145</v>
      </c>
      <c r="D416" s="319" t="s">
        <v>2359</v>
      </c>
      <c r="E416" s="319" t="s">
        <v>2360</v>
      </c>
      <c r="F416" s="319" t="s">
        <v>2361</v>
      </c>
      <c r="G416" s="319" t="s">
        <v>1029</v>
      </c>
      <c r="H416" s="319" t="s">
        <v>2362</v>
      </c>
      <c r="I416" s="535">
        <v>393.9</v>
      </c>
      <c r="J416" s="535">
        <v>665</v>
      </c>
      <c r="K416" s="535">
        <v>1058.9000000000001</v>
      </c>
      <c r="L416" s="535" t="s">
        <v>86</v>
      </c>
      <c r="M416" s="535" t="s">
        <v>993</v>
      </c>
      <c r="N416" s="537"/>
    </row>
    <row r="417" spans="1:14" ht="15.9" customHeight="1">
      <c r="A417" s="319" t="s">
        <v>1054</v>
      </c>
      <c r="B417" s="536">
        <v>46145</v>
      </c>
      <c r="C417" s="536">
        <v>46146</v>
      </c>
      <c r="D417" s="319" t="s">
        <v>2363</v>
      </c>
      <c r="E417" s="319" t="s">
        <v>2364</v>
      </c>
      <c r="F417" s="319" t="s">
        <v>1153</v>
      </c>
      <c r="G417" s="319" t="s">
        <v>1029</v>
      </c>
      <c r="H417" s="319" t="s">
        <v>2365</v>
      </c>
      <c r="I417" s="535">
        <v>2758.97</v>
      </c>
      <c r="J417" s="535">
        <v>855</v>
      </c>
      <c r="K417" s="535">
        <v>3613.97</v>
      </c>
      <c r="L417" s="535" t="s">
        <v>86</v>
      </c>
      <c r="M417" s="535" t="s">
        <v>1042</v>
      </c>
      <c r="N417" s="537"/>
    </row>
    <row r="418" spans="1:14" ht="15.9" customHeight="1">
      <c r="A418" s="319" t="s">
        <v>1054</v>
      </c>
      <c r="B418" s="536">
        <v>46147</v>
      </c>
      <c r="C418" s="536">
        <v>46155</v>
      </c>
      <c r="D418" s="319" t="s">
        <v>2366</v>
      </c>
      <c r="E418" s="319" t="s">
        <v>2367</v>
      </c>
      <c r="F418" s="319" t="s">
        <v>1108</v>
      </c>
      <c r="G418" s="319" t="s">
        <v>1029</v>
      </c>
      <c r="H418" s="319" t="s">
        <v>2368</v>
      </c>
      <c r="I418" s="535">
        <v>1883.87</v>
      </c>
      <c r="J418" s="535">
        <v>855</v>
      </c>
      <c r="K418" s="535">
        <v>2738.87</v>
      </c>
      <c r="L418" s="535" t="s">
        <v>86</v>
      </c>
      <c r="M418" s="535" t="s">
        <v>1042</v>
      </c>
      <c r="N418" s="537"/>
    </row>
    <row r="419" spans="1:14" ht="15.9" customHeight="1">
      <c r="A419" s="319" t="s">
        <v>1054</v>
      </c>
      <c r="B419" s="536">
        <v>46147</v>
      </c>
      <c r="C419" s="536">
        <v>46155</v>
      </c>
      <c r="D419" s="319" t="s">
        <v>2369</v>
      </c>
      <c r="E419" s="319" t="s">
        <v>2370</v>
      </c>
      <c r="F419" s="319" t="s">
        <v>1170</v>
      </c>
      <c r="G419" s="319" t="s">
        <v>1029</v>
      </c>
      <c r="H419" s="319" t="s">
        <v>2371</v>
      </c>
      <c r="I419" s="535">
        <v>1514.38</v>
      </c>
      <c r="J419" s="535">
        <v>665</v>
      </c>
      <c r="K419" s="535">
        <v>2179.38</v>
      </c>
      <c r="L419" s="535" t="s">
        <v>86</v>
      </c>
      <c r="M419" s="535" t="s">
        <v>994</v>
      </c>
      <c r="N419" s="537"/>
    </row>
    <row r="420" spans="1:14" ht="15.9" customHeight="1">
      <c r="A420" s="319" t="s">
        <v>1054</v>
      </c>
      <c r="B420" s="536">
        <v>46147</v>
      </c>
      <c r="C420" s="536">
        <v>46171</v>
      </c>
      <c r="D420" s="319" t="s">
        <v>2372</v>
      </c>
      <c r="E420" s="319" t="s">
        <v>2373</v>
      </c>
      <c r="F420" s="319" t="s">
        <v>1096</v>
      </c>
      <c r="G420" s="319" t="s">
        <v>1029</v>
      </c>
      <c r="H420" s="319" t="s">
        <v>2374</v>
      </c>
      <c r="I420" s="535">
        <v>1969.02</v>
      </c>
      <c r="J420" s="535">
        <v>855</v>
      </c>
      <c r="K420" s="535">
        <v>2824.02</v>
      </c>
      <c r="L420" s="535" t="s">
        <v>86</v>
      </c>
      <c r="M420" s="535" t="s">
        <v>1042</v>
      </c>
      <c r="N420" s="537"/>
    </row>
    <row r="421" spans="1:14" ht="15.9" customHeight="1">
      <c r="A421" s="319" t="s">
        <v>1025</v>
      </c>
      <c r="B421" s="536">
        <v>46147</v>
      </c>
      <c r="C421" s="536">
        <v>46152</v>
      </c>
      <c r="D421" s="319" t="s">
        <v>2375</v>
      </c>
      <c r="E421" s="319" t="s">
        <v>2376</v>
      </c>
      <c r="F421" s="319" t="s">
        <v>1901</v>
      </c>
      <c r="G421" s="319" t="s">
        <v>1029</v>
      </c>
      <c r="H421" s="319" t="s">
        <v>2377</v>
      </c>
      <c r="I421" s="535">
        <v>1115.3900000000001</v>
      </c>
      <c r="J421" s="535">
        <v>665</v>
      </c>
      <c r="K421" s="535">
        <v>1780.39</v>
      </c>
      <c r="L421" s="535" t="s">
        <v>86</v>
      </c>
      <c r="M421" s="535" t="s">
        <v>994</v>
      </c>
      <c r="N421" s="537"/>
    </row>
    <row r="422" spans="1:14" ht="15.9" customHeight="1">
      <c r="A422" s="319" t="s">
        <v>1054</v>
      </c>
      <c r="B422" s="536">
        <v>46148</v>
      </c>
      <c r="C422" s="536">
        <v>46156</v>
      </c>
      <c r="D422" s="319" t="s">
        <v>2378</v>
      </c>
      <c r="E422" s="319" t="s">
        <v>2379</v>
      </c>
      <c r="F422" s="319" t="s">
        <v>1279</v>
      </c>
      <c r="G422" s="319" t="s">
        <v>1029</v>
      </c>
      <c r="H422" s="319" t="s">
        <v>2380</v>
      </c>
      <c r="I422" s="535">
        <v>1538.47</v>
      </c>
      <c r="J422" s="535">
        <v>665</v>
      </c>
      <c r="K422" s="535">
        <v>2203.4699999999998</v>
      </c>
      <c r="L422" s="535" t="s">
        <v>86</v>
      </c>
      <c r="M422" s="535" t="s">
        <v>993</v>
      </c>
      <c r="N422" s="537"/>
    </row>
    <row r="423" spans="1:14" ht="15.9" customHeight="1">
      <c r="A423" s="319" t="s">
        <v>1054</v>
      </c>
      <c r="B423" s="536">
        <v>46148</v>
      </c>
      <c r="C423" s="536">
        <v>46149</v>
      </c>
      <c r="D423" s="319" t="s">
        <v>2381</v>
      </c>
      <c r="E423" s="319" t="s">
        <v>2382</v>
      </c>
      <c r="F423" s="319" t="s">
        <v>1092</v>
      </c>
      <c r="G423" s="319" t="s">
        <v>1029</v>
      </c>
      <c r="H423" s="319" t="s">
        <v>2383</v>
      </c>
      <c r="I423" s="535">
        <v>1805.22</v>
      </c>
      <c r="J423" s="535">
        <v>855</v>
      </c>
      <c r="K423" s="535">
        <v>2660.22</v>
      </c>
      <c r="L423" s="535" t="s">
        <v>86</v>
      </c>
      <c r="M423" s="535" t="s">
        <v>1042</v>
      </c>
      <c r="N423" s="537"/>
    </row>
    <row r="424" spans="1:14" ht="15.9" customHeight="1">
      <c r="A424" s="319" t="s">
        <v>1025</v>
      </c>
      <c r="B424" s="536">
        <v>46148</v>
      </c>
      <c r="C424" s="536">
        <v>46149</v>
      </c>
      <c r="D424" s="319" t="s">
        <v>2384</v>
      </c>
      <c r="E424" s="319" t="s">
        <v>2385</v>
      </c>
      <c r="F424" s="319" t="s">
        <v>1315</v>
      </c>
      <c r="G424" s="319" t="s">
        <v>1029</v>
      </c>
      <c r="H424" s="319" t="s">
        <v>2386</v>
      </c>
      <c r="I424" s="535">
        <v>2258.08</v>
      </c>
      <c r="J424" s="535">
        <v>950</v>
      </c>
      <c r="K424" s="535">
        <v>3208.08</v>
      </c>
      <c r="L424" s="535" t="s">
        <v>80</v>
      </c>
      <c r="M424" s="535" t="s">
        <v>993</v>
      </c>
      <c r="N424" s="537"/>
    </row>
    <row r="425" spans="1:14" ht="15.9" customHeight="1">
      <c r="A425" s="319" t="s">
        <v>1025</v>
      </c>
      <c r="B425" s="536">
        <v>46148</v>
      </c>
      <c r="C425" s="536">
        <v>46154</v>
      </c>
      <c r="D425" s="319" t="s">
        <v>2387</v>
      </c>
      <c r="E425" s="319" t="s">
        <v>2388</v>
      </c>
      <c r="F425" s="319" t="s">
        <v>1096</v>
      </c>
      <c r="G425" s="319" t="s">
        <v>1029</v>
      </c>
      <c r="H425" s="319" t="s">
        <v>2389</v>
      </c>
      <c r="I425" s="535">
        <v>1760.58</v>
      </c>
      <c r="J425" s="535">
        <v>760</v>
      </c>
      <c r="K425" s="535">
        <v>2520.58</v>
      </c>
      <c r="L425" s="535" t="s">
        <v>86</v>
      </c>
      <c r="M425" s="535" t="s">
        <v>993</v>
      </c>
      <c r="N425" s="537"/>
    </row>
    <row r="426" spans="1:14" ht="15.9" customHeight="1">
      <c r="A426" s="319" t="s">
        <v>1025</v>
      </c>
      <c r="B426" s="536">
        <v>46149</v>
      </c>
      <c r="C426" s="536">
        <v>46158</v>
      </c>
      <c r="D426" s="319" t="s">
        <v>2390</v>
      </c>
      <c r="E426" s="319" t="s">
        <v>2391</v>
      </c>
      <c r="F426" s="319" t="s">
        <v>1100</v>
      </c>
      <c r="G426" s="319" t="s">
        <v>1029</v>
      </c>
      <c r="H426" s="319" t="s">
        <v>2392</v>
      </c>
      <c r="I426" s="535">
        <v>2073.4299999999998</v>
      </c>
      <c r="J426" s="535">
        <v>855</v>
      </c>
      <c r="K426" s="535">
        <v>2928.43</v>
      </c>
      <c r="L426" s="535" t="s">
        <v>79</v>
      </c>
      <c r="M426" s="535" t="s">
        <v>993</v>
      </c>
      <c r="N426" s="537"/>
    </row>
    <row r="427" spans="1:14" ht="15.9" customHeight="1">
      <c r="A427" s="319" t="s">
        <v>1054</v>
      </c>
      <c r="B427" s="536">
        <v>46149</v>
      </c>
      <c r="C427" s="536">
        <v>46170</v>
      </c>
      <c r="D427" s="319" t="s">
        <v>2393</v>
      </c>
      <c r="E427" s="319" t="s">
        <v>2394</v>
      </c>
      <c r="F427" s="319" t="s">
        <v>1211</v>
      </c>
      <c r="G427" s="319" t="s">
        <v>1029</v>
      </c>
      <c r="H427" s="319" t="s">
        <v>2395</v>
      </c>
      <c r="I427" s="535">
        <v>2132.5300000000002</v>
      </c>
      <c r="J427" s="535">
        <v>760</v>
      </c>
      <c r="K427" s="535">
        <v>2892.53</v>
      </c>
      <c r="L427" s="535" t="s">
        <v>79</v>
      </c>
      <c r="M427" s="535" t="s">
        <v>993</v>
      </c>
      <c r="N427" s="537"/>
    </row>
    <row r="428" spans="1:14" ht="15.9" customHeight="1">
      <c r="A428" s="319" t="s">
        <v>1054</v>
      </c>
      <c r="B428" s="536">
        <v>46149</v>
      </c>
      <c r="C428" s="536">
        <v>46156</v>
      </c>
      <c r="D428" s="319" t="s">
        <v>2396</v>
      </c>
      <c r="E428" s="319" t="s">
        <v>2397</v>
      </c>
      <c r="F428" s="319" t="s">
        <v>1100</v>
      </c>
      <c r="G428" s="319" t="s">
        <v>1029</v>
      </c>
      <c r="H428" s="319" t="s">
        <v>2398</v>
      </c>
      <c r="I428" s="535">
        <v>2028.38</v>
      </c>
      <c r="J428" s="535">
        <v>855</v>
      </c>
      <c r="K428" s="535">
        <v>2883.38</v>
      </c>
      <c r="L428" s="535" t="s">
        <v>79</v>
      </c>
      <c r="M428" s="535" t="s">
        <v>1042</v>
      </c>
      <c r="N428" s="537"/>
    </row>
    <row r="429" spans="1:14" ht="15.9" customHeight="1">
      <c r="A429" s="319" t="s">
        <v>1054</v>
      </c>
      <c r="B429" s="536">
        <v>46149</v>
      </c>
      <c r="C429" s="536">
        <v>46173</v>
      </c>
      <c r="D429" s="319" t="s">
        <v>2399</v>
      </c>
      <c r="E429" s="319" t="s">
        <v>2400</v>
      </c>
      <c r="F429" s="319" t="s">
        <v>1113</v>
      </c>
      <c r="G429" s="319" t="s">
        <v>1029</v>
      </c>
      <c r="H429" s="319" t="s">
        <v>2401</v>
      </c>
      <c r="I429" s="535">
        <v>1865.28</v>
      </c>
      <c r="J429" s="535">
        <v>855</v>
      </c>
      <c r="K429" s="535">
        <v>2720.28</v>
      </c>
      <c r="L429" s="535" t="s">
        <v>79</v>
      </c>
      <c r="M429" s="535" t="s">
        <v>993</v>
      </c>
      <c r="N429" s="537"/>
    </row>
    <row r="430" spans="1:14" ht="15.9" customHeight="1">
      <c r="A430" s="319" t="s">
        <v>1110</v>
      </c>
      <c r="B430" s="536">
        <v>46148</v>
      </c>
      <c r="C430" s="536">
        <v>46151</v>
      </c>
      <c r="D430" s="319" t="s">
        <v>2402</v>
      </c>
      <c r="E430" s="319" t="s">
        <v>2403</v>
      </c>
      <c r="F430" s="319" t="s">
        <v>1096</v>
      </c>
      <c r="G430" s="319" t="s">
        <v>1029</v>
      </c>
      <c r="H430" s="319" t="s">
        <v>2404</v>
      </c>
      <c r="I430" s="535">
        <v>1828.24</v>
      </c>
      <c r="J430" s="535">
        <v>855</v>
      </c>
      <c r="K430" s="535">
        <v>2683.24</v>
      </c>
      <c r="L430" s="535" t="s">
        <v>87</v>
      </c>
      <c r="M430" s="535" t="s">
        <v>1042</v>
      </c>
      <c r="N430" s="537"/>
    </row>
    <row r="431" spans="1:14" ht="15.9" customHeight="1">
      <c r="A431" s="319" t="s">
        <v>1130</v>
      </c>
      <c r="B431" s="536">
        <v>46149</v>
      </c>
      <c r="C431" s="536">
        <v>46173</v>
      </c>
      <c r="D431" s="319" t="s">
        <v>2405</v>
      </c>
      <c r="E431" s="319" t="s">
        <v>2406</v>
      </c>
      <c r="F431" s="319" t="s">
        <v>1901</v>
      </c>
      <c r="G431" s="319" t="s">
        <v>1029</v>
      </c>
      <c r="H431" s="319" t="s">
        <v>2407</v>
      </c>
      <c r="I431" s="535">
        <v>944.55</v>
      </c>
      <c r="J431" s="535">
        <v>665</v>
      </c>
      <c r="K431" s="535">
        <v>1609.55</v>
      </c>
      <c r="L431" s="535" t="s">
        <v>87</v>
      </c>
      <c r="M431" s="535" t="s">
        <v>993</v>
      </c>
      <c r="N431" s="537"/>
    </row>
    <row r="432" spans="1:14" ht="15.9" customHeight="1">
      <c r="A432" s="319" t="s">
        <v>1054</v>
      </c>
      <c r="B432" s="536">
        <v>46149</v>
      </c>
      <c r="C432" s="536">
        <v>46171</v>
      </c>
      <c r="D432" s="319" t="s">
        <v>2408</v>
      </c>
      <c r="E432" s="319" t="s">
        <v>2409</v>
      </c>
      <c r="F432" s="319" t="s">
        <v>1631</v>
      </c>
      <c r="G432" s="319" t="s">
        <v>1029</v>
      </c>
      <c r="H432" s="319" t="s">
        <v>2119</v>
      </c>
      <c r="I432" s="535">
        <v>2481.0500000000002</v>
      </c>
      <c r="J432" s="535">
        <v>855</v>
      </c>
      <c r="K432" s="535">
        <v>3336.05</v>
      </c>
      <c r="L432" s="535" t="s">
        <v>87</v>
      </c>
      <c r="M432" s="535" t="s">
        <v>1042</v>
      </c>
      <c r="N432" s="537"/>
    </row>
    <row r="433" spans="1:14" ht="15.9" customHeight="1">
      <c r="A433" s="319" t="s">
        <v>1025</v>
      </c>
      <c r="B433" s="536">
        <v>46149</v>
      </c>
      <c r="C433" s="536">
        <v>46163</v>
      </c>
      <c r="D433" s="319" t="s">
        <v>2410</v>
      </c>
      <c r="E433" s="319" t="s">
        <v>2411</v>
      </c>
      <c r="F433" s="319" t="s">
        <v>2412</v>
      </c>
      <c r="G433" s="319" t="s">
        <v>1029</v>
      </c>
      <c r="H433" s="319" t="s">
        <v>2413</v>
      </c>
      <c r="I433" s="535">
        <v>2124.12</v>
      </c>
      <c r="J433" s="535">
        <v>665</v>
      </c>
      <c r="K433" s="535">
        <v>2789.12</v>
      </c>
      <c r="L433" s="535" t="s">
        <v>87</v>
      </c>
      <c r="M433" s="535" t="s">
        <v>994</v>
      </c>
      <c r="N433" s="537"/>
    </row>
    <row r="434" spans="1:14" ht="15.9" customHeight="1">
      <c r="A434" s="319" t="s">
        <v>1125</v>
      </c>
      <c r="B434" s="536">
        <v>46149</v>
      </c>
      <c r="C434" s="536">
        <v>46171</v>
      </c>
      <c r="D434" s="319" t="s">
        <v>2414</v>
      </c>
      <c r="E434" s="319" t="s">
        <v>2415</v>
      </c>
      <c r="F434" s="319" t="s">
        <v>1028</v>
      </c>
      <c r="G434" s="319" t="s">
        <v>1029</v>
      </c>
      <c r="H434" s="319" t="s">
        <v>2416</v>
      </c>
      <c r="I434" s="535">
        <v>1312.85</v>
      </c>
      <c r="J434" s="535">
        <v>665</v>
      </c>
      <c r="K434" s="535">
        <v>1977.85</v>
      </c>
      <c r="L434" s="535" t="s">
        <v>87</v>
      </c>
      <c r="M434" s="535" t="s">
        <v>993</v>
      </c>
      <c r="N434" s="537"/>
    </row>
    <row r="435" spans="1:14" ht="15.9" customHeight="1">
      <c r="A435" s="319" t="s">
        <v>1125</v>
      </c>
      <c r="B435" s="536">
        <v>46149</v>
      </c>
      <c r="C435" s="536">
        <v>46157</v>
      </c>
      <c r="D435" s="319" t="s">
        <v>2417</v>
      </c>
      <c r="E435" s="319" t="s">
        <v>2418</v>
      </c>
      <c r="F435" s="319" t="s">
        <v>2419</v>
      </c>
      <c r="G435" s="319" t="s">
        <v>1029</v>
      </c>
      <c r="H435" s="319" t="s">
        <v>2420</v>
      </c>
      <c r="I435" s="535">
        <v>1291.97</v>
      </c>
      <c r="J435" s="535">
        <v>665</v>
      </c>
      <c r="K435" s="535">
        <v>1956.97</v>
      </c>
      <c r="L435" s="535" t="s">
        <v>87</v>
      </c>
      <c r="M435" s="535" t="s">
        <v>993</v>
      </c>
      <c r="N435" s="537"/>
    </row>
    <row r="436" spans="1:14" ht="15.9" customHeight="1">
      <c r="A436" s="319" t="s">
        <v>1054</v>
      </c>
      <c r="B436" s="536">
        <v>46149</v>
      </c>
      <c r="C436" s="536">
        <v>46168</v>
      </c>
      <c r="D436" s="319" t="s">
        <v>2421</v>
      </c>
      <c r="E436" s="319" t="s">
        <v>2422</v>
      </c>
      <c r="F436" s="319" t="s">
        <v>1096</v>
      </c>
      <c r="G436" s="319" t="s">
        <v>1029</v>
      </c>
      <c r="H436" s="319" t="s">
        <v>2423</v>
      </c>
      <c r="I436" s="535">
        <v>2068.4699999999998</v>
      </c>
      <c r="J436" s="535">
        <v>950</v>
      </c>
      <c r="K436" s="535">
        <v>3018.47</v>
      </c>
      <c r="L436" s="535" t="s">
        <v>78</v>
      </c>
      <c r="M436" s="535" t="s">
        <v>993</v>
      </c>
      <c r="N436" s="537"/>
    </row>
    <row r="437" spans="1:14" ht="15.9" customHeight="1">
      <c r="A437" s="319" t="s">
        <v>1025</v>
      </c>
      <c r="B437" s="536">
        <v>46149</v>
      </c>
      <c r="C437" s="536">
        <v>46162</v>
      </c>
      <c r="D437" s="319" t="s">
        <v>2424</v>
      </c>
      <c r="E437" s="319" t="s">
        <v>2425</v>
      </c>
      <c r="F437" s="319" t="s">
        <v>1563</v>
      </c>
      <c r="G437" s="319" t="s">
        <v>1029</v>
      </c>
      <c r="H437" s="319" t="s">
        <v>2426</v>
      </c>
      <c r="I437" s="535">
        <v>2667.87</v>
      </c>
      <c r="J437" s="535">
        <v>950</v>
      </c>
      <c r="K437" s="535">
        <v>3617.87</v>
      </c>
      <c r="L437" s="535" t="s">
        <v>78</v>
      </c>
      <c r="M437" s="535" t="s">
        <v>1042</v>
      </c>
      <c r="N437" s="537"/>
    </row>
    <row r="438" spans="1:14" ht="15.9" customHeight="1">
      <c r="A438" s="319" t="s">
        <v>1054</v>
      </c>
      <c r="B438" s="536">
        <v>46149</v>
      </c>
      <c r="C438" s="536">
        <v>46163</v>
      </c>
      <c r="D438" s="319" t="s">
        <v>2427</v>
      </c>
      <c r="E438" s="319" t="s">
        <v>2428</v>
      </c>
      <c r="F438" s="319" t="s">
        <v>2187</v>
      </c>
      <c r="G438" s="319" t="s">
        <v>1029</v>
      </c>
      <c r="H438" s="319" t="s">
        <v>2429</v>
      </c>
      <c r="I438" s="535">
        <v>1225.27</v>
      </c>
      <c r="J438" s="535">
        <v>665</v>
      </c>
      <c r="K438" s="535">
        <v>1890.27</v>
      </c>
      <c r="L438" s="535" t="s">
        <v>78</v>
      </c>
      <c r="M438" s="535" t="s">
        <v>993</v>
      </c>
      <c r="N438" s="537"/>
    </row>
    <row r="439" spans="1:14" ht="15.9" customHeight="1">
      <c r="A439" s="319" t="s">
        <v>1249</v>
      </c>
      <c r="B439" s="536">
        <v>46149</v>
      </c>
      <c r="C439" s="536">
        <v>46160</v>
      </c>
      <c r="D439" s="319" t="s">
        <v>2430</v>
      </c>
      <c r="E439" s="319" t="s">
        <v>2431</v>
      </c>
      <c r="F439" s="319" t="s">
        <v>1979</v>
      </c>
      <c r="G439" s="319" t="s">
        <v>1029</v>
      </c>
      <c r="H439" s="319" t="s">
        <v>2432</v>
      </c>
      <c r="I439" s="535">
        <v>285.76</v>
      </c>
      <c r="J439" s="535">
        <v>665</v>
      </c>
      <c r="K439" s="535">
        <v>950.76</v>
      </c>
      <c r="L439" s="535" t="s">
        <v>78</v>
      </c>
      <c r="M439" s="535" t="s">
        <v>993</v>
      </c>
      <c r="N439" s="537"/>
    </row>
    <row r="440" spans="1:14" ht="15.9" customHeight="1">
      <c r="A440" s="319" t="s">
        <v>1025</v>
      </c>
      <c r="B440" s="536">
        <v>46149</v>
      </c>
      <c r="C440" s="536">
        <v>46157</v>
      </c>
      <c r="D440" s="319" t="s">
        <v>2433</v>
      </c>
      <c r="E440" s="319" t="s">
        <v>2434</v>
      </c>
      <c r="F440" s="319" t="s">
        <v>2435</v>
      </c>
      <c r="G440" s="319" t="s">
        <v>1029</v>
      </c>
      <c r="H440" s="319" t="s">
        <v>2436</v>
      </c>
      <c r="I440" s="535">
        <v>1426.9</v>
      </c>
      <c r="J440" s="535">
        <v>665</v>
      </c>
      <c r="K440" s="535">
        <v>2091.9</v>
      </c>
      <c r="L440" s="535" t="s">
        <v>78</v>
      </c>
      <c r="M440" s="535" t="s">
        <v>993</v>
      </c>
      <c r="N440" s="537"/>
    </row>
    <row r="441" spans="1:14" ht="15.9" customHeight="1">
      <c r="A441" s="319" t="s">
        <v>1025</v>
      </c>
      <c r="B441" s="536">
        <v>46149</v>
      </c>
      <c r="C441" s="536">
        <v>46159</v>
      </c>
      <c r="D441" s="319" t="s">
        <v>2437</v>
      </c>
      <c r="E441" s="319" t="s">
        <v>2438</v>
      </c>
      <c r="F441" s="319" t="s">
        <v>1219</v>
      </c>
      <c r="G441" s="319" t="s">
        <v>1029</v>
      </c>
      <c r="H441" s="319" t="s">
        <v>2439</v>
      </c>
      <c r="I441" s="535">
        <v>1801.66</v>
      </c>
      <c r="J441" s="535">
        <v>855</v>
      </c>
      <c r="K441" s="535">
        <v>2656.66</v>
      </c>
      <c r="L441" s="535" t="s">
        <v>78</v>
      </c>
      <c r="M441" s="535" t="s">
        <v>993</v>
      </c>
      <c r="N441" s="537"/>
    </row>
    <row r="442" spans="1:14" ht="15.9" customHeight="1">
      <c r="A442" s="319" t="s">
        <v>1025</v>
      </c>
      <c r="B442" s="536">
        <v>46149</v>
      </c>
      <c r="C442" s="536">
        <v>46154</v>
      </c>
      <c r="D442" s="319" t="s">
        <v>2440</v>
      </c>
      <c r="E442" s="319" t="s">
        <v>2441</v>
      </c>
      <c r="F442" s="319" t="s">
        <v>1315</v>
      </c>
      <c r="G442" s="319" t="s">
        <v>1029</v>
      </c>
      <c r="H442" s="319" t="s">
        <v>2442</v>
      </c>
      <c r="I442" s="535">
        <v>1641.84</v>
      </c>
      <c r="J442" s="535">
        <v>855</v>
      </c>
      <c r="K442" s="535">
        <v>2496.84</v>
      </c>
      <c r="L442" s="535" t="s">
        <v>78</v>
      </c>
      <c r="M442" s="535" t="s">
        <v>993</v>
      </c>
      <c r="N442" s="537"/>
    </row>
    <row r="443" spans="1:14" ht="15.9" customHeight="1">
      <c r="A443" s="319" t="s">
        <v>1054</v>
      </c>
      <c r="B443" s="536">
        <v>46149</v>
      </c>
      <c r="C443" s="536">
        <v>46166</v>
      </c>
      <c r="D443" s="319" t="s">
        <v>2443</v>
      </c>
      <c r="E443" s="319" t="s">
        <v>2444</v>
      </c>
      <c r="F443" s="319" t="s">
        <v>1279</v>
      </c>
      <c r="G443" s="319" t="s">
        <v>1029</v>
      </c>
      <c r="H443" s="319" t="s">
        <v>2445</v>
      </c>
      <c r="I443" s="535">
        <v>1667.34</v>
      </c>
      <c r="J443" s="535">
        <v>855</v>
      </c>
      <c r="K443" s="535">
        <v>2522.34</v>
      </c>
      <c r="L443" s="535" t="s">
        <v>78</v>
      </c>
      <c r="M443" s="535" t="s">
        <v>1042</v>
      </c>
      <c r="N443" s="537"/>
    </row>
    <row r="444" spans="1:14" ht="15.9" customHeight="1">
      <c r="A444" s="319" t="s">
        <v>1082</v>
      </c>
      <c r="B444" s="536">
        <v>46149</v>
      </c>
      <c r="C444" s="536">
        <v>46160</v>
      </c>
      <c r="D444" s="319" t="s">
        <v>2446</v>
      </c>
      <c r="E444" s="319" t="s">
        <v>2447</v>
      </c>
      <c r="F444" s="319" t="s">
        <v>2448</v>
      </c>
      <c r="G444" s="319" t="s">
        <v>1029</v>
      </c>
      <c r="H444" s="319" t="s">
        <v>2449</v>
      </c>
      <c r="I444" s="535">
        <v>899.84</v>
      </c>
      <c r="J444" s="535">
        <v>700</v>
      </c>
      <c r="K444" s="535">
        <v>1599.84</v>
      </c>
      <c r="L444" s="535" t="s">
        <v>78</v>
      </c>
      <c r="M444" s="535" t="s">
        <v>993</v>
      </c>
      <c r="N444" s="537"/>
    </row>
    <row r="445" spans="1:14" ht="15.9" customHeight="1">
      <c r="A445" s="319" t="s">
        <v>1025</v>
      </c>
      <c r="B445" s="536">
        <v>46149</v>
      </c>
      <c r="C445" s="536">
        <v>46163</v>
      </c>
      <c r="D445" s="319" t="s">
        <v>2450</v>
      </c>
      <c r="E445" s="319" t="s">
        <v>2451</v>
      </c>
      <c r="F445" s="319" t="s">
        <v>1157</v>
      </c>
      <c r="G445" s="319" t="s">
        <v>1029</v>
      </c>
      <c r="H445" s="319" t="s">
        <v>2452</v>
      </c>
      <c r="I445" s="535">
        <v>1594.31</v>
      </c>
      <c r="J445" s="535">
        <v>855</v>
      </c>
      <c r="K445" s="535">
        <v>2449.31</v>
      </c>
      <c r="L445" s="535" t="s">
        <v>87</v>
      </c>
      <c r="M445" s="535" t="s">
        <v>1042</v>
      </c>
      <c r="N445" s="537"/>
    </row>
    <row r="446" spans="1:14" ht="15.9" customHeight="1">
      <c r="A446" s="319" t="s">
        <v>1067</v>
      </c>
      <c r="B446" s="536">
        <v>46149</v>
      </c>
      <c r="C446" s="536">
        <v>46151</v>
      </c>
      <c r="D446" s="319" t="s">
        <v>2453</v>
      </c>
      <c r="E446" s="319" t="s">
        <v>2454</v>
      </c>
      <c r="F446" s="319" t="s">
        <v>1149</v>
      </c>
      <c r="G446" s="319" t="s">
        <v>1029</v>
      </c>
      <c r="H446" s="319" t="s">
        <v>2455</v>
      </c>
      <c r="I446" s="535">
        <v>3091.33</v>
      </c>
      <c r="J446" s="535">
        <v>855</v>
      </c>
      <c r="K446" s="535">
        <v>3946.33</v>
      </c>
      <c r="L446" s="535" t="s">
        <v>80</v>
      </c>
      <c r="M446" s="535" t="s">
        <v>993</v>
      </c>
      <c r="N446" s="537"/>
    </row>
    <row r="447" spans="1:14" ht="15.9" customHeight="1">
      <c r="A447" s="319" t="s">
        <v>1102</v>
      </c>
      <c r="B447" s="536">
        <v>46149</v>
      </c>
      <c r="C447" s="536">
        <v>46157</v>
      </c>
      <c r="D447" s="319" t="s">
        <v>2456</v>
      </c>
      <c r="E447" s="319" t="s">
        <v>2457</v>
      </c>
      <c r="F447" s="319" t="s">
        <v>1149</v>
      </c>
      <c r="G447" s="319" t="s">
        <v>1029</v>
      </c>
      <c r="H447" s="319" t="s">
        <v>2458</v>
      </c>
      <c r="I447" s="535">
        <v>2166.67</v>
      </c>
      <c r="J447" s="535">
        <v>665</v>
      </c>
      <c r="K447" s="535">
        <v>2831.67</v>
      </c>
      <c r="L447" s="535" t="s">
        <v>80</v>
      </c>
      <c r="M447" s="535" t="s">
        <v>993</v>
      </c>
      <c r="N447" s="537"/>
    </row>
    <row r="448" spans="1:14" ht="15.9" customHeight="1">
      <c r="A448" s="319" t="s">
        <v>1025</v>
      </c>
      <c r="B448" s="536">
        <v>46149</v>
      </c>
      <c r="C448" s="536">
        <v>46161</v>
      </c>
      <c r="D448" s="319" t="s">
        <v>2459</v>
      </c>
      <c r="E448" s="319" t="s">
        <v>2460</v>
      </c>
      <c r="F448" s="319" t="s">
        <v>2461</v>
      </c>
      <c r="G448" s="319" t="s">
        <v>1029</v>
      </c>
      <c r="H448" s="319" t="s">
        <v>2462</v>
      </c>
      <c r="I448" s="535">
        <v>1033.8399999999999</v>
      </c>
      <c r="J448" s="535"/>
      <c r="K448" s="535">
        <v>1033.8399999999999</v>
      </c>
      <c r="L448" s="535" t="s">
        <v>80</v>
      </c>
      <c r="M448" s="535" t="s">
        <v>993</v>
      </c>
      <c r="N448" s="537"/>
    </row>
    <row r="449" spans="1:14" ht="15.9" customHeight="1">
      <c r="A449" s="319" t="s">
        <v>1054</v>
      </c>
      <c r="B449" s="536">
        <v>46149</v>
      </c>
      <c r="C449" s="536">
        <v>46151</v>
      </c>
      <c r="D449" s="319" t="s">
        <v>2463</v>
      </c>
      <c r="E449" s="319" t="s">
        <v>2464</v>
      </c>
      <c r="F449" s="319" t="s">
        <v>2465</v>
      </c>
      <c r="G449" s="319" t="s">
        <v>1029</v>
      </c>
      <c r="H449" s="319" t="s">
        <v>1660</v>
      </c>
      <c r="I449" s="535">
        <v>951.42</v>
      </c>
      <c r="J449" s="535">
        <v>665</v>
      </c>
      <c r="K449" s="535">
        <v>1616.42</v>
      </c>
      <c r="L449" s="535" t="s">
        <v>80</v>
      </c>
      <c r="M449" s="535" t="s">
        <v>993</v>
      </c>
      <c r="N449" s="537"/>
    </row>
    <row r="450" spans="1:14" ht="15.9" customHeight="1">
      <c r="A450" s="319" t="s">
        <v>1025</v>
      </c>
      <c r="B450" s="536">
        <v>46149</v>
      </c>
      <c r="C450" s="536">
        <v>46160</v>
      </c>
      <c r="D450" s="319" t="s">
        <v>2466</v>
      </c>
      <c r="E450" s="319" t="s">
        <v>2467</v>
      </c>
      <c r="F450" s="319" t="s">
        <v>1420</v>
      </c>
      <c r="G450" s="319" t="s">
        <v>1029</v>
      </c>
      <c r="H450" s="319" t="s">
        <v>2468</v>
      </c>
      <c r="I450" s="535">
        <v>1176.55</v>
      </c>
      <c r="J450" s="535"/>
      <c r="K450" s="535">
        <v>1176.55</v>
      </c>
      <c r="L450" s="535" t="s">
        <v>80</v>
      </c>
      <c r="M450" s="535" t="s">
        <v>993</v>
      </c>
      <c r="N450" s="537"/>
    </row>
    <row r="451" spans="1:14" ht="15.9" customHeight="1">
      <c r="A451" s="319" t="s">
        <v>1025</v>
      </c>
      <c r="B451" s="536">
        <v>46149</v>
      </c>
      <c r="C451" s="536">
        <v>46163</v>
      </c>
      <c r="D451" s="319" t="s">
        <v>2469</v>
      </c>
      <c r="E451" s="319" t="s">
        <v>2470</v>
      </c>
      <c r="F451" s="319" t="s">
        <v>1170</v>
      </c>
      <c r="G451" s="319" t="s">
        <v>1029</v>
      </c>
      <c r="H451" s="319" t="s">
        <v>2471</v>
      </c>
      <c r="I451" s="535">
        <v>1141.47</v>
      </c>
      <c r="J451" s="535">
        <v>665</v>
      </c>
      <c r="K451" s="535">
        <v>1806.47</v>
      </c>
      <c r="L451" s="535" t="s">
        <v>80</v>
      </c>
      <c r="M451" s="535" t="s">
        <v>993</v>
      </c>
      <c r="N451" s="537"/>
    </row>
    <row r="452" spans="1:14" ht="15.9" customHeight="1">
      <c r="A452" s="319" t="s">
        <v>1077</v>
      </c>
      <c r="B452" s="536">
        <v>46149</v>
      </c>
      <c r="C452" s="536">
        <v>46150</v>
      </c>
      <c r="D452" s="319" t="s">
        <v>2472</v>
      </c>
      <c r="E452" s="319" t="s">
        <v>2473</v>
      </c>
      <c r="F452" s="319" t="s">
        <v>1149</v>
      </c>
      <c r="G452" s="319" t="s">
        <v>1029</v>
      </c>
      <c r="H452" s="319" t="s">
        <v>2474</v>
      </c>
      <c r="I452" s="535">
        <v>1401.49</v>
      </c>
      <c r="J452" s="535">
        <v>665</v>
      </c>
      <c r="K452" s="535">
        <v>2066.4899999999998</v>
      </c>
      <c r="L452" s="535" t="s">
        <v>80</v>
      </c>
      <c r="M452" s="535" t="s">
        <v>993</v>
      </c>
      <c r="N452" s="537"/>
    </row>
    <row r="453" spans="1:14" ht="15.9" customHeight="1">
      <c r="A453" s="319" t="s">
        <v>1025</v>
      </c>
      <c r="B453" s="536">
        <v>46149</v>
      </c>
      <c r="C453" s="536">
        <v>46160</v>
      </c>
      <c r="D453" s="319" t="s">
        <v>2475</v>
      </c>
      <c r="E453" s="319" t="s">
        <v>2476</v>
      </c>
      <c r="F453" s="319" t="s">
        <v>2461</v>
      </c>
      <c r="G453" s="319" t="s">
        <v>1029</v>
      </c>
      <c r="H453" s="319" t="s">
        <v>2477</v>
      </c>
      <c r="I453" s="535">
        <v>1047.79</v>
      </c>
      <c r="J453" s="535">
        <v>665</v>
      </c>
      <c r="K453" s="535">
        <v>1712.79</v>
      </c>
      <c r="L453" s="535" t="s">
        <v>80</v>
      </c>
      <c r="M453" s="535" t="s">
        <v>993</v>
      </c>
      <c r="N453" s="537"/>
    </row>
    <row r="454" spans="1:14" ht="15.9" customHeight="1">
      <c r="A454" s="319" t="s">
        <v>1054</v>
      </c>
      <c r="B454" s="536">
        <v>46149</v>
      </c>
      <c r="C454" s="536">
        <v>46171</v>
      </c>
      <c r="D454" s="319" t="s">
        <v>2478</v>
      </c>
      <c r="E454" s="319" t="s">
        <v>2479</v>
      </c>
      <c r="F454" s="319" t="s">
        <v>1243</v>
      </c>
      <c r="G454" s="319" t="s">
        <v>1029</v>
      </c>
      <c r="H454" s="319" t="s">
        <v>2480</v>
      </c>
      <c r="I454" s="535">
        <v>2150.44</v>
      </c>
      <c r="J454" s="535">
        <v>855</v>
      </c>
      <c r="K454" s="535">
        <v>3005.44</v>
      </c>
      <c r="L454" s="535" t="s">
        <v>80</v>
      </c>
      <c r="M454" s="535" t="s">
        <v>1042</v>
      </c>
      <c r="N454" s="537"/>
    </row>
    <row r="455" spans="1:14" ht="15.9" customHeight="1">
      <c r="A455" s="319" t="s">
        <v>1025</v>
      </c>
      <c r="B455" s="536">
        <v>46149</v>
      </c>
      <c r="C455" s="536">
        <v>46163</v>
      </c>
      <c r="D455" s="319" t="s">
        <v>2481</v>
      </c>
      <c r="E455" s="319" t="s">
        <v>2482</v>
      </c>
      <c r="F455" s="319" t="s">
        <v>1264</v>
      </c>
      <c r="G455" s="319" t="s">
        <v>1029</v>
      </c>
      <c r="H455" s="319" t="s">
        <v>2483</v>
      </c>
      <c r="I455" s="535">
        <v>2056.9899999999998</v>
      </c>
      <c r="J455" s="535">
        <v>990</v>
      </c>
      <c r="K455" s="535">
        <v>3046.99</v>
      </c>
      <c r="L455" s="535" t="s">
        <v>80</v>
      </c>
      <c r="M455" s="535" t="s">
        <v>1042</v>
      </c>
      <c r="N455" s="537"/>
    </row>
    <row r="456" spans="1:14" ht="15.9" customHeight="1">
      <c r="A456" s="319" t="s">
        <v>1102</v>
      </c>
      <c r="B456" s="536">
        <v>46149</v>
      </c>
      <c r="C456" s="536">
        <v>46161</v>
      </c>
      <c r="D456" s="319" t="s">
        <v>2484</v>
      </c>
      <c r="E456" s="319" t="s">
        <v>2485</v>
      </c>
      <c r="F456" s="319" t="s">
        <v>1925</v>
      </c>
      <c r="G456" s="319" t="s">
        <v>1029</v>
      </c>
      <c r="H456" s="319" t="s">
        <v>2486</v>
      </c>
      <c r="I456" s="535">
        <v>958.16</v>
      </c>
      <c r="J456" s="535">
        <v>665</v>
      </c>
      <c r="K456" s="535">
        <v>1623.16</v>
      </c>
      <c r="L456" s="535" t="s">
        <v>80</v>
      </c>
      <c r="M456" s="535" t="s">
        <v>993</v>
      </c>
      <c r="N456" s="537"/>
    </row>
    <row r="457" spans="1:14" ht="15.9" customHeight="1">
      <c r="A457" s="319" t="s">
        <v>1082</v>
      </c>
      <c r="B457" s="536">
        <v>46149</v>
      </c>
      <c r="C457" s="536">
        <v>46152</v>
      </c>
      <c r="D457" s="319" t="s">
        <v>2487</v>
      </c>
      <c r="E457" s="319" t="s">
        <v>2488</v>
      </c>
      <c r="F457" s="319" t="s">
        <v>2114</v>
      </c>
      <c r="G457" s="319" t="s">
        <v>1029</v>
      </c>
      <c r="H457" s="319" t="s">
        <v>2489</v>
      </c>
      <c r="I457" s="535">
        <v>1416.9</v>
      </c>
      <c r="J457" s="535">
        <v>700</v>
      </c>
      <c r="K457" s="535">
        <v>2116.9</v>
      </c>
      <c r="L457" s="535" t="s">
        <v>80</v>
      </c>
      <c r="M457" s="535" t="s">
        <v>993</v>
      </c>
      <c r="N457" s="537"/>
    </row>
    <row r="458" spans="1:14" ht="15.9" customHeight="1">
      <c r="A458" s="319" t="s">
        <v>1054</v>
      </c>
      <c r="B458" s="536">
        <v>46149</v>
      </c>
      <c r="C458" s="536">
        <v>46170</v>
      </c>
      <c r="D458" s="319" t="s">
        <v>2490</v>
      </c>
      <c r="E458" s="319" t="s">
        <v>2491</v>
      </c>
      <c r="F458" s="319" t="s">
        <v>1085</v>
      </c>
      <c r="G458" s="319" t="s">
        <v>1029</v>
      </c>
      <c r="H458" s="319" t="s">
        <v>2492</v>
      </c>
      <c r="I458" s="535">
        <v>2332.8000000000002</v>
      </c>
      <c r="J458" s="535">
        <v>950</v>
      </c>
      <c r="K458" s="535">
        <v>3282.8</v>
      </c>
      <c r="L458" s="535" t="s">
        <v>80</v>
      </c>
      <c r="M458" s="535" t="s">
        <v>1042</v>
      </c>
      <c r="N458" s="537"/>
    </row>
    <row r="459" spans="1:14" ht="15.9" customHeight="1">
      <c r="A459" s="319" t="s">
        <v>1143</v>
      </c>
      <c r="B459" s="536">
        <v>46149</v>
      </c>
      <c r="C459" s="536">
        <v>46169</v>
      </c>
      <c r="D459" s="319" t="s">
        <v>2493</v>
      </c>
      <c r="E459" s="319" t="s">
        <v>2494</v>
      </c>
      <c r="F459" s="319" t="s">
        <v>2036</v>
      </c>
      <c r="G459" s="319" t="s">
        <v>1029</v>
      </c>
      <c r="H459" s="319" t="s">
        <v>2495</v>
      </c>
      <c r="I459" s="535">
        <v>1095.56</v>
      </c>
      <c r="J459" s="535">
        <v>770</v>
      </c>
      <c r="K459" s="535">
        <v>1865.56</v>
      </c>
      <c r="L459" s="535" t="s">
        <v>80</v>
      </c>
      <c r="M459" s="535" t="s">
        <v>993</v>
      </c>
      <c r="N459" s="537"/>
    </row>
    <row r="460" spans="1:14" ht="15.9" customHeight="1">
      <c r="A460" s="319" t="s">
        <v>1054</v>
      </c>
      <c r="B460" s="536">
        <v>46149</v>
      </c>
      <c r="C460" s="536">
        <v>46149</v>
      </c>
      <c r="D460" s="319" t="s">
        <v>2496</v>
      </c>
      <c r="E460" s="319" t="s">
        <v>2497</v>
      </c>
      <c r="F460" s="319" t="s">
        <v>1400</v>
      </c>
      <c r="G460" s="319" t="s">
        <v>1029</v>
      </c>
      <c r="H460" s="319" t="s">
        <v>2498</v>
      </c>
      <c r="I460" s="535">
        <v>1264</v>
      </c>
      <c r="J460" s="535">
        <v>665</v>
      </c>
      <c r="K460" s="535">
        <v>1929</v>
      </c>
      <c r="L460" s="535" t="s">
        <v>86</v>
      </c>
      <c r="M460" s="535" t="s">
        <v>993</v>
      </c>
      <c r="N460" s="537"/>
    </row>
    <row r="461" spans="1:14" ht="15.9" customHeight="1">
      <c r="A461" s="319" t="s">
        <v>1025</v>
      </c>
      <c r="B461" s="536">
        <v>46146</v>
      </c>
      <c r="C461" s="536">
        <v>46168</v>
      </c>
      <c r="D461" s="319" t="s">
        <v>2499</v>
      </c>
      <c r="E461" s="319" t="s">
        <v>2500</v>
      </c>
      <c r="F461" s="319" t="s">
        <v>2501</v>
      </c>
      <c r="G461" s="319" t="s">
        <v>1029</v>
      </c>
      <c r="H461" s="319" t="s">
        <v>2502</v>
      </c>
      <c r="I461" s="535">
        <v>1600.33</v>
      </c>
      <c r="J461" s="535">
        <v>760</v>
      </c>
      <c r="K461" s="535">
        <v>2360.33</v>
      </c>
      <c r="L461" s="535" t="s">
        <v>86</v>
      </c>
      <c r="M461" s="535" t="s">
        <v>993</v>
      </c>
      <c r="N461" s="537" t="s">
        <v>1118</v>
      </c>
    </row>
    <row r="462" spans="1:14" ht="15.9" customHeight="1">
      <c r="A462" s="319" t="s">
        <v>1025</v>
      </c>
      <c r="B462" s="536">
        <v>46147</v>
      </c>
      <c r="C462" s="536">
        <v>46149</v>
      </c>
      <c r="D462" s="319" t="s">
        <v>2503</v>
      </c>
      <c r="E462" s="319" t="s">
        <v>2504</v>
      </c>
      <c r="F462" s="319" t="s">
        <v>1108</v>
      </c>
      <c r="G462" s="319" t="s">
        <v>1029</v>
      </c>
      <c r="H462" s="319" t="s">
        <v>2505</v>
      </c>
      <c r="I462" s="535">
        <v>504.22</v>
      </c>
      <c r="J462" s="535">
        <v>950</v>
      </c>
      <c r="K462" s="535">
        <v>1454.22</v>
      </c>
      <c r="L462" s="535" t="s">
        <v>86</v>
      </c>
      <c r="M462" s="535" t="s">
        <v>993</v>
      </c>
      <c r="N462" s="537" t="s">
        <v>1118</v>
      </c>
    </row>
    <row r="463" spans="1:14" ht="15.9" customHeight="1">
      <c r="A463" s="319" t="s">
        <v>1249</v>
      </c>
      <c r="B463" s="536">
        <v>46149</v>
      </c>
      <c r="C463" s="536">
        <v>46155</v>
      </c>
      <c r="D463" s="319" t="s">
        <v>2506</v>
      </c>
      <c r="E463" s="319" t="s">
        <v>2507</v>
      </c>
      <c r="F463" s="319" t="s">
        <v>1467</v>
      </c>
      <c r="G463" s="319" t="s">
        <v>1029</v>
      </c>
      <c r="H463" s="319" t="s">
        <v>2508</v>
      </c>
      <c r="I463" s="535">
        <v>1780.7</v>
      </c>
      <c r="J463" s="535">
        <v>760</v>
      </c>
      <c r="K463" s="535">
        <v>2540.6999999999998</v>
      </c>
      <c r="L463" s="535" t="s">
        <v>86</v>
      </c>
      <c r="M463" s="535" t="s">
        <v>993</v>
      </c>
      <c r="N463" s="537"/>
    </row>
    <row r="464" spans="1:14" ht="15.9" customHeight="1">
      <c r="A464" s="319" t="s">
        <v>1130</v>
      </c>
      <c r="B464" s="536">
        <v>46149</v>
      </c>
      <c r="C464" s="536">
        <v>46168</v>
      </c>
      <c r="D464" s="319" t="s">
        <v>2509</v>
      </c>
      <c r="E464" s="319" t="s">
        <v>2510</v>
      </c>
      <c r="F464" s="319" t="s">
        <v>2511</v>
      </c>
      <c r="G464" s="319" t="s">
        <v>1029</v>
      </c>
      <c r="H464" s="319" t="s">
        <v>2512</v>
      </c>
      <c r="I464" s="535">
        <v>1566.16</v>
      </c>
      <c r="J464" s="535">
        <v>665</v>
      </c>
      <c r="K464" s="535">
        <v>2231.16</v>
      </c>
      <c r="L464" s="535" t="s">
        <v>78</v>
      </c>
      <c r="M464" s="535" t="s">
        <v>993</v>
      </c>
      <c r="N464" s="537"/>
    </row>
    <row r="465" spans="1:14" ht="15.9" customHeight="1">
      <c r="A465" s="319" t="s">
        <v>1054</v>
      </c>
      <c r="B465" s="536">
        <v>46149</v>
      </c>
      <c r="C465" s="536">
        <v>46167</v>
      </c>
      <c r="D465" s="319" t="s">
        <v>2513</v>
      </c>
      <c r="E465" s="319" t="s">
        <v>2514</v>
      </c>
      <c r="F465" s="319" t="s">
        <v>1427</v>
      </c>
      <c r="G465" s="319" t="s">
        <v>1029</v>
      </c>
      <c r="H465" s="319" t="s">
        <v>2515</v>
      </c>
      <c r="I465" s="535">
        <v>1190.68</v>
      </c>
      <c r="J465" s="535">
        <v>665</v>
      </c>
      <c r="K465" s="535">
        <v>1855.68</v>
      </c>
      <c r="L465" s="535" t="s">
        <v>78</v>
      </c>
      <c r="M465" s="535" t="s">
        <v>993</v>
      </c>
      <c r="N465" s="537"/>
    </row>
    <row r="466" spans="1:14" ht="15.9" customHeight="1">
      <c r="A466" s="319" t="s">
        <v>1110</v>
      </c>
      <c r="B466" s="536">
        <v>46149</v>
      </c>
      <c r="C466" s="536">
        <v>46154</v>
      </c>
      <c r="D466" s="319" t="s">
        <v>2516</v>
      </c>
      <c r="E466" s="319" t="s">
        <v>2517</v>
      </c>
      <c r="F466" s="319" t="s">
        <v>1028</v>
      </c>
      <c r="G466" s="319" t="s">
        <v>1029</v>
      </c>
      <c r="H466" s="319" t="s">
        <v>2518</v>
      </c>
      <c r="I466" s="535">
        <v>1496.23</v>
      </c>
      <c r="J466" s="535">
        <v>760</v>
      </c>
      <c r="K466" s="535">
        <v>2256.23</v>
      </c>
      <c r="L466" s="535" t="s">
        <v>79</v>
      </c>
      <c r="M466" s="535" t="s">
        <v>993</v>
      </c>
      <c r="N466" s="537"/>
    </row>
    <row r="467" spans="1:14" ht="15.9" customHeight="1">
      <c r="A467" s="319" t="s">
        <v>1025</v>
      </c>
      <c r="B467" s="536">
        <v>46150</v>
      </c>
      <c r="C467" s="536">
        <v>46161</v>
      </c>
      <c r="D467" s="319" t="s">
        <v>2519</v>
      </c>
      <c r="E467" s="319" t="s">
        <v>2520</v>
      </c>
      <c r="F467" s="319" t="s">
        <v>1036</v>
      </c>
      <c r="G467" s="319" t="s">
        <v>1029</v>
      </c>
      <c r="H467" s="319" t="s">
        <v>2521</v>
      </c>
      <c r="I467" s="535">
        <v>1767.96</v>
      </c>
      <c r="J467" s="535">
        <v>950</v>
      </c>
      <c r="K467" s="535">
        <v>2717.96</v>
      </c>
      <c r="L467" s="535" t="s">
        <v>87</v>
      </c>
      <c r="M467" s="535" t="s">
        <v>993</v>
      </c>
      <c r="N467" s="537"/>
    </row>
    <row r="468" spans="1:14" ht="15.9" customHeight="1">
      <c r="A468" s="319" t="s">
        <v>1025</v>
      </c>
      <c r="B468" s="536">
        <v>46150</v>
      </c>
      <c r="C468" s="536">
        <v>46152</v>
      </c>
      <c r="D468" s="319" t="s">
        <v>2522</v>
      </c>
      <c r="E468" s="319" t="s">
        <v>2523</v>
      </c>
      <c r="F468" s="319" t="s">
        <v>1256</v>
      </c>
      <c r="G468" s="319" t="s">
        <v>1029</v>
      </c>
      <c r="H468" s="319" t="s">
        <v>2524</v>
      </c>
      <c r="I468" s="535">
        <v>2087.86</v>
      </c>
      <c r="J468" s="535">
        <v>855</v>
      </c>
      <c r="K468" s="535">
        <v>2942.86</v>
      </c>
      <c r="L468" s="535" t="s">
        <v>79</v>
      </c>
      <c r="M468" s="535" t="s">
        <v>993</v>
      </c>
      <c r="N468" s="537"/>
    </row>
    <row r="469" spans="1:14" ht="15.9" customHeight="1">
      <c r="A469" s="319" t="s">
        <v>1130</v>
      </c>
      <c r="B469" s="536">
        <v>46150</v>
      </c>
      <c r="C469" s="536">
        <v>46156</v>
      </c>
      <c r="D469" s="319" t="s">
        <v>2525</v>
      </c>
      <c r="E469" s="319" t="s">
        <v>2526</v>
      </c>
      <c r="F469" s="319" t="s">
        <v>1404</v>
      </c>
      <c r="G469" s="319" t="s">
        <v>1029</v>
      </c>
      <c r="H469" s="319" t="s">
        <v>2527</v>
      </c>
      <c r="I469" s="535">
        <v>430.12</v>
      </c>
      <c r="J469" s="535">
        <v>665</v>
      </c>
      <c r="K469" s="535">
        <v>1095.1199999999999</v>
      </c>
      <c r="L469" s="535" t="s">
        <v>79</v>
      </c>
      <c r="M469" s="535" t="s">
        <v>994</v>
      </c>
      <c r="N469" s="537"/>
    </row>
    <row r="470" spans="1:14" ht="15.9" customHeight="1">
      <c r="A470" s="319" t="s">
        <v>1025</v>
      </c>
      <c r="B470" s="536">
        <v>46150</v>
      </c>
      <c r="C470" s="536">
        <v>46164</v>
      </c>
      <c r="D470" s="319" t="s">
        <v>2528</v>
      </c>
      <c r="E470" s="319" t="s">
        <v>2529</v>
      </c>
      <c r="F470" s="319" t="s">
        <v>2001</v>
      </c>
      <c r="G470" s="319" t="s">
        <v>1029</v>
      </c>
      <c r="H470" s="319" t="s">
        <v>2530</v>
      </c>
      <c r="I470" s="535">
        <v>942.14</v>
      </c>
      <c r="J470" s="535">
        <v>665</v>
      </c>
      <c r="K470" s="535">
        <v>1607.14</v>
      </c>
      <c r="L470" s="535" t="s">
        <v>87</v>
      </c>
      <c r="M470" s="535" t="s">
        <v>993</v>
      </c>
      <c r="N470" s="537" t="s">
        <v>1118</v>
      </c>
    </row>
    <row r="471" spans="1:14" ht="15.9" customHeight="1">
      <c r="A471" s="319" t="s">
        <v>1025</v>
      </c>
      <c r="B471" s="536">
        <v>46150</v>
      </c>
      <c r="C471" s="536">
        <v>46157</v>
      </c>
      <c r="D471" s="319" t="s">
        <v>2531</v>
      </c>
      <c r="E471" s="319" t="s">
        <v>2532</v>
      </c>
      <c r="F471" s="319" t="s">
        <v>1363</v>
      </c>
      <c r="G471" s="319" t="s">
        <v>1029</v>
      </c>
      <c r="H471" s="319" t="s">
        <v>2533</v>
      </c>
      <c r="I471" s="535">
        <v>1713.47</v>
      </c>
      <c r="J471" s="535">
        <v>665</v>
      </c>
      <c r="K471" s="535">
        <v>2378.4699999999998</v>
      </c>
      <c r="L471" s="535" t="s">
        <v>79</v>
      </c>
      <c r="M471" s="535" t="s">
        <v>993</v>
      </c>
      <c r="N471" s="537"/>
    </row>
    <row r="472" spans="1:14" ht="15.9" customHeight="1">
      <c r="A472" s="319" t="s">
        <v>1130</v>
      </c>
      <c r="B472" s="536">
        <v>46150</v>
      </c>
      <c r="C472" s="536">
        <v>46157</v>
      </c>
      <c r="D472" s="319" t="s">
        <v>2534</v>
      </c>
      <c r="E472" s="319" t="s">
        <v>2535</v>
      </c>
      <c r="F472" s="319" t="s">
        <v>1606</v>
      </c>
      <c r="G472" s="319" t="s">
        <v>1029</v>
      </c>
      <c r="H472" s="319" t="s">
        <v>2536</v>
      </c>
      <c r="I472" s="535">
        <v>942.01</v>
      </c>
      <c r="J472" s="535">
        <v>665</v>
      </c>
      <c r="K472" s="535">
        <v>1607.01</v>
      </c>
      <c r="L472" s="535" t="s">
        <v>78</v>
      </c>
      <c r="M472" s="535" t="s">
        <v>993</v>
      </c>
      <c r="N472" s="537"/>
    </row>
    <row r="473" spans="1:14" ht="15.9" customHeight="1">
      <c r="A473" s="319" t="s">
        <v>1025</v>
      </c>
      <c r="B473" s="536">
        <v>46150</v>
      </c>
      <c r="C473" s="536">
        <v>46162</v>
      </c>
      <c r="D473" s="319" t="s">
        <v>2537</v>
      </c>
      <c r="E473" s="319" t="s">
        <v>2538</v>
      </c>
      <c r="F473" s="319" t="s">
        <v>1459</v>
      </c>
      <c r="G473" s="319" t="s">
        <v>1029</v>
      </c>
      <c r="H473" s="319" t="s">
        <v>2539</v>
      </c>
      <c r="I473" s="535">
        <v>954.87</v>
      </c>
      <c r="J473" s="535">
        <v>665</v>
      </c>
      <c r="K473" s="535">
        <v>1619.87</v>
      </c>
      <c r="L473" s="535" t="s">
        <v>78</v>
      </c>
      <c r="M473" s="535" t="s">
        <v>993</v>
      </c>
      <c r="N473" s="537"/>
    </row>
    <row r="474" spans="1:14" ht="15.9" customHeight="1">
      <c r="A474" s="319" t="s">
        <v>1025</v>
      </c>
      <c r="B474" s="536">
        <v>46150</v>
      </c>
      <c r="C474" s="536">
        <v>46163</v>
      </c>
      <c r="D474" s="319" t="s">
        <v>2540</v>
      </c>
      <c r="E474" s="319" t="s">
        <v>2541</v>
      </c>
      <c r="F474" s="319" t="s">
        <v>1153</v>
      </c>
      <c r="G474" s="319" t="s">
        <v>1029</v>
      </c>
      <c r="H474" s="319" t="s">
        <v>2542</v>
      </c>
      <c r="I474" s="535">
        <v>2668.77</v>
      </c>
      <c r="J474" s="535">
        <v>855</v>
      </c>
      <c r="K474" s="535">
        <v>3523.77</v>
      </c>
      <c r="L474" s="535" t="s">
        <v>78</v>
      </c>
      <c r="M474" s="535" t="s">
        <v>1042</v>
      </c>
      <c r="N474" s="537"/>
    </row>
    <row r="475" spans="1:14" ht="15.9" customHeight="1">
      <c r="A475" s="319" t="s">
        <v>1025</v>
      </c>
      <c r="B475" s="536">
        <v>46150</v>
      </c>
      <c r="C475" s="536">
        <v>46155</v>
      </c>
      <c r="D475" s="319" t="s">
        <v>2543</v>
      </c>
      <c r="E475" s="319" t="s">
        <v>2544</v>
      </c>
      <c r="F475" s="319" t="s">
        <v>1315</v>
      </c>
      <c r="G475" s="319" t="s">
        <v>1029</v>
      </c>
      <c r="H475" s="319" t="s">
        <v>2545</v>
      </c>
      <c r="I475" s="535">
        <v>1043.8599999999999</v>
      </c>
      <c r="J475" s="535">
        <v>665</v>
      </c>
      <c r="K475" s="535">
        <v>1708.86</v>
      </c>
      <c r="L475" s="535" t="s">
        <v>80</v>
      </c>
      <c r="M475" s="535" t="s">
        <v>993</v>
      </c>
      <c r="N475" s="537"/>
    </row>
    <row r="476" spans="1:14" ht="15.9" customHeight="1">
      <c r="A476" s="319" t="s">
        <v>1130</v>
      </c>
      <c r="B476" s="536">
        <v>46150</v>
      </c>
      <c r="C476" s="536">
        <v>46166</v>
      </c>
      <c r="D476" s="319" t="s">
        <v>2546</v>
      </c>
      <c r="E476" s="319" t="s">
        <v>2547</v>
      </c>
      <c r="F476" s="319" t="s">
        <v>1463</v>
      </c>
      <c r="G476" s="319" t="s">
        <v>1029</v>
      </c>
      <c r="H476" s="319" t="s">
        <v>2548</v>
      </c>
      <c r="I476" s="535">
        <v>306.56</v>
      </c>
      <c r="J476" s="535">
        <v>665</v>
      </c>
      <c r="K476" s="535">
        <v>971.56</v>
      </c>
      <c r="L476" s="535" t="s">
        <v>80</v>
      </c>
      <c r="M476" s="535" t="s">
        <v>993</v>
      </c>
      <c r="N476" s="537"/>
    </row>
    <row r="477" spans="1:14" ht="15.9" customHeight="1">
      <c r="A477" s="319" t="s">
        <v>1082</v>
      </c>
      <c r="B477" s="536">
        <v>46150</v>
      </c>
      <c r="C477" s="536">
        <v>46157</v>
      </c>
      <c r="D477" s="319" t="s">
        <v>2549</v>
      </c>
      <c r="E477" s="319" t="s">
        <v>2550</v>
      </c>
      <c r="F477" s="319" t="s">
        <v>2551</v>
      </c>
      <c r="G477" s="319" t="s">
        <v>1029</v>
      </c>
      <c r="H477" s="319" t="s">
        <v>2552</v>
      </c>
      <c r="I477" s="535">
        <v>1010.85</v>
      </c>
      <c r="J477" s="535">
        <v>665</v>
      </c>
      <c r="K477" s="535">
        <v>1675.85</v>
      </c>
      <c r="L477" s="535" t="s">
        <v>80</v>
      </c>
      <c r="M477" s="535" t="s">
        <v>993</v>
      </c>
      <c r="N477" s="537"/>
    </row>
    <row r="478" spans="1:14" ht="15.9" customHeight="1">
      <c r="A478" s="319" t="s">
        <v>1054</v>
      </c>
      <c r="B478" s="536">
        <v>46150</v>
      </c>
      <c r="C478" s="536">
        <v>46151</v>
      </c>
      <c r="D478" s="319" t="s">
        <v>2553</v>
      </c>
      <c r="E478" s="319" t="s">
        <v>2554</v>
      </c>
      <c r="F478" s="319" t="s">
        <v>2555</v>
      </c>
      <c r="G478" s="319" t="s">
        <v>1029</v>
      </c>
      <c r="H478" s="319" t="s">
        <v>2556</v>
      </c>
      <c r="I478" s="535">
        <v>1031.93</v>
      </c>
      <c r="J478" s="535">
        <v>950</v>
      </c>
      <c r="K478" s="535">
        <v>1981.93</v>
      </c>
      <c r="L478" s="535" t="s">
        <v>80</v>
      </c>
      <c r="M478" s="535" t="s">
        <v>1042</v>
      </c>
      <c r="N478" s="537"/>
    </row>
    <row r="479" spans="1:14" ht="15.9" customHeight="1">
      <c r="A479" s="319" t="s">
        <v>1025</v>
      </c>
      <c r="B479" s="536">
        <v>46150</v>
      </c>
      <c r="C479" s="536">
        <v>46151</v>
      </c>
      <c r="D479" s="319" t="s">
        <v>2557</v>
      </c>
      <c r="E479" s="319" t="s">
        <v>2558</v>
      </c>
      <c r="F479" s="319" t="s">
        <v>1211</v>
      </c>
      <c r="G479" s="319" t="s">
        <v>1029</v>
      </c>
      <c r="H479" s="319" t="s">
        <v>2559</v>
      </c>
      <c r="I479" s="535">
        <v>2701.14</v>
      </c>
      <c r="J479" s="535">
        <v>950</v>
      </c>
      <c r="K479" s="535">
        <v>3651.14</v>
      </c>
      <c r="L479" s="535" t="s">
        <v>80</v>
      </c>
      <c r="M479" s="535" t="s">
        <v>1042</v>
      </c>
      <c r="N479" s="537"/>
    </row>
    <row r="480" spans="1:14" ht="15.9" customHeight="1">
      <c r="A480" s="319" t="s">
        <v>1025</v>
      </c>
      <c r="B480" s="536">
        <v>46150</v>
      </c>
      <c r="C480" s="536">
        <v>46168</v>
      </c>
      <c r="D480" s="319" t="s">
        <v>2560</v>
      </c>
      <c r="E480" s="319" t="s">
        <v>2561</v>
      </c>
      <c r="F480" s="319" t="s">
        <v>1092</v>
      </c>
      <c r="G480" s="319" t="s">
        <v>1029</v>
      </c>
      <c r="H480" s="319" t="s">
        <v>2562</v>
      </c>
      <c r="I480" s="535">
        <v>1790.93</v>
      </c>
      <c r="J480" s="535">
        <v>855</v>
      </c>
      <c r="K480" s="535">
        <v>2645.93</v>
      </c>
      <c r="L480" s="535" t="s">
        <v>80</v>
      </c>
      <c r="M480" s="535" t="s">
        <v>1042</v>
      </c>
      <c r="N480" s="537" t="s">
        <v>1118</v>
      </c>
    </row>
    <row r="481" spans="1:14" ht="15.9" customHeight="1">
      <c r="A481" s="319" t="s">
        <v>1082</v>
      </c>
      <c r="B481" s="536">
        <v>46150</v>
      </c>
      <c r="C481" s="536">
        <v>46151</v>
      </c>
      <c r="D481" s="319" t="s">
        <v>2563</v>
      </c>
      <c r="E481" s="319" t="s">
        <v>2564</v>
      </c>
      <c r="F481" s="319" t="s">
        <v>1211</v>
      </c>
      <c r="G481" s="319" t="s">
        <v>1029</v>
      </c>
      <c r="H481" s="319" t="s">
        <v>119</v>
      </c>
      <c r="I481" s="535">
        <v>2682.02</v>
      </c>
      <c r="J481" s="535">
        <v>950</v>
      </c>
      <c r="K481" s="535">
        <v>3632.02</v>
      </c>
      <c r="L481" s="535" t="s">
        <v>80</v>
      </c>
      <c r="M481" s="535" t="s">
        <v>994</v>
      </c>
      <c r="N481" s="537"/>
    </row>
    <row r="482" spans="1:14" ht="15.9" customHeight="1">
      <c r="A482" s="319" t="s">
        <v>1054</v>
      </c>
      <c r="B482" s="536">
        <v>46150</v>
      </c>
      <c r="C482" s="536">
        <v>46164</v>
      </c>
      <c r="D482" s="319" t="s">
        <v>2565</v>
      </c>
      <c r="E482" s="319" t="s">
        <v>2566</v>
      </c>
      <c r="F482" s="319" t="s">
        <v>1170</v>
      </c>
      <c r="G482" s="319" t="s">
        <v>1029</v>
      </c>
      <c r="H482" s="319" t="s">
        <v>2567</v>
      </c>
      <c r="I482" s="535">
        <v>1273.69</v>
      </c>
      <c r="J482" s="535">
        <v>665</v>
      </c>
      <c r="K482" s="535">
        <v>1938.69</v>
      </c>
      <c r="L482" s="535" t="s">
        <v>80</v>
      </c>
      <c r="M482" s="535" t="s">
        <v>993</v>
      </c>
      <c r="N482" s="537"/>
    </row>
    <row r="483" spans="1:14" ht="15.9" customHeight="1">
      <c r="A483" s="319" t="s">
        <v>1130</v>
      </c>
      <c r="B483" s="536">
        <v>46150</v>
      </c>
      <c r="C483" s="536">
        <v>46171</v>
      </c>
      <c r="D483" s="319" t="s">
        <v>2568</v>
      </c>
      <c r="E483" s="319" t="s">
        <v>2569</v>
      </c>
      <c r="F483" s="319" t="s">
        <v>1474</v>
      </c>
      <c r="G483" s="319" t="s">
        <v>1029</v>
      </c>
      <c r="H483" s="319" t="s">
        <v>2570</v>
      </c>
      <c r="I483" s="535">
        <v>1505.56</v>
      </c>
      <c r="J483" s="535">
        <v>770</v>
      </c>
      <c r="K483" s="535">
        <v>2275.56</v>
      </c>
      <c r="L483" s="535" t="s">
        <v>87</v>
      </c>
      <c r="M483" s="535" t="s">
        <v>993</v>
      </c>
      <c r="N483" s="537"/>
    </row>
    <row r="484" spans="1:14" ht="15.9" customHeight="1">
      <c r="A484" s="319" t="s">
        <v>1025</v>
      </c>
      <c r="B484" s="536">
        <v>46150</v>
      </c>
      <c r="C484" s="536">
        <v>46156</v>
      </c>
      <c r="D484" s="319" t="s">
        <v>2571</v>
      </c>
      <c r="E484" s="319" t="s">
        <v>2572</v>
      </c>
      <c r="F484" s="319" t="s">
        <v>1699</v>
      </c>
      <c r="G484" s="319" t="s">
        <v>1029</v>
      </c>
      <c r="H484" s="319" t="s">
        <v>2573</v>
      </c>
      <c r="I484" s="535">
        <v>1600.47</v>
      </c>
      <c r="J484" s="535">
        <v>855</v>
      </c>
      <c r="K484" s="535">
        <v>2455.4699999999998</v>
      </c>
      <c r="L484" s="535" t="s">
        <v>87</v>
      </c>
      <c r="M484" s="535" t="s">
        <v>1042</v>
      </c>
      <c r="N484" s="537"/>
    </row>
    <row r="485" spans="1:14" ht="15.9" customHeight="1">
      <c r="A485" s="319" t="s">
        <v>1054</v>
      </c>
      <c r="B485" s="536">
        <v>46150</v>
      </c>
      <c r="C485" s="536">
        <v>46150</v>
      </c>
      <c r="D485" s="319" t="s">
        <v>2574</v>
      </c>
      <c r="E485" s="319" t="s">
        <v>2575</v>
      </c>
      <c r="F485" s="319" t="s">
        <v>1096</v>
      </c>
      <c r="G485" s="319" t="s">
        <v>1029</v>
      </c>
      <c r="H485" s="319" t="s">
        <v>2576</v>
      </c>
      <c r="I485" s="535">
        <v>2068.4699999999998</v>
      </c>
      <c r="J485" s="535">
        <v>760</v>
      </c>
      <c r="K485" s="535">
        <v>2828.47</v>
      </c>
      <c r="L485" s="535" t="s">
        <v>86</v>
      </c>
      <c r="M485" s="535" t="s">
        <v>994</v>
      </c>
      <c r="N485" s="537"/>
    </row>
    <row r="486" spans="1:14" ht="15.9" customHeight="1">
      <c r="A486" s="319" t="s">
        <v>1054</v>
      </c>
      <c r="B486" s="536">
        <v>46150</v>
      </c>
      <c r="C486" s="536">
        <v>46153</v>
      </c>
      <c r="D486" s="319" t="s">
        <v>2577</v>
      </c>
      <c r="E486" s="319" t="s">
        <v>2578</v>
      </c>
      <c r="F486" s="319" t="s">
        <v>1108</v>
      </c>
      <c r="G486" s="319" t="s">
        <v>1029</v>
      </c>
      <c r="H486" s="319" t="s">
        <v>2579</v>
      </c>
      <c r="I486" s="535">
        <v>1742.57</v>
      </c>
      <c r="J486" s="535">
        <v>665</v>
      </c>
      <c r="K486" s="535">
        <v>2407.5700000000002</v>
      </c>
      <c r="L486" s="535" t="s">
        <v>86</v>
      </c>
      <c r="M486" s="535" t="s">
        <v>993</v>
      </c>
      <c r="N486" s="537"/>
    </row>
    <row r="487" spans="1:14" ht="15.9" customHeight="1">
      <c r="A487" s="319" t="s">
        <v>1054</v>
      </c>
      <c r="B487" s="536">
        <v>46150</v>
      </c>
      <c r="C487" s="536">
        <v>46170</v>
      </c>
      <c r="D487" s="319" t="s">
        <v>2580</v>
      </c>
      <c r="E487" s="319" t="s">
        <v>2581</v>
      </c>
      <c r="F487" s="319" t="s">
        <v>1028</v>
      </c>
      <c r="G487" s="319" t="s">
        <v>1029</v>
      </c>
      <c r="H487" s="319" t="s">
        <v>2582</v>
      </c>
      <c r="I487" s="535">
        <v>1628.68</v>
      </c>
      <c r="J487" s="535">
        <v>760</v>
      </c>
      <c r="K487" s="535">
        <v>2388.6799999999998</v>
      </c>
      <c r="L487" s="535" t="s">
        <v>86</v>
      </c>
      <c r="M487" s="535" t="s">
        <v>993</v>
      </c>
      <c r="N487" s="537"/>
    </row>
    <row r="488" spans="1:14" ht="15.9" customHeight="1">
      <c r="A488" s="319" t="s">
        <v>1025</v>
      </c>
      <c r="B488" s="536">
        <v>46150</v>
      </c>
      <c r="C488" s="536">
        <v>46173</v>
      </c>
      <c r="D488" s="319" t="s">
        <v>2583</v>
      </c>
      <c r="E488" s="319" t="s">
        <v>2584</v>
      </c>
      <c r="F488" s="319" t="s">
        <v>1113</v>
      </c>
      <c r="G488" s="319" t="s">
        <v>1029</v>
      </c>
      <c r="H488" s="319" t="s">
        <v>2585</v>
      </c>
      <c r="I488" s="535">
        <v>1809.39</v>
      </c>
      <c r="J488" s="535">
        <v>760</v>
      </c>
      <c r="K488" s="535">
        <v>2569.39</v>
      </c>
      <c r="L488" s="535" t="s">
        <v>86</v>
      </c>
      <c r="M488" s="535" t="s">
        <v>993</v>
      </c>
      <c r="N488" s="537" t="s">
        <v>1118</v>
      </c>
    </row>
    <row r="489" spans="1:14" ht="15.9" customHeight="1">
      <c r="A489" s="319" t="s">
        <v>2334</v>
      </c>
      <c r="B489" s="536">
        <v>46150</v>
      </c>
      <c r="C489" s="536">
        <v>46171</v>
      </c>
      <c r="D489" s="319" t="s">
        <v>2586</v>
      </c>
      <c r="E489" s="319" t="s">
        <v>2587</v>
      </c>
      <c r="F489" s="319" t="s">
        <v>1108</v>
      </c>
      <c r="G489" s="319" t="s">
        <v>1029</v>
      </c>
      <c r="H489" s="319" t="s">
        <v>2588</v>
      </c>
      <c r="I489" s="535">
        <v>1753.23</v>
      </c>
      <c r="J489" s="535">
        <v>950</v>
      </c>
      <c r="K489" s="535">
        <v>2703.23</v>
      </c>
      <c r="L489" s="535" t="s">
        <v>80</v>
      </c>
      <c r="M489" s="535" t="s">
        <v>1042</v>
      </c>
      <c r="N489" s="537"/>
    </row>
    <row r="490" spans="1:14" ht="15.9" customHeight="1">
      <c r="A490" s="319" t="s">
        <v>1054</v>
      </c>
      <c r="B490" s="536">
        <v>46150</v>
      </c>
      <c r="C490" s="536">
        <v>46159</v>
      </c>
      <c r="D490" s="319" t="s">
        <v>2589</v>
      </c>
      <c r="E490" s="319" t="s">
        <v>2590</v>
      </c>
      <c r="F490" s="319" t="s">
        <v>1424</v>
      </c>
      <c r="G490" s="319" t="s">
        <v>1029</v>
      </c>
      <c r="H490" s="319" t="s">
        <v>2591</v>
      </c>
      <c r="I490" s="535">
        <v>1213.32</v>
      </c>
      <c r="J490" s="535">
        <v>665</v>
      </c>
      <c r="K490" s="535">
        <v>1878.32</v>
      </c>
      <c r="L490" s="535" t="s">
        <v>80</v>
      </c>
      <c r="M490" s="535" t="s">
        <v>993</v>
      </c>
      <c r="N490" s="537"/>
    </row>
    <row r="491" spans="1:14" ht="15.9" customHeight="1">
      <c r="A491" s="319" t="s">
        <v>1054</v>
      </c>
      <c r="B491" s="536">
        <v>46150</v>
      </c>
      <c r="C491" s="536">
        <v>46161</v>
      </c>
      <c r="D491" s="319" t="s">
        <v>2592</v>
      </c>
      <c r="E491" s="319" t="s">
        <v>2593</v>
      </c>
      <c r="F491" s="319" t="s">
        <v>1045</v>
      </c>
      <c r="G491" s="319" t="s">
        <v>1029</v>
      </c>
      <c r="H491" s="319" t="s">
        <v>2594</v>
      </c>
      <c r="I491" s="535">
        <v>1529.54</v>
      </c>
      <c r="J491" s="535">
        <v>760</v>
      </c>
      <c r="K491" s="535">
        <v>2289.54</v>
      </c>
      <c r="L491" s="535" t="s">
        <v>86</v>
      </c>
      <c r="M491" s="535" t="s">
        <v>993</v>
      </c>
      <c r="N491" s="537"/>
    </row>
    <row r="492" spans="1:14" ht="15.9" customHeight="1">
      <c r="A492" s="319" t="s">
        <v>1102</v>
      </c>
      <c r="B492" s="536">
        <v>46151</v>
      </c>
      <c r="C492" s="536">
        <v>46159</v>
      </c>
      <c r="D492" s="319" t="s">
        <v>2595</v>
      </c>
      <c r="E492" s="319" t="s">
        <v>2596</v>
      </c>
      <c r="F492" s="319" t="s">
        <v>2597</v>
      </c>
      <c r="G492" s="319" t="s">
        <v>1029</v>
      </c>
      <c r="H492" s="319" t="s">
        <v>2598</v>
      </c>
      <c r="I492" s="535">
        <v>403.32</v>
      </c>
      <c r="J492" s="535">
        <v>665</v>
      </c>
      <c r="K492" s="535">
        <v>1068.32</v>
      </c>
      <c r="L492" s="535" t="s">
        <v>87</v>
      </c>
      <c r="M492" s="535" t="s">
        <v>993</v>
      </c>
      <c r="N492" s="537"/>
    </row>
    <row r="493" spans="1:14" ht="15.9" customHeight="1">
      <c r="A493" s="319" t="s">
        <v>1025</v>
      </c>
      <c r="B493" s="536">
        <v>46151</v>
      </c>
      <c r="C493" s="536">
        <v>46167</v>
      </c>
      <c r="D493" s="319" t="s">
        <v>2599</v>
      </c>
      <c r="E493" s="319" t="s">
        <v>2600</v>
      </c>
      <c r="F493" s="319" t="s">
        <v>1189</v>
      </c>
      <c r="G493" s="319" t="s">
        <v>1029</v>
      </c>
      <c r="H493" s="319" t="s">
        <v>2601</v>
      </c>
      <c r="I493" s="535">
        <v>1296.32</v>
      </c>
      <c r="J493" s="535">
        <v>665</v>
      </c>
      <c r="K493" s="535">
        <v>1961.32</v>
      </c>
      <c r="L493" s="535" t="s">
        <v>79</v>
      </c>
      <c r="M493" s="535" t="s">
        <v>993</v>
      </c>
      <c r="N493" s="537"/>
    </row>
    <row r="494" spans="1:14" ht="15.9" customHeight="1">
      <c r="A494" s="319" t="s">
        <v>1054</v>
      </c>
      <c r="B494" s="536">
        <v>46151</v>
      </c>
      <c r="C494" s="536">
        <v>46160</v>
      </c>
      <c r="D494" s="319" t="s">
        <v>2602</v>
      </c>
      <c r="E494" s="319" t="s">
        <v>2603</v>
      </c>
      <c r="F494" s="319" t="s">
        <v>1420</v>
      </c>
      <c r="G494" s="319" t="s">
        <v>1029</v>
      </c>
      <c r="H494" s="319" t="s">
        <v>2604</v>
      </c>
      <c r="I494" s="535">
        <v>1788.36</v>
      </c>
      <c r="J494" s="535">
        <v>950</v>
      </c>
      <c r="K494" s="535">
        <v>2738.36</v>
      </c>
      <c r="L494" s="535" t="s">
        <v>79</v>
      </c>
      <c r="M494" s="535" t="s">
        <v>993</v>
      </c>
      <c r="N494" s="537"/>
    </row>
    <row r="495" spans="1:14" ht="15.9" customHeight="1">
      <c r="A495" s="319" t="s">
        <v>1054</v>
      </c>
      <c r="B495" s="536">
        <v>46151</v>
      </c>
      <c r="C495" s="536">
        <v>46168</v>
      </c>
      <c r="D495" s="319" t="s">
        <v>2605</v>
      </c>
      <c r="E495" s="319" t="s">
        <v>2606</v>
      </c>
      <c r="F495" s="319" t="s">
        <v>1533</v>
      </c>
      <c r="G495" s="319" t="s">
        <v>1029</v>
      </c>
      <c r="H495" s="319" t="s">
        <v>2607</v>
      </c>
      <c r="I495" s="535">
        <v>824.12</v>
      </c>
      <c r="J495" s="535">
        <v>665</v>
      </c>
      <c r="K495" s="535">
        <v>1489.12</v>
      </c>
      <c r="L495" s="535" t="s">
        <v>80</v>
      </c>
      <c r="M495" s="535" t="s">
        <v>993</v>
      </c>
      <c r="N495" s="537"/>
    </row>
    <row r="496" spans="1:14" ht="15.9" customHeight="1">
      <c r="A496" s="319" t="s">
        <v>1025</v>
      </c>
      <c r="B496" s="536">
        <v>46151</v>
      </c>
      <c r="C496" s="536">
        <v>46167</v>
      </c>
      <c r="D496" s="319" t="s">
        <v>2608</v>
      </c>
      <c r="E496" s="319" t="s">
        <v>2609</v>
      </c>
      <c r="F496" s="319" t="s">
        <v>1236</v>
      </c>
      <c r="G496" s="319" t="s">
        <v>1029</v>
      </c>
      <c r="H496" s="319" t="s">
        <v>2610</v>
      </c>
      <c r="I496" s="535">
        <v>1269.26</v>
      </c>
      <c r="J496" s="535">
        <v>665</v>
      </c>
      <c r="K496" s="535">
        <v>1934.26</v>
      </c>
      <c r="L496" s="535" t="s">
        <v>80</v>
      </c>
      <c r="M496" s="535" t="s">
        <v>993</v>
      </c>
      <c r="N496" s="537"/>
    </row>
    <row r="497" spans="1:14" ht="15.9" customHeight="1">
      <c r="A497" s="319" t="s">
        <v>1025</v>
      </c>
      <c r="B497" s="536">
        <v>46151</v>
      </c>
      <c r="C497" s="536">
        <v>46167</v>
      </c>
      <c r="D497" s="319" t="s">
        <v>2611</v>
      </c>
      <c r="E497" s="319" t="s">
        <v>2612</v>
      </c>
      <c r="F497" s="319" t="s">
        <v>1400</v>
      </c>
      <c r="G497" s="319" t="s">
        <v>1029</v>
      </c>
      <c r="H497" s="319" t="s">
        <v>2613</v>
      </c>
      <c r="I497" s="535">
        <v>2005.51</v>
      </c>
      <c r="J497" s="535"/>
      <c r="K497" s="535">
        <v>2005.51</v>
      </c>
      <c r="L497" s="535" t="s">
        <v>80</v>
      </c>
      <c r="M497" s="535" t="s">
        <v>993</v>
      </c>
      <c r="N497" s="537"/>
    </row>
    <row r="498" spans="1:14" ht="15.9" customHeight="1">
      <c r="A498" s="319" t="s">
        <v>1025</v>
      </c>
      <c r="B498" s="536">
        <v>46151</v>
      </c>
      <c r="C498" s="536">
        <v>46169</v>
      </c>
      <c r="D498" s="319" t="s">
        <v>2614</v>
      </c>
      <c r="E498" s="319" t="s">
        <v>2615</v>
      </c>
      <c r="F498" s="319" t="s">
        <v>1100</v>
      </c>
      <c r="G498" s="319" t="s">
        <v>1029</v>
      </c>
      <c r="H498" s="319" t="s">
        <v>2616</v>
      </c>
      <c r="I498" s="535">
        <v>1944.89</v>
      </c>
      <c r="J498" s="535">
        <v>855</v>
      </c>
      <c r="K498" s="535">
        <v>2799.89</v>
      </c>
      <c r="L498" s="535" t="s">
        <v>80</v>
      </c>
      <c r="M498" s="535" t="s">
        <v>1042</v>
      </c>
      <c r="N498" s="537"/>
    </row>
    <row r="499" spans="1:14" ht="15.9" customHeight="1">
      <c r="A499" s="319" t="s">
        <v>1025</v>
      </c>
      <c r="B499" s="536">
        <v>46151</v>
      </c>
      <c r="C499" s="536">
        <v>46152</v>
      </c>
      <c r="D499" s="319" t="s">
        <v>2617</v>
      </c>
      <c r="E499" s="319" t="s">
        <v>2618</v>
      </c>
      <c r="F499" s="319" t="s">
        <v>1096</v>
      </c>
      <c r="G499" s="319" t="s">
        <v>1029</v>
      </c>
      <c r="H499" s="319" t="s">
        <v>2619</v>
      </c>
      <c r="I499" s="535">
        <v>1909.61</v>
      </c>
      <c r="J499" s="535">
        <v>855</v>
      </c>
      <c r="K499" s="535">
        <v>2764.61</v>
      </c>
      <c r="L499" s="535" t="s">
        <v>80</v>
      </c>
      <c r="M499" s="535" t="s">
        <v>1042</v>
      </c>
      <c r="N499" s="537"/>
    </row>
    <row r="500" spans="1:14" ht="15.9" customHeight="1">
      <c r="A500" s="319" t="s">
        <v>1025</v>
      </c>
      <c r="B500" s="536">
        <v>46151</v>
      </c>
      <c r="C500" s="536">
        <v>46168</v>
      </c>
      <c r="D500" s="319" t="s">
        <v>2620</v>
      </c>
      <c r="E500" s="319" t="s">
        <v>2621</v>
      </c>
      <c r="F500" s="319" t="s">
        <v>1085</v>
      </c>
      <c r="G500" s="319" t="s">
        <v>1029</v>
      </c>
      <c r="H500" s="319" t="s">
        <v>2622</v>
      </c>
      <c r="I500" s="535">
        <v>2037.58</v>
      </c>
      <c r="J500" s="535">
        <v>855</v>
      </c>
      <c r="K500" s="535">
        <v>2892.58</v>
      </c>
      <c r="L500" s="535" t="s">
        <v>80</v>
      </c>
      <c r="M500" s="535" t="s">
        <v>1042</v>
      </c>
      <c r="N500" s="537"/>
    </row>
    <row r="501" spans="1:14" ht="15.9" customHeight="1">
      <c r="A501" s="319" t="s">
        <v>1082</v>
      </c>
      <c r="B501" s="536">
        <v>46151</v>
      </c>
      <c r="C501" s="536">
        <v>46169</v>
      </c>
      <c r="D501" s="319" t="s">
        <v>2623</v>
      </c>
      <c r="E501" s="319" t="s">
        <v>2624</v>
      </c>
      <c r="F501" s="319" t="s">
        <v>1108</v>
      </c>
      <c r="G501" s="319" t="s">
        <v>1029</v>
      </c>
      <c r="H501" s="319" t="s">
        <v>2625</v>
      </c>
      <c r="I501" s="535">
        <v>1513.87</v>
      </c>
      <c r="J501" s="535">
        <v>760</v>
      </c>
      <c r="K501" s="535">
        <v>2273.87</v>
      </c>
      <c r="L501" s="535" t="s">
        <v>80</v>
      </c>
      <c r="M501" s="535" t="s">
        <v>993</v>
      </c>
      <c r="N501" s="537"/>
    </row>
    <row r="502" spans="1:14" ht="15.9" customHeight="1">
      <c r="A502" s="319" t="s">
        <v>1025</v>
      </c>
      <c r="B502" s="536">
        <v>46151</v>
      </c>
      <c r="C502" s="536">
        <v>46166</v>
      </c>
      <c r="D502" s="319" t="s">
        <v>2626</v>
      </c>
      <c r="E502" s="319" t="s">
        <v>2627</v>
      </c>
      <c r="F502" s="319" t="s">
        <v>1400</v>
      </c>
      <c r="G502" s="319" t="s">
        <v>1029</v>
      </c>
      <c r="H502" s="319" t="s">
        <v>2628</v>
      </c>
      <c r="I502" s="535">
        <v>1263.95</v>
      </c>
      <c r="J502" s="535"/>
      <c r="K502" s="535">
        <v>1263.95</v>
      </c>
      <c r="L502" s="535" t="s">
        <v>80</v>
      </c>
      <c r="M502" s="535" t="s">
        <v>993</v>
      </c>
      <c r="N502" s="537"/>
    </row>
    <row r="503" spans="1:14" ht="15.9" customHeight="1">
      <c r="A503" s="319" t="s">
        <v>1025</v>
      </c>
      <c r="B503" s="536">
        <v>46151</v>
      </c>
      <c r="C503" s="536">
        <v>46163</v>
      </c>
      <c r="D503" s="319" t="s">
        <v>2629</v>
      </c>
      <c r="E503" s="319" t="s">
        <v>2630</v>
      </c>
      <c r="F503" s="319" t="s">
        <v>1157</v>
      </c>
      <c r="G503" s="319" t="s">
        <v>1029</v>
      </c>
      <c r="H503" s="319" t="s">
        <v>2631</v>
      </c>
      <c r="I503" s="535">
        <v>1720.78</v>
      </c>
      <c r="J503" s="535">
        <v>855</v>
      </c>
      <c r="K503" s="535">
        <v>2575.7800000000002</v>
      </c>
      <c r="L503" s="535" t="s">
        <v>80</v>
      </c>
      <c r="M503" s="535" t="s">
        <v>1042</v>
      </c>
      <c r="N503" s="537"/>
    </row>
    <row r="504" spans="1:14" ht="15.9" customHeight="1">
      <c r="A504" s="319" t="s">
        <v>1143</v>
      </c>
      <c r="B504" s="536">
        <v>46151</v>
      </c>
      <c r="C504" s="536">
        <v>46172</v>
      </c>
      <c r="D504" s="319" t="s">
        <v>2632</v>
      </c>
      <c r="E504" s="319" t="s">
        <v>2633</v>
      </c>
      <c r="F504" s="319" t="s">
        <v>1296</v>
      </c>
      <c r="G504" s="319" t="s">
        <v>1029</v>
      </c>
      <c r="H504" s="319" t="s">
        <v>2634</v>
      </c>
      <c r="I504" s="535">
        <v>966.19</v>
      </c>
      <c r="J504" s="535">
        <v>665</v>
      </c>
      <c r="K504" s="535">
        <v>1631.19</v>
      </c>
      <c r="L504" s="535" t="s">
        <v>80</v>
      </c>
      <c r="M504" s="535" t="s">
        <v>993</v>
      </c>
      <c r="N504" s="537"/>
    </row>
    <row r="505" spans="1:14" ht="15.9" customHeight="1">
      <c r="A505" s="319" t="s">
        <v>1025</v>
      </c>
      <c r="B505" s="536">
        <v>46151</v>
      </c>
      <c r="C505" s="536">
        <v>46167</v>
      </c>
      <c r="D505" s="319" t="s">
        <v>2635</v>
      </c>
      <c r="E505" s="319" t="s">
        <v>2636</v>
      </c>
      <c r="F505" s="319" t="s">
        <v>1404</v>
      </c>
      <c r="G505" s="319" t="s">
        <v>1029</v>
      </c>
      <c r="H505" s="319" t="s">
        <v>2637</v>
      </c>
      <c r="I505" s="535">
        <v>1144.31</v>
      </c>
      <c r="J505" s="535">
        <v>665</v>
      </c>
      <c r="K505" s="535">
        <v>1809.31</v>
      </c>
      <c r="L505" s="535" t="s">
        <v>78</v>
      </c>
      <c r="M505" s="535" t="s">
        <v>993</v>
      </c>
      <c r="N505" s="537"/>
    </row>
    <row r="506" spans="1:14" ht="15.9" customHeight="1">
      <c r="A506" s="319" t="s">
        <v>1025</v>
      </c>
      <c r="B506" s="536">
        <v>46151</v>
      </c>
      <c r="C506" s="536">
        <v>46157</v>
      </c>
      <c r="D506" s="319" t="s">
        <v>2638</v>
      </c>
      <c r="E506" s="319" t="s">
        <v>2639</v>
      </c>
      <c r="F506" s="319" t="s">
        <v>1467</v>
      </c>
      <c r="G506" s="319" t="s">
        <v>1029</v>
      </c>
      <c r="H506" s="319" t="s">
        <v>2640</v>
      </c>
      <c r="I506" s="535">
        <v>2423.67</v>
      </c>
      <c r="J506" s="535">
        <v>855</v>
      </c>
      <c r="K506" s="535">
        <v>3278.67</v>
      </c>
      <c r="L506" s="535" t="s">
        <v>78</v>
      </c>
      <c r="M506" s="535" t="s">
        <v>993</v>
      </c>
      <c r="N506" s="537"/>
    </row>
    <row r="507" spans="1:14" ht="15.9" customHeight="1">
      <c r="A507" s="319" t="s">
        <v>1054</v>
      </c>
      <c r="B507" s="536">
        <v>46151</v>
      </c>
      <c r="C507" s="536">
        <v>46169</v>
      </c>
      <c r="D507" s="319" t="s">
        <v>2641</v>
      </c>
      <c r="E507" s="319" t="s">
        <v>2642</v>
      </c>
      <c r="F507" s="319" t="s">
        <v>1149</v>
      </c>
      <c r="G507" s="319" t="s">
        <v>1029</v>
      </c>
      <c r="H507" s="319" t="s">
        <v>2643</v>
      </c>
      <c r="I507" s="535">
        <v>1886.71</v>
      </c>
      <c r="J507" s="535">
        <v>855</v>
      </c>
      <c r="K507" s="535">
        <v>2741.71</v>
      </c>
      <c r="L507" s="535" t="s">
        <v>78</v>
      </c>
      <c r="M507" s="535" t="s">
        <v>993</v>
      </c>
      <c r="N507" s="537"/>
    </row>
    <row r="508" spans="1:14" ht="15.9" customHeight="1">
      <c r="A508" s="319" t="s">
        <v>1025</v>
      </c>
      <c r="B508" s="536">
        <v>46151</v>
      </c>
      <c r="C508" s="536">
        <v>46167</v>
      </c>
      <c r="D508" s="319" t="s">
        <v>2644</v>
      </c>
      <c r="E508" s="319" t="s">
        <v>2645</v>
      </c>
      <c r="F508" s="319" t="s">
        <v>1631</v>
      </c>
      <c r="G508" s="319" t="s">
        <v>1029</v>
      </c>
      <c r="H508" s="319" t="s">
        <v>2646</v>
      </c>
      <c r="I508" s="535">
        <v>2487.98</v>
      </c>
      <c r="J508" s="535">
        <v>855</v>
      </c>
      <c r="K508" s="535">
        <v>3342.98</v>
      </c>
      <c r="L508" s="535" t="s">
        <v>78</v>
      </c>
      <c r="M508" s="535" t="s">
        <v>1042</v>
      </c>
      <c r="N508" s="537"/>
    </row>
    <row r="509" spans="1:14" ht="15.9" customHeight="1">
      <c r="A509" s="319" t="s">
        <v>1025</v>
      </c>
      <c r="B509" s="536">
        <v>46151</v>
      </c>
      <c r="C509" s="536">
        <v>46167</v>
      </c>
      <c r="D509" s="319" t="s">
        <v>2647</v>
      </c>
      <c r="E509" s="319" t="s">
        <v>2648</v>
      </c>
      <c r="F509" s="319" t="s">
        <v>1085</v>
      </c>
      <c r="G509" s="319" t="s">
        <v>1029</v>
      </c>
      <c r="H509" s="319" t="s">
        <v>2649</v>
      </c>
      <c r="I509" s="535">
        <v>2065.62</v>
      </c>
      <c r="J509" s="535">
        <v>855</v>
      </c>
      <c r="K509" s="535">
        <v>2920.62</v>
      </c>
      <c r="L509" s="535" t="s">
        <v>87</v>
      </c>
      <c r="M509" s="535" t="s">
        <v>1042</v>
      </c>
      <c r="N509" s="537"/>
    </row>
    <row r="510" spans="1:14" ht="15.9" customHeight="1">
      <c r="A510" s="319" t="s">
        <v>1025</v>
      </c>
      <c r="B510" s="536">
        <v>46151</v>
      </c>
      <c r="C510" s="536">
        <v>46163</v>
      </c>
      <c r="D510" s="319" t="s">
        <v>2650</v>
      </c>
      <c r="E510" s="319" t="s">
        <v>2651</v>
      </c>
      <c r="F510" s="319" t="s">
        <v>2652</v>
      </c>
      <c r="G510" s="319" t="s">
        <v>1029</v>
      </c>
      <c r="H510" s="319" t="s">
        <v>2653</v>
      </c>
      <c r="I510" s="535">
        <v>1197.68</v>
      </c>
      <c r="J510" s="535">
        <v>665</v>
      </c>
      <c r="K510" s="535">
        <v>1862.68</v>
      </c>
      <c r="L510" s="535" t="s">
        <v>87</v>
      </c>
      <c r="M510" s="535" t="s">
        <v>993</v>
      </c>
      <c r="N510" s="537"/>
    </row>
    <row r="511" spans="1:14" ht="15.9" customHeight="1">
      <c r="A511" s="319" t="s">
        <v>1025</v>
      </c>
      <c r="B511" s="536">
        <v>46151</v>
      </c>
      <c r="C511" s="536">
        <v>46153</v>
      </c>
      <c r="D511" s="319" t="s">
        <v>2654</v>
      </c>
      <c r="E511" s="319" t="s">
        <v>2655</v>
      </c>
      <c r="F511" s="319" t="s">
        <v>1296</v>
      </c>
      <c r="G511" s="319" t="s">
        <v>1029</v>
      </c>
      <c r="H511" s="319" t="s">
        <v>2656</v>
      </c>
      <c r="I511" s="535">
        <v>455.72</v>
      </c>
      <c r="J511" s="535">
        <v>665</v>
      </c>
      <c r="K511" s="535">
        <v>1120.72</v>
      </c>
      <c r="L511" s="535" t="s">
        <v>87</v>
      </c>
      <c r="M511" s="535" t="s">
        <v>994</v>
      </c>
      <c r="N511" s="537"/>
    </row>
    <row r="512" spans="1:14" ht="15.9" customHeight="1">
      <c r="A512" s="319" t="s">
        <v>1025</v>
      </c>
      <c r="B512" s="536">
        <v>46151</v>
      </c>
      <c r="C512" s="536">
        <v>46165</v>
      </c>
      <c r="D512" s="319" t="s">
        <v>2657</v>
      </c>
      <c r="E512" s="319" t="s">
        <v>2658</v>
      </c>
      <c r="F512" s="319" t="s">
        <v>1329</v>
      </c>
      <c r="G512" s="319" t="s">
        <v>1029</v>
      </c>
      <c r="H512" s="319" t="s">
        <v>2659</v>
      </c>
      <c r="I512" s="535">
        <v>2529.5100000000002</v>
      </c>
      <c r="J512" s="535">
        <v>855</v>
      </c>
      <c r="K512" s="535">
        <v>3384.51</v>
      </c>
      <c r="L512" s="535" t="s">
        <v>87</v>
      </c>
      <c r="M512" s="535" t="s">
        <v>1042</v>
      </c>
      <c r="N512" s="537"/>
    </row>
    <row r="513" spans="1:14" ht="15.9" customHeight="1">
      <c r="A513" s="319" t="s">
        <v>1249</v>
      </c>
      <c r="B513" s="536">
        <v>46151</v>
      </c>
      <c r="C513" s="536">
        <v>46155</v>
      </c>
      <c r="D513" s="319" t="s">
        <v>2660</v>
      </c>
      <c r="E513" s="319" t="s">
        <v>2661</v>
      </c>
      <c r="F513" s="319" t="s">
        <v>1092</v>
      </c>
      <c r="G513" s="319" t="s">
        <v>1029</v>
      </c>
      <c r="H513" s="319" t="s">
        <v>2662</v>
      </c>
      <c r="I513" s="535">
        <v>2035.13</v>
      </c>
      <c r="J513" s="535">
        <v>855</v>
      </c>
      <c r="K513" s="535">
        <v>2890.13</v>
      </c>
      <c r="L513" s="535" t="s">
        <v>86</v>
      </c>
      <c r="M513" s="535" t="s">
        <v>1042</v>
      </c>
      <c r="N513" s="537"/>
    </row>
    <row r="514" spans="1:14" ht="15.9" customHeight="1">
      <c r="A514" s="319" t="s">
        <v>1025</v>
      </c>
      <c r="B514" s="536">
        <v>46151</v>
      </c>
      <c r="C514" s="536">
        <v>46166</v>
      </c>
      <c r="D514" s="319" t="s">
        <v>2663</v>
      </c>
      <c r="E514" s="319" t="s">
        <v>2664</v>
      </c>
      <c r="F514" s="319" t="s">
        <v>1752</v>
      </c>
      <c r="G514" s="319" t="s">
        <v>1029</v>
      </c>
      <c r="H514" s="319" t="s">
        <v>2665</v>
      </c>
      <c r="I514" s="535">
        <v>2194.2399999999998</v>
      </c>
      <c r="J514" s="535">
        <v>950</v>
      </c>
      <c r="K514" s="535">
        <v>3144.24</v>
      </c>
      <c r="L514" s="535" t="s">
        <v>86</v>
      </c>
      <c r="M514" s="535" t="s">
        <v>993</v>
      </c>
      <c r="N514" s="537"/>
    </row>
    <row r="515" spans="1:14" ht="15.9" customHeight="1">
      <c r="A515" s="319" t="s">
        <v>1025</v>
      </c>
      <c r="B515" s="536">
        <v>46151</v>
      </c>
      <c r="C515" s="536">
        <v>46162</v>
      </c>
      <c r="D515" s="319" t="s">
        <v>2666</v>
      </c>
      <c r="E515" s="319" t="s">
        <v>2667</v>
      </c>
      <c r="F515" s="319" t="s">
        <v>1096</v>
      </c>
      <c r="G515" s="319" t="s">
        <v>1029</v>
      </c>
      <c r="H515" s="319" t="s">
        <v>2668</v>
      </c>
      <c r="I515" s="535">
        <v>1905.86</v>
      </c>
      <c r="J515" s="535">
        <v>855</v>
      </c>
      <c r="K515" s="535">
        <v>2760.86</v>
      </c>
      <c r="L515" s="535" t="s">
        <v>86</v>
      </c>
      <c r="M515" s="535" t="s">
        <v>1042</v>
      </c>
      <c r="N515" s="537"/>
    </row>
    <row r="516" spans="1:14" ht="15.9" customHeight="1">
      <c r="A516" s="319" t="s">
        <v>1077</v>
      </c>
      <c r="B516" s="536">
        <v>46151</v>
      </c>
      <c r="C516" s="536">
        <v>46172</v>
      </c>
      <c r="D516" s="319" t="s">
        <v>2669</v>
      </c>
      <c r="E516" s="319" t="s">
        <v>2670</v>
      </c>
      <c r="F516" s="319" t="s">
        <v>1752</v>
      </c>
      <c r="G516" s="319" t="s">
        <v>1029</v>
      </c>
      <c r="H516" s="319" t="s">
        <v>2671</v>
      </c>
      <c r="I516" s="535">
        <v>1011.66</v>
      </c>
      <c r="J516" s="535">
        <v>665</v>
      </c>
      <c r="K516" s="535">
        <v>1676.66</v>
      </c>
      <c r="L516" s="535" t="s">
        <v>87</v>
      </c>
      <c r="M516" s="535" t="s">
        <v>993</v>
      </c>
      <c r="N516" s="537"/>
    </row>
    <row r="517" spans="1:14" ht="15.9" customHeight="1">
      <c r="A517" s="319" t="s">
        <v>1054</v>
      </c>
      <c r="B517" s="536">
        <v>46152</v>
      </c>
      <c r="C517" s="536">
        <v>46163</v>
      </c>
      <c r="D517" s="319" t="s">
        <v>2672</v>
      </c>
      <c r="E517" s="319" t="s">
        <v>2673</v>
      </c>
      <c r="F517" s="319" t="s">
        <v>1329</v>
      </c>
      <c r="G517" s="319" t="s">
        <v>1029</v>
      </c>
      <c r="H517" s="319" t="s">
        <v>2674</v>
      </c>
      <c r="I517" s="535">
        <v>2510.06</v>
      </c>
      <c r="J517" s="535">
        <v>855</v>
      </c>
      <c r="K517" s="535">
        <v>3365.06</v>
      </c>
      <c r="L517" s="535" t="s">
        <v>87</v>
      </c>
      <c r="M517" s="535" t="s">
        <v>1042</v>
      </c>
      <c r="N517" s="537"/>
    </row>
    <row r="518" spans="1:14" ht="15.9" customHeight="1">
      <c r="A518" s="319" t="s">
        <v>1025</v>
      </c>
      <c r="B518" s="536">
        <v>46151</v>
      </c>
      <c r="C518" s="536">
        <v>46155</v>
      </c>
      <c r="D518" s="319" t="s">
        <v>2675</v>
      </c>
      <c r="E518" s="319" t="s">
        <v>2676</v>
      </c>
      <c r="F518" s="319" t="s">
        <v>1157</v>
      </c>
      <c r="G518" s="319" t="s">
        <v>1029</v>
      </c>
      <c r="H518" s="319" t="s">
        <v>2677</v>
      </c>
      <c r="I518" s="535">
        <v>1848.78</v>
      </c>
      <c r="J518" s="535">
        <v>855</v>
      </c>
      <c r="K518" s="535">
        <v>2703.78</v>
      </c>
      <c r="L518" s="535" t="s">
        <v>79</v>
      </c>
      <c r="M518" s="535" t="s">
        <v>1042</v>
      </c>
      <c r="N518" s="537"/>
    </row>
    <row r="519" spans="1:14" ht="15.9" customHeight="1">
      <c r="A519" s="319" t="s">
        <v>1224</v>
      </c>
      <c r="B519" s="536">
        <v>46152</v>
      </c>
      <c r="C519" s="536">
        <v>46161</v>
      </c>
      <c r="D519" s="319" t="s">
        <v>2678</v>
      </c>
      <c r="E519" s="319" t="s">
        <v>2679</v>
      </c>
      <c r="F519" s="319" t="s">
        <v>2680</v>
      </c>
      <c r="G519" s="319" t="s">
        <v>1029</v>
      </c>
      <c r="H519" s="319" t="s">
        <v>2681</v>
      </c>
      <c r="I519" s="535">
        <v>633.76</v>
      </c>
      <c r="J519" s="535">
        <v>855</v>
      </c>
      <c r="K519" s="535">
        <v>1488.76</v>
      </c>
      <c r="L519" s="535" t="s">
        <v>79</v>
      </c>
      <c r="M519" s="535" t="s">
        <v>1042</v>
      </c>
      <c r="N519" s="537"/>
    </row>
    <row r="520" spans="1:14" ht="15.9" customHeight="1">
      <c r="A520" s="319" t="s">
        <v>1054</v>
      </c>
      <c r="B520" s="536">
        <v>46152</v>
      </c>
      <c r="C520" s="536">
        <v>46173</v>
      </c>
      <c r="D520" s="319" t="s">
        <v>2682</v>
      </c>
      <c r="E520" s="319" t="s">
        <v>2683</v>
      </c>
      <c r="F520" s="319" t="s">
        <v>1211</v>
      </c>
      <c r="G520" s="319" t="s">
        <v>1029</v>
      </c>
      <c r="H520" s="319" t="s">
        <v>2684</v>
      </c>
      <c r="I520" s="535">
        <v>1855.79</v>
      </c>
      <c r="J520" s="535">
        <v>760</v>
      </c>
      <c r="K520" s="535">
        <v>2615.79</v>
      </c>
      <c r="L520" s="535" t="s">
        <v>79</v>
      </c>
      <c r="M520" s="535" t="s">
        <v>993</v>
      </c>
      <c r="N520" s="537"/>
    </row>
    <row r="521" spans="1:14" ht="15.9" customHeight="1">
      <c r="A521" s="319" t="s">
        <v>1025</v>
      </c>
      <c r="B521" s="536">
        <v>46151</v>
      </c>
      <c r="C521" s="536">
        <v>46159</v>
      </c>
      <c r="D521" s="319" t="s">
        <v>2685</v>
      </c>
      <c r="E521" s="319" t="s">
        <v>2686</v>
      </c>
      <c r="F521" s="319" t="s">
        <v>1376</v>
      </c>
      <c r="G521" s="319" t="s">
        <v>1029</v>
      </c>
      <c r="H521" s="319" t="s">
        <v>2687</v>
      </c>
      <c r="I521" s="535">
        <v>1123.8499999999999</v>
      </c>
      <c r="J521" s="535">
        <v>665</v>
      </c>
      <c r="K521" s="535">
        <v>1788.85</v>
      </c>
      <c r="L521" s="535" t="s">
        <v>80</v>
      </c>
      <c r="M521" s="535" t="s">
        <v>993</v>
      </c>
      <c r="N521" s="537" t="s">
        <v>1118</v>
      </c>
    </row>
    <row r="522" spans="1:14" ht="15.9" customHeight="1">
      <c r="A522" s="319" t="s">
        <v>1110</v>
      </c>
      <c r="B522" s="536">
        <v>46152</v>
      </c>
      <c r="C522" s="536">
        <v>46153</v>
      </c>
      <c r="D522" s="319" t="s">
        <v>2688</v>
      </c>
      <c r="E522" s="319" t="s">
        <v>2689</v>
      </c>
      <c r="F522" s="319" t="s">
        <v>1236</v>
      </c>
      <c r="G522" s="319" t="s">
        <v>1029</v>
      </c>
      <c r="H522" s="319" t="s">
        <v>2690</v>
      </c>
      <c r="I522" s="535">
        <v>1237.6199999999999</v>
      </c>
      <c r="J522" s="535">
        <v>665</v>
      </c>
      <c r="K522" s="535">
        <v>1902.62</v>
      </c>
      <c r="L522" s="535" t="s">
        <v>80</v>
      </c>
      <c r="M522" s="535" t="s">
        <v>993</v>
      </c>
      <c r="N522" s="537"/>
    </row>
    <row r="523" spans="1:14" ht="15.9" customHeight="1">
      <c r="A523" s="319" t="s">
        <v>1025</v>
      </c>
      <c r="B523" s="536">
        <v>46153</v>
      </c>
      <c r="C523" s="536">
        <v>46167</v>
      </c>
      <c r="D523" s="319" t="s">
        <v>2691</v>
      </c>
      <c r="E523" s="319" t="s">
        <v>2692</v>
      </c>
      <c r="F523" s="319" t="s">
        <v>1153</v>
      </c>
      <c r="G523" s="319" t="s">
        <v>1029</v>
      </c>
      <c r="H523" s="319" t="s">
        <v>2693</v>
      </c>
      <c r="I523" s="535">
        <v>1919.39</v>
      </c>
      <c r="J523" s="535">
        <v>855</v>
      </c>
      <c r="K523" s="535">
        <v>2774.39</v>
      </c>
      <c r="L523" s="535" t="s">
        <v>78</v>
      </c>
      <c r="M523" s="535" t="s">
        <v>1042</v>
      </c>
      <c r="N523" s="537" t="s">
        <v>1118</v>
      </c>
    </row>
    <row r="524" spans="1:14" ht="15.9" customHeight="1">
      <c r="A524" s="319" t="s">
        <v>1025</v>
      </c>
      <c r="B524" s="536">
        <v>46153</v>
      </c>
      <c r="C524" s="536">
        <v>46168</v>
      </c>
      <c r="D524" s="319" t="s">
        <v>2694</v>
      </c>
      <c r="E524" s="319" t="s">
        <v>2695</v>
      </c>
      <c r="F524" s="319" t="s">
        <v>1133</v>
      </c>
      <c r="G524" s="319" t="s">
        <v>1029</v>
      </c>
      <c r="H524" s="319" t="s">
        <v>2696</v>
      </c>
      <c r="I524" s="535">
        <v>1509.02</v>
      </c>
      <c r="J524" s="535">
        <v>855</v>
      </c>
      <c r="K524" s="535">
        <v>2364.02</v>
      </c>
      <c r="L524" s="535" t="s">
        <v>79</v>
      </c>
      <c r="M524" s="535" t="s">
        <v>1042</v>
      </c>
      <c r="N524" s="537"/>
    </row>
    <row r="525" spans="1:14" ht="15.9" customHeight="1">
      <c r="A525" s="319" t="s">
        <v>1077</v>
      </c>
      <c r="B525" s="536">
        <v>46153</v>
      </c>
      <c r="C525" s="536">
        <v>46171</v>
      </c>
      <c r="D525" s="319" t="s">
        <v>2697</v>
      </c>
      <c r="E525" s="319" t="s">
        <v>2698</v>
      </c>
      <c r="F525" s="319" t="s">
        <v>1157</v>
      </c>
      <c r="G525" s="319" t="s">
        <v>1029</v>
      </c>
      <c r="H525" s="319" t="s">
        <v>2699</v>
      </c>
      <c r="I525" s="535">
        <v>1617.52</v>
      </c>
      <c r="J525" s="535">
        <v>855</v>
      </c>
      <c r="K525" s="535">
        <v>2472.52</v>
      </c>
      <c r="L525" s="535" t="s">
        <v>79</v>
      </c>
      <c r="M525" s="535" t="s">
        <v>1042</v>
      </c>
      <c r="N525" s="537"/>
    </row>
    <row r="526" spans="1:14" ht="15.9" customHeight="1">
      <c r="A526" s="319" t="s">
        <v>1025</v>
      </c>
      <c r="B526" s="536">
        <v>46153</v>
      </c>
      <c r="C526" s="536">
        <v>46158</v>
      </c>
      <c r="D526" s="319" t="s">
        <v>2700</v>
      </c>
      <c r="E526" s="319" t="s">
        <v>2701</v>
      </c>
      <c r="F526" s="319" t="s">
        <v>1404</v>
      </c>
      <c r="G526" s="319" t="s">
        <v>1029</v>
      </c>
      <c r="H526" s="319" t="s">
        <v>2702</v>
      </c>
      <c r="I526" s="535">
        <v>1077.42</v>
      </c>
      <c r="J526" s="535">
        <v>665</v>
      </c>
      <c r="K526" s="535">
        <v>1742.42</v>
      </c>
      <c r="L526" s="535" t="s">
        <v>78</v>
      </c>
      <c r="M526" s="535" t="s">
        <v>993</v>
      </c>
      <c r="N526" s="537"/>
    </row>
    <row r="527" spans="1:14" ht="15.9" customHeight="1">
      <c r="A527" s="319" t="s">
        <v>1025</v>
      </c>
      <c r="B527" s="536">
        <v>46153</v>
      </c>
      <c r="C527" s="536">
        <v>46164</v>
      </c>
      <c r="D527" s="319" t="s">
        <v>2703</v>
      </c>
      <c r="E527" s="319" t="s">
        <v>2704</v>
      </c>
      <c r="F527" s="319" t="s">
        <v>1481</v>
      </c>
      <c r="G527" s="319" t="s">
        <v>1029</v>
      </c>
      <c r="H527" s="319" t="s">
        <v>2705</v>
      </c>
      <c r="I527" s="535">
        <v>1071.6500000000001</v>
      </c>
      <c r="J527" s="535">
        <v>665</v>
      </c>
      <c r="K527" s="535">
        <v>1736.65</v>
      </c>
      <c r="L527" s="535" t="s">
        <v>78</v>
      </c>
      <c r="M527" s="535" t="s">
        <v>993</v>
      </c>
      <c r="N527" s="537"/>
    </row>
    <row r="528" spans="1:14" ht="15.9" customHeight="1">
      <c r="A528" s="319" t="s">
        <v>1249</v>
      </c>
      <c r="B528" s="536">
        <v>46153</v>
      </c>
      <c r="C528" s="536">
        <v>46154</v>
      </c>
      <c r="D528" s="319" t="s">
        <v>2706</v>
      </c>
      <c r="E528" s="319" t="s">
        <v>2707</v>
      </c>
      <c r="F528" s="319" t="s">
        <v>1296</v>
      </c>
      <c r="G528" s="319" t="s">
        <v>1029</v>
      </c>
      <c r="H528" s="319" t="s">
        <v>2708</v>
      </c>
      <c r="I528" s="535">
        <v>283.73</v>
      </c>
      <c r="J528" s="535">
        <v>665</v>
      </c>
      <c r="K528" s="535">
        <v>948.73</v>
      </c>
      <c r="L528" s="535" t="s">
        <v>78</v>
      </c>
      <c r="M528" s="535" t="s">
        <v>993</v>
      </c>
      <c r="N528" s="537"/>
    </row>
    <row r="529" spans="1:14" ht="15.9" customHeight="1">
      <c r="A529" s="319" t="s">
        <v>1082</v>
      </c>
      <c r="B529" s="536">
        <v>46153</v>
      </c>
      <c r="C529" s="536">
        <v>46166</v>
      </c>
      <c r="D529" s="319" t="s">
        <v>2709</v>
      </c>
      <c r="E529" s="319" t="s">
        <v>2710</v>
      </c>
      <c r="F529" s="319" t="s">
        <v>1602</v>
      </c>
      <c r="G529" s="319" t="s">
        <v>1029</v>
      </c>
      <c r="H529" s="319" t="s">
        <v>2711</v>
      </c>
      <c r="I529" s="535">
        <v>1119.06</v>
      </c>
      <c r="J529" s="535">
        <v>665</v>
      </c>
      <c r="K529" s="535">
        <v>1784.06</v>
      </c>
      <c r="L529" s="535" t="s">
        <v>80</v>
      </c>
      <c r="M529" s="535" t="s">
        <v>993</v>
      </c>
      <c r="N529" s="537"/>
    </row>
    <row r="530" spans="1:14" ht="15.9" customHeight="1">
      <c r="A530" s="319" t="s">
        <v>1082</v>
      </c>
      <c r="B530" s="536">
        <v>46153</v>
      </c>
      <c r="C530" s="536">
        <v>46164</v>
      </c>
      <c r="D530" s="319" t="s">
        <v>2712</v>
      </c>
      <c r="E530" s="319" t="s">
        <v>2713</v>
      </c>
      <c r="F530" s="319" t="s">
        <v>1979</v>
      </c>
      <c r="G530" s="319" t="s">
        <v>1029</v>
      </c>
      <c r="H530" s="319" t="s">
        <v>2714</v>
      </c>
      <c r="I530" s="535">
        <v>840.26</v>
      </c>
      <c r="J530" s="535">
        <v>665</v>
      </c>
      <c r="K530" s="535">
        <v>1505.26</v>
      </c>
      <c r="L530" s="535" t="s">
        <v>80</v>
      </c>
      <c r="M530" s="535" t="s">
        <v>993</v>
      </c>
      <c r="N530" s="537"/>
    </row>
    <row r="531" spans="1:14" ht="15.9" customHeight="1">
      <c r="A531" s="319" t="s">
        <v>1082</v>
      </c>
      <c r="B531" s="536">
        <v>46153</v>
      </c>
      <c r="C531" s="536">
        <v>46166</v>
      </c>
      <c r="D531" s="319" t="s">
        <v>2715</v>
      </c>
      <c r="E531" s="319" t="s">
        <v>2716</v>
      </c>
      <c r="F531" s="319" t="s">
        <v>2461</v>
      </c>
      <c r="G531" s="319" t="s">
        <v>1029</v>
      </c>
      <c r="H531" s="319" t="s">
        <v>2717</v>
      </c>
      <c r="I531" s="535">
        <v>792.31</v>
      </c>
      <c r="J531" s="535">
        <v>665</v>
      </c>
      <c r="K531" s="535">
        <v>1457.31</v>
      </c>
      <c r="L531" s="535" t="s">
        <v>80</v>
      </c>
      <c r="M531" s="535" t="s">
        <v>993</v>
      </c>
      <c r="N531" s="537"/>
    </row>
    <row r="532" spans="1:14" ht="15.9" customHeight="1">
      <c r="A532" s="319" t="s">
        <v>1025</v>
      </c>
      <c r="B532" s="536">
        <v>46153</v>
      </c>
      <c r="C532" s="536">
        <v>46169</v>
      </c>
      <c r="D532" s="319" t="s">
        <v>2718</v>
      </c>
      <c r="E532" s="319" t="s">
        <v>2719</v>
      </c>
      <c r="F532" s="319" t="s">
        <v>1300</v>
      </c>
      <c r="G532" s="319" t="s">
        <v>1029</v>
      </c>
      <c r="H532" s="319" t="s">
        <v>2720</v>
      </c>
      <c r="I532" s="535">
        <v>1741.33</v>
      </c>
      <c r="J532" s="535">
        <v>950</v>
      </c>
      <c r="K532" s="535">
        <v>2691.33</v>
      </c>
      <c r="L532" s="535" t="s">
        <v>80</v>
      </c>
      <c r="M532" s="535" t="s">
        <v>993</v>
      </c>
      <c r="N532" s="537"/>
    </row>
    <row r="533" spans="1:14" ht="15.9" customHeight="1">
      <c r="A533" s="319" t="s">
        <v>1025</v>
      </c>
      <c r="B533" s="536">
        <v>46153</v>
      </c>
      <c r="C533" s="536">
        <v>46169</v>
      </c>
      <c r="D533" s="319" t="s">
        <v>2721</v>
      </c>
      <c r="E533" s="319" t="s">
        <v>2722</v>
      </c>
      <c r="F533" s="319" t="s">
        <v>2723</v>
      </c>
      <c r="G533" s="319" t="s">
        <v>1029</v>
      </c>
      <c r="H533" s="319" t="s">
        <v>2724</v>
      </c>
      <c r="I533" s="535">
        <v>1538.51</v>
      </c>
      <c r="J533" s="535">
        <v>665</v>
      </c>
      <c r="K533" s="535">
        <v>2203.5100000000002</v>
      </c>
      <c r="L533" s="535" t="s">
        <v>87</v>
      </c>
      <c r="M533" s="535" t="s">
        <v>993</v>
      </c>
      <c r="N533" s="537"/>
    </row>
    <row r="534" spans="1:14" ht="15.9" customHeight="1">
      <c r="A534" s="319" t="s">
        <v>1025</v>
      </c>
      <c r="B534" s="536">
        <v>46153</v>
      </c>
      <c r="C534" s="536">
        <v>46159</v>
      </c>
      <c r="D534" s="319" t="s">
        <v>2725</v>
      </c>
      <c r="E534" s="319" t="s">
        <v>2726</v>
      </c>
      <c r="F534" s="319" t="s">
        <v>1163</v>
      </c>
      <c r="G534" s="319" t="s">
        <v>1029</v>
      </c>
      <c r="H534" s="319" t="s">
        <v>2727</v>
      </c>
      <c r="I534" s="535">
        <v>1579.3</v>
      </c>
      <c r="J534" s="535">
        <v>760</v>
      </c>
      <c r="K534" s="535">
        <v>2339.3000000000002</v>
      </c>
      <c r="L534" s="535" t="s">
        <v>87</v>
      </c>
      <c r="M534" s="535" t="s">
        <v>993</v>
      </c>
      <c r="N534" s="537"/>
    </row>
    <row r="535" spans="1:14" ht="15.9" customHeight="1">
      <c r="A535" s="319" t="s">
        <v>1082</v>
      </c>
      <c r="B535" s="536">
        <v>46153</v>
      </c>
      <c r="C535" s="536">
        <v>46154</v>
      </c>
      <c r="D535" s="319" t="s">
        <v>2728</v>
      </c>
      <c r="E535" s="319" t="s">
        <v>2729</v>
      </c>
      <c r="F535" s="319" t="s">
        <v>1646</v>
      </c>
      <c r="G535" s="319" t="s">
        <v>1029</v>
      </c>
      <c r="H535" s="319" t="s">
        <v>2730</v>
      </c>
      <c r="I535" s="535">
        <v>447.88</v>
      </c>
      <c r="J535" s="535">
        <v>665</v>
      </c>
      <c r="K535" s="535">
        <v>1112.8800000000001</v>
      </c>
      <c r="L535" s="535" t="s">
        <v>86</v>
      </c>
      <c r="M535" s="535" t="s">
        <v>993</v>
      </c>
      <c r="N535" s="537"/>
    </row>
    <row r="536" spans="1:14" ht="15.9" customHeight="1">
      <c r="A536" s="319" t="s">
        <v>2334</v>
      </c>
      <c r="B536" s="536">
        <v>46153</v>
      </c>
      <c r="C536" s="536">
        <v>46169</v>
      </c>
      <c r="D536" s="319" t="s">
        <v>2731</v>
      </c>
      <c r="E536" s="319" t="s">
        <v>2732</v>
      </c>
      <c r="F536" s="319" t="s">
        <v>1157</v>
      </c>
      <c r="G536" s="319" t="s">
        <v>1029</v>
      </c>
      <c r="H536" s="319" t="s">
        <v>2733</v>
      </c>
      <c r="I536" s="535">
        <v>1735.6</v>
      </c>
      <c r="J536" s="535">
        <v>855</v>
      </c>
      <c r="K536" s="535">
        <v>2590.6</v>
      </c>
      <c r="L536" s="535" t="s">
        <v>86</v>
      </c>
      <c r="M536" s="535" t="s">
        <v>1042</v>
      </c>
      <c r="N536" s="537"/>
    </row>
    <row r="537" spans="1:14" ht="15.9" customHeight="1">
      <c r="A537" s="319" t="s">
        <v>1054</v>
      </c>
      <c r="B537" s="536">
        <v>46153</v>
      </c>
      <c r="C537" s="536">
        <v>46169</v>
      </c>
      <c r="D537" s="319" t="s">
        <v>2734</v>
      </c>
      <c r="E537" s="319" t="s">
        <v>2735</v>
      </c>
      <c r="F537" s="319" t="s">
        <v>2736</v>
      </c>
      <c r="G537" s="319" t="s">
        <v>1029</v>
      </c>
      <c r="H537" s="319" t="s">
        <v>2737</v>
      </c>
      <c r="I537" s="535">
        <v>2306.2199999999998</v>
      </c>
      <c r="J537" s="535">
        <v>760</v>
      </c>
      <c r="K537" s="535">
        <v>3066.22</v>
      </c>
      <c r="L537" s="535" t="s">
        <v>86</v>
      </c>
      <c r="M537" s="535" t="s">
        <v>993</v>
      </c>
      <c r="N537" s="537"/>
    </row>
    <row r="538" spans="1:14" ht="15.9" customHeight="1">
      <c r="A538" s="319" t="s">
        <v>1025</v>
      </c>
      <c r="B538" s="536">
        <v>46154</v>
      </c>
      <c r="C538" s="536">
        <v>46169</v>
      </c>
      <c r="D538" s="319" t="s">
        <v>2738</v>
      </c>
      <c r="E538" s="319" t="s">
        <v>2739</v>
      </c>
      <c r="F538" s="319" t="s">
        <v>1149</v>
      </c>
      <c r="G538" s="319" t="s">
        <v>1029</v>
      </c>
      <c r="H538" s="319" t="s">
        <v>2740</v>
      </c>
      <c r="I538" s="535">
        <v>1874.78</v>
      </c>
      <c r="J538" s="535">
        <v>855</v>
      </c>
      <c r="K538" s="535">
        <v>2729.78</v>
      </c>
      <c r="L538" s="535" t="s">
        <v>87</v>
      </c>
      <c r="M538" s="535" t="s">
        <v>993</v>
      </c>
      <c r="N538" s="537"/>
    </row>
    <row r="539" spans="1:14" ht="15.9" customHeight="1">
      <c r="A539" s="319" t="s">
        <v>1082</v>
      </c>
      <c r="B539" s="536">
        <v>46154</v>
      </c>
      <c r="C539" s="536">
        <v>46161</v>
      </c>
      <c r="D539" s="319" t="s">
        <v>2741</v>
      </c>
      <c r="E539" s="319" t="s">
        <v>2742</v>
      </c>
      <c r="F539" s="319" t="s">
        <v>1979</v>
      </c>
      <c r="G539" s="319" t="s">
        <v>1029</v>
      </c>
      <c r="H539" s="319" t="s">
        <v>2743</v>
      </c>
      <c r="I539" s="535">
        <v>1392.11</v>
      </c>
      <c r="J539" s="535">
        <v>665</v>
      </c>
      <c r="K539" s="535">
        <v>2057.11</v>
      </c>
      <c r="L539" s="535" t="s">
        <v>78</v>
      </c>
      <c r="M539" s="535" t="s">
        <v>993</v>
      </c>
      <c r="N539" s="537"/>
    </row>
    <row r="540" spans="1:14" ht="15.9" customHeight="1">
      <c r="A540" s="319" t="s">
        <v>1224</v>
      </c>
      <c r="B540" s="536">
        <v>46154</v>
      </c>
      <c r="C540" s="536">
        <v>46162</v>
      </c>
      <c r="D540" s="319" t="s">
        <v>2744</v>
      </c>
      <c r="E540" s="319" t="s">
        <v>2745</v>
      </c>
      <c r="F540" s="319" t="s">
        <v>2680</v>
      </c>
      <c r="G540" s="319" t="s">
        <v>1029</v>
      </c>
      <c r="H540" s="319" t="s">
        <v>2746</v>
      </c>
      <c r="I540" s="535">
        <v>1397.2</v>
      </c>
      <c r="J540" s="535">
        <v>855</v>
      </c>
      <c r="K540" s="535">
        <v>2252.1999999999998</v>
      </c>
      <c r="L540" s="535" t="s">
        <v>78</v>
      </c>
      <c r="M540" s="535" t="s">
        <v>1042</v>
      </c>
      <c r="N540" s="537"/>
    </row>
    <row r="541" spans="1:14" ht="15.9" customHeight="1">
      <c r="A541" s="319" t="s">
        <v>1025</v>
      </c>
      <c r="B541" s="536">
        <v>46154</v>
      </c>
      <c r="C541" s="536">
        <v>46161</v>
      </c>
      <c r="D541" s="319" t="s">
        <v>2747</v>
      </c>
      <c r="E541" s="319" t="s">
        <v>2748</v>
      </c>
      <c r="F541" s="319" t="s">
        <v>2230</v>
      </c>
      <c r="G541" s="319" t="s">
        <v>1029</v>
      </c>
      <c r="H541" s="319" t="s">
        <v>2749</v>
      </c>
      <c r="I541" s="535">
        <v>1225.74</v>
      </c>
      <c r="J541" s="535">
        <v>665</v>
      </c>
      <c r="K541" s="535">
        <v>1890.74</v>
      </c>
      <c r="L541" s="535" t="s">
        <v>78</v>
      </c>
      <c r="M541" s="535" t="s">
        <v>993</v>
      </c>
      <c r="N541" s="537"/>
    </row>
    <row r="542" spans="1:14" ht="15.9" customHeight="1">
      <c r="A542" s="319" t="s">
        <v>1249</v>
      </c>
      <c r="B542" s="536">
        <v>46154</v>
      </c>
      <c r="C542" s="536">
        <v>46158</v>
      </c>
      <c r="D542" s="319" t="s">
        <v>2750</v>
      </c>
      <c r="E542" s="319" t="s">
        <v>2751</v>
      </c>
      <c r="F542" s="319" t="s">
        <v>1474</v>
      </c>
      <c r="G542" s="319" t="s">
        <v>1029</v>
      </c>
      <c r="H542" s="319" t="s">
        <v>2752</v>
      </c>
      <c r="I542" s="535">
        <v>1568.24</v>
      </c>
      <c r="J542" s="535">
        <v>665</v>
      </c>
      <c r="K542" s="535">
        <v>2233.2399999999998</v>
      </c>
      <c r="L542" s="535" t="s">
        <v>87</v>
      </c>
      <c r="M542" s="535" t="s">
        <v>993</v>
      </c>
      <c r="N542" s="537"/>
    </row>
    <row r="543" spans="1:14" ht="15.9" customHeight="1">
      <c r="A543" s="319" t="s">
        <v>1025</v>
      </c>
      <c r="B543" s="536">
        <v>46154</v>
      </c>
      <c r="C543" s="536">
        <v>46171</v>
      </c>
      <c r="D543" s="319" t="s">
        <v>2753</v>
      </c>
      <c r="E543" s="319" t="s">
        <v>2754</v>
      </c>
      <c r="F543" s="319" t="s">
        <v>1790</v>
      </c>
      <c r="G543" s="319" t="s">
        <v>1029</v>
      </c>
      <c r="H543" s="319" t="s">
        <v>2755</v>
      </c>
      <c r="I543" s="535">
        <v>2215.31</v>
      </c>
      <c r="J543" s="535">
        <v>855</v>
      </c>
      <c r="K543" s="535">
        <v>3070.31</v>
      </c>
      <c r="L543" s="535" t="s">
        <v>80</v>
      </c>
      <c r="M543" s="535" t="s">
        <v>993</v>
      </c>
      <c r="N543" s="537"/>
    </row>
    <row r="544" spans="1:14" ht="15.9" customHeight="1">
      <c r="A544" s="319" t="s">
        <v>1025</v>
      </c>
      <c r="B544" s="536">
        <v>46154</v>
      </c>
      <c r="C544" s="536">
        <v>46172</v>
      </c>
      <c r="D544" s="319" t="s">
        <v>2756</v>
      </c>
      <c r="E544" s="319" t="s">
        <v>2757</v>
      </c>
      <c r="F544" s="319" t="s">
        <v>2758</v>
      </c>
      <c r="G544" s="319" t="s">
        <v>1029</v>
      </c>
      <c r="H544" s="319" t="s">
        <v>2759</v>
      </c>
      <c r="I544" s="535">
        <v>2972.81</v>
      </c>
      <c r="J544" s="535">
        <v>950</v>
      </c>
      <c r="K544" s="535">
        <v>3922.81</v>
      </c>
      <c r="L544" s="535" t="s">
        <v>80</v>
      </c>
      <c r="M544" s="535" t="s">
        <v>1042</v>
      </c>
      <c r="N544" s="537"/>
    </row>
    <row r="545" spans="1:14" ht="15.9" customHeight="1">
      <c r="A545" s="319" t="s">
        <v>1025</v>
      </c>
      <c r="B545" s="536">
        <v>46154</v>
      </c>
      <c r="C545" s="536">
        <v>46155</v>
      </c>
      <c r="D545" s="319" t="s">
        <v>2760</v>
      </c>
      <c r="E545" s="319" t="s">
        <v>2761</v>
      </c>
      <c r="F545" s="319" t="s">
        <v>1036</v>
      </c>
      <c r="G545" s="319" t="s">
        <v>1029</v>
      </c>
      <c r="H545" s="319" t="s">
        <v>2762</v>
      </c>
      <c r="I545" s="535">
        <v>1569.08</v>
      </c>
      <c r="J545" s="535">
        <v>665</v>
      </c>
      <c r="K545" s="535">
        <v>2234.08</v>
      </c>
      <c r="L545" s="535" t="s">
        <v>86</v>
      </c>
      <c r="M545" s="535" t="s">
        <v>993</v>
      </c>
      <c r="N545" s="537"/>
    </row>
    <row r="546" spans="1:14" ht="15.9" customHeight="1">
      <c r="A546" s="319" t="s">
        <v>1054</v>
      </c>
      <c r="B546" s="536">
        <v>46154</v>
      </c>
      <c r="C546" s="536">
        <v>46156</v>
      </c>
      <c r="D546" s="319" t="s">
        <v>2763</v>
      </c>
      <c r="E546" s="319" t="s">
        <v>2764</v>
      </c>
      <c r="F546" s="319" t="s">
        <v>1074</v>
      </c>
      <c r="G546" s="319" t="s">
        <v>1029</v>
      </c>
      <c r="H546" s="319" t="s">
        <v>2765</v>
      </c>
      <c r="I546" s="535">
        <v>1860.57</v>
      </c>
      <c r="J546" s="535">
        <v>950</v>
      </c>
      <c r="K546" s="535">
        <v>2810.57</v>
      </c>
      <c r="L546" s="535" t="s">
        <v>80</v>
      </c>
      <c r="M546" s="535" t="s">
        <v>993</v>
      </c>
      <c r="N546" s="537"/>
    </row>
    <row r="547" spans="1:14" ht="15.9" customHeight="1">
      <c r="A547" s="319" t="s">
        <v>1143</v>
      </c>
      <c r="B547" s="536">
        <v>46154</v>
      </c>
      <c r="C547" s="536">
        <v>46156</v>
      </c>
      <c r="D547" s="319" t="s">
        <v>2766</v>
      </c>
      <c r="E547" s="319" t="s">
        <v>2767</v>
      </c>
      <c r="F547" s="319" t="s">
        <v>1204</v>
      </c>
      <c r="G547" s="319" t="s">
        <v>1029</v>
      </c>
      <c r="H547" s="319" t="s">
        <v>2768</v>
      </c>
      <c r="I547" s="535">
        <v>326.08</v>
      </c>
      <c r="J547" s="535">
        <v>665</v>
      </c>
      <c r="K547" s="535">
        <v>991.08</v>
      </c>
      <c r="L547" s="535" t="s">
        <v>87</v>
      </c>
      <c r="M547" s="535" t="s">
        <v>993</v>
      </c>
      <c r="N547" s="537"/>
    </row>
    <row r="548" spans="1:14" ht="15.9" customHeight="1">
      <c r="A548" s="319" t="s">
        <v>1054</v>
      </c>
      <c r="B548" s="536">
        <v>46155</v>
      </c>
      <c r="C548" s="536">
        <v>46163</v>
      </c>
      <c r="D548" s="319" t="s">
        <v>2769</v>
      </c>
      <c r="E548" s="319" t="s">
        <v>2770</v>
      </c>
      <c r="F548" s="319" t="s">
        <v>2265</v>
      </c>
      <c r="G548" s="319" t="s">
        <v>1029</v>
      </c>
      <c r="H548" s="319" t="s">
        <v>2771</v>
      </c>
      <c r="I548" s="535">
        <v>1088.67</v>
      </c>
      <c r="J548" s="535">
        <v>665</v>
      </c>
      <c r="K548" s="535">
        <v>1753.67</v>
      </c>
      <c r="L548" s="535" t="s">
        <v>87</v>
      </c>
      <c r="M548" s="535" t="s">
        <v>994</v>
      </c>
      <c r="N548" s="537"/>
    </row>
    <row r="549" spans="1:14" ht="15.9" customHeight="1">
      <c r="A549" s="319" t="s">
        <v>1143</v>
      </c>
      <c r="B549" s="536">
        <v>46155</v>
      </c>
      <c r="C549" s="536">
        <v>46156</v>
      </c>
      <c r="D549" s="319" t="s">
        <v>2772</v>
      </c>
      <c r="E549" s="319" t="s">
        <v>2773</v>
      </c>
      <c r="F549" s="319" t="s">
        <v>2774</v>
      </c>
      <c r="G549" s="319" t="s">
        <v>1029</v>
      </c>
      <c r="H549" s="319" t="s">
        <v>2775</v>
      </c>
      <c r="I549" s="535">
        <v>1222.07</v>
      </c>
      <c r="J549" s="535">
        <v>1130</v>
      </c>
      <c r="K549" s="535">
        <v>2352.0700000000002</v>
      </c>
      <c r="L549" s="535" t="s">
        <v>80</v>
      </c>
      <c r="M549" s="535" t="s">
        <v>993</v>
      </c>
      <c r="N549" s="537"/>
    </row>
    <row r="550" spans="1:14" ht="15.9" customHeight="1">
      <c r="A550" s="319" t="s">
        <v>1054</v>
      </c>
      <c r="B550" s="536">
        <v>46155</v>
      </c>
      <c r="C550" s="536">
        <v>46162</v>
      </c>
      <c r="D550" s="319" t="s">
        <v>2776</v>
      </c>
      <c r="E550" s="319" t="s">
        <v>2777</v>
      </c>
      <c r="F550" s="319" t="s">
        <v>1137</v>
      </c>
      <c r="G550" s="319" t="s">
        <v>1029</v>
      </c>
      <c r="H550" s="319" t="s">
        <v>2778</v>
      </c>
      <c r="I550" s="535">
        <v>1311.03</v>
      </c>
      <c r="J550" s="535">
        <v>665</v>
      </c>
      <c r="K550" s="535">
        <v>1976.03</v>
      </c>
      <c r="L550" s="535" t="s">
        <v>80</v>
      </c>
      <c r="M550" s="535" t="s">
        <v>993</v>
      </c>
      <c r="N550" s="537"/>
    </row>
    <row r="551" spans="1:14" ht="15.9" customHeight="1">
      <c r="A551" s="319" t="s">
        <v>1054</v>
      </c>
      <c r="B551" s="536">
        <v>46155</v>
      </c>
      <c r="C551" s="536">
        <v>46163</v>
      </c>
      <c r="D551" s="319" t="s">
        <v>2779</v>
      </c>
      <c r="E551" s="319" t="s">
        <v>2780</v>
      </c>
      <c r="F551" s="319" t="s">
        <v>1028</v>
      </c>
      <c r="G551" s="319" t="s">
        <v>1029</v>
      </c>
      <c r="H551" s="319" t="s">
        <v>2781</v>
      </c>
      <c r="I551" s="535">
        <v>1628.68</v>
      </c>
      <c r="J551" s="535">
        <v>760</v>
      </c>
      <c r="K551" s="535">
        <v>2388.6799999999998</v>
      </c>
      <c r="L551" s="535" t="s">
        <v>78</v>
      </c>
      <c r="M551" s="535" t="s">
        <v>993</v>
      </c>
      <c r="N551" s="537"/>
    </row>
    <row r="552" spans="1:14" ht="15.9" customHeight="1">
      <c r="A552" s="319" t="s">
        <v>1054</v>
      </c>
      <c r="B552" s="536">
        <v>46155</v>
      </c>
      <c r="C552" s="536">
        <v>46156</v>
      </c>
      <c r="D552" s="319" t="s">
        <v>2782</v>
      </c>
      <c r="E552" s="319" t="s">
        <v>2783</v>
      </c>
      <c r="F552" s="319" t="s">
        <v>2784</v>
      </c>
      <c r="G552" s="319" t="s">
        <v>1029</v>
      </c>
      <c r="H552" s="319" t="s">
        <v>152</v>
      </c>
      <c r="I552" s="535">
        <v>811.47</v>
      </c>
      <c r="J552" s="535">
        <v>855</v>
      </c>
      <c r="K552" s="535">
        <v>1666.47</v>
      </c>
      <c r="L552" s="535" t="s">
        <v>78</v>
      </c>
      <c r="M552" s="535" t="s">
        <v>993</v>
      </c>
      <c r="N552" s="537"/>
    </row>
    <row r="553" spans="1:14" ht="15.9" customHeight="1">
      <c r="A553" s="319" t="s">
        <v>2334</v>
      </c>
      <c r="B553" s="536">
        <v>46155</v>
      </c>
      <c r="C553" s="536">
        <v>46169</v>
      </c>
      <c r="D553" s="319" t="s">
        <v>2785</v>
      </c>
      <c r="E553" s="319" t="s">
        <v>2786</v>
      </c>
      <c r="F553" s="319" t="s">
        <v>1157</v>
      </c>
      <c r="G553" s="319" t="s">
        <v>1029</v>
      </c>
      <c r="H553" s="319" t="s">
        <v>2787</v>
      </c>
      <c r="I553" s="535">
        <v>2078.0700000000002</v>
      </c>
      <c r="J553" s="535">
        <v>855</v>
      </c>
      <c r="K553" s="535">
        <v>2933.07</v>
      </c>
      <c r="L553" s="535" t="s">
        <v>78</v>
      </c>
      <c r="M553" s="535" t="s">
        <v>1042</v>
      </c>
      <c r="N553" s="537"/>
    </row>
    <row r="554" spans="1:14" ht="15.9" customHeight="1">
      <c r="A554" s="319" t="s">
        <v>1054</v>
      </c>
      <c r="B554" s="536">
        <v>46154</v>
      </c>
      <c r="C554" s="536">
        <v>46170</v>
      </c>
      <c r="D554" s="319" t="s">
        <v>2788</v>
      </c>
      <c r="E554" s="319" t="s">
        <v>2789</v>
      </c>
      <c r="F554" s="319" t="s">
        <v>1108</v>
      </c>
      <c r="G554" s="319" t="s">
        <v>1029</v>
      </c>
      <c r="H554" s="319" t="s">
        <v>2790</v>
      </c>
      <c r="I554" s="535">
        <v>1684.83</v>
      </c>
      <c r="J554" s="535">
        <v>760</v>
      </c>
      <c r="K554" s="535">
        <v>2444.83</v>
      </c>
      <c r="L554" s="535" t="s">
        <v>79</v>
      </c>
      <c r="M554" s="535" t="s">
        <v>993</v>
      </c>
      <c r="N554" s="537"/>
    </row>
    <row r="555" spans="1:14" ht="15.9" customHeight="1">
      <c r="A555" s="319" t="s">
        <v>1110</v>
      </c>
      <c r="B555" s="536">
        <v>46155</v>
      </c>
      <c r="C555" s="536">
        <v>46163</v>
      </c>
      <c r="D555" s="319" t="s">
        <v>2791</v>
      </c>
      <c r="E555" s="319" t="s">
        <v>2792</v>
      </c>
      <c r="F555" s="319" t="s">
        <v>1424</v>
      </c>
      <c r="G555" s="319" t="s">
        <v>1029</v>
      </c>
      <c r="H555" s="319" t="s">
        <v>2793</v>
      </c>
      <c r="I555" s="535">
        <v>1150.1500000000001</v>
      </c>
      <c r="J555" s="535">
        <v>665</v>
      </c>
      <c r="K555" s="535">
        <v>1815.15</v>
      </c>
      <c r="L555" s="535" t="s">
        <v>79</v>
      </c>
      <c r="M555" s="535" t="s">
        <v>993</v>
      </c>
      <c r="N555" s="537"/>
    </row>
    <row r="556" spans="1:14" ht="15.9" customHeight="1">
      <c r="A556" s="319" t="s">
        <v>1025</v>
      </c>
      <c r="B556" s="536">
        <v>46156</v>
      </c>
      <c r="C556" s="536">
        <v>46167</v>
      </c>
      <c r="D556" s="319" t="s">
        <v>2794</v>
      </c>
      <c r="E556" s="319" t="s">
        <v>2795</v>
      </c>
      <c r="F556" s="319" t="s">
        <v>1243</v>
      </c>
      <c r="G556" s="319" t="s">
        <v>1029</v>
      </c>
      <c r="H556" s="319" t="s">
        <v>2796</v>
      </c>
      <c r="I556" s="535">
        <v>2177.2800000000002</v>
      </c>
      <c r="J556" s="535">
        <v>950</v>
      </c>
      <c r="K556" s="535">
        <v>3127.28</v>
      </c>
      <c r="L556" s="535" t="s">
        <v>79</v>
      </c>
      <c r="M556" s="535" t="s">
        <v>1042</v>
      </c>
      <c r="N556" s="537"/>
    </row>
    <row r="557" spans="1:14" ht="15.9" customHeight="1">
      <c r="A557" s="319" t="s">
        <v>2334</v>
      </c>
      <c r="B557" s="536">
        <v>46156</v>
      </c>
      <c r="C557" s="536">
        <v>46172</v>
      </c>
      <c r="D557" s="319" t="s">
        <v>2797</v>
      </c>
      <c r="E557" s="319" t="s">
        <v>2798</v>
      </c>
      <c r="F557" s="319" t="s">
        <v>1096</v>
      </c>
      <c r="G557" s="319" t="s">
        <v>1029</v>
      </c>
      <c r="H557" s="319" t="s">
        <v>2799</v>
      </c>
      <c r="I557" s="535">
        <v>1822.38</v>
      </c>
      <c r="J557" s="535">
        <v>855</v>
      </c>
      <c r="K557" s="535">
        <v>2677.38</v>
      </c>
      <c r="L557" s="535" t="s">
        <v>79</v>
      </c>
      <c r="M557" s="535" t="s">
        <v>1042</v>
      </c>
      <c r="N557" s="537"/>
    </row>
    <row r="558" spans="1:14" ht="15.9" customHeight="1">
      <c r="A558" s="319" t="s">
        <v>1054</v>
      </c>
      <c r="B558" s="536">
        <v>46156</v>
      </c>
      <c r="C558" s="536">
        <v>46162</v>
      </c>
      <c r="D558" s="319" t="s">
        <v>2800</v>
      </c>
      <c r="E558" s="319" t="s">
        <v>2801</v>
      </c>
      <c r="F558" s="319" t="s">
        <v>1434</v>
      </c>
      <c r="G558" s="319" t="s">
        <v>1029</v>
      </c>
      <c r="H558" s="319" t="s">
        <v>2802</v>
      </c>
      <c r="I558" s="535">
        <v>1450.98</v>
      </c>
      <c r="J558" s="535">
        <v>855</v>
      </c>
      <c r="K558" s="535">
        <v>2305.98</v>
      </c>
      <c r="L558" s="535" t="s">
        <v>80</v>
      </c>
      <c r="M558" s="535" t="s">
        <v>993</v>
      </c>
      <c r="N558" s="537"/>
    </row>
    <row r="559" spans="1:14" ht="15.9" customHeight="1">
      <c r="A559" s="319" t="s">
        <v>1054</v>
      </c>
      <c r="B559" s="536">
        <v>46156</v>
      </c>
      <c r="C559" s="536">
        <v>46172</v>
      </c>
      <c r="D559" s="319" t="s">
        <v>2803</v>
      </c>
      <c r="E559" s="319" t="s">
        <v>2804</v>
      </c>
      <c r="F559" s="319" t="s">
        <v>2805</v>
      </c>
      <c r="G559" s="319" t="s">
        <v>1029</v>
      </c>
      <c r="H559" s="319" t="s">
        <v>2806</v>
      </c>
      <c r="I559" s="535">
        <v>3250.9</v>
      </c>
      <c r="J559" s="535">
        <v>855</v>
      </c>
      <c r="K559" s="535">
        <v>4105.8999999999996</v>
      </c>
      <c r="L559" s="535" t="s">
        <v>80</v>
      </c>
      <c r="M559" s="535" t="s">
        <v>1042</v>
      </c>
      <c r="N559" s="537"/>
    </row>
    <row r="560" spans="1:14" ht="15.9" customHeight="1">
      <c r="A560" s="319" t="s">
        <v>1054</v>
      </c>
      <c r="B560" s="536">
        <v>46156</v>
      </c>
      <c r="C560" s="536">
        <v>46167</v>
      </c>
      <c r="D560" s="319" t="s">
        <v>2807</v>
      </c>
      <c r="E560" s="319" t="s">
        <v>2808</v>
      </c>
      <c r="F560" s="319" t="s">
        <v>2032</v>
      </c>
      <c r="G560" s="319" t="s">
        <v>1029</v>
      </c>
      <c r="H560" s="319" t="s">
        <v>2809</v>
      </c>
      <c r="I560" s="535">
        <v>1348.62</v>
      </c>
      <c r="J560" s="535">
        <v>665</v>
      </c>
      <c r="K560" s="535">
        <v>2013.62</v>
      </c>
      <c r="L560" s="535" t="s">
        <v>78</v>
      </c>
      <c r="M560" s="535" t="s">
        <v>993</v>
      </c>
      <c r="N560" s="537"/>
    </row>
    <row r="561" spans="1:14" ht="15.9" customHeight="1">
      <c r="A561" s="319" t="s">
        <v>1054</v>
      </c>
      <c r="B561" s="536">
        <v>46156</v>
      </c>
      <c r="C561" s="536">
        <v>46163</v>
      </c>
      <c r="D561" s="319" t="s">
        <v>2810</v>
      </c>
      <c r="E561" s="319" t="s">
        <v>2811</v>
      </c>
      <c r="F561" s="319" t="s">
        <v>2805</v>
      </c>
      <c r="G561" s="319" t="s">
        <v>1029</v>
      </c>
      <c r="H561" s="319" t="s">
        <v>2812</v>
      </c>
      <c r="I561" s="535">
        <v>3250.9</v>
      </c>
      <c r="J561" s="535">
        <v>950</v>
      </c>
      <c r="K561" s="535">
        <v>4200.8999999999996</v>
      </c>
      <c r="L561" s="535" t="s">
        <v>78</v>
      </c>
      <c r="M561" s="535" t="s">
        <v>1042</v>
      </c>
      <c r="N561" s="537"/>
    </row>
    <row r="562" spans="1:14" ht="15.9" customHeight="1">
      <c r="A562" s="319" t="s">
        <v>1025</v>
      </c>
      <c r="B562" s="536">
        <v>46156</v>
      </c>
      <c r="C562" s="536">
        <v>46158</v>
      </c>
      <c r="D562" s="319" t="s">
        <v>2813</v>
      </c>
      <c r="E562" s="319" t="s">
        <v>2814</v>
      </c>
      <c r="F562" s="319" t="s">
        <v>1300</v>
      </c>
      <c r="G562" s="319" t="s">
        <v>1029</v>
      </c>
      <c r="H562" s="319" t="s">
        <v>2815</v>
      </c>
      <c r="I562" s="535">
        <v>1736.74</v>
      </c>
      <c r="J562" s="535">
        <v>855</v>
      </c>
      <c r="K562" s="535">
        <v>2591.7399999999998</v>
      </c>
      <c r="L562" s="535" t="s">
        <v>86</v>
      </c>
      <c r="M562" s="535" t="s">
        <v>993</v>
      </c>
      <c r="N562" s="537"/>
    </row>
    <row r="563" spans="1:14" ht="15.9" customHeight="1">
      <c r="A563" s="319" t="s">
        <v>2816</v>
      </c>
      <c r="B563" s="536">
        <v>46156</v>
      </c>
      <c r="C563" s="536">
        <v>46172</v>
      </c>
      <c r="D563" s="319" t="s">
        <v>2817</v>
      </c>
      <c r="E563" s="319" t="s">
        <v>2818</v>
      </c>
      <c r="F563" s="319" t="s">
        <v>2680</v>
      </c>
      <c r="G563" s="319" t="s">
        <v>1029</v>
      </c>
      <c r="H563" s="319" t="s">
        <v>2819</v>
      </c>
      <c r="I563" s="535">
        <v>1463.44</v>
      </c>
      <c r="J563" s="535">
        <v>760</v>
      </c>
      <c r="K563" s="535">
        <v>2223.44</v>
      </c>
      <c r="L563" s="535" t="s">
        <v>86</v>
      </c>
      <c r="M563" s="535" t="s">
        <v>993</v>
      </c>
      <c r="N563" s="537"/>
    </row>
    <row r="564" spans="1:14" ht="15.9" customHeight="1">
      <c r="A564" s="319" t="s">
        <v>1130</v>
      </c>
      <c r="B564" s="536">
        <v>46156</v>
      </c>
      <c r="C564" s="536">
        <v>46163</v>
      </c>
      <c r="D564" s="319" t="s">
        <v>2820</v>
      </c>
      <c r="E564" s="319" t="s">
        <v>2821</v>
      </c>
      <c r="F564" s="319" t="s">
        <v>2822</v>
      </c>
      <c r="G564" s="319" t="s">
        <v>1029</v>
      </c>
      <c r="H564" s="319" t="s">
        <v>2823</v>
      </c>
      <c r="I564" s="535">
        <v>704.82</v>
      </c>
      <c r="J564" s="535">
        <v>1100</v>
      </c>
      <c r="K564" s="535">
        <v>1804.82</v>
      </c>
      <c r="L564" s="535" t="s">
        <v>87</v>
      </c>
      <c r="M564" s="535" t="s">
        <v>993</v>
      </c>
      <c r="N564" s="537"/>
    </row>
    <row r="565" spans="1:14" ht="15.9" customHeight="1">
      <c r="A565" s="319" t="s">
        <v>1082</v>
      </c>
      <c r="B565" s="536">
        <v>46156</v>
      </c>
      <c r="C565" s="536">
        <v>46173</v>
      </c>
      <c r="D565" s="319" t="s">
        <v>2824</v>
      </c>
      <c r="E565" s="319" t="s">
        <v>2825</v>
      </c>
      <c r="F565" s="319" t="s">
        <v>1315</v>
      </c>
      <c r="G565" s="319" t="s">
        <v>1029</v>
      </c>
      <c r="H565" s="319" t="s">
        <v>2826</v>
      </c>
      <c r="I565" s="535">
        <v>1658.31</v>
      </c>
      <c r="J565" s="535">
        <v>665</v>
      </c>
      <c r="K565" s="535">
        <v>2323.31</v>
      </c>
      <c r="L565" s="535" t="s">
        <v>87</v>
      </c>
      <c r="M565" s="535" t="s">
        <v>993</v>
      </c>
      <c r="N565" s="537"/>
    </row>
    <row r="566" spans="1:14" ht="15.9" customHeight="1">
      <c r="A566" s="319" t="s">
        <v>1054</v>
      </c>
      <c r="B566" s="536">
        <v>46156</v>
      </c>
      <c r="C566" s="536">
        <v>46170</v>
      </c>
      <c r="D566" s="319" t="s">
        <v>2827</v>
      </c>
      <c r="E566" s="319" t="s">
        <v>2828</v>
      </c>
      <c r="F566" s="319" t="s">
        <v>2829</v>
      </c>
      <c r="G566" s="319" t="s">
        <v>1029</v>
      </c>
      <c r="H566" s="319" t="s">
        <v>2830</v>
      </c>
      <c r="I566" s="535">
        <v>2152.9899999999998</v>
      </c>
      <c r="J566" s="535">
        <v>665</v>
      </c>
      <c r="K566" s="535">
        <v>2817.99</v>
      </c>
      <c r="L566" s="535" t="s">
        <v>87</v>
      </c>
      <c r="M566" s="535" t="s">
        <v>993</v>
      </c>
      <c r="N566" s="537"/>
    </row>
    <row r="567" spans="1:14" ht="15.9" customHeight="1">
      <c r="A567" s="319" t="s">
        <v>1130</v>
      </c>
      <c r="B567" s="536">
        <v>46156</v>
      </c>
      <c r="C567" s="536">
        <v>46162</v>
      </c>
      <c r="D567" s="319" t="s">
        <v>2831</v>
      </c>
      <c r="E567" s="319" t="s">
        <v>2832</v>
      </c>
      <c r="F567" s="319" t="s">
        <v>2833</v>
      </c>
      <c r="G567" s="319" t="s">
        <v>995</v>
      </c>
      <c r="H567" s="319" t="s">
        <v>114</v>
      </c>
      <c r="I567" s="535">
        <v>335.07</v>
      </c>
      <c r="J567" s="535">
        <v>665</v>
      </c>
      <c r="K567" s="535">
        <v>1000.07</v>
      </c>
      <c r="L567" s="535" t="s">
        <v>80</v>
      </c>
      <c r="M567" s="535" t="s">
        <v>995</v>
      </c>
      <c r="N567" s="537"/>
    </row>
    <row r="568" spans="1:14" ht="15.9" customHeight="1">
      <c r="A568" s="319" t="s">
        <v>1082</v>
      </c>
      <c r="B568" s="536">
        <v>46156</v>
      </c>
      <c r="C568" s="536">
        <v>46156</v>
      </c>
      <c r="D568" s="319" t="s">
        <v>2834</v>
      </c>
      <c r="E568" s="319" t="s">
        <v>2835</v>
      </c>
      <c r="F568" s="319" t="s">
        <v>1157</v>
      </c>
      <c r="G568" s="319" t="s">
        <v>1029</v>
      </c>
      <c r="H568" s="319" t="s">
        <v>2836</v>
      </c>
      <c r="I568" s="535">
        <v>1852.26</v>
      </c>
      <c r="J568" s="535">
        <v>855</v>
      </c>
      <c r="K568" s="535">
        <v>2707.26</v>
      </c>
      <c r="L568" s="535" t="s">
        <v>86</v>
      </c>
      <c r="M568" s="535" t="s">
        <v>1042</v>
      </c>
      <c r="N568" s="537"/>
    </row>
    <row r="569" spans="1:14" ht="15.9" customHeight="1">
      <c r="A569" s="319" t="s">
        <v>1054</v>
      </c>
      <c r="B569" s="536">
        <v>46157</v>
      </c>
      <c r="C569" s="536">
        <v>46165</v>
      </c>
      <c r="D569" s="319" t="s">
        <v>2837</v>
      </c>
      <c r="E569" s="319" t="s">
        <v>2838</v>
      </c>
      <c r="F569" s="319" t="s">
        <v>1650</v>
      </c>
      <c r="G569" s="319" t="s">
        <v>1029</v>
      </c>
      <c r="H569" s="319" t="s">
        <v>2839</v>
      </c>
      <c r="I569" s="535">
        <v>1425</v>
      </c>
      <c r="J569" s="535">
        <v>665</v>
      </c>
      <c r="K569" s="535">
        <v>2090</v>
      </c>
      <c r="L569" s="535" t="s">
        <v>87</v>
      </c>
      <c r="M569" s="535" t="s">
        <v>993</v>
      </c>
      <c r="N569" s="537"/>
    </row>
    <row r="570" spans="1:14" ht="15.9" customHeight="1">
      <c r="A570" s="319" t="s">
        <v>2334</v>
      </c>
      <c r="B570" s="536">
        <v>46157</v>
      </c>
      <c r="C570" s="536">
        <v>46163</v>
      </c>
      <c r="D570" s="319" t="s">
        <v>2840</v>
      </c>
      <c r="E570" s="319" t="s">
        <v>2841</v>
      </c>
      <c r="F570" s="319" t="s">
        <v>1264</v>
      </c>
      <c r="G570" s="319" t="s">
        <v>1029</v>
      </c>
      <c r="H570" s="319" t="s">
        <v>2842</v>
      </c>
      <c r="I570" s="535">
        <v>1784.08</v>
      </c>
      <c r="J570" s="535">
        <v>990</v>
      </c>
      <c r="K570" s="535">
        <v>2774.08</v>
      </c>
      <c r="L570" s="535" t="s">
        <v>87</v>
      </c>
      <c r="M570" s="535" t="s">
        <v>1042</v>
      </c>
      <c r="N570" s="537"/>
    </row>
    <row r="571" spans="1:14" ht="15.9" customHeight="1">
      <c r="A571" s="319" t="s">
        <v>1054</v>
      </c>
      <c r="B571" s="536">
        <v>46157</v>
      </c>
      <c r="C571" s="536">
        <v>46171</v>
      </c>
      <c r="D571" s="319" t="s">
        <v>2843</v>
      </c>
      <c r="E571" s="319" t="s">
        <v>2844</v>
      </c>
      <c r="F571" s="319" t="s">
        <v>1153</v>
      </c>
      <c r="G571" s="319" t="s">
        <v>1029</v>
      </c>
      <c r="H571" s="319" t="s">
        <v>2845</v>
      </c>
      <c r="I571" s="535">
        <v>2045.88</v>
      </c>
      <c r="J571" s="535">
        <v>855</v>
      </c>
      <c r="K571" s="535">
        <v>2900.88</v>
      </c>
      <c r="L571" s="535" t="s">
        <v>79</v>
      </c>
      <c r="M571" s="535" t="s">
        <v>1042</v>
      </c>
      <c r="N571" s="537"/>
    </row>
    <row r="572" spans="1:14" ht="15.9" customHeight="1">
      <c r="A572" s="319" t="s">
        <v>1110</v>
      </c>
      <c r="B572" s="536">
        <v>46157</v>
      </c>
      <c r="C572" s="536">
        <v>46172</v>
      </c>
      <c r="D572" s="319" t="s">
        <v>2846</v>
      </c>
      <c r="E572" s="319" t="s">
        <v>2847</v>
      </c>
      <c r="F572" s="319" t="s">
        <v>1096</v>
      </c>
      <c r="G572" s="319" t="s">
        <v>1029</v>
      </c>
      <c r="H572" s="319" t="s">
        <v>2848</v>
      </c>
      <c r="I572" s="535">
        <v>1956.41</v>
      </c>
      <c r="J572" s="535">
        <v>760</v>
      </c>
      <c r="K572" s="535">
        <v>2716.41</v>
      </c>
      <c r="L572" s="535" t="s">
        <v>79</v>
      </c>
      <c r="M572" s="535" t="s">
        <v>993</v>
      </c>
      <c r="N572" s="537"/>
    </row>
    <row r="573" spans="1:14" ht="15.9" customHeight="1">
      <c r="A573" s="319" t="s">
        <v>1054</v>
      </c>
      <c r="B573" s="536">
        <v>46157</v>
      </c>
      <c r="C573" s="536">
        <v>46168</v>
      </c>
      <c r="D573" s="319" t="s">
        <v>2849</v>
      </c>
      <c r="E573" s="319" t="s">
        <v>2850</v>
      </c>
      <c r="F573" s="319" t="s">
        <v>1100</v>
      </c>
      <c r="G573" s="319" t="s">
        <v>1029</v>
      </c>
      <c r="H573" s="319" t="s">
        <v>2851</v>
      </c>
      <c r="I573" s="535">
        <v>2739.81</v>
      </c>
      <c r="J573" s="535">
        <v>950</v>
      </c>
      <c r="K573" s="535">
        <v>3689.81</v>
      </c>
      <c r="L573" s="535" t="s">
        <v>78</v>
      </c>
      <c r="M573" s="535" t="s">
        <v>993</v>
      </c>
      <c r="N573" s="537"/>
    </row>
    <row r="574" spans="1:14" ht="15.9" customHeight="1">
      <c r="A574" s="319" t="s">
        <v>1067</v>
      </c>
      <c r="B574" s="536">
        <v>46157</v>
      </c>
      <c r="C574" s="536">
        <v>46159</v>
      </c>
      <c r="D574" s="319" t="s">
        <v>2852</v>
      </c>
      <c r="E574" s="319" t="s">
        <v>2853</v>
      </c>
      <c r="F574" s="319" t="s">
        <v>1602</v>
      </c>
      <c r="G574" s="319" t="s">
        <v>1029</v>
      </c>
      <c r="H574" s="319" t="s">
        <v>2854</v>
      </c>
      <c r="I574" s="535">
        <v>638.17999999999995</v>
      </c>
      <c r="J574" s="535">
        <v>1045</v>
      </c>
      <c r="K574" s="535">
        <v>1683.18</v>
      </c>
      <c r="L574" s="535" t="s">
        <v>80</v>
      </c>
      <c r="M574" s="535" t="s">
        <v>993</v>
      </c>
      <c r="N574" s="537"/>
    </row>
    <row r="575" spans="1:14" ht="15.9" customHeight="1">
      <c r="A575" s="319" t="s">
        <v>1077</v>
      </c>
      <c r="B575" s="536">
        <v>46157</v>
      </c>
      <c r="C575" s="536">
        <v>46167</v>
      </c>
      <c r="D575" s="319" t="s">
        <v>2855</v>
      </c>
      <c r="E575" s="319" t="s">
        <v>2856</v>
      </c>
      <c r="F575" s="319" t="s">
        <v>1396</v>
      </c>
      <c r="G575" s="319" t="s">
        <v>1029</v>
      </c>
      <c r="H575" s="319" t="s">
        <v>2857</v>
      </c>
      <c r="I575" s="535">
        <v>1036</v>
      </c>
      <c r="J575" s="535">
        <v>665</v>
      </c>
      <c r="K575" s="535">
        <v>1701</v>
      </c>
      <c r="L575" s="535" t="s">
        <v>80</v>
      </c>
      <c r="M575" s="535" t="s">
        <v>993</v>
      </c>
      <c r="N575" s="537"/>
    </row>
    <row r="576" spans="1:14" ht="15.9" customHeight="1">
      <c r="A576" s="319" t="s">
        <v>1054</v>
      </c>
      <c r="B576" s="536">
        <v>46157</v>
      </c>
      <c r="C576" s="536">
        <v>46163</v>
      </c>
      <c r="D576" s="319" t="s">
        <v>2858</v>
      </c>
      <c r="E576" s="319" t="s">
        <v>2859</v>
      </c>
      <c r="F576" s="319" t="s">
        <v>1170</v>
      </c>
      <c r="G576" s="319" t="s">
        <v>1029</v>
      </c>
      <c r="H576" s="319" t="s">
        <v>2860</v>
      </c>
      <c r="I576" s="535">
        <v>1485.98</v>
      </c>
      <c r="J576" s="535">
        <v>760</v>
      </c>
      <c r="K576" s="535">
        <v>2245.98</v>
      </c>
      <c r="L576" s="535" t="s">
        <v>80</v>
      </c>
      <c r="M576" s="535" t="s">
        <v>993</v>
      </c>
      <c r="N576" s="537"/>
    </row>
    <row r="577" spans="1:14" ht="15.9" customHeight="1">
      <c r="A577" s="319" t="s">
        <v>1054</v>
      </c>
      <c r="B577" s="536">
        <v>46157</v>
      </c>
      <c r="C577" s="536">
        <v>46167</v>
      </c>
      <c r="D577" s="319" t="s">
        <v>2861</v>
      </c>
      <c r="E577" s="319" t="s">
        <v>2862</v>
      </c>
      <c r="F577" s="319" t="s">
        <v>1752</v>
      </c>
      <c r="G577" s="319" t="s">
        <v>1029</v>
      </c>
      <c r="H577" s="319" t="s">
        <v>2863</v>
      </c>
      <c r="I577" s="535">
        <v>1156.08</v>
      </c>
      <c r="J577" s="535">
        <v>665</v>
      </c>
      <c r="K577" s="535">
        <v>1821.08</v>
      </c>
      <c r="L577" s="535" t="s">
        <v>80</v>
      </c>
      <c r="M577" s="535" t="s">
        <v>993</v>
      </c>
      <c r="N577" s="537"/>
    </row>
    <row r="578" spans="1:14" ht="15.9" customHeight="1">
      <c r="A578" s="319" t="s">
        <v>1054</v>
      </c>
      <c r="B578" s="536">
        <v>46157</v>
      </c>
      <c r="C578" s="536">
        <v>46164</v>
      </c>
      <c r="D578" s="319" t="s">
        <v>2864</v>
      </c>
      <c r="E578" s="319" t="s">
        <v>2865</v>
      </c>
      <c r="F578" s="319" t="s">
        <v>1085</v>
      </c>
      <c r="G578" s="319" t="s">
        <v>1029</v>
      </c>
      <c r="H578" s="319" t="s">
        <v>171</v>
      </c>
      <c r="I578" s="535">
        <v>1996.28</v>
      </c>
      <c r="J578" s="535">
        <v>855</v>
      </c>
      <c r="K578" s="535">
        <v>2851.28</v>
      </c>
      <c r="L578" s="535" t="s">
        <v>87</v>
      </c>
      <c r="M578" s="535" t="s">
        <v>1042</v>
      </c>
      <c r="N578" s="537"/>
    </row>
    <row r="579" spans="1:14" ht="15.9" customHeight="1">
      <c r="A579" s="319" t="s">
        <v>1054</v>
      </c>
      <c r="B579" s="536">
        <v>46158</v>
      </c>
      <c r="C579" s="536">
        <v>46169</v>
      </c>
      <c r="D579" s="319" t="s">
        <v>2866</v>
      </c>
      <c r="E579" s="319" t="s">
        <v>2867</v>
      </c>
      <c r="F579" s="319" t="s">
        <v>2138</v>
      </c>
      <c r="G579" s="319" t="s">
        <v>1029</v>
      </c>
      <c r="H579" s="319" t="s">
        <v>2868</v>
      </c>
      <c r="I579" s="535">
        <v>1906.77</v>
      </c>
      <c r="J579" s="535">
        <v>760</v>
      </c>
      <c r="K579" s="535">
        <v>2666.77</v>
      </c>
      <c r="L579" s="535" t="s">
        <v>80</v>
      </c>
      <c r="M579" s="535" t="s">
        <v>993</v>
      </c>
      <c r="N579" s="537"/>
    </row>
    <row r="580" spans="1:14" ht="15.9" customHeight="1">
      <c r="A580" s="319" t="s">
        <v>1054</v>
      </c>
      <c r="B580" s="536">
        <v>46157</v>
      </c>
      <c r="C580" s="536">
        <v>46173</v>
      </c>
      <c r="D580" s="319" t="s">
        <v>2869</v>
      </c>
      <c r="E580" s="319" t="s">
        <v>2870</v>
      </c>
      <c r="F580" s="319" t="s">
        <v>1108</v>
      </c>
      <c r="G580" s="319" t="s">
        <v>1029</v>
      </c>
      <c r="H580" s="319" t="s">
        <v>2871</v>
      </c>
      <c r="I580" s="535">
        <v>1985.8</v>
      </c>
      <c r="J580" s="535">
        <v>665</v>
      </c>
      <c r="K580" s="535">
        <v>2650.8</v>
      </c>
      <c r="L580" s="535" t="s">
        <v>78</v>
      </c>
      <c r="M580" s="535" t="s">
        <v>993</v>
      </c>
      <c r="N580" s="537"/>
    </row>
    <row r="581" spans="1:14" ht="15.9" customHeight="1">
      <c r="A581" s="319" t="s">
        <v>1025</v>
      </c>
      <c r="B581" s="536">
        <v>46158</v>
      </c>
      <c r="C581" s="536">
        <v>46165</v>
      </c>
      <c r="D581" s="319" t="s">
        <v>2872</v>
      </c>
      <c r="E581" s="319" t="s">
        <v>2873</v>
      </c>
      <c r="F581" s="319" t="s">
        <v>1315</v>
      </c>
      <c r="G581" s="319" t="s">
        <v>1029</v>
      </c>
      <c r="H581" s="319" t="s">
        <v>2874</v>
      </c>
      <c r="I581" s="535">
        <v>1733.67</v>
      </c>
      <c r="J581" s="535">
        <v>665</v>
      </c>
      <c r="K581" s="535">
        <v>2398.67</v>
      </c>
      <c r="L581" s="535" t="s">
        <v>78</v>
      </c>
      <c r="M581" s="535" t="s">
        <v>993</v>
      </c>
      <c r="N581" s="537" t="s">
        <v>1118</v>
      </c>
    </row>
    <row r="582" spans="1:14" ht="15.9" customHeight="1">
      <c r="A582" s="319" t="s">
        <v>1025</v>
      </c>
      <c r="B582" s="536">
        <v>46159</v>
      </c>
      <c r="C582" s="536">
        <v>46163</v>
      </c>
      <c r="D582" s="319" t="s">
        <v>2875</v>
      </c>
      <c r="E582" s="319" t="s">
        <v>2876</v>
      </c>
      <c r="F582" s="319" t="s">
        <v>1396</v>
      </c>
      <c r="G582" s="319" t="s">
        <v>1029</v>
      </c>
      <c r="H582" s="319" t="s">
        <v>2877</v>
      </c>
      <c r="I582" s="535">
        <v>1500.38</v>
      </c>
      <c r="J582" s="535">
        <v>760</v>
      </c>
      <c r="K582" s="535">
        <v>2260.38</v>
      </c>
      <c r="L582" s="535" t="s">
        <v>80</v>
      </c>
      <c r="M582" s="535" t="s">
        <v>993</v>
      </c>
      <c r="N582" s="537"/>
    </row>
    <row r="583" spans="1:14" ht="15.9" customHeight="1">
      <c r="A583" s="319" t="s">
        <v>1077</v>
      </c>
      <c r="B583" s="536">
        <v>46159</v>
      </c>
      <c r="C583" s="536">
        <v>46160</v>
      </c>
      <c r="D583" s="319" t="s">
        <v>2878</v>
      </c>
      <c r="E583" s="319" t="s">
        <v>2879</v>
      </c>
      <c r="F583" s="319" t="s">
        <v>1108</v>
      </c>
      <c r="G583" s="319" t="s">
        <v>1029</v>
      </c>
      <c r="H583" s="319" t="s">
        <v>2880</v>
      </c>
      <c r="I583" s="535">
        <v>1896.85</v>
      </c>
      <c r="J583" s="535">
        <v>760</v>
      </c>
      <c r="K583" s="535">
        <v>2656.85</v>
      </c>
      <c r="L583" s="535" t="s">
        <v>78</v>
      </c>
      <c r="M583" s="535" t="s">
        <v>993</v>
      </c>
      <c r="N583" s="537"/>
    </row>
    <row r="584" spans="1:14" ht="15.9" customHeight="1">
      <c r="A584" s="319" t="s">
        <v>1025</v>
      </c>
      <c r="B584" s="536">
        <v>46158</v>
      </c>
      <c r="C584" s="536">
        <v>46168</v>
      </c>
      <c r="D584" s="319" t="s">
        <v>2881</v>
      </c>
      <c r="E584" s="319" t="s">
        <v>2882</v>
      </c>
      <c r="F584" s="319" t="s">
        <v>1264</v>
      </c>
      <c r="G584" s="319" t="s">
        <v>1029</v>
      </c>
      <c r="H584" s="319" t="s">
        <v>2883</v>
      </c>
      <c r="I584" s="535">
        <v>1686.12</v>
      </c>
      <c r="J584" s="535">
        <v>880</v>
      </c>
      <c r="K584" s="535">
        <v>2566.12</v>
      </c>
      <c r="L584" s="535" t="s">
        <v>86</v>
      </c>
      <c r="M584" s="535" t="s">
        <v>993</v>
      </c>
      <c r="N584" s="537" t="s">
        <v>1118</v>
      </c>
    </row>
    <row r="585" spans="1:14" ht="15.9" customHeight="1">
      <c r="A585" s="319" t="s">
        <v>1110</v>
      </c>
      <c r="B585" s="536">
        <v>46159</v>
      </c>
      <c r="C585" s="536">
        <v>46169</v>
      </c>
      <c r="D585" s="319" t="s">
        <v>2884</v>
      </c>
      <c r="E585" s="319" t="s">
        <v>2885</v>
      </c>
      <c r="F585" s="319" t="s">
        <v>2886</v>
      </c>
      <c r="G585" s="319" t="s">
        <v>1029</v>
      </c>
      <c r="H585" s="319" t="s">
        <v>2887</v>
      </c>
      <c r="I585" s="535">
        <v>2426.13</v>
      </c>
      <c r="J585" s="535">
        <v>760</v>
      </c>
      <c r="K585" s="535">
        <v>3186.13</v>
      </c>
      <c r="L585" s="535" t="s">
        <v>86</v>
      </c>
      <c r="M585" s="535" t="s">
        <v>993</v>
      </c>
      <c r="N585" s="537"/>
    </row>
    <row r="586" spans="1:14" ht="15.9" customHeight="1">
      <c r="A586" s="319" t="s">
        <v>1054</v>
      </c>
      <c r="B586" s="536">
        <v>46159</v>
      </c>
      <c r="C586" s="536">
        <v>46160</v>
      </c>
      <c r="D586" s="319" t="s">
        <v>2888</v>
      </c>
      <c r="E586" s="319" t="s">
        <v>2889</v>
      </c>
      <c r="F586" s="319" t="s">
        <v>1589</v>
      </c>
      <c r="G586" s="319" t="s">
        <v>1029</v>
      </c>
      <c r="H586" s="319" t="s">
        <v>2890</v>
      </c>
      <c r="I586" s="535">
        <v>1136.9100000000001</v>
      </c>
      <c r="J586" s="535">
        <v>700</v>
      </c>
      <c r="K586" s="535">
        <v>1836.91</v>
      </c>
      <c r="L586" s="535" t="s">
        <v>87</v>
      </c>
      <c r="M586" s="535" t="s">
        <v>993</v>
      </c>
      <c r="N586" s="537"/>
    </row>
    <row r="587" spans="1:14" ht="15.9" customHeight="1">
      <c r="A587" s="319" t="s">
        <v>1025</v>
      </c>
      <c r="B587" s="536">
        <v>46160</v>
      </c>
      <c r="C587" s="536">
        <v>46172</v>
      </c>
      <c r="D587" s="319" t="s">
        <v>2891</v>
      </c>
      <c r="E587" s="319" t="s">
        <v>2892</v>
      </c>
      <c r="F587" s="319" t="s">
        <v>1085</v>
      </c>
      <c r="G587" s="319" t="s">
        <v>1029</v>
      </c>
      <c r="H587" s="319" t="s">
        <v>2893</v>
      </c>
      <c r="I587" s="535">
        <v>2465.27</v>
      </c>
      <c r="J587" s="535">
        <v>950</v>
      </c>
      <c r="K587" s="535">
        <v>3415.27</v>
      </c>
      <c r="L587" s="535" t="s">
        <v>79</v>
      </c>
      <c r="M587" s="535" t="s">
        <v>1042</v>
      </c>
      <c r="N587" s="537"/>
    </row>
    <row r="588" spans="1:14" ht="15.9" customHeight="1">
      <c r="A588" s="319" t="s">
        <v>1130</v>
      </c>
      <c r="B588" s="536">
        <v>46160</v>
      </c>
      <c r="C588" s="536">
        <v>46170</v>
      </c>
      <c r="D588" s="319" t="s">
        <v>2894</v>
      </c>
      <c r="E588" s="319" t="s">
        <v>2895</v>
      </c>
      <c r="F588" s="319" t="s">
        <v>1236</v>
      </c>
      <c r="G588" s="319" t="s">
        <v>1029</v>
      </c>
      <c r="H588" s="319" t="s">
        <v>2896</v>
      </c>
      <c r="I588" s="535">
        <v>1109.3800000000001</v>
      </c>
      <c r="J588" s="535">
        <v>665</v>
      </c>
      <c r="K588" s="535">
        <v>1774.38</v>
      </c>
      <c r="L588" s="535" t="s">
        <v>87</v>
      </c>
      <c r="M588" s="535" t="s">
        <v>993</v>
      </c>
      <c r="N588" s="537"/>
    </row>
    <row r="589" spans="1:14" ht="15.9" customHeight="1">
      <c r="A589" s="319" t="s">
        <v>1025</v>
      </c>
      <c r="B589" s="536">
        <v>46160</v>
      </c>
      <c r="C589" s="536">
        <v>46173</v>
      </c>
      <c r="D589" s="319" t="s">
        <v>2897</v>
      </c>
      <c r="E589" s="319" t="s">
        <v>2898</v>
      </c>
      <c r="F589" s="319" t="s">
        <v>2736</v>
      </c>
      <c r="G589" s="319" t="s">
        <v>1029</v>
      </c>
      <c r="H589" s="319" t="s">
        <v>2899</v>
      </c>
      <c r="I589" s="535">
        <v>639.35</v>
      </c>
      <c r="J589" s="535">
        <v>760</v>
      </c>
      <c r="K589" s="535">
        <v>1399.35</v>
      </c>
      <c r="L589" s="535" t="s">
        <v>87</v>
      </c>
      <c r="M589" s="535" t="s">
        <v>993</v>
      </c>
      <c r="N589" s="537"/>
    </row>
    <row r="590" spans="1:14" ht="15.9" customHeight="1">
      <c r="A590" s="319" t="s">
        <v>1054</v>
      </c>
      <c r="B590" s="536">
        <v>46160</v>
      </c>
      <c r="C590" s="536">
        <v>46169</v>
      </c>
      <c r="D590" s="319" t="s">
        <v>2900</v>
      </c>
      <c r="E590" s="319" t="s">
        <v>2901</v>
      </c>
      <c r="F590" s="319" t="s">
        <v>1096</v>
      </c>
      <c r="G590" s="319" t="s">
        <v>1029</v>
      </c>
      <c r="H590" s="319" t="s">
        <v>2902</v>
      </c>
      <c r="I590" s="535">
        <v>2491.35</v>
      </c>
      <c r="J590" s="535">
        <v>950</v>
      </c>
      <c r="K590" s="535">
        <v>3441.35</v>
      </c>
      <c r="L590" s="535" t="s">
        <v>78</v>
      </c>
      <c r="M590" s="535" t="s">
        <v>994</v>
      </c>
      <c r="N590" s="537"/>
    </row>
    <row r="591" spans="1:14" ht="15.9" customHeight="1">
      <c r="A591" s="319" t="s">
        <v>1077</v>
      </c>
      <c r="B591" s="536">
        <v>46160</v>
      </c>
      <c r="C591" s="536">
        <v>46167</v>
      </c>
      <c r="D591" s="319" t="s">
        <v>2903</v>
      </c>
      <c r="E591" s="319" t="s">
        <v>2904</v>
      </c>
      <c r="F591" s="319" t="s">
        <v>1396</v>
      </c>
      <c r="G591" s="319" t="s">
        <v>1029</v>
      </c>
      <c r="H591" s="319" t="s">
        <v>1670</v>
      </c>
      <c r="I591" s="535">
        <v>1035.31</v>
      </c>
      <c r="J591" s="535">
        <v>665</v>
      </c>
      <c r="K591" s="535">
        <v>1700.31</v>
      </c>
      <c r="L591" s="535" t="s">
        <v>78</v>
      </c>
      <c r="M591" s="535" t="s">
        <v>993</v>
      </c>
      <c r="N591" s="537"/>
    </row>
    <row r="592" spans="1:14" ht="15.9" customHeight="1">
      <c r="A592" s="319" t="s">
        <v>1054</v>
      </c>
      <c r="B592" s="536">
        <v>46160</v>
      </c>
      <c r="C592" s="536">
        <v>46161</v>
      </c>
      <c r="D592" s="319" t="s">
        <v>2905</v>
      </c>
      <c r="E592" s="319" t="s">
        <v>2906</v>
      </c>
      <c r="F592" s="319" t="s">
        <v>2907</v>
      </c>
      <c r="G592" s="319" t="s">
        <v>1029</v>
      </c>
      <c r="H592" s="319" t="s">
        <v>2908</v>
      </c>
      <c r="I592" s="535">
        <v>1336.91</v>
      </c>
      <c r="J592" s="535">
        <v>900</v>
      </c>
      <c r="K592" s="535">
        <v>2236.91</v>
      </c>
      <c r="L592" s="535" t="s">
        <v>80</v>
      </c>
      <c r="M592" s="535" t="s">
        <v>993</v>
      </c>
      <c r="N592" s="537"/>
    </row>
    <row r="593" spans="1:14" ht="15.9" customHeight="1">
      <c r="A593" s="319" t="s">
        <v>1110</v>
      </c>
      <c r="B593" s="536">
        <v>46160</v>
      </c>
      <c r="C593" s="536">
        <v>46169</v>
      </c>
      <c r="D593" s="319" t="s">
        <v>2909</v>
      </c>
      <c r="E593" s="319" t="s">
        <v>2910</v>
      </c>
      <c r="F593" s="319" t="s">
        <v>1108</v>
      </c>
      <c r="G593" s="319" t="s">
        <v>1029</v>
      </c>
      <c r="H593" s="319" t="s">
        <v>2911</v>
      </c>
      <c r="I593" s="535">
        <v>1803.49</v>
      </c>
      <c r="J593" s="535">
        <v>760</v>
      </c>
      <c r="K593" s="535">
        <v>2563.4899999999998</v>
      </c>
      <c r="L593" s="535" t="s">
        <v>80</v>
      </c>
      <c r="M593" s="535" t="s">
        <v>993</v>
      </c>
      <c r="N593" s="537"/>
    </row>
    <row r="594" spans="1:14" ht="15.9" customHeight="1">
      <c r="A594" s="319" t="s">
        <v>1054</v>
      </c>
      <c r="B594" s="536">
        <v>46160</v>
      </c>
      <c r="C594" s="536">
        <v>46162</v>
      </c>
      <c r="D594" s="319" t="s">
        <v>2912</v>
      </c>
      <c r="E594" s="319" t="s">
        <v>2913</v>
      </c>
      <c r="F594" s="319" t="s">
        <v>1057</v>
      </c>
      <c r="G594" s="319" t="s">
        <v>1029</v>
      </c>
      <c r="H594" s="319" t="s">
        <v>2914</v>
      </c>
      <c r="I594" s="535">
        <v>2007.57</v>
      </c>
      <c r="J594" s="535">
        <v>760</v>
      </c>
      <c r="K594" s="535">
        <v>2767.57</v>
      </c>
      <c r="L594" s="535" t="s">
        <v>80</v>
      </c>
      <c r="M594" s="535" t="s">
        <v>993</v>
      </c>
      <c r="N594" s="537"/>
    </row>
    <row r="595" spans="1:14" ht="15.9" customHeight="1">
      <c r="A595" s="319" t="s">
        <v>1082</v>
      </c>
      <c r="B595" s="536">
        <v>46160</v>
      </c>
      <c r="C595" s="536">
        <v>46162</v>
      </c>
      <c r="D595" s="319" t="s">
        <v>2915</v>
      </c>
      <c r="E595" s="319" t="s">
        <v>2916</v>
      </c>
      <c r="F595" s="319" t="s">
        <v>1376</v>
      </c>
      <c r="G595" s="319" t="s">
        <v>1029</v>
      </c>
      <c r="H595" s="319" t="s">
        <v>2917</v>
      </c>
      <c r="I595" s="535">
        <v>1262.5</v>
      </c>
      <c r="J595" s="535">
        <v>665</v>
      </c>
      <c r="K595" s="535">
        <v>1927.5</v>
      </c>
      <c r="L595" s="535" t="s">
        <v>80</v>
      </c>
      <c r="M595" s="535" t="s">
        <v>993</v>
      </c>
      <c r="N595" s="537"/>
    </row>
    <row r="596" spans="1:14" ht="15.9" customHeight="1">
      <c r="A596" s="319" t="s">
        <v>1025</v>
      </c>
      <c r="B596" s="536">
        <v>46160</v>
      </c>
      <c r="C596" s="536">
        <v>46172</v>
      </c>
      <c r="D596" s="319" t="s">
        <v>2918</v>
      </c>
      <c r="E596" s="319" t="s">
        <v>2919</v>
      </c>
      <c r="F596" s="319" t="s">
        <v>1474</v>
      </c>
      <c r="G596" s="319" t="s">
        <v>1029</v>
      </c>
      <c r="H596" s="319" t="s">
        <v>2920</v>
      </c>
      <c r="I596" s="535">
        <v>1126.55</v>
      </c>
      <c r="J596" s="535">
        <v>770</v>
      </c>
      <c r="K596" s="535">
        <v>1896.55</v>
      </c>
      <c r="L596" s="535" t="s">
        <v>80</v>
      </c>
      <c r="M596" s="535" t="s">
        <v>993</v>
      </c>
      <c r="N596" s="537"/>
    </row>
    <row r="597" spans="1:14" ht="15.9" customHeight="1">
      <c r="A597" s="319" t="s">
        <v>1025</v>
      </c>
      <c r="B597" s="536">
        <v>46160</v>
      </c>
      <c r="C597" s="536">
        <v>46162</v>
      </c>
      <c r="D597" s="319" t="s">
        <v>2921</v>
      </c>
      <c r="E597" s="319" t="s">
        <v>2922</v>
      </c>
      <c r="F597" s="319" t="s">
        <v>1427</v>
      </c>
      <c r="G597" s="319" t="s">
        <v>1029</v>
      </c>
      <c r="H597" s="319" t="s">
        <v>2923</v>
      </c>
      <c r="I597" s="535">
        <v>1672.52</v>
      </c>
      <c r="J597" s="535">
        <v>760</v>
      </c>
      <c r="K597" s="535">
        <v>2432.52</v>
      </c>
      <c r="L597" s="535" t="s">
        <v>80</v>
      </c>
      <c r="M597" s="535" t="s">
        <v>993</v>
      </c>
      <c r="N597" s="537"/>
    </row>
    <row r="598" spans="1:14" ht="15.9" customHeight="1">
      <c r="A598" s="319" t="s">
        <v>1054</v>
      </c>
      <c r="B598" s="536">
        <v>46160</v>
      </c>
      <c r="C598" s="536">
        <v>46169</v>
      </c>
      <c r="D598" s="319" t="s">
        <v>2924</v>
      </c>
      <c r="E598" s="319" t="s">
        <v>2925</v>
      </c>
      <c r="F598" s="319" t="s">
        <v>1085</v>
      </c>
      <c r="G598" s="319" t="s">
        <v>1029</v>
      </c>
      <c r="H598" s="319" t="s">
        <v>2926</v>
      </c>
      <c r="I598" s="535">
        <v>1917.53</v>
      </c>
      <c r="J598" s="535">
        <v>855</v>
      </c>
      <c r="K598" s="535">
        <v>2772.53</v>
      </c>
      <c r="L598" s="535" t="s">
        <v>80</v>
      </c>
      <c r="M598" s="535" t="s">
        <v>1042</v>
      </c>
      <c r="N598" s="537"/>
    </row>
    <row r="599" spans="1:14" ht="15.9" customHeight="1">
      <c r="A599" s="319" t="s">
        <v>1025</v>
      </c>
      <c r="B599" s="536">
        <v>46160</v>
      </c>
      <c r="C599" s="536">
        <v>46173</v>
      </c>
      <c r="D599" s="319" t="s">
        <v>2927</v>
      </c>
      <c r="E599" s="319" t="s">
        <v>2928</v>
      </c>
      <c r="F599" s="319" t="s">
        <v>1279</v>
      </c>
      <c r="G599" s="319" t="s">
        <v>1029</v>
      </c>
      <c r="H599" s="319" t="s">
        <v>2929</v>
      </c>
      <c r="I599" s="535">
        <v>1572.79</v>
      </c>
      <c r="J599" s="535">
        <v>665</v>
      </c>
      <c r="K599" s="535">
        <v>2237.79</v>
      </c>
      <c r="L599" s="535" t="s">
        <v>86</v>
      </c>
      <c r="M599" s="535" t="s">
        <v>993</v>
      </c>
      <c r="N599" s="537"/>
    </row>
    <row r="600" spans="1:14" ht="15.9" customHeight="1">
      <c r="A600" s="319" t="s">
        <v>1102</v>
      </c>
      <c r="B600" s="536">
        <v>46160</v>
      </c>
      <c r="C600" s="536">
        <v>46163</v>
      </c>
      <c r="D600" s="319" t="s">
        <v>2930</v>
      </c>
      <c r="E600" s="319" t="s">
        <v>2931</v>
      </c>
      <c r="F600" s="319" t="s">
        <v>1396</v>
      </c>
      <c r="G600" s="319" t="s">
        <v>1029</v>
      </c>
      <c r="H600" s="319" t="s">
        <v>2932</v>
      </c>
      <c r="I600" s="535">
        <v>705.4</v>
      </c>
      <c r="J600" s="535">
        <v>950</v>
      </c>
      <c r="K600" s="535">
        <v>1655.4</v>
      </c>
      <c r="L600" s="535" t="s">
        <v>86</v>
      </c>
      <c r="M600" s="535" t="s">
        <v>993</v>
      </c>
      <c r="N600" s="537"/>
    </row>
    <row r="601" spans="1:14" ht="15.9" customHeight="1">
      <c r="A601" s="319" t="s">
        <v>1025</v>
      </c>
      <c r="B601" s="536">
        <v>46160</v>
      </c>
      <c r="C601" s="536">
        <v>46171</v>
      </c>
      <c r="D601" s="319" t="s">
        <v>2933</v>
      </c>
      <c r="E601" s="319" t="s">
        <v>2934</v>
      </c>
      <c r="F601" s="319" t="s">
        <v>1602</v>
      </c>
      <c r="G601" s="319" t="s">
        <v>1029</v>
      </c>
      <c r="H601" s="319" t="s">
        <v>2935</v>
      </c>
      <c r="I601" s="535">
        <v>1713.71</v>
      </c>
      <c r="J601" s="535">
        <v>665</v>
      </c>
      <c r="K601" s="535">
        <v>2378.71</v>
      </c>
      <c r="L601" s="535" t="s">
        <v>86</v>
      </c>
      <c r="M601" s="535" t="s">
        <v>993</v>
      </c>
      <c r="N601" s="537"/>
    </row>
    <row r="602" spans="1:14" ht="15.9" customHeight="1">
      <c r="A602" s="319" t="s">
        <v>1025</v>
      </c>
      <c r="B602" s="536">
        <v>46160</v>
      </c>
      <c r="C602" s="536">
        <v>46173</v>
      </c>
      <c r="D602" s="319" t="s">
        <v>2936</v>
      </c>
      <c r="E602" s="319" t="s">
        <v>2937</v>
      </c>
      <c r="F602" s="319" t="s">
        <v>2938</v>
      </c>
      <c r="G602" s="319" t="s">
        <v>1029</v>
      </c>
      <c r="H602" s="319" t="s">
        <v>2939</v>
      </c>
      <c r="I602" s="535">
        <v>1510.19</v>
      </c>
      <c r="J602" s="535">
        <v>950</v>
      </c>
      <c r="K602" s="535">
        <v>2460.19</v>
      </c>
      <c r="L602" s="535" t="s">
        <v>86</v>
      </c>
      <c r="M602" s="535" t="s">
        <v>993</v>
      </c>
      <c r="N602" s="537"/>
    </row>
    <row r="603" spans="1:14" ht="15.9" customHeight="1">
      <c r="A603" s="319" t="s">
        <v>1025</v>
      </c>
      <c r="B603" s="536">
        <v>46161</v>
      </c>
      <c r="C603" s="536">
        <v>46172</v>
      </c>
      <c r="D603" s="319" t="s">
        <v>2940</v>
      </c>
      <c r="E603" s="319" t="s">
        <v>2941</v>
      </c>
      <c r="F603" s="319" t="s">
        <v>1400</v>
      </c>
      <c r="G603" s="319" t="s">
        <v>1029</v>
      </c>
      <c r="H603" s="319" t="s">
        <v>2942</v>
      </c>
      <c r="I603" s="535">
        <v>1750.57</v>
      </c>
      <c r="J603" s="535">
        <v>665</v>
      </c>
      <c r="K603" s="535">
        <v>2415.5700000000002</v>
      </c>
      <c r="L603" s="535" t="s">
        <v>87</v>
      </c>
      <c r="M603" s="535" t="s">
        <v>993</v>
      </c>
      <c r="N603" s="537"/>
    </row>
    <row r="604" spans="1:14" ht="15.9" customHeight="1">
      <c r="A604" s="319" t="s">
        <v>1077</v>
      </c>
      <c r="B604" s="536">
        <v>46161</v>
      </c>
      <c r="C604" s="536">
        <v>46167</v>
      </c>
      <c r="D604" s="319" t="s">
        <v>2943</v>
      </c>
      <c r="E604" s="319" t="s">
        <v>2944</v>
      </c>
      <c r="F604" s="319" t="s">
        <v>1149</v>
      </c>
      <c r="G604" s="319" t="s">
        <v>1029</v>
      </c>
      <c r="H604" s="319" t="s">
        <v>2945</v>
      </c>
      <c r="I604" s="535">
        <v>1797.19</v>
      </c>
      <c r="J604" s="535">
        <v>665</v>
      </c>
      <c r="K604" s="535">
        <v>2462.19</v>
      </c>
      <c r="L604" s="535" t="s">
        <v>78</v>
      </c>
      <c r="M604" s="535" t="s">
        <v>993</v>
      </c>
      <c r="N604" s="537"/>
    </row>
    <row r="605" spans="1:14" ht="15.9" customHeight="1">
      <c r="A605" s="319" t="s">
        <v>1025</v>
      </c>
      <c r="B605" s="536">
        <v>46161</v>
      </c>
      <c r="C605" s="536">
        <v>46173</v>
      </c>
      <c r="D605" s="319" t="s">
        <v>2946</v>
      </c>
      <c r="E605" s="319" t="s">
        <v>2947</v>
      </c>
      <c r="F605" s="319" t="s">
        <v>1533</v>
      </c>
      <c r="G605" s="319" t="s">
        <v>1029</v>
      </c>
      <c r="H605" s="319" t="s">
        <v>2948</v>
      </c>
      <c r="I605" s="535">
        <v>830.14</v>
      </c>
      <c r="J605" s="535">
        <v>665</v>
      </c>
      <c r="K605" s="535">
        <v>1495.14</v>
      </c>
      <c r="L605" s="535" t="s">
        <v>80</v>
      </c>
      <c r="M605" s="535" t="s">
        <v>993</v>
      </c>
      <c r="N605" s="537"/>
    </row>
    <row r="606" spans="1:14" ht="15.9" customHeight="1">
      <c r="A606" s="319" t="s">
        <v>1054</v>
      </c>
      <c r="B606" s="536">
        <v>46161</v>
      </c>
      <c r="C606" s="536">
        <v>46167</v>
      </c>
      <c r="D606" s="319" t="s">
        <v>2949</v>
      </c>
      <c r="E606" s="319" t="s">
        <v>2950</v>
      </c>
      <c r="F606" s="319" t="s">
        <v>1363</v>
      </c>
      <c r="G606" s="319" t="s">
        <v>1029</v>
      </c>
      <c r="H606" s="319" t="s">
        <v>2951</v>
      </c>
      <c r="I606" s="535">
        <v>1712.16</v>
      </c>
      <c r="J606" s="535">
        <v>665</v>
      </c>
      <c r="K606" s="535">
        <v>2377.16</v>
      </c>
      <c r="L606" s="535" t="s">
        <v>80</v>
      </c>
      <c r="M606" s="535" t="s">
        <v>993</v>
      </c>
      <c r="N606" s="537"/>
    </row>
    <row r="607" spans="1:14" ht="15.9" customHeight="1">
      <c r="A607" s="319" t="s">
        <v>1025</v>
      </c>
      <c r="B607" s="536">
        <v>46161</v>
      </c>
      <c r="C607" s="536">
        <v>46168</v>
      </c>
      <c r="D607" s="319" t="s">
        <v>2952</v>
      </c>
      <c r="E607" s="319" t="s">
        <v>2953</v>
      </c>
      <c r="F607" s="319" t="s">
        <v>1137</v>
      </c>
      <c r="G607" s="319" t="s">
        <v>1029</v>
      </c>
      <c r="H607" s="319" t="s">
        <v>2954</v>
      </c>
      <c r="I607" s="535">
        <v>1350.89</v>
      </c>
      <c r="J607" s="535">
        <v>665</v>
      </c>
      <c r="K607" s="535">
        <v>2015.89</v>
      </c>
      <c r="L607" s="535" t="s">
        <v>80</v>
      </c>
      <c r="M607" s="535" t="s">
        <v>993</v>
      </c>
      <c r="N607" s="537"/>
    </row>
    <row r="608" spans="1:14" ht="15.9" customHeight="1">
      <c r="A608" s="319" t="s">
        <v>1054</v>
      </c>
      <c r="B608" s="536">
        <v>46161</v>
      </c>
      <c r="C608" s="536">
        <v>46168</v>
      </c>
      <c r="D608" s="319" t="s">
        <v>2955</v>
      </c>
      <c r="E608" s="319" t="s">
        <v>2956</v>
      </c>
      <c r="F608" s="319" t="s">
        <v>1092</v>
      </c>
      <c r="G608" s="319" t="s">
        <v>1029</v>
      </c>
      <c r="H608" s="319" t="s">
        <v>2957</v>
      </c>
      <c r="I608" s="535">
        <v>1926.42</v>
      </c>
      <c r="J608" s="535">
        <v>855</v>
      </c>
      <c r="K608" s="535">
        <v>2781.42</v>
      </c>
      <c r="L608" s="535" t="s">
        <v>80</v>
      </c>
      <c r="M608" s="535" t="s">
        <v>1042</v>
      </c>
      <c r="N608" s="537"/>
    </row>
    <row r="609" spans="1:14" ht="15.9" customHeight="1">
      <c r="A609" s="319" t="s">
        <v>1025</v>
      </c>
      <c r="B609" s="536">
        <v>46161</v>
      </c>
      <c r="C609" s="536">
        <v>46172</v>
      </c>
      <c r="D609" s="319" t="s">
        <v>2958</v>
      </c>
      <c r="E609" s="319" t="s">
        <v>2959</v>
      </c>
      <c r="F609" s="319" t="s">
        <v>1474</v>
      </c>
      <c r="G609" s="319" t="s">
        <v>1029</v>
      </c>
      <c r="H609" s="319" t="s">
        <v>2960</v>
      </c>
      <c r="I609" s="535">
        <v>1187.24</v>
      </c>
      <c r="J609" s="535">
        <v>770</v>
      </c>
      <c r="K609" s="535">
        <v>1957.24</v>
      </c>
      <c r="L609" s="535" t="s">
        <v>80</v>
      </c>
      <c r="M609" s="535" t="s">
        <v>993</v>
      </c>
      <c r="N609" s="537"/>
    </row>
    <row r="610" spans="1:14" ht="15.9" customHeight="1">
      <c r="A610" s="319" t="s">
        <v>1025</v>
      </c>
      <c r="B610" s="536">
        <v>46161</v>
      </c>
      <c r="C610" s="536">
        <v>46166</v>
      </c>
      <c r="D610" s="319" t="s">
        <v>2961</v>
      </c>
      <c r="E610" s="319" t="s">
        <v>2962</v>
      </c>
      <c r="F610" s="319" t="s">
        <v>1149</v>
      </c>
      <c r="G610" s="319" t="s">
        <v>1029</v>
      </c>
      <c r="H610" s="319" t="s">
        <v>2963</v>
      </c>
      <c r="I610" s="535">
        <v>1492.48</v>
      </c>
      <c r="J610" s="535">
        <v>665</v>
      </c>
      <c r="K610" s="535">
        <v>2157.48</v>
      </c>
      <c r="L610" s="535" t="s">
        <v>80</v>
      </c>
      <c r="M610" s="535" t="s">
        <v>993</v>
      </c>
      <c r="N610" s="537" t="s">
        <v>1118</v>
      </c>
    </row>
    <row r="611" spans="1:14" ht="15.9" customHeight="1">
      <c r="A611" s="319" t="s">
        <v>1213</v>
      </c>
      <c r="B611" s="536">
        <v>46161</v>
      </c>
      <c r="C611" s="536">
        <v>46169</v>
      </c>
      <c r="D611" s="319" t="s">
        <v>2964</v>
      </c>
      <c r="E611" s="319" t="s">
        <v>2965</v>
      </c>
      <c r="F611" s="319" t="s">
        <v>1108</v>
      </c>
      <c r="G611" s="319" t="s">
        <v>1029</v>
      </c>
      <c r="H611" s="319" t="s">
        <v>2966</v>
      </c>
      <c r="I611" s="535">
        <v>2328.13</v>
      </c>
      <c r="J611" s="535">
        <v>950</v>
      </c>
      <c r="K611" s="535">
        <v>3278.13</v>
      </c>
      <c r="L611" s="535" t="s">
        <v>80</v>
      </c>
      <c r="M611" s="535" t="s">
        <v>1042</v>
      </c>
      <c r="N611" s="537"/>
    </row>
    <row r="612" spans="1:14" ht="15.9" customHeight="1">
      <c r="A612" s="319" t="s">
        <v>1125</v>
      </c>
      <c r="B612" s="536">
        <v>46161</v>
      </c>
      <c r="C612" s="536">
        <v>46163</v>
      </c>
      <c r="D612" s="319" t="s">
        <v>2967</v>
      </c>
      <c r="E612" s="319" t="s">
        <v>2968</v>
      </c>
      <c r="F612" s="319" t="s">
        <v>1036</v>
      </c>
      <c r="G612" s="319" t="s">
        <v>1029</v>
      </c>
      <c r="H612" s="319" t="s">
        <v>2969</v>
      </c>
      <c r="I612" s="535">
        <v>591</v>
      </c>
      <c r="J612" s="535">
        <v>665</v>
      </c>
      <c r="K612" s="535">
        <v>1256</v>
      </c>
      <c r="L612" s="535" t="s">
        <v>87</v>
      </c>
      <c r="M612" s="535" t="s">
        <v>993</v>
      </c>
      <c r="N612" s="537"/>
    </row>
    <row r="613" spans="1:14" ht="15.9" customHeight="1">
      <c r="A613" s="319" t="s">
        <v>1025</v>
      </c>
      <c r="B613" s="536">
        <v>46161</v>
      </c>
      <c r="C613" s="536">
        <v>46171</v>
      </c>
      <c r="D613" s="319" t="s">
        <v>2970</v>
      </c>
      <c r="E613" s="319" t="s">
        <v>2971</v>
      </c>
      <c r="F613" s="319" t="s">
        <v>1100</v>
      </c>
      <c r="G613" s="319" t="s">
        <v>1029</v>
      </c>
      <c r="H613" s="319" t="s">
        <v>2972</v>
      </c>
      <c r="I613" s="535">
        <v>2643.03</v>
      </c>
      <c r="J613" s="535">
        <v>855</v>
      </c>
      <c r="K613" s="535">
        <v>3498.03</v>
      </c>
      <c r="L613" s="535" t="s">
        <v>86</v>
      </c>
      <c r="M613" s="535" t="s">
        <v>993</v>
      </c>
      <c r="N613" s="537"/>
    </row>
    <row r="614" spans="1:14" ht="15.9" customHeight="1">
      <c r="A614" s="319" t="s">
        <v>1025</v>
      </c>
      <c r="B614" s="536">
        <v>46161</v>
      </c>
      <c r="C614" s="536">
        <v>46165</v>
      </c>
      <c r="D614" s="319" t="s">
        <v>2973</v>
      </c>
      <c r="E614" s="319" t="s">
        <v>2974</v>
      </c>
      <c r="F614" s="319" t="s">
        <v>1827</v>
      </c>
      <c r="G614" s="319" t="s">
        <v>1029</v>
      </c>
      <c r="H614" s="319" t="s">
        <v>2975</v>
      </c>
      <c r="I614" s="535">
        <v>1888.12</v>
      </c>
      <c r="J614" s="535">
        <v>665</v>
      </c>
      <c r="K614" s="535">
        <v>2553.12</v>
      </c>
      <c r="L614" s="535" t="s">
        <v>79</v>
      </c>
      <c r="M614" s="535" t="s">
        <v>993</v>
      </c>
      <c r="N614" s="537"/>
    </row>
    <row r="615" spans="1:14" ht="15.9" customHeight="1">
      <c r="A615" s="319" t="s">
        <v>1054</v>
      </c>
      <c r="B615" s="536">
        <v>46161</v>
      </c>
      <c r="C615" s="536">
        <v>46163</v>
      </c>
      <c r="D615" s="319" t="s">
        <v>2976</v>
      </c>
      <c r="E615" s="319" t="s">
        <v>2977</v>
      </c>
      <c r="F615" s="319" t="s">
        <v>1113</v>
      </c>
      <c r="G615" s="319" t="s">
        <v>1029</v>
      </c>
      <c r="H615" s="319" t="s">
        <v>2978</v>
      </c>
      <c r="I615" s="535">
        <v>2735.77</v>
      </c>
      <c r="J615" s="535">
        <v>855</v>
      </c>
      <c r="K615" s="535">
        <v>3590.77</v>
      </c>
      <c r="L615" s="535" t="s">
        <v>79</v>
      </c>
      <c r="M615" s="535" t="s">
        <v>1042</v>
      </c>
      <c r="N615" s="537"/>
    </row>
    <row r="616" spans="1:14" ht="15.9" customHeight="1">
      <c r="A616" s="319" t="s">
        <v>1102</v>
      </c>
      <c r="B616" s="536">
        <v>46161</v>
      </c>
      <c r="C616" s="536">
        <v>46164</v>
      </c>
      <c r="D616" s="319" t="s">
        <v>2979</v>
      </c>
      <c r="E616" s="319" t="s">
        <v>2980</v>
      </c>
      <c r="F616" s="319" t="s">
        <v>1463</v>
      </c>
      <c r="G616" s="319" t="s">
        <v>1029</v>
      </c>
      <c r="H616" s="319" t="s">
        <v>2981</v>
      </c>
      <c r="I616" s="535">
        <v>892.1</v>
      </c>
      <c r="J616" s="535">
        <v>700</v>
      </c>
      <c r="K616" s="535">
        <v>1592.1</v>
      </c>
      <c r="L616" s="535" t="s">
        <v>80</v>
      </c>
      <c r="M616" s="535" t="s">
        <v>993</v>
      </c>
      <c r="N616" s="537"/>
    </row>
    <row r="617" spans="1:14" ht="15.9" customHeight="1">
      <c r="A617" s="319" t="s">
        <v>1025</v>
      </c>
      <c r="B617" s="536">
        <v>46162</v>
      </c>
      <c r="C617" s="536">
        <v>46164</v>
      </c>
      <c r="D617" s="319" t="s">
        <v>2982</v>
      </c>
      <c r="E617" s="319" t="s">
        <v>2983</v>
      </c>
      <c r="F617" s="319" t="s">
        <v>1353</v>
      </c>
      <c r="G617" s="319" t="s">
        <v>1029</v>
      </c>
      <c r="H617" s="319" t="s">
        <v>2984</v>
      </c>
      <c r="I617" s="535">
        <v>1156.6400000000001</v>
      </c>
      <c r="J617" s="535">
        <v>665</v>
      </c>
      <c r="K617" s="535">
        <v>1821.64</v>
      </c>
      <c r="L617" s="535" t="s">
        <v>78</v>
      </c>
      <c r="M617" s="535" t="s">
        <v>993</v>
      </c>
      <c r="N617" s="537"/>
    </row>
    <row r="618" spans="1:14" ht="15.9" customHeight="1">
      <c r="A618" s="319" t="s">
        <v>1025</v>
      </c>
      <c r="B618" s="536">
        <v>46162</v>
      </c>
      <c r="C618" s="536">
        <v>46171</v>
      </c>
      <c r="D618" s="319" t="s">
        <v>2985</v>
      </c>
      <c r="E618" s="319" t="s">
        <v>2986</v>
      </c>
      <c r="F618" s="319" t="s">
        <v>1396</v>
      </c>
      <c r="G618" s="319" t="s">
        <v>1029</v>
      </c>
      <c r="H618" s="319" t="s">
        <v>2987</v>
      </c>
      <c r="I618" s="535">
        <v>1049</v>
      </c>
      <c r="J618" s="535">
        <v>665</v>
      </c>
      <c r="K618" s="535">
        <v>1714</v>
      </c>
      <c r="L618" s="535" t="s">
        <v>78</v>
      </c>
      <c r="M618" s="535" t="s">
        <v>993</v>
      </c>
      <c r="N618" s="537"/>
    </row>
    <row r="619" spans="1:14" ht="15.9" customHeight="1">
      <c r="A619" s="319" t="s">
        <v>1025</v>
      </c>
      <c r="B619" s="536">
        <v>46162</v>
      </c>
      <c r="C619" s="536">
        <v>46166</v>
      </c>
      <c r="D619" s="319" t="s">
        <v>2988</v>
      </c>
      <c r="E619" s="319" t="s">
        <v>2989</v>
      </c>
      <c r="F619" s="319" t="s">
        <v>1404</v>
      </c>
      <c r="G619" s="319" t="s">
        <v>1029</v>
      </c>
      <c r="H619" s="319" t="s">
        <v>2990</v>
      </c>
      <c r="I619" s="535">
        <v>1097.8800000000001</v>
      </c>
      <c r="J619" s="535">
        <v>665</v>
      </c>
      <c r="K619" s="535">
        <v>1762.88</v>
      </c>
      <c r="L619" s="535" t="s">
        <v>87</v>
      </c>
      <c r="M619" s="535" t="s">
        <v>993</v>
      </c>
      <c r="N619" s="537"/>
    </row>
    <row r="620" spans="1:14" ht="15.9" customHeight="1">
      <c r="A620" s="319" t="s">
        <v>1054</v>
      </c>
      <c r="B620" s="536">
        <v>46162</v>
      </c>
      <c r="C620" s="536">
        <v>46163</v>
      </c>
      <c r="D620" s="319" t="s">
        <v>2991</v>
      </c>
      <c r="E620" s="319" t="s">
        <v>2992</v>
      </c>
      <c r="F620" s="319" t="s">
        <v>1219</v>
      </c>
      <c r="G620" s="319" t="s">
        <v>1029</v>
      </c>
      <c r="H620" s="319" t="s">
        <v>2993</v>
      </c>
      <c r="I620" s="535">
        <v>1993.26</v>
      </c>
      <c r="J620" s="535">
        <v>760</v>
      </c>
      <c r="K620" s="535">
        <v>2753.26</v>
      </c>
      <c r="L620" s="535" t="s">
        <v>87</v>
      </c>
      <c r="M620" s="535" t="s">
        <v>993</v>
      </c>
      <c r="N620" s="537"/>
    </row>
    <row r="621" spans="1:14" ht="15.9" customHeight="1">
      <c r="A621" s="319" t="s">
        <v>1077</v>
      </c>
      <c r="B621" s="536">
        <v>46162</v>
      </c>
      <c r="C621" s="536">
        <v>46165</v>
      </c>
      <c r="D621" s="319" t="s">
        <v>2994</v>
      </c>
      <c r="E621" s="319" t="s">
        <v>2995</v>
      </c>
      <c r="F621" s="319" t="s">
        <v>1256</v>
      </c>
      <c r="G621" s="319" t="s">
        <v>1029</v>
      </c>
      <c r="H621" s="319" t="s">
        <v>2996</v>
      </c>
      <c r="I621" s="535">
        <v>1409.98</v>
      </c>
      <c r="J621" s="535">
        <v>700</v>
      </c>
      <c r="K621" s="535">
        <v>2109.98</v>
      </c>
      <c r="L621" s="535" t="s">
        <v>80</v>
      </c>
      <c r="M621" s="535" t="s">
        <v>993</v>
      </c>
      <c r="N621" s="537"/>
    </row>
    <row r="622" spans="1:14" ht="15.9" customHeight="1">
      <c r="A622" s="319" t="s">
        <v>1067</v>
      </c>
      <c r="B622" s="536">
        <v>46162</v>
      </c>
      <c r="C622" s="536">
        <v>46163</v>
      </c>
      <c r="D622" s="319" t="s">
        <v>2997</v>
      </c>
      <c r="E622" s="319" t="s">
        <v>2998</v>
      </c>
      <c r="F622" s="319" t="s">
        <v>2999</v>
      </c>
      <c r="G622" s="319" t="s">
        <v>1029</v>
      </c>
      <c r="H622" s="319" t="s">
        <v>3000</v>
      </c>
      <c r="I622" s="535">
        <v>1991.25</v>
      </c>
      <c r="J622" s="535">
        <v>950</v>
      </c>
      <c r="K622" s="535">
        <v>2941.25</v>
      </c>
      <c r="L622" s="535" t="s">
        <v>80</v>
      </c>
      <c r="M622" s="535" t="s">
        <v>993</v>
      </c>
      <c r="N622" s="537"/>
    </row>
    <row r="623" spans="1:14" ht="15.9" customHeight="1">
      <c r="A623" s="319" t="s">
        <v>1025</v>
      </c>
      <c r="B623" s="536">
        <v>46162</v>
      </c>
      <c r="C623" s="536">
        <v>46168</v>
      </c>
      <c r="D623" s="319" t="s">
        <v>3001</v>
      </c>
      <c r="E623" s="319" t="s">
        <v>3002</v>
      </c>
      <c r="F623" s="319" t="s">
        <v>1329</v>
      </c>
      <c r="G623" s="319" t="s">
        <v>1029</v>
      </c>
      <c r="H623" s="319" t="s">
        <v>3003</v>
      </c>
      <c r="I623" s="535">
        <v>2618.62</v>
      </c>
      <c r="J623" s="535">
        <v>950</v>
      </c>
      <c r="K623" s="535">
        <v>3568.62</v>
      </c>
      <c r="L623" s="535" t="s">
        <v>80</v>
      </c>
      <c r="M623" s="535" t="s">
        <v>1042</v>
      </c>
      <c r="N623" s="537"/>
    </row>
    <row r="624" spans="1:14" ht="15.9" customHeight="1">
      <c r="A624" s="319" t="s">
        <v>1054</v>
      </c>
      <c r="B624" s="536">
        <v>46162</v>
      </c>
      <c r="C624" s="536">
        <v>46164</v>
      </c>
      <c r="D624" s="319" t="s">
        <v>3004</v>
      </c>
      <c r="E624" s="319" t="s">
        <v>3005</v>
      </c>
      <c r="F624" s="319" t="s">
        <v>2805</v>
      </c>
      <c r="G624" s="319" t="s">
        <v>1029</v>
      </c>
      <c r="H624" s="319" t="s">
        <v>3006</v>
      </c>
      <c r="I624" s="535">
        <v>3231.55</v>
      </c>
      <c r="J624" s="535">
        <v>855</v>
      </c>
      <c r="K624" s="535">
        <v>4086.55</v>
      </c>
      <c r="L624" s="535" t="s">
        <v>86</v>
      </c>
      <c r="M624" s="535" t="s">
        <v>1042</v>
      </c>
      <c r="N624" s="537"/>
    </row>
    <row r="625" spans="1:14" ht="15.9" customHeight="1">
      <c r="A625" s="319" t="s">
        <v>1025</v>
      </c>
      <c r="B625" s="536">
        <v>46162</v>
      </c>
      <c r="C625" s="536">
        <v>46166</v>
      </c>
      <c r="D625" s="319" t="s">
        <v>3007</v>
      </c>
      <c r="E625" s="319" t="s">
        <v>3008</v>
      </c>
      <c r="F625" s="319" t="s">
        <v>1315</v>
      </c>
      <c r="G625" s="319" t="s">
        <v>1029</v>
      </c>
      <c r="H625" s="319" t="s">
        <v>3009</v>
      </c>
      <c r="I625" s="535">
        <v>1243.51</v>
      </c>
      <c r="J625" s="535">
        <v>665</v>
      </c>
      <c r="K625" s="535">
        <v>1908.51</v>
      </c>
      <c r="L625" s="535" t="s">
        <v>86</v>
      </c>
      <c r="M625" s="535" t="s">
        <v>993</v>
      </c>
      <c r="N625" s="537"/>
    </row>
    <row r="626" spans="1:14" ht="15.9" customHeight="1">
      <c r="A626" s="319" t="s">
        <v>1143</v>
      </c>
      <c r="B626" s="536">
        <v>46162</v>
      </c>
      <c r="C626" s="536">
        <v>46170</v>
      </c>
      <c r="D626" s="319" t="s">
        <v>3010</v>
      </c>
      <c r="E626" s="319" t="s">
        <v>3011</v>
      </c>
      <c r="F626" s="319" t="s">
        <v>3012</v>
      </c>
      <c r="G626" s="319" t="s">
        <v>1029</v>
      </c>
      <c r="H626" s="319" t="s">
        <v>3013</v>
      </c>
      <c r="I626" s="535">
        <v>550.01</v>
      </c>
      <c r="J626" s="535">
        <v>665</v>
      </c>
      <c r="K626" s="535">
        <v>1215.01</v>
      </c>
      <c r="L626" s="535" t="s">
        <v>86</v>
      </c>
      <c r="M626" s="535" t="s">
        <v>993</v>
      </c>
      <c r="N626" s="537"/>
    </row>
    <row r="627" spans="1:14" ht="15.9" customHeight="1">
      <c r="A627" s="319" t="s">
        <v>1082</v>
      </c>
      <c r="B627" s="536">
        <v>46163</v>
      </c>
      <c r="C627" s="536">
        <v>46171</v>
      </c>
      <c r="D627" s="319" t="s">
        <v>3014</v>
      </c>
      <c r="E627" s="319" t="s">
        <v>3015</v>
      </c>
      <c r="F627" s="319" t="s">
        <v>1236</v>
      </c>
      <c r="G627" s="319" t="s">
        <v>1029</v>
      </c>
      <c r="H627" s="319" t="s">
        <v>3016</v>
      </c>
      <c r="I627" s="535">
        <v>2038.75</v>
      </c>
      <c r="J627" s="535">
        <v>665</v>
      </c>
      <c r="K627" s="535">
        <v>2703.75</v>
      </c>
      <c r="L627" s="535" t="s">
        <v>87</v>
      </c>
      <c r="M627" s="535" t="s">
        <v>994</v>
      </c>
      <c r="N627" s="537"/>
    </row>
    <row r="628" spans="1:14" ht="15.9" customHeight="1">
      <c r="A628" s="319" t="s">
        <v>1143</v>
      </c>
      <c r="B628" s="536">
        <v>46163</v>
      </c>
      <c r="C628" s="536">
        <v>46170</v>
      </c>
      <c r="D628" s="319" t="s">
        <v>3017</v>
      </c>
      <c r="E628" s="319" t="s">
        <v>3018</v>
      </c>
      <c r="F628" s="319" t="s">
        <v>3019</v>
      </c>
      <c r="G628" s="319" t="s">
        <v>1029</v>
      </c>
      <c r="H628" s="319" t="s">
        <v>3020</v>
      </c>
      <c r="I628" s="535">
        <v>1718.32</v>
      </c>
      <c r="J628" s="535">
        <v>760</v>
      </c>
      <c r="K628" s="535">
        <v>2478.3200000000002</v>
      </c>
      <c r="L628" s="535" t="s">
        <v>87</v>
      </c>
      <c r="M628" s="535" t="s">
        <v>993</v>
      </c>
      <c r="N628" s="537"/>
    </row>
    <row r="629" spans="1:14" ht="15.9" customHeight="1">
      <c r="A629" s="319" t="s">
        <v>1054</v>
      </c>
      <c r="B629" s="536">
        <v>46163</v>
      </c>
      <c r="C629" s="536">
        <v>46169</v>
      </c>
      <c r="D629" s="319" t="s">
        <v>3021</v>
      </c>
      <c r="E629" s="319" t="s">
        <v>3022</v>
      </c>
      <c r="F629" s="319" t="s">
        <v>1149</v>
      </c>
      <c r="G629" s="319" t="s">
        <v>1029</v>
      </c>
      <c r="H629" s="319" t="s">
        <v>3023</v>
      </c>
      <c r="I629" s="535">
        <v>2000.78</v>
      </c>
      <c r="J629" s="535">
        <v>665</v>
      </c>
      <c r="K629" s="535">
        <v>2665.78</v>
      </c>
      <c r="L629" s="535" t="s">
        <v>80</v>
      </c>
      <c r="M629" s="535" t="s">
        <v>993</v>
      </c>
      <c r="N629" s="537"/>
    </row>
    <row r="630" spans="1:14" ht="15.9" customHeight="1">
      <c r="A630" s="319" t="s">
        <v>1025</v>
      </c>
      <c r="B630" s="536">
        <v>46163</v>
      </c>
      <c r="C630" s="536">
        <v>46169</v>
      </c>
      <c r="D630" s="319" t="s">
        <v>3024</v>
      </c>
      <c r="E630" s="319" t="s">
        <v>3025</v>
      </c>
      <c r="F630" s="319" t="s">
        <v>1463</v>
      </c>
      <c r="G630" s="319" t="s">
        <v>1029</v>
      </c>
      <c r="H630" s="319" t="s">
        <v>3026</v>
      </c>
      <c r="I630" s="535">
        <v>966.18</v>
      </c>
      <c r="J630" s="535">
        <v>665</v>
      </c>
      <c r="K630" s="535">
        <v>1631.18</v>
      </c>
      <c r="L630" s="535" t="s">
        <v>80</v>
      </c>
      <c r="M630" s="535" t="s">
        <v>993</v>
      </c>
      <c r="N630" s="537"/>
    </row>
    <row r="631" spans="1:14" ht="15.9" customHeight="1">
      <c r="A631" s="319" t="s">
        <v>1025</v>
      </c>
      <c r="B631" s="536">
        <v>46163</v>
      </c>
      <c r="C631" s="536">
        <v>46166</v>
      </c>
      <c r="D631" s="319" t="s">
        <v>3027</v>
      </c>
      <c r="E631" s="319" t="s">
        <v>3028</v>
      </c>
      <c r="F631" s="319" t="s">
        <v>3029</v>
      </c>
      <c r="G631" s="319" t="s">
        <v>1029</v>
      </c>
      <c r="H631" s="319" t="s">
        <v>3030</v>
      </c>
      <c r="I631" s="535">
        <v>1449</v>
      </c>
      <c r="J631" s="535">
        <v>665</v>
      </c>
      <c r="K631" s="535">
        <v>2114</v>
      </c>
      <c r="L631" s="535" t="s">
        <v>78</v>
      </c>
      <c r="M631" s="535" t="s">
        <v>993</v>
      </c>
      <c r="N631" s="537"/>
    </row>
    <row r="632" spans="1:14" ht="15.9" customHeight="1">
      <c r="A632" s="319" t="s">
        <v>1102</v>
      </c>
      <c r="B632" s="536">
        <v>46164</v>
      </c>
      <c r="C632" s="536">
        <v>46168</v>
      </c>
      <c r="D632" s="319" t="s">
        <v>3031</v>
      </c>
      <c r="E632" s="319" t="s">
        <v>3032</v>
      </c>
      <c r="F632" s="319" t="s">
        <v>1279</v>
      </c>
      <c r="G632" s="319" t="s">
        <v>1029</v>
      </c>
      <c r="H632" s="319" t="s">
        <v>3033</v>
      </c>
      <c r="I632" s="535">
        <v>1223.93</v>
      </c>
      <c r="J632" s="535">
        <v>665</v>
      </c>
      <c r="K632" s="535">
        <v>1888.93</v>
      </c>
      <c r="L632" s="535" t="s">
        <v>80</v>
      </c>
      <c r="M632" s="535" t="s">
        <v>993</v>
      </c>
      <c r="N632" s="537"/>
    </row>
    <row r="633" spans="1:14" ht="15.9" customHeight="1">
      <c r="A633" s="319" t="s">
        <v>1249</v>
      </c>
      <c r="B633" s="536">
        <v>46164</v>
      </c>
      <c r="C633" s="536">
        <v>46165</v>
      </c>
      <c r="D633" s="319" t="s">
        <v>3034</v>
      </c>
      <c r="E633" s="319" t="s">
        <v>3035</v>
      </c>
      <c r="F633" s="319" t="s">
        <v>1092</v>
      </c>
      <c r="G633" s="319" t="s">
        <v>1029</v>
      </c>
      <c r="H633" s="319" t="s">
        <v>3036</v>
      </c>
      <c r="I633" s="535">
        <v>1896.79</v>
      </c>
      <c r="J633" s="535">
        <v>855</v>
      </c>
      <c r="K633" s="535">
        <v>2751.79</v>
      </c>
      <c r="L633" s="535" t="s">
        <v>86</v>
      </c>
      <c r="M633" s="535" t="s">
        <v>1042</v>
      </c>
      <c r="N633" s="537"/>
    </row>
    <row r="634" spans="1:14" ht="15.9" customHeight="1">
      <c r="A634" s="319" t="s">
        <v>1025</v>
      </c>
      <c r="B634" s="536">
        <v>46165</v>
      </c>
      <c r="C634" s="536">
        <v>46167</v>
      </c>
      <c r="D634" s="319" t="s">
        <v>3037</v>
      </c>
      <c r="E634" s="319" t="s">
        <v>3038</v>
      </c>
      <c r="F634" s="319" t="s">
        <v>3039</v>
      </c>
      <c r="G634" s="319" t="s">
        <v>1029</v>
      </c>
      <c r="H634" s="319" t="s">
        <v>3040</v>
      </c>
      <c r="I634" s="535">
        <v>1975.69</v>
      </c>
      <c r="J634" s="535">
        <v>760</v>
      </c>
      <c r="K634" s="535">
        <v>2735.69</v>
      </c>
      <c r="L634" s="535" t="s">
        <v>87</v>
      </c>
      <c r="M634" s="535" t="s">
        <v>993</v>
      </c>
      <c r="N634" s="537"/>
    </row>
    <row r="635" spans="1:14" ht="15.9" customHeight="1">
      <c r="A635" s="319" t="s">
        <v>1125</v>
      </c>
      <c r="B635" s="536">
        <v>46165</v>
      </c>
      <c r="C635" s="536">
        <v>46167</v>
      </c>
      <c r="D635" s="319" t="s">
        <v>3041</v>
      </c>
      <c r="E635" s="319" t="s">
        <v>3042</v>
      </c>
      <c r="F635" s="319" t="s">
        <v>1912</v>
      </c>
      <c r="G635" s="319" t="s">
        <v>1029</v>
      </c>
      <c r="H635" s="319" t="s">
        <v>3043</v>
      </c>
      <c r="I635" s="535">
        <v>1364.93</v>
      </c>
      <c r="J635" s="535">
        <v>665</v>
      </c>
      <c r="K635" s="535">
        <v>2029.93</v>
      </c>
      <c r="L635" s="535" t="s">
        <v>86</v>
      </c>
      <c r="M635" s="535" t="s">
        <v>993</v>
      </c>
      <c r="N635" s="537"/>
    </row>
    <row r="636" spans="1:14" ht="15.9" customHeight="1">
      <c r="A636" s="319" t="s">
        <v>1077</v>
      </c>
      <c r="B636" s="536">
        <v>46166</v>
      </c>
      <c r="C636" s="536">
        <v>46171</v>
      </c>
      <c r="D636" s="319" t="s">
        <v>3044</v>
      </c>
      <c r="E636" s="319" t="s">
        <v>3045</v>
      </c>
      <c r="F636" s="319" t="s">
        <v>1567</v>
      </c>
      <c r="G636" s="319" t="s">
        <v>1029</v>
      </c>
      <c r="H636" s="319" t="s">
        <v>3046</v>
      </c>
      <c r="I636" s="535">
        <v>1435.59</v>
      </c>
      <c r="J636" s="535">
        <v>950</v>
      </c>
      <c r="K636" s="535">
        <v>2385.59</v>
      </c>
      <c r="L636" s="535" t="s">
        <v>80</v>
      </c>
      <c r="M636" s="535" t="s">
        <v>993</v>
      </c>
      <c r="N636" s="537"/>
    </row>
    <row r="637" spans="1:14" ht="15.9" customHeight="1">
      <c r="A637" s="319" t="s">
        <v>1331</v>
      </c>
      <c r="B637" s="536">
        <v>46166</v>
      </c>
      <c r="C637" s="536">
        <v>46169</v>
      </c>
      <c r="D637" s="319" t="s">
        <v>3047</v>
      </c>
      <c r="E637" s="319" t="s">
        <v>3048</v>
      </c>
      <c r="F637" s="319" t="s">
        <v>1149</v>
      </c>
      <c r="G637" s="319" t="s">
        <v>1029</v>
      </c>
      <c r="H637" s="319" t="s">
        <v>3049</v>
      </c>
      <c r="I637" s="535">
        <v>1803.3</v>
      </c>
      <c r="J637" s="535">
        <v>665</v>
      </c>
      <c r="K637" s="535">
        <v>2468.3000000000002</v>
      </c>
      <c r="L637" s="535" t="s">
        <v>80</v>
      </c>
      <c r="M637" s="535" t="s">
        <v>993</v>
      </c>
      <c r="N637" s="537"/>
    </row>
    <row r="638" spans="1:14" ht="15.9" customHeight="1">
      <c r="A638" s="319" t="s">
        <v>1025</v>
      </c>
      <c r="B638" s="536">
        <v>46166</v>
      </c>
      <c r="C638" s="536">
        <v>46168</v>
      </c>
      <c r="D638" s="319" t="s">
        <v>3050</v>
      </c>
      <c r="E638" s="319" t="s">
        <v>3051</v>
      </c>
      <c r="F638" s="319" t="s">
        <v>1256</v>
      </c>
      <c r="G638" s="319" t="s">
        <v>1029</v>
      </c>
      <c r="H638" s="319" t="s">
        <v>3052</v>
      </c>
      <c r="I638" s="535">
        <v>1291.5999999999999</v>
      </c>
      <c r="J638" s="535">
        <v>665</v>
      </c>
      <c r="K638" s="535">
        <v>1956.6</v>
      </c>
      <c r="L638" s="535" t="s">
        <v>87</v>
      </c>
      <c r="M638" s="535" t="s">
        <v>993</v>
      </c>
      <c r="N638" s="537" t="s">
        <v>1118</v>
      </c>
    </row>
    <row r="639" spans="1:14" ht="15.9" customHeight="1">
      <c r="A639" s="319" t="s">
        <v>1025</v>
      </c>
      <c r="B639" s="536">
        <v>46166</v>
      </c>
      <c r="C639" s="536">
        <v>46167</v>
      </c>
      <c r="D639" s="319" t="s">
        <v>3053</v>
      </c>
      <c r="E639" s="319" t="s">
        <v>3054</v>
      </c>
      <c r="F639" s="319" t="s">
        <v>1108</v>
      </c>
      <c r="G639" s="319" t="s">
        <v>1029</v>
      </c>
      <c r="H639" s="319" t="s">
        <v>3055</v>
      </c>
      <c r="I639" s="535">
        <v>1525.24</v>
      </c>
      <c r="J639" s="535">
        <v>665</v>
      </c>
      <c r="K639" s="535">
        <v>2190.2399999999998</v>
      </c>
      <c r="L639" s="535" t="s">
        <v>78</v>
      </c>
      <c r="M639" s="535" t="s">
        <v>993</v>
      </c>
      <c r="N639" s="537" t="s">
        <v>1118</v>
      </c>
    </row>
    <row r="640" spans="1:14" ht="15.9" customHeight="1">
      <c r="A640" s="319" t="s">
        <v>1025</v>
      </c>
      <c r="B640" s="536">
        <v>46167</v>
      </c>
      <c r="C640" s="536">
        <v>46169</v>
      </c>
      <c r="D640" s="319" t="s">
        <v>3056</v>
      </c>
      <c r="E640" s="319" t="s">
        <v>3057</v>
      </c>
      <c r="F640" s="319" t="s">
        <v>1100</v>
      </c>
      <c r="G640" s="319" t="s">
        <v>1029</v>
      </c>
      <c r="H640" s="319" t="s">
        <v>3058</v>
      </c>
      <c r="I640" s="535">
        <v>2048</v>
      </c>
      <c r="J640" s="535">
        <v>855</v>
      </c>
      <c r="K640" s="535">
        <v>2903</v>
      </c>
      <c r="L640" s="535" t="s">
        <v>87</v>
      </c>
      <c r="M640" s="535" t="s">
        <v>1042</v>
      </c>
      <c r="N640" s="537"/>
    </row>
    <row r="641" spans="1:14" ht="15.9" customHeight="1">
      <c r="A641" s="319" t="s">
        <v>1054</v>
      </c>
      <c r="B641" s="536">
        <v>46167</v>
      </c>
      <c r="C641" s="536">
        <v>46170</v>
      </c>
      <c r="D641" s="319" t="s">
        <v>3059</v>
      </c>
      <c r="E641" s="319" t="s">
        <v>3060</v>
      </c>
      <c r="F641" s="319" t="s">
        <v>1057</v>
      </c>
      <c r="G641" s="319" t="s">
        <v>1029</v>
      </c>
      <c r="H641" s="319" t="s">
        <v>3061</v>
      </c>
      <c r="I641" s="535">
        <v>1824.56</v>
      </c>
      <c r="J641" s="535">
        <v>760</v>
      </c>
      <c r="K641" s="535">
        <v>2584.56</v>
      </c>
      <c r="L641" s="535" t="s">
        <v>87</v>
      </c>
      <c r="M641" s="535" t="s">
        <v>994</v>
      </c>
      <c r="N641" s="537"/>
    </row>
    <row r="642" spans="1:14" ht="15.9" customHeight="1">
      <c r="A642" s="319" t="s">
        <v>1143</v>
      </c>
      <c r="B642" s="536">
        <v>46167</v>
      </c>
      <c r="C642" s="536">
        <v>46173</v>
      </c>
      <c r="D642" s="319" t="s">
        <v>3062</v>
      </c>
      <c r="E642" s="319" t="s">
        <v>3063</v>
      </c>
      <c r="F642" s="319" t="s">
        <v>1404</v>
      </c>
      <c r="G642" s="319" t="s">
        <v>1029</v>
      </c>
      <c r="H642" s="319" t="s">
        <v>3064</v>
      </c>
      <c r="I642" s="535">
        <v>837.01</v>
      </c>
      <c r="J642" s="535">
        <v>700</v>
      </c>
      <c r="K642" s="535">
        <v>1537.01</v>
      </c>
      <c r="L642" s="535" t="s">
        <v>87</v>
      </c>
      <c r="M642" s="535" t="s">
        <v>993</v>
      </c>
      <c r="N642" s="537"/>
    </row>
    <row r="643" spans="1:14" ht="15.9" customHeight="1">
      <c r="A643" s="319" t="s">
        <v>1077</v>
      </c>
      <c r="B643" s="536">
        <v>46167</v>
      </c>
      <c r="C643" s="536">
        <v>46172</v>
      </c>
      <c r="D643" s="319" t="s">
        <v>3065</v>
      </c>
      <c r="E643" s="319" t="s">
        <v>3066</v>
      </c>
      <c r="F643" s="319" t="s">
        <v>3067</v>
      </c>
      <c r="G643" s="319" t="s">
        <v>995</v>
      </c>
      <c r="H643" s="319" t="s">
        <v>3068</v>
      </c>
      <c r="I643" s="535">
        <v>6961.28</v>
      </c>
      <c r="J643" s="535">
        <v>760</v>
      </c>
      <c r="K643" s="535">
        <v>7721.28</v>
      </c>
      <c r="L643" s="535" t="s">
        <v>86</v>
      </c>
      <c r="M643" s="535" t="s">
        <v>995</v>
      </c>
      <c r="N643" s="537"/>
    </row>
    <row r="644" spans="1:14" ht="15.9" customHeight="1">
      <c r="A644" s="319" t="s">
        <v>1102</v>
      </c>
      <c r="B644" s="536">
        <v>46167</v>
      </c>
      <c r="C644" s="536">
        <v>46167</v>
      </c>
      <c r="D644" s="319" t="s">
        <v>3069</v>
      </c>
      <c r="E644" s="319" t="s">
        <v>3070</v>
      </c>
      <c r="F644" s="319" t="s">
        <v>1028</v>
      </c>
      <c r="G644" s="319" t="s">
        <v>1029</v>
      </c>
      <c r="H644" s="319" t="s">
        <v>3071</v>
      </c>
      <c r="I644" s="535">
        <v>1660.26</v>
      </c>
      <c r="J644" s="535">
        <v>760</v>
      </c>
      <c r="K644" s="535">
        <v>2420.2600000000002</v>
      </c>
      <c r="L644" s="535" t="s">
        <v>80</v>
      </c>
      <c r="M644" s="535" t="s">
        <v>993</v>
      </c>
      <c r="N644" s="537"/>
    </row>
    <row r="645" spans="1:14" ht="15.9" customHeight="1">
      <c r="A645" s="319" t="s">
        <v>1143</v>
      </c>
      <c r="B645" s="536">
        <v>46167</v>
      </c>
      <c r="C645" s="536">
        <v>46173</v>
      </c>
      <c r="D645" s="319" t="s">
        <v>3072</v>
      </c>
      <c r="E645" s="319" t="s">
        <v>3073</v>
      </c>
      <c r="F645" s="319" t="s">
        <v>1752</v>
      </c>
      <c r="G645" s="319" t="s">
        <v>1029</v>
      </c>
      <c r="H645" s="319" t="s">
        <v>3074</v>
      </c>
      <c r="I645" s="535">
        <v>1328.31</v>
      </c>
      <c r="J645" s="535">
        <v>665</v>
      </c>
      <c r="K645" s="535">
        <v>1993.31</v>
      </c>
      <c r="L645" s="535" t="s">
        <v>80</v>
      </c>
      <c r="M645" s="535" t="s">
        <v>993</v>
      </c>
      <c r="N645" s="537"/>
    </row>
    <row r="646" spans="1:14" ht="15.9" customHeight="1">
      <c r="A646" s="319" t="s">
        <v>1102</v>
      </c>
      <c r="B646" s="536">
        <v>46167</v>
      </c>
      <c r="C646" s="536">
        <v>46169</v>
      </c>
      <c r="D646" s="319" t="s">
        <v>3075</v>
      </c>
      <c r="E646" s="319" t="s">
        <v>3076</v>
      </c>
      <c r="F646" s="319" t="s">
        <v>1296</v>
      </c>
      <c r="G646" s="319" t="s">
        <v>1029</v>
      </c>
      <c r="H646" s="319" t="s">
        <v>3077</v>
      </c>
      <c r="I646" s="535">
        <v>1616.7</v>
      </c>
      <c r="J646" s="535">
        <v>855</v>
      </c>
      <c r="K646" s="535">
        <v>2471.6999999999998</v>
      </c>
      <c r="L646" s="535" t="s">
        <v>80</v>
      </c>
      <c r="M646" s="535" t="s">
        <v>993</v>
      </c>
      <c r="N646" s="537"/>
    </row>
    <row r="647" spans="1:14" ht="15.9" customHeight="1">
      <c r="A647" s="319" t="s">
        <v>1130</v>
      </c>
      <c r="B647" s="536">
        <v>46167</v>
      </c>
      <c r="C647" s="536">
        <v>46169</v>
      </c>
      <c r="D647" s="319" t="s">
        <v>3078</v>
      </c>
      <c r="E647" s="319" t="s">
        <v>3079</v>
      </c>
      <c r="F647" s="319" t="s">
        <v>1149</v>
      </c>
      <c r="G647" s="319" t="s">
        <v>1029</v>
      </c>
      <c r="H647" s="319" t="s">
        <v>3080</v>
      </c>
      <c r="I647" s="535">
        <v>638.48</v>
      </c>
      <c r="J647" s="535">
        <v>855</v>
      </c>
      <c r="K647" s="535">
        <v>1493.48</v>
      </c>
      <c r="L647" s="535" t="s">
        <v>87</v>
      </c>
      <c r="M647" s="535" t="s">
        <v>993</v>
      </c>
      <c r="N647" s="537"/>
    </row>
    <row r="648" spans="1:14" ht="15.9" customHeight="1">
      <c r="A648" s="319" t="s">
        <v>1249</v>
      </c>
      <c r="B648" s="536">
        <v>46167</v>
      </c>
      <c r="C648" s="536">
        <v>46169</v>
      </c>
      <c r="D648" s="319" t="s">
        <v>3081</v>
      </c>
      <c r="E648" s="319" t="s">
        <v>3082</v>
      </c>
      <c r="F648" s="319" t="s">
        <v>2187</v>
      </c>
      <c r="G648" s="319" t="s">
        <v>1029</v>
      </c>
      <c r="H648" s="319" t="s">
        <v>3083</v>
      </c>
      <c r="I648" s="535">
        <v>1861.16</v>
      </c>
      <c r="J648" s="535">
        <v>665</v>
      </c>
      <c r="K648" s="535">
        <v>2526.16</v>
      </c>
      <c r="L648" s="535" t="s">
        <v>78</v>
      </c>
      <c r="M648" s="535" t="s">
        <v>993</v>
      </c>
      <c r="N648" s="537"/>
    </row>
    <row r="649" spans="1:14" ht="15.9" customHeight="1">
      <c r="A649" s="319" t="s">
        <v>1054</v>
      </c>
      <c r="B649" s="536">
        <v>46167</v>
      </c>
      <c r="C649" s="536">
        <v>46170</v>
      </c>
      <c r="D649" s="319" t="s">
        <v>3084</v>
      </c>
      <c r="E649" s="319" t="s">
        <v>3085</v>
      </c>
      <c r="F649" s="319" t="s">
        <v>1085</v>
      </c>
      <c r="G649" s="319" t="s">
        <v>1029</v>
      </c>
      <c r="H649" s="319" t="s">
        <v>3086</v>
      </c>
      <c r="I649" s="535">
        <v>1992.95</v>
      </c>
      <c r="J649" s="535">
        <v>855</v>
      </c>
      <c r="K649" s="535">
        <v>2847.95</v>
      </c>
      <c r="L649" s="535" t="s">
        <v>86</v>
      </c>
      <c r="M649" s="535" t="s">
        <v>1042</v>
      </c>
      <c r="N649" s="537"/>
    </row>
    <row r="650" spans="1:14" ht="15.9" customHeight="1">
      <c r="A650" s="319" t="s">
        <v>1054</v>
      </c>
      <c r="B650" s="536">
        <v>46168</v>
      </c>
      <c r="C650" s="536">
        <v>46169</v>
      </c>
      <c r="D650" s="319" t="s">
        <v>3087</v>
      </c>
      <c r="E650" s="319" t="s">
        <v>3088</v>
      </c>
      <c r="F650" s="319" t="s">
        <v>1096</v>
      </c>
      <c r="G650" s="319" t="s">
        <v>1029</v>
      </c>
      <c r="H650" s="319" t="s">
        <v>3089</v>
      </c>
      <c r="I650" s="535">
        <v>1860.57</v>
      </c>
      <c r="J650" s="535">
        <v>760</v>
      </c>
      <c r="K650" s="535">
        <v>2620.5700000000002</v>
      </c>
      <c r="L650" s="535" t="s">
        <v>86</v>
      </c>
      <c r="M650" s="535" t="s">
        <v>993</v>
      </c>
      <c r="N650" s="537"/>
    </row>
    <row r="651" spans="1:14" ht="15.9" customHeight="1">
      <c r="A651" s="319" t="s">
        <v>1025</v>
      </c>
      <c r="B651" s="536">
        <v>46168</v>
      </c>
      <c r="C651" s="536">
        <v>46170</v>
      </c>
      <c r="D651" s="319" t="s">
        <v>3090</v>
      </c>
      <c r="E651" s="319" t="s">
        <v>3091</v>
      </c>
      <c r="F651" s="319" t="s">
        <v>2461</v>
      </c>
      <c r="G651" s="319" t="s">
        <v>1029</v>
      </c>
      <c r="H651" s="319" t="s">
        <v>3092</v>
      </c>
      <c r="I651" s="535">
        <v>952.47</v>
      </c>
      <c r="J651" s="535">
        <v>665</v>
      </c>
      <c r="K651" s="535">
        <v>1617.47</v>
      </c>
      <c r="L651" s="535" t="s">
        <v>87</v>
      </c>
      <c r="M651" s="535" t="s">
        <v>993</v>
      </c>
      <c r="N651" s="537"/>
    </row>
    <row r="652" spans="1:14" ht="15.9" customHeight="1">
      <c r="A652" s="319" t="s">
        <v>1025</v>
      </c>
      <c r="B652" s="536">
        <v>46168</v>
      </c>
      <c r="C652" s="536">
        <v>46173</v>
      </c>
      <c r="D652" s="319" t="s">
        <v>3093</v>
      </c>
      <c r="E652" s="319" t="s">
        <v>3094</v>
      </c>
      <c r="F652" s="319" t="s">
        <v>1279</v>
      </c>
      <c r="G652" s="319" t="s">
        <v>1029</v>
      </c>
      <c r="H652" s="319" t="s">
        <v>3095</v>
      </c>
      <c r="I652" s="535">
        <v>2092.23</v>
      </c>
      <c r="J652" s="535">
        <v>950</v>
      </c>
      <c r="K652" s="535">
        <v>3042.23</v>
      </c>
      <c r="L652" s="535" t="s">
        <v>87</v>
      </c>
      <c r="M652" s="535" t="s">
        <v>994</v>
      </c>
      <c r="N652" s="537"/>
    </row>
    <row r="653" spans="1:14" ht="15.9" customHeight="1">
      <c r="A653" s="319" t="s">
        <v>1054</v>
      </c>
      <c r="B653" s="536">
        <v>46167</v>
      </c>
      <c r="C653" s="536">
        <v>46170</v>
      </c>
      <c r="D653" s="319" t="s">
        <v>3096</v>
      </c>
      <c r="E653" s="319" t="s">
        <v>3097</v>
      </c>
      <c r="F653" s="319" t="s">
        <v>1329</v>
      </c>
      <c r="G653" s="319" t="s">
        <v>1029</v>
      </c>
      <c r="H653" s="319" t="s">
        <v>3098</v>
      </c>
      <c r="I653" s="535">
        <v>2510.06</v>
      </c>
      <c r="J653" s="535">
        <v>855</v>
      </c>
      <c r="K653" s="535">
        <v>3365.06</v>
      </c>
      <c r="L653" s="535" t="s">
        <v>78</v>
      </c>
      <c r="M653" s="535" t="s">
        <v>1042</v>
      </c>
      <c r="N653" s="537"/>
    </row>
    <row r="654" spans="1:14" ht="15.9" customHeight="1">
      <c r="A654" s="319" t="s">
        <v>1025</v>
      </c>
      <c r="B654" s="536">
        <v>46168</v>
      </c>
      <c r="C654" s="536">
        <v>46169</v>
      </c>
      <c r="D654" s="319" t="s">
        <v>3099</v>
      </c>
      <c r="E654" s="319" t="s">
        <v>3100</v>
      </c>
      <c r="F654" s="319" t="s">
        <v>1427</v>
      </c>
      <c r="G654" s="319" t="s">
        <v>1029</v>
      </c>
      <c r="H654" s="319" t="s">
        <v>3101</v>
      </c>
      <c r="I654" s="535">
        <v>440.98</v>
      </c>
      <c r="J654" s="535">
        <v>665</v>
      </c>
      <c r="K654" s="535">
        <v>1105.98</v>
      </c>
      <c r="L654" s="535" t="s">
        <v>80</v>
      </c>
      <c r="M654" s="535" t="s">
        <v>993</v>
      </c>
      <c r="N654" s="537"/>
    </row>
    <row r="655" spans="1:14" ht="15.9" customHeight="1">
      <c r="A655" s="319" t="s">
        <v>1130</v>
      </c>
      <c r="B655" s="536">
        <v>46168</v>
      </c>
      <c r="C655" s="536">
        <v>46169</v>
      </c>
      <c r="D655" s="319" t="s">
        <v>3102</v>
      </c>
      <c r="E655" s="319" t="s">
        <v>3103</v>
      </c>
      <c r="F655" s="319" t="s">
        <v>2138</v>
      </c>
      <c r="G655" s="319" t="s">
        <v>1029</v>
      </c>
      <c r="H655" s="319" t="s">
        <v>3104</v>
      </c>
      <c r="I655" s="535">
        <v>1909.27</v>
      </c>
      <c r="J655" s="535">
        <v>760</v>
      </c>
      <c r="K655" s="535">
        <v>2669.27</v>
      </c>
      <c r="L655" s="535" t="s">
        <v>80</v>
      </c>
      <c r="M655" s="535" t="s">
        <v>993</v>
      </c>
      <c r="N655" s="537"/>
    </row>
    <row r="656" spans="1:14" ht="15.9" customHeight="1">
      <c r="A656" s="319" t="s">
        <v>1077</v>
      </c>
      <c r="B656" s="536">
        <v>46168</v>
      </c>
      <c r="C656" s="536">
        <v>46173</v>
      </c>
      <c r="D656" s="319" t="s">
        <v>3105</v>
      </c>
      <c r="E656" s="319" t="s">
        <v>3106</v>
      </c>
      <c r="F656" s="319" t="s">
        <v>1149</v>
      </c>
      <c r="G656" s="319" t="s">
        <v>1029</v>
      </c>
      <c r="H656" s="319" t="s">
        <v>3107</v>
      </c>
      <c r="I656" s="535">
        <v>1396.45</v>
      </c>
      <c r="J656" s="535">
        <v>665</v>
      </c>
      <c r="K656" s="535">
        <v>2061.4499999999998</v>
      </c>
      <c r="L656" s="535" t="s">
        <v>78</v>
      </c>
      <c r="M656" s="535" t="s">
        <v>993</v>
      </c>
      <c r="N656" s="537"/>
    </row>
    <row r="657" spans="1:14" ht="15.9" customHeight="1">
      <c r="A657" s="319" t="s">
        <v>1054</v>
      </c>
      <c r="B657" s="536">
        <v>46169</v>
      </c>
      <c r="C657" s="536">
        <v>46172</v>
      </c>
      <c r="D657" s="319" t="s">
        <v>3108</v>
      </c>
      <c r="E657" s="319" t="s">
        <v>3109</v>
      </c>
      <c r="F657" s="319" t="s">
        <v>1028</v>
      </c>
      <c r="G657" s="319" t="s">
        <v>1029</v>
      </c>
      <c r="H657" s="319" t="s">
        <v>3110</v>
      </c>
      <c r="I657" s="535">
        <v>1399.29</v>
      </c>
      <c r="J657" s="535">
        <v>665</v>
      </c>
      <c r="K657" s="535">
        <v>2064.29</v>
      </c>
      <c r="L657" s="535" t="s">
        <v>79</v>
      </c>
      <c r="M657" s="535" t="s">
        <v>993</v>
      </c>
      <c r="N657" s="537"/>
    </row>
    <row r="658" spans="1:14" ht="15.9" customHeight="1">
      <c r="A658" s="319" t="s">
        <v>1125</v>
      </c>
      <c r="B658" s="536">
        <v>46169</v>
      </c>
      <c r="C658" s="536">
        <v>46171</v>
      </c>
      <c r="D658" s="319" t="s">
        <v>3111</v>
      </c>
      <c r="E658" s="319" t="s">
        <v>3112</v>
      </c>
      <c r="F658" s="319" t="s">
        <v>1279</v>
      </c>
      <c r="G658" s="319" t="s">
        <v>1029</v>
      </c>
      <c r="H658" s="319" t="s">
        <v>3113</v>
      </c>
      <c r="I658" s="535">
        <v>1374.42</v>
      </c>
      <c r="J658" s="535">
        <v>665</v>
      </c>
      <c r="K658" s="535">
        <v>2039.42</v>
      </c>
      <c r="L658" s="535" t="s">
        <v>79</v>
      </c>
      <c r="M658" s="535" t="s">
        <v>993</v>
      </c>
      <c r="N658" s="537"/>
    </row>
    <row r="659" spans="1:14" ht="15.9" customHeight="1">
      <c r="A659" s="319" t="s">
        <v>1054</v>
      </c>
      <c r="B659" s="536">
        <v>46169</v>
      </c>
      <c r="C659" s="536">
        <v>46173</v>
      </c>
      <c r="D659" s="319" t="s">
        <v>3114</v>
      </c>
      <c r="E659" s="319" t="s">
        <v>3115</v>
      </c>
      <c r="F659" s="319" t="s">
        <v>1096</v>
      </c>
      <c r="G659" s="319" t="s">
        <v>1029</v>
      </c>
      <c r="H659" s="319" t="s">
        <v>3116</v>
      </c>
      <c r="I659" s="535">
        <v>2120.77</v>
      </c>
      <c r="J659" s="535">
        <v>855</v>
      </c>
      <c r="K659" s="535">
        <v>2975.77</v>
      </c>
      <c r="L659" s="535" t="s">
        <v>79</v>
      </c>
      <c r="M659" s="535" t="s">
        <v>993</v>
      </c>
      <c r="N659" s="537"/>
    </row>
    <row r="660" spans="1:14" ht="15.9" customHeight="1">
      <c r="A660" s="319" t="s">
        <v>1025</v>
      </c>
      <c r="B660" s="536">
        <v>46169</v>
      </c>
      <c r="C660" s="536">
        <v>46170</v>
      </c>
      <c r="D660" s="319" t="s">
        <v>3117</v>
      </c>
      <c r="E660" s="319" t="s">
        <v>3118</v>
      </c>
      <c r="F660" s="319" t="s">
        <v>1085</v>
      </c>
      <c r="G660" s="319" t="s">
        <v>1029</v>
      </c>
      <c r="H660" s="319" t="s">
        <v>3119</v>
      </c>
      <c r="I660" s="535">
        <v>2558.31</v>
      </c>
      <c r="J660" s="535">
        <v>855</v>
      </c>
      <c r="K660" s="535">
        <v>3413.31</v>
      </c>
      <c r="L660" s="535" t="s">
        <v>86</v>
      </c>
      <c r="M660" s="535" t="s">
        <v>1042</v>
      </c>
      <c r="N660" s="537"/>
    </row>
    <row r="661" spans="1:14" ht="15.9" customHeight="1">
      <c r="A661" s="319" t="s">
        <v>1082</v>
      </c>
      <c r="B661" s="536">
        <v>46169</v>
      </c>
      <c r="C661" s="536">
        <v>46172</v>
      </c>
      <c r="D661" s="319" t="s">
        <v>3120</v>
      </c>
      <c r="E661" s="319" t="s">
        <v>3121</v>
      </c>
      <c r="F661" s="319" t="s">
        <v>3122</v>
      </c>
      <c r="G661" s="319" t="s">
        <v>1029</v>
      </c>
      <c r="H661" s="319" t="s">
        <v>3123</v>
      </c>
      <c r="I661" s="535">
        <v>1392.11</v>
      </c>
      <c r="J661" s="535">
        <v>855</v>
      </c>
      <c r="K661" s="535">
        <v>2247.11</v>
      </c>
      <c r="L661" s="535" t="s">
        <v>86</v>
      </c>
      <c r="M661" s="535" t="s">
        <v>993</v>
      </c>
      <c r="N661" s="537"/>
    </row>
    <row r="662" spans="1:14" ht="15.9" customHeight="1">
      <c r="A662" s="319" t="s">
        <v>1077</v>
      </c>
      <c r="B662" s="536">
        <v>46169</v>
      </c>
      <c r="C662" s="536">
        <v>46171</v>
      </c>
      <c r="D662" s="319" t="s">
        <v>3124</v>
      </c>
      <c r="E662" s="319" t="s">
        <v>3125</v>
      </c>
      <c r="F662" s="319" t="s">
        <v>3019</v>
      </c>
      <c r="G662" s="319" t="s">
        <v>1029</v>
      </c>
      <c r="H662" s="319" t="s">
        <v>3126</v>
      </c>
      <c r="I662" s="535">
        <v>872.09</v>
      </c>
      <c r="J662" s="535">
        <v>665</v>
      </c>
      <c r="K662" s="535">
        <v>1537.09</v>
      </c>
      <c r="L662" s="535" t="s">
        <v>78</v>
      </c>
      <c r="M662" s="535" t="s">
        <v>993</v>
      </c>
      <c r="N662" s="537"/>
    </row>
    <row r="663" spans="1:14" ht="15.9" customHeight="1">
      <c r="A663" s="319" t="s">
        <v>1054</v>
      </c>
      <c r="B663" s="536">
        <v>46169</v>
      </c>
      <c r="C663" s="536">
        <v>46170</v>
      </c>
      <c r="D663" s="319" t="s">
        <v>3127</v>
      </c>
      <c r="E663" s="319" t="s">
        <v>3128</v>
      </c>
      <c r="F663" s="319" t="s">
        <v>2114</v>
      </c>
      <c r="G663" s="319" t="s">
        <v>1029</v>
      </c>
      <c r="H663" s="319" t="s">
        <v>3129</v>
      </c>
      <c r="I663" s="535">
        <v>943.36</v>
      </c>
      <c r="J663" s="535">
        <v>700</v>
      </c>
      <c r="K663" s="535">
        <v>1643.36</v>
      </c>
      <c r="L663" s="535" t="s">
        <v>78</v>
      </c>
      <c r="M663" s="535" t="s">
        <v>993</v>
      </c>
      <c r="N663" s="537"/>
    </row>
    <row r="664" spans="1:14" ht="15.9" customHeight="1">
      <c r="A664" s="319" t="s">
        <v>3130</v>
      </c>
      <c r="B664" s="536">
        <v>46170</v>
      </c>
      <c r="C664" s="536">
        <v>46173</v>
      </c>
      <c r="D664" s="319" t="s">
        <v>3131</v>
      </c>
      <c r="E664" s="319" t="s">
        <v>3132</v>
      </c>
      <c r="F664" s="319" t="s">
        <v>1396</v>
      </c>
      <c r="G664" s="319" t="s">
        <v>1029</v>
      </c>
      <c r="H664" s="319" t="s">
        <v>3133</v>
      </c>
      <c r="I664" s="535">
        <v>931.09</v>
      </c>
      <c r="J664" s="535">
        <v>665</v>
      </c>
      <c r="K664" s="535">
        <v>1596.09</v>
      </c>
      <c r="L664" s="535" t="s">
        <v>80</v>
      </c>
      <c r="M664" s="535" t="s">
        <v>993</v>
      </c>
      <c r="N664" s="537"/>
    </row>
    <row r="665" spans="1:14" ht="15.9" customHeight="1">
      <c r="A665" s="319" t="s">
        <v>1213</v>
      </c>
      <c r="B665" s="536">
        <v>46171</v>
      </c>
      <c r="C665" s="536">
        <v>46173</v>
      </c>
      <c r="D665" s="319" t="s">
        <v>3134</v>
      </c>
      <c r="E665" s="319" t="s">
        <v>3135</v>
      </c>
      <c r="F665" s="319" t="s">
        <v>1908</v>
      </c>
      <c r="G665" s="319" t="s">
        <v>1029</v>
      </c>
      <c r="H665" s="319" t="s">
        <v>3136</v>
      </c>
      <c r="I665" s="535">
        <v>2471.4699999999998</v>
      </c>
      <c r="J665" s="535">
        <v>1045</v>
      </c>
      <c r="K665" s="535">
        <v>3516.47</v>
      </c>
      <c r="L665" s="535" t="s">
        <v>79</v>
      </c>
      <c r="M665" s="535" t="s">
        <v>994</v>
      </c>
      <c r="N665" s="537"/>
    </row>
  </sheetData>
  <protectedRanges>
    <protectedRange sqref="H614" name="允许编辑_4_9_1_1_2_1_1_2"/>
    <protectedRange sqref="E176" name="允许编辑_4_9_1_1"/>
    <protectedRange sqref="H538" name="允许编辑_4_9_1_10_1_1_7"/>
    <protectedRange sqref="D506:F506 H506" name="允许编辑_4_9_1_8_1_1_1"/>
    <protectedRange sqref="H584" name="允许编辑_4_9_1_6_2_1_1"/>
    <protectedRange sqref="H67" name="允许编辑_4_9_1_10_1"/>
    <protectedRange sqref="D362:E362" name="允许编辑_4_9_1_8"/>
    <protectedRange sqref="F112" name="允许编辑_4_9_1_7_1_5_1"/>
    <protectedRange sqref="D524:E524" name="允许编辑_4_9_1_6_2_2"/>
    <protectedRange sqref="E246" name="允许编辑_4_9_1_9_7_1"/>
    <protectedRange sqref="D61:E61" name="允许编辑_4_9_1_10"/>
    <protectedRange sqref="F129" name="允许编辑_4_9_1_10_2"/>
    <protectedRange sqref="F334" name="允许编辑_4_9_1_6_4_22_1"/>
    <protectedRange sqref="H356" name="允许编辑_4_9_1_8_1_1"/>
    <protectedRange sqref="F539" name="允许编辑_4_9_1_10_1_2_1"/>
    <protectedRange sqref="F107" name="允许编辑_4_9_1_7_1_5_1_1"/>
    <protectedRange sqref="H407" name="允许编辑_4_9_1_9_2"/>
    <protectedRange sqref="D519:E519" name="允许编辑_4_9_1_6_2_2_1"/>
    <protectedRange sqref="H573" name="允许编辑_4_9_1_6_2_1"/>
    <protectedRange sqref="E241" name="允许编辑_4_9_1_9_7"/>
    <protectedRange sqref="H520" name="允许编辑_4_9_1_10_1_1_7_1"/>
    <protectedRange sqref="D56:E56" name="允许编辑_4_9_1_10_3"/>
    <protectedRange sqref="H56" name="允许编辑_4_9_1_10_1_1"/>
    <protectedRange sqref="F124" name="允许编辑_4_9_1_10_2_1"/>
    <protectedRange sqref="E150" name="允许编辑_4_9_1_1_1"/>
    <protectedRange sqref="F329" name="允许编辑_4_9_1_6_4_22_1_1"/>
    <protectedRange sqref="D351:E351" name="允许编辑_4_9_1_8_1"/>
    <protectedRange sqref="H351" name="允许编辑_4_9_1_8_1_2"/>
    <protectedRange sqref="D488:F488 H488" name="允许编辑_4_9_1_8_1_1_2"/>
    <protectedRange sqref="F534" name="允许编辑_4_9_1_10_1_2_1_1"/>
  </protectedRanges>
  <autoFilter ref="A1:IU1376" xr:uid="{00000000-0009-0000-0000-00000D000000}"/>
  <mergeCells count="37">
    <mergeCell ref="Z1:Z2"/>
    <mergeCell ref="AA1:AA2"/>
    <mergeCell ref="AB1:AB2"/>
    <mergeCell ref="AC1:AC2"/>
    <mergeCell ref="AD1:AD2"/>
    <mergeCell ref="P25:P26"/>
    <mergeCell ref="P27:P28"/>
    <mergeCell ref="Q7:Q8"/>
    <mergeCell ref="R7:R8"/>
    <mergeCell ref="T7:T8"/>
    <mergeCell ref="Q28:R28"/>
    <mergeCell ref="Q29:R29"/>
    <mergeCell ref="P30:T30"/>
    <mergeCell ref="A1:A2"/>
    <mergeCell ref="B7:B8"/>
    <mergeCell ref="C7:C8"/>
    <mergeCell ref="D7:D8"/>
    <mergeCell ref="F7:F8"/>
    <mergeCell ref="G7:G8"/>
    <mergeCell ref="I7:I8"/>
    <mergeCell ref="J7:J8"/>
    <mergeCell ref="K7:K8"/>
    <mergeCell ref="M7:M8"/>
    <mergeCell ref="N7:N8"/>
    <mergeCell ref="P7:P8"/>
    <mergeCell ref="P23:P24"/>
    <mergeCell ref="Q23:R23"/>
    <mergeCell ref="Q24:R24"/>
    <mergeCell ref="Q25:R25"/>
    <mergeCell ref="Q26:R26"/>
    <mergeCell ref="Q27:R27"/>
    <mergeCell ref="B1:H1"/>
    <mergeCell ref="I1:O1"/>
    <mergeCell ref="P1:V1"/>
    <mergeCell ref="W1:Y1"/>
    <mergeCell ref="P22:U22"/>
    <mergeCell ref="U7:U8"/>
  </mergeCells>
  <phoneticPr fontId="5" type="noConversion"/>
  <conditionalFormatting sqref="D22">
    <cfRule type="duplicateValues" dxfId="841" priority="750"/>
  </conditionalFormatting>
  <conditionalFormatting sqref="D23:D560">
    <cfRule type="duplicateValues" dxfId="840" priority="749"/>
  </conditionalFormatting>
  <conditionalFormatting sqref="D561">
    <cfRule type="duplicateValues" dxfId="839" priority="210"/>
  </conditionalFormatting>
  <conditionalFormatting sqref="D562">
    <cfRule type="duplicateValues" dxfId="838" priority="209"/>
  </conditionalFormatting>
  <conditionalFormatting sqref="D563">
    <cfRule type="duplicateValues" dxfId="837" priority="208"/>
  </conditionalFormatting>
  <conditionalFormatting sqref="D564">
    <cfRule type="duplicateValues" dxfId="836" priority="207"/>
  </conditionalFormatting>
  <conditionalFormatting sqref="D565">
    <cfRule type="duplicateValues" dxfId="835" priority="206"/>
  </conditionalFormatting>
  <conditionalFormatting sqref="D566">
    <cfRule type="duplicateValues" dxfId="834" priority="205"/>
  </conditionalFormatting>
  <conditionalFormatting sqref="D567">
    <cfRule type="duplicateValues" dxfId="833" priority="204"/>
  </conditionalFormatting>
  <conditionalFormatting sqref="D568">
    <cfRule type="duplicateValues" dxfId="832" priority="203"/>
  </conditionalFormatting>
  <conditionalFormatting sqref="D569">
    <cfRule type="duplicateValues" dxfId="831" priority="202"/>
  </conditionalFormatting>
  <conditionalFormatting sqref="D570">
    <cfRule type="duplicateValues" dxfId="830" priority="201"/>
  </conditionalFormatting>
  <conditionalFormatting sqref="D571">
    <cfRule type="duplicateValues" dxfId="829" priority="200"/>
  </conditionalFormatting>
  <conditionalFormatting sqref="D572">
    <cfRule type="duplicateValues" dxfId="828" priority="199"/>
  </conditionalFormatting>
  <conditionalFormatting sqref="D573">
    <cfRule type="duplicateValues" dxfId="827" priority="198"/>
  </conditionalFormatting>
  <conditionalFormatting sqref="D574">
    <cfRule type="duplicateValues" dxfId="826" priority="197"/>
  </conditionalFormatting>
  <conditionalFormatting sqref="D575">
    <cfRule type="duplicateValues" dxfId="825" priority="196"/>
  </conditionalFormatting>
  <conditionalFormatting sqref="D576">
    <cfRule type="duplicateValues" dxfId="824" priority="195"/>
  </conditionalFormatting>
  <conditionalFormatting sqref="D577">
    <cfRule type="duplicateValues" dxfId="823" priority="194"/>
  </conditionalFormatting>
  <conditionalFormatting sqref="D578">
    <cfRule type="duplicateValues" dxfId="822" priority="193"/>
  </conditionalFormatting>
  <conditionalFormatting sqref="D579">
    <cfRule type="duplicateValues" dxfId="821" priority="192"/>
  </conditionalFormatting>
  <conditionalFormatting sqref="D580">
    <cfRule type="duplicateValues" dxfId="820" priority="191"/>
  </conditionalFormatting>
  <conditionalFormatting sqref="D581">
    <cfRule type="duplicateValues" dxfId="819" priority="190"/>
  </conditionalFormatting>
  <conditionalFormatting sqref="D582">
    <cfRule type="duplicateValues" dxfId="818" priority="189"/>
  </conditionalFormatting>
  <conditionalFormatting sqref="D583">
    <cfRule type="duplicateValues" dxfId="817" priority="188"/>
  </conditionalFormatting>
  <conditionalFormatting sqref="D584">
    <cfRule type="duplicateValues" dxfId="816" priority="187"/>
  </conditionalFormatting>
  <conditionalFormatting sqref="D585">
    <cfRule type="duplicateValues" dxfId="815" priority="186"/>
  </conditionalFormatting>
  <conditionalFormatting sqref="D586">
    <cfRule type="duplicateValues" dxfId="814" priority="185"/>
  </conditionalFormatting>
  <conditionalFormatting sqref="D587">
    <cfRule type="duplicateValues" dxfId="813" priority="184"/>
  </conditionalFormatting>
  <conditionalFormatting sqref="D588">
    <cfRule type="duplicateValues" dxfId="812" priority="183"/>
  </conditionalFormatting>
  <conditionalFormatting sqref="D589">
    <cfRule type="duplicateValues" dxfId="811" priority="182"/>
  </conditionalFormatting>
  <conditionalFormatting sqref="D590">
    <cfRule type="duplicateValues" dxfId="810" priority="181"/>
  </conditionalFormatting>
  <conditionalFormatting sqref="D591">
    <cfRule type="duplicateValues" dxfId="809" priority="180"/>
  </conditionalFormatting>
  <conditionalFormatting sqref="D592">
    <cfRule type="duplicateValues" dxfId="808" priority="179"/>
  </conditionalFormatting>
  <conditionalFormatting sqref="D593">
    <cfRule type="duplicateValues" dxfId="807" priority="178"/>
  </conditionalFormatting>
  <conditionalFormatting sqref="D594">
    <cfRule type="duplicateValues" dxfId="806" priority="177"/>
  </conditionalFormatting>
  <conditionalFormatting sqref="D595">
    <cfRule type="duplicateValues" dxfId="805" priority="176"/>
  </conditionalFormatting>
  <conditionalFormatting sqref="D596">
    <cfRule type="duplicateValues" dxfId="804" priority="175"/>
  </conditionalFormatting>
  <conditionalFormatting sqref="D597">
    <cfRule type="duplicateValues" dxfId="803" priority="174"/>
  </conditionalFormatting>
  <conditionalFormatting sqref="D598">
    <cfRule type="duplicateValues" dxfId="802" priority="173"/>
  </conditionalFormatting>
  <conditionalFormatting sqref="D599">
    <cfRule type="duplicateValues" dxfId="801" priority="172"/>
  </conditionalFormatting>
  <conditionalFormatting sqref="D600">
    <cfRule type="duplicateValues" dxfId="800" priority="171"/>
  </conditionalFormatting>
  <conditionalFormatting sqref="D601">
    <cfRule type="duplicateValues" dxfId="799" priority="170"/>
  </conditionalFormatting>
  <conditionalFormatting sqref="D602">
    <cfRule type="duplicateValues" dxfId="798" priority="169"/>
  </conditionalFormatting>
  <conditionalFormatting sqref="D603">
    <cfRule type="duplicateValues" dxfId="797" priority="168"/>
  </conditionalFormatting>
  <conditionalFormatting sqref="D604">
    <cfRule type="duplicateValues" dxfId="796" priority="167"/>
  </conditionalFormatting>
  <conditionalFormatting sqref="D605">
    <cfRule type="duplicateValues" dxfId="795" priority="166"/>
  </conditionalFormatting>
  <conditionalFormatting sqref="D606">
    <cfRule type="duplicateValues" dxfId="794" priority="165"/>
  </conditionalFormatting>
  <conditionalFormatting sqref="D607">
    <cfRule type="duplicateValues" dxfId="793" priority="164"/>
  </conditionalFormatting>
  <conditionalFormatting sqref="D608">
    <cfRule type="duplicateValues" dxfId="792" priority="163"/>
  </conditionalFormatting>
  <conditionalFormatting sqref="D609">
    <cfRule type="duplicateValues" dxfId="791" priority="162"/>
  </conditionalFormatting>
  <conditionalFormatting sqref="D610">
    <cfRule type="duplicateValues" dxfId="790" priority="161"/>
  </conditionalFormatting>
  <conditionalFormatting sqref="D611">
    <cfRule type="duplicateValues" dxfId="789" priority="160"/>
  </conditionalFormatting>
  <conditionalFormatting sqref="D612">
    <cfRule type="duplicateValues" dxfId="788" priority="159"/>
  </conditionalFormatting>
  <conditionalFormatting sqref="D613">
    <cfRule type="duplicateValues" dxfId="787" priority="158"/>
  </conditionalFormatting>
  <conditionalFormatting sqref="D614">
    <cfRule type="duplicateValues" dxfId="786" priority="157"/>
  </conditionalFormatting>
  <conditionalFormatting sqref="D615">
    <cfRule type="duplicateValues" dxfId="785" priority="156"/>
  </conditionalFormatting>
  <conditionalFormatting sqref="D616">
    <cfRule type="duplicateValues" dxfId="784" priority="155"/>
  </conditionalFormatting>
  <conditionalFormatting sqref="D617">
    <cfRule type="duplicateValues" dxfId="783" priority="154"/>
  </conditionalFormatting>
  <conditionalFormatting sqref="D618">
    <cfRule type="duplicateValues" dxfId="782" priority="153"/>
  </conditionalFormatting>
  <conditionalFormatting sqref="D619">
    <cfRule type="duplicateValues" dxfId="781" priority="152"/>
  </conditionalFormatting>
  <conditionalFormatting sqref="D620">
    <cfRule type="duplicateValues" dxfId="780" priority="151"/>
  </conditionalFormatting>
  <conditionalFormatting sqref="D621">
    <cfRule type="duplicateValues" dxfId="779" priority="150"/>
  </conditionalFormatting>
  <conditionalFormatting sqref="D622">
    <cfRule type="duplicateValues" dxfId="778" priority="149"/>
  </conditionalFormatting>
  <conditionalFormatting sqref="D623">
    <cfRule type="duplicateValues" dxfId="777" priority="148"/>
  </conditionalFormatting>
  <conditionalFormatting sqref="D624">
    <cfRule type="duplicateValues" dxfId="776" priority="147"/>
  </conditionalFormatting>
  <conditionalFormatting sqref="D625">
    <cfRule type="duplicateValues" dxfId="775" priority="146"/>
  </conditionalFormatting>
  <conditionalFormatting sqref="D626">
    <cfRule type="duplicateValues" dxfId="774" priority="145"/>
  </conditionalFormatting>
  <conditionalFormatting sqref="D627">
    <cfRule type="duplicateValues" dxfId="773" priority="144"/>
  </conditionalFormatting>
  <conditionalFormatting sqref="D628">
    <cfRule type="duplicateValues" dxfId="772" priority="143"/>
  </conditionalFormatting>
  <conditionalFormatting sqref="D629">
    <cfRule type="duplicateValues" dxfId="771" priority="142"/>
  </conditionalFormatting>
  <conditionalFormatting sqref="D630">
    <cfRule type="duplicateValues" dxfId="770" priority="141"/>
  </conditionalFormatting>
  <conditionalFormatting sqref="D631">
    <cfRule type="duplicateValues" dxfId="769" priority="140"/>
  </conditionalFormatting>
  <conditionalFormatting sqref="D632">
    <cfRule type="duplicateValues" dxfId="768" priority="139"/>
  </conditionalFormatting>
  <conditionalFormatting sqref="D633">
    <cfRule type="duplicateValues" dxfId="767" priority="138"/>
  </conditionalFormatting>
  <conditionalFormatting sqref="D634">
    <cfRule type="duplicateValues" dxfId="766" priority="137"/>
  </conditionalFormatting>
  <conditionalFormatting sqref="D635">
    <cfRule type="duplicateValues" dxfId="765" priority="136"/>
  </conditionalFormatting>
  <conditionalFormatting sqref="D636">
    <cfRule type="duplicateValues" dxfId="764" priority="135"/>
  </conditionalFormatting>
  <conditionalFormatting sqref="D637">
    <cfRule type="duplicateValues" dxfId="763" priority="134"/>
  </conditionalFormatting>
  <conditionalFormatting sqref="D638">
    <cfRule type="duplicateValues" dxfId="762" priority="133"/>
  </conditionalFormatting>
  <conditionalFormatting sqref="D639">
    <cfRule type="duplicateValues" dxfId="761" priority="132"/>
  </conditionalFormatting>
  <conditionalFormatting sqref="D640">
    <cfRule type="duplicateValues" dxfId="760" priority="131"/>
  </conditionalFormatting>
  <conditionalFormatting sqref="D641">
    <cfRule type="duplicateValues" dxfId="759" priority="130"/>
  </conditionalFormatting>
  <conditionalFormatting sqref="D642">
    <cfRule type="duplicateValues" dxfId="758" priority="129"/>
  </conditionalFormatting>
  <conditionalFormatting sqref="D643">
    <cfRule type="duplicateValues" dxfId="757" priority="128"/>
  </conditionalFormatting>
  <conditionalFormatting sqref="D644">
    <cfRule type="duplicateValues" dxfId="756" priority="127"/>
  </conditionalFormatting>
  <conditionalFormatting sqref="D645">
    <cfRule type="duplicateValues" dxfId="755" priority="126"/>
  </conditionalFormatting>
  <conditionalFormatting sqref="D646">
    <cfRule type="duplicateValues" dxfId="754" priority="125"/>
  </conditionalFormatting>
  <conditionalFormatting sqref="D647">
    <cfRule type="duplicateValues" dxfId="753" priority="124"/>
  </conditionalFormatting>
  <conditionalFormatting sqref="D648">
    <cfRule type="duplicateValues" dxfId="752" priority="123"/>
  </conditionalFormatting>
  <conditionalFormatting sqref="D649">
    <cfRule type="duplicateValues" dxfId="751" priority="122"/>
  </conditionalFormatting>
  <conditionalFormatting sqref="D650">
    <cfRule type="duplicateValues" dxfId="750" priority="121"/>
  </conditionalFormatting>
  <conditionalFormatting sqref="D651">
    <cfRule type="duplicateValues" dxfId="749" priority="120"/>
  </conditionalFormatting>
  <conditionalFormatting sqref="D652">
    <cfRule type="duplicateValues" dxfId="748" priority="119"/>
  </conditionalFormatting>
  <conditionalFormatting sqref="D653">
    <cfRule type="duplicateValues" dxfId="747" priority="118"/>
  </conditionalFormatting>
  <conditionalFormatting sqref="D654">
    <cfRule type="duplicateValues" dxfId="746" priority="117"/>
  </conditionalFormatting>
  <conditionalFormatting sqref="D655">
    <cfRule type="duplicateValues" dxfId="745" priority="116"/>
  </conditionalFormatting>
  <conditionalFormatting sqref="D656">
    <cfRule type="duplicateValues" dxfId="744" priority="115"/>
  </conditionalFormatting>
  <conditionalFormatting sqref="D657">
    <cfRule type="duplicateValues" dxfId="743" priority="114"/>
  </conditionalFormatting>
  <conditionalFormatting sqref="D658">
    <cfRule type="duplicateValues" dxfId="742" priority="113"/>
  </conditionalFormatting>
  <conditionalFormatting sqref="D659">
    <cfRule type="duplicateValues" dxfId="741" priority="112"/>
  </conditionalFormatting>
  <conditionalFormatting sqref="D660">
    <cfRule type="duplicateValues" dxfId="740" priority="111"/>
  </conditionalFormatting>
  <conditionalFormatting sqref="D661">
    <cfRule type="duplicateValues" dxfId="739" priority="110"/>
  </conditionalFormatting>
  <conditionalFormatting sqref="D662">
    <cfRule type="duplicateValues" dxfId="738" priority="109"/>
  </conditionalFormatting>
  <conditionalFormatting sqref="D663">
    <cfRule type="duplicateValues" dxfId="737" priority="108"/>
  </conditionalFormatting>
  <conditionalFormatting sqref="D664">
    <cfRule type="duplicateValues" dxfId="736" priority="107"/>
  </conditionalFormatting>
  <conditionalFormatting sqref="D665">
    <cfRule type="duplicateValues" dxfId="735" priority="106"/>
  </conditionalFormatting>
  <conditionalFormatting sqref="E23">
    <cfRule type="duplicateValues" dxfId="734" priority="748"/>
  </conditionalFormatting>
  <conditionalFormatting sqref="E24">
    <cfRule type="duplicateValues" dxfId="733" priority="747"/>
  </conditionalFormatting>
  <conditionalFormatting sqref="E25">
    <cfRule type="duplicateValues" dxfId="732" priority="746"/>
  </conditionalFormatting>
  <conditionalFormatting sqref="E26">
    <cfRule type="duplicateValues" dxfId="731" priority="745"/>
  </conditionalFormatting>
  <conditionalFormatting sqref="E27">
    <cfRule type="duplicateValues" dxfId="730" priority="744"/>
  </conditionalFormatting>
  <conditionalFormatting sqref="E28">
    <cfRule type="duplicateValues" dxfId="729" priority="743"/>
  </conditionalFormatting>
  <conditionalFormatting sqref="E29">
    <cfRule type="duplicateValues" dxfId="728" priority="742"/>
  </conditionalFormatting>
  <conditionalFormatting sqref="E30">
    <cfRule type="duplicateValues" dxfId="727" priority="741"/>
  </conditionalFormatting>
  <conditionalFormatting sqref="E31">
    <cfRule type="duplicateValues" dxfId="726" priority="740"/>
  </conditionalFormatting>
  <conditionalFormatting sqref="E32">
    <cfRule type="duplicateValues" dxfId="725" priority="739"/>
  </conditionalFormatting>
  <conditionalFormatting sqref="E33">
    <cfRule type="duplicateValues" dxfId="724" priority="738"/>
  </conditionalFormatting>
  <conditionalFormatting sqref="E34">
    <cfRule type="duplicateValues" dxfId="723" priority="737"/>
  </conditionalFormatting>
  <conditionalFormatting sqref="E35">
    <cfRule type="duplicateValues" dxfId="722" priority="736"/>
  </conditionalFormatting>
  <conditionalFormatting sqref="E36">
    <cfRule type="duplicateValues" dxfId="721" priority="735"/>
  </conditionalFormatting>
  <conditionalFormatting sqref="E37">
    <cfRule type="duplicateValues" dxfId="720" priority="734"/>
  </conditionalFormatting>
  <conditionalFormatting sqref="E38">
    <cfRule type="duplicateValues" dxfId="719" priority="733"/>
  </conditionalFormatting>
  <conditionalFormatting sqref="E39">
    <cfRule type="duplicateValues" dxfId="718" priority="732"/>
  </conditionalFormatting>
  <conditionalFormatting sqref="E40">
    <cfRule type="duplicateValues" dxfId="717" priority="731"/>
  </conditionalFormatting>
  <conditionalFormatting sqref="E41">
    <cfRule type="duplicateValues" dxfId="716" priority="730"/>
  </conditionalFormatting>
  <conditionalFormatting sqref="E42">
    <cfRule type="duplicateValues" dxfId="715" priority="729"/>
  </conditionalFormatting>
  <conditionalFormatting sqref="E43">
    <cfRule type="duplicateValues" dxfId="714" priority="728"/>
  </conditionalFormatting>
  <conditionalFormatting sqref="E44">
    <cfRule type="duplicateValues" dxfId="713" priority="727"/>
  </conditionalFormatting>
  <conditionalFormatting sqref="E45">
    <cfRule type="duplicateValues" dxfId="712" priority="726"/>
  </conditionalFormatting>
  <conditionalFormatting sqref="E46">
    <cfRule type="duplicateValues" dxfId="711" priority="725"/>
  </conditionalFormatting>
  <conditionalFormatting sqref="E47">
    <cfRule type="duplicateValues" dxfId="710" priority="724"/>
  </conditionalFormatting>
  <conditionalFormatting sqref="E48">
    <cfRule type="duplicateValues" dxfId="709" priority="723"/>
  </conditionalFormatting>
  <conditionalFormatting sqref="E49">
    <cfRule type="duplicateValues" dxfId="708" priority="722"/>
  </conditionalFormatting>
  <conditionalFormatting sqref="E50">
    <cfRule type="duplicateValues" dxfId="707" priority="721"/>
  </conditionalFormatting>
  <conditionalFormatting sqref="E51">
    <cfRule type="duplicateValues" dxfId="706" priority="720"/>
  </conditionalFormatting>
  <conditionalFormatting sqref="E52">
    <cfRule type="duplicateValues" dxfId="705" priority="719"/>
  </conditionalFormatting>
  <conditionalFormatting sqref="E53">
    <cfRule type="duplicateValues" dxfId="704" priority="718"/>
  </conditionalFormatting>
  <conditionalFormatting sqref="E54">
    <cfRule type="duplicateValues" dxfId="703" priority="717"/>
  </conditionalFormatting>
  <conditionalFormatting sqref="E55">
    <cfRule type="duplicateValues" dxfId="702" priority="716"/>
  </conditionalFormatting>
  <conditionalFormatting sqref="E56">
    <cfRule type="duplicateValues" dxfId="701" priority="715"/>
  </conditionalFormatting>
  <conditionalFormatting sqref="E57">
    <cfRule type="duplicateValues" dxfId="700" priority="714"/>
  </conditionalFormatting>
  <conditionalFormatting sqref="E58">
    <cfRule type="duplicateValues" dxfId="699" priority="713"/>
  </conditionalFormatting>
  <conditionalFormatting sqref="E59">
    <cfRule type="duplicateValues" dxfId="698" priority="712"/>
  </conditionalFormatting>
  <conditionalFormatting sqref="E60">
    <cfRule type="duplicateValues" dxfId="697" priority="711"/>
  </conditionalFormatting>
  <conditionalFormatting sqref="E61">
    <cfRule type="duplicateValues" dxfId="696" priority="710"/>
  </conditionalFormatting>
  <conditionalFormatting sqref="E62">
    <cfRule type="duplicateValues" dxfId="695" priority="709"/>
  </conditionalFormatting>
  <conditionalFormatting sqref="E63">
    <cfRule type="duplicateValues" dxfId="694" priority="708"/>
  </conditionalFormatting>
  <conditionalFormatting sqref="E64">
    <cfRule type="duplicateValues" dxfId="693" priority="707"/>
  </conditionalFormatting>
  <conditionalFormatting sqref="E65">
    <cfRule type="duplicateValues" dxfId="692" priority="706"/>
  </conditionalFormatting>
  <conditionalFormatting sqref="E66">
    <cfRule type="duplicateValues" dxfId="691" priority="705"/>
  </conditionalFormatting>
  <conditionalFormatting sqref="E67">
    <cfRule type="duplicateValues" dxfId="690" priority="704"/>
  </conditionalFormatting>
  <conditionalFormatting sqref="E68">
    <cfRule type="duplicateValues" dxfId="689" priority="703"/>
  </conditionalFormatting>
  <conditionalFormatting sqref="E69">
    <cfRule type="duplicateValues" dxfId="688" priority="702"/>
  </conditionalFormatting>
  <conditionalFormatting sqref="E70">
    <cfRule type="duplicateValues" dxfId="687" priority="701"/>
  </conditionalFormatting>
  <conditionalFormatting sqref="E71">
    <cfRule type="duplicateValues" dxfId="686" priority="700"/>
  </conditionalFormatting>
  <conditionalFormatting sqref="E72">
    <cfRule type="duplicateValues" dxfId="685" priority="699"/>
  </conditionalFormatting>
  <conditionalFormatting sqref="E73">
    <cfRule type="duplicateValues" dxfId="684" priority="698"/>
  </conditionalFormatting>
  <conditionalFormatting sqref="E74">
    <cfRule type="duplicateValues" dxfId="683" priority="697"/>
  </conditionalFormatting>
  <conditionalFormatting sqref="E75">
    <cfRule type="duplicateValues" dxfId="682" priority="696"/>
  </conditionalFormatting>
  <conditionalFormatting sqref="E76">
    <cfRule type="duplicateValues" dxfId="681" priority="695"/>
  </conditionalFormatting>
  <conditionalFormatting sqref="E77">
    <cfRule type="duplicateValues" dxfId="680" priority="694"/>
  </conditionalFormatting>
  <conditionalFormatting sqref="E78">
    <cfRule type="duplicateValues" dxfId="679" priority="693"/>
  </conditionalFormatting>
  <conditionalFormatting sqref="E79">
    <cfRule type="duplicateValues" dxfId="678" priority="692"/>
  </conditionalFormatting>
  <conditionalFormatting sqref="E80">
    <cfRule type="duplicateValues" dxfId="677" priority="691"/>
  </conditionalFormatting>
  <conditionalFormatting sqref="E81">
    <cfRule type="duplicateValues" dxfId="676" priority="690"/>
  </conditionalFormatting>
  <conditionalFormatting sqref="E82">
    <cfRule type="duplicateValues" dxfId="675" priority="689"/>
  </conditionalFormatting>
  <conditionalFormatting sqref="E83">
    <cfRule type="duplicateValues" dxfId="674" priority="688"/>
  </conditionalFormatting>
  <conditionalFormatting sqref="E84">
    <cfRule type="duplicateValues" dxfId="673" priority="687"/>
  </conditionalFormatting>
  <conditionalFormatting sqref="E85">
    <cfRule type="duplicateValues" dxfId="672" priority="686"/>
  </conditionalFormatting>
  <conditionalFormatting sqref="E86">
    <cfRule type="duplicateValues" dxfId="671" priority="685"/>
  </conditionalFormatting>
  <conditionalFormatting sqref="E87">
    <cfRule type="duplicateValues" dxfId="670" priority="684"/>
  </conditionalFormatting>
  <conditionalFormatting sqref="E88">
    <cfRule type="duplicateValues" dxfId="669" priority="683"/>
  </conditionalFormatting>
  <conditionalFormatting sqref="E89">
    <cfRule type="duplicateValues" dxfId="668" priority="682"/>
  </conditionalFormatting>
  <conditionalFormatting sqref="E90">
    <cfRule type="duplicateValues" dxfId="667" priority="681"/>
  </conditionalFormatting>
  <conditionalFormatting sqref="E91">
    <cfRule type="duplicateValues" dxfId="666" priority="680"/>
  </conditionalFormatting>
  <conditionalFormatting sqref="E92">
    <cfRule type="duplicateValues" dxfId="665" priority="679"/>
  </conditionalFormatting>
  <conditionalFormatting sqref="E93">
    <cfRule type="duplicateValues" dxfId="664" priority="678"/>
  </conditionalFormatting>
  <conditionalFormatting sqref="E94">
    <cfRule type="duplicateValues" dxfId="663" priority="677"/>
  </conditionalFormatting>
  <conditionalFormatting sqref="E95">
    <cfRule type="duplicateValues" dxfId="662" priority="676"/>
  </conditionalFormatting>
  <conditionalFormatting sqref="E96">
    <cfRule type="duplicateValues" dxfId="661" priority="675"/>
  </conditionalFormatting>
  <conditionalFormatting sqref="E97">
    <cfRule type="duplicateValues" dxfId="660" priority="674"/>
  </conditionalFormatting>
  <conditionalFormatting sqref="E98">
    <cfRule type="duplicateValues" dxfId="659" priority="673"/>
  </conditionalFormatting>
  <conditionalFormatting sqref="E99">
    <cfRule type="duplicateValues" dxfId="658" priority="672"/>
  </conditionalFormatting>
  <conditionalFormatting sqref="E100">
    <cfRule type="duplicateValues" dxfId="657" priority="671"/>
  </conditionalFormatting>
  <conditionalFormatting sqref="E101">
    <cfRule type="duplicateValues" dxfId="656" priority="670"/>
  </conditionalFormatting>
  <conditionalFormatting sqref="E102">
    <cfRule type="duplicateValues" dxfId="655" priority="669"/>
  </conditionalFormatting>
  <conditionalFormatting sqref="E103">
    <cfRule type="duplicateValues" dxfId="654" priority="668"/>
  </conditionalFormatting>
  <conditionalFormatting sqref="E104">
    <cfRule type="duplicateValues" dxfId="653" priority="667"/>
  </conditionalFormatting>
  <conditionalFormatting sqref="E105">
    <cfRule type="duplicateValues" dxfId="652" priority="666"/>
  </conditionalFormatting>
  <conditionalFormatting sqref="E106">
    <cfRule type="duplicateValues" dxfId="651" priority="665"/>
  </conditionalFormatting>
  <conditionalFormatting sqref="E107">
    <cfRule type="duplicateValues" dxfId="650" priority="664"/>
  </conditionalFormatting>
  <conditionalFormatting sqref="E108">
    <cfRule type="duplicateValues" dxfId="649" priority="663"/>
  </conditionalFormatting>
  <conditionalFormatting sqref="E109">
    <cfRule type="duplicateValues" dxfId="648" priority="662"/>
  </conditionalFormatting>
  <conditionalFormatting sqref="E110">
    <cfRule type="duplicateValues" dxfId="647" priority="661"/>
  </conditionalFormatting>
  <conditionalFormatting sqref="E111">
    <cfRule type="duplicateValues" dxfId="646" priority="660"/>
  </conditionalFormatting>
  <conditionalFormatting sqref="E112">
    <cfRule type="duplicateValues" dxfId="645" priority="659"/>
  </conditionalFormatting>
  <conditionalFormatting sqref="E113">
    <cfRule type="duplicateValues" dxfId="644" priority="658"/>
  </conditionalFormatting>
  <conditionalFormatting sqref="E114">
    <cfRule type="duplicateValues" dxfId="643" priority="657"/>
  </conditionalFormatting>
  <conditionalFormatting sqref="E115">
    <cfRule type="duplicateValues" dxfId="642" priority="656"/>
  </conditionalFormatting>
  <conditionalFormatting sqref="E116">
    <cfRule type="duplicateValues" dxfId="641" priority="655"/>
  </conditionalFormatting>
  <conditionalFormatting sqref="E117">
    <cfRule type="duplicateValues" dxfId="640" priority="654"/>
  </conditionalFormatting>
  <conditionalFormatting sqref="E118">
    <cfRule type="duplicateValues" dxfId="639" priority="653"/>
  </conditionalFormatting>
  <conditionalFormatting sqref="E119">
    <cfRule type="duplicateValues" dxfId="638" priority="652"/>
  </conditionalFormatting>
  <conditionalFormatting sqref="E120">
    <cfRule type="duplicateValues" dxfId="637" priority="651"/>
  </conditionalFormatting>
  <conditionalFormatting sqref="E121">
    <cfRule type="duplicateValues" dxfId="636" priority="650"/>
  </conditionalFormatting>
  <conditionalFormatting sqref="E122">
    <cfRule type="duplicateValues" dxfId="635" priority="649"/>
  </conditionalFormatting>
  <conditionalFormatting sqref="E123">
    <cfRule type="duplicateValues" dxfId="634" priority="648"/>
  </conditionalFormatting>
  <conditionalFormatting sqref="E124">
    <cfRule type="duplicateValues" dxfId="633" priority="647"/>
  </conditionalFormatting>
  <conditionalFormatting sqref="E125">
    <cfRule type="duplicateValues" dxfId="632" priority="646"/>
  </conditionalFormatting>
  <conditionalFormatting sqref="E126">
    <cfRule type="duplicateValues" dxfId="631" priority="645"/>
  </conditionalFormatting>
  <conditionalFormatting sqref="E127">
    <cfRule type="duplicateValues" dxfId="630" priority="644"/>
  </conditionalFormatting>
  <conditionalFormatting sqref="E128">
    <cfRule type="duplicateValues" dxfId="629" priority="643"/>
  </conditionalFormatting>
  <conditionalFormatting sqref="E129">
    <cfRule type="duplicateValues" dxfId="628" priority="642"/>
  </conditionalFormatting>
  <conditionalFormatting sqref="E130">
    <cfRule type="duplicateValues" dxfId="627" priority="641"/>
  </conditionalFormatting>
  <conditionalFormatting sqref="E131">
    <cfRule type="duplicateValues" dxfId="626" priority="640"/>
  </conditionalFormatting>
  <conditionalFormatting sqref="E132">
    <cfRule type="duplicateValues" dxfId="625" priority="639"/>
  </conditionalFormatting>
  <conditionalFormatting sqref="E133">
    <cfRule type="duplicateValues" dxfId="624" priority="638"/>
  </conditionalFormatting>
  <conditionalFormatting sqref="E134">
    <cfRule type="duplicateValues" dxfId="623" priority="637"/>
  </conditionalFormatting>
  <conditionalFormatting sqref="E135">
    <cfRule type="duplicateValues" dxfId="622" priority="636"/>
  </conditionalFormatting>
  <conditionalFormatting sqref="E136">
    <cfRule type="duplicateValues" dxfId="621" priority="635"/>
  </conditionalFormatting>
  <conditionalFormatting sqref="E137">
    <cfRule type="duplicateValues" dxfId="620" priority="634"/>
  </conditionalFormatting>
  <conditionalFormatting sqref="E138">
    <cfRule type="duplicateValues" dxfId="619" priority="633"/>
  </conditionalFormatting>
  <conditionalFormatting sqref="E139">
    <cfRule type="duplicateValues" dxfId="618" priority="632"/>
  </conditionalFormatting>
  <conditionalFormatting sqref="E140">
    <cfRule type="duplicateValues" dxfId="617" priority="631"/>
  </conditionalFormatting>
  <conditionalFormatting sqref="E141">
    <cfRule type="duplicateValues" dxfId="616" priority="630"/>
  </conditionalFormatting>
  <conditionalFormatting sqref="E142">
    <cfRule type="duplicateValues" dxfId="615" priority="629"/>
  </conditionalFormatting>
  <conditionalFormatting sqref="E143">
    <cfRule type="duplicateValues" dxfId="614" priority="628"/>
  </conditionalFormatting>
  <conditionalFormatting sqref="E144">
    <cfRule type="duplicateValues" dxfId="613" priority="627"/>
  </conditionalFormatting>
  <conditionalFormatting sqref="E145">
    <cfRule type="duplicateValues" dxfId="612" priority="626"/>
  </conditionalFormatting>
  <conditionalFormatting sqref="E146">
    <cfRule type="duplicateValues" dxfId="611" priority="625"/>
  </conditionalFormatting>
  <conditionalFormatting sqref="E147">
    <cfRule type="duplicateValues" dxfId="610" priority="624"/>
  </conditionalFormatting>
  <conditionalFormatting sqref="E148">
    <cfRule type="duplicateValues" dxfId="609" priority="623"/>
  </conditionalFormatting>
  <conditionalFormatting sqref="E149">
    <cfRule type="duplicateValues" dxfId="608" priority="622"/>
  </conditionalFormatting>
  <conditionalFormatting sqref="E150">
    <cfRule type="duplicateValues" dxfId="607" priority="621"/>
  </conditionalFormatting>
  <conditionalFormatting sqref="E151">
    <cfRule type="duplicateValues" dxfId="606" priority="620"/>
  </conditionalFormatting>
  <conditionalFormatting sqref="E152">
    <cfRule type="duplicateValues" dxfId="605" priority="619"/>
  </conditionalFormatting>
  <conditionalFormatting sqref="E153">
    <cfRule type="duplicateValues" dxfId="604" priority="618"/>
  </conditionalFormatting>
  <conditionalFormatting sqref="E154">
    <cfRule type="duplicateValues" dxfId="603" priority="617"/>
  </conditionalFormatting>
  <conditionalFormatting sqref="E155">
    <cfRule type="duplicateValues" dxfId="602" priority="616"/>
  </conditionalFormatting>
  <conditionalFormatting sqref="E156">
    <cfRule type="duplicateValues" dxfId="601" priority="615"/>
  </conditionalFormatting>
  <conditionalFormatting sqref="E157">
    <cfRule type="duplicateValues" dxfId="600" priority="614"/>
  </conditionalFormatting>
  <conditionalFormatting sqref="E158">
    <cfRule type="duplicateValues" dxfId="599" priority="613"/>
  </conditionalFormatting>
  <conditionalFormatting sqref="E159">
    <cfRule type="duplicateValues" dxfId="598" priority="612"/>
  </conditionalFormatting>
  <conditionalFormatting sqref="E160">
    <cfRule type="duplicateValues" dxfId="597" priority="611"/>
  </conditionalFormatting>
  <conditionalFormatting sqref="E161">
    <cfRule type="duplicateValues" dxfId="596" priority="610"/>
  </conditionalFormatting>
  <conditionalFormatting sqref="E162">
    <cfRule type="duplicateValues" dxfId="595" priority="609"/>
  </conditionalFormatting>
  <conditionalFormatting sqref="E163">
    <cfRule type="duplicateValues" dxfId="594" priority="608"/>
  </conditionalFormatting>
  <conditionalFormatting sqref="E164">
    <cfRule type="duplicateValues" dxfId="593" priority="607"/>
  </conditionalFormatting>
  <conditionalFormatting sqref="E165">
    <cfRule type="duplicateValues" dxfId="592" priority="606"/>
  </conditionalFormatting>
  <conditionalFormatting sqref="E166">
    <cfRule type="duplicateValues" dxfId="591" priority="605"/>
  </conditionalFormatting>
  <conditionalFormatting sqref="E167">
    <cfRule type="duplicateValues" dxfId="590" priority="604"/>
  </conditionalFormatting>
  <conditionalFormatting sqref="E168">
    <cfRule type="duplicateValues" dxfId="589" priority="603"/>
  </conditionalFormatting>
  <conditionalFormatting sqref="E169">
    <cfRule type="duplicateValues" dxfId="588" priority="602"/>
  </conditionalFormatting>
  <conditionalFormatting sqref="E170">
    <cfRule type="duplicateValues" dxfId="587" priority="601"/>
  </conditionalFormatting>
  <conditionalFormatting sqref="E171">
    <cfRule type="duplicateValues" dxfId="586" priority="600"/>
  </conditionalFormatting>
  <conditionalFormatting sqref="E172">
    <cfRule type="duplicateValues" dxfId="585" priority="599"/>
  </conditionalFormatting>
  <conditionalFormatting sqref="E173">
    <cfRule type="duplicateValues" dxfId="584" priority="598"/>
  </conditionalFormatting>
  <conditionalFormatting sqref="E174">
    <cfRule type="duplicateValues" dxfId="583" priority="597"/>
  </conditionalFormatting>
  <conditionalFormatting sqref="E175">
    <cfRule type="duplicateValues" dxfId="582" priority="596"/>
  </conditionalFormatting>
  <conditionalFormatting sqref="E176">
    <cfRule type="duplicateValues" dxfId="581" priority="595"/>
  </conditionalFormatting>
  <conditionalFormatting sqref="E177">
    <cfRule type="duplicateValues" dxfId="580" priority="594"/>
  </conditionalFormatting>
  <conditionalFormatting sqref="E178">
    <cfRule type="duplicateValues" dxfId="579" priority="593"/>
  </conditionalFormatting>
  <conditionalFormatting sqref="E179">
    <cfRule type="duplicateValues" dxfId="578" priority="592"/>
  </conditionalFormatting>
  <conditionalFormatting sqref="E180">
    <cfRule type="duplicateValues" dxfId="577" priority="591"/>
  </conditionalFormatting>
  <conditionalFormatting sqref="E181">
    <cfRule type="duplicateValues" dxfId="576" priority="590"/>
  </conditionalFormatting>
  <conditionalFormatting sqref="E182">
    <cfRule type="duplicateValues" dxfId="575" priority="589"/>
  </conditionalFormatting>
  <conditionalFormatting sqref="E183">
    <cfRule type="duplicateValues" dxfId="574" priority="588"/>
  </conditionalFormatting>
  <conditionalFormatting sqref="E184">
    <cfRule type="duplicateValues" dxfId="573" priority="587"/>
  </conditionalFormatting>
  <conditionalFormatting sqref="E185">
    <cfRule type="duplicateValues" dxfId="572" priority="586"/>
  </conditionalFormatting>
  <conditionalFormatting sqref="E186">
    <cfRule type="duplicateValues" dxfId="571" priority="585"/>
  </conditionalFormatting>
  <conditionalFormatting sqref="E187">
    <cfRule type="duplicateValues" dxfId="570" priority="584"/>
  </conditionalFormatting>
  <conditionalFormatting sqref="E188">
    <cfRule type="duplicateValues" dxfId="569" priority="583"/>
  </conditionalFormatting>
  <conditionalFormatting sqref="E189">
    <cfRule type="duplicateValues" dxfId="568" priority="582"/>
  </conditionalFormatting>
  <conditionalFormatting sqref="E190">
    <cfRule type="duplicateValues" dxfId="567" priority="581"/>
  </conditionalFormatting>
  <conditionalFormatting sqref="E191">
    <cfRule type="duplicateValues" dxfId="566" priority="580"/>
  </conditionalFormatting>
  <conditionalFormatting sqref="E192">
    <cfRule type="duplicateValues" dxfId="565" priority="579"/>
  </conditionalFormatting>
  <conditionalFormatting sqref="E193">
    <cfRule type="duplicateValues" dxfId="564" priority="578"/>
  </conditionalFormatting>
  <conditionalFormatting sqref="E194">
    <cfRule type="duplicateValues" dxfId="563" priority="577"/>
  </conditionalFormatting>
  <conditionalFormatting sqref="E195">
    <cfRule type="duplicateValues" dxfId="562" priority="576"/>
  </conditionalFormatting>
  <conditionalFormatting sqref="E196">
    <cfRule type="duplicateValues" dxfId="561" priority="575"/>
  </conditionalFormatting>
  <conditionalFormatting sqref="E197">
    <cfRule type="duplicateValues" dxfId="560" priority="574"/>
  </conditionalFormatting>
  <conditionalFormatting sqref="E198">
    <cfRule type="duplicateValues" dxfId="559" priority="573"/>
  </conditionalFormatting>
  <conditionalFormatting sqref="E199">
    <cfRule type="duplicateValues" dxfId="558" priority="572"/>
  </conditionalFormatting>
  <conditionalFormatting sqref="E200">
    <cfRule type="duplicateValues" dxfId="557" priority="571"/>
  </conditionalFormatting>
  <conditionalFormatting sqref="E201">
    <cfRule type="duplicateValues" dxfId="556" priority="570"/>
  </conditionalFormatting>
  <conditionalFormatting sqref="E202">
    <cfRule type="duplicateValues" dxfId="555" priority="569"/>
  </conditionalFormatting>
  <conditionalFormatting sqref="E203">
    <cfRule type="duplicateValues" dxfId="554" priority="568"/>
  </conditionalFormatting>
  <conditionalFormatting sqref="E204">
    <cfRule type="duplicateValues" dxfId="553" priority="567"/>
  </conditionalFormatting>
  <conditionalFormatting sqref="E205">
    <cfRule type="duplicateValues" dxfId="552" priority="566"/>
  </conditionalFormatting>
  <conditionalFormatting sqref="E206">
    <cfRule type="duplicateValues" dxfId="551" priority="565"/>
  </conditionalFormatting>
  <conditionalFormatting sqref="E207">
    <cfRule type="duplicateValues" dxfId="550" priority="564"/>
  </conditionalFormatting>
  <conditionalFormatting sqref="E208">
    <cfRule type="duplicateValues" dxfId="549" priority="563"/>
  </conditionalFormatting>
  <conditionalFormatting sqref="E209">
    <cfRule type="duplicateValues" dxfId="548" priority="562"/>
  </conditionalFormatting>
  <conditionalFormatting sqref="E210">
    <cfRule type="duplicateValues" dxfId="547" priority="561"/>
  </conditionalFormatting>
  <conditionalFormatting sqref="E211">
    <cfRule type="duplicateValues" dxfId="546" priority="560"/>
  </conditionalFormatting>
  <conditionalFormatting sqref="E212">
    <cfRule type="duplicateValues" dxfId="545" priority="559"/>
  </conditionalFormatting>
  <conditionalFormatting sqref="E213">
    <cfRule type="duplicateValues" dxfId="544" priority="558"/>
  </conditionalFormatting>
  <conditionalFormatting sqref="E214">
    <cfRule type="duplicateValues" dxfId="543" priority="557"/>
  </conditionalFormatting>
  <conditionalFormatting sqref="E215">
    <cfRule type="duplicateValues" dxfId="542" priority="556"/>
  </conditionalFormatting>
  <conditionalFormatting sqref="E216">
    <cfRule type="duplicateValues" dxfId="541" priority="555"/>
  </conditionalFormatting>
  <conditionalFormatting sqref="E217">
    <cfRule type="duplicateValues" dxfId="540" priority="554"/>
  </conditionalFormatting>
  <conditionalFormatting sqref="E218">
    <cfRule type="duplicateValues" dxfId="539" priority="553"/>
  </conditionalFormatting>
  <conditionalFormatting sqref="E219">
    <cfRule type="duplicateValues" dxfId="538" priority="552"/>
  </conditionalFormatting>
  <conditionalFormatting sqref="E220">
    <cfRule type="duplicateValues" dxfId="537" priority="551"/>
  </conditionalFormatting>
  <conditionalFormatting sqref="E221">
    <cfRule type="duplicateValues" dxfId="536" priority="550"/>
  </conditionalFormatting>
  <conditionalFormatting sqref="E222">
    <cfRule type="duplicateValues" dxfId="535" priority="549"/>
  </conditionalFormatting>
  <conditionalFormatting sqref="E223">
    <cfRule type="duplicateValues" dxfId="534" priority="548"/>
  </conditionalFormatting>
  <conditionalFormatting sqref="E224">
    <cfRule type="duplicateValues" dxfId="533" priority="547"/>
  </conditionalFormatting>
  <conditionalFormatting sqref="E225">
    <cfRule type="duplicateValues" dxfId="532" priority="546"/>
  </conditionalFormatting>
  <conditionalFormatting sqref="E226">
    <cfRule type="duplicateValues" dxfId="531" priority="545"/>
  </conditionalFormatting>
  <conditionalFormatting sqref="E227">
    <cfRule type="duplicateValues" dxfId="530" priority="544"/>
  </conditionalFormatting>
  <conditionalFormatting sqref="E228">
    <cfRule type="duplicateValues" dxfId="529" priority="543"/>
  </conditionalFormatting>
  <conditionalFormatting sqref="E229">
    <cfRule type="duplicateValues" dxfId="528" priority="542"/>
  </conditionalFormatting>
  <conditionalFormatting sqref="E230">
    <cfRule type="duplicateValues" dxfId="527" priority="541"/>
  </conditionalFormatting>
  <conditionalFormatting sqref="E231">
    <cfRule type="duplicateValues" dxfId="526" priority="540"/>
  </conditionalFormatting>
  <conditionalFormatting sqref="E232">
    <cfRule type="duplicateValues" dxfId="525" priority="539"/>
  </conditionalFormatting>
  <conditionalFormatting sqref="E233">
    <cfRule type="duplicateValues" dxfId="524" priority="538"/>
  </conditionalFormatting>
  <conditionalFormatting sqref="E234">
    <cfRule type="duplicateValues" dxfId="523" priority="537"/>
  </conditionalFormatting>
  <conditionalFormatting sqref="E235">
    <cfRule type="duplicateValues" dxfId="522" priority="536"/>
  </conditionalFormatting>
  <conditionalFormatting sqref="E236">
    <cfRule type="duplicateValues" dxfId="521" priority="535"/>
  </conditionalFormatting>
  <conditionalFormatting sqref="E237">
    <cfRule type="duplicateValues" dxfId="520" priority="534"/>
  </conditionalFormatting>
  <conditionalFormatting sqref="E238">
    <cfRule type="duplicateValues" dxfId="519" priority="533"/>
  </conditionalFormatting>
  <conditionalFormatting sqref="E239">
    <cfRule type="duplicateValues" dxfId="518" priority="532"/>
  </conditionalFormatting>
  <conditionalFormatting sqref="E240">
    <cfRule type="duplicateValues" dxfId="517" priority="531"/>
  </conditionalFormatting>
  <conditionalFormatting sqref="E241">
    <cfRule type="duplicateValues" dxfId="516" priority="530"/>
  </conditionalFormatting>
  <conditionalFormatting sqref="E242">
    <cfRule type="duplicateValues" dxfId="515" priority="529"/>
  </conditionalFormatting>
  <conditionalFormatting sqref="E243">
    <cfRule type="duplicateValues" dxfId="514" priority="528"/>
  </conditionalFormatting>
  <conditionalFormatting sqref="E244">
    <cfRule type="duplicateValues" dxfId="513" priority="527"/>
  </conditionalFormatting>
  <conditionalFormatting sqref="E245">
    <cfRule type="duplicateValues" dxfId="512" priority="526"/>
  </conditionalFormatting>
  <conditionalFormatting sqref="E246">
    <cfRule type="duplicateValues" dxfId="511" priority="525"/>
  </conditionalFormatting>
  <conditionalFormatting sqref="E247">
    <cfRule type="duplicateValues" dxfId="510" priority="524"/>
  </conditionalFormatting>
  <conditionalFormatting sqref="E248">
    <cfRule type="duplicateValues" dxfId="509" priority="523"/>
  </conditionalFormatting>
  <conditionalFormatting sqref="E249">
    <cfRule type="duplicateValues" dxfId="508" priority="522"/>
  </conditionalFormatting>
  <conditionalFormatting sqref="E250">
    <cfRule type="duplicateValues" dxfId="507" priority="521"/>
  </conditionalFormatting>
  <conditionalFormatting sqref="E251">
    <cfRule type="duplicateValues" dxfId="506" priority="520"/>
  </conditionalFormatting>
  <conditionalFormatting sqref="E252">
    <cfRule type="duplicateValues" dxfId="505" priority="519"/>
  </conditionalFormatting>
  <conditionalFormatting sqref="E253">
    <cfRule type="duplicateValues" dxfId="504" priority="518"/>
  </conditionalFormatting>
  <conditionalFormatting sqref="E254">
    <cfRule type="duplicateValues" dxfId="503" priority="517"/>
  </conditionalFormatting>
  <conditionalFormatting sqref="E255">
    <cfRule type="duplicateValues" dxfId="502" priority="516"/>
  </conditionalFormatting>
  <conditionalFormatting sqref="E256">
    <cfRule type="duplicateValues" dxfId="501" priority="515"/>
  </conditionalFormatting>
  <conditionalFormatting sqref="E257">
    <cfRule type="duplicateValues" dxfId="500" priority="514"/>
  </conditionalFormatting>
  <conditionalFormatting sqref="E258">
    <cfRule type="duplicateValues" dxfId="499" priority="513"/>
  </conditionalFormatting>
  <conditionalFormatting sqref="E259">
    <cfRule type="duplicateValues" dxfId="498" priority="512"/>
  </conditionalFormatting>
  <conditionalFormatting sqref="E260">
    <cfRule type="duplicateValues" dxfId="497" priority="511"/>
  </conditionalFormatting>
  <conditionalFormatting sqref="E261">
    <cfRule type="duplicateValues" dxfId="496" priority="510"/>
  </conditionalFormatting>
  <conditionalFormatting sqref="E262">
    <cfRule type="duplicateValues" dxfId="495" priority="509"/>
  </conditionalFormatting>
  <conditionalFormatting sqref="E263">
    <cfRule type="duplicateValues" dxfId="494" priority="508"/>
  </conditionalFormatting>
  <conditionalFormatting sqref="E264">
    <cfRule type="duplicateValues" dxfId="493" priority="507"/>
  </conditionalFormatting>
  <conditionalFormatting sqref="E265">
    <cfRule type="duplicateValues" dxfId="492" priority="506"/>
  </conditionalFormatting>
  <conditionalFormatting sqref="E266">
    <cfRule type="duplicateValues" dxfId="491" priority="505"/>
  </conditionalFormatting>
  <conditionalFormatting sqref="E267">
    <cfRule type="duplicateValues" dxfId="490" priority="504"/>
  </conditionalFormatting>
  <conditionalFormatting sqref="E268">
    <cfRule type="duplicateValues" dxfId="489" priority="503"/>
  </conditionalFormatting>
  <conditionalFormatting sqref="E269">
    <cfRule type="duplicateValues" dxfId="488" priority="502"/>
  </conditionalFormatting>
  <conditionalFormatting sqref="E270">
    <cfRule type="duplicateValues" dxfId="487" priority="501"/>
  </conditionalFormatting>
  <conditionalFormatting sqref="E271">
    <cfRule type="duplicateValues" dxfId="486" priority="500"/>
  </conditionalFormatting>
  <conditionalFormatting sqref="E272">
    <cfRule type="duplicateValues" dxfId="485" priority="499"/>
  </conditionalFormatting>
  <conditionalFormatting sqref="E273">
    <cfRule type="duplicateValues" dxfId="484" priority="498"/>
  </conditionalFormatting>
  <conditionalFormatting sqref="E274">
    <cfRule type="duplicateValues" dxfId="483" priority="497"/>
  </conditionalFormatting>
  <conditionalFormatting sqref="E275">
    <cfRule type="duplicateValues" dxfId="482" priority="496"/>
  </conditionalFormatting>
  <conditionalFormatting sqref="E276">
    <cfRule type="duplicateValues" dxfId="481" priority="495"/>
  </conditionalFormatting>
  <conditionalFormatting sqref="E277">
    <cfRule type="duplicateValues" dxfId="480" priority="494"/>
  </conditionalFormatting>
  <conditionalFormatting sqref="E278">
    <cfRule type="duplicateValues" dxfId="479" priority="493"/>
  </conditionalFormatting>
  <conditionalFormatting sqref="E279">
    <cfRule type="duplicateValues" dxfId="478" priority="492"/>
  </conditionalFormatting>
  <conditionalFormatting sqref="E280">
    <cfRule type="duplicateValues" dxfId="477" priority="491"/>
  </conditionalFormatting>
  <conditionalFormatting sqref="E281">
    <cfRule type="duplicateValues" dxfId="476" priority="490"/>
  </conditionalFormatting>
  <conditionalFormatting sqref="E282">
    <cfRule type="duplicateValues" dxfId="475" priority="489"/>
  </conditionalFormatting>
  <conditionalFormatting sqref="E283">
    <cfRule type="duplicateValues" dxfId="474" priority="488"/>
  </conditionalFormatting>
  <conditionalFormatting sqref="E284">
    <cfRule type="duplicateValues" dxfId="473" priority="487"/>
  </conditionalFormatting>
  <conditionalFormatting sqref="E285">
    <cfRule type="duplicateValues" dxfId="472" priority="486"/>
  </conditionalFormatting>
  <conditionalFormatting sqref="E286">
    <cfRule type="duplicateValues" dxfId="471" priority="485"/>
  </conditionalFormatting>
  <conditionalFormatting sqref="E287">
    <cfRule type="duplicateValues" dxfId="470" priority="484"/>
  </conditionalFormatting>
  <conditionalFormatting sqref="E288">
    <cfRule type="duplicateValues" dxfId="469" priority="483"/>
  </conditionalFormatting>
  <conditionalFormatting sqref="E289">
    <cfRule type="duplicateValues" dxfId="468" priority="482"/>
  </conditionalFormatting>
  <conditionalFormatting sqref="E290">
    <cfRule type="duplicateValues" dxfId="467" priority="481"/>
  </conditionalFormatting>
  <conditionalFormatting sqref="E291">
    <cfRule type="duplicateValues" dxfId="466" priority="480"/>
  </conditionalFormatting>
  <conditionalFormatting sqref="E292">
    <cfRule type="duplicateValues" dxfId="465" priority="479"/>
  </conditionalFormatting>
  <conditionalFormatting sqref="E293">
    <cfRule type="duplicateValues" dxfId="464" priority="478"/>
  </conditionalFormatting>
  <conditionalFormatting sqref="E294">
    <cfRule type="duplicateValues" dxfId="463" priority="477"/>
  </conditionalFormatting>
  <conditionalFormatting sqref="E295">
    <cfRule type="duplicateValues" dxfId="462" priority="476"/>
  </conditionalFormatting>
  <conditionalFormatting sqref="E296">
    <cfRule type="duplicateValues" dxfId="461" priority="475"/>
  </conditionalFormatting>
  <conditionalFormatting sqref="E297">
    <cfRule type="duplicateValues" dxfId="460" priority="474"/>
  </conditionalFormatting>
  <conditionalFormatting sqref="E298">
    <cfRule type="duplicateValues" dxfId="459" priority="473"/>
  </conditionalFormatting>
  <conditionalFormatting sqref="E299">
    <cfRule type="duplicateValues" dxfId="458" priority="472"/>
  </conditionalFormatting>
  <conditionalFormatting sqref="E300">
    <cfRule type="duplicateValues" dxfId="457" priority="471"/>
  </conditionalFormatting>
  <conditionalFormatting sqref="E301">
    <cfRule type="duplicateValues" dxfId="456" priority="470"/>
  </conditionalFormatting>
  <conditionalFormatting sqref="E302">
    <cfRule type="duplicateValues" dxfId="455" priority="469"/>
  </conditionalFormatting>
  <conditionalFormatting sqref="E303">
    <cfRule type="duplicateValues" dxfId="454" priority="468"/>
  </conditionalFormatting>
  <conditionalFormatting sqref="E304">
    <cfRule type="duplicateValues" dxfId="453" priority="467"/>
  </conditionalFormatting>
  <conditionalFormatting sqref="E305">
    <cfRule type="duplicateValues" dxfId="452" priority="466"/>
  </conditionalFormatting>
  <conditionalFormatting sqref="E306">
    <cfRule type="duplicateValues" dxfId="451" priority="465"/>
  </conditionalFormatting>
  <conditionalFormatting sqref="E307">
    <cfRule type="duplicateValues" dxfId="450" priority="464"/>
  </conditionalFormatting>
  <conditionalFormatting sqref="E308">
    <cfRule type="duplicateValues" dxfId="449" priority="463"/>
  </conditionalFormatting>
  <conditionalFormatting sqref="E309">
    <cfRule type="duplicateValues" dxfId="448" priority="462"/>
  </conditionalFormatting>
  <conditionalFormatting sqref="E310">
    <cfRule type="duplicateValues" dxfId="447" priority="461"/>
  </conditionalFormatting>
  <conditionalFormatting sqref="E311">
    <cfRule type="duplicateValues" dxfId="446" priority="460"/>
  </conditionalFormatting>
  <conditionalFormatting sqref="E312">
    <cfRule type="duplicateValues" dxfId="445" priority="459"/>
  </conditionalFormatting>
  <conditionalFormatting sqref="E313">
    <cfRule type="duplicateValues" dxfId="444" priority="458"/>
  </conditionalFormatting>
  <conditionalFormatting sqref="E314">
    <cfRule type="duplicateValues" dxfId="443" priority="457"/>
  </conditionalFormatting>
  <conditionalFormatting sqref="E315">
    <cfRule type="duplicateValues" dxfId="442" priority="456"/>
  </conditionalFormatting>
  <conditionalFormatting sqref="E316">
    <cfRule type="duplicateValues" dxfId="441" priority="455"/>
  </conditionalFormatting>
  <conditionalFormatting sqref="E317">
    <cfRule type="duplicateValues" dxfId="440" priority="454"/>
  </conditionalFormatting>
  <conditionalFormatting sqref="E318">
    <cfRule type="duplicateValues" dxfId="439" priority="453"/>
  </conditionalFormatting>
  <conditionalFormatting sqref="E319">
    <cfRule type="duplicateValues" dxfId="438" priority="452"/>
  </conditionalFormatting>
  <conditionalFormatting sqref="E320">
    <cfRule type="duplicateValues" dxfId="437" priority="451"/>
  </conditionalFormatting>
  <conditionalFormatting sqref="E321">
    <cfRule type="duplicateValues" dxfId="436" priority="450"/>
  </conditionalFormatting>
  <conditionalFormatting sqref="E322">
    <cfRule type="duplicateValues" dxfId="435" priority="449"/>
  </conditionalFormatting>
  <conditionalFormatting sqref="E323">
    <cfRule type="duplicateValues" dxfId="434" priority="448"/>
  </conditionalFormatting>
  <conditionalFormatting sqref="E324">
    <cfRule type="duplicateValues" dxfId="433" priority="447"/>
  </conditionalFormatting>
  <conditionalFormatting sqref="E325">
    <cfRule type="duplicateValues" dxfId="432" priority="446"/>
  </conditionalFormatting>
  <conditionalFormatting sqref="E326">
    <cfRule type="duplicateValues" dxfId="431" priority="445"/>
  </conditionalFormatting>
  <conditionalFormatting sqref="E327">
    <cfRule type="duplicateValues" dxfId="430" priority="444"/>
  </conditionalFormatting>
  <conditionalFormatting sqref="E328">
    <cfRule type="duplicateValues" dxfId="429" priority="443"/>
  </conditionalFormatting>
  <conditionalFormatting sqref="E329">
    <cfRule type="duplicateValues" dxfId="428" priority="442"/>
  </conditionalFormatting>
  <conditionalFormatting sqref="E330">
    <cfRule type="duplicateValues" dxfId="427" priority="441"/>
  </conditionalFormatting>
  <conditionalFormatting sqref="E331">
    <cfRule type="duplicateValues" dxfId="426" priority="440"/>
  </conditionalFormatting>
  <conditionalFormatting sqref="E332">
    <cfRule type="duplicateValues" dxfId="425" priority="439"/>
  </conditionalFormatting>
  <conditionalFormatting sqref="E333">
    <cfRule type="duplicateValues" dxfId="424" priority="438"/>
  </conditionalFormatting>
  <conditionalFormatting sqref="E334">
    <cfRule type="duplicateValues" dxfId="423" priority="437"/>
  </conditionalFormatting>
  <conditionalFormatting sqref="E335">
    <cfRule type="duplicateValues" dxfId="422" priority="436"/>
  </conditionalFormatting>
  <conditionalFormatting sqref="E336">
    <cfRule type="duplicateValues" dxfId="421" priority="435"/>
  </conditionalFormatting>
  <conditionalFormatting sqref="E337">
    <cfRule type="duplicateValues" dxfId="420" priority="434"/>
  </conditionalFormatting>
  <conditionalFormatting sqref="E338">
    <cfRule type="duplicateValues" dxfId="419" priority="433"/>
  </conditionalFormatting>
  <conditionalFormatting sqref="E339">
    <cfRule type="duplicateValues" dxfId="418" priority="432"/>
  </conditionalFormatting>
  <conditionalFormatting sqref="E340">
    <cfRule type="duplicateValues" dxfId="417" priority="431"/>
  </conditionalFormatting>
  <conditionalFormatting sqref="E341">
    <cfRule type="duplicateValues" dxfId="416" priority="430"/>
  </conditionalFormatting>
  <conditionalFormatting sqref="E342">
    <cfRule type="duplicateValues" dxfId="415" priority="429"/>
  </conditionalFormatting>
  <conditionalFormatting sqref="E343">
    <cfRule type="duplicateValues" dxfId="414" priority="428"/>
  </conditionalFormatting>
  <conditionalFormatting sqref="E344">
    <cfRule type="duplicateValues" dxfId="413" priority="427"/>
  </conditionalFormatting>
  <conditionalFormatting sqref="E345">
    <cfRule type="duplicateValues" dxfId="412" priority="426"/>
  </conditionalFormatting>
  <conditionalFormatting sqref="E346">
    <cfRule type="duplicateValues" dxfId="411" priority="425"/>
  </conditionalFormatting>
  <conditionalFormatting sqref="E347">
    <cfRule type="duplicateValues" dxfId="410" priority="424"/>
  </conditionalFormatting>
  <conditionalFormatting sqref="E348">
    <cfRule type="duplicateValues" dxfId="409" priority="423"/>
  </conditionalFormatting>
  <conditionalFormatting sqref="E349">
    <cfRule type="duplicateValues" dxfId="408" priority="422"/>
  </conditionalFormatting>
  <conditionalFormatting sqref="E350">
    <cfRule type="duplicateValues" dxfId="407" priority="421"/>
  </conditionalFormatting>
  <conditionalFormatting sqref="E351">
    <cfRule type="duplicateValues" dxfId="406" priority="420"/>
  </conditionalFormatting>
  <conditionalFormatting sqref="E352">
    <cfRule type="duplicateValues" dxfId="405" priority="419"/>
  </conditionalFormatting>
  <conditionalFormatting sqref="E353">
    <cfRule type="duplicateValues" dxfId="404" priority="418"/>
  </conditionalFormatting>
  <conditionalFormatting sqref="E354">
    <cfRule type="duplicateValues" dxfId="403" priority="417"/>
  </conditionalFormatting>
  <conditionalFormatting sqref="E355">
    <cfRule type="duplicateValues" dxfId="402" priority="416"/>
  </conditionalFormatting>
  <conditionalFormatting sqref="E356">
    <cfRule type="duplicateValues" dxfId="401" priority="415"/>
  </conditionalFormatting>
  <conditionalFormatting sqref="E357">
    <cfRule type="duplicateValues" dxfId="400" priority="414"/>
  </conditionalFormatting>
  <conditionalFormatting sqref="E358">
    <cfRule type="duplicateValues" dxfId="399" priority="413"/>
  </conditionalFormatting>
  <conditionalFormatting sqref="E359">
    <cfRule type="duplicateValues" dxfId="398" priority="412"/>
  </conditionalFormatting>
  <conditionalFormatting sqref="E360">
    <cfRule type="duplicateValues" dxfId="397" priority="411"/>
  </conditionalFormatting>
  <conditionalFormatting sqref="E361">
    <cfRule type="duplicateValues" dxfId="396" priority="410"/>
  </conditionalFormatting>
  <conditionalFormatting sqref="E362">
    <cfRule type="duplicateValues" dxfId="395" priority="409"/>
  </conditionalFormatting>
  <conditionalFormatting sqref="E363">
    <cfRule type="duplicateValues" dxfId="394" priority="408"/>
  </conditionalFormatting>
  <conditionalFormatting sqref="E364">
    <cfRule type="duplicateValues" dxfId="393" priority="407"/>
  </conditionalFormatting>
  <conditionalFormatting sqref="E365">
    <cfRule type="duplicateValues" dxfId="392" priority="406"/>
  </conditionalFormatting>
  <conditionalFormatting sqref="E366">
    <cfRule type="duplicateValues" dxfId="391" priority="405"/>
  </conditionalFormatting>
  <conditionalFormatting sqref="E367">
    <cfRule type="duplicateValues" dxfId="390" priority="404"/>
  </conditionalFormatting>
  <conditionalFormatting sqref="E368">
    <cfRule type="duplicateValues" dxfId="389" priority="403"/>
  </conditionalFormatting>
  <conditionalFormatting sqref="E369">
    <cfRule type="duplicateValues" dxfId="388" priority="402"/>
  </conditionalFormatting>
  <conditionalFormatting sqref="E370">
    <cfRule type="duplicateValues" dxfId="387" priority="401"/>
  </conditionalFormatting>
  <conditionalFormatting sqref="E371">
    <cfRule type="duplicateValues" dxfId="386" priority="400"/>
  </conditionalFormatting>
  <conditionalFormatting sqref="E372">
    <cfRule type="duplicateValues" dxfId="385" priority="399"/>
  </conditionalFormatting>
  <conditionalFormatting sqref="E373">
    <cfRule type="duplicateValues" dxfId="384" priority="398"/>
  </conditionalFormatting>
  <conditionalFormatting sqref="E374">
    <cfRule type="duplicateValues" dxfId="383" priority="397"/>
  </conditionalFormatting>
  <conditionalFormatting sqref="E375">
    <cfRule type="duplicateValues" dxfId="382" priority="396"/>
  </conditionalFormatting>
  <conditionalFormatting sqref="E376">
    <cfRule type="duplicateValues" dxfId="381" priority="395"/>
  </conditionalFormatting>
  <conditionalFormatting sqref="E377">
    <cfRule type="duplicateValues" dxfId="380" priority="394"/>
  </conditionalFormatting>
  <conditionalFormatting sqref="E378">
    <cfRule type="duplicateValues" dxfId="379" priority="393"/>
  </conditionalFormatting>
  <conditionalFormatting sqref="E379">
    <cfRule type="duplicateValues" dxfId="378" priority="392"/>
  </conditionalFormatting>
  <conditionalFormatting sqref="E380">
    <cfRule type="duplicateValues" dxfId="377" priority="391"/>
  </conditionalFormatting>
  <conditionalFormatting sqref="E381">
    <cfRule type="duplicateValues" dxfId="376" priority="390"/>
  </conditionalFormatting>
  <conditionalFormatting sqref="E382">
    <cfRule type="duplicateValues" dxfId="375" priority="389"/>
  </conditionalFormatting>
  <conditionalFormatting sqref="E383">
    <cfRule type="duplicateValues" dxfId="374" priority="388"/>
  </conditionalFormatting>
  <conditionalFormatting sqref="E384">
    <cfRule type="duplicateValues" dxfId="373" priority="387"/>
  </conditionalFormatting>
  <conditionalFormatting sqref="E385">
    <cfRule type="duplicateValues" dxfId="372" priority="386"/>
  </conditionalFormatting>
  <conditionalFormatting sqref="E386">
    <cfRule type="duplicateValues" dxfId="371" priority="385"/>
  </conditionalFormatting>
  <conditionalFormatting sqref="E387">
    <cfRule type="duplicateValues" dxfId="370" priority="384"/>
  </conditionalFormatting>
  <conditionalFormatting sqref="E388">
    <cfRule type="duplicateValues" dxfId="369" priority="383"/>
  </conditionalFormatting>
  <conditionalFormatting sqref="E389">
    <cfRule type="duplicateValues" dxfId="368" priority="382"/>
  </conditionalFormatting>
  <conditionalFormatting sqref="E390">
    <cfRule type="duplicateValues" dxfId="367" priority="381"/>
  </conditionalFormatting>
  <conditionalFormatting sqref="E391">
    <cfRule type="duplicateValues" dxfId="366" priority="380"/>
  </conditionalFormatting>
  <conditionalFormatting sqref="E392">
    <cfRule type="duplicateValues" dxfId="365" priority="379"/>
  </conditionalFormatting>
  <conditionalFormatting sqref="E393">
    <cfRule type="duplicateValues" dxfId="364" priority="378"/>
  </conditionalFormatting>
  <conditionalFormatting sqref="E394">
    <cfRule type="duplicateValues" dxfId="363" priority="377"/>
  </conditionalFormatting>
  <conditionalFormatting sqref="E395">
    <cfRule type="duplicateValues" dxfId="362" priority="376"/>
  </conditionalFormatting>
  <conditionalFormatting sqref="E396">
    <cfRule type="duplicateValues" dxfId="361" priority="375"/>
  </conditionalFormatting>
  <conditionalFormatting sqref="E397">
    <cfRule type="duplicateValues" dxfId="360" priority="374"/>
  </conditionalFormatting>
  <conditionalFormatting sqref="E398">
    <cfRule type="duplicateValues" dxfId="359" priority="373"/>
  </conditionalFormatting>
  <conditionalFormatting sqref="E399">
    <cfRule type="duplicateValues" dxfId="358" priority="372"/>
  </conditionalFormatting>
  <conditionalFormatting sqref="E400">
    <cfRule type="duplicateValues" dxfId="357" priority="371"/>
  </conditionalFormatting>
  <conditionalFormatting sqref="E401">
    <cfRule type="duplicateValues" dxfId="356" priority="370"/>
  </conditionalFormatting>
  <conditionalFormatting sqref="E402">
    <cfRule type="duplicateValues" dxfId="355" priority="369"/>
  </conditionalFormatting>
  <conditionalFormatting sqref="E403">
    <cfRule type="duplicateValues" dxfId="354" priority="368"/>
  </conditionalFormatting>
  <conditionalFormatting sqref="E404">
    <cfRule type="duplicateValues" dxfId="353" priority="367"/>
  </conditionalFormatting>
  <conditionalFormatting sqref="E405">
    <cfRule type="duplicateValues" dxfId="352" priority="366"/>
  </conditionalFormatting>
  <conditionalFormatting sqref="E406">
    <cfRule type="duplicateValues" dxfId="351" priority="365"/>
  </conditionalFormatting>
  <conditionalFormatting sqref="E407">
    <cfRule type="duplicateValues" dxfId="350" priority="364"/>
  </conditionalFormatting>
  <conditionalFormatting sqref="E408">
    <cfRule type="duplicateValues" dxfId="349" priority="363"/>
  </conditionalFormatting>
  <conditionalFormatting sqref="E409">
    <cfRule type="duplicateValues" dxfId="348" priority="362"/>
  </conditionalFormatting>
  <conditionalFormatting sqref="E410">
    <cfRule type="duplicateValues" dxfId="347" priority="361"/>
  </conditionalFormatting>
  <conditionalFormatting sqref="E411">
    <cfRule type="duplicateValues" dxfId="346" priority="360"/>
  </conditionalFormatting>
  <conditionalFormatting sqref="E412">
    <cfRule type="duplicateValues" dxfId="345" priority="359"/>
  </conditionalFormatting>
  <conditionalFormatting sqref="E413">
    <cfRule type="duplicateValues" dxfId="344" priority="358"/>
  </conditionalFormatting>
  <conditionalFormatting sqref="E414">
    <cfRule type="duplicateValues" dxfId="343" priority="357"/>
  </conditionalFormatting>
  <conditionalFormatting sqref="E415">
    <cfRule type="duplicateValues" dxfId="342" priority="356"/>
  </conditionalFormatting>
  <conditionalFormatting sqref="E416">
    <cfRule type="duplicateValues" dxfId="341" priority="355"/>
  </conditionalFormatting>
  <conditionalFormatting sqref="E417">
    <cfRule type="duplicateValues" dxfId="340" priority="354"/>
  </conditionalFormatting>
  <conditionalFormatting sqref="E418">
    <cfRule type="duplicateValues" dxfId="339" priority="353"/>
  </conditionalFormatting>
  <conditionalFormatting sqref="E419">
    <cfRule type="duplicateValues" dxfId="338" priority="352"/>
  </conditionalFormatting>
  <conditionalFormatting sqref="E420">
    <cfRule type="duplicateValues" dxfId="337" priority="351"/>
  </conditionalFormatting>
  <conditionalFormatting sqref="E421">
    <cfRule type="duplicateValues" dxfId="336" priority="350"/>
  </conditionalFormatting>
  <conditionalFormatting sqref="E422">
    <cfRule type="duplicateValues" dxfId="335" priority="349"/>
  </conditionalFormatting>
  <conditionalFormatting sqref="E423">
    <cfRule type="duplicateValues" dxfId="334" priority="348"/>
  </conditionalFormatting>
  <conditionalFormatting sqref="E424">
    <cfRule type="duplicateValues" dxfId="333" priority="347"/>
  </conditionalFormatting>
  <conditionalFormatting sqref="E425">
    <cfRule type="duplicateValues" dxfId="332" priority="346"/>
  </conditionalFormatting>
  <conditionalFormatting sqref="E426">
    <cfRule type="duplicateValues" dxfId="331" priority="345"/>
  </conditionalFormatting>
  <conditionalFormatting sqref="E427">
    <cfRule type="duplicateValues" dxfId="330" priority="344"/>
  </conditionalFormatting>
  <conditionalFormatting sqref="E428">
    <cfRule type="duplicateValues" dxfId="329" priority="343"/>
  </conditionalFormatting>
  <conditionalFormatting sqref="E429">
    <cfRule type="duplicateValues" dxfId="328" priority="342"/>
  </conditionalFormatting>
  <conditionalFormatting sqref="E430">
    <cfRule type="duplicateValues" dxfId="327" priority="341"/>
  </conditionalFormatting>
  <conditionalFormatting sqref="E431">
    <cfRule type="duplicateValues" dxfId="326" priority="340"/>
  </conditionalFormatting>
  <conditionalFormatting sqref="E432">
    <cfRule type="duplicateValues" dxfId="325" priority="339"/>
  </conditionalFormatting>
  <conditionalFormatting sqref="E433">
    <cfRule type="duplicateValues" dxfId="324" priority="338"/>
  </conditionalFormatting>
  <conditionalFormatting sqref="E434">
    <cfRule type="duplicateValues" dxfId="323" priority="337"/>
  </conditionalFormatting>
  <conditionalFormatting sqref="E435">
    <cfRule type="duplicateValues" dxfId="322" priority="336"/>
  </conditionalFormatting>
  <conditionalFormatting sqref="E436">
    <cfRule type="duplicateValues" dxfId="321" priority="335"/>
  </conditionalFormatting>
  <conditionalFormatting sqref="E437">
    <cfRule type="duplicateValues" dxfId="320" priority="334"/>
  </conditionalFormatting>
  <conditionalFormatting sqref="E438">
    <cfRule type="duplicateValues" dxfId="319" priority="333"/>
  </conditionalFormatting>
  <conditionalFormatting sqref="E439">
    <cfRule type="duplicateValues" dxfId="318" priority="332"/>
  </conditionalFormatting>
  <conditionalFormatting sqref="E440">
    <cfRule type="duplicateValues" dxfId="317" priority="331"/>
  </conditionalFormatting>
  <conditionalFormatting sqref="E441">
    <cfRule type="duplicateValues" dxfId="316" priority="330"/>
  </conditionalFormatting>
  <conditionalFormatting sqref="E442">
    <cfRule type="duplicateValues" dxfId="315" priority="329"/>
  </conditionalFormatting>
  <conditionalFormatting sqref="E443">
    <cfRule type="duplicateValues" dxfId="314" priority="328"/>
  </conditionalFormatting>
  <conditionalFormatting sqref="E444">
    <cfRule type="duplicateValues" dxfId="313" priority="327"/>
  </conditionalFormatting>
  <conditionalFormatting sqref="E445">
    <cfRule type="duplicateValues" dxfId="312" priority="326"/>
  </conditionalFormatting>
  <conditionalFormatting sqref="E446">
    <cfRule type="duplicateValues" dxfId="311" priority="325"/>
  </conditionalFormatting>
  <conditionalFormatting sqref="E447">
    <cfRule type="duplicateValues" dxfId="310" priority="324"/>
  </conditionalFormatting>
  <conditionalFormatting sqref="E448">
    <cfRule type="duplicateValues" dxfId="309" priority="323"/>
  </conditionalFormatting>
  <conditionalFormatting sqref="E449">
    <cfRule type="duplicateValues" dxfId="308" priority="322"/>
  </conditionalFormatting>
  <conditionalFormatting sqref="E450">
    <cfRule type="duplicateValues" dxfId="307" priority="321"/>
  </conditionalFormatting>
  <conditionalFormatting sqref="E451">
    <cfRule type="duplicateValues" dxfId="306" priority="320"/>
  </conditionalFormatting>
  <conditionalFormatting sqref="E452">
    <cfRule type="duplicateValues" dxfId="305" priority="319"/>
  </conditionalFormatting>
  <conditionalFormatting sqref="E453">
    <cfRule type="duplicateValues" dxfId="304" priority="318"/>
  </conditionalFormatting>
  <conditionalFormatting sqref="E454">
    <cfRule type="duplicateValues" dxfId="303" priority="317"/>
  </conditionalFormatting>
  <conditionalFormatting sqref="E455">
    <cfRule type="duplicateValues" dxfId="302" priority="316"/>
  </conditionalFormatting>
  <conditionalFormatting sqref="E456">
    <cfRule type="duplicateValues" dxfId="301" priority="315"/>
  </conditionalFormatting>
  <conditionalFormatting sqref="E457">
    <cfRule type="duplicateValues" dxfId="300" priority="314"/>
  </conditionalFormatting>
  <conditionalFormatting sqref="E458">
    <cfRule type="duplicateValues" dxfId="299" priority="313"/>
  </conditionalFormatting>
  <conditionalFormatting sqref="E459">
    <cfRule type="duplicateValues" dxfId="298" priority="312"/>
  </conditionalFormatting>
  <conditionalFormatting sqref="E460">
    <cfRule type="duplicateValues" dxfId="297" priority="311"/>
  </conditionalFormatting>
  <conditionalFormatting sqref="E461">
    <cfRule type="duplicateValues" dxfId="296" priority="310"/>
  </conditionalFormatting>
  <conditionalFormatting sqref="E462">
    <cfRule type="duplicateValues" dxfId="295" priority="309"/>
  </conditionalFormatting>
  <conditionalFormatting sqref="E463">
    <cfRule type="duplicateValues" dxfId="294" priority="308"/>
  </conditionalFormatting>
  <conditionalFormatting sqref="E464">
    <cfRule type="duplicateValues" dxfId="293" priority="307"/>
  </conditionalFormatting>
  <conditionalFormatting sqref="E465">
    <cfRule type="duplicateValues" dxfId="292" priority="306"/>
  </conditionalFormatting>
  <conditionalFormatting sqref="E466">
    <cfRule type="duplicateValues" dxfId="291" priority="305"/>
  </conditionalFormatting>
  <conditionalFormatting sqref="E467">
    <cfRule type="duplicateValues" dxfId="290" priority="304"/>
  </conditionalFormatting>
  <conditionalFormatting sqref="E468">
    <cfRule type="duplicateValues" dxfId="289" priority="303"/>
  </conditionalFormatting>
  <conditionalFormatting sqref="E469">
    <cfRule type="duplicateValues" dxfId="288" priority="302"/>
  </conditionalFormatting>
  <conditionalFormatting sqref="E470">
    <cfRule type="duplicateValues" dxfId="287" priority="301"/>
  </conditionalFormatting>
  <conditionalFormatting sqref="E471">
    <cfRule type="duplicateValues" dxfId="286" priority="300"/>
  </conditionalFormatting>
  <conditionalFormatting sqref="E472">
    <cfRule type="duplicateValues" dxfId="285" priority="299"/>
  </conditionalFormatting>
  <conditionalFormatting sqref="E473">
    <cfRule type="duplicateValues" dxfId="284" priority="298"/>
  </conditionalFormatting>
  <conditionalFormatting sqref="E474">
    <cfRule type="duplicateValues" dxfId="283" priority="297"/>
  </conditionalFormatting>
  <conditionalFormatting sqref="E475">
    <cfRule type="duplicateValues" dxfId="282" priority="296"/>
  </conditionalFormatting>
  <conditionalFormatting sqref="E476">
    <cfRule type="duplicateValues" dxfId="281" priority="295"/>
  </conditionalFormatting>
  <conditionalFormatting sqref="E477">
    <cfRule type="duplicateValues" dxfId="280" priority="294"/>
  </conditionalFormatting>
  <conditionalFormatting sqref="E478">
    <cfRule type="duplicateValues" dxfId="279" priority="293"/>
  </conditionalFormatting>
  <conditionalFormatting sqref="E479">
    <cfRule type="duplicateValues" dxfId="278" priority="292"/>
  </conditionalFormatting>
  <conditionalFormatting sqref="E480">
    <cfRule type="duplicateValues" dxfId="277" priority="291"/>
  </conditionalFormatting>
  <conditionalFormatting sqref="E481">
    <cfRule type="duplicateValues" dxfId="276" priority="290"/>
  </conditionalFormatting>
  <conditionalFormatting sqref="E482">
    <cfRule type="duplicateValues" dxfId="275" priority="289"/>
  </conditionalFormatting>
  <conditionalFormatting sqref="E483">
    <cfRule type="duplicateValues" dxfId="274" priority="288"/>
  </conditionalFormatting>
  <conditionalFormatting sqref="E484">
    <cfRule type="duplicateValues" dxfId="273" priority="287"/>
  </conditionalFormatting>
  <conditionalFormatting sqref="E485">
    <cfRule type="duplicateValues" dxfId="272" priority="286"/>
  </conditionalFormatting>
  <conditionalFormatting sqref="E486">
    <cfRule type="duplicateValues" dxfId="271" priority="285"/>
  </conditionalFormatting>
  <conditionalFormatting sqref="E487">
    <cfRule type="duplicateValues" dxfId="270" priority="284"/>
  </conditionalFormatting>
  <conditionalFormatting sqref="E488">
    <cfRule type="duplicateValues" dxfId="269" priority="283"/>
  </conditionalFormatting>
  <conditionalFormatting sqref="E489">
    <cfRule type="duplicateValues" dxfId="268" priority="282"/>
  </conditionalFormatting>
  <conditionalFormatting sqref="E490">
    <cfRule type="duplicateValues" dxfId="267" priority="281"/>
  </conditionalFormatting>
  <conditionalFormatting sqref="E491">
    <cfRule type="duplicateValues" dxfId="266" priority="280"/>
  </conditionalFormatting>
  <conditionalFormatting sqref="E492">
    <cfRule type="duplicateValues" dxfId="265" priority="279"/>
  </conditionalFormatting>
  <conditionalFormatting sqref="E493">
    <cfRule type="duplicateValues" dxfId="264" priority="278"/>
  </conditionalFormatting>
  <conditionalFormatting sqref="E494">
    <cfRule type="duplicateValues" dxfId="263" priority="277"/>
  </conditionalFormatting>
  <conditionalFormatting sqref="E495">
    <cfRule type="duplicateValues" dxfId="262" priority="276"/>
  </conditionalFormatting>
  <conditionalFormatting sqref="E496">
    <cfRule type="duplicateValues" dxfId="261" priority="275"/>
  </conditionalFormatting>
  <conditionalFormatting sqref="E497">
    <cfRule type="duplicateValues" dxfId="260" priority="274"/>
  </conditionalFormatting>
  <conditionalFormatting sqref="E498">
    <cfRule type="duplicateValues" dxfId="259" priority="273"/>
  </conditionalFormatting>
  <conditionalFormatting sqref="E499">
    <cfRule type="duplicateValues" dxfId="258" priority="272"/>
  </conditionalFormatting>
  <conditionalFormatting sqref="E500">
    <cfRule type="duplicateValues" dxfId="257" priority="271"/>
  </conditionalFormatting>
  <conditionalFormatting sqref="E501">
    <cfRule type="duplicateValues" dxfId="256" priority="270"/>
  </conditionalFormatting>
  <conditionalFormatting sqref="E502">
    <cfRule type="duplicateValues" dxfId="255" priority="269"/>
  </conditionalFormatting>
  <conditionalFormatting sqref="E503">
    <cfRule type="duplicateValues" dxfId="254" priority="268"/>
  </conditionalFormatting>
  <conditionalFormatting sqref="E504">
    <cfRule type="duplicateValues" dxfId="253" priority="267"/>
  </conditionalFormatting>
  <conditionalFormatting sqref="E505">
    <cfRule type="duplicateValues" dxfId="252" priority="266"/>
  </conditionalFormatting>
  <conditionalFormatting sqref="E506">
    <cfRule type="duplicateValues" dxfId="251" priority="265"/>
  </conditionalFormatting>
  <conditionalFormatting sqref="E507">
    <cfRule type="duplicateValues" dxfId="250" priority="264"/>
  </conditionalFormatting>
  <conditionalFormatting sqref="E508">
    <cfRule type="duplicateValues" dxfId="249" priority="263"/>
  </conditionalFormatting>
  <conditionalFormatting sqref="E509">
    <cfRule type="duplicateValues" dxfId="248" priority="262"/>
  </conditionalFormatting>
  <conditionalFormatting sqref="E510">
    <cfRule type="duplicateValues" dxfId="247" priority="261"/>
  </conditionalFormatting>
  <conditionalFormatting sqref="E511">
    <cfRule type="duplicateValues" dxfId="246" priority="260"/>
  </conditionalFormatting>
  <conditionalFormatting sqref="E512">
    <cfRule type="duplicateValues" dxfId="245" priority="259"/>
  </conditionalFormatting>
  <conditionalFormatting sqref="E513">
    <cfRule type="duplicateValues" dxfId="244" priority="258"/>
  </conditionalFormatting>
  <conditionalFormatting sqref="E514">
    <cfRule type="duplicateValues" dxfId="243" priority="257"/>
  </conditionalFormatting>
  <conditionalFormatting sqref="E515">
    <cfRule type="duplicateValues" dxfId="242" priority="256"/>
  </conditionalFormatting>
  <conditionalFormatting sqref="E516">
    <cfRule type="duplicateValues" dxfId="241" priority="255"/>
  </conditionalFormatting>
  <conditionalFormatting sqref="E517">
    <cfRule type="duplicateValues" dxfId="240" priority="254"/>
  </conditionalFormatting>
  <conditionalFormatting sqref="E518">
    <cfRule type="duplicateValues" dxfId="239" priority="253"/>
  </conditionalFormatting>
  <conditionalFormatting sqref="E519">
    <cfRule type="duplicateValues" dxfId="238" priority="252"/>
  </conditionalFormatting>
  <conditionalFormatting sqref="E520">
    <cfRule type="duplicateValues" dxfId="237" priority="251"/>
  </conditionalFormatting>
  <conditionalFormatting sqref="E521">
    <cfRule type="duplicateValues" dxfId="236" priority="250"/>
  </conditionalFormatting>
  <conditionalFormatting sqref="E522">
    <cfRule type="duplicateValues" dxfId="235" priority="249"/>
  </conditionalFormatting>
  <conditionalFormatting sqref="E523">
    <cfRule type="duplicateValues" dxfId="234" priority="248"/>
  </conditionalFormatting>
  <conditionalFormatting sqref="E524">
    <cfRule type="duplicateValues" dxfId="233" priority="247"/>
  </conditionalFormatting>
  <conditionalFormatting sqref="E525">
    <cfRule type="duplicateValues" dxfId="232" priority="246"/>
  </conditionalFormatting>
  <conditionalFormatting sqref="E526">
    <cfRule type="duplicateValues" dxfId="231" priority="245"/>
  </conditionalFormatting>
  <conditionalFormatting sqref="E527">
    <cfRule type="duplicateValues" dxfId="230" priority="244"/>
  </conditionalFormatting>
  <conditionalFormatting sqref="E528">
    <cfRule type="duplicateValues" dxfId="229" priority="243"/>
  </conditionalFormatting>
  <conditionalFormatting sqref="E529">
    <cfRule type="duplicateValues" dxfId="228" priority="242"/>
  </conditionalFormatting>
  <conditionalFormatting sqref="E530">
    <cfRule type="duplicateValues" dxfId="227" priority="241"/>
  </conditionalFormatting>
  <conditionalFormatting sqref="E531">
    <cfRule type="duplicateValues" dxfId="226" priority="240"/>
  </conditionalFormatting>
  <conditionalFormatting sqref="E532">
    <cfRule type="duplicateValues" dxfId="225" priority="239"/>
  </conditionalFormatting>
  <conditionalFormatting sqref="E533">
    <cfRule type="duplicateValues" dxfId="224" priority="238"/>
  </conditionalFormatting>
  <conditionalFormatting sqref="E534">
    <cfRule type="duplicateValues" dxfId="223" priority="237"/>
  </conditionalFormatting>
  <conditionalFormatting sqref="E535">
    <cfRule type="duplicateValues" dxfId="222" priority="236"/>
  </conditionalFormatting>
  <conditionalFormatting sqref="E536">
    <cfRule type="duplicateValues" dxfId="221" priority="235"/>
  </conditionalFormatting>
  <conditionalFormatting sqref="E537">
    <cfRule type="duplicateValues" dxfId="220" priority="234"/>
  </conditionalFormatting>
  <conditionalFormatting sqref="E538">
    <cfRule type="duplicateValues" dxfId="219" priority="233"/>
  </conditionalFormatting>
  <conditionalFormatting sqref="E539">
    <cfRule type="duplicateValues" dxfId="218" priority="232"/>
  </conditionalFormatting>
  <conditionalFormatting sqref="E540">
    <cfRule type="duplicateValues" dxfId="217" priority="231"/>
  </conditionalFormatting>
  <conditionalFormatting sqref="E541">
    <cfRule type="duplicateValues" dxfId="216" priority="230"/>
  </conditionalFormatting>
  <conditionalFormatting sqref="E542">
    <cfRule type="duplicateValues" dxfId="215" priority="229"/>
  </conditionalFormatting>
  <conditionalFormatting sqref="E543">
    <cfRule type="duplicateValues" dxfId="214" priority="228"/>
  </conditionalFormatting>
  <conditionalFormatting sqref="E544">
    <cfRule type="duplicateValues" dxfId="213" priority="227"/>
  </conditionalFormatting>
  <conditionalFormatting sqref="E545">
    <cfRule type="duplicateValues" dxfId="212" priority="226"/>
  </conditionalFormatting>
  <conditionalFormatting sqref="E546">
    <cfRule type="duplicateValues" dxfId="211" priority="225"/>
  </conditionalFormatting>
  <conditionalFormatting sqref="E547">
    <cfRule type="duplicateValues" dxfId="210" priority="224"/>
  </conditionalFormatting>
  <conditionalFormatting sqref="E548">
    <cfRule type="duplicateValues" dxfId="209" priority="223"/>
  </conditionalFormatting>
  <conditionalFormatting sqref="E549">
    <cfRule type="duplicateValues" dxfId="208" priority="222"/>
  </conditionalFormatting>
  <conditionalFormatting sqref="E550">
    <cfRule type="duplicateValues" dxfId="207" priority="221"/>
  </conditionalFormatting>
  <conditionalFormatting sqref="E551">
    <cfRule type="duplicateValues" dxfId="206" priority="220"/>
  </conditionalFormatting>
  <conditionalFormatting sqref="E552">
    <cfRule type="duplicateValues" dxfId="205" priority="219"/>
  </conditionalFormatting>
  <conditionalFormatting sqref="E553">
    <cfRule type="duplicateValues" dxfId="204" priority="218"/>
  </conditionalFormatting>
  <conditionalFormatting sqref="E554">
    <cfRule type="duplicateValues" dxfId="203" priority="217"/>
  </conditionalFormatting>
  <conditionalFormatting sqref="E555">
    <cfRule type="duplicateValues" dxfId="202" priority="216"/>
  </conditionalFormatting>
  <conditionalFormatting sqref="E556">
    <cfRule type="duplicateValues" dxfId="201" priority="215"/>
  </conditionalFormatting>
  <conditionalFormatting sqref="E557">
    <cfRule type="duplicateValues" dxfId="200" priority="214"/>
  </conditionalFormatting>
  <conditionalFormatting sqref="E558">
    <cfRule type="duplicateValues" dxfId="199" priority="213"/>
  </conditionalFormatting>
  <conditionalFormatting sqref="E559">
    <cfRule type="duplicateValues" dxfId="198" priority="212"/>
  </conditionalFormatting>
  <conditionalFormatting sqref="E560">
    <cfRule type="duplicateValues" dxfId="197" priority="211"/>
  </conditionalFormatting>
  <conditionalFormatting sqref="E561">
    <cfRule type="duplicateValues" dxfId="196" priority="105"/>
  </conditionalFormatting>
  <conditionalFormatting sqref="E562">
    <cfRule type="duplicateValues" dxfId="195" priority="104"/>
  </conditionalFormatting>
  <conditionalFormatting sqref="E563">
    <cfRule type="duplicateValues" dxfId="194" priority="103"/>
  </conditionalFormatting>
  <conditionalFormatting sqref="E564">
    <cfRule type="duplicateValues" dxfId="193" priority="102"/>
  </conditionalFormatting>
  <conditionalFormatting sqref="E565">
    <cfRule type="duplicateValues" dxfId="192" priority="101"/>
  </conditionalFormatting>
  <conditionalFormatting sqref="E566">
    <cfRule type="duplicateValues" dxfId="191" priority="100"/>
  </conditionalFormatting>
  <conditionalFormatting sqref="E567">
    <cfRule type="duplicateValues" dxfId="190" priority="99"/>
  </conditionalFormatting>
  <conditionalFormatting sqref="E568">
    <cfRule type="duplicateValues" dxfId="189" priority="98"/>
  </conditionalFormatting>
  <conditionalFormatting sqref="E569">
    <cfRule type="duplicateValues" dxfId="188" priority="97"/>
  </conditionalFormatting>
  <conditionalFormatting sqref="E570">
    <cfRule type="duplicateValues" dxfId="187" priority="96"/>
  </conditionalFormatting>
  <conditionalFormatting sqref="E571">
    <cfRule type="duplicateValues" dxfId="186" priority="95"/>
  </conditionalFormatting>
  <conditionalFormatting sqref="E572">
    <cfRule type="duplicateValues" dxfId="185" priority="94"/>
  </conditionalFormatting>
  <conditionalFormatting sqref="E573">
    <cfRule type="duplicateValues" dxfId="184" priority="93"/>
  </conditionalFormatting>
  <conditionalFormatting sqref="E574">
    <cfRule type="duplicateValues" dxfId="183" priority="92"/>
  </conditionalFormatting>
  <conditionalFormatting sqref="E575">
    <cfRule type="duplicateValues" dxfId="182" priority="91"/>
  </conditionalFormatting>
  <conditionalFormatting sqref="E576">
    <cfRule type="duplicateValues" dxfId="181" priority="90"/>
  </conditionalFormatting>
  <conditionalFormatting sqref="E577">
    <cfRule type="duplicateValues" dxfId="180" priority="89"/>
  </conditionalFormatting>
  <conditionalFormatting sqref="E578">
    <cfRule type="duplicateValues" dxfId="179" priority="88"/>
  </conditionalFormatting>
  <conditionalFormatting sqref="E579">
    <cfRule type="duplicateValues" dxfId="178" priority="87"/>
  </conditionalFormatting>
  <conditionalFormatting sqref="E580">
    <cfRule type="duplicateValues" dxfId="177" priority="86"/>
  </conditionalFormatting>
  <conditionalFormatting sqref="E581">
    <cfRule type="duplicateValues" dxfId="176" priority="85"/>
  </conditionalFormatting>
  <conditionalFormatting sqref="E582">
    <cfRule type="duplicateValues" dxfId="175" priority="84"/>
  </conditionalFormatting>
  <conditionalFormatting sqref="E583">
    <cfRule type="duplicateValues" dxfId="174" priority="83"/>
  </conditionalFormatting>
  <conditionalFormatting sqref="E584">
    <cfRule type="duplicateValues" dxfId="173" priority="82"/>
  </conditionalFormatting>
  <conditionalFormatting sqref="E585">
    <cfRule type="duplicateValues" dxfId="172" priority="81"/>
  </conditionalFormatting>
  <conditionalFormatting sqref="E586">
    <cfRule type="duplicateValues" dxfId="171" priority="80"/>
  </conditionalFormatting>
  <conditionalFormatting sqref="E587">
    <cfRule type="duplicateValues" dxfId="170" priority="79"/>
  </conditionalFormatting>
  <conditionalFormatting sqref="E588">
    <cfRule type="duplicateValues" dxfId="169" priority="78"/>
  </conditionalFormatting>
  <conditionalFormatting sqref="E589">
    <cfRule type="duplicateValues" dxfId="168" priority="77"/>
  </conditionalFormatting>
  <conditionalFormatting sqref="E590">
    <cfRule type="duplicateValues" dxfId="167" priority="76"/>
  </conditionalFormatting>
  <conditionalFormatting sqref="E591">
    <cfRule type="duplicateValues" dxfId="166" priority="75"/>
  </conditionalFormatting>
  <conditionalFormatting sqref="E592">
    <cfRule type="duplicateValues" dxfId="165" priority="74"/>
  </conditionalFormatting>
  <conditionalFormatting sqref="E593">
    <cfRule type="duplicateValues" dxfId="164" priority="73"/>
  </conditionalFormatting>
  <conditionalFormatting sqref="E594">
    <cfRule type="duplicateValues" dxfId="163" priority="72"/>
  </conditionalFormatting>
  <conditionalFormatting sqref="E595">
    <cfRule type="duplicateValues" dxfId="162" priority="71"/>
  </conditionalFormatting>
  <conditionalFormatting sqref="E596">
    <cfRule type="duplicateValues" dxfId="161" priority="70"/>
  </conditionalFormatting>
  <conditionalFormatting sqref="E597">
    <cfRule type="duplicateValues" dxfId="160" priority="69"/>
  </conditionalFormatting>
  <conditionalFormatting sqref="E598">
    <cfRule type="duplicateValues" dxfId="159" priority="68"/>
  </conditionalFormatting>
  <conditionalFormatting sqref="E599">
    <cfRule type="duplicateValues" dxfId="158" priority="67"/>
  </conditionalFormatting>
  <conditionalFormatting sqref="E600">
    <cfRule type="duplicateValues" dxfId="157" priority="66"/>
  </conditionalFormatting>
  <conditionalFormatting sqref="E601">
    <cfRule type="duplicateValues" dxfId="156" priority="65"/>
  </conditionalFormatting>
  <conditionalFormatting sqref="E602">
    <cfRule type="duplicateValues" dxfId="155" priority="64"/>
  </conditionalFormatting>
  <conditionalFormatting sqref="E603">
    <cfRule type="duplicateValues" dxfId="154" priority="63"/>
  </conditionalFormatting>
  <conditionalFormatting sqref="E604">
    <cfRule type="duplicateValues" dxfId="153" priority="62"/>
  </conditionalFormatting>
  <conditionalFormatting sqref="E605">
    <cfRule type="duplicateValues" dxfId="152" priority="61"/>
  </conditionalFormatting>
  <conditionalFormatting sqref="E606">
    <cfRule type="duplicateValues" dxfId="151" priority="60"/>
  </conditionalFormatting>
  <conditionalFormatting sqref="E607">
    <cfRule type="duplicateValues" dxfId="150" priority="59"/>
  </conditionalFormatting>
  <conditionalFormatting sqref="E608">
    <cfRule type="duplicateValues" dxfId="149" priority="58"/>
  </conditionalFormatting>
  <conditionalFormatting sqref="E609">
    <cfRule type="duplicateValues" dxfId="148" priority="57"/>
  </conditionalFormatting>
  <conditionalFormatting sqref="E610">
    <cfRule type="duplicateValues" dxfId="147" priority="56"/>
  </conditionalFormatting>
  <conditionalFormatting sqref="E611">
    <cfRule type="duplicateValues" dxfId="146" priority="55"/>
  </conditionalFormatting>
  <conditionalFormatting sqref="E612">
    <cfRule type="duplicateValues" dxfId="145" priority="54"/>
  </conditionalFormatting>
  <conditionalFormatting sqref="E613">
    <cfRule type="duplicateValues" dxfId="144" priority="53"/>
  </conditionalFormatting>
  <conditionalFormatting sqref="E614">
    <cfRule type="duplicateValues" dxfId="143" priority="52"/>
  </conditionalFormatting>
  <conditionalFormatting sqref="E615">
    <cfRule type="duplicateValues" dxfId="142" priority="51"/>
  </conditionalFormatting>
  <conditionalFormatting sqref="E616">
    <cfRule type="duplicateValues" dxfId="141" priority="50"/>
  </conditionalFormatting>
  <conditionalFormatting sqref="E617">
    <cfRule type="duplicateValues" dxfId="140" priority="49"/>
  </conditionalFormatting>
  <conditionalFormatting sqref="E618">
    <cfRule type="duplicateValues" dxfId="139" priority="48"/>
  </conditionalFormatting>
  <conditionalFormatting sqref="E619">
    <cfRule type="duplicateValues" dxfId="138" priority="47"/>
  </conditionalFormatting>
  <conditionalFormatting sqref="E620">
    <cfRule type="duplicateValues" dxfId="137" priority="46"/>
  </conditionalFormatting>
  <conditionalFormatting sqref="E621">
    <cfRule type="duplicateValues" dxfId="136" priority="45"/>
  </conditionalFormatting>
  <conditionalFormatting sqref="E622">
    <cfRule type="duplicateValues" dxfId="135" priority="44"/>
  </conditionalFormatting>
  <conditionalFormatting sqref="E623">
    <cfRule type="duplicateValues" dxfId="134" priority="43"/>
  </conditionalFormatting>
  <conditionalFormatting sqref="E624">
    <cfRule type="duplicateValues" dxfId="133" priority="42"/>
  </conditionalFormatting>
  <conditionalFormatting sqref="E625">
    <cfRule type="duplicateValues" dxfId="132" priority="41"/>
  </conditionalFormatting>
  <conditionalFormatting sqref="E626">
    <cfRule type="duplicateValues" dxfId="131" priority="40"/>
  </conditionalFormatting>
  <conditionalFormatting sqref="E627">
    <cfRule type="duplicateValues" dxfId="130" priority="39"/>
  </conditionalFormatting>
  <conditionalFormatting sqref="E628">
    <cfRule type="duplicateValues" dxfId="129" priority="38"/>
  </conditionalFormatting>
  <conditionalFormatting sqref="E629">
    <cfRule type="duplicateValues" dxfId="128" priority="37"/>
  </conditionalFormatting>
  <conditionalFormatting sqref="E630">
    <cfRule type="duplicateValues" dxfId="127" priority="36"/>
  </conditionalFormatting>
  <conditionalFormatting sqref="E631">
    <cfRule type="duplicateValues" dxfId="126" priority="35"/>
  </conditionalFormatting>
  <conditionalFormatting sqref="E632">
    <cfRule type="duplicateValues" dxfId="125" priority="34"/>
  </conditionalFormatting>
  <conditionalFormatting sqref="E633">
    <cfRule type="duplicateValues" dxfId="124" priority="33"/>
  </conditionalFormatting>
  <conditionalFormatting sqref="E634">
    <cfRule type="duplicateValues" dxfId="123" priority="32"/>
  </conditionalFormatting>
  <conditionalFormatting sqref="E635">
    <cfRule type="duplicateValues" dxfId="122" priority="31"/>
  </conditionalFormatting>
  <conditionalFormatting sqref="E636">
    <cfRule type="duplicateValues" dxfId="121" priority="30"/>
  </conditionalFormatting>
  <conditionalFormatting sqref="E637">
    <cfRule type="duplicateValues" dxfId="120" priority="29"/>
  </conditionalFormatting>
  <conditionalFormatting sqref="E638">
    <cfRule type="duplicateValues" dxfId="119" priority="28"/>
  </conditionalFormatting>
  <conditionalFormatting sqref="E639">
    <cfRule type="duplicateValues" dxfId="118" priority="27"/>
  </conditionalFormatting>
  <conditionalFormatting sqref="E640">
    <cfRule type="duplicateValues" dxfId="117" priority="26"/>
  </conditionalFormatting>
  <conditionalFormatting sqref="E641">
    <cfRule type="duplicateValues" dxfId="116" priority="25"/>
  </conditionalFormatting>
  <conditionalFormatting sqref="E642">
    <cfRule type="duplicateValues" dxfId="115" priority="24"/>
  </conditionalFormatting>
  <conditionalFormatting sqref="E643">
    <cfRule type="duplicateValues" dxfId="114" priority="23"/>
  </conditionalFormatting>
  <conditionalFormatting sqref="E644">
    <cfRule type="duplicateValues" dxfId="113" priority="22"/>
  </conditionalFormatting>
  <conditionalFormatting sqref="E645">
    <cfRule type="duplicateValues" dxfId="112" priority="21"/>
  </conditionalFormatting>
  <conditionalFormatting sqref="E646">
    <cfRule type="duplicateValues" dxfId="111" priority="20"/>
  </conditionalFormatting>
  <conditionalFormatting sqref="E647">
    <cfRule type="duplicateValues" dxfId="110" priority="19"/>
  </conditionalFormatting>
  <conditionalFormatting sqref="E648">
    <cfRule type="duplicateValues" dxfId="109" priority="18"/>
  </conditionalFormatting>
  <conditionalFormatting sqref="E649">
    <cfRule type="duplicateValues" dxfId="108" priority="17"/>
  </conditionalFormatting>
  <conditionalFormatting sqref="E650">
    <cfRule type="duplicateValues" dxfId="107" priority="16"/>
  </conditionalFormatting>
  <conditionalFormatting sqref="E651">
    <cfRule type="duplicateValues" dxfId="106" priority="15"/>
  </conditionalFormatting>
  <conditionalFormatting sqref="E652">
    <cfRule type="duplicateValues" dxfId="105" priority="14"/>
  </conditionalFormatting>
  <conditionalFormatting sqref="E653">
    <cfRule type="duplicateValues" dxfId="104" priority="13"/>
  </conditionalFormatting>
  <conditionalFormatting sqref="E654">
    <cfRule type="duplicateValues" dxfId="103" priority="12"/>
  </conditionalFormatting>
  <conditionalFormatting sqref="E655">
    <cfRule type="duplicateValues" dxfId="102" priority="11"/>
  </conditionalFormatting>
  <conditionalFormatting sqref="E656">
    <cfRule type="duplicateValues" dxfId="101" priority="10"/>
  </conditionalFormatting>
  <conditionalFormatting sqref="E657">
    <cfRule type="duplicateValues" dxfId="100" priority="9"/>
  </conditionalFormatting>
  <conditionalFormatting sqref="E658">
    <cfRule type="duplicateValues" dxfId="99" priority="8"/>
  </conditionalFormatting>
  <conditionalFormatting sqref="E659">
    <cfRule type="duplicateValues" dxfId="98" priority="7"/>
  </conditionalFormatting>
  <conditionalFormatting sqref="E660">
    <cfRule type="duplicateValues" dxfId="97" priority="6"/>
  </conditionalFormatting>
  <conditionalFormatting sqref="E661">
    <cfRule type="duplicateValues" dxfId="96" priority="5"/>
  </conditionalFormatting>
  <conditionalFormatting sqref="E662">
    <cfRule type="duplicateValues" dxfId="95" priority="4"/>
  </conditionalFormatting>
  <conditionalFormatting sqref="E663">
    <cfRule type="duplicateValues" dxfId="94" priority="3"/>
  </conditionalFormatting>
  <conditionalFormatting sqref="E664">
    <cfRule type="duplicateValues" dxfId="93" priority="2"/>
  </conditionalFormatting>
  <conditionalFormatting sqref="E665">
    <cfRule type="duplicateValues" dxfId="92" priority="1"/>
  </conditionalFormatting>
  <dataValidations count="10">
    <dataValidation type="list" allowBlank="1" showInputMessage="1" showErrorMessage="1" sqref="A22 A77 A89 A91 A253 A301 A495 A117:A118 A137:A138" xr:uid="{00000000-0002-0000-0D00-000000000000}">
      <formula1>"紫金保险,锦泰保险,中国人保,中国平安,太平洋保险,中国太平,中华联合,国寿财险,阳光保险,永诚保险,大家保险,中银保险,大地保险,天安保险,国任保险,安诚保险,华泰保险"</formula1>
    </dataValidation>
    <dataValidation type="list" allowBlank="1" showInputMessage="1" showErrorMessage="1" sqref="A54 A71 A90 A99 A102 A152 A181 A213 A248 A258 A266 A292 A319 A328 A342 A351 A378 A433 A479 A504 A524 A42:A44 A58:A59 A79:A80 A94:A95 A154:A156 A166:A170 A198:A203 A222:A223 A225:A227 A275:A280 A312:A314 A373:A374 A405:A408 A413:A417 A429:A430 A464:A467 A489:A490 A510:A511 A532:A534 A556:A558 A568:A569" xr:uid="{00000000-0002-0000-0D00-000001000000}">
      <formula1>"紫金保险,锦泰保险,中国人保,中国平安,太平洋保险,中国太平,中华联合,国寿财险,阳光保险,永诚保险,大家保险,中银保险,大地保险,申能财险,国任保险,安诚保险,华泰保险,长江保险,华安保险,中煤保险"</formula1>
    </dataValidation>
    <dataValidation type="list" allowBlank="1" showInputMessage="1" showErrorMessage="1" sqref="A57 A73 A78 A149 A189 A207 A252 A254 A265 A288 A300 A305 A343 A350 A448 A478 A507 A516 A522 A542 A573 A122:A123 A146:A147 A178:A179 A220:A221 A256:A257 A259:A261 A333:A335 A396:A398 A400:A403 A461:A463 A493:A494 A552:A553" xr:uid="{00000000-0002-0000-0D00-000002000000}">
      <formula1>"紫金保险,锦泰保险,中国人保,中国平安,太平洋保险,中国太平,中华联合,国寿财险,阳光保险,永诚保险,大家保险,中银保险,大地保险,天安保险,国任保险,安诚保险,华泰保险,长江保险,华安保险"</formula1>
    </dataValidation>
    <dataValidation type="list" allowBlank="1" showInputMessage="1" showErrorMessage="1" sqref="A72 A74 A93 A145 A148 A150 A180 A231 A263 A320 A375 A377 A394 A449 A471 A496 A517 A55:A56 A124:A125 A134:A136 A237:A238 A302:A303 A329:A331 A354:A355 A443:A445" xr:uid="{00000000-0002-0000-0D00-000003000000}">
      <formula1>"中国人保,中国平安,太平洋保险,中国太平,中华联合,国寿财险,阳光保险,永诚保险,大家保险,中银保险,大地保险,天安保险,国任保险,安诚保险,紫金保险,锦泰保险,华泰保险,华安保险,永安保险,长江保险"</formula1>
    </dataValidation>
    <dataValidation type="list" allowBlank="1" showInputMessage="1" showErrorMessage="1" sqref="A92 A255" xr:uid="{00000000-0002-0000-0D00-000004000000}">
      <formula1>"锦泰保险,中国人保,中国平安,太平洋保险,中国太平,中华联合,国寿财险,阳光保险,永诚保险,大家保险,中银保险,大地保险,天安保险,国任保险,安诚保险,华泰保险"</formula1>
    </dataValidation>
    <dataValidation type="list" allowBlank="1" showInputMessage="1" showErrorMessage="1" sqref="A121 A153 A262 A264 A304 A332 A376 A395 A404 A523 A23:A41 A45:A53 A60:A70 A75:A76 A81:A88 A96:A98 A100:A101 A103:A116 A127:A133 A139:A144 A157:A165 A171:A177 A182:A183 A186:A188 A190:A196 A204:A206 A208:A212 A214:A219 A228:A230 A232:A236 A239:A247 A249:A251 A268:A274 A281:A287 A289:A291 A293:A299 A306:A311 A315:A318 A321:A327 A337:A341 A344:A349 A352:A353 A356:A372 A379:A393 A409:A412 A418:A428 A431:A432 A434:A442 A446:A447 A450:A460 A468:A470 A472:A477 A480:A488 A491:A492 A497:A503 A505:A506 A508:A509 A512:A515 A518:A521 A525:A531 A535:A541 A543:A551 A554:A555 A559:A567 A570:A572 A574:A578" xr:uid="{00000000-0002-0000-0D00-000005000000}">
      <formula1>"紫金保险,锦泰保险,中国人保,中国平安,太平洋保险,中国太平,中华联合,国寿财险,阳光保险,永诚保险,大家保险,中银保险,大地保险,申能财险,国任保险,安诚保险,华泰保险,长江保险,华安保险,中煤保险,华农保险"</formula1>
    </dataValidation>
    <dataValidation type="list" allowBlank="1" showInputMessage="1" showErrorMessage="1" sqref="A126 A197 A267 A336 A399 A119:A120 A184:A185" xr:uid="{00000000-0002-0000-0D00-000006000000}">
      <formula1>"紫金保险,锦泰保险,中国人保,中国平安,太平洋保险,中国太平,中华联合,国寿财险,阳光保险,永诚保险,大家保险,中银保险,大地保险,天安保险,国任保险,安诚保险,华泰保险,长江保险"</formula1>
    </dataValidation>
    <dataValidation type="list" allowBlank="1" showInputMessage="1" showErrorMessage="1" sqref="A151 A224" xr:uid="{00000000-0002-0000-0D00-000007000000}">
      <formula1>"中国人保,中国平安,太平洋保险,中国太平,中华联合,国寿财险,阳光保险,永诚保险,大家保险,中银保险,大地保险,天安保险,国任保险,安诚保险,紫金保险,锦泰保险,华泰保险,华安保险,永安保险"</formula1>
    </dataValidation>
    <dataValidation type="list" allowBlank="1" showInputMessage="1" showErrorMessage="1" sqref="G23:G381 G383:G417 G423:G433 G435:G453 G457:G474 G476:G487 G489:G517 G522:G525 G529:G530 G532:G534 G537:G544 G546:G548 G550:G571 G573:G575" xr:uid="{00000000-0002-0000-0D00-000008000000}">
      <formula1>"吉利,外品牌"</formula1>
    </dataValidation>
    <dataValidation type="list" allowBlank="1" showInputMessage="1" showErrorMessage="1" sqref="M567:M571" xr:uid="{00000000-0002-0000-0D00-000009000000}">
      <formula1>"新转续,续转续,在修不在保,流失再续保,流入,外品牌"</formula1>
    </dataValidation>
  </dataValidations>
  <pageMargins left="0.75" right="0.75" top="1" bottom="1" header="0.50902777777777797" footer="0.50902777777777797"/>
  <pageSetup paperSize="9" orientation="portrait" horizontalDpi="180" verticalDpi="180"/>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N9"/>
  <sheetViews>
    <sheetView workbookViewId="0">
      <selection activeCell="K6" sqref="A6:XFD6"/>
    </sheetView>
  </sheetViews>
  <sheetFormatPr defaultColWidth="9" defaultRowHeight="14.4"/>
  <cols>
    <col min="1" max="1" width="9" style="454"/>
    <col min="2" max="2" width="10.6640625" style="454" customWidth="1"/>
    <col min="3" max="3" width="9" style="454"/>
    <col min="4" max="7" width="9" style="454" hidden="1" customWidth="1"/>
    <col min="8" max="11" width="9" style="454"/>
    <col min="12" max="12" width="11.109375" style="454"/>
    <col min="13" max="18" width="9" style="454"/>
    <col min="19" max="19" width="11.109375" style="454"/>
    <col min="20" max="28" width="9" style="454"/>
    <col min="29" max="31" width="9" style="454" hidden="1" customWidth="1"/>
    <col min="32" max="33" width="9" style="454"/>
    <col min="34" max="35" width="9" style="454" hidden="1" customWidth="1"/>
    <col min="36" max="16384" width="9" style="454"/>
  </cols>
  <sheetData>
    <row r="1" spans="1:40" ht="15">
      <c r="A1" s="2031" t="s">
        <v>3137</v>
      </c>
      <c r="B1" s="2028" t="s">
        <v>991</v>
      </c>
      <c r="C1" s="2028" t="s">
        <v>300</v>
      </c>
      <c r="D1" s="2025" t="s">
        <v>3138</v>
      </c>
      <c r="E1" s="2025"/>
      <c r="F1" s="2025"/>
      <c r="G1" s="2026"/>
      <c r="H1" s="2027" t="s">
        <v>992</v>
      </c>
      <c r="I1" s="2028"/>
      <c r="J1" s="2029"/>
      <c r="K1" s="2028"/>
      <c r="L1" s="2028"/>
      <c r="M1" s="2028"/>
      <c r="N1" s="2030"/>
      <c r="O1" s="2031" t="s">
        <v>993</v>
      </c>
      <c r="P1" s="2028"/>
      <c r="Q1" s="2029"/>
      <c r="R1" s="2028"/>
      <c r="S1" s="2028"/>
      <c r="T1" s="2028"/>
      <c r="U1" s="2030"/>
      <c r="V1" s="2031" t="s">
        <v>994</v>
      </c>
      <c r="W1" s="2028"/>
      <c r="X1" s="2029"/>
      <c r="Y1" s="2028"/>
      <c r="Z1" s="2028"/>
      <c r="AA1" s="2028"/>
      <c r="AB1" s="2032"/>
      <c r="AC1" s="2028" t="s">
        <v>498</v>
      </c>
      <c r="AD1" s="2028"/>
      <c r="AE1" s="2028"/>
      <c r="AF1" s="2030" t="s">
        <v>720</v>
      </c>
      <c r="AG1" s="2039" t="s">
        <v>996</v>
      </c>
      <c r="AH1" s="2041" t="s">
        <v>997</v>
      </c>
      <c r="AI1" s="2041" t="s">
        <v>998</v>
      </c>
      <c r="AJ1" s="2043" t="s">
        <v>999</v>
      </c>
      <c r="AK1" s="2031" t="s">
        <v>3139</v>
      </c>
      <c r="AL1" s="2032" t="s">
        <v>3140</v>
      </c>
      <c r="AM1" s="2041" t="s">
        <v>3141</v>
      </c>
    </row>
    <row r="2" spans="1:40" ht="30.9" customHeight="1">
      <c r="A2" s="2033"/>
      <c r="B2" s="2036"/>
      <c r="C2" s="2037"/>
      <c r="D2" s="457" t="s">
        <v>3142</v>
      </c>
      <c r="E2" s="457" t="s">
        <v>3143</v>
      </c>
      <c r="F2" s="457" t="s">
        <v>3144</v>
      </c>
      <c r="G2" s="458" t="s">
        <v>3145</v>
      </c>
      <c r="H2" s="459" t="s">
        <v>1000</v>
      </c>
      <c r="I2" s="456" t="s">
        <v>3146</v>
      </c>
      <c r="J2" s="460" t="s">
        <v>1002</v>
      </c>
      <c r="K2" s="456" t="s">
        <v>1003</v>
      </c>
      <c r="L2" s="456" t="s">
        <v>3147</v>
      </c>
      <c r="M2" s="456" t="s">
        <v>1005</v>
      </c>
      <c r="N2" s="461" t="s">
        <v>1006</v>
      </c>
      <c r="O2" s="455" t="s">
        <v>1000</v>
      </c>
      <c r="P2" s="456" t="s">
        <v>3146</v>
      </c>
      <c r="Q2" s="460" t="s">
        <v>1002</v>
      </c>
      <c r="R2" s="456" t="s">
        <v>1003</v>
      </c>
      <c r="S2" s="456" t="s">
        <v>3147</v>
      </c>
      <c r="T2" s="456" t="s">
        <v>1005</v>
      </c>
      <c r="U2" s="461" t="s">
        <v>1006</v>
      </c>
      <c r="V2" s="455" t="s">
        <v>1000</v>
      </c>
      <c r="W2" s="456" t="s">
        <v>3146</v>
      </c>
      <c r="X2" s="460" t="s">
        <v>1002</v>
      </c>
      <c r="Y2" s="456" t="s">
        <v>1003</v>
      </c>
      <c r="Z2" s="456" t="s">
        <v>3147</v>
      </c>
      <c r="AA2" s="456" t="s">
        <v>1005</v>
      </c>
      <c r="AB2" s="461" t="s">
        <v>1006</v>
      </c>
      <c r="AC2" s="456" t="s">
        <v>3148</v>
      </c>
      <c r="AD2" s="456" t="s">
        <v>3149</v>
      </c>
      <c r="AE2" s="456" t="s">
        <v>1006</v>
      </c>
      <c r="AF2" s="2038"/>
      <c r="AG2" s="2040"/>
      <c r="AH2" s="2042"/>
      <c r="AI2" s="2042"/>
      <c r="AJ2" s="2044"/>
      <c r="AK2" s="2033"/>
      <c r="AL2" s="2045"/>
      <c r="AM2" s="2042" t="s">
        <v>3141</v>
      </c>
    </row>
    <row r="3" spans="1:40" s="453" customFormat="1" ht="15">
      <c r="A3" s="2034" t="s">
        <v>1029</v>
      </c>
      <c r="B3" s="462" t="s">
        <v>214</v>
      </c>
      <c r="C3" s="462">
        <v>1200</v>
      </c>
      <c r="D3" s="462"/>
      <c r="E3" s="462"/>
      <c r="F3" s="462"/>
      <c r="G3" s="462"/>
      <c r="H3" s="462">
        <v>36</v>
      </c>
      <c r="I3" s="463">
        <v>0.55000000000000004</v>
      </c>
      <c r="J3" s="464">
        <f t="shared" ref="J3:J7" si="0">I3*H3</f>
        <v>19.8</v>
      </c>
      <c r="K3" s="462">
        <v>11</v>
      </c>
      <c r="L3" s="463">
        <f t="shared" ref="L3:L8" si="1">K3/J3</f>
        <v>0.55555555555555602</v>
      </c>
      <c r="M3" s="464">
        <v>80</v>
      </c>
      <c r="N3" s="462">
        <f t="shared" ref="N3:N7" si="2">M3*K3</f>
        <v>880</v>
      </c>
      <c r="O3" s="464">
        <v>120</v>
      </c>
      <c r="P3" s="465">
        <v>0.66</v>
      </c>
      <c r="Q3" s="464">
        <f t="shared" ref="Q3:Q7" si="3">O3*P3</f>
        <v>79.2</v>
      </c>
      <c r="R3" s="464">
        <v>71</v>
      </c>
      <c r="S3" s="465">
        <f t="shared" ref="S3:S6" si="4">R3/Q3</f>
        <v>0.89646464646464596</v>
      </c>
      <c r="T3" s="464">
        <v>70</v>
      </c>
      <c r="U3" s="462">
        <f t="shared" ref="U3:U6" si="5">T3*R3</f>
        <v>4970</v>
      </c>
      <c r="V3" s="462">
        <v>0</v>
      </c>
      <c r="W3" s="462">
        <v>0</v>
      </c>
      <c r="X3" s="462">
        <v>0</v>
      </c>
      <c r="Y3" s="462">
        <v>0</v>
      </c>
      <c r="Z3" s="463" t="e">
        <f t="shared" ref="Z3:Z6" si="6">Y3/X3</f>
        <v>#DIV/0!</v>
      </c>
      <c r="AA3" s="462">
        <v>110</v>
      </c>
      <c r="AB3" s="462">
        <f t="shared" ref="AB3:AB6" si="7">AA3*Y3</f>
        <v>0</v>
      </c>
      <c r="AC3" s="464">
        <v>0</v>
      </c>
      <c r="AD3" s="464">
        <v>0</v>
      </c>
      <c r="AE3" s="462">
        <v>0</v>
      </c>
      <c r="AF3" s="462">
        <f t="shared" ref="AF3:AF7" si="8">SUM(N3,U3,AB3,AE3)</f>
        <v>5850</v>
      </c>
      <c r="AG3" s="462">
        <f t="shared" ref="AG3:AG7" si="9">K3+R3+Y3</f>
        <v>82</v>
      </c>
      <c r="AH3" s="463"/>
      <c r="AI3" s="462"/>
      <c r="AJ3" s="462">
        <f t="shared" ref="AJ3:AJ7" si="10">AF3-AI3+C3</f>
        <v>7050</v>
      </c>
      <c r="AK3" s="462">
        <v>900</v>
      </c>
      <c r="AL3" s="462">
        <f t="shared" ref="AL3:AL7" si="11">AJ3-AK3</f>
        <v>6150</v>
      </c>
      <c r="AM3" s="466">
        <f t="shared" ref="AM3:AM7" si="12">AG3*3</f>
        <v>246</v>
      </c>
    </row>
    <row r="4" spans="1:40" s="453" customFormat="1" ht="15">
      <c r="A4" s="2035"/>
      <c r="B4" s="467" t="s">
        <v>218</v>
      </c>
      <c r="C4" s="467">
        <v>0</v>
      </c>
      <c r="D4" s="467"/>
      <c r="E4" s="467"/>
      <c r="F4" s="467"/>
      <c r="G4" s="467"/>
      <c r="H4" s="467">
        <v>87</v>
      </c>
      <c r="I4" s="463">
        <v>0.55000000000000004</v>
      </c>
      <c r="J4" s="464">
        <f t="shared" si="0"/>
        <v>47.85</v>
      </c>
      <c r="K4" s="467">
        <v>28</v>
      </c>
      <c r="L4" s="468">
        <v>0</v>
      </c>
      <c r="M4" s="464">
        <v>80</v>
      </c>
      <c r="N4" s="462">
        <f t="shared" si="2"/>
        <v>2240</v>
      </c>
      <c r="O4" s="469">
        <v>28</v>
      </c>
      <c r="P4" s="465">
        <v>0.66</v>
      </c>
      <c r="Q4" s="464">
        <f t="shared" si="3"/>
        <v>18.48</v>
      </c>
      <c r="R4" s="469">
        <v>20</v>
      </c>
      <c r="S4" s="470">
        <f t="shared" si="4"/>
        <v>1.08225108225108</v>
      </c>
      <c r="T4" s="469">
        <v>90</v>
      </c>
      <c r="U4" s="462">
        <f t="shared" si="5"/>
        <v>1800</v>
      </c>
      <c r="V4" s="462">
        <v>0</v>
      </c>
      <c r="W4" s="462">
        <v>0</v>
      </c>
      <c r="X4" s="462">
        <v>0</v>
      </c>
      <c r="Y4" s="469">
        <v>5</v>
      </c>
      <c r="Z4" s="463" t="e">
        <f t="shared" si="6"/>
        <v>#DIV/0!</v>
      </c>
      <c r="AA4" s="462">
        <v>110</v>
      </c>
      <c r="AB4" s="467">
        <f t="shared" si="7"/>
        <v>550</v>
      </c>
      <c r="AC4" s="469">
        <v>0</v>
      </c>
      <c r="AD4" s="469">
        <v>0</v>
      </c>
      <c r="AE4" s="467">
        <v>0</v>
      </c>
      <c r="AF4" s="467">
        <f t="shared" si="8"/>
        <v>4590</v>
      </c>
      <c r="AG4" s="462">
        <f t="shared" si="9"/>
        <v>53</v>
      </c>
      <c r="AH4" s="468"/>
      <c r="AI4" s="467"/>
      <c r="AJ4" s="462">
        <f t="shared" si="10"/>
        <v>4590</v>
      </c>
      <c r="AK4" s="467">
        <v>0</v>
      </c>
      <c r="AL4" s="462">
        <f t="shared" si="11"/>
        <v>4590</v>
      </c>
      <c r="AM4" s="471">
        <f t="shared" si="12"/>
        <v>159</v>
      </c>
    </row>
    <row r="5" spans="1:40" s="453" customFormat="1" ht="15">
      <c r="A5" s="2035"/>
      <c r="B5" s="467" t="s">
        <v>215</v>
      </c>
      <c r="C5" s="467">
        <v>1200</v>
      </c>
      <c r="D5" s="467"/>
      <c r="E5" s="467"/>
      <c r="F5" s="467"/>
      <c r="G5" s="467"/>
      <c r="H5" s="467">
        <v>100</v>
      </c>
      <c r="I5" s="463">
        <v>0.55000000000000004</v>
      </c>
      <c r="J5" s="464">
        <f t="shared" si="0"/>
        <v>55</v>
      </c>
      <c r="K5" s="464">
        <v>41</v>
      </c>
      <c r="L5" s="468">
        <f t="shared" si="1"/>
        <v>0.74545454545454504</v>
      </c>
      <c r="M5" s="464">
        <v>80</v>
      </c>
      <c r="N5" s="462">
        <f t="shared" si="2"/>
        <v>3280</v>
      </c>
      <c r="O5" s="464">
        <v>0</v>
      </c>
      <c r="P5" s="465">
        <v>0.68</v>
      </c>
      <c r="Q5" s="464">
        <f t="shared" si="3"/>
        <v>0</v>
      </c>
      <c r="R5" s="464">
        <v>0</v>
      </c>
      <c r="S5" s="470" t="e">
        <f t="shared" si="4"/>
        <v>#DIV/0!</v>
      </c>
      <c r="T5" s="464">
        <v>0</v>
      </c>
      <c r="U5" s="469">
        <f t="shared" si="5"/>
        <v>0</v>
      </c>
      <c r="V5" s="462">
        <v>0</v>
      </c>
      <c r="W5" s="462">
        <v>0</v>
      </c>
      <c r="X5" s="462">
        <v>0</v>
      </c>
      <c r="Y5" s="464">
        <v>6</v>
      </c>
      <c r="Z5" s="463" t="e">
        <f t="shared" si="6"/>
        <v>#DIV/0!</v>
      </c>
      <c r="AA5" s="462">
        <v>110</v>
      </c>
      <c r="AB5" s="467">
        <f t="shared" si="7"/>
        <v>660</v>
      </c>
      <c r="AC5" s="464">
        <v>0</v>
      </c>
      <c r="AD5" s="464">
        <f>AC5*AB5</f>
        <v>0</v>
      </c>
      <c r="AE5" s="462">
        <f>AD5*AC5</f>
        <v>0</v>
      </c>
      <c r="AF5" s="467">
        <f t="shared" si="8"/>
        <v>3940</v>
      </c>
      <c r="AG5" s="462">
        <f t="shared" si="9"/>
        <v>47</v>
      </c>
      <c r="AH5" s="468"/>
      <c r="AI5" s="467"/>
      <c r="AJ5" s="462">
        <f t="shared" si="10"/>
        <v>5140</v>
      </c>
      <c r="AK5" s="467">
        <v>900</v>
      </c>
      <c r="AL5" s="462">
        <f t="shared" si="11"/>
        <v>4240</v>
      </c>
      <c r="AM5" s="471">
        <f t="shared" si="12"/>
        <v>141</v>
      </c>
      <c r="AN5" s="472"/>
    </row>
    <row r="6" spans="1:40" s="453" customFormat="1" ht="15">
      <c r="A6" s="2035"/>
      <c r="B6" s="467" t="s">
        <v>1008</v>
      </c>
      <c r="C6" s="467">
        <v>1200</v>
      </c>
      <c r="D6" s="467"/>
      <c r="E6" s="467"/>
      <c r="F6" s="467"/>
      <c r="G6" s="467"/>
      <c r="H6" s="467">
        <v>0</v>
      </c>
      <c r="I6" s="463">
        <v>0.55000000000000004</v>
      </c>
      <c r="J6" s="464">
        <f t="shared" si="0"/>
        <v>0</v>
      </c>
      <c r="K6" s="464">
        <v>0</v>
      </c>
      <c r="L6" s="468" t="e">
        <f t="shared" si="1"/>
        <v>#DIV/0!</v>
      </c>
      <c r="M6" s="464">
        <v>0</v>
      </c>
      <c r="N6" s="462">
        <f t="shared" si="2"/>
        <v>0</v>
      </c>
      <c r="O6" s="464">
        <v>0</v>
      </c>
      <c r="P6" s="465">
        <v>0.68</v>
      </c>
      <c r="Q6" s="464">
        <f t="shared" si="3"/>
        <v>0</v>
      </c>
      <c r="R6" s="464">
        <v>0</v>
      </c>
      <c r="S6" s="470" t="e">
        <f t="shared" si="4"/>
        <v>#DIV/0!</v>
      </c>
      <c r="T6" s="464">
        <v>0</v>
      </c>
      <c r="U6" s="469">
        <f t="shared" si="5"/>
        <v>0</v>
      </c>
      <c r="V6" s="462">
        <v>0</v>
      </c>
      <c r="W6" s="462">
        <v>0</v>
      </c>
      <c r="X6" s="462">
        <v>0</v>
      </c>
      <c r="Y6" s="464">
        <v>0</v>
      </c>
      <c r="Z6" s="463" t="e">
        <f t="shared" si="6"/>
        <v>#DIV/0!</v>
      </c>
      <c r="AA6" s="462">
        <v>110</v>
      </c>
      <c r="AB6" s="467">
        <f t="shared" si="7"/>
        <v>0</v>
      </c>
      <c r="AC6" s="464">
        <v>0</v>
      </c>
      <c r="AD6" s="464">
        <f>AC6*AB6</f>
        <v>0</v>
      </c>
      <c r="AE6" s="462">
        <v>0</v>
      </c>
      <c r="AF6" s="467">
        <v>0</v>
      </c>
      <c r="AG6" s="462">
        <f t="shared" si="9"/>
        <v>0</v>
      </c>
      <c r="AH6" s="468"/>
      <c r="AI6" s="467"/>
      <c r="AJ6" s="462">
        <v>4189</v>
      </c>
      <c r="AK6" s="469">
        <v>780</v>
      </c>
      <c r="AL6" s="464">
        <f t="shared" si="11"/>
        <v>3409</v>
      </c>
      <c r="AM6" s="471">
        <f t="shared" si="12"/>
        <v>0</v>
      </c>
      <c r="AN6" s="472" t="s">
        <v>3150</v>
      </c>
    </row>
    <row r="7" spans="1:40" s="453" customFormat="1" ht="15">
      <c r="A7" s="2035"/>
      <c r="B7" s="467" t="s">
        <v>1009</v>
      </c>
      <c r="C7" s="467">
        <v>0</v>
      </c>
      <c r="D7" s="467"/>
      <c r="E7" s="467"/>
      <c r="F7" s="467"/>
      <c r="G7" s="467"/>
      <c r="H7" s="467">
        <v>75</v>
      </c>
      <c r="I7" s="463">
        <v>0.55000000000000004</v>
      </c>
      <c r="J7" s="464">
        <f t="shared" si="0"/>
        <v>41.25</v>
      </c>
      <c r="K7" s="464">
        <v>20</v>
      </c>
      <c r="L7" s="468">
        <f t="shared" si="1"/>
        <v>0.48484848484848497</v>
      </c>
      <c r="M7" s="464">
        <v>40</v>
      </c>
      <c r="N7" s="462">
        <f t="shared" si="2"/>
        <v>800</v>
      </c>
      <c r="O7" s="464">
        <v>1</v>
      </c>
      <c r="P7" s="465">
        <v>0.68</v>
      </c>
      <c r="Q7" s="464">
        <f t="shared" si="3"/>
        <v>0.68</v>
      </c>
      <c r="R7" s="464"/>
      <c r="S7" s="470"/>
      <c r="T7" s="464"/>
      <c r="U7" s="469"/>
      <c r="V7" s="462"/>
      <c r="W7" s="462"/>
      <c r="X7" s="462"/>
      <c r="Y7" s="464"/>
      <c r="Z7" s="463"/>
      <c r="AA7" s="462"/>
      <c r="AB7" s="467"/>
      <c r="AC7" s="464"/>
      <c r="AD7" s="464"/>
      <c r="AE7" s="462"/>
      <c r="AF7" s="467">
        <f t="shared" si="8"/>
        <v>800</v>
      </c>
      <c r="AG7" s="462">
        <f t="shared" si="9"/>
        <v>20</v>
      </c>
      <c r="AH7" s="468"/>
      <c r="AI7" s="467"/>
      <c r="AJ7" s="462">
        <f t="shared" si="10"/>
        <v>800</v>
      </c>
      <c r="AK7" s="469">
        <v>0</v>
      </c>
      <c r="AL7" s="464">
        <f t="shared" si="11"/>
        <v>800</v>
      </c>
      <c r="AM7" s="471">
        <f t="shared" si="12"/>
        <v>60</v>
      </c>
      <c r="AN7" s="472" t="s">
        <v>3151</v>
      </c>
    </row>
    <row r="8" spans="1:40" s="453" customFormat="1" ht="15">
      <c r="A8" s="2035"/>
      <c r="B8" s="467" t="s">
        <v>311</v>
      </c>
      <c r="C8" s="467">
        <f>SUM(C3:C4)</f>
        <v>1200</v>
      </c>
      <c r="D8" s="467"/>
      <c r="E8" s="467"/>
      <c r="F8" s="467"/>
      <c r="G8" s="467"/>
      <c r="H8" s="467">
        <f t="shared" ref="H8:K8" si="13">H3+H4+H5+H6+H7</f>
        <v>298</v>
      </c>
      <c r="I8" s="463">
        <v>0.55000000000000004</v>
      </c>
      <c r="J8" s="467">
        <f t="shared" si="13"/>
        <v>163.9</v>
      </c>
      <c r="K8" s="467">
        <f t="shared" si="13"/>
        <v>100</v>
      </c>
      <c r="L8" s="468">
        <f t="shared" si="1"/>
        <v>0.61012812690664997</v>
      </c>
      <c r="M8" s="467"/>
      <c r="N8" s="467">
        <f>N3+N4+N5+N6+N7</f>
        <v>7200</v>
      </c>
      <c r="O8" s="467">
        <f>O3+O4+O5+O6+O7</f>
        <v>149</v>
      </c>
      <c r="P8" s="465">
        <v>0.68</v>
      </c>
      <c r="Q8" s="467">
        <f t="shared" ref="Q8:V8" si="14">SUM(Q3:Q6)</f>
        <v>97.68</v>
      </c>
      <c r="R8" s="467">
        <f t="shared" si="14"/>
        <v>91</v>
      </c>
      <c r="S8" s="468">
        <f>R8/Q8</f>
        <v>0.93161343161343202</v>
      </c>
      <c r="T8" s="469"/>
      <c r="U8" s="467">
        <f t="shared" si="14"/>
        <v>6770</v>
      </c>
      <c r="V8" s="467">
        <f t="shared" si="14"/>
        <v>0</v>
      </c>
      <c r="W8" s="462">
        <v>0</v>
      </c>
      <c r="X8" s="467">
        <f t="shared" ref="X8:AF8" si="15">SUM(X3:X6)</f>
        <v>0</v>
      </c>
      <c r="Y8" s="467">
        <f t="shared" si="15"/>
        <v>11</v>
      </c>
      <c r="Z8" s="468" t="e">
        <f>Y8/X8</f>
        <v>#DIV/0!</v>
      </c>
      <c r="AA8" s="467">
        <f t="shared" si="15"/>
        <v>440</v>
      </c>
      <c r="AB8" s="467">
        <f t="shared" si="15"/>
        <v>1210</v>
      </c>
      <c r="AC8" s="467">
        <f t="shared" si="15"/>
        <v>0</v>
      </c>
      <c r="AD8" s="467">
        <f t="shared" si="15"/>
        <v>0</v>
      </c>
      <c r="AE8" s="467">
        <f t="shared" si="15"/>
        <v>0</v>
      </c>
      <c r="AF8" s="467">
        <f t="shared" si="15"/>
        <v>14380</v>
      </c>
      <c r="AG8" s="467">
        <f t="shared" ref="AG8:AM8" si="16">AG3+AG4+AG5+AG6+AG7</f>
        <v>202</v>
      </c>
      <c r="AH8" s="468"/>
      <c r="AI8" s="467"/>
      <c r="AJ8" s="467">
        <f t="shared" si="16"/>
        <v>21769</v>
      </c>
      <c r="AK8" s="467">
        <f t="shared" si="16"/>
        <v>2580</v>
      </c>
      <c r="AL8" s="467">
        <f t="shared" si="16"/>
        <v>19189</v>
      </c>
      <c r="AM8" s="467">
        <f t="shared" si="16"/>
        <v>606</v>
      </c>
    </row>
    <row r="9" spans="1:40" s="453" customFormat="1" ht="27" customHeight="1">
      <c r="A9" s="473"/>
      <c r="B9" s="474" t="s">
        <v>3152</v>
      </c>
      <c r="C9" s="474"/>
      <c r="D9" s="474"/>
      <c r="E9" s="474"/>
      <c r="F9" s="474"/>
      <c r="G9" s="474"/>
      <c r="H9" s="475"/>
      <c r="I9" s="476"/>
      <c r="J9" s="475"/>
      <c r="K9" s="474">
        <f>K8*20</f>
        <v>2000</v>
      </c>
      <c r="L9" s="476"/>
      <c r="M9" s="474"/>
      <c r="N9" s="474"/>
      <c r="O9" s="475"/>
      <c r="P9" s="476"/>
      <c r="Q9" s="475"/>
      <c r="R9" s="474">
        <f>R8*20</f>
        <v>1820</v>
      </c>
      <c r="S9" s="476"/>
      <c r="T9" s="474"/>
      <c r="U9" s="474"/>
      <c r="V9" s="474"/>
      <c r="W9" s="476"/>
      <c r="X9" s="475"/>
      <c r="Y9" s="474">
        <f>Y8*25</f>
        <v>275</v>
      </c>
      <c r="Z9" s="476"/>
      <c r="AA9" s="474"/>
      <c r="AB9" s="474"/>
      <c r="AC9" s="474"/>
      <c r="AD9" s="474"/>
      <c r="AE9" s="474"/>
      <c r="AF9" s="474">
        <f>Y9+R9+K9</f>
        <v>4095</v>
      </c>
      <c r="AG9" s="474"/>
      <c r="AH9" s="476"/>
      <c r="AI9" s="474"/>
      <c r="AJ9" s="474"/>
      <c r="AK9" s="474"/>
      <c r="AL9" s="474"/>
      <c r="AM9" s="477"/>
    </row>
  </sheetData>
  <mergeCells count="17">
    <mergeCell ref="AL1:AL2"/>
    <mergeCell ref="AM1:AM2"/>
    <mergeCell ref="AG1:AG2"/>
    <mergeCell ref="AH1:AH2"/>
    <mergeCell ref="AI1:AI2"/>
    <mergeCell ref="AJ1:AJ2"/>
    <mergeCell ref="AK1:AK2"/>
    <mergeCell ref="A1:A2"/>
    <mergeCell ref="A3:A8"/>
    <mergeCell ref="B1:B2"/>
    <mergeCell ref="C1:C2"/>
    <mergeCell ref="AF1:AF2"/>
    <mergeCell ref="D1:G1"/>
    <mergeCell ref="H1:N1"/>
    <mergeCell ref="O1:U1"/>
    <mergeCell ref="V1:AB1"/>
    <mergeCell ref="AC1:AE1"/>
  </mergeCells>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12"/>
  <sheetViews>
    <sheetView topLeftCell="A174" workbookViewId="0">
      <selection activeCell="J207" sqref="J207"/>
    </sheetView>
  </sheetViews>
  <sheetFormatPr defaultColWidth="9" defaultRowHeight="14.4"/>
  <cols>
    <col min="1" max="1" width="12.21875" style="449" customWidth="1"/>
    <col min="2" max="2" width="19.88671875" style="449" customWidth="1"/>
    <col min="3" max="17" width="15.6640625" style="449" customWidth="1"/>
    <col min="18" max="16384" width="9" style="449"/>
  </cols>
  <sheetData>
    <row r="1" spans="1:17" ht="15.6">
      <c r="A1" s="450" t="s">
        <v>315</v>
      </c>
      <c r="B1" s="450" t="s">
        <v>3153</v>
      </c>
      <c r="C1" s="450" t="s">
        <v>33</v>
      </c>
      <c r="D1" s="450" t="s">
        <v>3154</v>
      </c>
      <c r="E1" s="450" t="s">
        <v>3155</v>
      </c>
      <c r="F1" s="450" t="s">
        <v>3156</v>
      </c>
      <c r="G1" s="450" t="s">
        <v>3157</v>
      </c>
      <c r="H1" s="450" t="s">
        <v>3158</v>
      </c>
      <c r="I1" s="450" t="s">
        <v>3159</v>
      </c>
      <c r="J1" s="450" t="s">
        <v>3160</v>
      </c>
      <c r="K1" s="450" t="s">
        <v>3161</v>
      </c>
      <c r="L1" s="450" t="s">
        <v>3162</v>
      </c>
      <c r="M1" s="450" t="s">
        <v>3163</v>
      </c>
      <c r="N1" s="450" t="s">
        <v>3164</v>
      </c>
      <c r="O1" s="450" t="s">
        <v>3165</v>
      </c>
      <c r="P1" s="450" t="s">
        <v>3166</v>
      </c>
      <c r="Q1" s="450" t="s">
        <v>3167</v>
      </c>
    </row>
    <row r="2" spans="1:17">
      <c r="A2" s="451">
        <v>1</v>
      </c>
      <c r="B2" s="449" t="s">
        <v>3168</v>
      </c>
      <c r="C2" s="449" t="s">
        <v>798</v>
      </c>
      <c r="D2" s="449" t="s">
        <v>3169</v>
      </c>
      <c r="E2" s="449" t="s">
        <v>3170</v>
      </c>
      <c r="F2" s="449" t="s">
        <v>517</v>
      </c>
      <c r="G2" s="452" t="s">
        <v>3171</v>
      </c>
      <c r="H2" s="452">
        <v>210</v>
      </c>
      <c r="I2" s="452"/>
      <c r="J2" s="452"/>
      <c r="K2" s="452" t="s">
        <v>3172</v>
      </c>
      <c r="L2" s="452" t="s">
        <v>3172</v>
      </c>
      <c r="M2" s="449" t="s">
        <v>3173</v>
      </c>
      <c r="N2" s="449">
        <v>0</v>
      </c>
      <c r="O2" s="449" t="s">
        <v>3174</v>
      </c>
      <c r="P2" s="449" t="s">
        <v>3175</v>
      </c>
      <c r="Q2" s="449" t="s">
        <v>3176</v>
      </c>
    </row>
    <row r="3" spans="1:17">
      <c r="A3" s="451">
        <v>2</v>
      </c>
      <c r="B3" s="449" t="s">
        <v>3177</v>
      </c>
      <c r="C3" s="449" t="s">
        <v>2119</v>
      </c>
      <c r="D3" s="449" t="s">
        <v>3169</v>
      </c>
      <c r="E3" s="449" t="s">
        <v>3178</v>
      </c>
      <c r="F3" s="449" t="s">
        <v>517</v>
      </c>
      <c r="G3" s="452" t="s">
        <v>3171</v>
      </c>
      <c r="H3" s="452">
        <v>210</v>
      </c>
      <c r="I3" s="452"/>
      <c r="J3" s="452"/>
      <c r="K3" s="452" t="s">
        <v>3172</v>
      </c>
      <c r="L3" s="452" t="s">
        <v>3172</v>
      </c>
      <c r="M3" s="449" t="s">
        <v>3173</v>
      </c>
      <c r="N3" s="449">
        <v>0</v>
      </c>
      <c r="O3" s="449" t="s">
        <v>3174</v>
      </c>
      <c r="P3" s="449" t="s">
        <v>3179</v>
      </c>
      <c r="Q3" s="449" t="s">
        <v>3176</v>
      </c>
    </row>
    <row r="4" spans="1:17">
      <c r="A4" s="451">
        <v>3</v>
      </c>
      <c r="B4" s="449" t="s">
        <v>3180</v>
      </c>
      <c r="C4" s="449" t="s">
        <v>812</v>
      </c>
      <c r="D4" s="449" t="s">
        <v>3169</v>
      </c>
      <c r="E4" s="449" t="s">
        <v>3181</v>
      </c>
      <c r="F4" s="449" t="s">
        <v>517</v>
      </c>
      <c r="G4" s="452" t="s">
        <v>3171</v>
      </c>
      <c r="H4" s="452">
        <v>210</v>
      </c>
      <c r="I4" s="452"/>
      <c r="J4" s="452"/>
      <c r="K4" s="452" t="s">
        <v>3172</v>
      </c>
      <c r="L4" s="452" t="s">
        <v>3172</v>
      </c>
      <c r="M4" s="449" t="s">
        <v>3173</v>
      </c>
      <c r="N4" s="449">
        <v>0</v>
      </c>
      <c r="O4" s="449" t="s">
        <v>3174</v>
      </c>
      <c r="P4" s="449" t="s">
        <v>3182</v>
      </c>
      <c r="Q4" s="449" t="s">
        <v>3183</v>
      </c>
    </row>
    <row r="5" spans="1:17">
      <c r="A5" s="451">
        <v>4</v>
      </c>
      <c r="B5" s="449" t="s">
        <v>3184</v>
      </c>
      <c r="C5" s="449" t="s">
        <v>801</v>
      </c>
      <c r="D5" s="449" t="s">
        <v>3169</v>
      </c>
      <c r="E5" s="449" t="s">
        <v>3185</v>
      </c>
      <c r="F5" s="449" t="s">
        <v>517</v>
      </c>
      <c r="G5" s="452" t="s">
        <v>3171</v>
      </c>
      <c r="H5" s="452">
        <v>210</v>
      </c>
      <c r="I5" s="452"/>
      <c r="J5" s="452"/>
      <c r="K5" s="452" t="s">
        <v>3172</v>
      </c>
      <c r="L5" s="452" t="s">
        <v>3172</v>
      </c>
      <c r="M5" s="449" t="s">
        <v>3173</v>
      </c>
      <c r="N5" s="449">
        <v>0</v>
      </c>
      <c r="O5" s="449" t="s">
        <v>3174</v>
      </c>
      <c r="P5" s="449" t="s">
        <v>3186</v>
      </c>
      <c r="Q5" s="449" t="s">
        <v>3187</v>
      </c>
    </row>
    <row r="6" spans="1:17">
      <c r="A6" s="451">
        <v>5</v>
      </c>
      <c r="B6" s="449" t="s">
        <v>3188</v>
      </c>
      <c r="C6" s="449" t="s">
        <v>44</v>
      </c>
      <c r="D6" s="449" t="s">
        <v>3169</v>
      </c>
      <c r="E6" s="449" t="s">
        <v>3189</v>
      </c>
      <c r="F6" s="449" t="s">
        <v>517</v>
      </c>
      <c r="G6" s="452" t="s">
        <v>3171</v>
      </c>
      <c r="H6" s="452">
        <v>210</v>
      </c>
      <c r="I6" s="452"/>
      <c r="J6" s="452"/>
      <c r="K6" s="452" t="s">
        <v>3172</v>
      </c>
      <c r="L6" s="452" t="s">
        <v>3172</v>
      </c>
      <c r="M6" s="449" t="s">
        <v>3173</v>
      </c>
      <c r="N6" s="449">
        <v>0</v>
      </c>
      <c r="O6" s="449" t="s">
        <v>3174</v>
      </c>
      <c r="P6" s="449" t="s">
        <v>3190</v>
      </c>
      <c r="Q6" s="449" t="s">
        <v>3191</v>
      </c>
    </row>
    <row r="7" spans="1:17">
      <c r="A7" s="451">
        <v>6</v>
      </c>
      <c r="B7" s="449" t="s">
        <v>3192</v>
      </c>
      <c r="C7" s="449" t="s">
        <v>898</v>
      </c>
      <c r="D7" s="449" t="s">
        <v>3169</v>
      </c>
      <c r="E7" s="449" t="s">
        <v>3193</v>
      </c>
      <c r="F7" s="449" t="s">
        <v>517</v>
      </c>
      <c r="G7" s="452" t="s">
        <v>3171</v>
      </c>
      <c r="H7" s="452">
        <v>210</v>
      </c>
      <c r="I7" s="452"/>
      <c r="J7" s="452"/>
      <c r="K7" s="452" t="s">
        <v>3172</v>
      </c>
      <c r="L7" s="452" t="s">
        <v>3172</v>
      </c>
      <c r="M7" s="449" t="s">
        <v>3173</v>
      </c>
      <c r="N7" s="449">
        <v>0</v>
      </c>
      <c r="O7" s="449" t="s">
        <v>3174</v>
      </c>
      <c r="P7" s="449" t="s">
        <v>3194</v>
      </c>
      <c r="Q7" s="449" t="s">
        <v>3195</v>
      </c>
    </row>
    <row r="8" spans="1:17">
      <c r="A8" s="451">
        <v>7</v>
      </c>
      <c r="B8" s="449" t="s">
        <v>3196</v>
      </c>
      <c r="C8" s="449" t="s">
        <v>3197</v>
      </c>
      <c r="D8" s="449" t="s">
        <v>3169</v>
      </c>
      <c r="E8" s="449" t="s">
        <v>3198</v>
      </c>
      <c r="F8" s="449" t="s">
        <v>517</v>
      </c>
      <c r="G8" s="452" t="s">
        <v>3171</v>
      </c>
      <c r="H8" s="452">
        <v>210</v>
      </c>
      <c r="I8" s="452"/>
      <c r="J8" s="452"/>
      <c r="K8" s="452" t="s">
        <v>3172</v>
      </c>
      <c r="L8" s="452" t="s">
        <v>3172</v>
      </c>
      <c r="M8" s="449" t="s">
        <v>3173</v>
      </c>
      <c r="N8" s="449">
        <v>0</v>
      </c>
      <c r="O8" s="449" t="s">
        <v>3174</v>
      </c>
      <c r="P8" s="449" t="s">
        <v>3199</v>
      </c>
      <c r="Q8" s="449" t="s">
        <v>3176</v>
      </c>
    </row>
    <row r="9" spans="1:17">
      <c r="A9" s="451">
        <v>8</v>
      </c>
      <c r="B9" s="449" t="s">
        <v>3200</v>
      </c>
      <c r="C9" s="449" t="s">
        <v>816</v>
      </c>
      <c r="D9" s="449" t="s">
        <v>3169</v>
      </c>
      <c r="E9" s="449" t="s">
        <v>3201</v>
      </c>
      <c r="F9" s="449" t="s">
        <v>517</v>
      </c>
      <c r="G9" s="452" t="s">
        <v>3171</v>
      </c>
      <c r="H9" s="452">
        <v>210</v>
      </c>
      <c r="I9" s="452"/>
      <c r="J9" s="452"/>
      <c r="K9" s="452" t="s">
        <v>3172</v>
      </c>
      <c r="L9" s="452" t="s">
        <v>3172</v>
      </c>
      <c r="M9" s="449" t="s">
        <v>3173</v>
      </c>
      <c r="N9" s="449">
        <v>0</v>
      </c>
      <c r="O9" s="449" t="s">
        <v>3174</v>
      </c>
      <c r="P9" s="449" t="s">
        <v>3202</v>
      </c>
      <c r="Q9" s="449" t="s">
        <v>3203</v>
      </c>
    </row>
    <row r="10" spans="1:17">
      <c r="A10" s="451">
        <v>9</v>
      </c>
      <c r="B10" s="449" t="s">
        <v>3204</v>
      </c>
      <c r="C10" s="449" t="s">
        <v>3205</v>
      </c>
      <c r="D10" s="449" t="s">
        <v>3169</v>
      </c>
      <c r="E10" s="449" t="s">
        <v>3206</v>
      </c>
      <c r="F10" s="449" t="s">
        <v>517</v>
      </c>
      <c r="G10" s="452" t="s">
        <v>3171</v>
      </c>
      <c r="H10" s="452">
        <v>210</v>
      </c>
      <c r="I10" s="452"/>
      <c r="J10" s="452"/>
      <c r="K10" s="452" t="s">
        <v>3172</v>
      </c>
      <c r="L10" s="452" t="s">
        <v>3172</v>
      </c>
      <c r="M10" s="449" t="s">
        <v>3173</v>
      </c>
      <c r="N10" s="449">
        <v>0</v>
      </c>
      <c r="O10" s="449" t="s">
        <v>3174</v>
      </c>
      <c r="P10" s="449" t="s">
        <v>3207</v>
      </c>
      <c r="Q10" s="449" t="s">
        <v>3176</v>
      </c>
    </row>
    <row r="11" spans="1:17">
      <c r="A11" s="451">
        <v>10</v>
      </c>
      <c r="B11" s="449" t="s">
        <v>3208</v>
      </c>
      <c r="C11" s="449" t="s">
        <v>3209</v>
      </c>
      <c r="D11" s="449" t="s">
        <v>3169</v>
      </c>
      <c r="E11" s="449" t="s">
        <v>3210</v>
      </c>
      <c r="F11" s="449" t="s">
        <v>517</v>
      </c>
      <c r="G11" s="452" t="s">
        <v>3171</v>
      </c>
      <c r="H11" s="452">
        <v>210</v>
      </c>
      <c r="I11" s="452"/>
      <c r="J11" s="452"/>
      <c r="K11" s="452" t="s">
        <v>3172</v>
      </c>
      <c r="L11" s="452" t="s">
        <v>3172</v>
      </c>
      <c r="M11" s="449" t="s">
        <v>3173</v>
      </c>
      <c r="N11" s="449">
        <v>0</v>
      </c>
      <c r="O11" s="449" t="s">
        <v>3174</v>
      </c>
      <c r="P11" s="449" t="s">
        <v>3211</v>
      </c>
      <c r="Q11" s="449" t="s">
        <v>3176</v>
      </c>
    </row>
    <row r="12" spans="1:17">
      <c r="A12" s="451">
        <v>11</v>
      </c>
      <c r="B12" s="449" t="s">
        <v>3212</v>
      </c>
      <c r="C12" s="449" t="s">
        <v>37</v>
      </c>
      <c r="D12" s="449" t="s">
        <v>3169</v>
      </c>
      <c r="E12" s="449" t="s">
        <v>3213</v>
      </c>
      <c r="F12" s="449" t="s">
        <v>517</v>
      </c>
      <c r="G12" s="452" t="s">
        <v>3171</v>
      </c>
      <c r="H12" s="452">
        <v>210</v>
      </c>
      <c r="I12" s="452"/>
      <c r="J12" s="452"/>
      <c r="K12" s="452" t="s">
        <v>3172</v>
      </c>
      <c r="L12" s="452" t="s">
        <v>3172</v>
      </c>
      <c r="M12" s="449" t="s">
        <v>3173</v>
      </c>
      <c r="N12" s="449">
        <v>0</v>
      </c>
      <c r="O12" s="449" t="s">
        <v>3174</v>
      </c>
      <c r="P12" s="449" t="s">
        <v>3214</v>
      </c>
      <c r="Q12" s="449" t="s">
        <v>3215</v>
      </c>
    </row>
    <row r="13" spans="1:17">
      <c r="A13" s="451">
        <v>12</v>
      </c>
      <c r="B13" s="449" t="s">
        <v>3216</v>
      </c>
      <c r="C13" s="449" t="s">
        <v>69</v>
      </c>
      <c r="D13" s="449" t="s">
        <v>3169</v>
      </c>
      <c r="E13" s="449" t="s">
        <v>3217</v>
      </c>
      <c r="F13" s="449" t="s">
        <v>517</v>
      </c>
      <c r="G13" s="452" t="s">
        <v>3171</v>
      </c>
      <c r="H13" s="452">
        <v>210</v>
      </c>
      <c r="I13" s="452"/>
      <c r="J13" s="452"/>
      <c r="K13" s="452" t="s">
        <v>3172</v>
      </c>
      <c r="L13" s="452" t="s">
        <v>3172</v>
      </c>
      <c r="M13" s="449" t="s">
        <v>3173</v>
      </c>
      <c r="N13" s="449">
        <v>0</v>
      </c>
      <c r="O13" s="449" t="s">
        <v>3174</v>
      </c>
      <c r="P13" s="449" t="s">
        <v>3218</v>
      </c>
      <c r="Q13" s="449" t="s">
        <v>3219</v>
      </c>
    </row>
    <row r="14" spans="1:17">
      <c r="A14" s="451">
        <v>13</v>
      </c>
      <c r="B14" s="449" t="s">
        <v>3220</v>
      </c>
      <c r="C14" s="449" t="s">
        <v>3221</v>
      </c>
      <c r="D14" s="449" t="s">
        <v>3169</v>
      </c>
      <c r="E14" s="449" t="s">
        <v>3222</v>
      </c>
      <c r="F14" s="449" t="s">
        <v>517</v>
      </c>
      <c r="G14" s="452" t="s">
        <v>3171</v>
      </c>
      <c r="H14" s="452">
        <v>210</v>
      </c>
      <c r="I14" s="452"/>
      <c r="J14" s="452"/>
      <c r="K14" s="452" t="s">
        <v>3172</v>
      </c>
      <c r="L14" s="452" t="s">
        <v>3172</v>
      </c>
      <c r="M14" s="449" t="s">
        <v>3173</v>
      </c>
      <c r="N14" s="449">
        <v>0</v>
      </c>
      <c r="O14" s="449" t="s">
        <v>3174</v>
      </c>
      <c r="P14" s="449" t="s">
        <v>3223</v>
      </c>
      <c r="Q14" s="449" t="s">
        <v>3176</v>
      </c>
    </row>
    <row r="15" spans="1:17">
      <c r="A15" s="451">
        <v>14</v>
      </c>
      <c r="B15" s="449" t="s">
        <v>3224</v>
      </c>
      <c r="C15" s="449" t="s">
        <v>926</v>
      </c>
      <c r="D15" s="449" t="s">
        <v>3169</v>
      </c>
      <c r="E15" s="449" t="s">
        <v>3225</v>
      </c>
      <c r="F15" s="449" t="s">
        <v>517</v>
      </c>
      <c r="G15" s="452" t="s">
        <v>3171</v>
      </c>
      <c r="H15" s="452">
        <v>210</v>
      </c>
      <c r="I15" s="452"/>
      <c r="J15" s="452"/>
      <c r="K15" s="452" t="s">
        <v>3172</v>
      </c>
      <c r="L15" s="452" t="s">
        <v>3172</v>
      </c>
      <c r="M15" s="449" t="s">
        <v>3173</v>
      </c>
      <c r="N15" s="449">
        <v>0</v>
      </c>
      <c r="O15" s="449" t="s">
        <v>3174</v>
      </c>
      <c r="P15" s="449" t="s">
        <v>3226</v>
      </c>
      <c r="Q15" s="449" t="s">
        <v>3227</v>
      </c>
    </row>
    <row r="16" spans="1:17">
      <c r="A16" s="451">
        <v>15</v>
      </c>
      <c r="B16" s="449" t="s">
        <v>3228</v>
      </c>
      <c r="C16" s="449" t="s">
        <v>868</v>
      </c>
      <c r="D16" s="449" t="s">
        <v>3169</v>
      </c>
      <c r="E16" s="449" t="s">
        <v>3229</v>
      </c>
      <c r="F16" s="449" t="s">
        <v>517</v>
      </c>
      <c r="G16" s="452" t="s">
        <v>3171</v>
      </c>
      <c r="H16" s="452">
        <v>210</v>
      </c>
      <c r="I16" s="452"/>
      <c r="J16" s="452"/>
      <c r="K16" s="452" t="s">
        <v>3172</v>
      </c>
      <c r="L16" s="452" t="s">
        <v>3172</v>
      </c>
      <c r="M16" s="449" t="s">
        <v>3173</v>
      </c>
      <c r="N16" s="449">
        <v>0</v>
      </c>
      <c r="O16" s="449" t="s">
        <v>3174</v>
      </c>
      <c r="P16" s="449" t="s">
        <v>3230</v>
      </c>
      <c r="Q16" s="449" t="s">
        <v>3231</v>
      </c>
    </row>
    <row r="17" spans="1:17">
      <c r="A17" s="451">
        <v>16</v>
      </c>
      <c r="B17" s="449" t="s">
        <v>3232</v>
      </c>
      <c r="C17" s="449" t="s">
        <v>802</v>
      </c>
      <c r="D17" s="449" t="s">
        <v>3169</v>
      </c>
      <c r="E17" s="449" t="s">
        <v>3233</v>
      </c>
      <c r="F17" s="449" t="s">
        <v>517</v>
      </c>
      <c r="G17" s="452" t="s">
        <v>3171</v>
      </c>
      <c r="H17" s="452">
        <v>210</v>
      </c>
      <c r="I17" s="452"/>
      <c r="J17" s="452"/>
      <c r="K17" s="452" t="s">
        <v>3172</v>
      </c>
      <c r="L17" s="452" t="s">
        <v>3172</v>
      </c>
      <c r="M17" s="449" t="s">
        <v>3173</v>
      </c>
      <c r="N17" s="449">
        <v>0</v>
      </c>
      <c r="O17" s="449" t="s">
        <v>3174</v>
      </c>
      <c r="P17" s="449" t="s">
        <v>3234</v>
      </c>
      <c r="Q17" s="449" t="s">
        <v>3235</v>
      </c>
    </row>
    <row r="18" spans="1:17">
      <c r="A18" s="451">
        <v>17</v>
      </c>
      <c r="B18" s="449" t="s">
        <v>3236</v>
      </c>
      <c r="C18" s="449" t="s">
        <v>51</v>
      </c>
      <c r="D18" s="449" t="s">
        <v>3169</v>
      </c>
      <c r="E18" s="449" t="s">
        <v>3237</v>
      </c>
      <c r="F18" s="449" t="s">
        <v>517</v>
      </c>
      <c r="G18" s="452" t="s">
        <v>3171</v>
      </c>
      <c r="H18" s="452">
        <v>210</v>
      </c>
      <c r="I18" s="452"/>
      <c r="J18" s="452"/>
      <c r="K18" s="452" t="s">
        <v>3172</v>
      </c>
      <c r="L18" s="452" t="s">
        <v>3172</v>
      </c>
      <c r="M18" s="449" t="s">
        <v>3173</v>
      </c>
      <c r="N18" s="449">
        <v>0</v>
      </c>
      <c r="O18" s="449" t="s">
        <v>3174</v>
      </c>
      <c r="P18" s="449" t="s">
        <v>3238</v>
      </c>
      <c r="Q18" s="449" t="s">
        <v>3176</v>
      </c>
    </row>
    <row r="19" spans="1:17">
      <c r="A19" s="451">
        <v>18</v>
      </c>
      <c r="B19" s="449" t="s">
        <v>3239</v>
      </c>
      <c r="C19" s="449" t="s">
        <v>3240</v>
      </c>
      <c r="D19" s="449" t="s">
        <v>3169</v>
      </c>
      <c r="E19" s="449" t="s">
        <v>3241</v>
      </c>
      <c r="F19" s="449" t="s">
        <v>517</v>
      </c>
      <c r="G19" s="452" t="s">
        <v>3171</v>
      </c>
      <c r="H19" s="452">
        <v>210</v>
      </c>
      <c r="I19" s="452"/>
      <c r="J19" s="452"/>
      <c r="K19" s="452" t="s">
        <v>3172</v>
      </c>
      <c r="L19" s="452" t="s">
        <v>3172</v>
      </c>
      <c r="M19" s="449" t="s">
        <v>3173</v>
      </c>
      <c r="N19" s="449">
        <v>0</v>
      </c>
      <c r="O19" s="449" t="s">
        <v>3174</v>
      </c>
      <c r="P19" s="449" t="s">
        <v>3242</v>
      </c>
      <c r="Q19" s="449" t="s">
        <v>3243</v>
      </c>
    </row>
    <row r="20" spans="1:17">
      <c r="A20" s="451">
        <v>19</v>
      </c>
      <c r="B20" s="449" t="s">
        <v>3244</v>
      </c>
      <c r="C20" s="449" t="s">
        <v>213</v>
      </c>
      <c r="D20" s="449" t="s">
        <v>3169</v>
      </c>
      <c r="E20" s="449" t="s">
        <v>3245</v>
      </c>
      <c r="F20" s="449" t="s">
        <v>517</v>
      </c>
      <c r="G20" s="452" t="s">
        <v>3171</v>
      </c>
      <c r="H20" s="452">
        <v>210</v>
      </c>
      <c r="I20" s="452"/>
      <c r="J20" s="452"/>
      <c r="K20" s="452" t="s">
        <v>3172</v>
      </c>
      <c r="L20" s="452" t="s">
        <v>3172</v>
      </c>
      <c r="M20" s="449" t="s">
        <v>3173</v>
      </c>
      <c r="N20" s="449">
        <v>0</v>
      </c>
      <c r="O20" s="449" t="s">
        <v>3174</v>
      </c>
      <c r="P20" s="449" t="s">
        <v>3246</v>
      </c>
      <c r="Q20" s="449" t="s">
        <v>3176</v>
      </c>
    </row>
    <row r="21" spans="1:17">
      <c r="A21" s="451">
        <v>20</v>
      </c>
      <c r="B21" s="449" t="s">
        <v>3247</v>
      </c>
      <c r="C21" s="449" t="s">
        <v>208</v>
      </c>
      <c r="D21" s="449" t="s">
        <v>3169</v>
      </c>
      <c r="E21" s="449" t="s">
        <v>3248</v>
      </c>
      <c r="F21" s="449" t="s">
        <v>517</v>
      </c>
      <c r="G21" s="452" t="s">
        <v>3171</v>
      </c>
      <c r="H21" s="452">
        <v>210</v>
      </c>
      <c r="I21" s="452"/>
      <c r="J21" s="452"/>
      <c r="K21" s="452" t="s">
        <v>3172</v>
      </c>
      <c r="L21" s="452" t="s">
        <v>3172</v>
      </c>
      <c r="M21" s="449" t="s">
        <v>3173</v>
      </c>
      <c r="N21" s="449">
        <v>0</v>
      </c>
      <c r="O21" s="449" t="s">
        <v>3174</v>
      </c>
      <c r="P21" s="449" t="s">
        <v>3249</v>
      </c>
      <c r="Q21" s="449" t="s">
        <v>3250</v>
      </c>
    </row>
    <row r="22" spans="1:17">
      <c r="A22" s="451">
        <v>21</v>
      </c>
      <c r="B22" s="449" t="s">
        <v>3251</v>
      </c>
      <c r="C22" s="449" t="s">
        <v>3252</v>
      </c>
      <c r="D22" s="449" t="s">
        <v>3169</v>
      </c>
      <c r="E22" s="449" t="s">
        <v>3253</v>
      </c>
      <c r="F22" s="449" t="s">
        <v>517</v>
      </c>
      <c r="G22" s="452" t="s">
        <v>3171</v>
      </c>
      <c r="H22" s="452">
        <v>210</v>
      </c>
      <c r="I22" s="452"/>
      <c r="J22" s="452"/>
      <c r="K22" s="452" t="s">
        <v>3172</v>
      </c>
      <c r="L22" s="452" t="s">
        <v>3172</v>
      </c>
      <c r="M22" s="449" t="s">
        <v>3173</v>
      </c>
      <c r="N22" s="449">
        <v>0</v>
      </c>
      <c r="O22" s="449" t="s">
        <v>3174</v>
      </c>
      <c r="P22" s="449" t="s">
        <v>3254</v>
      </c>
      <c r="Q22" s="449" t="s">
        <v>3255</v>
      </c>
    </row>
    <row r="23" spans="1:17">
      <c r="A23" s="451">
        <v>22</v>
      </c>
      <c r="B23" s="449" t="s">
        <v>3256</v>
      </c>
      <c r="C23" s="449" t="s">
        <v>3257</v>
      </c>
      <c r="D23" s="449" t="s">
        <v>3169</v>
      </c>
      <c r="E23" s="449" t="s">
        <v>3258</v>
      </c>
      <c r="F23" s="449" t="s">
        <v>517</v>
      </c>
      <c r="G23" s="452" t="s">
        <v>3171</v>
      </c>
      <c r="H23" s="452">
        <v>210</v>
      </c>
      <c r="I23" s="452"/>
      <c r="J23" s="452"/>
      <c r="K23" s="452" t="s">
        <v>3172</v>
      </c>
      <c r="L23" s="452" t="s">
        <v>3172</v>
      </c>
      <c r="M23" s="449" t="s">
        <v>3173</v>
      </c>
      <c r="N23" s="449">
        <v>0</v>
      </c>
      <c r="O23" s="449" t="s">
        <v>3174</v>
      </c>
      <c r="P23" s="449" t="s">
        <v>3259</v>
      </c>
      <c r="Q23" s="449" t="s">
        <v>3260</v>
      </c>
    </row>
    <row r="24" spans="1:17">
      <c r="A24" s="451">
        <v>23</v>
      </c>
      <c r="B24" s="449" t="s">
        <v>3261</v>
      </c>
      <c r="C24" s="449" t="s">
        <v>100</v>
      </c>
      <c r="D24" s="449" t="s">
        <v>3169</v>
      </c>
      <c r="E24" s="449" t="s">
        <v>3262</v>
      </c>
      <c r="F24" s="449" t="s">
        <v>517</v>
      </c>
      <c r="G24" s="452" t="s">
        <v>3171</v>
      </c>
      <c r="H24" s="452">
        <v>210</v>
      </c>
      <c r="I24" s="452"/>
      <c r="J24" s="452"/>
      <c r="K24" s="452" t="s">
        <v>3172</v>
      </c>
      <c r="L24" s="452" t="s">
        <v>3172</v>
      </c>
      <c r="M24" s="449" t="s">
        <v>3173</v>
      </c>
      <c r="N24" s="449">
        <v>0</v>
      </c>
      <c r="O24" s="449" t="s">
        <v>3174</v>
      </c>
      <c r="P24" s="449" t="s">
        <v>3263</v>
      </c>
      <c r="Q24" s="449" t="s">
        <v>3264</v>
      </c>
    </row>
    <row r="25" spans="1:17">
      <c r="A25" s="451">
        <v>24</v>
      </c>
      <c r="B25" s="449" t="s">
        <v>3265</v>
      </c>
      <c r="C25" s="449" t="s">
        <v>3266</v>
      </c>
      <c r="D25" s="449" t="s">
        <v>3169</v>
      </c>
      <c r="E25" s="449" t="s">
        <v>3267</v>
      </c>
      <c r="F25" s="449" t="s">
        <v>517</v>
      </c>
      <c r="G25" s="452" t="s">
        <v>3171</v>
      </c>
      <c r="H25" s="452">
        <v>210</v>
      </c>
      <c r="I25" s="452"/>
      <c r="J25" s="452"/>
      <c r="K25" s="452" t="s">
        <v>3172</v>
      </c>
      <c r="L25" s="452" t="s">
        <v>3172</v>
      </c>
      <c r="M25" s="449" t="s">
        <v>3173</v>
      </c>
      <c r="N25" s="449">
        <v>0</v>
      </c>
      <c r="O25" s="449" t="s">
        <v>3174</v>
      </c>
      <c r="P25" s="449" t="s">
        <v>3268</v>
      </c>
      <c r="Q25" s="449" t="s">
        <v>3176</v>
      </c>
    </row>
    <row r="26" spans="1:17">
      <c r="A26" s="451">
        <v>25</v>
      </c>
      <c r="B26" s="449" t="s">
        <v>3269</v>
      </c>
      <c r="C26" s="449" t="s">
        <v>3270</v>
      </c>
      <c r="D26" s="449" t="s">
        <v>3169</v>
      </c>
      <c r="E26" s="449" t="s">
        <v>3271</v>
      </c>
      <c r="F26" s="449" t="s">
        <v>3272</v>
      </c>
      <c r="G26" s="452" t="s">
        <v>3171</v>
      </c>
      <c r="H26" s="452">
        <v>210</v>
      </c>
      <c r="I26" s="452"/>
      <c r="J26" s="452"/>
      <c r="K26" s="452" t="s">
        <v>3172</v>
      </c>
      <c r="L26" s="452" t="s">
        <v>3172</v>
      </c>
      <c r="M26" s="449" t="s">
        <v>3173</v>
      </c>
      <c r="N26" s="449">
        <v>0</v>
      </c>
      <c r="O26" s="449" t="s">
        <v>3174</v>
      </c>
      <c r="P26" s="449" t="s">
        <v>3273</v>
      </c>
      <c r="Q26" s="449" t="s">
        <v>3274</v>
      </c>
    </row>
    <row r="27" spans="1:17">
      <c r="A27" s="451">
        <v>26</v>
      </c>
      <c r="B27" s="449" t="s">
        <v>3275</v>
      </c>
      <c r="C27" s="449" t="s">
        <v>3276</v>
      </c>
      <c r="D27" s="449" t="s">
        <v>3169</v>
      </c>
      <c r="E27" s="449" t="s">
        <v>3277</v>
      </c>
      <c r="F27" s="449" t="s">
        <v>517</v>
      </c>
      <c r="G27" s="452" t="s">
        <v>3171</v>
      </c>
      <c r="H27" s="452">
        <v>210</v>
      </c>
      <c r="I27" s="452"/>
      <c r="J27" s="452"/>
      <c r="K27" s="452" t="s">
        <v>3172</v>
      </c>
      <c r="L27" s="452" t="s">
        <v>3172</v>
      </c>
      <c r="M27" s="449" t="s">
        <v>3173</v>
      </c>
      <c r="N27" s="449">
        <v>0</v>
      </c>
      <c r="O27" s="449" t="s">
        <v>3174</v>
      </c>
      <c r="P27" s="449" t="s">
        <v>3278</v>
      </c>
      <c r="Q27" s="449" t="s">
        <v>3176</v>
      </c>
    </row>
    <row r="28" spans="1:17">
      <c r="A28" s="451">
        <v>27</v>
      </c>
      <c r="B28" s="449" t="s">
        <v>3279</v>
      </c>
      <c r="C28" s="449" t="s">
        <v>851</v>
      </c>
      <c r="D28" s="449" t="s">
        <v>3169</v>
      </c>
      <c r="E28" s="449" t="s">
        <v>3280</v>
      </c>
      <c r="F28" s="449" t="s">
        <v>517</v>
      </c>
      <c r="G28" s="452" t="s">
        <v>3171</v>
      </c>
      <c r="H28" s="452">
        <v>210</v>
      </c>
      <c r="I28" s="452"/>
      <c r="J28" s="452"/>
      <c r="K28" s="452" t="s">
        <v>3172</v>
      </c>
      <c r="L28" s="452" t="s">
        <v>3172</v>
      </c>
      <c r="M28" s="449" t="s">
        <v>3173</v>
      </c>
      <c r="N28" s="449">
        <v>0</v>
      </c>
      <c r="O28" s="449" t="s">
        <v>3174</v>
      </c>
      <c r="P28" s="449" t="s">
        <v>3281</v>
      </c>
      <c r="Q28" s="449" t="s">
        <v>3282</v>
      </c>
    </row>
    <row r="29" spans="1:17">
      <c r="A29" s="451">
        <v>28</v>
      </c>
      <c r="B29" s="449" t="s">
        <v>3283</v>
      </c>
      <c r="C29" s="449" t="s">
        <v>41</v>
      </c>
      <c r="D29" s="449" t="s">
        <v>3169</v>
      </c>
      <c r="E29" s="449" t="s">
        <v>3284</v>
      </c>
      <c r="F29" s="449" t="s">
        <v>517</v>
      </c>
      <c r="G29" s="452" t="s">
        <v>3171</v>
      </c>
      <c r="H29" s="452">
        <v>210</v>
      </c>
      <c r="I29" s="452"/>
      <c r="J29" s="452"/>
      <c r="K29" s="452" t="s">
        <v>3172</v>
      </c>
      <c r="L29" s="452" t="s">
        <v>3172</v>
      </c>
      <c r="M29" s="449" t="s">
        <v>3173</v>
      </c>
      <c r="N29" s="449">
        <v>0</v>
      </c>
      <c r="O29" s="449" t="s">
        <v>3174</v>
      </c>
      <c r="P29" s="449" t="s">
        <v>3285</v>
      </c>
      <c r="Q29" s="449" t="s">
        <v>3286</v>
      </c>
    </row>
    <row r="30" spans="1:17">
      <c r="A30" s="451">
        <v>29</v>
      </c>
      <c r="B30" s="449" t="s">
        <v>3287</v>
      </c>
      <c r="C30" s="449" t="s">
        <v>3288</v>
      </c>
      <c r="D30" s="449" t="s">
        <v>3169</v>
      </c>
      <c r="E30" s="449" t="s">
        <v>3289</v>
      </c>
      <c r="F30" s="449" t="s">
        <v>517</v>
      </c>
      <c r="G30" s="452" t="s">
        <v>3171</v>
      </c>
      <c r="H30" s="452">
        <v>210</v>
      </c>
      <c r="I30" s="452"/>
      <c r="J30" s="452"/>
      <c r="K30" s="452" t="s">
        <v>3172</v>
      </c>
      <c r="L30" s="452" t="s">
        <v>3172</v>
      </c>
      <c r="M30" s="449" t="s">
        <v>3173</v>
      </c>
      <c r="N30" s="449">
        <v>0</v>
      </c>
      <c r="O30" s="449" t="s">
        <v>3174</v>
      </c>
      <c r="P30" s="449" t="s">
        <v>3290</v>
      </c>
      <c r="Q30" s="449" t="s">
        <v>3291</v>
      </c>
    </row>
    <row r="31" spans="1:17">
      <c r="A31" s="451">
        <v>30</v>
      </c>
      <c r="B31" s="449" t="s">
        <v>3292</v>
      </c>
      <c r="C31" s="449" t="s">
        <v>52</v>
      </c>
      <c r="D31" s="449" t="s">
        <v>3169</v>
      </c>
      <c r="E31" s="449" t="s">
        <v>3293</v>
      </c>
      <c r="F31" s="449" t="s">
        <v>517</v>
      </c>
      <c r="G31" s="452" t="s">
        <v>3171</v>
      </c>
      <c r="H31" s="452">
        <v>210</v>
      </c>
      <c r="I31" s="452"/>
      <c r="J31" s="452"/>
      <c r="K31" s="452" t="s">
        <v>3172</v>
      </c>
      <c r="L31" s="452" t="s">
        <v>3172</v>
      </c>
      <c r="M31" s="449" t="s">
        <v>3173</v>
      </c>
      <c r="N31" s="449">
        <v>0</v>
      </c>
      <c r="O31" s="449" t="s">
        <v>3174</v>
      </c>
      <c r="P31" s="449" t="s">
        <v>3294</v>
      </c>
      <c r="Q31" s="449" t="s">
        <v>3295</v>
      </c>
    </row>
    <row r="32" spans="1:17">
      <c r="A32" s="451">
        <v>31</v>
      </c>
      <c r="B32" s="449" t="s">
        <v>3296</v>
      </c>
      <c r="C32" s="449" t="s">
        <v>155</v>
      </c>
      <c r="D32" s="449" t="s">
        <v>3169</v>
      </c>
      <c r="E32" s="449" t="s">
        <v>3297</v>
      </c>
      <c r="F32" s="449" t="s">
        <v>517</v>
      </c>
      <c r="G32" s="452" t="s">
        <v>3171</v>
      </c>
      <c r="H32" s="452">
        <v>210</v>
      </c>
      <c r="I32" s="452"/>
      <c r="J32" s="452"/>
      <c r="K32" s="452" t="s">
        <v>3172</v>
      </c>
      <c r="L32" s="452" t="s">
        <v>3172</v>
      </c>
      <c r="M32" s="449" t="s">
        <v>3173</v>
      </c>
      <c r="N32" s="449">
        <v>0</v>
      </c>
      <c r="O32" s="449" t="s">
        <v>3174</v>
      </c>
      <c r="P32" s="449" t="s">
        <v>3298</v>
      </c>
      <c r="Q32" s="449" t="s">
        <v>3299</v>
      </c>
    </row>
    <row r="33" spans="1:17">
      <c r="A33" s="451">
        <v>32</v>
      </c>
      <c r="B33" s="449" t="s">
        <v>3300</v>
      </c>
      <c r="C33" s="449" t="s">
        <v>3301</v>
      </c>
      <c r="D33" s="449" t="s">
        <v>3169</v>
      </c>
      <c r="E33" s="449" t="s">
        <v>3302</v>
      </c>
      <c r="F33" s="449" t="s">
        <v>517</v>
      </c>
      <c r="G33" s="452" t="s">
        <v>3171</v>
      </c>
      <c r="H33" s="452">
        <v>210</v>
      </c>
      <c r="I33" s="452"/>
      <c r="J33" s="452"/>
      <c r="K33" s="452" t="s">
        <v>3172</v>
      </c>
      <c r="L33" s="452" t="s">
        <v>3172</v>
      </c>
      <c r="M33" s="449" t="s">
        <v>3173</v>
      </c>
      <c r="N33" s="449">
        <v>0</v>
      </c>
      <c r="O33" s="449" t="s">
        <v>3174</v>
      </c>
      <c r="P33" s="449" t="s">
        <v>3303</v>
      </c>
      <c r="Q33" s="449" t="s">
        <v>3176</v>
      </c>
    </row>
    <row r="34" spans="1:17">
      <c r="A34" s="451">
        <v>33</v>
      </c>
      <c r="B34" s="449" t="s">
        <v>3304</v>
      </c>
      <c r="C34" s="449" t="s">
        <v>3305</v>
      </c>
      <c r="D34" s="449" t="s">
        <v>3169</v>
      </c>
      <c r="E34" s="449" t="s">
        <v>3306</v>
      </c>
      <c r="F34" s="449" t="s">
        <v>517</v>
      </c>
      <c r="G34" s="452" t="s">
        <v>3171</v>
      </c>
      <c r="H34" s="452">
        <v>210</v>
      </c>
      <c r="I34" s="452"/>
      <c r="J34" s="452"/>
      <c r="K34" s="452" t="s">
        <v>3172</v>
      </c>
      <c r="L34" s="452" t="s">
        <v>3172</v>
      </c>
      <c r="M34" s="449" t="s">
        <v>3307</v>
      </c>
      <c r="N34" s="449">
        <v>0</v>
      </c>
      <c r="O34" s="449" t="s">
        <v>3174</v>
      </c>
      <c r="P34" s="449" t="s">
        <v>3308</v>
      </c>
      <c r="Q34" s="449" t="s">
        <v>3176</v>
      </c>
    </row>
    <row r="35" spans="1:17">
      <c r="A35" s="451">
        <v>34</v>
      </c>
      <c r="B35" s="449" t="s">
        <v>3309</v>
      </c>
      <c r="C35" s="449" t="s">
        <v>3310</v>
      </c>
      <c r="D35" s="449" t="s">
        <v>3169</v>
      </c>
      <c r="E35" s="449" t="s">
        <v>3311</v>
      </c>
      <c r="F35" s="449" t="s">
        <v>517</v>
      </c>
      <c r="G35" s="452" t="s">
        <v>3171</v>
      </c>
      <c r="H35" s="452">
        <v>210</v>
      </c>
      <c r="I35" s="452"/>
      <c r="J35" s="452"/>
      <c r="K35" s="452" t="s">
        <v>3172</v>
      </c>
      <c r="L35" s="452" t="s">
        <v>3172</v>
      </c>
      <c r="M35" s="449" t="s">
        <v>3173</v>
      </c>
      <c r="N35" s="449">
        <v>0</v>
      </c>
      <c r="O35" s="449" t="s">
        <v>3174</v>
      </c>
      <c r="P35" s="449" t="s">
        <v>3312</v>
      </c>
      <c r="Q35" s="449" t="s">
        <v>3313</v>
      </c>
    </row>
    <row r="36" spans="1:17">
      <c r="A36" s="451">
        <v>35</v>
      </c>
      <c r="B36" s="449" t="s">
        <v>3314</v>
      </c>
      <c r="C36" s="449" t="s">
        <v>96</v>
      </c>
      <c r="D36" s="449" t="s">
        <v>3169</v>
      </c>
      <c r="E36" s="449" t="s">
        <v>3315</v>
      </c>
      <c r="F36" s="449" t="s">
        <v>517</v>
      </c>
      <c r="G36" s="452" t="s">
        <v>3171</v>
      </c>
      <c r="H36" s="452">
        <v>210</v>
      </c>
      <c r="I36" s="452"/>
      <c r="J36" s="452"/>
      <c r="K36" s="452" t="s">
        <v>3172</v>
      </c>
      <c r="L36" s="452" t="s">
        <v>3172</v>
      </c>
      <c r="M36" s="449" t="s">
        <v>3173</v>
      </c>
      <c r="N36" s="449">
        <v>0</v>
      </c>
      <c r="O36" s="449" t="s">
        <v>3174</v>
      </c>
      <c r="P36" s="449" t="s">
        <v>3316</v>
      </c>
      <c r="Q36" s="449" t="s">
        <v>3317</v>
      </c>
    </row>
    <row r="37" spans="1:17">
      <c r="A37" s="451">
        <v>36</v>
      </c>
      <c r="B37" s="449" t="s">
        <v>3318</v>
      </c>
      <c r="C37" s="449" t="s">
        <v>88</v>
      </c>
      <c r="D37" s="449" t="s">
        <v>3169</v>
      </c>
      <c r="E37" s="449" t="s">
        <v>3319</v>
      </c>
      <c r="F37" s="449" t="s">
        <v>517</v>
      </c>
      <c r="G37" s="452" t="s">
        <v>3171</v>
      </c>
      <c r="H37" s="452">
        <v>210</v>
      </c>
      <c r="I37" s="452"/>
      <c r="J37" s="452"/>
      <c r="K37" s="452" t="s">
        <v>3172</v>
      </c>
      <c r="L37" s="452" t="s">
        <v>3172</v>
      </c>
      <c r="M37" s="449" t="s">
        <v>3173</v>
      </c>
      <c r="N37" s="449">
        <v>0</v>
      </c>
      <c r="O37" s="449" t="s">
        <v>3174</v>
      </c>
      <c r="P37" s="449" t="s">
        <v>3320</v>
      </c>
      <c r="Q37" s="449" t="s">
        <v>3321</v>
      </c>
    </row>
    <row r="38" spans="1:17">
      <c r="A38" s="451">
        <v>37</v>
      </c>
      <c r="B38" s="449" t="s">
        <v>3322</v>
      </c>
      <c r="C38" s="449" t="s">
        <v>76</v>
      </c>
      <c r="D38" s="449" t="s">
        <v>3169</v>
      </c>
      <c r="E38" s="449" t="s">
        <v>3323</v>
      </c>
      <c r="F38" s="449" t="s">
        <v>517</v>
      </c>
      <c r="G38" s="452" t="s">
        <v>3171</v>
      </c>
      <c r="H38" s="452">
        <v>210</v>
      </c>
      <c r="I38" s="452"/>
      <c r="J38" s="452"/>
      <c r="K38" s="452" t="s">
        <v>3172</v>
      </c>
      <c r="L38" s="452" t="s">
        <v>3172</v>
      </c>
      <c r="M38" s="449" t="s">
        <v>3173</v>
      </c>
      <c r="N38" s="449">
        <v>0</v>
      </c>
      <c r="O38" s="449" t="s">
        <v>3174</v>
      </c>
      <c r="P38" s="449" t="s">
        <v>3324</v>
      </c>
      <c r="Q38" s="449" t="s">
        <v>3325</v>
      </c>
    </row>
    <row r="39" spans="1:17">
      <c r="A39" s="451">
        <v>38</v>
      </c>
      <c r="B39" s="449" t="s">
        <v>3326</v>
      </c>
      <c r="C39" s="449" t="s">
        <v>54</v>
      </c>
      <c r="D39" s="449" t="s">
        <v>3169</v>
      </c>
      <c r="E39" s="449" t="s">
        <v>3327</v>
      </c>
      <c r="F39" s="449" t="s">
        <v>517</v>
      </c>
      <c r="G39" s="452" t="s">
        <v>3171</v>
      </c>
      <c r="H39" s="452">
        <v>210</v>
      </c>
      <c r="I39" s="452"/>
      <c r="J39" s="452"/>
      <c r="K39" s="452" t="s">
        <v>3172</v>
      </c>
      <c r="L39" s="452" t="s">
        <v>3172</v>
      </c>
      <c r="M39" s="449" t="s">
        <v>3173</v>
      </c>
      <c r="N39" s="449">
        <v>0</v>
      </c>
      <c r="O39" s="449" t="s">
        <v>3174</v>
      </c>
      <c r="P39" s="449" t="s">
        <v>3328</v>
      </c>
      <c r="Q39" s="449" t="s">
        <v>3176</v>
      </c>
    </row>
    <row r="40" spans="1:17">
      <c r="A40" s="451">
        <v>39</v>
      </c>
      <c r="B40" s="449" t="s">
        <v>3329</v>
      </c>
      <c r="C40" s="449" t="s">
        <v>145</v>
      </c>
      <c r="D40" s="449" t="s">
        <v>3169</v>
      </c>
      <c r="E40" s="449" t="s">
        <v>3330</v>
      </c>
      <c r="F40" s="449" t="s">
        <v>517</v>
      </c>
      <c r="G40" s="452" t="s">
        <v>3171</v>
      </c>
      <c r="H40" s="452">
        <v>210</v>
      </c>
      <c r="I40" s="452"/>
      <c r="J40" s="452"/>
      <c r="K40" s="452" t="s">
        <v>3172</v>
      </c>
      <c r="L40" s="452" t="s">
        <v>3172</v>
      </c>
      <c r="M40" s="449" t="s">
        <v>3173</v>
      </c>
      <c r="N40" s="449">
        <v>0</v>
      </c>
      <c r="O40" s="449" t="s">
        <v>3174</v>
      </c>
      <c r="P40" s="449" t="s">
        <v>3331</v>
      </c>
      <c r="Q40" s="449" t="s">
        <v>3332</v>
      </c>
    </row>
    <row r="41" spans="1:17">
      <c r="A41" s="451">
        <v>40</v>
      </c>
      <c r="B41" s="449" t="s">
        <v>3333</v>
      </c>
      <c r="C41" s="449" t="s">
        <v>80</v>
      </c>
      <c r="D41" s="449" t="s">
        <v>3169</v>
      </c>
      <c r="E41" s="449" t="s">
        <v>3334</v>
      </c>
      <c r="F41" s="449" t="s">
        <v>517</v>
      </c>
      <c r="G41" s="452" t="s">
        <v>3171</v>
      </c>
      <c r="H41" s="452">
        <v>210</v>
      </c>
      <c r="I41" s="452"/>
      <c r="J41" s="452"/>
      <c r="K41" s="452" t="s">
        <v>3172</v>
      </c>
      <c r="L41" s="452" t="s">
        <v>3172</v>
      </c>
      <c r="M41" s="449" t="s">
        <v>3173</v>
      </c>
      <c r="N41" s="449">
        <v>0</v>
      </c>
      <c r="O41" s="449" t="s">
        <v>3174</v>
      </c>
      <c r="P41" s="449" t="s">
        <v>3335</v>
      </c>
      <c r="Q41" s="449" t="s">
        <v>3336</v>
      </c>
    </row>
    <row r="42" spans="1:17">
      <c r="A42" s="451">
        <v>41</v>
      </c>
      <c r="B42" s="449" t="s">
        <v>3337</v>
      </c>
      <c r="C42" s="449" t="s">
        <v>62</v>
      </c>
      <c r="D42" s="449" t="s">
        <v>3169</v>
      </c>
      <c r="E42" s="449" t="s">
        <v>3338</v>
      </c>
      <c r="F42" s="449" t="s">
        <v>517</v>
      </c>
      <c r="G42" s="452" t="s">
        <v>3171</v>
      </c>
      <c r="H42" s="452">
        <v>210</v>
      </c>
      <c r="I42" s="452"/>
      <c r="J42" s="452"/>
      <c r="K42" s="452" t="s">
        <v>3172</v>
      </c>
      <c r="L42" s="452" t="s">
        <v>3172</v>
      </c>
      <c r="M42" s="449" t="s">
        <v>3173</v>
      </c>
      <c r="N42" s="449">
        <v>0</v>
      </c>
      <c r="O42" s="449" t="s">
        <v>3174</v>
      </c>
      <c r="P42" s="449" t="s">
        <v>3339</v>
      </c>
      <c r="Q42" s="449" t="s">
        <v>3340</v>
      </c>
    </row>
    <row r="43" spans="1:17">
      <c r="A43" s="451">
        <v>42</v>
      </c>
      <c r="B43" s="449" t="s">
        <v>3341</v>
      </c>
      <c r="C43" s="449" t="s">
        <v>67</v>
      </c>
      <c r="D43" s="449" t="s">
        <v>3169</v>
      </c>
      <c r="E43" s="449" t="s">
        <v>3342</v>
      </c>
      <c r="F43" s="449" t="s">
        <v>517</v>
      </c>
      <c r="G43" s="452" t="s">
        <v>3171</v>
      </c>
      <c r="H43" s="452">
        <v>210</v>
      </c>
      <c r="I43" s="452"/>
      <c r="J43" s="452"/>
      <c r="K43" s="452" t="s">
        <v>3172</v>
      </c>
      <c r="L43" s="452" t="s">
        <v>3172</v>
      </c>
      <c r="M43" s="449" t="s">
        <v>3173</v>
      </c>
      <c r="N43" s="449">
        <v>0</v>
      </c>
      <c r="O43" s="449" t="s">
        <v>3174</v>
      </c>
      <c r="P43" s="449" t="s">
        <v>3343</v>
      </c>
      <c r="Q43" s="449" t="s">
        <v>3176</v>
      </c>
    </row>
    <row r="44" spans="1:17">
      <c r="A44" s="451">
        <v>43</v>
      </c>
      <c r="B44" s="449" t="s">
        <v>3344</v>
      </c>
      <c r="C44" s="449" t="s">
        <v>43</v>
      </c>
      <c r="D44" s="449" t="s">
        <v>3169</v>
      </c>
      <c r="E44" s="449" t="s">
        <v>3345</v>
      </c>
      <c r="F44" s="449" t="s">
        <v>517</v>
      </c>
      <c r="G44" s="452" t="s">
        <v>3171</v>
      </c>
      <c r="H44" s="452">
        <v>210</v>
      </c>
      <c r="I44" s="452"/>
      <c r="J44" s="452"/>
      <c r="K44" s="452" t="s">
        <v>3172</v>
      </c>
      <c r="L44" s="452" t="s">
        <v>3172</v>
      </c>
      <c r="M44" s="449" t="s">
        <v>3173</v>
      </c>
      <c r="N44" s="449">
        <v>0</v>
      </c>
      <c r="O44" s="449" t="s">
        <v>3174</v>
      </c>
      <c r="P44" s="449" t="s">
        <v>3346</v>
      </c>
      <c r="Q44" s="449" t="s">
        <v>3347</v>
      </c>
    </row>
    <row r="45" spans="1:17">
      <c r="A45" s="451">
        <v>44</v>
      </c>
      <c r="B45" s="449" t="s">
        <v>3348</v>
      </c>
      <c r="C45" s="449" t="s">
        <v>79</v>
      </c>
      <c r="D45" s="449" t="s">
        <v>3169</v>
      </c>
      <c r="E45" s="449" t="s">
        <v>3349</v>
      </c>
      <c r="F45" s="449" t="s">
        <v>517</v>
      </c>
      <c r="G45" s="452" t="s">
        <v>3171</v>
      </c>
      <c r="H45" s="452">
        <v>210</v>
      </c>
      <c r="I45" s="452"/>
      <c r="J45" s="452"/>
      <c r="K45" s="452" t="s">
        <v>3172</v>
      </c>
      <c r="L45" s="452" t="s">
        <v>3172</v>
      </c>
      <c r="M45" s="449" t="s">
        <v>3173</v>
      </c>
      <c r="N45" s="449">
        <v>0</v>
      </c>
      <c r="O45" s="449" t="s">
        <v>3174</v>
      </c>
      <c r="P45" s="449" t="s">
        <v>3350</v>
      </c>
      <c r="Q45" s="449" t="s">
        <v>3351</v>
      </c>
    </row>
    <row r="46" spans="1:17">
      <c r="A46" s="451">
        <v>45</v>
      </c>
      <c r="B46" s="449" t="s">
        <v>3352</v>
      </c>
      <c r="C46" s="449" t="s">
        <v>3353</v>
      </c>
      <c r="D46" s="449" t="s">
        <v>3169</v>
      </c>
      <c r="E46" s="449" t="s">
        <v>3354</v>
      </c>
      <c r="F46" s="449" t="s">
        <v>517</v>
      </c>
      <c r="G46" s="452" t="s">
        <v>3171</v>
      </c>
      <c r="H46" s="452">
        <v>210</v>
      </c>
      <c r="I46" s="452"/>
      <c r="J46" s="452"/>
      <c r="K46" s="452" t="s">
        <v>3172</v>
      </c>
      <c r="L46" s="452" t="s">
        <v>3172</v>
      </c>
      <c r="M46" s="449" t="s">
        <v>3173</v>
      </c>
      <c r="N46" s="449">
        <v>0</v>
      </c>
      <c r="O46" s="449" t="s">
        <v>3174</v>
      </c>
      <c r="P46" s="449" t="s">
        <v>3355</v>
      </c>
      <c r="Q46" s="449" t="s">
        <v>3176</v>
      </c>
    </row>
    <row r="47" spans="1:17">
      <c r="A47" s="451">
        <v>46</v>
      </c>
      <c r="B47" s="449" t="s">
        <v>3356</v>
      </c>
      <c r="C47" s="449" t="s">
        <v>74</v>
      </c>
      <c r="D47" s="449" t="s">
        <v>3169</v>
      </c>
      <c r="E47" s="449" t="s">
        <v>3357</v>
      </c>
      <c r="F47" s="449" t="s">
        <v>517</v>
      </c>
      <c r="G47" s="452" t="s">
        <v>3171</v>
      </c>
      <c r="H47" s="452">
        <v>210</v>
      </c>
      <c r="I47" s="452"/>
      <c r="J47" s="452"/>
      <c r="K47" s="452" t="s">
        <v>3172</v>
      </c>
      <c r="L47" s="452" t="s">
        <v>3172</v>
      </c>
      <c r="M47" s="449" t="s">
        <v>3173</v>
      </c>
      <c r="N47" s="449">
        <v>0</v>
      </c>
      <c r="O47" s="449" t="s">
        <v>3174</v>
      </c>
      <c r="P47" s="449" t="s">
        <v>3358</v>
      </c>
      <c r="Q47" s="449" t="s">
        <v>3359</v>
      </c>
    </row>
    <row r="48" spans="1:17">
      <c r="A48" s="451">
        <v>47</v>
      </c>
      <c r="B48" s="449" t="s">
        <v>3360</v>
      </c>
      <c r="C48" s="449" t="s">
        <v>168</v>
      </c>
      <c r="D48" s="449" t="s">
        <v>3169</v>
      </c>
      <c r="E48" s="449" t="s">
        <v>3361</v>
      </c>
      <c r="F48" s="449" t="s">
        <v>517</v>
      </c>
      <c r="G48" s="452" t="s">
        <v>3171</v>
      </c>
      <c r="H48" s="452">
        <v>210</v>
      </c>
      <c r="I48" s="452"/>
      <c r="J48" s="452"/>
      <c r="K48" s="452" t="s">
        <v>3172</v>
      </c>
      <c r="L48" s="452" t="s">
        <v>3172</v>
      </c>
      <c r="M48" s="449" t="s">
        <v>3173</v>
      </c>
      <c r="N48" s="449">
        <v>0</v>
      </c>
      <c r="O48" s="449" t="s">
        <v>3174</v>
      </c>
      <c r="P48" s="449" t="s">
        <v>3362</v>
      </c>
      <c r="Q48" s="449" t="s">
        <v>3363</v>
      </c>
    </row>
    <row r="49" spans="1:17">
      <c r="A49" s="451">
        <v>48</v>
      </c>
      <c r="B49" s="449" t="s">
        <v>3364</v>
      </c>
      <c r="C49" s="449" t="s">
        <v>934</v>
      </c>
      <c r="D49" s="449" t="s">
        <v>3169</v>
      </c>
      <c r="E49" s="449" t="s">
        <v>3365</v>
      </c>
      <c r="F49" s="449" t="s">
        <v>517</v>
      </c>
      <c r="G49" s="452" t="s">
        <v>3171</v>
      </c>
      <c r="H49" s="452">
        <v>210</v>
      </c>
      <c r="I49" s="452"/>
      <c r="J49" s="452"/>
      <c r="K49" s="452" t="s">
        <v>3172</v>
      </c>
      <c r="L49" s="452" t="s">
        <v>3172</v>
      </c>
      <c r="M49" s="449" t="s">
        <v>3173</v>
      </c>
      <c r="N49" s="449">
        <v>0</v>
      </c>
      <c r="O49" s="449" t="s">
        <v>3174</v>
      </c>
      <c r="P49" s="449" t="s">
        <v>3366</v>
      </c>
      <c r="Q49" s="449" t="s">
        <v>3367</v>
      </c>
    </row>
    <row r="50" spans="1:17">
      <c r="A50" s="451">
        <v>49</v>
      </c>
      <c r="B50" s="449" t="s">
        <v>3368</v>
      </c>
      <c r="C50" s="449" t="s">
        <v>3369</v>
      </c>
      <c r="D50" s="449" t="s">
        <v>3169</v>
      </c>
      <c r="E50" s="449" t="s">
        <v>3370</v>
      </c>
      <c r="F50" s="449" t="s">
        <v>517</v>
      </c>
      <c r="G50" s="452" t="s">
        <v>3171</v>
      </c>
      <c r="H50" s="452">
        <v>210</v>
      </c>
      <c r="I50" s="452"/>
      <c r="J50" s="452"/>
      <c r="K50" s="452" t="s">
        <v>3172</v>
      </c>
      <c r="L50" s="452" t="s">
        <v>3172</v>
      </c>
      <c r="M50" s="449" t="s">
        <v>3173</v>
      </c>
      <c r="N50" s="449">
        <v>0</v>
      </c>
      <c r="O50" s="449" t="s">
        <v>3174</v>
      </c>
      <c r="P50" s="449" t="s">
        <v>3371</v>
      </c>
      <c r="Q50" s="449" t="s">
        <v>3176</v>
      </c>
    </row>
    <row r="51" spans="1:17">
      <c r="A51" s="451">
        <v>50</v>
      </c>
      <c r="B51" s="449" t="s">
        <v>3372</v>
      </c>
      <c r="C51" s="449" t="s">
        <v>1265</v>
      </c>
      <c r="D51" s="449" t="s">
        <v>3169</v>
      </c>
      <c r="E51" s="449" t="s">
        <v>3373</v>
      </c>
      <c r="F51" s="449" t="s">
        <v>517</v>
      </c>
      <c r="G51" s="452" t="s">
        <v>3171</v>
      </c>
      <c r="H51" s="452">
        <v>210</v>
      </c>
      <c r="I51" s="452"/>
      <c r="J51" s="452"/>
      <c r="K51" s="452" t="s">
        <v>3172</v>
      </c>
      <c r="L51" s="452" t="s">
        <v>3172</v>
      </c>
      <c r="M51" s="449" t="s">
        <v>3173</v>
      </c>
      <c r="N51" s="449">
        <v>0</v>
      </c>
      <c r="O51" s="449" t="s">
        <v>3174</v>
      </c>
      <c r="P51" s="449" t="s">
        <v>3374</v>
      </c>
      <c r="Q51" s="449" t="s">
        <v>3375</v>
      </c>
    </row>
    <row r="52" spans="1:17">
      <c r="A52" s="451">
        <v>51</v>
      </c>
      <c r="B52" s="449" t="s">
        <v>3376</v>
      </c>
      <c r="C52" s="449" t="s">
        <v>128</v>
      </c>
      <c r="D52" s="449" t="s">
        <v>3169</v>
      </c>
      <c r="E52" s="449" t="s">
        <v>3377</v>
      </c>
      <c r="F52" s="449" t="s">
        <v>517</v>
      </c>
      <c r="G52" s="452" t="s">
        <v>3171</v>
      </c>
      <c r="H52" s="452">
        <v>210</v>
      </c>
      <c r="I52" s="452"/>
      <c r="J52" s="452"/>
      <c r="K52" s="452" t="s">
        <v>3172</v>
      </c>
      <c r="L52" s="452" t="s">
        <v>3172</v>
      </c>
      <c r="M52" s="449" t="s">
        <v>3173</v>
      </c>
      <c r="N52" s="449">
        <v>0</v>
      </c>
      <c r="O52" s="449" t="s">
        <v>3174</v>
      </c>
      <c r="P52" s="449" t="s">
        <v>3378</v>
      </c>
      <c r="Q52" s="449" t="s">
        <v>3176</v>
      </c>
    </row>
    <row r="53" spans="1:17">
      <c r="A53" s="451">
        <v>52</v>
      </c>
      <c r="B53" s="449" t="s">
        <v>3379</v>
      </c>
      <c r="C53" s="449" t="s">
        <v>3380</v>
      </c>
      <c r="D53" s="449" t="s">
        <v>3169</v>
      </c>
      <c r="E53" s="449" t="s">
        <v>3381</v>
      </c>
      <c r="F53" s="449" t="s">
        <v>517</v>
      </c>
      <c r="G53" s="452" t="s">
        <v>3171</v>
      </c>
      <c r="H53" s="452">
        <v>210</v>
      </c>
      <c r="I53" s="452"/>
      <c r="J53" s="452"/>
      <c r="K53" s="452" t="s">
        <v>3172</v>
      </c>
      <c r="L53" s="452" t="s">
        <v>3172</v>
      </c>
      <c r="M53" s="449" t="s">
        <v>3173</v>
      </c>
      <c r="N53" s="449">
        <v>0</v>
      </c>
      <c r="O53" s="449" t="s">
        <v>3174</v>
      </c>
      <c r="P53" s="449" t="s">
        <v>3382</v>
      </c>
      <c r="Q53" s="449" t="s">
        <v>3383</v>
      </c>
    </row>
    <row r="54" spans="1:17">
      <c r="A54" s="451">
        <v>53</v>
      </c>
      <c r="B54" s="449" t="s">
        <v>3384</v>
      </c>
      <c r="C54" s="449" t="s">
        <v>914</v>
      </c>
      <c r="D54" s="449" t="s">
        <v>3169</v>
      </c>
      <c r="E54" s="449" t="s">
        <v>3385</v>
      </c>
      <c r="F54" s="449" t="s">
        <v>517</v>
      </c>
      <c r="G54" s="452" t="s">
        <v>3171</v>
      </c>
      <c r="H54" s="452">
        <v>210</v>
      </c>
      <c r="I54" s="452"/>
      <c r="J54" s="452"/>
      <c r="K54" s="452" t="s">
        <v>3172</v>
      </c>
      <c r="L54" s="452" t="s">
        <v>3172</v>
      </c>
      <c r="M54" s="449" t="s">
        <v>3173</v>
      </c>
      <c r="N54" s="449">
        <v>0</v>
      </c>
      <c r="O54" s="449" t="s">
        <v>3174</v>
      </c>
      <c r="P54" s="449" t="s">
        <v>3386</v>
      </c>
      <c r="Q54" s="449" t="s">
        <v>3387</v>
      </c>
    </row>
    <row r="55" spans="1:17">
      <c r="A55" s="451">
        <v>54</v>
      </c>
      <c r="B55" s="449" t="s">
        <v>3388</v>
      </c>
      <c r="C55" s="449" t="s">
        <v>3389</v>
      </c>
      <c r="D55" s="449" t="s">
        <v>3169</v>
      </c>
      <c r="E55" s="449" t="s">
        <v>3390</v>
      </c>
      <c r="F55" s="449" t="s">
        <v>517</v>
      </c>
      <c r="G55" s="452" t="s">
        <v>3171</v>
      </c>
      <c r="H55" s="452">
        <v>210</v>
      </c>
      <c r="I55" s="452"/>
      <c r="J55" s="452"/>
      <c r="K55" s="452" t="s">
        <v>3172</v>
      </c>
      <c r="L55" s="452" t="s">
        <v>3172</v>
      </c>
      <c r="M55" s="449" t="s">
        <v>3173</v>
      </c>
      <c r="N55" s="449">
        <v>0</v>
      </c>
      <c r="O55" s="449" t="s">
        <v>3174</v>
      </c>
      <c r="P55" s="449" t="s">
        <v>3391</v>
      </c>
      <c r="Q55" s="449" t="s">
        <v>3176</v>
      </c>
    </row>
    <row r="56" spans="1:17">
      <c r="A56" s="451">
        <v>55</v>
      </c>
      <c r="B56" s="449" t="s">
        <v>3392</v>
      </c>
      <c r="C56" s="449" t="s">
        <v>3393</v>
      </c>
      <c r="D56" s="449" t="s">
        <v>3169</v>
      </c>
      <c r="E56" s="449" t="s">
        <v>3394</v>
      </c>
      <c r="F56" s="449" t="s">
        <v>517</v>
      </c>
      <c r="G56" s="452" t="s">
        <v>3171</v>
      </c>
      <c r="H56" s="452">
        <v>210</v>
      </c>
      <c r="I56" s="452"/>
      <c r="J56" s="452"/>
      <c r="K56" s="452" t="s">
        <v>3172</v>
      </c>
      <c r="L56" s="452" t="s">
        <v>3172</v>
      </c>
      <c r="M56" s="449" t="s">
        <v>3173</v>
      </c>
      <c r="N56" s="449">
        <v>0</v>
      </c>
      <c r="O56" s="449" t="s">
        <v>3174</v>
      </c>
      <c r="P56" s="449" t="s">
        <v>3395</v>
      </c>
      <c r="Q56" s="449" t="s">
        <v>3396</v>
      </c>
    </row>
    <row r="57" spans="1:17">
      <c r="A57" s="451">
        <v>56</v>
      </c>
      <c r="B57" s="449" t="s">
        <v>3397</v>
      </c>
      <c r="C57" s="449" t="s">
        <v>3398</v>
      </c>
      <c r="D57" s="449" t="s">
        <v>3169</v>
      </c>
      <c r="E57" s="449" t="s">
        <v>3399</v>
      </c>
      <c r="F57" s="449" t="s">
        <v>517</v>
      </c>
      <c r="G57" s="452" t="s">
        <v>3171</v>
      </c>
      <c r="H57" s="452">
        <v>210</v>
      </c>
      <c r="I57" s="452"/>
      <c r="J57" s="452"/>
      <c r="K57" s="452" t="s">
        <v>3172</v>
      </c>
      <c r="L57" s="452" t="s">
        <v>3172</v>
      </c>
      <c r="M57" s="449" t="s">
        <v>3173</v>
      </c>
      <c r="N57" s="449">
        <v>0</v>
      </c>
      <c r="O57" s="449" t="s">
        <v>3174</v>
      </c>
      <c r="P57" s="449" t="s">
        <v>3400</v>
      </c>
      <c r="Q57" s="449" t="s">
        <v>3176</v>
      </c>
    </row>
    <row r="58" spans="1:17">
      <c r="A58" s="451">
        <v>57</v>
      </c>
      <c r="B58" s="449" t="s">
        <v>3401</v>
      </c>
      <c r="C58" s="449" t="s">
        <v>71</v>
      </c>
      <c r="D58" s="449" t="s">
        <v>3169</v>
      </c>
      <c r="E58" s="449" t="s">
        <v>3402</v>
      </c>
      <c r="F58" s="449" t="s">
        <v>517</v>
      </c>
      <c r="G58" s="452" t="s">
        <v>3171</v>
      </c>
      <c r="H58" s="452">
        <v>210</v>
      </c>
      <c r="I58" s="452"/>
      <c r="J58" s="452"/>
      <c r="K58" s="452" t="s">
        <v>3172</v>
      </c>
      <c r="L58" s="452" t="s">
        <v>3172</v>
      </c>
      <c r="M58" s="449" t="s">
        <v>3173</v>
      </c>
      <c r="N58" s="449">
        <v>0</v>
      </c>
      <c r="O58" s="449" t="s">
        <v>3174</v>
      </c>
      <c r="P58" s="449" t="s">
        <v>3403</v>
      </c>
      <c r="Q58" s="449" t="s">
        <v>3176</v>
      </c>
    </row>
    <row r="59" spans="1:17">
      <c r="A59" s="451">
        <v>58</v>
      </c>
      <c r="B59" s="449" t="s">
        <v>3404</v>
      </c>
      <c r="C59" s="449" t="s">
        <v>3405</v>
      </c>
      <c r="D59" s="449" t="s">
        <v>3169</v>
      </c>
      <c r="E59" s="449" t="s">
        <v>3406</v>
      </c>
      <c r="F59" s="449" t="s">
        <v>517</v>
      </c>
      <c r="G59" s="452" t="s">
        <v>3171</v>
      </c>
      <c r="H59" s="452">
        <v>210</v>
      </c>
      <c r="I59" s="452"/>
      <c r="J59" s="452"/>
      <c r="K59" s="452" t="s">
        <v>3172</v>
      </c>
      <c r="L59" s="452" t="s">
        <v>3172</v>
      </c>
      <c r="M59" s="449" t="s">
        <v>3173</v>
      </c>
      <c r="N59" s="449">
        <v>0</v>
      </c>
      <c r="O59" s="449" t="s">
        <v>3174</v>
      </c>
      <c r="P59" s="449" t="s">
        <v>3407</v>
      </c>
      <c r="Q59" s="449" t="s">
        <v>3408</v>
      </c>
    </row>
    <row r="60" spans="1:17">
      <c r="A60" s="451">
        <v>59</v>
      </c>
      <c r="B60" s="449" t="s">
        <v>3409</v>
      </c>
      <c r="C60" s="449" t="s">
        <v>59</v>
      </c>
      <c r="D60" s="449" t="s">
        <v>3169</v>
      </c>
      <c r="E60" s="449" t="s">
        <v>3410</v>
      </c>
      <c r="F60" s="449" t="s">
        <v>517</v>
      </c>
      <c r="G60" s="452" t="s">
        <v>3171</v>
      </c>
      <c r="H60" s="452">
        <v>210</v>
      </c>
      <c r="I60" s="452"/>
      <c r="J60" s="452"/>
      <c r="K60" s="452" t="s">
        <v>3172</v>
      </c>
      <c r="L60" s="452" t="s">
        <v>3172</v>
      </c>
      <c r="M60" s="449" t="s">
        <v>3173</v>
      </c>
      <c r="N60" s="449">
        <v>0</v>
      </c>
      <c r="O60" s="449" t="s">
        <v>3174</v>
      </c>
      <c r="P60" s="449" t="s">
        <v>3411</v>
      </c>
      <c r="Q60" s="449" t="s">
        <v>3412</v>
      </c>
    </row>
    <row r="61" spans="1:17">
      <c r="A61" s="451">
        <v>60</v>
      </c>
      <c r="B61" s="449" t="s">
        <v>3413</v>
      </c>
      <c r="C61" s="449" t="s">
        <v>61</v>
      </c>
      <c r="D61" s="449" t="s">
        <v>3169</v>
      </c>
      <c r="E61" s="449" t="s">
        <v>3414</v>
      </c>
      <c r="F61" s="449" t="s">
        <v>517</v>
      </c>
      <c r="G61" s="452" t="s">
        <v>3171</v>
      </c>
      <c r="H61" s="452">
        <v>210</v>
      </c>
      <c r="I61" s="452"/>
      <c r="J61" s="452"/>
      <c r="K61" s="452" t="s">
        <v>3172</v>
      </c>
      <c r="L61" s="452" t="s">
        <v>3172</v>
      </c>
      <c r="M61" s="449" t="s">
        <v>3173</v>
      </c>
      <c r="N61" s="449">
        <v>0</v>
      </c>
      <c r="O61" s="449" t="s">
        <v>3174</v>
      </c>
      <c r="P61" s="449" t="s">
        <v>3415</v>
      </c>
      <c r="Q61" s="449" t="s">
        <v>3176</v>
      </c>
    </row>
    <row r="62" spans="1:17">
      <c r="A62" s="451">
        <v>61</v>
      </c>
      <c r="B62" s="449" t="s">
        <v>3416</v>
      </c>
      <c r="C62" s="449" t="s">
        <v>3417</v>
      </c>
      <c r="D62" s="449" t="s">
        <v>3169</v>
      </c>
      <c r="E62" s="449" t="s">
        <v>3418</v>
      </c>
      <c r="F62" s="449" t="s">
        <v>517</v>
      </c>
      <c r="G62" s="452" t="s">
        <v>3171</v>
      </c>
      <c r="H62" s="452">
        <v>210</v>
      </c>
      <c r="I62" s="452"/>
      <c r="J62" s="452"/>
      <c r="K62" s="452" t="s">
        <v>3172</v>
      </c>
      <c r="L62" s="452" t="s">
        <v>3172</v>
      </c>
      <c r="M62" s="449" t="s">
        <v>3173</v>
      </c>
      <c r="N62" s="449">
        <v>0</v>
      </c>
      <c r="O62" s="449" t="s">
        <v>3174</v>
      </c>
      <c r="P62" s="449" t="s">
        <v>3419</v>
      </c>
      <c r="Q62" s="449" t="s">
        <v>3420</v>
      </c>
    </row>
    <row r="63" spans="1:17">
      <c r="A63" s="451">
        <v>62</v>
      </c>
      <c r="B63" s="449" t="s">
        <v>3421</v>
      </c>
      <c r="C63" s="449" t="s">
        <v>3422</v>
      </c>
      <c r="D63" s="449" t="s">
        <v>3169</v>
      </c>
      <c r="E63" s="449" t="s">
        <v>3423</v>
      </c>
      <c r="F63" s="449" t="s">
        <v>517</v>
      </c>
      <c r="G63" s="452" t="s">
        <v>3171</v>
      </c>
      <c r="H63" s="452">
        <v>210</v>
      </c>
      <c r="I63" s="452"/>
      <c r="J63" s="452"/>
      <c r="K63" s="452" t="s">
        <v>3172</v>
      </c>
      <c r="L63" s="452" t="s">
        <v>3172</v>
      </c>
      <c r="M63" s="449" t="s">
        <v>3173</v>
      </c>
      <c r="N63" s="449">
        <v>0</v>
      </c>
      <c r="O63" s="449" t="s">
        <v>3174</v>
      </c>
      <c r="P63" s="449" t="s">
        <v>3424</v>
      </c>
      <c r="Q63" s="449" t="s">
        <v>3425</v>
      </c>
    </row>
    <row r="64" spans="1:17">
      <c r="A64" s="451">
        <v>63</v>
      </c>
      <c r="B64" s="449" t="s">
        <v>3426</v>
      </c>
      <c r="C64" s="449" t="s">
        <v>928</v>
      </c>
      <c r="D64" s="449" t="s">
        <v>3169</v>
      </c>
      <c r="E64" s="449" t="s">
        <v>3427</v>
      </c>
      <c r="F64" s="449" t="s">
        <v>517</v>
      </c>
      <c r="G64" s="452" t="s">
        <v>3171</v>
      </c>
      <c r="H64" s="452">
        <v>210</v>
      </c>
      <c r="I64" s="452"/>
      <c r="J64" s="452"/>
      <c r="K64" s="452" t="s">
        <v>3172</v>
      </c>
      <c r="L64" s="452" t="s">
        <v>3172</v>
      </c>
      <c r="M64" s="449" t="s">
        <v>3173</v>
      </c>
      <c r="N64" s="449">
        <v>0</v>
      </c>
      <c r="O64" s="449" t="s">
        <v>3174</v>
      </c>
      <c r="P64" s="449" t="s">
        <v>3428</v>
      </c>
      <c r="Q64" s="449" t="s">
        <v>3176</v>
      </c>
    </row>
    <row r="65" spans="1:17">
      <c r="A65" s="451">
        <v>64</v>
      </c>
      <c r="B65" s="449" t="s">
        <v>3429</v>
      </c>
      <c r="C65" s="449" t="s">
        <v>66</v>
      </c>
      <c r="D65" s="449" t="s">
        <v>3169</v>
      </c>
      <c r="E65" s="449" t="s">
        <v>3430</v>
      </c>
      <c r="F65" s="449" t="s">
        <v>517</v>
      </c>
      <c r="G65" s="452" t="s">
        <v>3171</v>
      </c>
      <c r="H65" s="452">
        <v>210</v>
      </c>
      <c r="I65" s="452"/>
      <c r="J65" s="452"/>
      <c r="K65" s="452" t="s">
        <v>3172</v>
      </c>
      <c r="L65" s="452" t="s">
        <v>3172</v>
      </c>
      <c r="M65" s="449" t="s">
        <v>3173</v>
      </c>
      <c r="N65" s="449">
        <v>0</v>
      </c>
      <c r="O65" s="449" t="s">
        <v>3174</v>
      </c>
      <c r="P65" s="449" t="s">
        <v>3431</v>
      </c>
      <c r="Q65" s="449" t="s">
        <v>3432</v>
      </c>
    </row>
    <row r="66" spans="1:17">
      <c r="A66" s="451">
        <v>65</v>
      </c>
      <c r="B66" s="449" t="s">
        <v>3433</v>
      </c>
      <c r="C66" s="449" t="s">
        <v>888</v>
      </c>
      <c r="D66" s="449" t="s">
        <v>3169</v>
      </c>
      <c r="E66" s="449" t="s">
        <v>3434</v>
      </c>
      <c r="F66" s="449" t="s">
        <v>517</v>
      </c>
      <c r="G66" s="452" t="s">
        <v>3171</v>
      </c>
      <c r="H66" s="452">
        <v>210</v>
      </c>
      <c r="I66" s="452"/>
      <c r="J66" s="452"/>
      <c r="K66" s="452" t="s">
        <v>3172</v>
      </c>
      <c r="L66" s="452" t="s">
        <v>3172</v>
      </c>
      <c r="M66" s="449" t="s">
        <v>3173</v>
      </c>
      <c r="N66" s="449">
        <v>0</v>
      </c>
      <c r="O66" s="449" t="s">
        <v>3174</v>
      </c>
      <c r="P66" s="449" t="s">
        <v>3435</v>
      </c>
      <c r="Q66" s="449" t="s">
        <v>3436</v>
      </c>
    </row>
    <row r="67" spans="1:17">
      <c r="A67" s="451">
        <v>66</v>
      </c>
      <c r="B67" s="449" t="s">
        <v>3437</v>
      </c>
      <c r="C67" s="449" t="s">
        <v>73</v>
      </c>
      <c r="D67" s="449" t="s">
        <v>3169</v>
      </c>
      <c r="E67" s="449" t="s">
        <v>3438</v>
      </c>
      <c r="F67" s="449" t="s">
        <v>517</v>
      </c>
      <c r="G67" s="452" t="s">
        <v>3171</v>
      </c>
      <c r="H67" s="452">
        <v>210</v>
      </c>
      <c r="I67" s="452"/>
      <c r="J67" s="452"/>
      <c r="K67" s="452" t="s">
        <v>3172</v>
      </c>
      <c r="L67" s="452" t="s">
        <v>3172</v>
      </c>
      <c r="M67" s="449" t="s">
        <v>3173</v>
      </c>
      <c r="N67" s="449">
        <v>0</v>
      </c>
      <c r="O67" s="449" t="s">
        <v>3174</v>
      </c>
      <c r="P67" s="449" t="s">
        <v>3439</v>
      </c>
      <c r="Q67" s="449" t="s">
        <v>3440</v>
      </c>
    </row>
    <row r="68" spans="1:17">
      <c r="A68" s="451">
        <v>67</v>
      </c>
      <c r="B68" s="449" t="s">
        <v>3441</v>
      </c>
      <c r="C68" s="449" t="s">
        <v>57</v>
      </c>
      <c r="D68" s="449" t="s">
        <v>3169</v>
      </c>
      <c r="E68" s="449" t="s">
        <v>3442</v>
      </c>
      <c r="F68" s="449" t="s">
        <v>517</v>
      </c>
      <c r="G68" s="452" t="s">
        <v>3171</v>
      </c>
      <c r="H68" s="452">
        <v>210</v>
      </c>
      <c r="I68" s="452"/>
      <c r="J68" s="452"/>
      <c r="K68" s="452" t="s">
        <v>3172</v>
      </c>
      <c r="L68" s="452" t="s">
        <v>3172</v>
      </c>
      <c r="M68" s="449" t="s">
        <v>3173</v>
      </c>
      <c r="N68" s="449">
        <v>0</v>
      </c>
      <c r="O68" s="449" t="s">
        <v>3174</v>
      </c>
      <c r="P68" s="449" t="s">
        <v>3443</v>
      </c>
      <c r="Q68" s="449" t="s">
        <v>3176</v>
      </c>
    </row>
    <row r="69" spans="1:17">
      <c r="A69" s="451">
        <v>68</v>
      </c>
      <c r="B69" s="449" t="s">
        <v>3444</v>
      </c>
      <c r="C69" s="449" t="s">
        <v>87</v>
      </c>
      <c r="D69" s="449" t="s">
        <v>3169</v>
      </c>
      <c r="E69" s="449" t="s">
        <v>3445</v>
      </c>
      <c r="F69" s="449" t="s">
        <v>517</v>
      </c>
      <c r="G69" s="452" t="s">
        <v>3171</v>
      </c>
      <c r="H69" s="452">
        <v>210</v>
      </c>
      <c r="I69" s="452"/>
      <c r="J69" s="452"/>
      <c r="K69" s="452" t="s">
        <v>3172</v>
      </c>
      <c r="L69" s="452" t="s">
        <v>3172</v>
      </c>
      <c r="M69" s="449" t="s">
        <v>3173</v>
      </c>
      <c r="N69" s="449">
        <v>0</v>
      </c>
      <c r="O69" s="449" t="s">
        <v>3174</v>
      </c>
      <c r="P69" s="449" t="s">
        <v>3446</v>
      </c>
      <c r="Q69" s="449" t="s">
        <v>3176</v>
      </c>
    </row>
    <row r="70" spans="1:17">
      <c r="A70" s="451">
        <v>69</v>
      </c>
      <c r="B70" s="449" t="s">
        <v>3447</v>
      </c>
      <c r="C70" s="449" t="s">
        <v>3448</v>
      </c>
      <c r="D70" s="449" t="s">
        <v>3169</v>
      </c>
      <c r="E70" s="449" t="s">
        <v>3449</v>
      </c>
      <c r="F70" s="449" t="s">
        <v>517</v>
      </c>
      <c r="G70" s="452" t="s">
        <v>3171</v>
      </c>
      <c r="H70" s="452">
        <v>210</v>
      </c>
      <c r="I70" s="452"/>
      <c r="J70" s="452"/>
      <c r="K70" s="452" t="s">
        <v>3172</v>
      </c>
      <c r="L70" s="452" t="s">
        <v>3172</v>
      </c>
      <c r="M70" s="449" t="s">
        <v>3173</v>
      </c>
      <c r="N70" s="449">
        <v>0</v>
      </c>
      <c r="O70" s="449" t="s">
        <v>3174</v>
      </c>
      <c r="P70" s="449" t="s">
        <v>3450</v>
      </c>
      <c r="Q70" s="449" t="s">
        <v>3176</v>
      </c>
    </row>
    <row r="71" spans="1:17">
      <c r="A71" s="451">
        <v>70</v>
      </c>
      <c r="B71" s="449" t="s">
        <v>3451</v>
      </c>
      <c r="C71" s="449" t="s">
        <v>64</v>
      </c>
      <c r="D71" s="449" t="s">
        <v>3169</v>
      </c>
      <c r="E71" s="449" t="s">
        <v>3452</v>
      </c>
      <c r="F71" s="449" t="s">
        <v>517</v>
      </c>
      <c r="G71" s="452" t="s">
        <v>3171</v>
      </c>
      <c r="H71" s="452">
        <v>210</v>
      </c>
      <c r="I71" s="452"/>
      <c r="J71" s="452"/>
      <c r="K71" s="452" t="s">
        <v>3172</v>
      </c>
      <c r="L71" s="452" t="s">
        <v>3172</v>
      </c>
      <c r="M71" s="449" t="s">
        <v>3173</v>
      </c>
      <c r="N71" s="449">
        <v>0</v>
      </c>
      <c r="O71" s="449" t="s">
        <v>3174</v>
      </c>
      <c r="P71" s="449" t="s">
        <v>3453</v>
      </c>
      <c r="Q71" s="449" t="s">
        <v>3454</v>
      </c>
    </row>
    <row r="72" spans="1:17">
      <c r="A72" s="451">
        <v>71</v>
      </c>
      <c r="B72" s="449" t="s">
        <v>3455</v>
      </c>
      <c r="C72" s="449" t="s">
        <v>173</v>
      </c>
      <c r="D72" s="449" t="s">
        <v>3169</v>
      </c>
      <c r="E72" s="449" t="s">
        <v>3456</v>
      </c>
      <c r="F72" s="449" t="s">
        <v>517</v>
      </c>
      <c r="G72" s="452" t="s">
        <v>3171</v>
      </c>
      <c r="H72" s="452">
        <v>210</v>
      </c>
      <c r="I72" s="452"/>
      <c r="J72" s="452"/>
      <c r="K72" s="452" t="s">
        <v>3172</v>
      </c>
      <c r="L72" s="452" t="s">
        <v>3172</v>
      </c>
      <c r="M72" s="449" t="s">
        <v>3173</v>
      </c>
      <c r="N72" s="449">
        <v>0</v>
      </c>
      <c r="O72" s="449" t="s">
        <v>3174</v>
      </c>
      <c r="P72" s="449" t="s">
        <v>3457</v>
      </c>
      <c r="Q72" s="449" t="s">
        <v>3176</v>
      </c>
    </row>
    <row r="73" spans="1:17">
      <c r="A73" s="451">
        <v>72</v>
      </c>
      <c r="B73" s="449" t="s">
        <v>3458</v>
      </c>
      <c r="C73" s="449" t="s">
        <v>3459</v>
      </c>
      <c r="D73" s="449" t="s">
        <v>3169</v>
      </c>
      <c r="E73" s="449" t="s">
        <v>3460</v>
      </c>
      <c r="F73" s="449" t="s">
        <v>517</v>
      </c>
      <c r="G73" s="452" t="s">
        <v>3171</v>
      </c>
      <c r="H73" s="452">
        <v>210</v>
      </c>
      <c r="I73" s="452"/>
      <c r="J73" s="452"/>
      <c r="K73" s="452" t="s">
        <v>3172</v>
      </c>
      <c r="L73" s="452" t="s">
        <v>3172</v>
      </c>
      <c r="M73" s="449" t="s">
        <v>3307</v>
      </c>
      <c r="N73" s="449">
        <v>0</v>
      </c>
      <c r="O73" s="449" t="s">
        <v>3174</v>
      </c>
      <c r="P73" s="449" t="s">
        <v>3461</v>
      </c>
      <c r="Q73" s="449" t="s">
        <v>3176</v>
      </c>
    </row>
    <row r="74" spans="1:17">
      <c r="A74" s="451">
        <v>73</v>
      </c>
      <c r="B74" s="449" t="s">
        <v>3462</v>
      </c>
      <c r="C74" s="449" t="s">
        <v>3463</v>
      </c>
      <c r="D74" s="449" t="s">
        <v>3169</v>
      </c>
      <c r="E74" s="449" t="s">
        <v>3464</v>
      </c>
      <c r="F74" s="449" t="s">
        <v>517</v>
      </c>
      <c r="G74" s="452" t="s">
        <v>3171</v>
      </c>
      <c r="H74" s="452">
        <v>210</v>
      </c>
      <c r="I74" s="452"/>
      <c r="J74" s="452"/>
      <c r="K74" s="452" t="s">
        <v>3172</v>
      </c>
      <c r="L74" s="452" t="s">
        <v>3172</v>
      </c>
      <c r="M74" s="449" t="s">
        <v>3173</v>
      </c>
      <c r="N74" s="449">
        <v>0</v>
      </c>
      <c r="O74" s="449" t="s">
        <v>3174</v>
      </c>
      <c r="P74" s="449" t="s">
        <v>3465</v>
      </c>
      <c r="Q74" s="449" t="s">
        <v>3176</v>
      </c>
    </row>
    <row r="75" spans="1:17">
      <c r="A75" s="451">
        <v>74</v>
      </c>
      <c r="B75" s="449" t="s">
        <v>3466</v>
      </c>
      <c r="C75" s="449" t="s">
        <v>3467</v>
      </c>
      <c r="D75" s="449" t="s">
        <v>3169</v>
      </c>
      <c r="E75" s="449" t="s">
        <v>3468</v>
      </c>
      <c r="F75" s="449" t="s">
        <v>517</v>
      </c>
      <c r="G75" s="452" t="s">
        <v>3171</v>
      </c>
      <c r="H75" s="452">
        <v>210</v>
      </c>
      <c r="I75" s="452"/>
      <c r="J75" s="452"/>
      <c r="K75" s="452" t="s">
        <v>3172</v>
      </c>
      <c r="L75" s="452" t="s">
        <v>3172</v>
      </c>
      <c r="M75" s="449" t="s">
        <v>3173</v>
      </c>
      <c r="N75" s="449">
        <v>0</v>
      </c>
      <c r="O75" s="449" t="s">
        <v>3174</v>
      </c>
      <c r="P75" s="449" t="s">
        <v>3469</v>
      </c>
      <c r="Q75" s="449" t="s">
        <v>3176</v>
      </c>
    </row>
    <row r="76" spans="1:17">
      <c r="A76" s="451">
        <v>75</v>
      </c>
      <c r="B76" s="449" t="s">
        <v>3470</v>
      </c>
      <c r="C76" s="449" t="s">
        <v>3471</v>
      </c>
      <c r="D76" s="449" t="s">
        <v>3169</v>
      </c>
      <c r="E76" s="449" t="s">
        <v>3472</v>
      </c>
      <c r="F76" s="449" t="s">
        <v>517</v>
      </c>
      <c r="G76" s="452" t="s">
        <v>3171</v>
      </c>
      <c r="H76" s="452">
        <v>210</v>
      </c>
      <c r="I76" s="452"/>
      <c r="J76" s="452"/>
      <c r="K76" s="452" t="s">
        <v>3172</v>
      </c>
      <c r="L76" s="452" t="s">
        <v>3172</v>
      </c>
      <c r="M76" s="449" t="s">
        <v>3173</v>
      </c>
      <c r="N76" s="449">
        <v>0</v>
      </c>
      <c r="O76" s="449" t="s">
        <v>3174</v>
      </c>
      <c r="P76" s="449" t="s">
        <v>3473</v>
      </c>
      <c r="Q76" s="449" t="s">
        <v>3176</v>
      </c>
    </row>
    <row r="77" spans="1:17">
      <c r="A77" s="451">
        <v>76</v>
      </c>
      <c r="B77" s="449" t="s">
        <v>3474</v>
      </c>
      <c r="C77" s="449" t="s">
        <v>3475</v>
      </c>
      <c r="D77" s="449" t="s">
        <v>3169</v>
      </c>
      <c r="E77" s="449" t="s">
        <v>3476</v>
      </c>
      <c r="F77" s="449" t="s">
        <v>517</v>
      </c>
      <c r="G77" s="452" t="s">
        <v>3171</v>
      </c>
      <c r="H77" s="452">
        <v>210</v>
      </c>
      <c r="I77" s="452"/>
      <c r="J77" s="452"/>
      <c r="K77" s="452" t="s">
        <v>3172</v>
      </c>
      <c r="L77" s="452" t="s">
        <v>3172</v>
      </c>
      <c r="M77" s="449" t="s">
        <v>3173</v>
      </c>
      <c r="N77" s="449">
        <v>0</v>
      </c>
      <c r="O77" s="449" t="s">
        <v>3174</v>
      </c>
      <c r="P77" s="449" t="s">
        <v>3477</v>
      </c>
      <c r="Q77" s="449" t="s">
        <v>3176</v>
      </c>
    </row>
    <row r="78" spans="1:17">
      <c r="A78" s="451">
        <v>77</v>
      </c>
      <c r="B78" s="449" t="s">
        <v>3478</v>
      </c>
      <c r="C78" s="449" t="s">
        <v>3479</v>
      </c>
      <c r="D78" s="449" t="s">
        <v>3169</v>
      </c>
      <c r="E78" s="449" t="s">
        <v>3480</v>
      </c>
      <c r="F78" s="449" t="s">
        <v>517</v>
      </c>
      <c r="G78" s="452" t="s">
        <v>3171</v>
      </c>
      <c r="H78" s="452">
        <v>210</v>
      </c>
      <c r="I78" s="452"/>
      <c r="J78" s="452"/>
      <c r="K78" s="452" t="s">
        <v>3172</v>
      </c>
      <c r="L78" s="452" t="s">
        <v>3172</v>
      </c>
      <c r="M78" s="449" t="s">
        <v>3173</v>
      </c>
      <c r="N78" s="449">
        <v>0</v>
      </c>
      <c r="O78" s="449" t="s">
        <v>3174</v>
      </c>
      <c r="P78" s="449" t="s">
        <v>3481</v>
      </c>
      <c r="Q78" s="449" t="s">
        <v>3176</v>
      </c>
    </row>
    <row r="79" spans="1:17">
      <c r="A79" s="451">
        <v>78</v>
      </c>
      <c r="B79" s="449" t="s">
        <v>3482</v>
      </c>
      <c r="C79" s="449" t="s">
        <v>36</v>
      </c>
      <c r="D79" s="449" t="s">
        <v>3169</v>
      </c>
      <c r="E79" s="449" t="s">
        <v>3483</v>
      </c>
      <c r="F79" s="449" t="s">
        <v>517</v>
      </c>
      <c r="G79" s="452" t="s">
        <v>3171</v>
      </c>
      <c r="H79" s="452">
        <v>210</v>
      </c>
      <c r="I79" s="452"/>
      <c r="J79" s="452"/>
      <c r="K79" s="452" t="s">
        <v>3172</v>
      </c>
      <c r="L79" s="452" t="s">
        <v>3172</v>
      </c>
      <c r="M79" s="449" t="s">
        <v>3173</v>
      </c>
      <c r="N79" s="449">
        <v>0</v>
      </c>
      <c r="O79" s="449" t="s">
        <v>3174</v>
      </c>
      <c r="P79" s="449" t="s">
        <v>3484</v>
      </c>
      <c r="Q79" s="449" t="s">
        <v>3176</v>
      </c>
    </row>
    <row r="80" spans="1:17">
      <c r="A80" s="451">
        <v>79</v>
      </c>
      <c r="B80" s="449" t="s">
        <v>3485</v>
      </c>
      <c r="C80" s="449" t="s">
        <v>38</v>
      </c>
      <c r="D80" s="449" t="s">
        <v>3169</v>
      </c>
      <c r="E80" s="449" t="s">
        <v>3486</v>
      </c>
      <c r="F80" s="449" t="s">
        <v>517</v>
      </c>
      <c r="G80" s="452" t="s">
        <v>3171</v>
      </c>
      <c r="H80" s="452">
        <v>210</v>
      </c>
      <c r="I80" s="452"/>
      <c r="J80" s="452"/>
      <c r="K80" s="452" t="s">
        <v>3172</v>
      </c>
      <c r="L80" s="452" t="s">
        <v>3172</v>
      </c>
      <c r="M80" s="449" t="s">
        <v>3173</v>
      </c>
      <c r="N80" s="449">
        <v>0</v>
      </c>
      <c r="O80" s="449" t="s">
        <v>3174</v>
      </c>
      <c r="P80" s="449" t="s">
        <v>3487</v>
      </c>
      <c r="Q80" s="449" t="s">
        <v>3176</v>
      </c>
    </row>
    <row r="81" spans="1:17">
      <c r="A81" s="451">
        <v>80</v>
      </c>
      <c r="B81" s="449" t="s">
        <v>3488</v>
      </c>
      <c r="C81" s="449" t="s">
        <v>3489</v>
      </c>
      <c r="D81" s="449" t="s">
        <v>3169</v>
      </c>
      <c r="E81" s="449" t="s">
        <v>3490</v>
      </c>
      <c r="F81" s="449" t="s">
        <v>517</v>
      </c>
      <c r="G81" s="452" t="s">
        <v>3171</v>
      </c>
      <c r="H81" s="452">
        <v>210</v>
      </c>
      <c r="I81" s="452"/>
      <c r="J81" s="452"/>
      <c r="K81" s="452" t="s">
        <v>3172</v>
      </c>
      <c r="L81" s="452" t="s">
        <v>3172</v>
      </c>
      <c r="M81" s="449" t="s">
        <v>3173</v>
      </c>
      <c r="N81" s="449">
        <v>0</v>
      </c>
      <c r="O81" s="449" t="s">
        <v>3174</v>
      </c>
      <c r="P81" s="449" t="s">
        <v>3491</v>
      </c>
      <c r="Q81" s="449" t="s">
        <v>3176</v>
      </c>
    </row>
    <row r="82" spans="1:17">
      <c r="A82" s="451">
        <v>81</v>
      </c>
      <c r="B82" s="449" t="s">
        <v>3492</v>
      </c>
      <c r="C82" s="449" t="s">
        <v>3493</v>
      </c>
      <c r="D82" s="449" t="s">
        <v>3169</v>
      </c>
      <c r="E82" s="449" t="s">
        <v>3494</v>
      </c>
      <c r="F82" s="449" t="s">
        <v>517</v>
      </c>
      <c r="G82" s="452" t="s">
        <v>3171</v>
      </c>
      <c r="H82" s="452">
        <v>210</v>
      </c>
      <c r="I82" s="452"/>
      <c r="J82" s="452"/>
      <c r="K82" s="452" t="s">
        <v>3172</v>
      </c>
      <c r="L82" s="452" t="s">
        <v>3172</v>
      </c>
      <c r="M82" s="449" t="s">
        <v>3173</v>
      </c>
      <c r="N82" s="449">
        <v>0</v>
      </c>
      <c r="O82" s="449" t="s">
        <v>3174</v>
      </c>
      <c r="P82" s="449" t="s">
        <v>3495</v>
      </c>
      <c r="Q82" s="449" t="s">
        <v>3176</v>
      </c>
    </row>
    <row r="83" spans="1:17">
      <c r="A83" s="451">
        <v>82</v>
      </c>
      <c r="B83" s="449" t="s">
        <v>3496</v>
      </c>
      <c r="C83" s="449" t="s">
        <v>77</v>
      </c>
      <c r="D83" s="449" t="s">
        <v>3169</v>
      </c>
      <c r="E83" s="449" t="s">
        <v>3497</v>
      </c>
      <c r="F83" s="449" t="s">
        <v>517</v>
      </c>
      <c r="G83" s="452" t="s">
        <v>3171</v>
      </c>
      <c r="H83" s="452">
        <v>210</v>
      </c>
      <c r="I83" s="452"/>
      <c r="J83" s="452"/>
      <c r="K83" s="452" t="s">
        <v>3172</v>
      </c>
      <c r="L83" s="452" t="s">
        <v>3172</v>
      </c>
      <c r="M83" s="449" t="s">
        <v>3173</v>
      </c>
      <c r="N83" s="449">
        <v>0</v>
      </c>
      <c r="O83" s="449" t="s">
        <v>3174</v>
      </c>
      <c r="P83" s="449" t="s">
        <v>3498</v>
      </c>
      <c r="Q83" s="449" t="s">
        <v>3176</v>
      </c>
    </row>
    <row r="84" spans="1:17">
      <c r="A84" s="451">
        <v>83</v>
      </c>
      <c r="B84" s="449" t="s">
        <v>3499</v>
      </c>
      <c r="C84" s="449" t="s">
        <v>78</v>
      </c>
      <c r="D84" s="449" t="s">
        <v>3169</v>
      </c>
      <c r="E84" s="449" t="s">
        <v>3500</v>
      </c>
      <c r="F84" s="449" t="s">
        <v>517</v>
      </c>
      <c r="G84" s="452" t="s">
        <v>3171</v>
      </c>
      <c r="H84" s="452">
        <v>210</v>
      </c>
      <c r="I84" s="452"/>
      <c r="J84" s="452"/>
      <c r="K84" s="452" t="s">
        <v>3172</v>
      </c>
      <c r="L84" s="452" t="s">
        <v>3172</v>
      </c>
      <c r="M84" s="449" t="s">
        <v>3173</v>
      </c>
      <c r="N84" s="449">
        <v>0</v>
      </c>
      <c r="O84" s="449" t="s">
        <v>3174</v>
      </c>
      <c r="P84" s="449" t="s">
        <v>3501</v>
      </c>
      <c r="Q84" s="449" t="s">
        <v>3176</v>
      </c>
    </row>
    <row r="85" spans="1:17">
      <c r="A85" s="451">
        <v>84</v>
      </c>
      <c r="B85" s="449" t="s">
        <v>3502</v>
      </c>
      <c r="C85" s="449" t="s">
        <v>81</v>
      </c>
      <c r="D85" s="449" t="s">
        <v>3169</v>
      </c>
      <c r="E85" s="449" t="s">
        <v>3503</v>
      </c>
      <c r="F85" s="449" t="s">
        <v>517</v>
      </c>
      <c r="G85" s="452" t="s">
        <v>3171</v>
      </c>
      <c r="H85" s="452">
        <v>210</v>
      </c>
      <c r="I85" s="452"/>
      <c r="J85" s="452"/>
      <c r="K85" s="452" t="s">
        <v>3172</v>
      </c>
      <c r="L85" s="452" t="s">
        <v>3172</v>
      </c>
      <c r="M85" s="449" t="s">
        <v>3173</v>
      </c>
      <c r="N85" s="449">
        <v>0</v>
      </c>
      <c r="O85" s="449" t="s">
        <v>3174</v>
      </c>
      <c r="P85" s="449" t="s">
        <v>3504</v>
      </c>
      <c r="Q85" s="449" t="s">
        <v>3176</v>
      </c>
    </row>
    <row r="86" spans="1:17">
      <c r="A86" s="451">
        <v>85</v>
      </c>
      <c r="B86" s="449" t="s">
        <v>3505</v>
      </c>
      <c r="C86" s="449" t="s">
        <v>60</v>
      </c>
      <c r="D86" s="449" t="s">
        <v>3169</v>
      </c>
      <c r="E86" s="449" t="s">
        <v>3506</v>
      </c>
      <c r="F86" s="449" t="s">
        <v>517</v>
      </c>
      <c r="G86" s="452" t="s">
        <v>3171</v>
      </c>
      <c r="H86" s="452">
        <v>210</v>
      </c>
      <c r="I86" s="452"/>
      <c r="J86" s="452"/>
      <c r="K86" s="452" t="s">
        <v>3172</v>
      </c>
      <c r="L86" s="452" t="s">
        <v>3172</v>
      </c>
      <c r="M86" s="449" t="s">
        <v>3173</v>
      </c>
      <c r="N86" s="449">
        <v>0</v>
      </c>
      <c r="O86" s="449" t="s">
        <v>3174</v>
      </c>
      <c r="P86" s="449" t="s">
        <v>3507</v>
      </c>
      <c r="Q86" s="449" t="s">
        <v>3176</v>
      </c>
    </row>
    <row r="87" spans="1:17">
      <c r="A87" s="451">
        <v>86</v>
      </c>
      <c r="B87" s="449" t="s">
        <v>3508</v>
      </c>
      <c r="C87" s="449" t="s">
        <v>45</v>
      </c>
      <c r="D87" s="449" t="s">
        <v>3169</v>
      </c>
      <c r="E87" s="449" t="s">
        <v>3509</v>
      </c>
      <c r="F87" s="449" t="s">
        <v>517</v>
      </c>
      <c r="G87" s="452" t="s">
        <v>3171</v>
      </c>
      <c r="H87" s="452">
        <v>210</v>
      </c>
      <c r="I87" s="452"/>
      <c r="J87" s="452"/>
      <c r="K87" s="452" t="s">
        <v>3172</v>
      </c>
      <c r="L87" s="452" t="s">
        <v>3172</v>
      </c>
      <c r="M87" s="449" t="s">
        <v>3173</v>
      </c>
      <c r="N87" s="449">
        <v>0</v>
      </c>
      <c r="O87" s="449" t="s">
        <v>3174</v>
      </c>
      <c r="P87" s="449" t="s">
        <v>3510</v>
      </c>
      <c r="Q87" s="449" t="s">
        <v>3176</v>
      </c>
    </row>
    <row r="88" spans="1:17">
      <c r="A88" s="451">
        <v>87</v>
      </c>
      <c r="B88" s="449" t="s">
        <v>3511</v>
      </c>
      <c r="C88" s="449" t="s">
        <v>63</v>
      </c>
      <c r="D88" s="449" t="s">
        <v>3169</v>
      </c>
      <c r="E88" s="449" t="s">
        <v>3512</v>
      </c>
      <c r="F88" s="449" t="s">
        <v>517</v>
      </c>
      <c r="G88" s="452" t="s">
        <v>3171</v>
      </c>
      <c r="H88" s="452">
        <v>210</v>
      </c>
      <c r="I88" s="452"/>
      <c r="J88" s="452"/>
      <c r="K88" s="452" t="s">
        <v>3172</v>
      </c>
      <c r="L88" s="452" t="s">
        <v>3172</v>
      </c>
      <c r="M88" s="449" t="s">
        <v>3173</v>
      </c>
      <c r="N88" s="449">
        <v>0</v>
      </c>
      <c r="O88" s="449" t="s">
        <v>3174</v>
      </c>
      <c r="P88" s="449" t="s">
        <v>3513</v>
      </c>
      <c r="Q88" s="449" t="s">
        <v>3176</v>
      </c>
    </row>
    <row r="89" spans="1:17">
      <c r="A89" s="451">
        <v>88</v>
      </c>
      <c r="B89" s="449" t="s">
        <v>3514</v>
      </c>
      <c r="C89" s="449" t="s">
        <v>53</v>
      </c>
      <c r="D89" s="449" t="s">
        <v>3169</v>
      </c>
      <c r="E89" s="449" t="s">
        <v>3515</v>
      </c>
      <c r="F89" s="449" t="s">
        <v>517</v>
      </c>
      <c r="G89" s="452" t="s">
        <v>3171</v>
      </c>
      <c r="H89" s="452">
        <v>210</v>
      </c>
      <c r="I89" s="452"/>
      <c r="J89" s="452"/>
      <c r="K89" s="452" t="s">
        <v>3172</v>
      </c>
      <c r="L89" s="452" t="s">
        <v>3172</v>
      </c>
      <c r="M89" s="449" t="s">
        <v>3173</v>
      </c>
      <c r="N89" s="449">
        <v>0</v>
      </c>
      <c r="O89" s="449" t="s">
        <v>3174</v>
      </c>
      <c r="P89" s="449" t="s">
        <v>3516</v>
      </c>
      <c r="Q89" s="449" t="s">
        <v>3176</v>
      </c>
    </row>
    <row r="90" spans="1:17">
      <c r="A90" s="451">
        <v>89</v>
      </c>
      <c r="B90" s="449" t="s">
        <v>3517</v>
      </c>
      <c r="C90" s="449" t="s">
        <v>55</v>
      </c>
      <c r="D90" s="449" t="s">
        <v>3169</v>
      </c>
      <c r="E90" s="449" t="s">
        <v>3518</v>
      </c>
      <c r="F90" s="449" t="s">
        <v>517</v>
      </c>
      <c r="G90" s="452" t="s">
        <v>3171</v>
      </c>
      <c r="H90" s="452">
        <v>210</v>
      </c>
      <c r="I90" s="452"/>
      <c r="J90" s="452"/>
      <c r="K90" s="452" t="s">
        <v>3172</v>
      </c>
      <c r="L90" s="452" t="s">
        <v>3172</v>
      </c>
      <c r="M90" s="449" t="s">
        <v>3173</v>
      </c>
      <c r="N90" s="449">
        <v>0</v>
      </c>
      <c r="O90" s="449" t="s">
        <v>3174</v>
      </c>
      <c r="P90" s="449" t="s">
        <v>3519</v>
      </c>
      <c r="Q90" s="449" t="s">
        <v>3176</v>
      </c>
    </row>
    <row r="91" spans="1:17">
      <c r="A91" s="451">
        <v>90</v>
      </c>
      <c r="B91" s="449" t="s">
        <v>3520</v>
      </c>
      <c r="C91" s="449" t="s">
        <v>58</v>
      </c>
      <c r="D91" s="449" t="s">
        <v>3169</v>
      </c>
      <c r="E91" s="449" t="s">
        <v>3521</v>
      </c>
      <c r="F91" s="449" t="s">
        <v>517</v>
      </c>
      <c r="G91" s="452" t="s">
        <v>3171</v>
      </c>
      <c r="H91" s="452">
        <v>210</v>
      </c>
      <c r="I91" s="452"/>
      <c r="J91" s="452"/>
      <c r="K91" s="452" t="s">
        <v>3172</v>
      </c>
      <c r="L91" s="452" t="s">
        <v>3172</v>
      </c>
      <c r="M91" s="449" t="s">
        <v>3173</v>
      </c>
      <c r="N91" s="449">
        <v>0</v>
      </c>
      <c r="O91" s="449" t="s">
        <v>3174</v>
      </c>
      <c r="P91" s="449" t="s">
        <v>3522</v>
      </c>
      <c r="Q91" s="449" t="s">
        <v>3176</v>
      </c>
    </row>
    <row r="92" spans="1:17">
      <c r="A92" s="451">
        <v>91</v>
      </c>
      <c r="B92" s="449" t="s">
        <v>3523</v>
      </c>
      <c r="C92" s="449" t="s">
        <v>90</v>
      </c>
      <c r="D92" s="449" t="s">
        <v>3169</v>
      </c>
      <c r="E92" s="449" t="s">
        <v>3524</v>
      </c>
      <c r="F92" s="449" t="s">
        <v>517</v>
      </c>
      <c r="G92" s="452" t="s">
        <v>3171</v>
      </c>
      <c r="H92" s="452">
        <v>210</v>
      </c>
      <c r="I92" s="452"/>
      <c r="J92" s="452"/>
      <c r="K92" s="452" t="s">
        <v>3172</v>
      </c>
      <c r="L92" s="452" t="s">
        <v>3172</v>
      </c>
      <c r="M92" s="449" t="s">
        <v>3173</v>
      </c>
      <c r="N92" s="449">
        <v>0</v>
      </c>
      <c r="O92" s="449" t="s">
        <v>3174</v>
      </c>
      <c r="P92" s="449" t="s">
        <v>3525</v>
      </c>
      <c r="Q92" s="449" t="s">
        <v>3176</v>
      </c>
    </row>
    <row r="93" spans="1:17">
      <c r="A93" s="451">
        <v>92</v>
      </c>
      <c r="B93" s="449" t="s">
        <v>3526</v>
      </c>
      <c r="C93" s="449" t="s">
        <v>92</v>
      </c>
      <c r="D93" s="449" t="s">
        <v>3169</v>
      </c>
      <c r="E93" s="449" t="s">
        <v>3527</v>
      </c>
      <c r="F93" s="449" t="s">
        <v>517</v>
      </c>
      <c r="G93" s="452" t="s">
        <v>3171</v>
      </c>
      <c r="H93" s="452">
        <v>210</v>
      </c>
      <c r="I93" s="452"/>
      <c r="J93" s="452"/>
      <c r="K93" s="452" t="s">
        <v>3172</v>
      </c>
      <c r="L93" s="452" t="s">
        <v>3172</v>
      </c>
      <c r="M93" s="449" t="s">
        <v>3173</v>
      </c>
      <c r="N93" s="449">
        <v>0</v>
      </c>
      <c r="O93" s="449" t="s">
        <v>3174</v>
      </c>
      <c r="P93" s="449" t="s">
        <v>3528</v>
      </c>
      <c r="Q93" s="449" t="s">
        <v>3176</v>
      </c>
    </row>
    <row r="94" spans="1:17">
      <c r="A94" s="451">
        <v>93</v>
      </c>
      <c r="B94" s="449" t="s">
        <v>3529</v>
      </c>
      <c r="C94" s="449" t="s">
        <v>47</v>
      </c>
      <c r="D94" s="449" t="s">
        <v>3169</v>
      </c>
      <c r="E94" s="449" t="s">
        <v>3530</v>
      </c>
      <c r="F94" s="449" t="s">
        <v>517</v>
      </c>
      <c r="G94" s="452" t="s">
        <v>3171</v>
      </c>
      <c r="H94" s="452">
        <v>210</v>
      </c>
      <c r="I94" s="452"/>
      <c r="J94" s="452"/>
      <c r="K94" s="452" t="s">
        <v>3172</v>
      </c>
      <c r="L94" s="452" t="s">
        <v>3172</v>
      </c>
      <c r="M94" s="449" t="s">
        <v>3173</v>
      </c>
      <c r="N94" s="449">
        <v>0</v>
      </c>
      <c r="O94" s="449" t="s">
        <v>3174</v>
      </c>
      <c r="P94" s="449" t="s">
        <v>3531</v>
      </c>
      <c r="Q94" s="449" t="s">
        <v>3176</v>
      </c>
    </row>
    <row r="95" spans="1:17">
      <c r="A95" s="451">
        <v>94</v>
      </c>
      <c r="B95" s="449" t="s">
        <v>3532</v>
      </c>
      <c r="C95" s="449" t="s">
        <v>65</v>
      </c>
      <c r="D95" s="449" t="s">
        <v>3169</v>
      </c>
      <c r="E95" s="449" t="s">
        <v>3533</v>
      </c>
      <c r="F95" s="449" t="s">
        <v>517</v>
      </c>
      <c r="G95" s="452" t="s">
        <v>3171</v>
      </c>
      <c r="H95" s="452">
        <v>210</v>
      </c>
      <c r="I95" s="452"/>
      <c r="J95" s="452"/>
      <c r="K95" s="452" t="s">
        <v>3172</v>
      </c>
      <c r="L95" s="452" t="s">
        <v>3172</v>
      </c>
      <c r="M95" s="449" t="s">
        <v>3173</v>
      </c>
      <c r="N95" s="449">
        <v>0</v>
      </c>
      <c r="O95" s="449" t="s">
        <v>3174</v>
      </c>
      <c r="P95" s="449" t="s">
        <v>3534</v>
      </c>
      <c r="Q95" s="449" t="s">
        <v>3176</v>
      </c>
    </row>
    <row r="96" spans="1:17">
      <c r="A96" s="451">
        <v>95</v>
      </c>
      <c r="B96" s="449" t="s">
        <v>3535</v>
      </c>
      <c r="C96" s="449" t="s">
        <v>48</v>
      </c>
      <c r="D96" s="449" t="s">
        <v>3169</v>
      </c>
      <c r="E96" s="449" t="s">
        <v>3536</v>
      </c>
      <c r="F96" s="449" t="s">
        <v>517</v>
      </c>
      <c r="G96" s="452" t="s">
        <v>3171</v>
      </c>
      <c r="H96" s="452">
        <v>210</v>
      </c>
      <c r="I96" s="452"/>
      <c r="J96" s="452"/>
      <c r="K96" s="452" t="s">
        <v>3172</v>
      </c>
      <c r="L96" s="452" t="s">
        <v>3172</v>
      </c>
      <c r="M96" s="449" t="s">
        <v>3173</v>
      </c>
      <c r="N96" s="449">
        <v>0</v>
      </c>
      <c r="O96" s="449" t="s">
        <v>3174</v>
      </c>
      <c r="P96" s="449" t="s">
        <v>3537</v>
      </c>
      <c r="Q96" s="449" t="s">
        <v>3176</v>
      </c>
    </row>
    <row r="97" spans="1:17">
      <c r="A97" s="451">
        <v>96</v>
      </c>
      <c r="B97" s="449" t="s">
        <v>3538</v>
      </c>
      <c r="C97" s="449" t="s">
        <v>49</v>
      </c>
      <c r="D97" s="449" t="s">
        <v>3169</v>
      </c>
      <c r="E97" s="449" t="s">
        <v>3539</v>
      </c>
      <c r="F97" s="449" t="s">
        <v>517</v>
      </c>
      <c r="G97" s="452" t="s">
        <v>3171</v>
      </c>
      <c r="H97" s="452">
        <v>210</v>
      </c>
      <c r="I97" s="452"/>
      <c r="J97" s="452"/>
      <c r="K97" s="452" t="s">
        <v>3172</v>
      </c>
      <c r="L97" s="452" t="s">
        <v>3172</v>
      </c>
      <c r="M97" s="449" t="s">
        <v>3173</v>
      </c>
      <c r="N97" s="449">
        <v>0</v>
      </c>
      <c r="O97" s="449" t="s">
        <v>3174</v>
      </c>
      <c r="P97" s="449" t="s">
        <v>3540</v>
      </c>
      <c r="Q97" s="449" t="s">
        <v>3176</v>
      </c>
    </row>
    <row r="98" spans="1:17">
      <c r="A98" s="451">
        <v>97</v>
      </c>
      <c r="B98" s="449" t="s">
        <v>3541</v>
      </c>
      <c r="C98" s="449" t="s">
        <v>93</v>
      </c>
      <c r="D98" s="449" t="s">
        <v>3169</v>
      </c>
      <c r="E98" s="449" t="s">
        <v>3542</v>
      </c>
      <c r="F98" s="449" t="s">
        <v>517</v>
      </c>
      <c r="G98" s="452" t="s">
        <v>3171</v>
      </c>
      <c r="H98" s="452">
        <v>210</v>
      </c>
      <c r="I98" s="452"/>
      <c r="J98" s="452"/>
      <c r="K98" s="452" t="s">
        <v>3172</v>
      </c>
      <c r="L98" s="452" t="s">
        <v>3172</v>
      </c>
      <c r="M98" s="449" t="s">
        <v>3173</v>
      </c>
      <c r="N98" s="449">
        <v>0</v>
      </c>
      <c r="O98" s="449" t="s">
        <v>3174</v>
      </c>
      <c r="P98" s="449" t="s">
        <v>3543</v>
      </c>
      <c r="Q98" s="449" t="s">
        <v>3176</v>
      </c>
    </row>
    <row r="99" spans="1:17">
      <c r="A99" s="451">
        <v>98</v>
      </c>
      <c r="B99" s="449" t="s">
        <v>3544</v>
      </c>
      <c r="C99" s="449" t="s">
        <v>95</v>
      </c>
      <c r="D99" s="449" t="s">
        <v>3169</v>
      </c>
      <c r="E99" s="449" t="s">
        <v>3545</v>
      </c>
      <c r="F99" s="449" t="s">
        <v>517</v>
      </c>
      <c r="G99" s="452" t="s">
        <v>3171</v>
      </c>
      <c r="H99" s="452">
        <v>210</v>
      </c>
      <c r="I99" s="452"/>
      <c r="J99" s="452"/>
      <c r="K99" s="452" t="s">
        <v>3172</v>
      </c>
      <c r="L99" s="452" t="s">
        <v>3172</v>
      </c>
      <c r="M99" s="449" t="s">
        <v>3173</v>
      </c>
      <c r="N99" s="449">
        <v>0</v>
      </c>
      <c r="O99" s="449" t="s">
        <v>3174</v>
      </c>
      <c r="P99" s="449" t="s">
        <v>3546</v>
      </c>
      <c r="Q99" s="449" t="s">
        <v>3176</v>
      </c>
    </row>
    <row r="100" spans="1:17">
      <c r="A100" s="451">
        <v>99</v>
      </c>
      <c r="B100" s="449" t="s">
        <v>3547</v>
      </c>
      <c r="C100" s="449" t="s">
        <v>796</v>
      </c>
      <c r="D100" s="449" t="s">
        <v>3169</v>
      </c>
      <c r="E100" s="449" t="s">
        <v>3548</v>
      </c>
      <c r="F100" s="449" t="s">
        <v>517</v>
      </c>
      <c r="G100" s="452" t="s">
        <v>3171</v>
      </c>
      <c r="H100" s="452">
        <v>210</v>
      </c>
      <c r="I100" s="452"/>
      <c r="J100" s="452"/>
      <c r="K100" s="452" t="s">
        <v>3172</v>
      </c>
      <c r="L100" s="452" t="s">
        <v>3172</v>
      </c>
      <c r="M100" s="449" t="s">
        <v>3173</v>
      </c>
      <c r="N100" s="449">
        <v>0</v>
      </c>
      <c r="O100" s="449" t="s">
        <v>3174</v>
      </c>
      <c r="P100" s="449" t="s">
        <v>3549</v>
      </c>
      <c r="Q100" s="449" t="s">
        <v>3176</v>
      </c>
    </row>
    <row r="101" spans="1:17">
      <c r="A101" s="451">
        <v>100</v>
      </c>
      <c r="B101" s="449" t="s">
        <v>3550</v>
      </c>
      <c r="C101" s="449" t="s">
        <v>827</v>
      </c>
      <c r="D101" s="449" t="s">
        <v>3169</v>
      </c>
      <c r="E101" s="449" t="s">
        <v>3551</v>
      </c>
      <c r="F101" s="449" t="s">
        <v>517</v>
      </c>
      <c r="G101" s="452" t="s">
        <v>3171</v>
      </c>
      <c r="H101" s="452">
        <v>210</v>
      </c>
      <c r="I101" s="452"/>
      <c r="J101" s="452"/>
      <c r="K101" s="452" t="s">
        <v>3172</v>
      </c>
      <c r="L101" s="452" t="s">
        <v>3172</v>
      </c>
      <c r="M101" s="449" t="s">
        <v>3173</v>
      </c>
      <c r="N101" s="449">
        <v>0</v>
      </c>
      <c r="O101" s="449" t="s">
        <v>3174</v>
      </c>
      <c r="P101" s="449" t="s">
        <v>3552</v>
      </c>
      <c r="Q101" s="449" t="s">
        <v>3176</v>
      </c>
    </row>
    <row r="102" spans="1:17">
      <c r="A102" s="451">
        <v>101</v>
      </c>
      <c r="B102" s="449" t="s">
        <v>3553</v>
      </c>
      <c r="C102" s="449" t="s">
        <v>3554</v>
      </c>
      <c r="D102" s="449" t="s">
        <v>3169</v>
      </c>
      <c r="E102" s="449" t="s">
        <v>3555</v>
      </c>
      <c r="F102" s="449" t="s">
        <v>517</v>
      </c>
      <c r="G102" s="452" t="s">
        <v>3171</v>
      </c>
      <c r="H102" s="452">
        <v>210</v>
      </c>
      <c r="I102" s="452"/>
      <c r="J102" s="452"/>
      <c r="K102" s="452" t="s">
        <v>3172</v>
      </c>
      <c r="L102" s="452" t="s">
        <v>3172</v>
      </c>
      <c r="M102" s="449" t="s">
        <v>3173</v>
      </c>
      <c r="N102" s="449">
        <v>0</v>
      </c>
      <c r="O102" s="449" t="s">
        <v>3174</v>
      </c>
      <c r="P102" s="449" t="s">
        <v>3556</v>
      </c>
      <c r="Q102" s="449" t="s">
        <v>3176</v>
      </c>
    </row>
    <row r="103" spans="1:17">
      <c r="A103" s="451">
        <v>102</v>
      </c>
      <c r="B103" s="449" t="s">
        <v>3557</v>
      </c>
      <c r="C103" s="449" t="s">
        <v>3558</v>
      </c>
      <c r="D103" s="449" t="s">
        <v>3169</v>
      </c>
      <c r="E103" s="449" t="s">
        <v>3559</v>
      </c>
      <c r="F103" s="449" t="s">
        <v>517</v>
      </c>
      <c r="G103" s="452" t="s">
        <v>3171</v>
      </c>
      <c r="H103" s="452">
        <v>210</v>
      </c>
      <c r="I103" s="452"/>
      <c r="J103" s="452"/>
      <c r="K103" s="452" t="s">
        <v>3172</v>
      </c>
      <c r="L103" s="452" t="s">
        <v>3172</v>
      </c>
      <c r="M103" s="449" t="s">
        <v>3173</v>
      </c>
      <c r="N103" s="449">
        <v>0</v>
      </c>
      <c r="O103" s="449" t="s">
        <v>3174</v>
      </c>
      <c r="P103" s="449" t="s">
        <v>3560</v>
      </c>
      <c r="Q103" s="449" t="s">
        <v>3176</v>
      </c>
    </row>
    <row r="104" spans="1:17">
      <c r="A104" s="451">
        <v>103</v>
      </c>
      <c r="B104" s="449" t="s">
        <v>3561</v>
      </c>
      <c r="C104" s="449" t="s">
        <v>906</v>
      </c>
      <c r="D104" s="449" t="s">
        <v>3169</v>
      </c>
      <c r="E104" s="449" t="s">
        <v>3562</v>
      </c>
      <c r="F104" s="449" t="s">
        <v>517</v>
      </c>
      <c r="G104" s="452" t="s">
        <v>3171</v>
      </c>
      <c r="H104" s="452">
        <v>210</v>
      </c>
      <c r="I104" s="452"/>
      <c r="J104" s="452"/>
      <c r="K104" s="452" t="s">
        <v>3172</v>
      </c>
      <c r="L104" s="452" t="s">
        <v>3172</v>
      </c>
      <c r="M104" s="449" t="s">
        <v>3173</v>
      </c>
      <c r="N104" s="449">
        <v>0</v>
      </c>
      <c r="O104" s="449" t="s">
        <v>3174</v>
      </c>
      <c r="P104" s="449" t="s">
        <v>3563</v>
      </c>
      <c r="Q104" s="449" t="s">
        <v>3176</v>
      </c>
    </row>
    <row r="105" spans="1:17">
      <c r="A105" s="451">
        <v>104</v>
      </c>
      <c r="B105" s="449" t="s">
        <v>3564</v>
      </c>
      <c r="C105" s="449" t="s">
        <v>909</v>
      </c>
      <c r="D105" s="449" t="s">
        <v>3169</v>
      </c>
      <c r="E105" s="449" t="s">
        <v>3565</v>
      </c>
      <c r="F105" s="449" t="s">
        <v>517</v>
      </c>
      <c r="G105" s="452" t="s">
        <v>3171</v>
      </c>
      <c r="H105" s="452">
        <v>210</v>
      </c>
      <c r="I105" s="452"/>
      <c r="J105" s="452"/>
      <c r="K105" s="452" t="s">
        <v>3172</v>
      </c>
      <c r="L105" s="452" t="s">
        <v>3172</v>
      </c>
      <c r="M105" s="449" t="s">
        <v>3173</v>
      </c>
      <c r="N105" s="449">
        <v>0</v>
      </c>
      <c r="O105" s="449" t="s">
        <v>3174</v>
      </c>
      <c r="P105" s="449" t="s">
        <v>3566</v>
      </c>
      <c r="Q105" s="449" t="s">
        <v>3176</v>
      </c>
    </row>
    <row r="106" spans="1:17">
      <c r="A106" s="451">
        <v>105</v>
      </c>
      <c r="B106" s="449" t="s">
        <v>3567</v>
      </c>
      <c r="C106" s="449" t="s">
        <v>837</v>
      </c>
      <c r="D106" s="449" t="s">
        <v>3169</v>
      </c>
      <c r="E106" s="449" t="s">
        <v>3568</v>
      </c>
      <c r="F106" s="449" t="s">
        <v>517</v>
      </c>
      <c r="G106" s="452" t="s">
        <v>3171</v>
      </c>
      <c r="H106" s="452">
        <v>210</v>
      </c>
      <c r="I106" s="452"/>
      <c r="J106" s="452"/>
      <c r="K106" s="452" t="s">
        <v>3172</v>
      </c>
      <c r="L106" s="452" t="s">
        <v>3172</v>
      </c>
      <c r="M106" s="449" t="s">
        <v>3173</v>
      </c>
      <c r="N106" s="449">
        <v>0</v>
      </c>
      <c r="O106" s="449" t="s">
        <v>3174</v>
      </c>
      <c r="P106" s="449" t="s">
        <v>3569</v>
      </c>
      <c r="Q106" s="449" t="s">
        <v>3176</v>
      </c>
    </row>
    <row r="107" spans="1:17">
      <c r="A107" s="451">
        <v>106</v>
      </c>
      <c r="B107" s="449" t="s">
        <v>3570</v>
      </c>
      <c r="C107" s="449" t="s">
        <v>839</v>
      </c>
      <c r="D107" s="449" t="s">
        <v>3169</v>
      </c>
      <c r="E107" s="449" t="s">
        <v>3571</v>
      </c>
      <c r="F107" s="449" t="s">
        <v>517</v>
      </c>
      <c r="G107" s="452" t="s">
        <v>3171</v>
      </c>
      <c r="H107" s="452">
        <v>210</v>
      </c>
      <c r="I107" s="452"/>
      <c r="J107" s="452"/>
      <c r="K107" s="452" t="s">
        <v>3172</v>
      </c>
      <c r="L107" s="452" t="s">
        <v>3172</v>
      </c>
      <c r="M107" s="449" t="s">
        <v>3173</v>
      </c>
      <c r="N107" s="449">
        <v>0</v>
      </c>
      <c r="O107" s="449" t="s">
        <v>3174</v>
      </c>
      <c r="P107" s="449" t="s">
        <v>3572</v>
      </c>
      <c r="Q107" s="449" t="s">
        <v>3176</v>
      </c>
    </row>
    <row r="108" spans="1:17">
      <c r="A108" s="451">
        <v>107</v>
      </c>
      <c r="B108" s="449" t="s">
        <v>3573</v>
      </c>
      <c r="C108" s="449" t="s">
        <v>847</v>
      </c>
      <c r="D108" s="449" t="s">
        <v>3169</v>
      </c>
      <c r="E108" s="449" t="s">
        <v>3574</v>
      </c>
      <c r="F108" s="449" t="s">
        <v>517</v>
      </c>
      <c r="G108" s="452" t="s">
        <v>3171</v>
      </c>
      <c r="H108" s="452">
        <v>210</v>
      </c>
      <c r="I108" s="452"/>
      <c r="J108" s="452"/>
      <c r="K108" s="452" t="s">
        <v>3172</v>
      </c>
      <c r="L108" s="452" t="s">
        <v>3172</v>
      </c>
      <c r="M108" s="449" t="s">
        <v>3173</v>
      </c>
      <c r="N108" s="449">
        <v>0</v>
      </c>
      <c r="O108" s="449" t="s">
        <v>3174</v>
      </c>
      <c r="P108" s="449" t="s">
        <v>3575</v>
      </c>
      <c r="Q108" s="449" t="s">
        <v>3176</v>
      </c>
    </row>
    <row r="109" spans="1:17">
      <c r="A109" s="451">
        <v>108</v>
      </c>
      <c r="B109" s="449" t="s">
        <v>3576</v>
      </c>
      <c r="C109" s="449" t="s">
        <v>911</v>
      </c>
      <c r="D109" s="449" t="s">
        <v>3169</v>
      </c>
      <c r="E109" s="449" t="s">
        <v>3577</v>
      </c>
      <c r="F109" s="449" t="s">
        <v>517</v>
      </c>
      <c r="G109" s="452" t="s">
        <v>3171</v>
      </c>
      <c r="H109" s="452">
        <v>210</v>
      </c>
      <c r="I109" s="452"/>
      <c r="J109" s="452"/>
      <c r="K109" s="452" t="s">
        <v>3172</v>
      </c>
      <c r="L109" s="452" t="s">
        <v>3172</v>
      </c>
      <c r="M109" s="449" t="s">
        <v>3173</v>
      </c>
      <c r="N109" s="449">
        <v>0</v>
      </c>
      <c r="O109" s="449" t="s">
        <v>3174</v>
      </c>
      <c r="P109" s="449" t="s">
        <v>3578</v>
      </c>
      <c r="Q109" s="449" t="s">
        <v>3176</v>
      </c>
    </row>
    <row r="110" spans="1:17">
      <c r="A110" s="451">
        <v>109</v>
      </c>
      <c r="B110" s="449" t="s">
        <v>3579</v>
      </c>
      <c r="C110" s="449" t="s">
        <v>913</v>
      </c>
      <c r="D110" s="449" t="s">
        <v>3169</v>
      </c>
      <c r="E110" s="449" t="s">
        <v>3580</v>
      </c>
      <c r="F110" s="449" t="s">
        <v>517</v>
      </c>
      <c r="G110" s="452" t="s">
        <v>3171</v>
      </c>
      <c r="H110" s="452">
        <v>210</v>
      </c>
      <c r="I110" s="452"/>
      <c r="J110" s="452"/>
      <c r="K110" s="452" t="s">
        <v>3172</v>
      </c>
      <c r="L110" s="452" t="s">
        <v>3172</v>
      </c>
      <c r="M110" s="449" t="s">
        <v>3173</v>
      </c>
      <c r="N110" s="449">
        <v>0</v>
      </c>
      <c r="O110" s="449" t="s">
        <v>3174</v>
      </c>
      <c r="P110" s="449" t="s">
        <v>3581</v>
      </c>
      <c r="Q110" s="449" t="s">
        <v>3176</v>
      </c>
    </row>
    <row r="111" spans="1:17">
      <c r="A111" s="451">
        <v>110</v>
      </c>
      <c r="B111" s="449" t="s">
        <v>3582</v>
      </c>
      <c r="C111" s="449" t="s">
        <v>915</v>
      </c>
      <c r="D111" s="449" t="s">
        <v>3169</v>
      </c>
      <c r="E111" s="449" t="s">
        <v>3583</v>
      </c>
      <c r="F111" s="449" t="s">
        <v>517</v>
      </c>
      <c r="G111" s="452" t="s">
        <v>3171</v>
      </c>
      <c r="H111" s="452">
        <v>210</v>
      </c>
      <c r="I111" s="452"/>
      <c r="J111" s="452"/>
      <c r="K111" s="452" t="s">
        <v>3172</v>
      </c>
      <c r="L111" s="452" t="s">
        <v>3172</v>
      </c>
      <c r="M111" s="449" t="s">
        <v>3173</v>
      </c>
      <c r="N111" s="449">
        <v>0</v>
      </c>
      <c r="O111" s="449" t="s">
        <v>3174</v>
      </c>
      <c r="P111" s="449" t="s">
        <v>3584</v>
      </c>
      <c r="Q111" s="449" t="s">
        <v>3176</v>
      </c>
    </row>
    <row r="112" spans="1:17">
      <c r="A112" s="451">
        <v>111</v>
      </c>
      <c r="B112" s="449" t="s">
        <v>3585</v>
      </c>
      <c r="C112" s="449" t="s">
        <v>869</v>
      </c>
      <c r="D112" s="449" t="s">
        <v>3169</v>
      </c>
      <c r="E112" s="449" t="s">
        <v>3586</v>
      </c>
      <c r="F112" s="449" t="s">
        <v>517</v>
      </c>
      <c r="G112" s="452" t="s">
        <v>3171</v>
      </c>
      <c r="H112" s="452">
        <v>210</v>
      </c>
      <c r="I112" s="452"/>
      <c r="J112" s="452"/>
      <c r="K112" s="452" t="s">
        <v>3172</v>
      </c>
      <c r="L112" s="452" t="s">
        <v>3172</v>
      </c>
      <c r="M112" s="449" t="s">
        <v>3173</v>
      </c>
      <c r="N112" s="449">
        <v>0</v>
      </c>
      <c r="O112" s="449" t="s">
        <v>3174</v>
      </c>
      <c r="P112" s="449" t="s">
        <v>3587</v>
      </c>
      <c r="Q112" s="449" t="s">
        <v>3176</v>
      </c>
    </row>
    <row r="113" spans="1:17">
      <c r="A113" s="451">
        <v>112</v>
      </c>
      <c r="B113" s="449" t="s">
        <v>3588</v>
      </c>
      <c r="C113" s="449" t="s">
        <v>916</v>
      </c>
      <c r="D113" s="449" t="s">
        <v>3169</v>
      </c>
      <c r="E113" s="449" t="s">
        <v>3589</v>
      </c>
      <c r="F113" s="449" t="s">
        <v>517</v>
      </c>
      <c r="G113" s="452" t="s">
        <v>3171</v>
      </c>
      <c r="H113" s="452">
        <v>210</v>
      </c>
      <c r="I113" s="452"/>
      <c r="J113" s="452"/>
      <c r="K113" s="452" t="s">
        <v>3172</v>
      </c>
      <c r="L113" s="452" t="s">
        <v>3172</v>
      </c>
      <c r="M113" s="449" t="s">
        <v>3173</v>
      </c>
      <c r="N113" s="449">
        <v>0</v>
      </c>
      <c r="O113" s="449" t="s">
        <v>3174</v>
      </c>
      <c r="P113" s="449" t="s">
        <v>3590</v>
      </c>
      <c r="Q113" s="449" t="s">
        <v>3176</v>
      </c>
    </row>
    <row r="114" spans="1:17">
      <c r="A114" s="451">
        <v>113</v>
      </c>
      <c r="B114" s="449" t="s">
        <v>3591</v>
      </c>
      <c r="C114" s="449" t="s">
        <v>917</v>
      </c>
      <c r="D114" s="449" t="s">
        <v>3169</v>
      </c>
      <c r="E114" s="449" t="s">
        <v>3592</v>
      </c>
      <c r="F114" s="449" t="s">
        <v>517</v>
      </c>
      <c r="G114" s="452" t="s">
        <v>3171</v>
      </c>
      <c r="H114" s="452">
        <v>210</v>
      </c>
      <c r="I114" s="452"/>
      <c r="J114" s="452"/>
      <c r="K114" s="452" t="s">
        <v>3172</v>
      </c>
      <c r="L114" s="452" t="s">
        <v>3172</v>
      </c>
      <c r="M114" s="449" t="s">
        <v>3173</v>
      </c>
      <c r="N114" s="449">
        <v>0</v>
      </c>
      <c r="O114" s="449" t="s">
        <v>3174</v>
      </c>
      <c r="P114" s="449" t="s">
        <v>3593</v>
      </c>
      <c r="Q114" s="449" t="s">
        <v>3176</v>
      </c>
    </row>
    <row r="115" spans="1:17">
      <c r="A115" s="451">
        <v>114</v>
      </c>
      <c r="B115" s="449" t="s">
        <v>3594</v>
      </c>
      <c r="C115" s="449" t="s">
        <v>905</v>
      </c>
      <c r="D115" s="449" t="s">
        <v>3169</v>
      </c>
      <c r="E115" s="449" t="s">
        <v>3595</v>
      </c>
      <c r="F115" s="449" t="s">
        <v>517</v>
      </c>
      <c r="G115" s="452" t="s">
        <v>3171</v>
      </c>
      <c r="H115" s="452">
        <v>210</v>
      </c>
      <c r="I115" s="452"/>
      <c r="J115" s="452"/>
      <c r="K115" s="452" t="s">
        <v>3172</v>
      </c>
      <c r="L115" s="452" t="s">
        <v>3172</v>
      </c>
      <c r="M115" s="449" t="s">
        <v>3173</v>
      </c>
      <c r="N115" s="449">
        <v>0</v>
      </c>
      <c r="O115" s="449" t="s">
        <v>3174</v>
      </c>
      <c r="P115" s="449" t="s">
        <v>3596</v>
      </c>
      <c r="Q115" s="449" t="s">
        <v>3176</v>
      </c>
    </row>
    <row r="116" spans="1:17">
      <c r="A116" s="451">
        <v>115</v>
      </c>
      <c r="B116" s="449" t="s">
        <v>3597</v>
      </c>
      <c r="C116" s="449" t="s">
        <v>861</v>
      </c>
      <c r="D116" s="449" t="s">
        <v>3169</v>
      </c>
      <c r="E116" s="449" t="s">
        <v>3598</v>
      </c>
      <c r="F116" s="449" t="s">
        <v>517</v>
      </c>
      <c r="G116" s="452" t="s">
        <v>3171</v>
      </c>
      <c r="H116" s="452">
        <v>210</v>
      </c>
      <c r="I116" s="452"/>
      <c r="J116" s="452"/>
      <c r="K116" s="452" t="s">
        <v>3172</v>
      </c>
      <c r="L116" s="452" t="s">
        <v>3172</v>
      </c>
      <c r="M116" s="449" t="s">
        <v>3173</v>
      </c>
      <c r="N116" s="449">
        <v>0</v>
      </c>
      <c r="O116" s="449" t="s">
        <v>3174</v>
      </c>
      <c r="P116" s="449" t="s">
        <v>3599</v>
      </c>
      <c r="Q116" s="449" t="s">
        <v>3176</v>
      </c>
    </row>
    <row r="117" spans="1:17">
      <c r="A117" s="451">
        <v>116</v>
      </c>
      <c r="B117" s="449" t="s">
        <v>3600</v>
      </c>
      <c r="C117" s="449" t="s">
        <v>907</v>
      </c>
      <c r="D117" s="449" t="s">
        <v>3169</v>
      </c>
      <c r="E117" s="449" t="s">
        <v>3601</v>
      </c>
      <c r="F117" s="449" t="s">
        <v>517</v>
      </c>
      <c r="G117" s="452" t="s">
        <v>3171</v>
      </c>
      <c r="H117" s="452">
        <v>210</v>
      </c>
      <c r="I117" s="452"/>
      <c r="J117" s="452"/>
      <c r="K117" s="452" t="s">
        <v>3172</v>
      </c>
      <c r="L117" s="452" t="s">
        <v>3172</v>
      </c>
      <c r="M117" s="449" t="s">
        <v>3173</v>
      </c>
      <c r="N117" s="449">
        <v>0</v>
      </c>
      <c r="O117" s="449" t="s">
        <v>3174</v>
      </c>
      <c r="P117" s="449" t="s">
        <v>3602</v>
      </c>
      <c r="Q117" s="449" t="s">
        <v>3176</v>
      </c>
    </row>
    <row r="118" spans="1:17">
      <c r="A118" s="451">
        <v>117</v>
      </c>
      <c r="B118" s="449" t="s">
        <v>3603</v>
      </c>
      <c r="C118" s="449" t="s">
        <v>3604</v>
      </c>
      <c r="D118" s="449" t="s">
        <v>3169</v>
      </c>
      <c r="E118" s="449" t="s">
        <v>3605</v>
      </c>
      <c r="F118" s="449" t="s">
        <v>517</v>
      </c>
      <c r="G118" s="452" t="s">
        <v>3171</v>
      </c>
      <c r="H118" s="452">
        <v>210</v>
      </c>
      <c r="I118" s="452"/>
      <c r="J118" s="452"/>
      <c r="K118" s="452" t="s">
        <v>3172</v>
      </c>
      <c r="L118" s="452" t="s">
        <v>3172</v>
      </c>
      <c r="M118" s="449" t="s">
        <v>3173</v>
      </c>
      <c r="N118" s="449">
        <v>0</v>
      </c>
      <c r="O118" s="449" t="s">
        <v>3174</v>
      </c>
      <c r="P118" s="449" t="s">
        <v>3606</v>
      </c>
      <c r="Q118" s="449" t="s">
        <v>3176</v>
      </c>
    </row>
    <row r="119" spans="1:17">
      <c r="A119" s="451">
        <v>118</v>
      </c>
      <c r="B119" s="449" t="s">
        <v>3607</v>
      </c>
      <c r="C119" s="449" t="s">
        <v>3608</v>
      </c>
      <c r="D119" s="449" t="s">
        <v>3169</v>
      </c>
      <c r="E119" s="449" t="s">
        <v>3609</v>
      </c>
      <c r="F119" s="449" t="s">
        <v>517</v>
      </c>
      <c r="G119" s="452" t="s">
        <v>3171</v>
      </c>
      <c r="H119" s="452">
        <v>210</v>
      </c>
      <c r="I119" s="452"/>
      <c r="J119" s="452"/>
      <c r="K119" s="452" t="s">
        <v>3172</v>
      </c>
      <c r="L119" s="452" t="s">
        <v>3172</v>
      </c>
      <c r="M119" s="449" t="s">
        <v>3173</v>
      </c>
      <c r="N119" s="449">
        <v>0</v>
      </c>
      <c r="O119" s="449" t="s">
        <v>3174</v>
      </c>
      <c r="P119" s="449" t="s">
        <v>3610</v>
      </c>
      <c r="Q119" s="449" t="s">
        <v>3176</v>
      </c>
    </row>
    <row r="120" spans="1:17">
      <c r="A120" s="451">
        <v>119</v>
      </c>
      <c r="B120" s="449" t="s">
        <v>3611</v>
      </c>
      <c r="C120" s="449" t="s">
        <v>3612</v>
      </c>
      <c r="D120" s="449" t="s">
        <v>3169</v>
      </c>
      <c r="E120" s="449" t="s">
        <v>3613</v>
      </c>
      <c r="F120" s="449" t="s">
        <v>517</v>
      </c>
      <c r="G120" s="452" t="s">
        <v>3171</v>
      </c>
      <c r="H120" s="452">
        <v>210</v>
      </c>
      <c r="I120" s="452"/>
      <c r="J120" s="452"/>
      <c r="K120" s="452" t="s">
        <v>3172</v>
      </c>
      <c r="L120" s="452" t="s">
        <v>3172</v>
      </c>
      <c r="M120" s="449" t="s">
        <v>3173</v>
      </c>
      <c r="N120" s="449">
        <v>0</v>
      </c>
      <c r="O120" s="449" t="s">
        <v>3174</v>
      </c>
      <c r="P120" s="449" t="s">
        <v>3614</v>
      </c>
      <c r="Q120" s="449" t="s">
        <v>3176</v>
      </c>
    </row>
    <row r="121" spans="1:17">
      <c r="A121" s="451">
        <v>120</v>
      </c>
      <c r="B121" s="449" t="s">
        <v>3615</v>
      </c>
      <c r="C121" s="449" t="s">
        <v>3616</v>
      </c>
      <c r="D121" s="449" t="s">
        <v>3169</v>
      </c>
      <c r="E121" s="449" t="s">
        <v>3617</v>
      </c>
      <c r="F121" s="449" t="s">
        <v>517</v>
      </c>
      <c r="G121" s="452" t="s">
        <v>3171</v>
      </c>
      <c r="H121" s="452">
        <v>210</v>
      </c>
      <c r="I121" s="452"/>
      <c r="J121" s="452"/>
      <c r="K121" s="452" t="s">
        <v>3172</v>
      </c>
      <c r="L121" s="452" t="s">
        <v>3172</v>
      </c>
      <c r="M121" s="449" t="s">
        <v>3173</v>
      </c>
      <c r="N121" s="449">
        <v>0</v>
      </c>
      <c r="O121" s="449" t="s">
        <v>3174</v>
      </c>
      <c r="P121" s="449" t="s">
        <v>3618</v>
      </c>
      <c r="Q121" s="449" t="s">
        <v>3176</v>
      </c>
    </row>
    <row r="122" spans="1:17">
      <c r="A122" s="451">
        <v>121</v>
      </c>
      <c r="B122" s="449" t="s">
        <v>3619</v>
      </c>
      <c r="C122" s="449" t="s">
        <v>3620</v>
      </c>
      <c r="D122" s="449" t="s">
        <v>3169</v>
      </c>
      <c r="E122" s="449" t="s">
        <v>3621</v>
      </c>
      <c r="F122" s="449" t="s">
        <v>517</v>
      </c>
      <c r="G122" s="452" t="s">
        <v>3171</v>
      </c>
      <c r="H122" s="452">
        <v>210</v>
      </c>
      <c r="I122" s="452"/>
      <c r="J122" s="452"/>
      <c r="K122" s="452" t="s">
        <v>3172</v>
      </c>
      <c r="L122" s="452" t="s">
        <v>3172</v>
      </c>
      <c r="M122" s="449" t="s">
        <v>3173</v>
      </c>
      <c r="N122" s="449">
        <v>0</v>
      </c>
      <c r="O122" s="449" t="s">
        <v>3174</v>
      </c>
      <c r="P122" s="449" t="s">
        <v>3622</v>
      </c>
      <c r="Q122" s="449" t="s">
        <v>3176</v>
      </c>
    </row>
    <row r="123" spans="1:17">
      <c r="A123" s="451">
        <v>122</v>
      </c>
      <c r="B123" s="449" t="s">
        <v>3623</v>
      </c>
      <c r="C123" s="449" t="s">
        <v>3624</v>
      </c>
      <c r="D123" s="449" t="s">
        <v>3169</v>
      </c>
      <c r="E123" s="449" t="s">
        <v>3625</v>
      </c>
      <c r="F123" s="449" t="s">
        <v>517</v>
      </c>
      <c r="G123" s="452" t="s">
        <v>3171</v>
      </c>
      <c r="H123" s="452">
        <v>210</v>
      </c>
      <c r="I123" s="452"/>
      <c r="J123" s="452"/>
      <c r="K123" s="452" t="s">
        <v>3172</v>
      </c>
      <c r="L123" s="452" t="s">
        <v>3172</v>
      </c>
      <c r="M123" s="449" t="s">
        <v>3173</v>
      </c>
      <c r="N123" s="449">
        <v>0</v>
      </c>
      <c r="O123" s="449" t="s">
        <v>3174</v>
      </c>
      <c r="P123" s="449" t="s">
        <v>3626</v>
      </c>
      <c r="Q123" s="449" t="s">
        <v>3176</v>
      </c>
    </row>
    <row r="124" spans="1:17">
      <c r="A124" s="451">
        <v>123</v>
      </c>
      <c r="B124" s="449" t="s">
        <v>3627</v>
      </c>
      <c r="C124" s="449" t="s">
        <v>862</v>
      </c>
      <c r="D124" s="449" t="s">
        <v>3169</v>
      </c>
      <c r="E124" s="449" t="s">
        <v>3628</v>
      </c>
      <c r="F124" s="449" t="s">
        <v>517</v>
      </c>
      <c r="G124" s="452" t="s">
        <v>3171</v>
      </c>
      <c r="H124" s="452">
        <v>210</v>
      </c>
      <c r="I124" s="452"/>
      <c r="J124" s="452"/>
      <c r="K124" s="452" t="s">
        <v>3172</v>
      </c>
      <c r="L124" s="452" t="s">
        <v>3172</v>
      </c>
      <c r="M124" s="449" t="s">
        <v>3173</v>
      </c>
      <c r="N124" s="449">
        <v>0</v>
      </c>
      <c r="O124" s="449" t="s">
        <v>3174</v>
      </c>
      <c r="P124" s="449" t="s">
        <v>3629</v>
      </c>
      <c r="Q124" s="449" t="s">
        <v>3176</v>
      </c>
    </row>
    <row r="125" spans="1:17">
      <c r="A125" s="451">
        <v>124</v>
      </c>
      <c r="B125" s="449" t="s">
        <v>3630</v>
      </c>
      <c r="C125" s="449" t="s">
        <v>864</v>
      </c>
      <c r="D125" s="449" t="s">
        <v>3169</v>
      </c>
      <c r="E125" s="449" t="s">
        <v>3631</v>
      </c>
      <c r="F125" s="449" t="s">
        <v>517</v>
      </c>
      <c r="G125" s="452" t="s">
        <v>3171</v>
      </c>
      <c r="H125" s="452">
        <v>210</v>
      </c>
      <c r="I125" s="452"/>
      <c r="J125" s="452"/>
      <c r="K125" s="452" t="s">
        <v>3172</v>
      </c>
      <c r="L125" s="452" t="s">
        <v>3172</v>
      </c>
      <c r="M125" s="449" t="s">
        <v>3173</v>
      </c>
      <c r="N125" s="449">
        <v>0</v>
      </c>
      <c r="O125" s="449" t="s">
        <v>3174</v>
      </c>
      <c r="P125" s="449" t="s">
        <v>3632</v>
      </c>
      <c r="Q125" s="449" t="s">
        <v>3176</v>
      </c>
    </row>
    <row r="126" spans="1:17">
      <c r="A126" s="451">
        <v>125</v>
      </c>
      <c r="B126" s="449" t="s">
        <v>3633</v>
      </c>
      <c r="C126" s="449" t="s">
        <v>3634</v>
      </c>
      <c r="D126" s="449" t="s">
        <v>3169</v>
      </c>
      <c r="E126" s="449" t="s">
        <v>3635</v>
      </c>
      <c r="F126" s="449" t="s">
        <v>517</v>
      </c>
      <c r="G126" s="452" t="s">
        <v>3171</v>
      </c>
      <c r="H126" s="452">
        <v>210</v>
      </c>
      <c r="I126" s="452"/>
      <c r="J126" s="452"/>
      <c r="K126" s="452" t="s">
        <v>3172</v>
      </c>
      <c r="L126" s="452" t="s">
        <v>3172</v>
      </c>
      <c r="M126" s="449" t="s">
        <v>3173</v>
      </c>
      <c r="N126" s="449">
        <v>0</v>
      </c>
      <c r="O126" s="449" t="s">
        <v>3174</v>
      </c>
      <c r="P126" s="449" t="s">
        <v>3636</v>
      </c>
      <c r="Q126" s="449" t="s">
        <v>3176</v>
      </c>
    </row>
    <row r="127" spans="1:17">
      <c r="A127" s="451">
        <v>126</v>
      </c>
      <c r="B127" s="449" t="s">
        <v>3637</v>
      </c>
      <c r="C127" s="449" t="s">
        <v>3638</v>
      </c>
      <c r="D127" s="449" t="s">
        <v>3169</v>
      </c>
      <c r="E127" s="449" t="s">
        <v>3639</v>
      </c>
      <c r="F127" s="449" t="s">
        <v>517</v>
      </c>
      <c r="G127" s="452" t="s">
        <v>3171</v>
      </c>
      <c r="H127" s="452">
        <v>210</v>
      </c>
      <c r="I127" s="452"/>
      <c r="J127" s="452"/>
      <c r="K127" s="452" t="s">
        <v>3172</v>
      </c>
      <c r="L127" s="452" t="s">
        <v>3172</v>
      </c>
      <c r="M127" s="449" t="s">
        <v>3173</v>
      </c>
      <c r="N127" s="449">
        <v>0</v>
      </c>
      <c r="O127" s="449" t="s">
        <v>3174</v>
      </c>
      <c r="P127" s="449" t="s">
        <v>3640</v>
      </c>
      <c r="Q127" s="449" t="s">
        <v>3176</v>
      </c>
    </row>
    <row r="128" spans="1:17">
      <c r="A128" s="451">
        <v>127</v>
      </c>
      <c r="B128" s="449" t="s">
        <v>3641</v>
      </c>
      <c r="C128" s="449" t="s">
        <v>3642</v>
      </c>
      <c r="D128" s="449" t="s">
        <v>3169</v>
      </c>
      <c r="E128" s="449" t="s">
        <v>3643</v>
      </c>
      <c r="F128" s="449" t="s">
        <v>517</v>
      </c>
      <c r="G128" s="452" t="s">
        <v>3171</v>
      </c>
      <c r="H128" s="452">
        <v>210</v>
      </c>
      <c r="I128" s="452"/>
      <c r="J128" s="452"/>
      <c r="K128" s="452" t="s">
        <v>3172</v>
      </c>
      <c r="L128" s="452" t="s">
        <v>3172</v>
      </c>
      <c r="M128" s="449" t="s">
        <v>3173</v>
      </c>
      <c r="N128" s="449">
        <v>0</v>
      </c>
      <c r="O128" s="449" t="s">
        <v>3174</v>
      </c>
      <c r="P128" s="449" t="s">
        <v>3644</v>
      </c>
      <c r="Q128" s="449" t="s">
        <v>3176</v>
      </c>
    </row>
    <row r="129" spans="1:17">
      <c r="A129" s="451">
        <v>128</v>
      </c>
      <c r="B129" s="449" t="s">
        <v>3645</v>
      </c>
      <c r="C129" s="449" t="s">
        <v>927</v>
      </c>
      <c r="D129" s="449" t="s">
        <v>3169</v>
      </c>
      <c r="E129" s="449" t="s">
        <v>3646</v>
      </c>
      <c r="F129" s="449" t="s">
        <v>517</v>
      </c>
      <c r="G129" s="452" t="s">
        <v>3171</v>
      </c>
      <c r="H129" s="452">
        <v>210</v>
      </c>
      <c r="I129" s="452"/>
      <c r="J129" s="452"/>
      <c r="K129" s="452" t="s">
        <v>3172</v>
      </c>
      <c r="L129" s="452" t="s">
        <v>3172</v>
      </c>
      <c r="M129" s="449" t="s">
        <v>3173</v>
      </c>
      <c r="N129" s="449">
        <v>0</v>
      </c>
      <c r="O129" s="449" t="s">
        <v>3174</v>
      </c>
      <c r="P129" s="449" t="s">
        <v>3647</v>
      </c>
      <c r="Q129" s="449" t="s">
        <v>3176</v>
      </c>
    </row>
    <row r="130" spans="1:17">
      <c r="A130" s="451">
        <v>129</v>
      </c>
      <c r="B130" s="449" t="s">
        <v>3648</v>
      </c>
      <c r="C130" s="449" t="s">
        <v>929</v>
      </c>
      <c r="D130" s="449" t="s">
        <v>3169</v>
      </c>
      <c r="E130" s="449" t="s">
        <v>3649</v>
      </c>
      <c r="F130" s="449" t="s">
        <v>517</v>
      </c>
      <c r="G130" s="452" t="s">
        <v>3171</v>
      </c>
      <c r="H130" s="452">
        <v>210</v>
      </c>
      <c r="I130" s="452"/>
      <c r="J130" s="452"/>
      <c r="K130" s="452" t="s">
        <v>3172</v>
      </c>
      <c r="L130" s="452" t="s">
        <v>3172</v>
      </c>
      <c r="M130" s="449" t="s">
        <v>3173</v>
      </c>
      <c r="N130" s="449">
        <v>0</v>
      </c>
      <c r="O130" s="449" t="s">
        <v>3174</v>
      </c>
      <c r="P130" s="449" t="s">
        <v>3650</v>
      </c>
      <c r="Q130" s="449" t="s">
        <v>3176</v>
      </c>
    </row>
    <row r="131" spans="1:17">
      <c r="A131" s="451">
        <v>130</v>
      </c>
      <c r="B131" s="449" t="s">
        <v>3651</v>
      </c>
      <c r="C131" s="449" t="s">
        <v>3652</v>
      </c>
      <c r="D131" s="449" t="s">
        <v>3169</v>
      </c>
      <c r="E131" s="449" t="s">
        <v>3653</v>
      </c>
      <c r="F131" s="449" t="s">
        <v>517</v>
      </c>
      <c r="G131" s="452" t="s">
        <v>3171</v>
      </c>
      <c r="H131" s="452">
        <v>210</v>
      </c>
      <c r="I131" s="452"/>
      <c r="J131" s="452"/>
      <c r="K131" s="452" t="s">
        <v>3172</v>
      </c>
      <c r="L131" s="452" t="s">
        <v>3172</v>
      </c>
      <c r="M131" s="449" t="s">
        <v>3173</v>
      </c>
      <c r="N131" s="449">
        <v>0</v>
      </c>
      <c r="O131" s="449" t="s">
        <v>3174</v>
      </c>
      <c r="P131" s="449" t="s">
        <v>3654</v>
      </c>
      <c r="Q131" s="449" t="s">
        <v>3176</v>
      </c>
    </row>
    <row r="132" spans="1:17">
      <c r="A132" s="451">
        <v>131</v>
      </c>
      <c r="B132" s="449" t="s">
        <v>3655</v>
      </c>
      <c r="C132" s="449" t="s">
        <v>3656</v>
      </c>
      <c r="D132" s="449" t="s">
        <v>3169</v>
      </c>
      <c r="E132" s="449" t="s">
        <v>3657</v>
      </c>
      <c r="F132" s="449" t="s">
        <v>517</v>
      </c>
      <c r="G132" s="452" t="s">
        <v>3171</v>
      </c>
      <c r="H132" s="452">
        <v>210</v>
      </c>
      <c r="I132" s="452"/>
      <c r="J132" s="452"/>
      <c r="K132" s="452" t="s">
        <v>3172</v>
      </c>
      <c r="L132" s="452" t="s">
        <v>3172</v>
      </c>
      <c r="M132" s="449" t="s">
        <v>3173</v>
      </c>
      <c r="N132" s="449">
        <v>0</v>
      </c>
      <c r="O132" s="449" t="s">
        <v>3174</v>
      </c>
      <c r="P132" s="449" t="s">
        <v>3658</v>
      </c>
      <c r="Q132" s="449" t="s">
        <v>3176</v>
      </c>
    </row>
    <row r="133" spans="1:17">
      <c r="A133" s="451">
        <v>132</v>
      </c>
      <c r="B133" s="449" t="s">
        <v>3659</v>
      </c>
      <c r="C133" s="449" t="s">
        <v>878</v>
      </c>
      <c r="D133" s="449" t="s">
        <v>3169</v>
      </c>
      <c r="E133" s="449" t="s">
        <v>3660</v>
      </c>
      <c r="F133" s="449" t="s">
        <v>517</v>
      </c>
      <c r="G133" s="452" t="s">
        <v>3171</v>
      </c>
      <c r="H133" s="452">
        <v>210</v>
      </c>
      <c r="I133" s="452"/>
      <c r="J133" s="452"/>
      <c r="K133" s="452" t="s">
        <v>3172</v>
      </c>
      <c r="L133" s="452" t="s">
        <v>3172</v>
      </c>
      <c r="M133" s="449" t="s">
        <v>3173</v>
      </c>
      <c r="N133" s="449">
        <v>0</v>
      </c>
      <c r="O133" s="449" t="s">
        <v>3174</v>
      </c>
      <c r="P133" s="449" t="s">
        <v>3661</v>
      </c>
      <c r="Q133" s="449" t="s">
        <v>3176</v>
      </c>
    </row>
    <row r="134" spans="1:17">
      <c r="A134" s="451">
        <v>133</v>
      </c>
      <c r="B134" s="449" t="s">
        <v>3662</v>
      </c>
      <c r="C134" s="449" t="s">
        <v>879</v>
      </c>
      <c r="D134" s="449" t="s">
        <v>3169</v>
      </c>
      <c r="E134" s="449" t="s">
        <v>3663</v>
      </c>
      <c r="F134" s="449" t="s">
        <v>517</v>
      </c>
      <c r="G134" s="452" t="s">
        <v>3171</v>
      </c>
      <c r="H134" s="452">
        <v>210</v>
      </c>
      <c r="I134" s="452"/>
      <c r="J134" s="452"/>
      <c r="K134" s="452" t="s">
        <v>3172</v>
      </c>
      <c r="L134" s="452" t="s">
        <v>3172</v>
      </c>
      <c r="M134" s="449" t="s">
        <v>3173</v>
      </c>
      <c r="N134" s="449">
        <v>0</v>
      </c>
      <c r="O134" s="449" t="s">
        <v>3174</v>
      </c>
      <c r="P134" s="449" t="s">
        <v>3664</v>
      </c>
      <c r="Q134" s="449" t="s">
        <v>3176</v>
      </c>
    </row>
    <row r="135" spans="1:17">
      <c r="A135" s="451">
        <v>134</v>
      </c>
      <c r="B135" s="449" t="s">
        <v>3665</v>
      </c>
      <c r="C135" s="449" t="s">
        <v>882</v>
      </c>
      <c r="D135" s="449" t="s">
        <v>3169</v>
      </c>
      <c r="E135" s="449" t="s">
        <v>3666</v>
      </c>
      <c r="F135" s="449" t="s">
        <v>517</v>
      </c>
      <c r="G135" s="452" t="s">
        <v>3171</v>
      </c>
      <c r="H135" s="452">
        <v>210</v>
      </c>
      <c r="I135" s="452"/>
      <c r="J135" s="452"/>
      <c r="K135" s="452" t="s">
        <v>3172</v>
      </c>
      <c r="L135" s="452" t="s">
        <v>3172</v>
      </c>
      <c r="M135" s="449" t="s">
        <v>3173</v>
      </c>
      <c r="N135" s="449">
        <v>0</v>
      </c>
      <c r="O135" s="449" t="s">
        <v>3174</v>
      </c>
      <c r="P135" s="449" t="s">
        <v>3667</v>
      </c>
      <c r="Q135" s="449" t="s">
        <v>3176</v>
      </c>
    </row>
    <row r="136" spans="1:17">
      <c r="A136" s="451">
        <v>135</v>
      </c>
      <c r="B136" s="449" t="s">
        <v>3668</v>
      </c>
      <c r="C136" s="449" t="s">
        <v>3669</v>
      </c>
      <c r="D136" s="449" t="s">
        <v>3169</v>
      </c>
      <c r="E136" s="449" t="s">
        <v>3670</v>
      </c>
      <c r="F136" s="449" t="s">
        <v>517</v>
      </c>
      <c r="G136" s="452" t="s">
        <v>3171</v>
      </c>
      <c r="H136" s="452">
        <v>210</v>
      </c>
      <c r="I136" s="452"/>
      <c r="J136" s="452"/>
      <c r="K136" s="452" t="s">
        <v>3172</v>
      </c>
      <c r="L136" s="452" t="s">
        <v>3172</v>
      </c>
      <c r="M136" s="449" t="s">
        <v>3173</v>
      </c>
      <c r="N136" s="449">
        <v>0</v>
      </c>
      <c r="O136" s="449" t="s">
        <v>3174</v>
      </c>
      <c r="P136" s="449" t="s">
        <v>3671</v>
      </c>
      <c r="Q136" s="449" t="s">
        <v>3176</v>
      </c>
    </row>
    <row r="137" spans="1:17">
      <c r="A137" s="451">
        <v>136</v>
      </c>
      <c r="B137" s="449" t="s">
        <v>3672</v>
      </c>
      <c r="C137" s="449" t="s">
        <v>884</v>
      </c>
      <c r="D137" s="449" t="s">
        <v>3169</v>
      </c>
      <c r="E137" s="449" t="s">
        <v>3673</v>
      </c>
      <c r="F137" s="449" t="s">
        <v>517</v>
      </c>
      <c r="G137" s="452" t="s">
        <v>3171</v>
      </c>
      <c r="H137" s="452">
        <v>210</v>
      </c>
      <c r="I137" s="452"/>
      <c r="J137" s="452"/>
      <c r="K137" s="452" t="s">
        <v>3172</v>
      </c>
      <c r="L137" s="452" t="s">
        <v>3172</v>
      </c>
      <c r="M137" s="449" t="s">
        <v>3173</v>
      </c>
      <c r="N137" s="449">
        <v>0</v>
      </c>
      <c r="O137" s="449" t="s">
        <v>3174</v>
      </c>
      <c r="P137" s="449" t="s">
        <v>3674</v>
      </c>
      <c r="Q137" s="449" t="s">
        <v>3176</v>
      </c>
    </row>
    <row r="138" spans="1:17">
      <c r="A138" s="451">
        <v>137</v>
      </c>
      <c r="B138" s="449" t="s">
        <v>3675</v>
      </c>
      <c r="C138" s="449" t="s">
        <v>3676</v>
      </c>
      <c r="D138" s="449" t="s">
        <v>3169</v>
      </c>
      <c r="E138" s="449" t="s">
        <v>3677</v>
      </c>
      <c r="F138" s="449" t="s">
        <v>517</v>
      </c>
      <c r="G138" s="452" t="s">
        <v>3171</v>
      </c>
      <c r="H138" s="452">
        <v>210</v>
      </c>
      <c r="I138" s="452"/>
      <c r="J138" s="452"/>
      <c r="K138" s="452" t="s">
        <v>3172</v>
      </c>
      <c r="L138" s="452" t="s">
        <v>3172</v>
      </c>
      <c r="M138" s="449" t="s">
        <v>3173</v>
      </c>
      <c r="N138" s="449">
        <v>0</v>
      </c>
      <c r="O138" s="449" t="s">
        <v>3174</v>
      </c>
      <c r="P138" s="449" t="s">
        <v>3678</v>
      </c>
      <c r="Q138" s="449" t="s">
        <v>3176</v>
      </c>
    </row>
    <row r="139" spans="1:17">
      <c r="A139" s="451">
        <v>138</v>
      </c>
      <c r="B139" s="449" t="s">
        <v>3679</v>
      </c>
      <c r="C139" s="449" t="s">
        <v>3680</v>
      </c>
      <c r="D139" s="449" t="s">
        <v>3169</v>
      </c>
      <c r="E139" s="449" t="s">
        <v>3681</v>
      </c>
      <c r="F139" s="449" t="s">
        <v>517</v>
      </c>
      <c r="G139" s="452" t="s">
        <v>3171</v>
      </c>
      <c r="H139" s="452">
        <v>210</v>
      </c>
      <c r="I139" s="452"/>
      <c r="J139" s="452"/>
      <c r="K139" s="452" t="s">
        <v>3172</v>
      </c>
      <c r="L139" s="452" t="s">
        <v>3172</v>
      </c>
      <c r="M139" s="449" t="s">
        <v>3173</v>
      </c>
      <c r="N139" s="449">
        <v>0</v>
      </c>
      <c r="O139" s="449" t="s">
        <v>3174</v>
      </c>
      <c r="P139" s="449" t="s">
        <v>3682</v>
      </c>
      <c r="Q139" s="449" t="s">
        <v>3176</v>
      </c>
    </row>
    <row r="140" spans="1:17">
      <c r="A140" s="451">
        <v>139</v>
      </c>
      <c r="B140" s="449" t="s">
        <v>3683</v>
      </c>
      <c r="C140" s="449" t="s">
        <v>889</v>
      </c>
      <c r="D140" s="449" t="s">
        <v>3169</v>
      </c>
      <c r="E140" s="449" t="s">
        <v>3684</v>
      </c>
      <c r="F140" s="449" t="s">
        <v>517</v>
      </c>
      <c r="G140" s="452" t="s">
        <v>3171</v>
      </c>
      <c r="H140" s="452">
        <v>210</v>
      </c>
      <c r="I140" s="452"/>
      <c r="J140" s="452"/>
      <c r="K140" s="452" t="s">
        <v>3172</v>
      </c>
      <c r="L140" s="452" t="s">
        <v>3172</v>
      </c>
      <c r="M140" s="449" t="s">
        <v>3173</v>
      </c>
      <c r="N140" s="449">
        <v>0</v>
      </c>
      <c r="O140" s="449" t="s">
        <v>3174</v>
      </c>
      <c r="P140" s="449" t="s">
        <v>3685</v>
      </c>
      <c r="Q140" s="449" t="s">
        <v>3176</v>
      </c>
    </row>
    <row r="141" spans="1:17">
      <c r="A141" s="451">
        <v>140</v>
      </c>
      <c r="B141" s="449" t="s">
        <v>3686</v>
      </c>
      <c r="C141" s="449" t="s">
        <v>3687</v>
      </c>
      <c r="D141" s="449" t="s">
        <v>3169</v>
      </c>
      <c r="E141" s="449" t="s">
        <v>3688</v>
      </c>
      <c r="F141" s="449" t="s">
        <v>517</v>
      </c>
      <c r="G141" s="452" t="s">
        <v>3171</v>
      </c>
      <c r="H141" s="452">
        <v>210</v>
      </c>
      <c r="I141" s="452"/>
      <c r="J141" s="452"/>
      <c r="K141" s="452" t="s">
        <v>3172</v>
      </c>
      <c r="L141" s="452" t="s">
        <v>3172</v>
      </c>
      <c r="M141" s="449" t="s">
        <v>3173</v>
      </c>
      <c r="N141" s="449">
        <v>0</v>
      </c>
      <c r="O141" s="449" t="s">
        <v>3174</v>
      </c>
      <c r="P141" s="449" t="s">
        <v>3689</v>
      </c>
      <c r="Q141" s="449" t="s">
        <v>3690</v>
      </c>
    </row>
    <row r="142" spans="1:17">
      <c r="A142" s="451">
        <v>141</v>
      </c>
      <c r="B142" s="449" t="s">
        <v>3691</v>
      </c>
      <c r="C142" s="449" t="s">
        <v>3692</v>
      </c>
      <c r="D142" s="449" t="s">
        <v>3169</v>
      </c>
      <c r="E142" s="449" t="s">
        <v>3693</v>
      </c>
      <c r="F142" s="449" t="s">
        <v>517</v>
      </c>
      <c r="G142" s="452" t="s">
        <v>3171</v>
      </c>
      <c r="H142" s="452">
        <v>210</v>
      </c>
      <c r="I142" s="452"/>
      <c r="J142" s="452"/>
      <c r="K142" s="452" t="s">
        <v>3172</v>
      </c>
      <c r="L142" s="452" t="s">
        <v>3172</v>
      </c>
      <c r="M142" s="449" t="s">
        <v>3173</v>
      </c>
      <c r="N142" s="449">
        <v>0</v>
      </c>
      <c r="O142" s="449" t="s">
        <v>3174</v>
      </c>
      <c r="P142" s="449" t="s">
        <v>3694</v>
      </c>
      <c r="Q142" s="449" t="s">
        <v>3176</v>
      </c>
    </row>
    <row r="143" spans="1:17">
      <c r="A143" s="451">
        <v>142</v>
      </c>
      <c r="B143" s="449" t="s">
        <v>3695</v>
      </c>
      <c r="C143" s="449" t="s">
        <v>892</v>
      </c>
      <c r="D143" s="449" t="s">
        <v>3169</v>
      </c>
      <c r="E143" s="449" t="s">
        <v>3696</v>
      </c>
      <c r="F143" s="449" t="s">
        <v>517</v>
      </c>
      <c r="G143" s="452" t="s">
        <v>3171</v>
      </c>
      <c r="H143" s="452">
        <v>210</v>
      </c>
      <c r="I143" s="452"/>
      <c r="J143" s="452"/>
      <c r="K143" s="452" t="s">
        <v>3172</v>
      </c>
      <c r="L143" s="452" t="s">
        <v>3172</v>
      </c>
      <c r="M143" s="449" t="s">
        <v>3173</v>
      </c>
      <c r="N143" s="449">
        <v>0</v>
      </c>
      <c r="O143" s="449" t="s">
        <v>3174</v>
      </c>
      <c r="P143" s="449" t="s">
        <v>3697</v>
      </c>
      <c r="Q143" s="449" t="s">
        <v>3176</v>
      </c>
    </row>
    <row r="144" spans="1:17">
      <c r="A144" s="451">
        <v>143</v>
      </c>
      <c r="B144" s="449" t="s">
        <v>3698</v>
      </c>
      <c r="C144" s="449" t="s">
        <v>3699</v>
      </c>
      <c r="D144" s="449" t="s">
        <v>3169</v>
      </c>
      <c r="E144" s="449" t="s">
        <v>3700</v>
      </c>
      <c r="F144" s="449" t="s">
        <v>517</v>
      </c>
      <c r="G144" s="452" t="s">
        <v>3171</v>
      </c>
      <c r="H144" s="452">
        <v>210</v>
      </c>
      <c r="I144" s="452"/>
      <c r="J144" s="452"/>
      <c r="K144" s="452" t="s">
        <v>3172</v>
      </c>
      <c r="L144" s="452" t="s">
        <v>3172</v>
      </c>
      <c r="M144" s="449" t="s">
        <v>3173</v>
      </c>
      <c r="N144" s="449">
        <v>0</v>
      </c>
      <c r="O144" s="449" t="s">
        <v>3174</v>
      </c>
      <c r="P144" s="449" t="s">
        <v>3701</v>
      </c>
      <c r="Q144" s="449" t="s">
        <v>3176</v>
      </c>
    </row>
    <row r="145" spans="1:17">
      <c r="A145" s="451">
        <v>144</v>
      </c>
      <c r="B145" s="449" t="s">
        <v>3702</v>
      </c>
      <c r="C145" s="449" t="s">
        <v>3703</v>
      </c>
      <c r="D145" s="449" t="s">
        <v>3169</v>
      </c>
      <c r="E145" s="449" t="s">
        <v>3704</v>
      </c>
      <c r="F145" s="449" t="s">
        <v>517</v>
      </c>
      <c r="G145" s="452" t="s">
        <v>3171</v>
      </c>
      <c r="H145" s="452">
        <v>210</v>
      </c>
      <c r="I145" s="452"/>
      <c r="J145" s="452"/>
      <c r="K145" s="452" t="s">
        <v>3172</v>
      </c>
      <c r="L145" s="452" t="s">
        <v>3172</v>
      </c>
      <c r="M145" s="449" t="s">
        <v>3173</v>
      </c>
      <c r="N145" s="449">
        <v>0</v>
      </c>
      <c r="O145" s="449" t="s">
        <v>3174</v>
      </c>
      <c r="P145" s="449" t="s">
        <v>3705</v>
      </c>
      <c r="Q145" s="449" t="s">
        <v>3176</v>
      </c>
    </row>
    <row r="146" spans="1:17">
      <c r="A146" s="451">
        <v>145</v>
      </c>
      <c r="B146" s="449" t="s">
        <v>3706</v>
      </c>
      <c r="C146" s="449" t="s">
        <v>3707</v>
      </c>
      <c r="D146" s="449" t="s">
        <v>3169</v>
      </c>
      <c r="E146" s="449" t="s">
        <v>3708</v>
      </c>
      <c r="F146" s="449" t="s">
        <v>517</v>
      </c>
      <c r="G146" s="452" t="s">
        <v>3171</v>
      </c>
      <c r="H146" s="452">
        <v>210</v>
      </c>
      <c r="I146" s="452"/>
      <c r="J146" s="452"/>
      <c r="K146" s="452" t="s">
        <v>3172</v>
      </c>
      <c r="L146" s="452" t="s">
        <v>3172</v>
      </c>
      <c r="M146" s="449" t="s">
        <v>3173</v>
      </c>
      <c r="N146" s="449">
        <v>0</v>
      </c>
      <c r="O146" s="449" t="s">
        <v>3174</v>
      </c>
      <c r="P146" s="449" t="s">
        <v>3709</v>
      </c>
      <c r="Q146" s="449" t="s">
        <v>3176</v>
      </c>
    </row>
    <row r="147" spans="1:17">
      <c r="A147" s="451">
        <v>146</v>
      </c>
      <c r="B147" s="449" t="s">
        <v>3710</v>
      </c>
      <c r="C147" s="449" t="s">
        <v>1330</v>
      </c>
      <c r="D147" s="449" t="s">
        <v>3169</v>
      </c>
      <c r="E147" s="449" t="s">
        <v>3711</v>
      </c>
      <c r="F147" s="449" t="s">
        <v>517</v>
      </c>
      <c r="G147" s="452" t="s">
        <v>3171</v>
      </c>
      <c r="H147" s="452">
        <v>210</v>
      </c>
      <c r="I147" s="452"/>
      <c r="J147" s="452"/>
      <c r="K147" s="452" t="s">
        <v>3172</v>
      </c>
      <c r="L147" s="452" t="s">
        <v>3172</v>
      </c>
      <c r="M147" s="449" t="s">
        <v>3173</v>
      </c>
      <c r="N147" s="449">
        <v>0</v>
      </c>
      <c r="O147" s="449" t="s">
        <v>3174</v>
      </c>
      <c r="P147" s="449" t="s">
        <v>3712</v>
      </c>
      <c r="Q147" s="449" t="s">
        <v>3176</v>
      </c>
    </row>
    <row r="148" spans="1:17">
      <c r="A148" s="451">
        <v>147</v>
      </c>
      <c r="B148" s="449" t="s">
        <v>3713</v>
      </c>
      <c r="C148" s="449" t="s">
        <v>894</v>
      </c>
      <c r="D148" s="449" t="s">
        <v>3169</v>
      </c>
      <c r="E148" s="449" t="s">
        <v>3714</v>
      </c>
      <c r="F148" s="449" t="s">
        <v>517</v>
      </c>
      <c r="G148" s="452" t="s">
        <v>3171</v>
      </c>
      <c r="H148" s="452">
        <v>210</v>
      </c>
      <c r="I148" s="452"/>
      <c r="J148" s="452"/>
      <c r="K148" s="452" t="s">
        <v>3172</v>
      </c>
      <c r="L148" s="452" t="s">
        <v>3172</v>
      </c>
      <c r="M148" s="449" t="s">
        <v>3173</v>
      </c>
      <c r="N148" s="449">
        <v>0</v>
      </c>
      <c r="O148" s="449" t="s">
        <v>3174</v>
      </c>
      <c r="P148" s="449" t="s">
        <v>3715</v>
      </c>
      <c r="Q148" s="449" t="s">
        <v>3176</v>
      </c>
    </row>
    <row r="149" spans="1:17">
      <c r="A149" s="451">
        <v>148</v>
      </c>
      <c r="B149" s="449" t="s">
        <v>3716</v>
      </c>
      <c r="C149" s="449" t="s">
        <v>3717</v>
      </c>
      <c r="D149" s="449" t="s">
        <v>3169</v>
      </c>
      <c r="E149" s="449" t="s">
        <v>3718</v>
      </c>
      <c r="F149" s="449" t="s">
        <v>517</v>
      </c>
      <c r="G149" s="452" t="s">
        <v>3171</v>
      </c>
      <c r="H149" s="452">
        <v>210</v>
      </c>
      <c r="I149" s="452"/>
      <c r="J149" s="452"/>
      <c r="K149" s="452" t="s">
        <v>3172</v>
      </c>
      <c r="L149" s="452" t="s">
        <v>3172</v>
      </c>
      <c r="M149" s="449" t="s">
        <v>3173</v>
      </c>
      <c r="N149" s="449">
        <v>0</v>
      </c>
      <c r="O149" s="449" t="s">
        <v>3174</v>
      </c>
      <c r="P149" s="449" t="s">
        <v>3719</v>
      </c>
      <c r="Q149" s="449" t="s">
        <v>3176</v>
      </c>
    </row>
    <row r="150" spans="1:17">
      <c r="A150" s="451">
        <v>149</v>
      </c>
      <c r="B150" s="449" t="s">
        <v>3720</v>
      </c>
      <c r="C150" s="449" t="s">
        <v>3721</v>
      </c>
      <c r="D150" s="449" t="s">
        <v>3169</v>
      </c>
      <c r="E150" s="449" t="s">
        <v>3722</v>
      </c>
      <c r="F150" s="449" t="s">
        <v>517</v>
      </c>
      <c r="G150" s="452" t="s">
        <v>3171</v>
      </c>
      <c r="H150" s="452">
        <v>210</v>
      </c>
      <c r="I150" s="452"/>
      <c r="J150" s="452"/>
      <c r="K150" s="452" t="s">
        <v>3172</v>
      </c>
      <c r="L150" s="452" t="s">
        <v>3172</v>
      </c>
      <c r="M150" s="449" t="s">
        <v>3173</v>
      </c>
      <c r="N150" s="449">
        <v>0</v>
      </c>
      <c r="O150" s="449" t="s">
        <v>3174</v>
      </c>
      <c r="P150" s="449" t="s">
        <v>3723</v>
      </c>
      <c r="Q150" s="449" t="s">
        <v>3176</v>
      </c>
    </row>
    <row r="151" spans="1:17">
      <c r="A151" s="451">
        <v>150</v>
      </c>
      <c r="B151" s="449" t="s">
        <v>3724</v>
      </c>
      <c r="C151" s="449" t="s">
        <v>3725</v>
      </c>
      <c r="D151" s="449" t="s">
        <v>3169</v>
      </c>
      <c r="E151" s="449" t="s">
        <v>3726</v>
      </c>
      <c r="F151" s="449" t="s">
        <v>517</v>
      </c>
      <c r="G151" s="452" t="s">
        <v>3171</v>
      </c>
      <c r="H151" s="452">
        <v>210</v>
      </c>
      <c r="I151" s="452"/>
      <c r="J151" s="452"/>
      <c r="K151" s="452" t="s">
        <v>3172</v>
      </c>
      <c r="L151" s="452" t="s">
        <v>3172</v>
      </c>
      <c r="M151" s="449" t="s">
        <v>3173</v>
      </c>
      <c r="N151" s="449">
        <v>0</v>
      </c>
      <c r="O151" s="449" t="s">
        <v>3174</v>
      </c>
      <c r="P151" s="449" t="s">
        <v>3727</v>
      </c>
      <c r="Q151" s="449" t="s">
        <v>3176</v>
      </c>
    </row>
    <row r="152" spans="1:17">
      <c r="A152" s="451">
        <v>151</v>
      </c>
      <c r="B152" s="449" t="s">
        <v>3728</v>
      </c>
      <c r="C152" s="449" t="s">
        <v>896</v>
      </c>
      <c r="D152" s="449" t="s">
        <v>3169</v>
      </c>
      <c r="E152" s="449" t="s">
        <v>3729</v>
      </c>
      <c r="F152" s="449" t="s">
        <v>517</v>
      </c>
      <c r="G152" s="452" t="s">
        <v>3171</v>
      </c>
      <c r="H152" s="452">
        <v>210</v>
      </c>
      <c r="I152" s="452"/>
      <c r="J152" s="452"/>
      <c r="K152" s="452" t="s">
        <v>3172</v>
      </c>
      <c r="L152" s="452" t="s">
        <v>3172</v>
      </c>
      <c r="M152" s="449" t="s">
        <v>3173</v>
      </c>
      <c r="N152" s="449">
        <v>0</v>
      </c>
      <c r="O152" s="449" t="s">
        <v>3174</v>
      </c>
      <c r="P152" s="449" t="s">
        <v>3730</v>
      </c>
      <c r="Q152" s="449" t="s">
        <v>3176</v>
      </c>
    </row>
    <row r="153" spans="1:17">
      <c r="A153" s="451">
        <v>152</v>
      </c>
      <c r="B153" s="449" t="s">
        <v>3731</v>
      </c>
      <c r="C153" s="449" t="s">
        <v>94</v>
      </c>
      <c r="D153" s="449" t="s">
        <v>3169</v>
      </c>
      <c r="E153" s="449" t="s">
        <v>3732</v>
      </c>
      <c r="F153" s="449" t="s">
        <v>517</v>
      </c>
      <c r="G153" s="452" t="s">
        <v>3171</v>
      </c>
      <c r="H153" s="452">
        <v>210</v>
      </c>
      <c r="I153" s="452"/>
      <c r="J153" s="452"/>
      <c r="K153" s="452" t="s">
        <v>3172</v>
      </c>
      <c r="L153" s="452" t="s">
        <v>3172</v>
      </c>
      <c r="M153" s="449" t="s">
        <v>3173</v>
      </c>
      <c r="N153" s="449">
        <v>0</v>
      </c>
      <c r="O153" s="449" t="s">
        <v>3174</v>
      </c>
      <c r="P153" s="449" t="s">
        <v>3733</v>
      </c>
      <c r="Q153" s="449" t="s">
        <v>3176</v>
      </c>
    </row>
    <row r="154" spans="1:17">
      <c r="A154" s="451">
        <v>153</v>
      </c>
      <c r="B154" s="449" t="s">
        <v>3734</v>
      </c>
      <c r="C154" s="449" t="s">
        <v>99</v>
      </c>
      <c r="D154" s="449" t="s">
        <v>3169</v>
      </c>
      <c r="E154" s="449" t="s">
        <v>3735</v>
      </c>
      <c r="F154" s="449" t="s">
        <v>517</v>
      </c>
      <c r="G154" s="452" t="s">
        <v>3171</v>
      </c>
      <c r="H154" s="452">
        <v>210</v>
      </c>
      <c r="I154" s="452"/>
      <c r="J154" s="452"/>
      <c r="K154" s="452" t="s">
        <v>3172</v>
      </c>
      <c r="L154" s="452" t="s">
        <v>3172</v>
      </c>
      <c r="M154" s="449" t="s">
        <v>3173</v>
      </c>
      <c r="N154" s="449">
        <v>0</v>
      </c>
      <c r="O154" s="449" t="s">
        <v>3174</v>
      </c>
      <c r="P154" s="449" t="s">
        <v>3736</v>
      </c>
      <c r="Q154" s="449" t="s">
        <v>3176</v>
      </c>
    </row>
    <row r="155" spans="1:17">
      <c r="A155" s="451">
        <v>154</v>
      </c>
      <c r="B155" s="449" t="s">
        <v>3737</v>
      </c>
      <c r="C155" s="449" t="s">
        <v>176</v>
      </c>
      <c r="D155" s="449" t="s">
        <v>3169</v>
      </c>
      <c r="E155" s="449" t="s">
        <v>3738</v>
      </c>
      <c r="F155" s="449" t="s">
        <v>517</v>
      </c>
      <c r="G155" s="452" t="s">
        <v>3171</v>
      </c>
      <c r="H155" s="452">
        <v>210</v>
      </c>
      <c r="I155" s="452"/>
      <c r="J155" s="452"/>
      <c r="K155" s="452" t="s">
        <v>3172</v>
      </c>
      <c r="L155" s="452" t="s">
        <v>3172</v>
      </c>
      <c r="M155" s="449" t="s">
        <v>3173</v>
      </c>
      <c r="N155" s="449">
        <v>0</v>
      </c>
      <c r="O155" s="449" t="s">
        <v>3174</v>
      </c>
      <c r="P155" s="449" t="s">
        <v>3739</v>
      </c>
      <c r="Q155" s="449" t="s">
        <v>3176</v>
      </c>
    </row>
    <row r="156" spans="1:17">
      <c r="A156" s="451">
        <v>155</v>
      </c>
      <c r="B156" s="449" t="s">
        <v>3740</v>
      </c>
      <c r="C156" s="449" t="s">
        <v>101</v>
      </c>
      <c r="D156" s="449" t="s">
        <v>3169</v>
      </c>
      <c r="E156" s="449" t="s">
        <v>3741</v>
      </c>
      <c r="F156" s="449" t="s">
        <v>517</v>
      </c>
      <c r="G156" s="452" t="s">
        <v>3171</v>
      </c>
      <c r="H156" s="452">
        <v>210</v>
      </c>
      <c r="I156" s="452"/>
      <c r="J156" s="452"/>
      <c r="K156" s="452" t="s">
        <v>3172</v>
      </c>
      <c r="L156" s="452" t="s">
        <v>3172</v>
      </c>
      <c r="M156" s="449" t="s">
        <v>3173</v>
      </c>
      <c r="N156" s="449">
        <v>0</v>
      </c>
      <c r="O156" s="449" t="s">
        <v>3174</v>
      </c>
      <c r="P156" s="449" t="s">
        <v>3742</v>
      </c>
      <c r="Q156" s="449" t="s">
        <v>3176</v>
      </c>
    </row>
    <row r="157" spans="1:17">
      <c r="A157" s="451">
        <v>156</v>
      </c>
      <c r="B157" s="449" t="s">
        <v>3743</v>
      </c>
      <c r="C157" s="449" t="s">
        <v>105</v>
      </c>
      <c r="D157" s="449" t="s">
        <v>3169</v>
      </c>
      <c r="E157" s="449" t="s">
        <v>3744</v>
      </c>
      <c r="F157" s="449" t="s">
        <v>517</v>
      </c>
      <c r="G157" s="452" t="s">
        <v>3171</v>
      </c>
      <c r="H157" s="452">
        <v>210</v>
      </c>
      <c r="I157" s="452"/>
      <c r="J157" s="452"/>
      <c r="K157" s="452" t="s">
        <v>3172</v>
      </c>
      <c r="L157" s="452" t="s">
        <v>3172</v>
      </c>
      <c r="M157" s="449" t="s">
        <v>3173</v>
      </c>
      <c r="N157" s="449">
        <v>0</v>
      </c>
      <c r="O157" s="449" t="s">
        <v>3174</v>
      </c>
      <c r="P157" s="449" t="s">
        <v>3745</v>
      </c>
      <c r="Q157" s="449" t="s">
        <v>3176</v>
      </c>
    </row>
    <row r="158" spans="1:17">
      <c r="A158" s="451">
        <v>157</v>
      </c>
      <c r="B158" s="449" t="s">
        <v>3746</v>
      </c>
      <c r="C158" s="449" t="s">
        <v>102</v>
      </c>
      <c r="D158" s="449" t="s">
        <v>3169</v>
      </c>
      <c r="E158" s="449" t="s">
        <v>3747</v>
      </c>
      <c r="F158" s="449" t="s">
        <v>517</v>
      </c>
      <c r="G158" s="452" t="s">
        <v>3171</v>
      </c>
      <c r="H158" s="452">
        <v>210</v>
      </c>
      <c r="I158" s="452"/>
      <c r="J158" s="452"/>
      <c r="K158" s="452" t="s">
        <v>3172</v>
      </c>
      <c r="L158" s="452" t="s">
        <v>3172</v>
      </c>
      <c r="M158" s="449" t="s">
        <v>3173</v>
      </c>
      <c r="N158" s="449">
        <v>0</v>
      </c>
      <c r="O158" s="449" t="s">
        <v>3174</v>
      </c>
      <c r="P158" s="449" t="s">
        <v>3748</v>
      </c>
      <c r="Q158" s="449" t="s">
        <v>3176</v>
      </c>
    </row>
    <row r="159" spans="1:17">
      <c r="A159" s="451">
        <v>158</v>
      </c>
      <c r="B159" s="449" t="s">
        <v>3749</v>
      </c>
      <c r="C159" s="449" t="s">
        <v>107</v>
      </c>
      <c r="D159" s="449" t="s">
        <v>3169</v>
      </c>
      <c r="E159" s="449" t="s">
        <v>3750</v>
      </c>
      <c r="F159" s="449" t="s">
        <v>517</v>
      </c>
      <c r="G159" s="452" t="s">
        <v>3171</v>
      </c>
      <c r="H159" s="452">
        <v>210</v>
      </c>
      <c r="I159" s="452"/>
      <c r="J159" s="452"/>
      <c r="K159" s="452" t="s">
        <v>3172</v>
      </c>
      <c r="L159" s="452" t="s">
        <v>3172</v>
      </c>
      <c r="M159" s="449" t="s">
        <v>3173</v>
      </c>
      <c r="N159" s="449">
        <v>0</v>
      </c>
      <c r="O159" s="449" t="s">
        <v>3174</v>
      </c>
      <c r="P159" s="449" t="s">
        <v>3751</v>
      </c>
      <c r="Q159" s="449" t="s">
        <v>3176</v>
      </c>
    </row>
    <row r="160" spans="1:17">
      <c r="A160" s="451">
        <v>159</v>
      </c>
      <c r="B160" s="449" t="s">
        <v>3752</v>
      </c>
      <c r="C160" s="449" t="s">
        <v>108</v>
      </c>
      <c r="D160" s="449" t="s">
        <v>3169</v>
      </c>
      <c r="E160" s="449" t="s">
        <v>3753</v>
      </c>
      <c r="F160" s="449" t="s">
        <v>517</v>
      </c>
      <c r="G160" s="452" t="s">
        <v>3171</v>
      </c>
      <c r="H160" s="452">
        <v>210</v>
      </c>
      <c r="I160" s="452"/>
      <c r="J160" s="452"/>
      <c r="K160" s="452" t="s">
        <v>3172</v>
      </c>
      <c r="L160" s="452" t="s">
        <v>3172</v>
      </c>
      <c r="M160" s="449" t="s">
        <v>3173</v>
      </c>
      <c r="N160" s="449">
        <v>0</v>
      </c>
      <c r="O160" s="449" t="s">
        <v>3174</v>
      </c>
      <c r="P160" s="449" t="s">
        <v>3754</v>
      </c>
      <c r="Q160" s="449" t="s">
        <v>3176</v>
      </c>
    </row>
    <row r="161" spans="1:17">
      <c r="A161" s="451">
        <v>160</v>
      </c>
      <c r="B161" s="449" t="s">
        <v>3755</v>
      </c>
      <c r="C161" s="449" t="s">
        <v>109</v>
      </c>
      <c r="D161" s="449" t="s">
        <v>3169</v>
      </c>
      <c r="E161" s="449" t="s">
        <v>3756</v>
      </c>
      <c r="F161" s="449" t="s">
        <v>517</v>
      </c>
      <c r="G161" s="452" t="s">
        <v>3171</v>
      </c>
      <c r="H161" s="452">
        <v>210</v>
      </c>
      <c r="I161" s="452"/>
      <c r="J161" s="452"/>
      <c r="K161" s="452" t="s">
        <v>3172</v>
      </c>
      <c r="L161" s="452" t="s">
        <v>3172</v>
      </c>
      <c r="M161" s="449" t="s">
        <v>3173</v>
      </c>
      <c r="N161" s="449">
        <v>0</v>
      </c>
      <c r="O161" s="449" t="s">
        <v>3174</v>
      </c>
      <c r="P161" s="449" t="s">
        <v>3757</v>
      </c>
      <c r="Q161" s="449" t="s">
        <v>3176</v>
      </c>
    </row>
    <row r="162" spans="1:17">
      <c r="A162" s="451">
        <v>161</v>
      </c>
      <c r="B162" s="449" t="s">
        <v>3758</v>
      </c>
      <c r="C162" s="449" t="s">
        <v>110</v>
      </c>
      <c r="D162" s="449" t="s">
        <v>3169</v>
      </c>
      <c r="E162" s="449" t="s">
        <v>3759</v>
      </c>
      <c r="F162" s="449" t="s">
        <v>517</v>
      </c>
      <c r="G162" s="452" t="s">
        <v>3171</v>
      </c>
      <c r="H162" s="452">
        <v>210</v>
      </c>
      <c r="I162" s="452"/>
      <c r="J162" s="452"/>
      <c r="K162" s="452" t="s">
        <v>3172</v>
      </c>
      <c r="L162" s="452" t="s">
        <v>3172</v>
      </c>
      <c r="M162" s="449" t="s">
        <v>3173</v>
      </c>
      <c r="N162" s="449">
        <v>0</v>
      </c>
      <c r="O162" s="449" t="s">
        <v>3174</v>
      </c>
      <c r="P162" s="449" t="s">
        <v>3760</v>
      </c>
      <c r="Q162" s="449" t="s">
        <v>3176</v>
      </c>
    </row>
    <row r="163" spans="1:17">
      <c r="A163" s="451">
        <v>162</v>
      </c>
      <c r="B163" s="449" t="s">
        <v>3761</v>
      </c>
      <c r="C163" s="449" t="s">
        <v>111</v>
      </c>
      <c r="D163" s="449" t="s">
        <v>3169</v>
      </c>
      <c r="E163" s="449" t="s">
        <v>3762</v>
      </c>
      <c r="F163" s="449" t="s">
        <v>517</v>
      </c>
      <c r="G163" s="452" t="s">
        <v>3171</v>
      </c>
      <c r="H163" s="452">
        <v>210</v>
      </c>
      <c r="I163" s="452"/>
      <c r="J163" s="452"/>
      <c r="K163" s="452" t="s">
        <v>3172</v>
      </c>
      <c r="L163" s="452" t="s">
        <v>3172</v>
      </c>
      <c r="M163" s="449" t="s">
        <v>3173</v>
      </c>
      <c r="N163" s="449">
        <v>0</v>
      </c>
      <c r="O163" s="449" t="s">
        <v>3174</v>
      </c>
      <c r="P163" s="449" t="s">
        <v>3763</v>
      </c>
      <c r="Q163" s="449" t="s">
        <v>3176</v>
      </c>
    </row>
    <row r="164" spans="1:17">
      <c r="A164" s="451">
        <v>163</v>
      </c>
      <c r="B164" s="449" t="s">
        <v>3764</v>
      </c>
      <c r="C164" s="449" t="s">
        <v>112</v>
      </c>
      <c r="D164" s="449" t="s">
        <v>3169</v>
      </c>
      <c r="E164" s="449" t="s">
        <v>3765</v>
      </c>
      <c r="F164" s="449" t="s">
        <v>517</v>
      </c>
      <c r="G164" s="452" t="s">
        <v>3171</v>
      </c>
      <c r="H164" s="452">
        <v>210</v>
      </c>
      <c r="I164" s="452"/>
      <c r="J164" s="452"/>
      <c r="K164" s="452" t="s">
        <v>3172</v>
      </c>
      <c r="L164" s="452" t="s">
        <v>3172</v>
      </c>
      <c r="M164" s="449" t="s">
        <v>3173</v>
      </c>
      <c r="N164" s="449">
        <v>0</v>
      </c>
      <c r="O164" s="449" t="s">
        <v>3174</v>
      </c>
      <c r="P164" s="449" t="s">
        <v>3766</v>
      </c>
      <c r="Q164" s="449" t="s">
        <v>3176</v>
      </c>
    </row>
    <row r="165" spans="1:17">
      <c r="A165" s="451">
        <v>164</v>
      </c>
      <c r="B165" s="449" t="s">
        <v>3767</v>
      </c>
      <c r="C165" s="449" t="s">
        <v>114</v>
      </c>
      <c r="D165" s="449" t="s">
        <v>3169</v>
      </c>
      <c r="E165" s="449" t="s">
        <v>3768</v>
      </c>
      <c r="F165" s="449" t="s">
        <v>517</v>
      </c>
      <c r="G165" s="452" t="s">
        <v>3171</v>
      </c>
      <c r="H165" s="452">
        <v>210</v>
      </c>
      <c r="I165" s="452"/>
      <c r="J165" s="452"/>
      <c r="K165" s="452" t="s">
        <v>3172</v>
      </c>
      <c r="L165" s="452" t="s">
        <v>3172</v>
      </c>
      <c r="M165" s="449" t="s">
        <v>3173</v>
      </c>
      <c r="N165" s="449">
        <v>0</v>
      </c>
      <c r="O165" s="449" t="s">
        <v>3174</v>
      </c>
      <c r="P165" s="449" t="s">
        <v>3769</v>
      </c>
      <c r="Q165" s="449" t="s">
        <v>3176</v>
      </c>
    </row>
    <row r="166" spans="1:17">
      <c r="A166" s="451">
        <v>165</v>
      </c>
      <c r="B166" s="449" t="s">
        <v>3770</v>
      </c>
      <c r="C166" s="449" t="s">
        <v>116</v>
      </c>
      <c r="D166" s="449" t="s">
        <v>3169</v>
      </c>
      <c r="E166" s="449" t="s">
        <v>3771</v>
      </c>
      <c r="F166" s="449" t="s">
        <v>517</v>
      </c>
      <c r="G166" s="452" t="s">
        <v>3171</v>
      </c>
      <c r="H166" s="452">
        <v>210</v>
      </c>
      <c r="I166" s="452"/>
      <c r="J166" s="452"/>
      <c r="K166" s="452" t="s">
        <v>3172</v>
      </c>
      <c r="L166" s="452" t="s">
        <v>3172</v>
      </c>
      <c r="M166" s="449" t="s">
        <v>3173</v>
      </c>
      <c r="N166" s="449">
        <v>0</v>
      </c>
      <c r="O166" s="449" t="s">
        <v>3174</v>
      </c>
      <c r="P166" s="449" t="s">
        <v>3772</v>
      </c>
      <c r="Q166" s="449" t="s">
        <v>3176</v>
      </c>
    </row>
    <row r="167" spans="1:17">
      <c r="A167" s="451">
        <v>166</v>
      </c>
      <c r="B167" s="449" t="s">
        <v>3773</v>
      </c>
      <c r="C167" s="449" t="s">
        <v>117</v>
      </c>
      <c r="D167" s="449" t="s">
        <v>3169</v>
      </c>
      <c r="E167" s="449" t="s">
        <v>3774</v>
      </c>
      <c r="F167" s="449" t="s">
        <v>517</v>
      </c>
      <c r="G167" s="452" t="s">
        <v>3171</v>
      </c>
      <c r="H167" s="452">
        <v>210</v>
      </c>
      <c r="I167" s="452"/>
      <c r="J167" s="452"/>
      <c r="K167" s="452" t="s">
        <v>3172</v>
      </c>
      <c r="L167" s="452" t="s">
        <v>3172</v>
      </c>
      <c r="M167" s="449" t="s">
        <v>3173</v>
      </c>
      <c r="N167" s="449">
        <v>0</v>
      </c>
      <c r="O167" s="449" t="s">
        <v>3174</v>
      </c>
      <c r="P167" s="449" t="s">
        <v>3775</v>
      </c>
      <c r="Q167" s="449" t="s">
        <v>3176</v>
      </c>
    </row>
    <row r="168" spans="1:17">
      <c r="A168" s="451">
        <v>167</v>
      </c>
      <c r="B168" s="449" t="s">
        <v>3776</v>
      </c>
      <c r="C168" s="449" t="s">
        <v>118</v>
      </c>
      <c r="D168" s="449" t="s">
        <v>3169</v>
      </c>
      <c r="E168" s="449" t="s">
        <v>3777</v>
      </c>
      <c r="F168" s="449" t="s">
        <v>517</v>
      </c>
      <c r="G168" s="452" t="s">
        <v>3171</v>
      </c>
      <c r="H168" s="452">
        <v>210</v>
      </c>
      <c r="I168" s="452"/>
      <c r="J168" s="452"/>
      <c r="K168" s="452" t="s">
        <v>3172</v>
      </c>
      <c r="L168" s="452" t="s">
        <v>3172</v>
      </c>
      <c r="M168" s="449" t="s">
        <v>3173</v>
      </c>
      <c r="N168" s="449">
        <v>0</v>
      </c>
      <c r="O168" s="449" t="s">
        <v>3174</v>
      </c>
      <c r="P168" s="449" t="s">
        <v>3778</v>
      </c>
      <c r="Q168" s="449" t="s">
        <v>3176</v>
      </c>
    </row>
    <row r="169" spans="1:17">
      <c r="A169" s="451">
        <v>168</v>
      </c>
      <c r="B169" s="449" t="s">
        <v>3779</v>
      </c>
      <c r="C169" s="449" t="s">
        <v>119</v>
      </c>
      <c r="D169" s="449" t="s">
        <v>3169</v>
      </c>
      <c r="E169" s="449" t="s">
        <v>3780</v>
      </c>
      <c r="F169" s="449" t="s">
        <v>517</v>
      </c>
      <c r="G169" s="452" t="s">
        <v>3171</v>
      </c>
      <c r="H169" s="452">
        <v>210</v>
      </c>
      <c r="I169" s="452"/>
      <c r="J169" s="452"/>
      <c r="K169" s="452" t="s">
        <v>3172</v>
      </c>
      <c r="L169" s="452" t="s">
        <v>3172</v>
      </c>
      <c r="M169" s="449" t="s">
        <v>3173</v>
      </c>
      <c r="N169" s="449">
        <v>0</v>
      </c>
      <c r="O169" s="449" t="s">
        <v>3174</v>
      </c>
      <c r="P169" s="449" t="s">
        <v>3781</v>
      </c>
      <c r="Q169" s="449" t="s">
        <v>3176</v>
      </c>
    </row>
    <row r="170" spans="1:17">
      <c r="A170" s="451">
        <v>169</v>
      </c>
      <c r="B170" s="449" t="s">
        <v>3782</v>
      </c>
      <c r="C170" s="449" t="s">
        <v>375</v>
      </c>
      <c r="D170" s="449" t="s">
        <v>3169</v>
      </c>
      <c r="E170" s="449" t="s">
        <v>3783</v>
      </c>
      <c r="F170" s="449" t="s">
        <v>517</v>
      </c>
      <c r="G170" s="452" t="s">
        <v>3171</v>
      </c>
      <c r="H170" s="452">
        <v>210</v>
      </c>
      <c r="I170" s="452"/>
      <c r="J170" s="452"/>
      <c r="K170" s="452" t="s">
        <v>3172</v>
      </c>
      <c r="L170" s="452" t="s">
        <v>3172</v>
      </c>
      <c r="M170" s="449" t="s">
        <v>3173</v>
      </c>
      <c r="N170" s="449">
        <v>0</v>
      </c>
      <c r="O170" s="449" t="s">
        <v>3174</v>
      </c>
      <c r="P170" s="449" t="s">
        <v>3784</v>
      </c>
      <c r="Q170" s="449" t="s">
        <v>3176</v>
      </c>
    </row>
    <row r="171" spans="1:17">
      <c r="A171" s="451">
        <v>170</v>
      </c>
      <c r="B171" s="449" t="s">
        <v>3785</v>
      </c>
      <c r="C171" s="449" t="s">
        <v>3786</v>
      </c>
      <c r="D171" s="449" t="s">
        <v>3169</v>
      </c>
      <c r="E171" s="449" t="s">
        <v>3787</v>
      </c>
      <c r="F171" s="449" t="s">
        <v>517</v>
      </c>
      <c r="G171" s="452" t="s">
        <v>3171</v>
      </c>
      <c r="H171" s="452">
        <v>210</v>
      </c>
      <c r="I171" s="452"/>
      <c r="J171" s="452"/>
      <c r="K171" s="452" t="s">
        <v>3172</v>
      </c>
      <c r="L171" s="452" t="s">
        <v>3172</v>
      </c>
      <c r="M171" s="449" t="s">
        <v>3173</v>
      </c>
      <c r="N171" s="449">
        <v>0</v>
      </c>
      <c r="O171" s="449" t="s">
        <v>3174</v>
      </c>
      <c r="P171" s="449" t="s">
        <v>3788</v>
      </c>
      <c r="Q171" s="449" t="s">
        <v>3176</v>
      </c>
    </row>
    <row r="172" spans="1:17">
      <c r="A172" s="451">
        <v>171</v>
      </c>
      <c r="B172" s="449" t="s">
        <v>3789</v>
      </c>
      <c r="C172" s="449" t="s">
        <v>129</v>
      </c>
      <c r="D172" s="449" t="s">
        <v>3169</v>
      </c>
      <c r="E172" s="449" t="s">
        <v>3790</v>
      </c>
      <c r="F172" s="449" t="s">
        <v>517</v>
      </c>
      <c r="G172" s="452" t="s">
        <v>3171</v>
      </c>
      <c r="H172" s="452">
        <v>210</v>
      </c>
      <c r="I172" s="452"/>
      <c r="J172" s="452"/>
      <c r="K172" s="452" t="s">
        <v>3172</v>
      </c>
      <c r="L172" s="452" t="s">
        <v>3172</v>
      </c>
      <c r="M172" s="449" t="s">
        <v>3173</v>
      </c>
      <c r="N172" s="449">
        <v>0</v>
      </c>
      <c r="O172" s="449" t="s">
        <v>3174</v>
      </c>
      <c r="P172" s="449" t="s">
        <v>3791</v>
      </c>
      <c r="Q172" s="449" t="s">
        <v>3176</v>
      </c>
    </row>
    <row r="173" spans="1:17">
      <c r="A173" s="451">
        <v>172</v>
      </c>
      <c r="B173" s="449" t="s">
        <v>3792</v>
      </c>
      <c r="C173" s="449" t="s">
        <v>136</v>
      </c>
      <c r="D173" s="449" t="s">
        <v>3169</v>
      </c>
      <c r="E173" s="449" t="s">
        <v>3793</v>
      </c>
      <c r="F173" s="449" t="s">
        <v>517</v>
      </c>
      <c r="G173" s="452" t="s">
        <v>3171</v>
      </c>
      <c r="H173" s="452">
        <v>210</v>
      </c>
      <c r="I173" s="452"/>
      <c r="J173" s="452"/>
      <c r="K173" s="452" t="s">
        <v>3172</v>
      </c>
      <c r="L173" s="452" t="s">
        <v>3172</v>
      </c>
      <c r="M173" s="449" t="s">
        <v>3173</v>
      </c>
      <c r="N173" s="449">
        <v>0</v>
      </c>
      <c r="O173" s="449" t="s">
        <v>3174</v>
      </c>
      <c r="P173" s="449" t="s">
        <v>3794</v>
      </c>
      <c r="Q173" s="449" t="s">
        <v>3176</v>
      </c>
    </row>
    <row r="174" spans="1:17">
      <c r="A174" s="451">
        <v>173</v>
      </c>
      <c r="B174" s="449" t="s">
        <v>3795</v>
      </c>
      <c r="C174" s="449" t="s">
        <v>3796</v>
      </c>
      <c r="D174" s="449" t="s">
        <v>3169</v>
      </c>
      <c r="E174" s="449" t="s">
        <v>3797</v>
      </c>
      <c r="F174" s="449" t="s">
        <v>517</v>
      </c>
      <c r="G174" s="452" t="s">
        <v>3171</v>
      </c>
      <c r="H174" s="452">
        <v>210</v>
      </c>
      <c r="I174" s="452"/>
      <c r="J174" s="452"/>
      <c r="K174" s="452" t="s">
        <v>3172</v>
      </c>
      <c r="L174" s="452" t="s">
        <v>3172</v>
      </c>
      <c r="M174" s="449" t="s">
        <v>3173</v>
      </c>
      <c r="N174" s="449">
        <v>0</v>
      </c>
      <c r="O174" s="449" t="s">
        <v>3174</v>
      </c>
      <c r="P174" s="449" t="s">
        <v>3798</v>
      </c>
      <c r="Q174" s="449" t="s">
        <v>3176</v>
      </c>
    </row>
    <row r="175" spans="1:17">
      <c r="A175" s="451">
        <v>174</v>
      </c>
      <c r="B175" s="449" t="s">
        <v>3799</v>
      </c>
      <c r="C175" s="449" t="s">
        <v>142</v>
      </c>
      <c r="D175" s="449" t="s">
        <v>3169</v>
      </c>
      <c r="E175" s="449" t="s">
        <v>3800</v>
      </c>
      <c r="F175" s="449" t="s">
        <v>517</v>
      </c>
      <c r="G175" s="452" t="s">
        <v>3171</v>
      </c>
      <c r="H175" s="452">
        <v>210</v>
      </c>
      <c r="I175" s="452"/>
      <c r="J175" s="452"/>
      <c r="K175" s="452" t="s">
        <v>3172</v>
      </c>
      <c r="L175" s="452" t="s">
        <v>3172</v>
      </c>
      <c r="M175" s="449" t="s">
        <v>3173</v>
      </c>
      <c r="N175" s="449">
        <v>0</v>
      </c>
      <c r="O175" s="449" t="s">
        <v>3174</v>
      </c>
      <c r="P175" s="449" t="s">
        <v>3801</v>
      </c>
      <c r="Q175" s="449" t="s">
        <v>3176</v>
      </c>
    </row>
    <row r="176" spans="1:17">
      <c r="A176" s="451">
        <v>175</v>
      </c>
      <c r="B176" s="449" t="s">
        <v>3802</v>
      </c>
      <c r="C176" s="449" t="s">
        <v>138</v>
      </c>
      <c r="D176" s="449" t="s">
        <v>3169</v>
      </c>
      <c r="E176" s="449" t="s">
        <v>3803</v>
      </c>
      <c r="F176" s="449" t="s">
        <v>517</v>
      </c>
      <c r="G176" s="452" t="s">
        <v>3171</v>
      </c>
      <c r="H176" s="452">
        <v>210</v>
      </c>
      <c r="I176" s="452"/>
      <c r="J176" s="452"/>
      <c r="K176" s="452" t="s">
        <v>3172</v>
      </c>
      <c r="L176" s="452" t="s">
        <v>3172</v>
      </c>
      <c r="M176" s="449" t="s">
        <v>3173</v>
      </c>
      <c r="N176" s="449">
        <v>0</v>
      </c>
      <c r="O176" s="449" t="s">
        <v>3174</v>
      </c>
      <c r="P176" s="449" t="s">
        <v>3804</v>
      </c>
      <c r="Q176" s="449" t="s">
        <v>3176</v>
      </c>
    </row>
    <row r="177" spans="1:17">
      <c r="A177" s="451">
        <v>176</v>
      </c>
      <c r="B177" s="449" t="s">
        <v>3805</v>
      </c>
      <c r="C177" s="449" t="s">
        <v>143</v>
      </c>
      <c r="D177" s="449" t="s">
        <v>3169</v>
      </c>
      <c r="E177" s="449" t="s">
        <v>3806</v>
      </c>
      <c r="F177" s="449" t="s">
        <v>517</v>
      </c>
      <c r="G177" s="452" t="s">
        <v>3171</v>
      </c>
      <c r="H177" s="452">
        <v>210</v>
      </c>
      <c r="I177" s="452"/>
      <c r="J177" s="452"/>
      <c r="K177" s="452" t="s">
        <v>3172</v>
      </c>
      <c r="L177" s="452" t="s">
        <v>3172</v>
      </c>
      <c r="M177" s="449" t="s">
        <v>3173</v>
      </c>
      <c r="N177" s="449">
        <v>0</v>
      </c>
      <c r="O177" s="449" t="s">
        <v>3174</v>
      </c>
      <c r="P177" s="449" t="s">
        <v>3807</v>
      </c>
      <c r="Q177" s="449" t="s">
        <v>3176</v>
      </c>
    </row>
    <row r="178" spans="1:17">
      <c r="A178" s="451">
        <v>177</v>
      </c>
      <c r="B178" s="449" t="s">
        <v>3808</v>
      </c>
      <c r="C178" s="449" t="s">
        <v>150</v>
      </c>
      <c r="D178" s="449" t="s">
        <v>3169</v>
      </c>
      <c r="E178" s="449" t="s">
        <v>3809</v>
      </c>
      <c r="F178" s="449" t="s">
        <v>517</v>
      </c>
      <c r="G178" s="452" t="s">
        <v>3171</v>
      </c>
      <c r="H178" s="452">
        <v>210</v>
      </c>
      <c r="I178" s="452"/>
      <c r="J178" s="452"/>
      <c r="K178" s="452" t="s">
        <v>3172</v>
      </c>
      <c r="L178" s="452" t="s">
        <v>3172</v>
      </c>
      <c r="M178" s="449" t="s">
        <v>3173</v>
      </c>
      <c r="N178" s="449">
        <v>0</v>
      </c>
      <c r="O178" s="449" t="s">
        <v>3174</v>
      </c>
      <c r="P178" s="449" t="s">
        <v>3810</v>
      </c>
      <c r="Q178" s="449" t="s">
        <v>3176</v>
      </c>
    </row>
    <row r="179" spans="1:17">
      <c r="A179" s="451">
        <v>178</v>
      </c>
      <c r="B179" s="449" t="s">
        <v>3811</v>
      </c>
      <c r="C179" s="449" t="s">
        <v>152</v>
      </c>
      <c r="D179" s="449" t="s">
        <v>3169</v>
      </c>
      <c r="E179" s="449" t="s">
        <v>3812</v>
      </c>
      <c r="F179" s="449" t="s">
        <v>517</v>
      </c>
      <c r="G179" s="452" t="s">
        <v>3171</v>
      </c>
      <c r="H179" s="452">
        <v>210</v>
      </c>
      <c r="I179" s="452"/>
      <c r="J179" s="452"/>
      <c r="K179" s="452" t="s">
        <v>3172</v>
      </c>
      <c r="L179" s="452" t="s">
        <v>3172</v>
      </c>
      <c r="M179" s="449" t="s">
        <v>3173</v>
      </c>
      <c r="N179" s="449">
        <v>0</v>
      </c>
      <c r="O179" s="449" t="s">
        <v>3174</v>
      </c>
      <c r="P179" s="449" t="s">
        <v>3813</v>
      </c>
      <c r="Q179" s="449" t="s">
        <v>3176</v>
      </c>
    </row>
    <row r="180" spans="1:17">
      <c r="A180" s="451">
        <v>179</v>
      </c>
      <c r="B180" s="449" t="s">
        <v>3814</v>
      </c>
      <c r="C180" s="449" t="s">
        <v>148</v>
      </c>
      <c r="D180" s="449" t="s">
        <v>3169</v>
      </c>
      <c r="E180" s="449" t="s">
        <v>3815</v>
      </c>
      <c r="F180" s="449" t="s">
        <v>517</v>
      </c>
      <c r="G180" s="452" t="s">
        <v>3171</v>
      </c>
      <c r="H180" s="452">
        <v>210</v>
      </c>
      <c r="I180" s="452"/>
      <c r="J180" s="452"/>
      <c r="K180" s="452" t="s">
        <v>3172</v>
      </c>
      <c r="L180" s="452" t="s">
        <v>3172</v>
      </c>
      <c r="M180" s="449" t="s">
        <v>3173</v>
      </c>
      <c r="N180" s="449">
        <v>0</v>
      </c>
      <c r="O180" s="449" t="s">
        <v>3174</v>
      </c>
      <c r="P180" s="449" t="s">
        <v>3816</v>
      </c>
      <c r="Q180" s="449" t="s">
        <v>3176</v>
      </c>
    </row>
    <row r="181" spans="1:17">
      <c r="A181" s="451">
        <v>180</v>
      </c>
      <c r="B181" s="449" t="s">
        <v>3817</v>
      </c>
      <c r="C181" s="449" t="s">
        <v>147</v>
      </c>
      <c r="D181" s="449" t="s">
        <v>3169</v>
      </c>
      <c r="E181" s="449" t="s">
        <v>3818</v>
      </c>
      <c r="F181" s="449" t="s">
        <v>517</v>
      </c>
      <c r="G181" s="452" t="s">
        <v>3171</v>
      </c>
      <c r="H181" s="452">
        <v>210</v>
      </c>
      <c r="I181" s="452"/>
      <c r="J181" s="452"/>
      <c r="K181" s="452" t="s">
        <v>3172</v>
      </c>
      <c r="L181" s="452" t="s">
        <v>3172</v>
      </c>
      <c r="M181" s="449" t="s">
        <v>3173</v>
      </c>
      <c r="N181" s="449">
        <v>0</v>
      </c>
      <c r="O181" s="449" t="s">
        <v>3174</v>
      </c>
      <c r="P181" s="449" t="s">
        <v>3819</v>
      </c>
      <c r="Q181" s="449" t="s">
        <v>3176</v>
      </c>
    </row>
    <row r="182" spans="1:17">
      <c r="A182" s="451">
        <v>181</v>
      </c>
      <c r="B182" s="449" t="s">
        <v>3820</v>
      </c>
      <c r="C182" s="449" t="s">
        <v>160</v>
      </c>
      <c r="D182" s="449" t="s">
        <v>3169</v>
      </c>
      <c r="E182" s="449" t="s">
        <v>3821</v>
      </c>
      <c r="F182" s="449" t="s">
        <v>517</v>
      </c>
      <c r="G182" s="452" t="s">
        <v>3171</v>
      </c>
      <c r="H182" s="452">
        <v>210</v>
      </c>
      <c r="I182" s="452"/>
      <c r="J182" s="452"/>
      <c r="K182" s="452" t="s">
        <v>3172</v>
      </c>
      <c r="L182" s="452" t="s">
        <v>3172</v>
      </c>
      <c r="M182" s="449" t="s">
        <v>3173</v>
      </c>
      <c r="N182" s="449">
        <v>0</v>
      </c>
      <c r="O182" s="449" t="s">
        <v>3174</v>
      </c>
      <c r="P182" s="449" t="s">
        <v>3822</v>
      </c>
      <c r="Q182" s="449" t="s">
        <v>3176</v>
      </c>
    </row>
    <row r="183" spans="1:17">
      <c r="A183" s="451">
        <v>182</v>
      </c>
      <c r="B183" s="449" t="s">
        <v>3823</v>
      </c>
      <c r="C183" s="449" t="s">
        <v>158</v>
      </c>
      <c r="D183" s="449" t="s">
        <v>3169</v>
      </c>
      <c r="E183" s="449" t="s">
        <v>3824</v>
      </c>
      <c r="F183" s="449" t="s">
        <v>517</v>
      </c>
      <c r="G183" s="452" t="s">
        <v>3171</v>
      </c>
      <c r="H183" s="452">
        <v>210</v>
      </c>
      <c r="I183" s="452"/>
      <c r="J183" s="452"/>
      <c r="K183" s="452" t="s">
        <v>3172</v>
      </c>
      <c r="L183" s="452" t="s">
        <v>3172</v>
      </c>
      <c r="M183" s="449" t="s">
        <v>3173</v>
      </c>
      <c r="N183" s="449">
        <v>0</v>
      </c>
      <c r="O183" s="449" t="s">
        <v>3174</v>
      </c>
      <c r="P183" s="449" t="s">
        <v>3825</v>
      </c>
      <c r="Q183" s="449" t="s">
        <v>3176</v>
      </c>
    </row>
    <row r="184" spans="1:17">
      <c r="A184" s="451">
        <v>183</v>
      </c>
      <c r="B184" s="449" t="s">
        <v>3826</v>
      </c>
      <c r="C184" s="449" t="s">
        <v>153</v>
      </c>
      <c r="D184" s="449" t="s">
        <v>3169</v>
      </c>
      <c r="E184" s="449" t="s">
        <v>3827</v>
      </c>
      <c r="F184" s="449" t="s">
        <v>517</v>
      </c>
      <c r="G184" s="452" t="s">
        <v>3171</v>
      </c>
      <c r="H184" s="452">
        <v>210</v>
      </c>
      <c r="I184" s="452"/>
      <c r="J184" s="452"/>
      <c r="K184" s="452" t="s">
        <v>3172</v>
      </c>
      <c r="L184" s="452" t="s">
        <v>3172</v>
      </c>
      <c r="M184" s="449" t="s">
        <v>3173</v>
      </c>
      <c r="N184" s="449">
        <v>0</v>
      </c>
      <c r="O184" s="449" t="s">
        <v>3174</v>
      </c>
      <c r="P184" s="449" t="s">
        <v>3828</v>
      </c>
      <c r="Q184" s="449" t="s">
        <v>3176</v>
      </c>
    </row>
    <row r="185" spans="1:17">
      <c r="A185" s="451">
        <v>184</v>
      </c>
      <c r="B185" s="449" t="s">
        <v>3829</v>
      </c>
      <c r="C185" s="449" t="s">
        <v>170</v>
      </c>
      <c r="D185" s="449" t="s">
        <v>3169</v>
      </c>
      <c r="E185" s="449" t="s">
        <v>3830</v>
      </c>
      <c r="F185" s="449" t="s">
        <v>517</v>
      </c>
      <c r="G185" s="452" t="s">
        <v>3171</v>
      </c>
      <c r="H185" s="452">
        <v>210</v>
      </c>
      <c r="I185" s="452"/>
      <c r="J185" s="452"/>
      <c r="K185" s="452" t="s">
        <v>3172</v>
      </c>
      <c r="L185" s="452" t="s">
        <v>3172</v>
      </c>
      <c r="M185" s="449" t="s">
        <v>3173</v>
      </c>
      <c r="N185" s="449">
        <v>0</v>
      </c>
      <c r="O185" s="449" t="s">
        <v>3174</v>
      </c>
      <c r="P185" s="449" t="s">
        <v>3831</v>
      </c>
      <c r="Q185" s="449" t="s">
        <v>3176</v>
      </c>
    </row>
    <row r="186" spans="1:17">
      <c r="A186" s="451">
        <v>185</v>
      </c>
      <c r="B186" s="449" t="s">
        <v>3832</v>
      </c>
      <c r="C186" s="449" t="s">
        <v>167</v>
      </c>
      <c r="D186" s="449" t="s">
        <v>3169</v>
      </c>
      <c r="E186" s="449" t="s">
        <v>3833</v>
      </c>
      <c r="F186" s="449" t="s">
        <v>517</v>
      </c>
      <c r="G186" s="452" t="s">
        <v>3171</v>
      </c>
      <c r="H186" s="452">
        <v>210</v>
      </c>
      <c r="I186" s="452"/>
      <c r="J186" s="452"/>
      <c r="K186" s="452" t="s">
        <v>3172</v>
      </c>
      <c r="L186" s="452" t="s">
        <v>3172</v>
      </c>
      <c r="M186" s="449" t="s">
        <v>3173</v>
      </c>
      <c r="N186" s="449">
        <v>0</v>
      </c>
      <c r="O186" s="449" t="s">
        <v>3174</v>
      </c>
      <c r="P186" s="449" t="s">
        <v>3834</v>
      </c>
      <c r="Q186" s="449" t="s">
        <v>3176</v>
      </c>
    </row>
    <row r="187" spans="1:17">
      <c r="A187" s="451">
        <v>186</v>
      </c>
      <c r="B187" s="449" t="s">
        <v>3835</v>
      </c>
      <c r="C187" s="449" t="s">
        <v>165</v>
      </c>
      <c r="D187" s="449" t="s">
        <v>3169</v>
      </c>
      <c r="E187" s="449" t="s">
        <v>3836</v>
      </c>
      <c r="F187" s="449" t="s">
        <v>517</v>
      </c>
      <c r="G187" s="452" t="s">
        <v>3171</v>
      </c>
      <c r="H187" s="452">
        <v>210</v>
      </c>
      <c r="I187" s="452"/>
      <c r="J187" s="452"/>
      <c r="K187" s="452" t="s">
        <v>3172</v>
      </c>
      <c r="L187" s="452" t="s">
        <v>3172</v>
      </c>
      <c r="M187" s="449" t="s">
        <v>3173</v>
      </c>
      <c r="N187" s="449">
        <v>0</v>
      </c>
      <c r="O187" s="449" t="s">
        <v>3174</v>
      </c>
      <c r="P187" s="449" t="s">
        <v>3837</v>
      </c>
      <c r="Q187" s="449" t="s">
        <v>3176</v>
      </c>
    </row>
    <row r="188" spans="1:17">
      <c r="A188" s="451">
        <v>187</v>
      </c>
      <c r="B188" s="449" t="s">
        <v>3838</v>
      </c>
      <c r="C188" s="449" t="s">
        <v>171</v>
      </c>
      <c r="D188" s="449" t="s">
        <v>3169</v>
      </c>
      <c r="E188" s="449" t="s">
        <v>3839</v>
      </c>
      <c r="F188" s="449" t="s">
        <v>517</v>
      </c>
      <c r="G188" s="452" t="s">
        <v>3171</v>
      </c>
      <c r="H188" s="452">
        <v>210</v>
      </c>
      <c r="I188" s="452"/>
      <c r="J188" s="452"/>
      <c r="K188" s="452" t="s">
        <v>3172</v>
      </c>
      <c r="L188" s="452" t="s">
        <v>3172</v>
      </c>
      <c r="M188" s="449" t="s">
        <v>3173</v>
      </c>
      <c r="N188" s="449">
        <v>0</v>
      </c>
      <c r="O188" s="449" t="s">
        <v>3174</v>
      </c>
      <c r="P188" s="449" t="s">
        <v>3840</v>
      </c>
      <c r="Q188" s="449" t="s">
        <v>3176</v>
      </c>
    </row>
    <row r="189" spans="1:17">
      <c r="A189" s="451">
        <v>188</v>
      </c>
      <c r="B189" s="449" t="s">
        <v>3841</v>
      </c>
      <c r="C189" s="449" t="s">
        <v>163</v>
      </c>
      <c r="D189" s="449" t="s">
        <v>3169</v>
      </c>
      <c r="E189" s="449" t="s">
        <v>3842</v>
      </c>
      <c r="F189" s="449" t="s">
        <v>517</v>
      </c>
      <c r="G189" s="452" t="s">
        <v>3171</v>
      </c>
      <c r="H189" s="452">
        <v>210</v>
      </c>
      <c r="I189" s="452"/>
      <c r="J189" s="452"/>
      <c r="K189" s="452" t="s">
        <v>3172</v>
      </c>
      <c r="L189" s="452" t="s">
        <v>3172</v>
      </c>
      <c r="M189" s="449" t="s">
        <v>3173</v>
      </c>
      <c r="N189" s="449">
        <v>0</v>
      </c>
      <c r="O189" s="449" t="s">
        <v>3174</v>
      </c>
      <c r="P189" s="449" t="s">
        <v>3843</v>
      </c>
      <c r="Q189" s="449" t="s">
        <v>3176</v>
      </c>
    </row>
    <row r="190" spans="1:17">
      <c r="A190" s="451">
        <v>189</v>
      </c>
      <c r="B190" s="449" t="s">
        <v>3844</v>
      </c>
      <c r="C190" s="449" t="s">
        <v>953</v>
      </c>
      <c r="D190" s="449" t="s">
        <v>3169</v>
      </c>
      <c r="E190" s="449" t="s">
        <v>3845</v>
      </c>
      <c r="F190" s="449" t="s">
        <v>517</v>
      </c>
      <c r="G190" s="452" t="s">
        <v>3171</v>
      </c>
      <c r="H190" s="452">
        <v>210</v>
      </c>
      <c r="I190" s="452"/>
      <c r="J190" s="452"/>
      <c r="K190" s="452" t="s">
        <v>3172</v>
      </c>
      <c r="L190" s="452" t="s">
        <v>3172</v>
      </c>
      <c r="M190" s="449" t="s">
        <v>3173</v>
      </c>
      <c r="N190" s="449">
        <v>0</v>
      </c>
      <c r="O190" s="449" t="s">
        <v>3174</v>
      </c>
      <c r="P190" s="449" t="s">
        <v>3846</v>
      </c>
      <c r="Q190" s="449" t="s">
        <v>3176</v>
      </c>
    </row>
    <row r="191" spans="1:17">
      <c r="A191" s="451">
        <v>190</v>
      </c>
      <c r="B191" s="449" t="s">
        <v>3847</v>
      </c>
      <c r="C191" s="449" t="s">
        <v>3848</v>
      </c>
      <c r="D191" s="449" t="s">
        <v>3169</v>
      </c>
      <c r="E191" s="449" t="s">
        <v>3849</v>
      </c>
      <c r="F191" s="449" t="s">
        <v>517</v>
      </c>
      <c r="G191" s="452" t="s">
        <v>3171</v>
      </c>
      <c r="H191" s="452">
        <v>210</v>
      </c>
      <c r="I191" s="452"/>
      <c r="J191" s="452"/>
      <c r="K191" s="452" t="s">
        <v>3172</v>
      </c>
      <c r="L191" s="452" t="s">
        <v>3172</v>
      </c>
      <c r="M191" s="449" t="s">
        <v>3173</v>
      </c>
      <c r="N191" s="449">
        <v>0</v>
      </c>
      <c r="O191" s="449" t="s">
        <v>3174</v>
      </c>
      <c r="P191" s="449" t="s">
        <v>3850</v>
      </c>
      <c r="Q191" s="449" t="s">
        <v>3176</v>
      </c>
    </row>
    <row r="192" spans="1:17">
      <c r="A192" s="451">
        <v>191</v>
      </c>
      <c r="B192" s="449" t="s">
        <v>3851</v>
      </c>
      <c r="C192" s="449" t="s">
        <v>3852</v>
      </c>
      <c r="D192" s="449" t="s">
        <v>3169</v>
      </c>
      <c r="E192" s="449" t="s">
        <v>3853</v>
      </c>
      <c r="F192" s="449" t="s">
        <v>517</v>
      </c>
      <c r="G192" s="452" t="s">
        <v>3171</v>
      </c>
      <c r="H192" s="452">
        <v>210</v>
      </c>
      <c r="I192" s="452"/>
      <c r="J192" s="452"/>
      <c r="K192" s="452" t="s">
        <v>3172</v>
      </c>
      <c r="L192" s="452" t="s">
        <v>3172</v>
      </c>
      <c r="M192" s="449" t="s">
        <v>3173</v>
      </c>
      <c r="N192" s="449">
        <v>0</v>
      </c>
      <c r="O192" s="449" t="s">
        <v>3174</v>
      </c>
      <c r="P192" s="449" t="s">
        <v>3854</v>
      </c>
      <c r="Q192" s="449" t="s">
        <v>3176</v>
      </c>
    </row>
    <row r="193" spans="1:17">
      <c r="A193" s="451">
        <v>192</v>
      </c>
      <c r="B193" s="449" t="s">
        <v>3855</v>
      </c>
      <c r="C193" s="449" t="s">
        <v>3856</v>
      </c>
      <c r="D193" s="449" t="s">
        <v>3169</v>
      </c>
      <c r="E193" s="449" t="s">
        <v>3857</v>
      </c>
      <c r="F193" s="449" t="s">
        <v>517</v>
      </c>
      <c r="G193" s="452" t="s">
        <v>3171</v>
      </c>
      <c r="H193" s="452">
        <v>210</v>
      </c>
      <c r="I193" s="452"/>
      <c r="J193" s="452"/>
      <c r="K193" s="452" t="s">
        <v>3172</v>
      </c>
      <c r="L193" s="452" t="s">
        <v>3172</v>
      </c>
      <c r="M193" s="449" t="s">
        <v>3173</v>
      </c>
      <c r="N193" s="449">
        <v>0</v>
      </c>
      <c r="O193" s="449" t="s">
        <v>3174</v>
      </c>
      <c r="P193" s="449" t="s">
        <v>3858</v>
      </c>
      <c r="Q193" s="449" t="s">
        <v>3176</v>
      </c>
    </row>
    <row r="194" spans="1:17">
      <c r="A194" s="451">
        <v>193</v>
      </c>
      <c r="B194" s="449" t="s">
        <v>3859</v>
      </c>
      <c r="C194" s="449" t="s">
        <v>373</v>
      </c>
      <c r="D194" s="449" t="s">
        <v>3169</v>
      </c>
      <c r="E194" s="449" t="s">
        <v>3860</v>
      </c>
      <c r="F194" s="449" t="s">
        <v>517</v>
      </c>
      <c r="G194" s="452" t="s">
        <v>3171</v>
      </c>
      <c r="H194" s="452">
        <v>210</v>
      </c>
      <c r="I194" s="452"/>
      <c r="J194" s="452"/>
      <c r="K194" s="452" t="s">
        <v>3172</v>
      </c>
      <c r="L194" s="452" t="s">
        <v>3172</v>
      </c>
      <c r="M194" s="449" t="s">
        <v>3173</v>
      </c>
      <c r="N194" s="449">
        <v>0</v>
      </c>
      <c r="O194" s="449" t="s">
        <v>3174</v>
      </c>
      <c r="P194" s="449" t="s">
        <v>3861</v>
      </c>
      <c r="Q194" s="449" t="s">
        <v>3176</v>
      </c>
    </row>
    <row r="195" spans="1:17">
      <c r="A195" s="451">
        <v>194</v>
      </c>
      <c r="B195" s="449" t="s">
        <v>3862</v>
      </c>
      <c r="C195" s="449" t="s">
        <v>134</v>
      </c>
      <c r="D195" s="449" t="s">
        <v>3169</v>
      </c>
      <c r="E195" s="449" t="s">
        <v>3863</v>
      </c>
      <c r="F195" s="449" t="s">
        <v>517</v>
      </c>
      <c r="G195" s="452" t="s">
        <v>3171</v>
      </c>
      <c r="H195" s="452">
        <v>210</v>
      </c>
      <c r="I195" s="452"/>
      <c r="J195" s="452"/>
      <c r="K195" s="452" t="s">
        <v>3172</v>
      </c>
      <c r="L195" s="452" t="s">
        <v>3172</v>
      </c>
      <c r="M195" s="449" t="s">
        <v>3173</v>
      </c>
      <c r="N195" s="449">
        <v>0</v>
      </c>
      <c r="O195" s="449" t="s">
        <v>3174</v>
      </c>
      <c r="P195" s="449" t="s">
        <v>3864</v>
      </c>
      <c r="Q195" s="449" t="s">
        <v>3176</v>
      </c>
    </row>
    <row r="196" spans="1:17">
      <c r="A196" s="451">
        <v>195</v>
      </c>
      <c r="B196" s="449" t="s">
        <v>3865</v>
      </c>
      <c r="C196" s="449" t="s">
        <v>3866</v>
      </c>
      <c r="D196" s="449" t="s">
        <v>3169</v>
      </c>
      <c r="E196" s="449" t="s">
        <v>3867</v>
      </c>
      <c r="F196" s="449" t="s">
        <v>517</v>
      </c>
      <c r="G196" s="452" t="s">
        <v>3171</v>
      </c>
      <c r="H196" s="452">
        <v>210</v>
      </c>
      <c r="I196" s="452"/>
      <c r="J196" s="452"/>
      <c r="K196" s="452" t="s">
        <v>3172</v>
      </c>
      <c r="L196" s="452" t="s">
        <v>3172</v>
      </c>
      <c r="M196" s="449" t="s">
        <v>3173</v>
      </c>
      <c r="N196" s="449">
        <v>0</v>
      </c>
      <c r="O196" s="449" t="s">
        <v>3174</v>
      </c>
      <c r="P196" s="449" t="s">
        <v>3868</v>
      </c>
      <c r="Q196" s="449" t="s">
        <v>3176</v>
      </c>
    </row>
    <row r="197" spans="1:17">
      <c r="A197" s="451">
        <v>196</v>
      </c>
      <c r="B197" s="449" t="s">
        <v>3869</v>
      </c>
      <c r="C197" s="449" t="s">
        <v>3870</v>
      </c>
      <c r="D197" s="449" t="s">
        <v>3169</v>
      </c>
      <c r="E197" s="449" t="s">
        <v>3871</v>
      </c>
      <c r="F197" s="449" t="s">
        <v>517</v>
      </c>
      <c r="G197" s="452" t="s">
        <v>3171</v>
      </c>
      <c r="H197" s="452">
        <v>210</v>
      </c>
      <c r="I197" s="452"/>
      <c r="J197" s="452"/>
      <c r="K197" s="452" t="s">
        <v>3172</v>
      </c>
      <c r="L197" s="452" t="s">
        <v>3172</v>
      </c>
      <c r="M197" s="449" t="s">
        <v>3173</v>
      </c>
      <c r="N197" s="449">
        <v>0</v>
      </c>
      <c r="O197" s="449" t="s">
        <v>3174</v>
      </c>
      <c r="P197" s="449" t="s">
        <v>3872</v>
      </c>
      <c r="Q197" s="449" t="s">
        <v>3176</v>
      </c>
    </row>
    <row r="198" spans="1:17">
      <c r="A198" s="451">
        <v>197</v>
      </c>
      <c r="B198" s="449" t="s">
        <v>3873</v>
      </c>
      <c r="C198" s="449" t="s">
        <v>3874</v>
      </c>
      <c r="D198" s="449" t="s">
        <v>3169</v>
      </c>
      <c r="E198" s="449" t="s">
        <v>3875</v>
      </c>
      <c r="F198" s="449" t="s">
        <v>517</v>
      </c>
      <c r="G198" s="452" t="s">
        <v>3171</v>
      </c>
      <c r="H198" s="452">
        <v>210</v>
      </c>
      <c r="I198" s="452"/>
      <c r="J198" s="452"/>
      <c r="K198" s="452" t="s">
        <v>3172</v>
      </c>
      <c r="L198" s="452" t="s">
        <v>3172</v>
      </c>
      <c r="M198" s="449" t="s">
        <v>3173</v>
      </c>
      <c r="N198" s="449">
        <v>0</v>
      </c>
      <c r="O198" s="449" t="s">
        <v>3174</v>
      </c>
      <c r="P198" s="449" t="s">
        <v>3876</v>
      </c>
      <c r="Q198" s="449" t="s">
        <v>3176</v>
      </c>
    </row>
    <row r="199" spans="1:17">
      <c r="A199" s="451">
        <v>198</v>
      </c>
      <c r="B199" s="449" t="s">
        <v>3877</v>
      </c>
      <c r="C199" s="449" t="s">
        <v>3878</v>
      </c>
      <c r="D199" s="449" t="s">
        <v>3169</v>
      </c>
      <c r="E199" s="449" t="s">
        <v>3879</v>
      </c>
      <c r="F199" s="449" t="s">
        <v>517</v>
      </c>
      <c r="G199" s="452" t="s">
        <v>3171</v>
      </c>
      <c r="H199" s="452">
        <v>210</v>
      </c>
      <c r="I199" s="452"/>
      <c r="J199" s="452"/>
      <c r="K199" s="452" t="s">
        <v>3172</v>
      </c>
      <c r="L199" s="452" t="s">
        <v>3172</v>
      </c>
      <c r="M199" s="449" t="s">
        <v>3173</v>
      </c>
      <c r="N199" s="449">
        <v>0</v>
      </c>
      <c r="O199" s="449" t="s">
        <v>3174</v>
      </c>
      <c r="P199" s="449" t="s">
        <v>3880</v>
      </c>
      <c r="Q199" s="449" t="s">
        <v>3176</v>
      </c>
    </row>
    <row r="200" spans="1:17">
      <c r="A200" s="451">
        <v>199</v>
      </c>
      <c r="B200" s="449" t="s">
        <v>3881</v>
      </c>
      <c r="C200" s="449" t="s">
        <v>3882</v>
      </c>
      <c r="D200" s="449" t="s">
        <v>3169</v>
      </c>
      <c r="E200" s="449" t="s">
        <v>3883</v>
      </c>
      <c r="F200" s="449" t="s">
        <v>517</v>
      </c>
      <c r="G200" s="452" t="s">
        <v>3171</v>
      </c>
      <c r="H200" s="452">
        <v>210</v>
      </c>
      <c r="I200" s="452"/>
      <c r="J200" s="452"/>
      <c r="K200" s="452" t="s">
        <v>3172</v>
      </c>
      <c r="L200" s="452" t="s">
        <v>3172</v>
      </c>
      <c r="M200" s="449" t="s">
        <v>3173</v>
      </c>
      <c r="N200" s="449">
        <v>0</v>
      </c>
      <c r="O200" s="449" t="s">
        <v>3174</v>
      </c>
      <c r="P200" s="449" t="s">
        <v>3884</v>
      </c>
      <c r="Q200" s="449" t="s">
        <v>3176</v>
      </c>
    </row>
    <row r="201" spans="1:17">
      <c r="A201" s="451">
        <v>200</v>
      </c>
      <c r="B201" s="449" t="s">
        <v>3885</v>
      </c>
      <c r="C201" s="449" t="s">
        <v>3886</v>
      </c>
      <c r="D201" s="449" t="s">
        <v>3169</v>
      </c>
      <c r="E201" s="449" t="s">
        <v>3887</v>
      </c>
      <c r="F201" s="449" t="s">
        <v>517</v>
      </c>
      <c r="G201" s="452" t="s">
        <v>3171</v>
      </c>
      <c r="H201" s="452">
        <v>210</v>
      </c>
      <c r="I201" s="452"/>
      <c r="J201" s="452"/>
      <c r="K201" s="452" t="s">
        <v>3172</v>
      </c>
      <c r="L201" s="452" t="s">
        <v>3172</v>
      </c>
      <c r="M201" s="449" t="s">
        <v>3173</v>
      </c>
      <c r="N201" s="449">
        <v>0</v>
      </c>
      <c r="O201" s="449" t="s">
        <v>3174</v>
      </c>
      <c r="P201" s="449" t="s">
        <v>3888</v>
      </c>
      <c r="Q201" s="449" t="s">
        <v>3176</v>
      </c>
    </row>
    <row r="202" spans="1:17">
      <c r="A202" s="451">
        <v>201</v>
      </c>
      <c r="B202" s="449" t="s">
        <v>3889</v>
      </c>
      <c r="C202" s="449" t="s">
        <v>3890</v>
      </c>
      <c r="D202" s="449" t="s">
        <v>3169</v>
      </c>
      <c r="E202" s="449" t="s">
        <v>3891</v>
      </c>
      <c r="F202" s="449" t="s">
        <v>517</v>
      </c>
      <c r="G202" s="452" t="s">
        <v>3171</v>
      </c>
      <c r="H202" s="452">
        <v>210</v>
      </c>
      <c r="I202" s="452"/>
      <c r="J202" s="452"/>
      <c r="K202" s="452" t="s">
        <v>3172</v>
      </c>
      <c r="L202" s="452" t="s">
        <v>3172</v>
      </c>
      <c r="M202" s="449" t="s">
        <v>3173</v>
      </c>
      <c r="N202" s="449">
        <v>0</v>
      </c>
      <c r="O202" s="449" t="s">
        <v>3174</v>
      </c>
      <c r="P202" s="449" t="s">
        <v>3892</v>
      </c>
      <c r="Q202" s="449" t="s">
        <v>3176</v>
      </c>
    </row>
    <row r="203" spans="1:17">
      <c r="A203" s="451">
        <v>202</v>
      </c>
      <c r="B203" s="449" t="s">
        <v>3893</v>
      </c>
      <c r="C203" s="449" t="s">
        <v>3894</v>
      </c>
      <c r="D203" s="449" t="s">
        <v>3169</v>
      </c>
      <c r="E203" s="449" t="s">
        <v>3895</v>
      </c>
      <c r="F203" s="449" t="s">
        <v>517</v>
      </c>
      <c r="G203" s="452" t="s">
        <v>3171</v>
      </c>
      <c r="H203" s="452">
        <v>210</v>
      </c>
      <c r="I203" s="452"/>
      <c r="J203" s="452"/>
      <c r="K203" s="452" t="s">
        <v>3172</v>
      </c>
      <c r="L203" s="452" t="s">
        <v>3172</v>
      </c>
      <c r="M203" s="449" t="s">
        <v>3173</v>
      </c>
      <c r="N203" s="449">
        <v>0</v>
      </c>
      <c r="O203" s="449" t="s">
        <v>3174</v>
      </c>
      <c r="P203" s="449" t="s">
        <v>3896</v>
      </c>
      <c r="Q203" s="449" t="s">
        <v>3176</v>
      </c>
    </row>
    <row r="204" spans="1:17">
      <c r="A204" s="451">
        <v>203</v>
      </c>
      <c r="B204" s="449" t="s">
        <v>3897</v>
      </c>
      <c r="C204" s="449" t="s">
        <v>3898</v>
      </c>
      <c r="D204" s="449" t="s">
        <v>3169</v>
      </c>
      <c r="E204" s="449" t="s">
        <v>3899</v>
      </c>
      <c r="F204" s="449" t="s">
        <v>517</v>
      </c>
      <c r="G204" s="452" t="s">
        <v>3171</v>
      </c>
      <c r="H204" s="452">
        <v>210</v>
      </c>
      <c r="I204" s="452"/>
      <c r="J204" s="452"/>
      <c r="K204" s="452" t="s">
        <v>3172</v>
      </c>
      <c r="L204" s="452" t="s">
        <v>3172</v>
      </c>
      <c r="M204" s="449" t="s">
        <v>3173</v>
      </c>
      <c r="N204" s="449">
        <v>0</v>
      </c>
      <c r="O204" s="449" t="s">
        <v>3174</v>
      </c>
      <c r="P204" s="449" t="s">
        <v>3900</v>
      </c>
      <c r="Q204" s="449" t="s">
        <v>3176</v>
      </c>
    </row>
    <row r="205" spans="1:17">
      <c r="A205" s="451">
        <v>204</v>
      </c>
      <c r="B205" s="449" t="s">
        <v>3901</v>
      </c>
      <c r="C205" s="449" t="s">
        <v>3902</v>
      </c>
      <c r="D205" s="449" t="s">
        <v>3169</v>
      </c>
      <c r="E205" s="449" t="s">
        <v>3903</v>
      </c>
      <c r="F205" s="449" t="s">
        <v>517</v>
      </c>
      <c r="G205" s="452" t="s">
        <v>3171</v>
      </c>
      <c r="H205" s="452">
        <v>210</v>
      </c>
      <c r="I205" s="452"/>
      <c r="J205" s="452"/>
      <c r="K205" s="452" t="s">
        <v>3172</v>
      </c>
      <c r="L205" s="452" t="s">
        <v>3172</v>
      </c>
      <c r="M205" s="449" t="s">
        <v>3173</v>
      </c>
      <c r="N205" s="449">
        <v>0</v>
      </c>
      <c r="O205" s="449" t="s">
        <v>3174</v>
      </c>
      <c r="P205" s="449" t="s">
        <v>3904</v>
      </c>
      <c r="Q205" s="449" t="s">
        <v>3176</v>
      </c>
    </row>
    <row r="206" spans="1:17">
      <c r="A206" s="451">
        <v>205</v>
      </c>
      <c r="B206" s="449" t="s">
        <v>3905</v>
      </c>
      <c r="C206" s="449" t="s">
        <v>3906</v>
      </c>
      <c r="D206" s="449" t="s">
        <v>3169</v>
      </c>
      <c r="E206" s="449" t="s">
        <v>3907</v>
      </c>
      <c r="F206" s="449" t="s">
        <v>517</v>
      </c>
      <c r="G206" s="452" t="s">
        <v>3171</v>
      </c>
      <c r="H206" s="452">
        <v>210</v>
      </c>
      <c r="I206" s="452"/>
      <c r="J206" s="452"/>
      <c r="K206" s="452" t="s">
        <v>3172</v>
      </c>
      <c r="L206" s="452" t="s">
        <v>3172</v>
      </c>
      <c r="M206" s="449" t="s">
        <v>3173</v>
      </c>
      <c r="N206" s="449">
        <v>0</v>
      </c>
      <c r="O206" s="449" t="s">
        <v>3174</v>
      </c>
      <c r="P206" s="449" t="s">
        <v>3908</v>
      </c>
      <c r="Q206" s="449" t="s">
        <v>3176</v>
      </c>
    </row>
    <row r="207" spans="1:17">
      <c r="A207" s="451">
        <v>206</v>
      </c>
      <c r="B207" s="449" t="s">
        <v>3909</v>
      </c>
      <c r="C207" s="449" t="s">
        <v>3910</v>
      </c>
      <c r="D207" s="449" t="s">
        <v>3169</v>
      </c>
      <c r="E207" s="449" t="s">
        <v>3911</v>
      </c>
      <c r="F207" s="449" t="s">
        <v>517</v>
      </c>
      <c r="G207" s="452" t="s">
        <v>3171</v>
      </c>
      <c r="H207" s="452">
        <v>210</v>
      </c>
      <c r="I207" s="452"/>
      <c r="J207" s="452"/>
      <c r="K207" s="452" t="s">
        <v>3172</v>
      </c>
      <c r="L207" s="452" t="s">
        <v>3172</v>
      </c>
      <c r="M207" s="449" t="s">
        <v>3173</v>
      </c>
      <c r="N207" s="449">
        <v>0</v>
      </c>
      <c r="O207" s="449" t="s">
        <v>3174</v>
      </c>
      <c r="P207" s="449" t="s">
        <v>3912</v>
      </c>
      <c r="Q207" s="449" t="s">
        <v>3176</v>
      </c>
    </row>
    <row r="208" spans="1:17">
      <c r="A208" s="451">
        <v>207</v>
      </c>
      <c r="B208" s="449" t="s">
        <v>3913</v>
      </c>
      <c r="C208" s="449" t="s">
        <v>3914</v>
      </c>
      <c r="D208" s="449" t="s">
        <v>3169</v>
      </c>
      <c r="E208" s="449" t="s">
        <v>3915</v>
      </c>
      <c r="F208" s="449" t="s">
        <v>517</v>
      </c>
      <c r="G208" s="452" t="s">
        <v>3171</v>
      </c>
      <c r="H208" s="452">
        <v>210</v>
      </c>
      <c r="I208" s="452"/>
      <c r="J208" s="452"/>
      <c r="K208" s="452" t="s">
        <v>3172</v>
      </c>
      <c r="L208" s="452" t="s">
        <v>3172</v>
      </c>
      <c r="M208" s="449" t="s">
        <v>3173</v>
      </c>
      <c r="N208" s="449">
        <v>0</v>
      </c>
      <c r="O208" s="449" t="s">
        <v>3174</v>
      </c>
      <c r="P208" s="449" t="s">
        <v>3916</v>
      </c>
      <c r="Q208" s="449" t="s">
        <v>3176</v>
      </c>
    </row>
    <row r="209" spans="1:17">
      <c r="A209" s="451">
        <v>208</v>
      </c>
      <c r="B209" s="449" t="s">
        <v>3917</v>
      </c>
      <c r="C209" s="449" t="s">
        <v>3918</v>
      </c>
      <c r="D209" s="449" t="s">
        <v>3169</v>
      </c>
      <c r="E209" s="449" t="s">
        <v>3919</v>
      </c>
      <c r="F209" s="449" t="s">
        <v>517</v>
      </c>
      <c r="G209" s="452" t="s">
        <v>3171</v>
      </c>
      <c r="H209" s="452">
        <v>210</v>
      </c>
      <c r="I209" s="452"/>
      <c r="J209" s="452"/>
      <c r="K209" s="452" t="s">
        <v>3172</v>
      </c>
      <c r="L209" s="452" t="s">
        <v>3172</v>
      </c>
      <c r="M209" s="449" t="s">
        <v>3173</v>
      </c>
      <c r="N209" s="449">
        <v>0</v>
      </c>
      <c r="O209" s="449" t="s">
        <v>3174</v>
      </c>
      <c r="P209" s="449" t="s">
        <v>3920</v>
      </c>
      <c r="Q209" s="449" t="s">
        <v>3176</v>
      </c>
    </row>
    <row r="210" spans="1:17">
      <c r="A210" s="451">
        <v>209</v>
      </c>
      <c r="B210" s="449" t="s">
        <v>3921</v>
      </c>
      <c r="C210" s="449" t="s">
        <v>431</v>
      </c>
      <c r="D210" s="449" t="s">
        <v>3169</v>
      </c>
      <c r="E210" s="449" t="s">
        <v>3922</v>
      </c>
      <c r="F210" s="449" t="s">
        <v>517</v>
      </c>
      <c r="G210" s="452" t="s">
        <v>3171</v>
      </c>
      <c r="H210" s="452">
        <v>210</v>
      </c>
      <c r="I210" s="452"/>
      <c r="J210" s="452"/>
      <c r="K210" s="452" t="s">
        <v>3172</v>
      </c>
      <c r="L210" s="452" t="s">
        <v>3172</v>
      </c>
      <c r="M210" s="449" t="s">
        <v>3173</v>
      </c>
      <c r="N210" s="449">
        <v>0</v>
      </c>
      <c r="O210" s="449" t="s">
        <v>3174</v>
      </c>
      <c r="P210" s="449" t="s">
        <v>3923</v>
      </c>
      <c r="Q210" s="449" t="s">
        <v>3176</v>
      </c>
    </row>
    <row r="211" spans="1:17">
      <c r="A211" s="451">
        <v>210</v>
      </c>
      <c r="B211" s="449" t="s">
        <v>3924</v>
      </c>
      <c r="C211" s="449" t="s">
        <v>177</v>
      </c>
      <c r="D211" s="449" t="s">
        <v>3169</v>
      </c>
      <c r="E211" s="449" t="s">
        <v>3925</v>
      </c>
      <c r="F211" s="449" t="s">
        <v>517</v>
      </c>
      <c r="G211" s="452" t="s">
        <v>3171</v>
      </c>
      <c r="H211" s="452">
        <v>210</v>
      </c>
      <c r="I211" s="452"/>
      <c r="J211" s="452"/>
      <c r="K211" s="452" t="s">
        <v>3172</v>
      </c>
      <c r="L211" s="452" t="s">
        <v>3172</v>
      </c>
      <c r="M211" s="449" t="s">
        <v>3173</v>
      </c>
      <c r="N211" s="449">
        <v>0</v>
      </c>
      <c r="O211" s="449" t="s">
        <v>3174</v>
      </c>
      <c r="P211" s="449" t="s">
        <v>3926</v>
      </c>
      <c r="Q211" s="449" t="s">
        <v>3176</v>
      </c>
    </row>
    <row r="212" spans="1:17">
      <c r="A212" s="451">
        <v>211</v>
      </c>
      <c r="B212" s="449" t="s">
        <v>3927</v>
      </c>
      <c r="C212" s="449" t="s">
        <v>3928</v>
      </c>
      <c r="D212" s="449" t="s">
        <v>3169</v>
      </c>
      <c r="E212" s="449" t="s">
        <v>3929</v>
      </c>
      <c r="F212" s="449" t="s">
        <v>517</v>
      </c>
      <c r="G212" s="452" t="s">
        <v>3171</v>
      </c>
      <c r="H212" s="452">
        <v>210</v>
      </c>
      <c r="I212" s="452"/>
      <c r="J212" s="452"/>
      <c r="K212" s="452" t="s">
        <v>3172</v>
      </c>
      <c r="L212" s="452" t="s">
        <v>3172</v>
      </c>
      <c r="M212" s="449" t="s">
        <v>3173</v>
      </c>
      <c r="N212" s="449">
        <v>0</v>
      </c>
      <c r="O212" s="449" t="s">
        <v>3174</v>
      </c>
      <c r="P212" s="449" t="s">
        <v>3930</v>
      </c>
      <c r="Q212" s="449" t="s">
        <v>3176</v>
      </c>
    </row>
  </sheetData>
  <autoFilter ref="A1:Q212" xr:uid="{00000000-0009-0000-0000-00000F000000}"/>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36"/>
  <sheetViews>
    <sheetView topLeftCell="A112" workbookViewId="0">
      <selection activeCell="J139" sqref="J139"/>
    </sheetView>
  </sheetViews>
  <sheetFormatPr defaultColWidth="9" defaultRowHeight="14.4"/>
  <cols>
    <col min="1" max="1" width="12.21875" style="449" customWidth="1"/>
    <col min="2" max="2" width="19.88671875" style="449" customWidth="1"/>
    <col min="3" max="17" width="15.6640625" style="449" customWidth="1"/>
    <col min="18" max="16384" width="9" style="449"/>
  </cols>
  <sheetData>
    <row r="1" spans="1:17" ht="15.6">
      <c r="A1" s="450" t="s">
        <v>315</v>
      </c>
      <c r="B1" s="450" t="s">
        <v>3153</v>
      </c>
      <c r="C1" s="450" t="s">
        <v>33</v>
      </c>
      <c r="D1" s="450" t="s">
        <v>3154</v>
      </c>
      <c r="E1" s="450" t="s">
        <v>3155</v>
      </c>
      <c r="F1" s="450" t="s">
        <v>3156</v>
      </c>
      <c r="G1" s="450" t="s">
        <v>3157</v>
      </c>
      <c r="H1" s="450" t="s">
        <v>3158</v>
      </c>
      <c r="I1" s="450" t="s">
        <v>3159</v>
      </c>
      <c r="J1" s="450" t="s">
        <v>3160</v>
      </c>
      <c r="K1" s="450" t="s">
        <v>3161</v>
      </c>
      <c r="L1" s="450" t="s">
        <v>3162</v>
      </c>
      <c r="M1" s="450" t="s">
        <v>3163</v>
      </c>
      <c r="N1" s="450" t="s">
        <v>3164</v>
      </c>
      <c r="O1" s="450" t="s">
        <v>3165</v>
      </c>
      <c r="P1" s="450" t="s">
        <v>3166</v>
      </c>
      <c r="Q1" s="450" t="s">
        <v>3167</v>
      </c>
    </row>
    <row r="2" spans="1:17">
      <c r="A2" s="451">
        <v>1</v>
      </c>
      <c r="B2" s="449" t="s">
        <v>3931</v>
      </c>
      <c r="C2" s="449" t="s">
        <v>223</v>
      </c>
      <c r="D2" s="449" t="s">
        <v>3169</v>
      </c>
      <c r="E2" s="449" t="s">
        <v>3932</v>
      </c>
      <c r="F2" s="449" t="s">
        <v>517</v>
      </c>
      <c r="G2" s="452" t="s">
        <v>3171</v>
      </c>
      <c r="H2" s="452">
        <v>210</v>
      </c>
      <c r="I2" s="452"/>
      <c r="J2" s="452"/>
      <c r="K2" s="452" t="s">
        <v>3172</v>
      </c>
      <c r="L2" s="452" t="s">
        <v>3172</v>
      </c>
      <c r="M2" s="449" t="s">
        <v>3307</v>
      </c>
      <c r="N2" s="449">
        <v>0</v>
      </c>
      <c r="O2" s="449" t="s">
        <v>3174</v>
      </c>
      <c r="P2" s="449" t="s">
        <v>3933</v>
      </c>
      <c r="Q2" s="449" t="s">
        <v>3176</v>
      </c>
    </row>
    <row r="3" spans="1:17">
      <c r="A3" s="451">
        <v>2</v>
      </c>
      <c r="B3" s="449" t="s">
        <v>3934</v>
      </c>
      <c r="C3" s="449" t="s">
        <v>201</v>
      </c>
      <c r="D3" s="449" t="s">
        <v>3169</v>
      </c>
      <c r="E3" s="449" t="s">
        <v>3935</v>
      </c>
      <c r="F3" s="449" t="s">
        <v>517</v>
      </c>
      <c r="G3" s="452" t="s">
        <v>3171</v>
      </c>
      <c r="H3" s="452">
        <v>210</v>
      </c>
      <c r="I3" s="452"/>
      <c r="J3" s="452"/>
      <c r="K3" s="452" t="s">
        <v>3172</v>
      </c>
      <c r="L3" s="452" t="s">
        <v>3172</v>
      </c>
      <c r="M3" s="449" t="s">
        <v>3307</v>
      </c>
      <c r="N3" s="449">
        <v>0</v>
      </c>
      <c r="O3" s="449" t="s">
        <v>3174</v>
      </c>
      <c r="P3" s="449" t="s">
        <v>3936</v>
      </c>
      <c r="Q3" s="449" t="s">
        <v>3937</v>
      </c>
    </row>
    <row r="4" spans="1:17">
      <c r="A4" s="451">
        <v>3</v>
      </c>
      <c r="B4" s="449" t="s">
        <v>3938</v>
      </c>
      <c r="C4" s="449" t="s">
        <v>871</v>
      </c>
      <c r="D4" s="449" t="s">
        <v>3169</v>
      </c>
      <c r="E4" s="449" t="s">
        <v>3939</v>
      </c>
      <c r="F4" s="449" t="s">
        <v>517</v>
      </c>
      <c r="G4" s="452" t="s">
        <v>3171</v>
      </c>
      <c r="H4" s="452">
        <v>210</v>
      </c>
      <c r="I4" s="452"/>
      <c r="J4" s="452"/>
      <c r="K4" s="452" t="s">
        <v>3172</v>
      </c>
      <c r="L4" s="452" t="s">
        <v>3172</v>
      </c>
      <c r="M4" s="449" t="s">
        <v>3307</v>
      </c>
      <c r="N4" s="449">
        <v>0</v>
      </c>
      <c r="O4" s="449" t="s">
        <v>3174</v>
      </c>
      <c r="P4" s="449" t="s">
        <v>3940</v>
      </c>
      <c r="Q4" s="449" t="s">
        <v>3941</v>
      </c>
    </row>
    <row r="5" spans="1:17">
      <c r="A5" s="451">
        <v>4</v>
      </c>
      <c r="B5" s="449" t="s">
        <v>3942</v>
      </c>
      <c r="C5" s="449" t="s">
        <v>852</v>
      </c>
      <c r="D5" s="449" t="s">
        <v>3169</v>
      </c>
      <c r="E5" s="449" t="s">
        <v>3943</v>
      </c>
      <c r="F5" s="449" t="s">
        <v>517</v>
      </c>
      <c r="G5" s="452" t="s">
        <v>3171</v>
      </c>
      <c r="H5" s="452">
        <v>210</v>
      </c>
      <c r="I5" s="452"/>
      <c r="J5" s="452"/>
      <c r="K5" s="452" t="s">
        <v>3172</v>
      </c>
      <c r="L5" s="452" t="s">
        <v>3172</v>
      </c>
      <c r="M5" s="449" t="s">
        <v>3307</v>
      </c>
      <c r="N5" s="449">
        <v>0</v>
      </c>
      <c r="O5" s="449" t="s">
        <v>3174</v>
      </c>
      <c r="P5" s="449" t="s">
        <v>3944</v>
      </c>
      <c r="Q5" s="449" t="s">
        <v>3945</v>
      </c>
    </row>
    <row r="6" spans="1:17">
      <c r="A6" s="451">
        <v>5</v>
      </c>
      <c r="B6" s="449" t="s">
        <v>3946</v>
      </c>
      <c r="C6" s="449" t="s">
        <v>843</v>
      </c>
      <c r="D6" s="449" t="s">
        <v>3169</v>
      </c>
      <c r="E6" s="449" t="s">
        <v>3947</v>
      </c>
      <c r="F6" s="449" t="s">
        <v>517</v>
      </c>
      <c r="G6" s="452" t="s">
        <v>3171</v>
      </c>
      <c r="H6" s="452">
        <v>210</v>
      </c>
      <c r="I6" s="452"/>
      <c r="J6" s="452"/>
      <c r="K6" s="452" t="s">
        <v>3172</v>
      </c>
      <c r="L6" s="452" t="s">
        <v>3172</v>
      </c>
      <c r="M6" s="449" t="s">
        <v>3307</v>
      </c>
      <c r="N6" s="449">
        <v>0</v>
      </c>
      <c r="O6" s="449" t="s">
        <v>3174</v>
      </c>
      <c r="P6" s="449" t="s">
        <v>3948</v>
      </c>
      <c r="Q6" s="449" t="s">
        <v>3949</v>
      </c>
    </row>
    <row r="7" spans="1:17">
      <c r="A7" s="451">
        <v>6</v>
      </c>
      <c r="B7" s="449" t="s">
        <v>3950</v>
      </c>
      <c r="C7" s="449" t="s">
        <v>949</v>
      </c>
      <c r="D7" s="449" t="s">
        <v>3169</v>
      </c>
      <c r="E7" s="449" t="s">
        <v>3951</v>
      </c>
      <c r="F7" s="449" t="s">
        <v>517</v>
      </c>
      <c r="G7" s="452" t="s">
        <v>3171</v>
      </c>
      <c r="H7" s="452">
        <v>210</v>
      </c>
      <c r="I7" s="452"/>
      <c r="J7" s="452"/>
      <c r="K7" s="452" t="s">
        <v>3172</v>
      </c>
      <c r="L7" s="452" t="s">
        <v>3172</v>
      </c>
      <c r="M7" s="449" t="s">
        <v>3307</v>
      </c>
      <c r="N7" s="449">
        <v>0</v>
      </c>
      <c r="O7" s="449" t="s">
        <v>3174</v>
      </c>
      <c r="P7" s="449" t="s">
        <v>3952</v>
      </c>
      <c r="Q7" s="449" t="s">
        <v>3953</v>
      </c>
    </row>
    <row r="8" spans="1:17">
      <c r="A8" s="451">
        <v>7</v>
      </c>
      <c r="B8" s="449" t="s">
        <v>3954</v>
      </c>
      <c r="C8" s="449" t="s">
        <v>207</v>
      </c>
      <c r="D8" s="449" t="s">
        <v>3169</v>
      </c>
      <c r="E8" s="449" t="s">
        <v>3955</v>
      </c>
      <c r="F8" s="449" t="s">
        <v>517</v>
      </c>
      <c r="G8" s="452" t="s">
        <v>3171</v>
      </c>
      <c r="H8" s="452">
        <v>210</v>
      </c>
      <c r="I8" s="452"/>
      <c r="J8" s="452"/>
      <c r="K8" s="452" t="s">
        <v>3172</v>
      </c>
      <c r="L8" s="452" t="s">
        <v>3172</v>
      </c>
      <c r="M8" s="449" t="s">
        <v>3307</v>
      </c>
      <c r="N8" s="449">
        <v>0</v>
      </c>
      <c r="O8" s="449" t="s">
        <v>3174</v>
      </c>
      <c r="P8" s="449" t="s">
        <v>3956</v>
      </c>
      <c r="Q8" s="449" t="s">
        <v>3957</v>
      </c>
    </row>
    <row r="9" spans="1:17">
      <c r="A9" s="451">
        <v>8</v>
      </c>
      <c r="B9" s="449" t="s">
        <v>3958</v>
      </c>
      <c r="C9" s="449" t="s">
        <v>3959</v>
      </c>
      <c r="D9" s="449" t="s">
        <v>3169</v>
      </c>
      <c r="E9" s="449" t="s">
        <v>3960</v>
      </c>
      <c r="F9" s="449" t="s">
        <v>517</v>
      </c>
      <c r="G9" s="452" t="s">
        <v>3171</v>
      </c>
      <c r="H9" s="452">
        <v>210</v>
      </c>
      <c r="I9" s="452"/>
      <c r="J9" s="452"/>
      <c r="K9" s="452" t="s">
        <v>3172</v>
      </c>
      <c r="L9" s="452" t="s">
        <v>3172</v>
      </c>
      <c r="M9" s="449" t="s">
        <v>3307</v>
      </c>
      <c r="N9" s="449">
        <v>0</v>
      </c>
      <c r="O9" s="449" t="s">
        <v>3174</v>
      </c>
      <c r="P9" s="449" t="s">
        <v>3961</v>
      </c>
      <c r="Q9" s="449" t="s">
        <v>3962</v>
      </c>
    </row>
    <row r="10" spans="1:17">
      <c r="A10" s="451">
        <v>9</v>
      </c>
      <c r="B10" s="449" t="s">
        <v>3963</v>
      </c>
      <c r="C10" s="449" t="s">
        <v>947</v>
      </c>
      <c r="D10" s="449" t="s">
        <v>3169</v>
      </c>
      <c r="E10" s="449" t="s">
        <v>3964</v>
      </c>
      <c r="F10" s="449" t="s">
        <v>517</v>
      </c>
      <c r="G10" s="452" t="s">
        <v>3171</v>
      </c>
      <c r="H10" s="452">
        <v>210</v>
      </c>
      <c r="I10" s="452"/>
      <c r="J10" s="452"/>
      <c r="K10" s="452" t="s">
        <v>3172</v>
      </c>
      <c r="L10" s="452" t="s">
        <v>3172</v>
      </c>
      <c r="M10" s="449" t="s">
        <v>3307</v>
      </c>
      <c r="N10" s="449">
        <v>0</v>
      </c>
      <c r="O10" s="449" t="s">
        <v>3174</v>
      </c>
      <c r="P10" s="449" t="s">
        <v>3965</v>
      </c>
      <c r="Q10" s="449" t="s">
        <v>3176</v>
      </c>
    </row>
    <row r="11" spans="1:17">
      <c r="A11" s="451">
        <v>10</v>
      </c>
      <c r="B11" s="449" t="s">
        <v>3966</v>
      </c>
      <c r="C11" s="449" t="s">
        <v>945</v>
      </c>
      <c r="D11" s="449" t="s">
        <v>3169</v>
      </c>
      <c r="E11" s="449" t="s">
        <v>3967</v>
      </c>
      <c r="F11" s="449" t="s">
        <v>517</v>
      </c>
      <c r="G11" s="452" t="s">
        <v>3171</v>
      </c>
      <c r="H11" s="452">
        <v>210</v>
      </c>
      <c r="I11" s="452"/>
      <c r="J11" s="452"/>
      <c r="K11" s="452" t="s">
        <v>3172</v>
      </c>
      <c r="L11" s="452" t="s">
        <v>3172</v>
      </c>
      <c r="M11" s="449" t="s">
        <v>3307</v>
      </c>
      <c r="N11" s="449">
        <v>0</v>
      </c>
      <c r="O11" s="449" t="s">
        <v>3174</v>
      </c>
      <c r="P11" s="449" t="s">
        <v>3968</v>
      </c>
      <c r="Q11" s="449" t="s">
        <v>3969</v>
      </c>
    </row>
    <row r="12" spans="1:17">
      <c r="A12" s="451">
        <v>11</v>
      </c>
      <c r="B12" s="449" t="s">
        <v>3970</v>
      </c>
      <c r="C12" s="449" t="s">
        <v>796</v>
      </c>
      <c r="D12" s="449" t="s">
        <v>3169</v>
      </c>
      <c r="E12" s="449" t="s">
        <v>3971</v>
      </c>
      <c r="F12" s="449" t="s">
        <v>517</v>
      </c>
      <c r="G12" s="452" t="s">
        <v>3171</v>
      </c>
      <c r="H12" s="452">
        <v>210</v>
      </c>
      <c r="I12" s="452"/>
      <c r="J12" s="452"/>
      <c r="K12" s="452" t="s">
        <v>3172</v>
      </c>
      <c r="L12" s="452" t="s">
        <v>3172</v>
      </c>
      <c r="M12" s="449" t="s">
        <v>3307</v>
      </c>
      <c r="N12" s="449">
        <v>0</v>
      </c>
      <c r="O12" s="449" t="s">
        <v>3174</v>
      </c>
      <c r="P12" s="449" t="s">
        <v>3972</v>
      </c>
      <c r="Q12" s="449" t="s">
        <v>3973</v>
      </c>
    </row>
    <row r="13" spans="1:17">
      <c r="A13" s="451">
        <v>12</v>
      </c>
      <c r="B13" s="449" t="s">
        <v>3974</v>
      </c>
      <c r="C13" s="449" t="s">
        <v>3975</v>
      </c>
      <c r="D13" s="449" t="s">
        <v>3169</v>
      </c>
      <c r="E13" s="449" t="s">
        <v>3976</v>
      </c>
      <c r="F13" s="449" t="s">
        <v>517</v>
      </c>
      <c r="G13" s="452" t="s">
        <v>3171</v>
      </c>
      <c r="H13" s="452">
        <v>210</v>
      </c>
      <c r="I13" s="452"/>
      <c r="J13" s="452"/>
      <c r="K13" s="452" t="s">
        <v>3172</v>
      </c>
      <c r="L13" s="452" t="s">
        <v>3172</v>
      </c>
      <c r="M13" s="449" t="s">
        <v>3307</v>
      </c>
      <c r="N13" s="449">
        <v>0</v>
      </c>
      <c r="O13" s="449" t="s">
        <v>3174</v>
      </c>
      <c r="P13" s="449" t="s">
        <v>3977</v>
      </c>
      <c r="Q13" s="449" t="s">
        <v>3978</v>
      </c>
    </row>
    <row r="14" spans="1:17">
      <c r="A14" s="451">
        <v>13</v>
      </c>
      <c r="B14" s="449" t="s">
        <v>3979</v>
      </c>
      <c r="C14" s="449" t="s">
        <v>3980</v>
      </c>
      <c r="D14" s="449" t="s">
        <v>3169</v>
      </c>
      <c r="E14" s="449" t="s">
        <v>3981</v>
      </c>
      <c r="F14" s="449" t="s">
        <v>517</v>
      </c>
      <c r="G14" s="452" t="s">
        <v>3171</v>
      </c>
      <c r="H14" s="452">
        <v>210</v>
      </c>
      <c r="I14" s="452"/>
      <c r="J14" s="452"/>
      <c r="K14" s="452" t="s">
        <v>3172</v>
      </c>
      <c r="L14" s="452" t="s">
        <v>3172</v>
      </c>
      <c r="M14" s="449" t="s">
        <v>3307</v>
      </c>
      <c r="N14" s="449">
        <v>0</v>
      </c>
      <c r="O14" s="449" t="s">
        <v>3174</v>
      </c>
      <c r="P14" s="449" t="s">
        <v>3982</v>
      </c>
      <c r="Q14" s="449" t="s">
        <v>3983</v>
      </c>
    </row>
    <row r="15" spans="1:17">
      <c r="A15" s="451">
        <v>14</v>
      </c>
      <c r="B15" s="449" t="s">
        <v>3984</v>
      </c>
      <c r="C15" s="449" t="s">
        <v>214</v>
      </c>
      <c r="D15" s="449" t="s">
        <v>3169</v>
      </c>
      <c r="E15" s="449" t="s">
        <v>3985</v>
      </c>
      <c r="F15" s="449" t="s">
        <v>517</v>
      </c>
      <c r="G15" s="452" t="s">
        <v>3171</v>
      </c>
      <c r="H15" s="452">
        <v>210</v>
      </c>
      <c r="I15" s="452"/>
      <c r="J15" s="452"/>
      <c r="K15" s="452" t="s">
        <v>3172</v>
      </c>
      <c r="L15" s="452" t="s">
        <v>3172</v>
      </c>
      <c r="M15" s="449" t="s">
        <v>3307</v>
      </c>
      <c r="N15" s="449">
        <v>0</v>
      </c>
      <c r="O15" s="449" t="s">
        <v>3174</v>
      </c>
      <c r="P15" s="449" t="s">
        <v>3986</v>
      </c>
      <c r="Q15" s="449" t="s">
        <v>3987</v>
      </c>
    </row>
    <row r="16" spans="1:17">
      <c r="A16" s="451">
        <v>15</v>
      </c>
      <c r="B16" s="449" t="s">
        <v>3988</v>
      </c>
      <c r="C16" s="449" t="s">
        <v>922</v>
      </c>
      <c r="D16" s="449" t="s">
        <v>3169</v>
      </c>
      <c r="E16" s="449" t="s">
        <v>3989</v>
      </c>
      <c r="F16" s="449" t="s">
        <v>517</v>
      </c>
      <c r="G16" s="452" t="s">
        <v>3171</v>
      </c>
      <c r="H16" s="452">
        <v>210</v>
      </c>
      <c r="I16" s="452"/>
      <c r="J16" s="452"/>
      <c r="K16" s="452" t="s">
        <v>3172</v>
      </c>
      <c r="L16" s="452" t="s">
        <v>3172</v>
      </c>
      <c r="M16" s="449" t="s">
        <v>3307</v>
      </c>
      <c r="N16" s="449">
        <v>0</v>
      </c>
      <c r="O16" s="449" t="s">
        <v>3174</v>
      </c>
      <c r="P16" s="449" t="s">
        <v>3990</v>
      </c>
      <c r="Q16" s="449" t="s">
        <v>3991</v>
      </c>
    </row>
    <row r="17" spans="1:17">
      <c r="A17" s="451">
        <v>16</v>
      </c>
      <c r="B17" s="449" t="s">
        <v>3992</v>
      </c>
      <c r="C17" s="449" t="s">
        <v>209</v>
      </c>
      <c r="D17" s="449" t="s">
        <v>3169</v>
      </c>
      <c r="E17" s="449" t="s">
        <v>3993</v>
      </c>
      <c r="F17" s="449" t="s">
        <v>517</v>
      </c>
      <c r="G17" s="452" t="s">
        <v>3171</v>
      </c>
      <c r="H17" s="452">
        <v>210</v>
      </c>
      <c r="I17" s="452"/>
      <c r="J17" s="452"/>
      <c r="K17" s="452" t="s">
        <v>3172</v>
      </c>
      <c r="L17" s="452" t="s">
        <v>3172</v>
      </c>
      <c r="M17" s="449" t="s">
        <v>3307</v>
      </c>
      <c r="N17" s="449">
        <v>0</v>
      </c>
      <c r="O17" s="449" t="s">
        <v>3174</v>
      </c>
      <c r="P17" s="449" t="s">
        <v>3994</v>
      </c>
      <c r="Q17" s="449" t="s">
        <v>3995</v>
      </c>
    </row>
    <row r="18" spans="1:17">
      <c r="A18" s="451">
        <v>17</v>
      </c>
      <c r="B18" s="449" t="s">
        <v>3996</v>
      </c>
      <c r="C18" s="449" t="s">
        <v>3997</v>
      </c>
      <c r="D18" s="449" t="s">
        <v>3169</v>
      </c>
      <c r="E18" s="449" t="s">
        <v>3998</v>
      </c>
      <c r="F18" s="449" t="s">
        <v>517</v>
      </c>
      <c r="G18" s="452" t="s">
        <v>3171</v>
      </c>
      <c r="H18" s="452">
        <v>210</v>
      </c>
      <c r="I18" s="452"/>
      <c r="J18" s="452"/>
      <c r="K18" s="452" t="s">
        <v>3172</v>
      </c>
      <c r="L18" s="452" t="s">
        <v>3172</v>
      </c>
      <c r="M18" s="449" t="s">
        <v>3307</v>
      </c>
      <c r="N18" s="449">
        <v>0</v>
      </c>
      <c r="O18" s="449" t="s">
        <v>3174</v>
      </c>
      <c r="P18" s="449" t="s">
        <v>3999</v>
      </c>
      <c r="Q18" s="449" t="s">
        <v>4000</v>
      </c>
    </row>
    <row r="19" spans="1:17">
      <c r="A19" s="451">
        <v>18</v>
      </c>
      <c r="B19" s="449" t="s">
        <v>4001</v>
      </c>
      <c r="C19" s="449" t="s">
        <v>850</v>
      </c>
      <c r="D19" s="449" t="s">
        <v>3169</v>
      </c>
      <c r="E19" s="449" t="s">
        <v>4002</v>
      </c>
      <c r="F19" s="449" t="s">
        <v>517</v>
      </c>
      <c r="G19" s="452" t="s">
        <v>3171</v>
      </c>
      <c r="H19" s="452">
        <v>210</v>
      </c>
      <c r="I19" s="452"/>
      <c r="J19" s="452"/>
      <c r="K19" s="452" t="s">
        <v>3172</v>
      </c>
      <c r="L19" s="452" t="s">
        <v>3172</v>
      </c>
      <c r="M19" s="449" t="s">
        <v>3307</v>
      </c>
      <c r="N19" s="449">
        <v>0</v>
      </c>
      <c r="O19" s="449" t="s">
        <v>3174</v>
      </c>
      <c r="P19" s="449" t="s">
        <v>4003</v>
      </c>
      <c r="Q19" s="449" t="s">
        <v>4004</v>
      </c>
    </row>
    <row r="20" spans="1:17">
      <c r="A20" s="451">
        <v>19</v>
      </c>
      <c r="B20" s="449" t="s">
        <v>4005</v>
      </c>
      <c r="C20" s="449" t="s">
        <v>814</v>
      </c>
      <c r="D20" s="449" t="s">
        <v>3169</v>
      </c>
      <c r="E20" s="449" t="s">
        <v>4006</v>
      </c>
      <c r="F20" s="449" t="s">
        <v>517</v>
      </c>
      <c r="G20" s="452" t="s">
        <v>3171</v>
      </c>
      <c r="H20" s="452">
        <v>210</v>
      </c>
      <c r="I20" s="452"/>
      <c r="J20" s="452"/>
      <c r="K20" s="452" t="s">
        <v>3172</v>
      </c>
      <c r="L20" s="452" t="s">
        <v>3172</v>
      </c>
      <c r="M20" s="449" t="s">
        <v>3307</v>
      </c>
      <c r="N20" s="449">
        <v>0</v>
      </c>
      <c r="O20" s="449" t="s">
        <v>3174</v>
      </c>
      <c r="P20" s="449" t="s">
        <v>4007</v>
      </c>
      <c r="Q20" s="449" t="s">
        <v>4008</v>
      </c>
    </row>
    <row r="21" spans="1:17">
      <c r="A21" s="451">
        <v>20</v>
      </c>
      <c r="B21" s="449" t="s">
        <v>4009</v>
      </c>
      <c r="C21" s="449" t="s">
        <v>4010</v>
      </c>
      <c r="D21" s="449" t="s">
        <v>3169</v>
      </c>
      <c r="E21" s="449" t="s">
        <v>4011</v>
      </c>
      <c r="F21" s="449" t="s">
        <v>517</v>
      </c>
      <c r="G21" s="452" t="s">
        <v>3171</v>
      </c>
      <c r="H21" s="452">
        <v>210</v>
      </c>
      <c r="I21" s="452"/>
      <c r="J21" s="452"/>
      <c r="K21" s="452" t="s">
        <v>3172</v>
      </c>
      <c r="L21" s="452" t="s">
        <v>3172</v>
      </c>
      <c r="M21" s="449" t="s">
        <v>3307</v>
      </c>
      <c r="N21" s="449">
        <v>0</v>
      </c>
      <c r="O21" s="449" t="s">
        <v>3174</v>
      </c>
      <c r="P21" s="449" t="s">
        <v>4012</v>
      </c>
      <c r="Q21" s="449" t="s">
        <v>4013</v>
      </c>
    </row>
    <row r="22" spans="1:17">
      <c r="A22" s="451">
        <v>21</v>
      </c>
      <c r="B22" s="449" t="s">
        <v>4014</v>
      </c>
      <c r="C22" s="449" t="s">
        <v>238</v>
      </c>
      <c r="D22" s="449" t="s">
        <v>3169</v>
      </c>
      <c r="E22" s="449" t="s">
        <v>4015</v>
      </c>
      <c r="F22" s="449" t="s">
        <v>517</v>
      </c>
      <c r="G22" s="452" t="s">
        <v>3171</v>
      </c>
      <c r="H22" s="452">
        <v>210</v>
      </c>
      <c r="I22" s="452"/>
      <c r="J22" s="452"/>
      <c r="K22" s="452" t="s">
        <v>3172</v>
      </c>
      <c r="L22" s="452" t="s">
        <v>3172</v>
      </c>
      <c r="M22" s="449" t="s">
        <v>3307</v>
      </c>
      <c r="N22" s="449">
        <v>0</v>
      </c>
      <c r="O22" s="449" t="s">
        <v>3174</v>
      </c>
      <c r="P22" s="449" t="s">
        <v>4016</v>
      </c>
      <c r="Q22" s="449" t="s">
        <v>4017</v>
      </c>
    </row>
    <row r="23" spans="1:17">
      <c r="A23" s="451">
        <v>22</v>
      </c>
      <c r="B23" s="449" t="s">
        <v>4018</v>
      </c>
      <c r="C23" s="449" t="s">
        <v>4019</v>
      </c>
      <c r="D23" s="449" t="s">
        <v>3169</v>
      </c>
      <c r="E23" s="449" t="s">
        <v>4020</v>
      </c>
      <c r="F23" s="449" t="s">
        <v>517</v>
      </c>
      <c r="G23" s="452" t="s">
        <v>3171</v>
      </c>
      <c r="H23" s="452">
        <v>210</v>
      </c>
      <c r="I23" s="452"/>
      <c r="J23" s="452"/>
      <c r="K23" s="452" t="s">
        <v>3172</v>
      </c>
      <c r="L23" s="452" t="s">
        <v>3172</v>
      </c>
      <c r="M23" s="449" t="s">
        <v>3307</v>
      </c>
      <c r="N23" s="449">
        <v>0</v>
      </c>
      <c r="O23" s="449" t="s">
        <v>3174</v>
      </c>
      <c r="P23" s="449" t="s">
        <v>4021</v>
      </c>
      <c r="Q23" s="449" t="s">
        <v>4022</v>
      </c>
    </row>
    <row r="24" spans="1:17">
      <c r="A24" s="451">
        <v>23</v>
      </c>
      <c r="B24" s="449" t="s">
        <v>4023</v>
      </c>
      <c r="C24" s="449" t="s">
        <v>4024</v>
      </c>
      <c r="D24" s="449" t="s">
        <v>3169</v>
      </c>
      <c r="E24" s="449" t="s">
        <v>4025</v>
      </c>
      <c r="F24" s="449" t="s">
        <v>517</v>
      </c>
      <c r="G24" s="452" t="s">
        <v>3171</v>
      </c>
      <c r="H24" s="452">
        <v>210</v>
      </c>
      <c r="I24" s="452"/>
      <c r="J24" s="452"/>
      <c r="K24" s="452" t="s">
        <v>3172</v>
      </c>
      <c r="L24" s="452" t="s">
        <v>3172</v>
      </c>
      <c r="M24" s="449" t="s">
        <v>3307</v>
      </c>
      <c r="N24" s="449">
        <v>0</v>
      </c>
      <c r="O24" s="449" t="s">
        <v>3174</v>
      </c>
      <c r="P24" s="449" t="s">
        <v>4026</v>
      </c>
      <c r="Q24" s="449" t="s">
        <v>4027</v>
      </c>
    </row>
    <row r="25" spans="1:17">
      <c r="A25" s="451">
        <v>24</v>
      </c>
      <c r="B25" s="449" t="s">
        <v>4028</v>
      </c>
      <c r="C25" s="449" t="s">
        <v>4029</v>
      </c>
      <c r="D25" s="449" t="s">
        <v>3169</v>
      </c>
      <c r="E25" s="449" t="s">
        <v>4030</v>
      </c>
      <c r="F25" s="449" t="s">
        <v>517</v>
      </c>
      <c r="G25" s="452" t="s">
        <v>3171</v>
      </c>
      <c r="H25" s="452">
        <v>210</v>
      </c>
      <c r="I25" s="452"/>
      <c r="J25" s="452"/>
      <c r="K25" s="452" t="s">
        <v>3172</v>
      </c>
      <c r="L25" s="452" t="s">
        <v>3172</v>
      </c>
      <c r="M25" s="449" t="s">
        <v>3307</v>
      </c>
      <c r="N25" s="449">
        <v>0</v>
      </c>
      <c r="O25" s="449" t="s">
        <v>3174</v>
      </c>
      <c r="P25" s="449" t="s">
        <v>4031</v>
      </c>
      <c r="Q25" s="449" t="s">
        <v>3176</v>
      </c>
    </row>
    <row r="26" spans="1:17">
      <c r="A26" s="451">
        <v>25</v>
      </c>
      <c r="B26" s="449" t="s">
        <v>4032</v>
      </c>
      <c r="C26" s="449" t="s">
        <v>4033</v>
      </c>
      <c r="D26" s="449" t="s">
        <v>3169</v>
      </c>
      <c r="E26" s="449" t="s">
        <v>4034</v>
      </c>
      <c r="F26" s="449" t="s">
        <v>517</v>
      </c>
      <c r="G26" s="452" t="s">
        <v>3171</v>
      </c>
      <c r="H26" s="452">
        <v>210</v>
      </c>
      <c r="I26" s="452"/>
      <c r="J26" s="452"/>
      <c r="K26" s="452" t="s">
        <v>3172</v>
      </c>
      <c r="L26" s="452" t="s">
        <v>3172</v>
      </c>
      <c r="M26" s="449" t="s">
        <v>3307</v>
      </c>
      <c r="N26" s="449">
        <v>0</v>
      </c>
      <c r="O26" s="449" t="s">
        <v>3174</v>
      </c>
      <c r="P26" s="449" t="s">
        <v>4035</v>
      </c>
      <c r="Q26" s="449" t="s">
        <v>4036</v>
      </c>
    </row>
    <row r="27" spans="1:17">
      <c r="A27" s="451">
        <v>26</v>
      </c>
      <c r="B27" s="449" t="s">
        <v>4037</v>
      </c>
      <c r="C27" s="449" t="s">
        <v>4038</v>
      </c>
      <c r="D27" s="449" t="s">
        <v>3169</v>
      </c>
      <c r="E27" s="449" t="s">
        <v>4039</v>
      </c>
      <c r="F27" s="449" t="s">
        <v>517</v>
      </c>
      <c r="G27" s="452" t="s">
        <v>3171</v>
      </c>
      <c r="H27" s="452">
        <v>210</v>
      </c>
      <c r="I27" s="452"/>
      <c r="J27" s="452"/>
      <c r="K27" s="452" t="s">
        <v>3172</v>
      </c>
      <c r="L27" s="452" t="s">
        <v>3172</v>
      </c>
      <c r="M27" s="449" t="s">
        <v>3307</v>
      </c>
      <c r="N27" s="449">
        <v>0</v>
      </c>
      <c r="O27" s="449" t="s">
        <v>3174</v>
      </c>
      <c r="P27" s="449" t="s">
        <v>4040</v>
      </c>
      <c r="Q27" s="449" t="s">
        <v>4041</v>
      </c>
    </row>
    <row r="28" spans="1:17">
      <c r="A28" s="451">
        <v>27</v>
      </c>
      <c r="B28" s="449" t="s">
        <v>4042</v>
      </c>
      <c r="C28" s="449" t="s">
        <v>4043</v>
      </c>
      <c r="D28" s="449" t="s">
        <v>3169</v>
      </c>
      <c r="E28" s="449" t="s">
        <v>4044</v>
      </c>
      <c r="F28" s="449" t="s">
        <v>517</v>
      </c>
      <c r="G28" s="452" t="s">
        <v>3171</v>
      </c>
      <c r="H28" s="452">
        <v>210</v>
      </c>
      <c r="I28" s="452"/>
      <c r="J28" s="452"/>
      <c r="K28" s="452" t="s">
        <v>3172</v>
      </c>
      <c r="L28" s="452" t="s">
        <v>3172</v>
      </c>
      <c r="M28" s="449" t="s">
        <v>3307</v>
      </c>
      <c r="N28" s="449">
        <v>0</v>
      </c>
      <c r="O28" s="449" t="s">
        <v>3174</v>
      </c>
      <c r="P28" s="449" t="s">
        <v>4045</v>
      </c>
      <c r="Q28" s="449" t="s">
        <v>3176</v>
      </c>
    </row>
    <row r="29" spans="1:17">
      <c r="A29" s="451">
        <v>28</v>
      </c>
      <c r="B29" s="449" t="s">
        <v>4046</v>
      </c>
      <c r="C29" s="449" t="s">
        <v>4047</v>
      </c>
      <c r="D29" s="449" t="s">
        <v>3169</v>
      </c>
      <c r="E29" s="449" t="s">
        <v>4048</v>
      </c>
      <c r="F29" s="449" t="s">
        <v>517</v>
      </c>
      <c r="G29" s="452" t="s">
        <v>3171</v>
      </c>
      <c r="H29" s="452">
        <v>210</v>
      </c>
      <c r="I29" s="452"/>
      <c r="J29" s="452"/>
      <c r="K29" s="452" t="s">
        <v>3172</v>
      </c>
      <c r="L29" s="452" t="s">
        <v>3172</v>
      </c>
      <c r="M29" s="449" t="s">
        <v>3307</v>
      </c>
      <c r="N29" s="449">
        <v>0</v>
      </c>
      <c r="O29" s="449" t="s">
        <v>3174</v>
      </c>
      <c r="P29" s="449" t="s">
        <v>4049</v>
      </c>
      <c r="Q29" s="449" t="s">
        <v>3176</v>
      </c>
    </row>
    <row r="30" spans="1:17">
      <c r="A30" s="451">
        <v>29</v>
      </c>
      <c r="B30" s="449" t="s">
        <v>4050</v>
      </c>
      <c r="C30" s="449" t="s">
        <v>810</v>
      </c>
      <c r="D30" s="449" t="s">
        <v>3169</v>
      </c>
      <c r="E30" s="449" t="s">
        <v>4051</v>
      </c>
      <c r="F30" s="449" t="s">
        <v>517</v>
      </c>
      <c r="G30" s="452" t="s">
        <v>3171</v>
      </c>
      <c r="H30" s="452">
        <v>210</v>
      </c>
      <c r="I30" s="452"/>
      <c r="J30" s="452"/>
      <c r="K30" s="452" t="s">
        <v>3172</v>
      </c>
      <c r="L30" s="452" t="s">
        <v>3172</v>
      </c>
      <c r="M30" s="449" t="s">
        <v>3307</v>
      </c>
      <c r="N30" s="449">
        <v>0</v>
      </c>
      <c r="O30" s="449" t="s">
        <v>3174</v>
      </c>
      <c r="P30" s="449" t="s">
        <v>4052</v>
      </c>
      <c r="Q30" s="449" t="s">
        <v>4053</v>
      </c>
    </row>
    <row r="31" spans="1:17">
      <c r="A31" s="451">
        <v>30</v>
      </c>
      <c r="B31" s="449" t="s">
        <v>4054</v>
      </c>
      <c r="C31" s="449" t="s">
        <v>4055</v>
      </c>
      <c r="D31" s="449" t="s">
        <v>3169</v>
      </c>
      <c r="E31" s="449" t="s">
        <v>4056</v>
      </c>
      <c r="F31" s="449" t="s">
        <v>517</v>
      </c>
      <c r="G31" s="452" t="s">
        <v>3171</v>
      </c>
      <c r="H31" s="452">
        <v>210</v>
      </c>
      <c r="I31" s="452"/>
      <c r="J31" s="452"/>
      <c r="K31" s="452" t="s">
        <v>3172</v>
      </c>
      <c r="L31" s="452" t="s">
        <v>3172</v>
      </c>
      <c r="M31" s="449" t="s">
        <v>3307</v>
      </c>
      <c r="N31" s="449">
        <v>0</v>
      </c>
      <c r="O31" s="449" t="s">
        <v>3174</v>
      </c>
      <c r="P31" s="449" t="s">
        <v>4057</v>
      </c>
      <c r="Q31" s="449" t="s">
        <v>4058</v>
      </c>
    </row>
    <row r="32" spans="1:17">
      <c r="A32" s="451">
        <v>31</v>
      </c>
      <c r="B32" s="449" t="s">
        <v>4059</v>
      </c>
      <c r="C32" s="449" t="s">
        <v>4060</v>
      </c>
      <c r="D32" s="449" t="s">
        <v>3169</v>
      </c>
      <c r="E32" s="449" t="s">
        <v>4061</v>
      </c>
      <c r="F32" s="449" t="s">
        <v>517</v>
      </c>
      <c r="G32" s="452" t="s">
        <v>3171</v>
      </c>
      <c r="H32" s="452">
        <v>210</v>
      </c>
      <c r="I32" s="452"/>
      <c r="J32" s="452"/>
      <c r="K32" s="452" t="s">
        <v>3172</v>
      </c>
      <c r="L32" s="452" t="s">
        <v>3172</v>
      </c>
      <c r="M32" s="449" t="s">
        <v>3307</v>
      </c>
      <c r="N32" s="449">
        <v>0</v>
      </c>
      <c r="O32" s="449" t="s">
        <v>3174</v>
      </c>
      <c r="P32" s="449" t="s">
        <v>4062</v>
      </c>
      <c r="Q32" s="449" t="s">
        <v>3176</v>
      </c>
    </row>
    <row r="33" spans="1:17">
      <c r="A33" s="451">
        <v>32</v>
      </c>
      <c r="B33" s="449" t="s">
        <v>4063</v>
      </c>
      <c r="C33" s="449" t="s">
        <v>4064</v>
      </c>
      <c r="D33" s="449" t="s">
        <v>3169</v>
      </c>
      <c r="E33" s="449" t="s">
        <v>4065</v>
      </c>
      <c r="F33" s="449" t="s">
        <v>517</v>
      </c>
      <c r="G33" s="452" t="s">
        <v>3171</v>
      </c>
      <c r="H33" s="452">
        <v>210</v>
      </c>
      <c r="I33" s="452"/>
      <c r="J33" s="452"/>
      <c r="K33" s="452" t="s">
        <v>3172</v>
      </c>
      <c r="L33" s="452" t="s">
        <v>3172</v>
      </c>
      <c r="M33" s="449" t="s">
        <v>3307</v>
      </c>
      <c r="N33" s="449">
        <v>0</v>
      </c>
      <c r="O33" s="449" t="s">
        <v>3174</v>
      </c>
      <c r="P33" s="449" t="s">
        <v>4066</v>
      </c>
      <c r="Q33" s="449" t="s">
        <v>4067</v>
      </c>
    </row>
    <row r="34" spans="1:17">
      <c r="A34" s="451">
        <v>33</v>
      </c>
      <c r="B34" s="449" t="s">
        <v>4068</v>
      </c>
      <c r="C34" s="449" t="s">
        <v>4069</v>
      </c>
      <c r="D34" s="449" t="s">
        <v>3169</v>
      </c>
      <c r="E34" s="449" t="s">
        <v>4070</v>
      </c>
      <c r="F34" s="449" t="s">
        <v>517</v>
      </c>
      <c r="G34" s="452" t="s">
        <v>3171</v>
      </c>
      <c r="H34" s="452">
        <v>210</v>
      </c>
      <c r="I34" s="452"/>
      <c r="J34" s="452"/>
      <c r="K34" s="452" t="s">
        <v>3172</v>
      </c>
      <c r="L34" s="452" t="s">
        <v>3172</v>
      </c>
      <c r="M34" s="449" t="s">
        <v>3307</v>
      </c>
      <c r="N34" s="449">
        <v>0</v>
      </c>
      <c r="O34" s="449" t="s">
        <v>3174</v>
      </c>
      <c r="P34" s="449" t="s">
        <v>4071</v>
      </c>
      <c r="Q34" s="449" t="s">
        <v>3176</v>
      </c>
    </row>
    <row r="35" spans="1:17">
      <c r="A35" s="451">
        <v>34</v>
      </c>
      <c r="B35" s="449" t="s">
        <v>4072</v>
      </c>
      <c r="C35" s="449" t="s">
        <v>4073</v>
      </c>
      <c r="D35" s="449" t="s">
        <v>3169</v>
      </c>
      <c r="E35" s="449" t="s">
        <v>4074</v>
      </c>
      <c r="F35" s="449" t="s">
        <v>517</v>
      </c>
      <c r="G35" s="452" t="s">
        <v>3171</v>
      </c>
      <c r="H35" s="452">
        <v>210</v>
      </c>
      <c r="I35" s="452"/>
      <c r="J35" s="452"/>
      <c r="K35" s="452" t="s">
        <v>3172</v>
      </c>
      <c r="L35" s="452" t="s">
        <v>3172</v>
      </c>
      <c r="M35" s="449" t="s">
        <v>3307</v>
      </c>
      <c r="N35" s="449">
        <v>0</v>
      </c>
      <c r="O35" s="449" t="s">
        <v>3174</v>
      </c>
      <c r="P35" s="449" t="s">
        <v>4075</v>
      </c>
      <c r="Q35" s="449" t="s">
        <v>4076</v>
      </c>
    </row>
    <row r="36" spans="1:17">
      <c r="A36" s="451">
        <v>35</v>
      </c>
      <c r="B36" s="449" t="s">
        <v>4077</v>
      </c>
      <c r="C36" s="449" t="s">
        <v>215</v>
      </c>
      <c r="D36" s="449" t="s">
        <v>3169</v>
      </c>
      <c r="E36" s="449" t="s">
        <v>4078</v>
      </c>
      <c r="F36" s="449" t="s">
        <v>517</v>
      </c>
      <c r="G36" s="452" t="s">
        <v>3171</v>
      </c>
      <c r="H36" s="452">
        <v>210</v>
      </c>
      <c r="I36" s="452"/>
      <c r="J36" s="452"/>
      <c r="K36" s="452" t="s">
        <v>3172</v>
      </c>
      <c r="L36" s="452" t="s">
        <v>3172</v>
      </c>
      <c r="M36" s="449" t="s">
        <v>3307</v>
      </c>
      <c r="N36" s="449">
        <v>0</v>
      </c>
      <c r="O36" s="449" t="s">
        <v>3174</v>
      </c>
      <c r="P36" s="449" t="s">
        <v>4079</v>
      </c>
      <c r="Q36" s="449" t="s">
        <v>4080</v>
      </c>
    </row>
    <row r="37" spans="1:17">
      <c r="A37" s="451">
        <v>36</v>
      </c>
      <c r="B37" s="449" t="s">
        <v>4081</v>
      </c>
      <c r="C37" s="449" t="s">
        <v>211</v>
      </c>
      <c r="D37" s="449" t="s">
        <v>3169</v>
      </c>
      <c r="E37" s="449" t="s">
        <v>4082</v>
      </c>
      <c r="F37" s="449" t="s">
        <v>517</v>
      </c>
      <c r="G37" s="452" t="s">
        <v>3171</v>
      </c>
      <c r="H37" s="452">
        <v>210</v>
      </c>
      <c r="I37" s="452"/>
      <c r="J37" s="452"/>
      <c r="K37" s="452" t="s">
        <v>3172</v>
      </c>
      <c r="L37" s="452" t="s">
        <v>3172</v>
      </c>
      <c r="M37" s="449" t="s">
        <v>3307</v>
      </c>
      <c r="N37" s="449">
        <v>0</v>
      </c>
      <c r="O37" s="449" t="s">
        <v>3174</v>
      </c>
      <c r="P37" s="449" t="s">
        <v>4083</v>
      </c>
      <c r="Q37" s="449" t="s">
        <v>4084</v>
      </c>
    </row>
    <row r="38" spans="1:17">
      <c r="A38" s="451">
        <v>37</v>
      </c>
      <c r="B38" s="449" t="s">
        <v>4085</v>
      </c>
      <c r="C38" s="449" t="s">
        <v>4086</v>
      </c>
      <c r="D38" s="449" t="s">
        <v>3169</v>
      </c>
      <c r="E38" s="449" t="s">
        <v>4087</v>
      </c>
      <c r="F38" s="449" t="s">
        <v>517</v>
      </c>
      <c r="G38" s="452" t="s">
        <v>3171</v>
      </c>
      <c r="H38" s="452">
        <v>210</v>
      </c>
      <c r="I38" s="452"/>
      <c r="J38" s="452"/>
      <c r="K38" s="452" t="s">
        <v>3172</v>
      </c>
      <c r="L38" s="452" t="s">
        <v>3172</v>
      </c>
      <c r="M38" s="449" t="s">
        <v>3307</v>
      </c>
      <c r="N38" s="449">
        <v>0</v>
      </c>
      <c r="O38" s="449" t="s">
        <v>3174</v>
      </c>
      <c r="P38" s="449" t="s">
        <v>4088</v>
      </c>
      <c r="Q38" s="449" t="s">
        <v>4089</v>
      </c>
    </row>
    <row r="39" spans="1:17">
      <c r="A39" s="451">
        <v>38</v>
      </c>
      <c r="B39" s="449" t="s">
        <v>4090</v>
      </c>
      <c r="C39" s="449" t="s">
        <v>4091</v>
      </c>
      <c r="D39" s="449" t="s">
        <v>3169</v>
      </c>
      <c r="E39" s="449" t="s">
        <v>4092</v>
      </c>
      <c r="F39" s="449" t="s">
        <v>517</v>
      </c>
      <c r="G39" s="452" t="s">
        <v>3171</v>
      </c>
      <c r="H39" s="452">
        <v>210</v>
      </c>
      <c r="I39" s="452"/>
      <c r="J39" s="452"/>
      <c r="K39" s="452" t="s">
        <v>3172</v>
      </c>
      <c r="L39" s="452" t="s">
        <v>3172</v>
      </c>
      <c r="M39" s="449" t="s">
        <v>3307</v>
      </c>
      <c r="N39" s="449">
        <v>0</v>
      </c>
      <c r="O39" s="449" t="s">
        <v>3174</v>
      </c>
      <c r="P39" s="449" t="s">
        <v>4093</v>
      </c>
      <c r="Q39" s="449" t="s">
        <v>4094</v>
      </c>
    </row>
    <row r="40" spans="1:17">
      <c r="A40" s="451">
        <v>39</v>
      </c>
      <c r="B40" s="449" t="s">
        <v>4095</v>
      </c>
      <c r="C40" s="449" t="s">
        <v>4096</v>
      </c>
      <c r="D40" s="449" t="s">
        <v>3169</v>
      </c>
      <c r="E40" s="449" t="s">
        <v>4097</v>
      </c>
      <c r="F40" s="449" t="s">
        <v>517</v>
      </c>
      <c r="G40" s="452" t="s">
        <v>3171</v>
      </c>
      <c r="H40" s="452">
        <v>210</v>
      </c>
      <c r="I40" s="452"/>
      <c r="J40" s="452"/>
      <c r="K40" s="452" t="s">
        <v>3172</v>
      </c>
      <c r="L40" s="452" t="s">
        <v>3172</v>
      </c>
      <c r="M40" s="449" t="s">
        <v>3307</v>
      </c>
      <c r="N40" s="449">
        <v>0</v>
      </c>
      <c r="O40" s="449" t="s">
        <v>3174</v>
      </c>
      <c r="P40" s="449" t="s">
        <v>4098</v>
      </c>
      <c r="Q40" s="449" t="s">
        <v>4099</v>
      </c>
    </row>
    <row r="41" spans="1:17">
      <c r="A41" s="451">
        <v>40</v>
      </c>
      <c r="B41" s="449" t="s">
        <v>4100</v>
      </c>
      <c r="C41" s="449" t="s">
        <v>4101</v>
      </c>
      <c r="D41" s="449" t="s">
        <v>3169</v>
      </c>
      <c r="E41" s="449" t="s">
        <v>4102</v>
      </c>
      <c r="F41" s="449" t="s">
        <v>517</v>
      </c>
      <c r="G41" s="452" t="s">
        <v>3171</v>
      </c>
      <c r="H41" s="452">
        <v>210</v>
      </c>
      <c r="I41" s="452"/>
      <c r="J41" s="452"/>
      <c r="K41" s="452" t="s">
        <v>3172</v>
      </c>
      <c r="L41" s="452" t="s">
        <v>3172</v>
      </c>
      <c r="M41" s="449" t="s">
        <v>3307</v>
      </c>
      <c r="N41" s="449">
        <v>0</v>
      </c>
      <c r="O41" s="449" t="s">
        <v>3174</v>
      </c>
      <c r="P41" s="449" t="s">
        <v>4103</v>
      </c>
      <c r="Q41" s="449" t="s">
        <v>4104</v>
      </c>
    </row>
    <row r="42" spans="1:17">
      <c r="A42" s="451">
        <v>41</v>
      </c>
      <c r="B42" s="449" t="s">
        <v>4105</v>
      </c>
      <c r="C42" s="449" t="s">
        <v>4106</v>
      </c>
      <c r="D42" s="449" t="s">
        <v>3169</v>
      </c>
      <c r="E42" s="449" t="s">
        <v>4107</v>
      </c>
      <c r="F42" s="449" t="s">
        <v>517</v>
      </c>
      <c r="G42" s="452" t="s">
        <v>3171</v>
      </c>
      <c r="H42" s="452">
        <v>210</v>
      </c>
      <c r="I42" s="452"/>
      <c r="J42" s="452"/>
      <c r="K42" s="452" t="s">
        <v>3172</v>
      </c>
      <c r="L42" s="452" t="s">
        <v>3172</v>
      </c>
      <c r="M42" s="449" t="s">
        <v>3307</v>
      </c>
      <c r="N42" s="449">
        <v>0</v>
      </c>
      <c r="O42" s="449" t="s">
        <v>3174</v>
      </c>
      <c r="P42" s="449" t="s">
        <v>4108</v>
      </c>
      <c r="Q42" s="449" t="s">
        <v>4109</v>
      </c>
    </row>
    <row r="43" spans="1:17">
      <c r="A43" s="451">
        <v>42</v>
      </c>
      <c r="B43" s="449" t="s">
        <v>4110</v>
      </c>
      <c r="C43" s="449" t="s">
        <v>4111</v>
      </c>
      <c r="D43" s="449" t="s">
        <v>3169</v>
      </c>
      <c r="E43" s="449" t="s">
        <v>4112</v>
      </c>
      <c r="F43" s="449" t="s">
        <v>517</v>
      </c>
      <c r="G43" s="452" t="s">
        <v>3171</v>
      </c>
      <c r="H43" s="452">
        <v>210</v>
      </c>
      <c r="I43" s="452"/>
      <c r="J43" s="452"/>
      <c r="K43" s="452" t="s">
        <v>3172</v>
      </c>
      <c r="L43" s="452" t="s">
        <v>3172</v>
      </c>
      <c r="M43" s="449" t="s">
        <v>3307</v>
      </c>
      <c r="N43" s="449">
        <v>0</v>
      </c>
      <c r="O43" s="449" t="s">
        <v>3174</v>
      </c>
      <c r="P43" s="449" t="s">
        <v>4113</v>
      </c>
      <c r="Q43" s="449" t="s">
        <v>4114</v>
      </c>
    </row>
    <row r="44" spans="1:17">
      <c r="A44" s="451">
        <v>43</v>
      </c>
      <c r="B44" s="449" t="s">
        <v>4115</v>
      </c>
      <c r="C44" s="449" t="s">
        <v>919</v>
      </c>
      <c r="D44" s="449" t="s">
        <v>3169</v>
      </c>
      <c r="E44" s="449" t="s">
        <v>4116</v>
      </c>
      <c r="F44" s="449" t="s">
        <v>517</v>
      </c>
      <c r="G44" s="452" t="s">
        <v>3171</v>
      </c>
      <c r="H44" s="452">
        <v>210</v>
      </c>
      <c r="I44" s="452"/>
      <c r="J44" s="452"/>
      <c r="K44" s="452" t="s">
        <v>3172</v>
      </c>
      <c r="L44" s="452" t="s">
        <v>3172</v>
      </c>
      <c r="M44" s="449" t="s">
        <v>3307</v>
      </c>
      <c r="N44" s="449">
        <v>0</v>
      </c>
      <c r="O44" s="449" t="s">
        <v>3174</v>
      </c>
      <c r="P44" s="449" t="s">
        <v>4117</v>
      </c>
      <c r="Q44" s="449" t="s">
        <v>4118</v>
      </c>
    </row>
    <row r="45" spans="1:17">
      <c r="A45" s="451">
        <v>44</v>
      </c>
      <c r="B45" s="449" t="s">
        <v>4119</v>
      </c>
      <c r="C45" s="449" t="s">
        <v>235</v>
      </c>
      <c r="D45" s="449" t="s">
        <v>3169</v>
      </c>
      <c r="E45" s="449" t="s">
        <v>4120</v>
      </c>
      <c r="F45" s="449" t="s">
        <v>517</v>
      </c>
      <c r="G45" s="452" t="s">
        <v>3171</v>
      </c>
      <c r="H45" s="452">
        <v>210</v>
      </c>
      <c r="I45" s="452"/>
      <c r="J45" s="452"/>
      <c r="K45" s="452" t="s">
        <v>3172</v>
      </c>
      <c r="L45" s="452" t="s">
        <v>3172</v>
      </c>
      <c r="M45" s="449" t="s">
        <v>3307</v>
      </c>
      <c r="N45" s="449">
        <v>0</v>
      </c>
      <c r="O45" s="449" t="s">
        <v>3174</v>
      </c>
      <c r="P45" s="449" t="s">
        <v>4121</v>
      </c>
      <c r="Q45" s="449" t="s">
        <v>3176</v>
      </c>
    </row>
    <row r="46" spans="1:17">
      <c r="A46" s="451">
        <v>45</v>
      </c>
      <c r="B46" s="449" t="s">
        <v>4122</v>
      </c>
      <c r="C46" s="449" t="s">
        <v>4123</v>
      </c>
      <c r="D46" s="449" t="s">
        <v>3169</v>
      </c>
      <c r="E46" s="449" t="s">
        <v>4124</v>
      </c>
      <c r="F46" s="449" t="s">
        <v>517</v>
      </c>
      <c r="G46" s="452" t="s">
        <v>3171</v>
      </c>
      <c r="H46" s="452">
        <v>210</v>
      </c>
      <c r="I46" s="452"/>
      <c r="J46" s="452"/>
      <c r="K46" s="452" t="s">
        <v>3172</v>
      </c>
      <c r="L46" s="452" t="s">
        <v>3172</v>
      </c>
      <c r="M46" s="449" t="s">
        <v>3307</v>
      </c>
      <c r="N46" s="449">
        <v>0</v>
      </c>
      <c r="O46" s="449" t="s">
        <v>3174</v>
      </c>
      <c r="P46" s="449" t="s">
        <v>4125</v>
      </c>
      <c r="Q46" s="449" t="s">
        <v>3176</v>
      </c>
    </row>
    <row r="47" spans="1:17">
      <c r="A47" s="451">
        <v>46</v>
      </c>
      <c r="B47" s="449" t="s">
        <v>4126</v>
      </c>
      <c r="C47" s="449" t="s">
        <v>233</v>
      </c>
      <c r="D47" s="449" t="s">
        <v>3169</v>
      </c>
      <c r="E47" s="449" t="s">
        <v>4127</v>
      </c>
      <c r="F47" s="449" t="s">
        <v>517</v>
      </c>
      <c r="G47" s="452" t="s">
        <v>3171</v>
      </c>
      <c r="H47" s="452">
        <v>210</v>
      </c>
      <c r="I47" s="452"/>
      <c r="J47" s="452"/>
      <c r="K47" s="452"/>
      <c r="L47" s="452" t="s">
        <v>3172</v>
      </c>
      <c r="M47" s="449" t="s">
        <v>3307</v>
      </c>
      <c r="N47" s="449">
        <v>0</v>
      </c>
      <c r="O47" s="449" t="s">
        <v>3174</v>
      </c>
      <c r="P47" s="449" t="s">
        <v>4128</v>
      </c>
      <c r="Q47" s="449" t="s">
        <v>3176</v>
      </c>
    </row>
    <row r="48" spans="1:17">
      <c r="A48" s="451">
        <v>47</v>
      </c>
      <c r="B48" s="449" t="s">
        <v>4129</v>
      </c>
      <c r="C48" s="449" t="s">
        <v>951</v>
      </c>
      <c r="D48" s="449" t="s">
        <v>3169</v>
      </c>
      <c r="E48" s="449" t="s">
        <v>4130</v>
      </c>
      <c r="F48" s="449" t="s">
        <v>517</v>
      </c>
      <c r="G48" s="452" t="s">
        <v>3171</v>
      </c>
      <c r="H48" s="452">
        <v>210</v>
      </c>
      <c r="I48" s="452"/>
      <c r="J48" s="452"/>
      <c r="K48" s="452"/>
      <c r="L48" s="452" t="s">
        <v>3172</v>
      </c>
      <c r="M48" s="449" t="s">
        <v>3307</v>
      </c>
      <c r="N48" s="449">
        <v>0</v>
      </c>
      <c r="O48" s="449" t="s">
        <v>3174</v>
      </c>
      <c r="P48" s="449" t="s">
        <v>4131</v>
      </c>
      <c r="Q48" s="449" t="s">
        <v>3176</v>
      </c>
    </row>
    <row r="49" spans="1:17">
      <c r="A49" s="451">
        <v>48</v>
      </c>
      <c r="B49" s="449" t="s">
        <v>4132</v>
      </c>
      <c r="C49" s="449" t="s">
        <v>219</v>
      </c>
      <c r="D49" s="449" t="s">
        <v>3169</v>
      </c>
      <c r="E49" s="449" t="s">
        <v>4133</v>
      </c>
      <c r="F49" s="449" t="s">
        <v>517</v>
      </c>
      <c r="G49" s="452" t="s">
        <v>3171</v>
      </c>
      <c r="H49" s="452">
        <v>210</v>
      </c>
      <c r="I49" s="452"/>
      <c r="J49" s="452"/>
      <c r="K49" s="452"/>
      <c r="L49" s="452" t="s">
        <v>3172</v>
      </c>
      <c r="M49" s="449" t="s">
        <v>3307</v>
      </c>
      <c r="N49" s="449">
        <v>0</v>
      </c>
      <c r="O49" s="449" t="s">
        <v>3174</v>
      </c>
      <c r="P49" s="449" t="s">
        <v>4134</v>
      </c>
      <c r="Q49" s="449" t="s">
        <v>3176</v>
      </c>
    </row>
    <row r="50" spans="1:17">
      <c r="A50" s="451">
        <v>49</v>
      </c>
      <c r="B50" s="449" t="s">
        <v>4135</v>
      </c>
      <c r="C50" s="449" t="s">
        <v>903</v>
      </c>
      <c r="D50" s="449" t="s">
        <v>3169</v>
      </c>
      <c r="E50" s="449" t="s">
        <v>4136</v>
      </c>
      <c r="F50" s="449" t="s">
        <v>517</v>
      </c>
      <c r="G50" s="452" t="s">
        <v>3171</v>
      </c>
      <c r="H50" s="452">
        <v>210</v>
      </c>
      <c r="I50" s="452"/>
      <c r="J50" s="452"/>
      <c r="K50" s="452"/>
      <c r="L50" s="452" t="s">
        <v>3172</v>
      </c>
      <c r="M50" s="449" t="s">
        <v>3307</v>
      </c>
      <c r="N50" s="449">
        <v>0</v>
      </c>
      <c r="O50" s="449" t="s">
        <v>3174</v>
      </c>
      <c r="P50" s="449" t="s">
        <v>4137</v>
      </c>
      <c r="Q50" s="449" t="s">
        <v>3176</v>
      </c>
    </row>
    <row r="51" spans="1:17">
      <c r="A51" s="451">
        <v>50</v>
      </c>
      <c r="B51" s="449" t="s">
        <v>4138</v>
      </c>
      <c r="C51" s="449" t="s">
        <v>220</v>
      </c>
      <c r="D51" s="449" t="s">
        <v>3169</v>
      </c>
      <c r="E51" s="449" t="s">
        <v>4139</v>
      </c>
      <c r="F51" s="449" t="s">
        <v>517</v>
      </c>
      <c r="G51" s="452" t="s">
        <v>3171</v>
      </c>
      <c r="H51" s="452">
        <v>210</v>
      </c>
      <c r="I51" s="452"/>
      <c r="J51" s="452"/>
      <c r="K51" s="452"/>
      <c r="L51" s="452" t="s">
        <v>3172</v>
      </c>
      <c r="M51" s="449" t="s">
        <v>3307</v>
      </c>
      <c r="N51" s="449">
        <v>0</v>
      </c>
      <c r="O51" s="449" t="s">
        <v>3174</v>
      </c>
      <c r="P51" s="449" t="s">
        <v>4140</v>
      </c>
      <c r="Q51" s="449" t="s">
        <v>4141</v>
      </c>
    </row>
    <row r="52" spans="1:17">
      <c r="A52" s="451">
        <v>51</v>
      </c>
      <c r="B52" s="449" t="s">
        <v>4142</v>
      </c>
      <c r="C52" s="449" t="s">
        <v>875</v>
      </c>
      <c r="D52" s="449" t="s">
        <v>3169</v>
      </c>
      <c r="E52" s="449" t="s">
        <v>4143</v>
      </c>
      <c r="F52" s="449" t="s">
        <v>517</v>
      </c>
      <c r="G52" s="452" t="s">
        <v>3171</v>
      </c>
      <c r="H52" s="452">
        <v>210</v>
      </c>
      <c r="I52" s="452"/>
      <c r="J52" s="452"/>
      <c r="K52" s="452"/>
      <c r="L52" s="452" t="s">
        <v>3172</v>
      </c>
      <c r="M52" s="449" t="s">
        <v>3307</v>
      </c>
      <c r="N52" s="449">
        <v>0</v>
      </c>
      <c r="O52" s="449" t="s">
        <v>3174</v>
      </c>
      <c r="P52" s="449" t="s">
        <v>4144</v>
      </c>
      <c r="Q52" s="449" t="s">
        <v>3176</v>
      </c>
    </row>
    <row r="53" spans="1:17">
      <c r="A53" s="451">
        <v>52</v>
      </c>
      <c r="B53" s="449" t="s">
        <v>4145</v>
      </c>
      <c r="C53" s="449" t="s">
        <v>4146</v>
      </c>
      <c r="D53" s="449" t="s">
        <v>3169</v>
      </c>
      <c r="E53" s="449" t="s">
        <v>4147</v>
      </c>
      <c r="F53" s="449" t="s">
        <v>517</v>
      </c>
      <c r="G53" s="452" t="s">
        <v>3171</v>
      </c>
      <c r="H53" s="452">
        <v>210</v>
      </c>
      <c r="I53" s="452"/>
      <c r="J53" s="452"/>
      <c r="K53" s="452"/>
      <c r="L53" s="452" t="s">
        <v>3172</v>
      </c>
      <c r="M53" s="449" t="s">
        <v>3307</v>
      </c>
      <c r="N53" s="449">
        <v>0</v>
      </c>
      <c r="O53" s="449" t="s">
        <v>3174</v>
      </c>
      <c r="P53" s="449" t="s">
        <v>4148</v>
      </c>
      <c r="Q53" s="449" t="s">
        <v>4149</v>
      </c>
    </row>
    <row r="54" spans="1:17">
      <c r="A54" s="451">
        <v>53</v>
      </c>
      <c r="B54" s="449" t="s">
        <v>4150</v>
      </c>
      <c r="C54" s="449" t="s">
        <v>4151</v>
      </c>
      <c r="D54" s="449" t="s">
        <v>3169</v>
      </c>
      <c r="E54" s="449" t="s">
        <v>4152</v>
      </c>
      <c r="F54" s="449" t="s">
        <v>517</v>
      </c>
      <c r="G54" s="452" t="s">
        <v>3171</v>
      </c>
      <c r="H54" s="452">
        <v>210</v>
      </c>
      <c r="I54" s="452"/>
      <c r="J54" s="452"/>
      <c r="K54" s="452"/>
      <c r="L54" s="452" t="s">
        <v>3172</v>
      </c>
      <c r="M54" s="449" t="s">
        <v>3307</v>
      </c>
      <c r="N54" s="449">
        <v>0</v>
      </c>
      <c r="O54" s="449" t="s">
        <v>3174</v>
      </c>
      <c r="P54" s="449" t="s">
        <v>4153</v>
      </c>
      <c r="Q54" s="449" t="s">
        <v>4154</v>
      </c>
    </row>
    <row r="55" spans="1:17">
      <c r="A55" s="451">
        <v>54</v>
      </c>
      <c r="B55" s="449" t="s">
        <v>4155</v>
      </c>
      <c r="C55" s="449" t="s">
        <v>4156</v>
      </c>
      <c r="D55" s="449" t="s">
        <v>3169</v>
      </c>
      <c r="E55" s="449" t="s">
        <v>4157</v>
      </c>
      <c r="F55" s="449" t="s">
        <v>517</v>
      </c>
      <c r="G55" s="452" t="s">
        <v>3171</v>
      </c>
      <c r="H55" s="452">
        <v>210</v>
      </c>
      <c r="I55" s="452"/>
      <c r="J55" s="452"/>
      <c r="K55" s="452"/>
      <c r="L55" s="452" t="s">
        <v>3172</v>
      </c>
      <c r="M55" s="449" t="s">
        <v>3307</v>
      </c>
      <c r="N55" s="449">
        <v>0</v>
      </c>
      <c r="O55" s="449" t="s">
        <v>3174</v>
      </c>
      <c r="P55" s="449" t="s">
        <v>4158</v>
      </c>
      <c r="Q55" s="449" t="s">
        <v>4159</v>
      </c>
    </row>
    <row r="56" spans="1:17">
      <c r="A56" s="451">
        <v>55</v>
      </c>
      <c r="B56" s="449" t="s">
        <v>4160</v>
      </c>
      <c r="C56" s="449" t="s">
        <v>4161</v>
      </c>
      <c r="D56" s="449" t="s">
        <v>3169</v>
      </c>
      <c r="E56" s="449" t="s">
        <v>4162</v>
      </c>
      <c r="F56" s="449" t="s">
        <v>517</v>
      </c>
      <c r="G56" s="452" t="s">
        <v>3171</v>
      </c>
      <c r="H56" s="452">
        <v>210</v>
      </c>
      <c r="I56" s="452"/>
      <c r="J56" s="452"/>
      <c r="K56" s="452"/>
      <c r="L56" s="452" t="s">
        <v>3172</v>
      </c>
      <c r="M56" s="449" t="s">
        <v>3307</v>
      </c>
      <c r="N56" s="449">
        <v>0</v>
      </c>
      <c r="O56" s="449" t="s">
        <v>3174</v>
      </c>
      <c r="P56" s="449" t="s">
        <v>4163</v>
      </c>
      <c r="Q56" s="449" t="s">
        <v>4164</v>
      </c>
    </row>
    <row r="57" spans="1:17">
      <c r="A57" s="451">
        <v>56</v>
      </c>
      <c r="B57" s="449" t="s">
        <v>4165</v>
      </c>
      <c r="C57" s="449" t="s">
        <v>4166</v>
      </c>
      <c r="D57" s="449" t="s">
        <v>3169</v>
      </c>
      <c r="E57" s="449" t="s">
        <v>4167</v>
      </c>
      <c r="F57" s="449" t="s">
        <v>517</v>
      </c>
      <c r="G57" s="452" t="s">
        <v>3171</v>
      </c>
      <c r="H57" s="452">
        <v>210</v>
      </c>
      <c r="I57" s="452"/>
      <c r="J57" s="452"/>
      <c r="K57" s="452"/>
      <c r="L57" s="452" t="s">
        <v>3172</v>
      </c>
      <c r="M57" s="449" t="s">
        <v>3307</v>
      </c>
      <c r="N57" s="449">
        <v>0</v>
      </c>
      <c r="O57" s="449" t="s">
        <v>3174</v>
      </c>
      <c r="P57" s="449" t="s">
        <v>4168</v>
      </c>
      <c r="Q57" s="449" t="s">
        <v>3176</v>
      </c>
    </row>
    <row r="58" spans="1:17">
      <c r="A58" s="451">
        <v>57</v>
      </c>
      <c r="B58" s="449" t="s">
        <v>4169</v>
      </c>
      <c r="C58" s="449" t="s">
        <v>899</v>
      </c>
      <c r="D58" s="449" t="s">
        <v>3169</v>
      </c>
      <c r="E58" s="449" t="s">
        <v>4170</v>
      </c>
      <c r="F58" s="449" t="s">
        <v>517</v>
      </c>
      <c r="G58" s="452" t="s">
        <v>3171</v>
      </c>
      <c r="H58" s="452">
        <v>210</v>
      </c>
      <c r="I58" s="452"/>
      <c r="J58" s="452"/>
      <c r="K58" s="452"/>
      <c r="L58" s="452" t="s">
        <v>3172</v>
      </c>
      <c r="M58" s="449" t="s">
        <v>3307</v>
      </c>
      <c r="N58" s="449">
        <v>0</v>
      </c>
      <c r="O58" s="449" t="s">
        <v>3174</v>
      </c>
      <c r="P58" s="449" t="s">
        <v>4171</v>
      </c>
      <c r="Q58" s="449" t="s">
        <v>3176</v>
      </c>
    </row>
    <row r="59" spans="1:17">
      <c r="A59" s="451">
        <v>58</v>
      </c>
      <c r="B59" s="449" t="s">
        <v>4172</v>
      </c>
      <c r="C59" s="449" t="s">
        <v>788</v>
      </c>
      <c r="D59" s="449" t="s">
        <v>3169</v>
      </c>
      <c r="E59" s="449" t="s">
        <v>4173</v>
      </c>
      <c r="F59" s="449" t="s">
        <v>517</v>
      </c>
      <c r="G59" s="452" t="s">
        <v>3171</v>
      </c>
      <c r="H59" s="452">
        <v>210</v>
      </c>
      <c r="I59" s="452"/>
      <c r="J59" s="452"/>
      <c r="K59" s="452"/>
      <c r="L59" s="452" t="s">
        <v>3172</v>
      </c>
      <c r="M59" s="449" t="s">
        <v>3307</v>
      </c>
      <c r="N59" s="449">
        <v>0</v>
      </c>
      <c r="O59" s="449" t="s">
        <v>3174</v>
      </c>
      <c r="P59" s="449" t="s">
        <v>4174</v>
      </c>
      <c r="Q59" s="449" t="s">
        <v>3176</v>
      </c>
    </row>
    <row r="60" spans="1:17">
      <c r="A60" s="451">
        <v>59</v>
      </c>
      <c r="B60" s="449" t="s">
        <v>4175</v>
      </c>
      <c r="C60" s="449" t="s">
        <v>791</v>
      </c>
      <c r="D60" s="449" t="s">
        <v>3169</v>
      </c>
      <c r="E60" s="449" t="s">
        <v>4176</v>
      </c>
      <c r="F60" s="449" t="s">
        <v>517</v>
      </c>
      <c r="G60" s="452" t="s">
        <v>3171</v>
      </c>
      <c r="H60" s="452">
        <v>210</v>
      </c>
      <c r="I60" s="452"/>
      <c r="J60" s="452"/>
      <c r="K60" s="452"/>
      <c r="L60" s="452" t="s">
        <v>3172</v>
      </c>
      <c r="M60" s="449" t="s">
        <v>3307</v>
      </c>
      <c r="N60" s="449">
        <v>0</v>
      </c>
      <c r="O60" s="449" t="s">
        <v>3174</v>
      </c>
      <c r="P60" s="449" t="s">
        <v>4177</v>
      </c>
      <c r="Q60" s="449" t="s">
        <v>3176</v>
      </c>
    </row>
    <row r="61" spans="1:17">
      <c r="A61" s="451">
        <v>60</v>
      </c>
      <c r="B61" s="449" t="s">
        <v>4178</v>
      </c>
      <c r="C61" s="449" t="s">
        <v>943</v>
      </c>
      <c r="D61" s="449" t="s">
        <v>3169</v>
      </c>
      <c r="E61" s="449" t="s">
        <v>4179</v>
      </c>
      <c r="F61" s="449" t="s">
        <v>517</v>
      </c>
      <c r="G61" s="452" t="s">
        <v>3171</v>
      </c>
      <c r="H61" s="452">
        <v>210</v>
      </c>
      <c r="I61" s="452"/>
      <c r="J61" s="452"/>
      <c r="K61" s="452"/>
      <c r="L61" s="452" t="s">
        <v>3172</v>
      </c>
      <c r="M61" s="449" t="s">
        <v>3307</v>
      </c>
      <c r="N61" s="449">
        <v>0</v>
      </c>
      <c r="O61" s="449" t="s">
        <v>3174</v>
      </c>
      <c r="P61" s="449" t="s">
        <v>4180</v>
      </c>
      <c r="Q61" s="449" t="s">
        <v>3176</v>
      </c>
    </row>
    <row r="62" spans="1:17">
      <c r="A62" s="451">
        <v>61</v>
      </c>
      <c r="B62" s="449" t="s">
        <v>4181</v>
      </c>
      <c r="C62" s="449" t="s">
        <v>794</v>
      </c>
      <c r="D62" s="449" t="s">
        <v>3169</v>
      </c>
      <c r="E62" s="449" t="s">
        <v>4182</v>
      </c>
      <c r="F62" s="449" t="s">
        <v>517</v>
      </c>
      <c r="G62" s="452" t="s">
        <v>3171</v>
      </c>
      <c r="H62" s="452">
        <v>210</v>
      </c>
      <c r="I62" s="452"/>
      <c r="J62" s="452"/>
      <c r="K62" s="452"/>
      <c r="L62" s="452" t="s">
        <v>3172</v>
      </c>
      <c r="M62" s="449" t="s">
        <v>3307</v>
      </c>
      <c r="N62" s="449">
        <v>0</v>
      </c>
      <c r="O62" s="449" t="s">
        <v>3174</v>
      </c>
      <c r="P62" s="449" t="s">
        <v>4183</v>
      </c>
      <c r="Q62" s="449" t="s">
        <v>3176</v>
      </c>
    </row>
    <row r="63" spans="1:17">
      <c r="A63" s="451">
        <v>62</v>
      </c>
      <c r="B63" s="449" t="s">
        <v>4184</v>
      </c>
      <c r="C63" s="449" t="s">
        <v>799</v>
      </c>
      <c r="D63" s="449" t="s">
        <v>3169</v>
      </c>
      <c r="E63" s="449" t="s">
        <v>4185</v>
      </c>
      <c r="F63" s="449" t="s">
        <v>517</v>
      </c>
      <c r="G63" s="452" t="s">
        <v>3171</v>
      </c>
      <c r="H63" s="452">
        <v>210</v>
      </c>
      <c r="I63" s="452"/>
      <c r="J63" s="452"/>
      <c r="K63" s="452"/>
      <c r="L63" s="452" t="s">
        <v>3172</v>
      </c>
      <c r="M63" s="449" t="s">
        <v>3307</v>
      </c>
      <c r="N63" s="449">
        <v>0</v>
      </c>
      <c r="O63" s="449" t="s">
        <v>3174</v>
      </c>
      <c r="P63" s="449" t="s">
        <v>4186</v>
      </c>
      <c r="Q63" s="449" t="s">
        <v>3176</v>
      </c>
    </row>
    <row r="64" spans="1:17">
      <c r="A64" s="451">
        <v>63</v>
      </c>
      <c r="B64" s="449" t="s">
        <v>4187</v>
      </c>
      <c r="C64" s="449" t="s">
        <v>804</v>
      </c>
      <c r="D64" s="449" t="s">
        <v>3169</v>
      </c>
      <c r="E64" s="449" t="s">
        <v>4188</v>
      </c>
      <c r="F64" s="449" t="s">
        <v>517</v>
      </c>
      <c r="G64" s="452" t="s">
        <v>3171</v>
      </c>
      <c r="H64" s="452">
        <v>210</v>
      </c>
      <c r="I64" s="452"/>
      <c r="J64" s="452"/>
      <c r="K64" s="452"/>
      <c r="L64" s="452" t="s">
        <v>3172</v>
      </c>
      <c r="M64" s="449" t="s">
        <v>3307</v>
      </c>
      <c r="N64" s="449">
        <v>0</v>
      </c>
      <c r="O64" s="449" t="s">
        <v>3174</v>
      </c>
      <c r="P64" s="449" t="s">
        <v>4189</v>
      </c>
      <c r="Q64" s="449" t="s">
        <v>3176</v>
      </c>
    </row>
    <row r="65" spans="1:17">
      <c r="A65" s="451">
        <v>64</v>
      </c>
      <c r="B65" s="449" t="s">
        <v>4190</v>
      </c>
      <c r="C65" s="449" t="s">
        <v>806</v>
      </c>
      <c r="D65" s="449" t="s">
        <v>3169</v>
      </c>
      <c r="E65" s="449" t="s">
        <v>4191</v>
      </c>
      <c r="F65" s="449" t="s">
        <v>517</v>
      </c>
      <c r="G65" s="452" t="s">
        <v>3171</v>
      </c>
      <c r="H65" s="452">
        <v>210</v>
      </c>
      <c r="I65" s="452"/>
      <c r="J65" s="452"/>
      <c r="K65" s="452"/>
      <c r="L65" s="452" t="s">
        <v>3172</v>
      </c>
      <c r="M65" s="449" t="s">
        <v>3307</v>
      </c>
      <c r="N65" s="449">
        <v>0</v>
      </c>
      <c r="O65" s="449" t="s">
        <v>3174</v>
      </c>
      <c r="P65" s="449" t="s">
        <v>4192</v>
      </c>
      <c r="Q65" s="449" t="s">
        <v>3176</v>
      </c>
    </row>
    <row r="66" spans="1:17">
      <c r="A66" s="451">
        <v>65</v>
      </c>
      <c r="B66" s="449" t="s">
        <v>4193</v>
      </c>
      <c r="C66" s="449" t="s">
        <v>819</v>
      </c>
      <c r="D66" s="449" t="s">
        <v>3169</v>
      </c>
      <c r="E66" s="449" t="s">
        <v>4194</v>
      </c>
      <c r="F66" s="449" t="s">
        <v>517</v>
      </c>
      <c r="G66" s="452" t="s">
        <v>3171</v>
      </c>
      <c r="H66" s="452">
        <v>210</v>
      </c>
      <c r="I66" s="452"/>
      <c r="J66" s="452"/>
      <c r="K66" s="452"/>
      <c r="L66" s="452" t="s">
        <v>3172</v>
      </c>
      <c r="M66" s="449" t="s">
        <v>3307</v>
      </c>
      <c r="N66" s="449">
        <v>0</v>
      </c>
      <c r="O66" s="449" t="s">
        <v>3174</v>
      </c>
      <c r="P66" s="449" t="s">
        <v>4195</v>
      </c>
      <c r="Q66" s="449" t="s">
        <v>3176</v>
      </c>
    </row>
    <row r="67" spans="1:17">
      <c r="A67" s="451">
        <v>66</v>
      </c>
      <c r="B67" s="449" t="s">
        <v>4196</v>
      </c>
      <c r="C67" s="449" t="s">
        <v>823</v>
      </c>
      <c r="D67" s="449" t="s">
        <v>3169</v>
      </c>
      <c r="E67" s="449" t="s">
        <v>4197</v>
      </c>
      <c r="F67" s="449" t="s">
        <v>517</v>
      </c>
      <c r="G67" s="452" t="s">
        <v>3171</v>
      </c>
      <c r="H67" s="452">
        <v>210</v>
      </c>
      <c r="I67" s="452"/>
      <c r="J67" s="452"/>
      <c r="K67" s="452"/>
      <c r="L67" s="452" t="s">
        <v>3172</v>
      </c>
      <c r="M67" s="449" t="s">
        <v>3307</v>
      </c>
      <c r="N67" s="449">
        <v>0</v>
      </c>
      <c r="O67" s="449" t="s">
        <v>3174</v>
      </c>
      <c r="P67" s="449" t="s">
        <v>4198</v>
      </c>
      <c r="Q67" s="449" t="s">
        <v>3176</v>
      </c>
    </row>
    <row r="68" spans="1:17">
      <c r="A68" s="451">
        <v>67</v>
      </c>
      <c r="B68" s="449" t="s">
        <v>4199</v>
      </c>
      <c r="C68" s="449" t="s">
        <v>829</v>
      </c>
      <c r="D68" s="449" t="s">
        <v>3169</v>
      </c>
      <c r="E68" s="449" t="s">
        <v>4200</v>
      </c>
      <c r="F68" s="449" t="s">
        <v>517</v>
      </c>
      <c r="G68" s="452" t="s">
        <v>3171</v>
      </c>
      <c r="H68" s="452">
        <v>210</v>
      </c>
      <c r="I68" s="452"/>
      <c r="J68" s="452"/>
      <c r="K68" s="452"/>
      <c r="L68" s="452" t="s">
        <v>3172</v>
      </c>
      <c r="M68" s="449" t="s">
        <v>3307</v>
      </c>
      <c r="N68" s="449">
        <v>0</v>
      </c>
      <c r="O68" s="449" t="s">
        <v>3174</v>
      </c>
      <c r="P68" s="449" t="s">
        <v>4201</v>
      </c>
      <c r="Q68" s="449" t="s">
        <v>3176</v>
      </c>
    </row>
    <row r="69" spans="1:17">
      <c r="A69" s="451">
        <v>68</v>
      </c>
      <c r="B69" s="449" t="s">
        <v>4202</v>
      </c>
      <c r="C69" s="449" t="s">
        <v>830</v>
      </c>
      <c r="D69" s="449" t="s">
        <v>3169</v>
      </c>
      <c r="E69" s="449" t="s">
        <v>4203</v>
      </c>
      <c r="F69" s="449" t="s">
        <v>517</v>
      </c>
      <c r="G69" s="452" t="s">
        <v>3171</v>
      </c>
      <c r="H69" s="452">
        <v>210</v>
      </c>
      <c r="I69" s="452"/>
      <c r="J69" s="452"/>
      <c r="K69" s="452"/>
      <c r="L69" s="452" t="s">
        <v>3172</v>
      </c>
      <c r="M69" s="449" t="s">
        <v>3307</v>
      </c>
      <c r="N69" s="449">
        <v>0</v>
      </c>
      <c r="O69" s="449" t="s">
        <v>3174</v>
      </c>
      <c r="P69" s="449" t="s">
        <v>4204</v>
      </c>
      <c r="Q69" s="449" t="s">
        <v>3176</v>
      </c>
    </row>
    <row r="70" spans="1:17">
      <c r="A70" s="451">
        <v>69</v>
      </c>
      <c r="B70" s="449" t="s">
        <v>4205</v>
      </c>
      <c r="C70" s="449" t="s">
        <v>832</v>
      </c>
      <c r="D70" s="449" t="s">
        <v>3169</v>
      </c>
      <c r="E70" s="449" t="s">
        <v>4206</v>
      </c>
      <c r="F70" s="449" t="s">
        <v>517</v>
      </c>
      <c r="G70" s="452" t="s">
        <v>3171</v>
      </c>
      <c r="H70" s="452">
        <v>210</v>
      </c>
      <c r="I70" s="452"/>
      <c r="J70" s="452"/>
      <c r="K70" s="452"/>
      <c r="L70" s="452" t="s">
        <v>3172</v>
      </c>
      <c r="M70" s="449" t="s">
        <v>3307</v>
      </c>
      <c r="N70" s="449">
        <v>0</v>
      </c>
      <c r="O70" s="449" t="s">
        <v>3174</v>
      </c>
      <c r="P70" s="449" t="s">
        <v>4207</v>
      </c>
      <c r="Q70" s="449" t="s">
        <v>3176</v>
      </c>
    </row>
    <row r="71" spans="1:17">
      <c r="A71" s="451">
        <v>70</v>
      </c>
      <c r="B71" s="449" t="s">
        <v>4208</v>
      </c>
      <c r="C71" s="449" t="s">
        <v>835</v>
      </c>
      <c r="D71" s="449" t="s">
        <v>3169</v>
      </c>
      <c r="E71" s="449" t="s">
        <v>4209</v>
      </c>
      <c r="F71" s="449" t="s">
        <v>517</v>
      </c>
      <c r="G71" s="452" t="s">
        <v>3171</v>
      </c>
      <c r="H71" s="452">
        <v>210</v>
      </c>
      <c r="I71" s="452"/>
      <c r="J71" s="452"/>
      <c r="K71" s="452"/>
      <c r="L71" s="452" t="s">
        <v>3172</v>
      </c>
      <c r="M71" s="449" t="s">
        <v>3307</v>
      </c>
      <c r="N71" s="449">
        <v>0</v>
      </c>
      <c r="O71" s="449" t="s">
        <v>3174</v>
      </c>
      <c r="P71" s="449" t="s">
        <v>4210</v>
      </c>
      <c r="Q71" s="449" t="s">
        <v>3176</v>
      </c>
    </row>
    <row r="72" spans="1:17">
      <c r="A72" s="451">
        <v>71</v>
      </c>
      <c r="B72" s="449" t="s">
        <v>4211</v>
      </c>
      <c r="C72" s="449" t="s">
        <v>849</v>
      </c>
      <c r="D72" s="449" t="s">
        <v>3169</v>
      </c>
      <c r="E72" s="449" t="s">
        <v>4212</v>
      </c>
      <c r="F72" s="449" t="s">
        <v>517</v>
      </c>
      <c r="G72" s="452" t="s">
        <v>3171</v>
      </c>
      <c r="H72" s="452">
        <v>210</v>
      </c>
      <c r="I72" s="452"/>
      <c r="J72" s="452"/>
      <c r="K72" s="452"/>
      <c r="L72" s="452" t="s">
        <v>3172</v>
      </c>
      <c r="M72" s="449" t="s">
        <v>3307</v>
      </c>
      <c r="N72" s="449">
        <v>0</v>
      </c>
      <c r="O72" s="449" t="s">
        <v>3174</v>
      </c>
      <c r="P72" s="449" t="s">
        <v>4213</v>
      </c>
      <c r="Q72" s="449" t="s">
        <v>3176</v>
      </c>
    </row>
    <row r="73" spans="1:17">
      <c r="A73" s="451">
        <v>72</v>
      </c>
      <c r="B73" s="449" t="s">
        <v>4214</v>
      </c>
      <c r="C73" s="449" t="s">
        <v>841</v>
      </c>
      <c r="D73" s="449" t="s">
        <v>3169</v>
      </c>
      <c r="E73" s="449" t="s">
        <v>4215</v>
      </c>
      <c r="F73" s="449" t="s">
        <v>517</v>
      </c>
      <c r="G73" s="452" t="s">
        <v>3171</v>
      </c>
      <c r="H73" s="452">
        <v>210</v>
      </c>
      <c r="I73" s="452"/>
      <c r="J73" s="452"/>
      <c r="K73" s="452"/>
      <c r="L73" s="452" t="s">
        <v>3172</v>
      </c>
      <c r="M73" s="449" t="s">
        <v>3307</v>
      </c>
      <c r="N73" s="449">
        <v>0</v>
      </c>
      <c r="O73" s="449" t="s">
        <v>3174</v>
      </c>
      <c r="P73" s="449" t="s">
        <v>4216</v>
      </c>
      <c r="Q73" s="449" t="s">
        <v>3176</v>
      </c>
    </row>
    <row r="74" spans="1:17">
      <c r="A74" s="451">
        <v>73</v>
      </c>
      <c r="B74" s="449" t="s">
        <v>4217</v>
      </c>
      <c r="C74" s="449" t="s">
        <v>866</v>
      </c>
      <c r="D74" s="449" t="s">
        <v>3169</v>
      </c>
      <c r="E74" s="449" t="s">
        <v>4218</v>
      </c>
      <c r="F74" s="449" t="s">
        <v>517</v>
      </c>
      <c r="G74" s="452" t="s">
        <v>3171</v>
      </c>
      <c r="H74" s="452">
        <v>210</v>
      </c>
      <c r="I74" s="452"/>
      <c r="J74" s="452"/>
      <c r="K74" s="452"/>
      <c r="L74" s="452" t="s">
        <v>3172</v>
      </c>
      <c r="M74" s="449" t="s">
        <v>3307</v>
      </c>
      <c r="N74" s="449">
        <v>0</v>
      </c>
      <c r="O74" s="449" t="s">
        <v>3174</v>
      </c>
      <c r="P74" s="449" t="s">
        <v>4219</v>
      </c>
      <c r="Q74" s="449" t="s">
        <v>3176</v>
      </c>
    </row>
    <row r="75" spans="1:17">
      <c r="A75" s="451">
        <v>74</v>
      </c>
      <c r="B75" s="449" t="s">
        <v>4220</v>
      </c>
      <c r="C75" s="449" t="s">
        <v>855</v>
      </c>
      <c r="D75" s="449" t="s">
        <v>3169</v>
      </c>
      <c r="E75" s="449" t="s">
        <v>4221</v>
      </c>
      <c r="F75" s="449" t="s">
        <v>517</v>
      </c>
      <c r="G75" s="452" t="s">
        <v>3171</v>
      </c>
      <c r="H75" s="452">
        <v>210</v>
      </c>
      <c r="I75" s="452"/>
      <c r="J75" s="452"/>
      <c r="K75" s="452"/>
      <c r="L75" s="452" t="s">
        <v>3172</v>
      </c>
      <c r="M75" s="449" t="s">
        <v>3307</v>
      </c>
      <c r="N75" s="449">
        <v>0</v>
      </c>
      <c r="O75" s="449" t="s">
        <v>3174</v>
      </c>
      <c r="P75" s="449" t="s">
        <v>4222</v>
      </c>
      <c r="Q75" s="449" t="s">
        <v>3176</v>
      </c>
    </row>
    <row r="76" spans="1:17">
      <c r="A76" s="451">
        <v>75</v>
      </c>
      <c r="B76" s="449" t="s">
        <v>4223</v>
      </c>
      <c r="C76" s="449" t="s">
        <v>886</v>
      </c>
      <c r="D76" s="449" t="s">
        <v>3169</v>
      </c>
      <c r="E76" s="449" t="s">
        <v>4224</v>
      </c>
      <c r="F76" s="449" t="s">
        <v>517</v>
      </c>
      <c r="G76" s="452" t="s">
        <v>3171</v>
      </c>
      <c r="H76" s="452">
        <v>210</v>
      </c>
      <c r="I76" s="452"/>
      <c r="J76" s="452"/>
      <c r="K76" s="452"/>
      <c r="L76" s="452" t="s">
        <v>3172</v>
      </c>
      <c r="M76" s="449" t="s">
        <v>3307</v>
      </c>
      <c r="N76" s="449">
        <v>0</v>
      </c>
      <c r="O76" s="449" t="s">
        <v>3174</v>
      </c>
      <c r="P76" s="449" t="s">
        <v>4225</v>
      </c>
      <c r="Q76" s="449" t="s">
        <v>3176</v>
      </c>
    </row>
    <row r="77" spans="1:17">
      <c r="A77" s="451">
        <v>76</v>
      </c>
      <c r="B77" s="449" t="s">
        <v>4226</v>
      </c>
      <c r="C77" s="449" t="s">
        <v>4227</v>
      </c>
      <c r="D77" s="449" t="s">
        <v>3169</v>
      </c>
      <c r="E77" s="449" t="s">
        <v>4228</v>
      </c>
      <c r="F77" s="449" t="s">
        <v>517</v>
      </c>
      <c r="G77" s="452" t="s">
        <v>3171</v>
      </c>
      <c r="H77" s="452">
        <v>210</v>
      </c>
      <c r="I77" s="452"/>
      <c r="J77" s="452"/>
      <c r="K77" s="452"/>
      <c r="L77" s="452" t="s">
        <v>3172</v>
      </c>
      <c r="M77" s="449" t="s">
        <v>3307</v>
      </c>
      <c r="N77" s="449">
        <v>0</v>
      </c>
      <c r="O77" s="449" t="s">
        <v>3174</v>
      </c>
      <c r="P77" s="449" t="s">
        <v>4229</v>
      </c>
      <c r="Q77" s="449" t="s">
        <v>4230</v>
      </c>
    </row>
    <row r="78" spans="1:17">
      <c r="A78" s="451">
        <v>77</v>
      </c>
      <c r="B78" s="449" t="s">
        <v>4231</v>
      </c>
      <c r="C78" s="449" t="s">
        <v>4232</v>
      </c>
      <c r="D78" s="449" t="s">
        <v>3169</v>
      </c>
      <c r="E78" s="449" t="s">
        <v>4233</v>
      </c>
      <c r="F78" s="449" t="s">
        <v>517</v>
      </c>
      <c r="G78" s="452" t="s">
        <v>3171</v>
      </c>
      <c r="H78" s="452">
        <v>210</v>
      </c>
      <c r="I78" s="452"/>
      <c r="J78" s="452"/>
      <c r="K78" s="452"/>
      <c r="L78" s="452" t="s">
        <v>3172</v>
      </c>
      <c r="M78" s="449" t="s">
        <v>3307</v>
      </c>
      <c r="N78" s="449">
        <v>0</v>
      </c>
      <c r="O78" s="449" t="s">
        <v>3174</v>
      </c>
      <c r="P78" s="449" t="s">
        <v>4234</v>
      </c>
      <c r="Q78" s="449" t="s">
        <v>3176</v>
      </c>
    </row>
    <row r="79" spans="1:17">
      <c r="A79" s="451">
        <v>78</v>
      </c>
      <c r="B79" s="449" t="s">
        <v>4235</v>
      </c>
      <c r="C79" s="449" t="s">
        <v>4236</v>
      </c>
      <c r="D79" s="449" t="s">
        <v>3169</v>
      </c>
      <c r="E79" s="449" t="s">
        <v>4237</v>
      </c>
      <c r="F79" s="449" t="s">
        <v>517</v>
      </c>
      <c r="G79" s="452" t="s">
        <v>3171</v>
      </c>
      <c r="H79" s="452">
        <v>210</v>
      </c>
      <c r="I79" s="452"/>
      <c r="J79" s="452"/>
      <c r="K79" s="452"/>
      <c r="L79" s="452" t="s">
        <v>3172</v>
      </c>
      <c r="M79" s="449" t="s">
        <v>3307</v>
      </c>
      <c r="N79" s="449">
        <v>0</v>
      </c>
      <c r="O79" s="449" t="s">
        <v>3174</v>
      </c>
      <c r="P79" s="449" t="s">
        <v>4238</v>
      </c>
      <c r="Q79" s="449" t="s">
        <v>3176</v>
      </c>
    </row>
    <row r="80" spans="1:17">
      <c r="A80" s="451">
        <v>79</v>
      </c>
      <c r="B80" s="449" t="s">
        <v>4239</v>
      </c>
      <c r="C80" s="449" t="s">
        <v>859</v>
      </c>
      <c r="D80" s="449" t="s">
        <v>3169</v>
      </c>
      <c r="E80" s="449" t="s">
        <v>4240</v>
      </c>
      <c r="F80" s="449" t="s">
        <v>517</v>
      </c>
      <c r="G80" s="452" t="s">
        <v>3171</v>
      </c>
      <c r="H80" s="452">
        <v>210</v>
      </c>
      <c r="I80" s="452"/>
      <c r="J80" s="452"/>
      <c r="K80" s="452"/>
      <c r="L80" s="452" t="s">
        <v>3172</v>
      </c>
      <c r="M80" s="449" t="s">
        <v>3307</v>
      </c>
      <c r="N80" s="449">
        <v>0</v>
      </c>
      <c r="O80" s="449" t="s">
        <v>3174</v>
      </c>
      <c r="P80" s="449" t="s">
        <v>4241</v>
      </c>
      <c r="Q80" s="449" t="s">
        <v>3176</v>
      </c>
    </row>
    <row r="81" spans="1:17">
      <c r="A81" s="451">
        <v>80</v>
      </c>
      <c r="B81" s="449" t="s">
        <v>4242</v>
      </c>
      <c r="C81" s="449" t="s">
        <v>918</v>
      </c>
      <c r="D81" s="449" t="s">
        <v>3169</v>
      </c>
      <c r="E81" s="449" t="s">
        <v>4243</v>
      </c>
      <c r="F81" s="449" t="s">
        <v>517</v>
      </c>
      <c r="G81" s="452" t="s">
        <v>3171</v>
      </c>
      <c r="H81" s="452">
        <v>210</v>
      </c>
      <c r="I81" s="452"/>
      <c r="J81" s="452"/>
      <c r="K81" s="452"/>
      <c r="L81" s="452" t="s">
        <v>3172</v>
      </c>
      <c r="M81" s="449" t="s">
        <v>3307</v>
      </c>
      <c r="N81" s="449">
        <v>0</v>
      </c>
      <c r="O81" s="449" t="s">
        <v>3174</v>
      </c>
      <c r="P81" s="449" t="s">
        <v>4244</v>
      </c>
      <c r="Q81" s="449" t="s">
        <v>3176</v>
      </c>
    </row>
    <row r="82" spans="1:17">
      <c r="A82" s="451">
        <v>81</v>
      </c>
      <c r="B82" s="449" t="s">
        <v>4245</v>
      </c>
      <c r="C82" s="449" t="s">
        <v>74</v>
      </c>
      <c r="D82" s="449" t="s">
        <v>3169</v>
      </c>
      <c r="E82" s="449" t="s">
        <v>4246</v>
      </c>
      <c r="F82" s="449" t="s">
        <v>517</v>
      </c>
      <c r="G82" s="452" t="s">
        <v>3171</v>
      </c>
      <c r="H82" s="452">
        <v>210</v>
      </c>
      <c r="I82" s="452"/>
      <c r="J82" s="452"/>
      <c r="K82" s="452"/>
      <c r="L82" s="452" t="s">
        <v>3172</v>
      </c>
      <c r="M82" s="449" t="s">
        <v>3307</v>
      </c>
      <c r="N82" s="449">
        <v>0</v>
      </c>
      <c r="O82" s="449" t="s">
        <v>3174</v>
      </c>
      <c r="P82" s="449" t="s">
        <v>4247</v>
      </c>
      <c r="Q82" s="449" t="s">
        <v>3176</v>
      </c>
    </row>
    <row r="83" spans="1:17">
      <c r="A83" s="451">
        <v>82</v>
      </c>
      <c r="B83" s="449" t="s">
        <v>4248</v>
      </c>
      <c r="C83" s="449" t="s">
        <v>4249</v>
      </c>
      <c r="D83" s="449" t="s">
        <v>3169</v>
      </c>
      <c r="E83" s="449" t="s">
        <v>4250</v>
      </c>
      <c r="F83" s="449" t="s">
        <v>517</v>
      </c>
      <c r="G83" s="452" t="s">
        <v>3171</v>
      </c>
      <c r="H83" s="452">
        <v>210</v>
      </c>
      <c r="I83" s="452"/>
      <c r="J83" s="452"/>
      <c r="K83" s="452"/>
      <c r="L83" s="452" t="s">
        <v>3172</v>
      </c>
      <c r="M83" s="449" t="s">
        <v>3307</v>
      </c>
      <c r="N83" s="449">
        <v>0</v>
      </c>
      <c r="O83" s="449" t="s">
        <v>3174</v>
      </c>
      <c r="P83" s="449" t="s">
        <v>4251</v>
      </c>
      <c r="Q83" s="449" t="s">
        <v>3176</v>
      </c>
    </row>
    <row r="84" spans="1:17">
      <c r="A84" s="451">
        <v>83</v>
      </c>
      <c r="B84" s="449" t="s">
        <v>4252</v>
      </c>
      <c r="C84" s="449" t="s">
        <v>4253</v>
      </c>
      <c r="D84" s="449" t="s">
        <v>3169</v>
      </c>
      <c r="E84" s="449" t="s">
        <v>4254</v>
      </c>
      <c r="F84" s="449" t="s">
        <v>517</v>
      </c>
      <c r="G84" s="452" t="s">
        <v>3171</v>
      </c>
      <c r="H84" s="452">
        <v>210</v>
      </c>
      <c r="I84" s="452"/>
      <c r="J84" s="452"/>
      <c r="K84" s="452" t="s">
        <v>3172</v>
      </c>
      <c r="L84" s="452" t="s">
        <v>3172</v>
      </c>
      <c r="M84" s="449" t="s">
        <v>3307</v>
      </c>
      <c r="N84" s="449">
        <v>0</v>
      </c>
      <c r="O84" s="449" t="s">
        <v>3174</v>
      </c>
      <c r="P84" s="449" t="s">
        <v>4255</v>
      </c>
      <c r="Q84" s="449" t="s">
        <v>3176</v>
      </c>
    </row>
    <row r="85" spans="1:17">
      <c r="A85" s="451">
        <v>84</v>
      </c>
      <c r="B85" s="449" t="s">
        <v>4256</v>
      </c>
      <c r="C85" s="449" t="s">
        <v>4257</v>
      </c>
      <c r="D85" s="449" t="s">
        <v>3169</v>
      </c>
      <c r="E85" s="449" t="s">
        <v>4258</v>
      </c>
      <c r="F85" s="449" t="s">
        <v>517</v>
      </c>
      <c r="G85" s="452" t="s">
        <v>3171</v>
      </c>
      <c r="H85" s="452">
        <v>210</v>
      </c>
      <c r="I85" s="452"/>
      <c r="J85" s="452"/>
      <c r="K85" s="452" t="s">
        <v>3172</v>
      </c>
      <c r="L85" s="452" t="s">
        <v>3172</v>
      </c>
      <c r="M85" s="449" t="s">
        <v>3307</v>
      </c>
      <c r="N85" s="449">
        <v>0</v>
      </c>
      <c r="O85" s="449" t="s">
        <v>3174</v>
      </c>
      <c r="P85" s="449" t="s">
        <v>4259</v>
      </c>
      <c r="Q85" s="449" t="s">
        <v>3176</v>
      </c>
    </row>
    <row r="86" spans="1:17">
      <c r="A86" s="451">
        <v>85</v>
      </c>
      <c r="B86" s="449" t="s">
        <v>4260</v>
      </c>
      <c r="C86" s="449" t="s">
        <v>4261</v>
      </c>
      <c r="D86" s="449" t="s">
        <v>3169</v>
      </c>
      <c r="E86" s="449" t="s">
        <v>4262</v>
      </c>
      <c r="F86" s="449" t="s">
        <v>517</v>
      </c>
      <c r="G86" s="452" t="s">
        <v>3171</v>
      </c>
      <c r="H86" s="452">
        <v>210</v>
      </c>
      <c r="I86" s="452"/>
      <c r="J86" s="452"/>
      <c r="K86" s="452" t="s">
        <v>3172</v>
      </c>
      <c r="L86" s="452" t="s">
        <v>3172</v>
      </c>
      <c r="M86" s="449" t="s">
        <v>3307</v>
      </c>
      <c r="N86" s="449">
        <v>0</v>
      </c>
      <c r="O86" s="449" t="s">
        <v>3174</v>
      </c>
      <c r="P86" s="449" t="s">
        <v>4263</v>
      </c>
      <c r="Q86" s="449" t="s">
        <v>3176</v>
      </c>
    </row>
    <row r="87" spans="1:17">
      <c r="A87" s="451">
        <v>86</v>
      </c>
      <c r="B87" s="449" t="s">
        <v>4264</v>
      </c>
      <c r="C87" s="449" t="s">
        <v>4265</v>
      </c>
      <c r="D87" s="449" t="s">
        <v>3169</v>
      </c>
      <c r="E87" s="449" t="s">
        <v>4266</v>
      </c>
      <c r="F87" s="449" t="s">
        <v>517</v>
      </c>
      <c r="G87" s="452" t="s">
        <v>3171</v>
      </c>
      <c r="H87" s="452">
        <v>210</v>
      </c>
      <c r="I87" s="452"/>
      <c r="J87" s="452"/>
      <c r="K87" s="452" t="s">
        <v>3172</v>
      </c>
      <c r="L87" s="452" t="s">
        <v>3172</v>
      </c>
      <c r="M87" s="449" t="s">
        <v>3307</v>
      </c>
      <c r="N87" s="449">
        <v>0</v>
      </c>
      <c r="O87" s="449" t="s">
        <v>3174</v>
      </c>
      <c r="P87" s="449" t="s">
        <v>4267</v>
      </c>
      <c r="Q87" s="449" t="s">
        <v>3176</v>
      </c>
    </row>
    <row r="88" spans="1:17">
      <c r="A88" s="451">
        <v>87</v>
      </c>
      <c r="B88" s="449" t="s">
        <v>4268</v>
      </c>
      <c r="C88" s="449" t="s">
        <v>4269</v>
      </c>
      <c r="D88" s="449" t="s">
        <v>3169</v>
      </c>
      <c r="E88" s="449" t="s">
        <v>4270</v>
      </c>
      <c r="F88" s="449" t="s">
        <v>517</v>
      </c>
      <c r="G88" s="452" t="s">
        <v>3171</v>
      </c>
      <c r="H88" s="452">
        <v>210</v>
      </c>
      <c r="I88" s="452"/>
      <c r="J88" s="452"/>
      <c r="K88" s="452" t="s">
        <v>3172</v>
      </c>
      <c r="L88" s="452" t="s">
        <v>3172</v>
      </c>
      <c r="M88" s="449" t="s">
        <v>3307</v>
      </c>
      <c r="N88" s="449">
        <v>0</v>
      </c>
      <c r="O88" s="449" t="s">
        <v>3174</v>
      </c>
      <c r="P88" s="449" t="s">
        <v>4271</v>
      </c>
      <c r="Q88" s="449" t="s">
        <v>3176</v>
      </c>
    </row>
    <row r="89" spans="1:17">
      <c r="A89" s="451">
        <v>88</v>
      </c>
      <c r="B89" s="449" t="s">
        <v>4272</v>
      </c>
      <c r="C89" s="449" t="s">
        <v>921</v>
      </c>
      <c r="D89" s="449" t="s">
        <v>3169</v>
      </c>
      <c r="E89" s="449" t="s">
        <v>4273</v>
      </c>
      <c r="F89" s="449" t="s">
        <v>517</v>
      </c>
      <c r="G89" s="452" t="s">
        <v>3171</v>
      </c>
      <c r="H89" s="452">
        <v>210</v>
      </c>
      <c r="I89" s="452"/>
      <c r="J89" s="452"/>
      <c r="K89" s="452" t="s">
        <v>3172</v>
      </c>
      <c r="L89" s="452" t="s">
        <v>3172</v>
      </c>
      <c r="M89" s="449" t="s">
        <v>3307</v>
      </c>
      <c r="N89" s="449">
        <v>0</v>
      </c>
      <c r="O89" s="449" t="s">
        <v>3174</v>
      </c>
      <c r="P89" s="449" t="s">
        <v>4274</v>
      </c>
      <c r="Q89" s="449" t="s">
        <v>3176</v>
      </c>
    </row>
    <row r="90" spans="1:17">
      <c r="A90" s="451">
        <v>89</v>
      </c>
      <c r="B90" s="449" t="s">
        <v>4275</v>
      </c>
      <c r="C90" s="449" t="s">
        <v>923</v>
      </c>
      <c r="D90" s="449" t="s">
        <v>3169</v>
      </c>
      <c r="E90" s="449" t="s">
        <v>4276</v>
      </c>
      <c r="F90" s="449" t="s">
        <v>517</v>
      </c>
      <c r="G90" s="452" t="s">
        <v>3171</v>
      </c>
      <c r="H90" s="452">
        <v>210</v>
      </c>
      <c r="I90" s="452"/>
      <c r="J90" s="452"/>
      <c r="K90" s="452" t="s">
        <v>3172</v>
      </c>
      <c r="L90" s="452" t="s">
        <v>3172</v>
      </c>
      <c r="M90" s="449" t="s">
        <v>3307</v>
      </c>
      <c r="N90" s="449">
        <v>0</v>
      </c>
      <c r="O90" s="449" t="s">
        <v>3174</v>
      </c>
      <c r="P90" s="449" t="s">
        <v>4277</v>
      </c>
      <c r="Q90" s="449" t="s">
        <v>3176</v>
      </c>
    </row>
    <row r="91" spans="1:17">
      <c r="A91" s="451">
        <v>90</v>
      </c>
      <c r="B91" s="449" t="s">
        <v>4278</v>
      </c>
      <c r="C91" s="449" t="s">
        <v>901</v>
      </c>
      <c r="D91" s="449" t="s">
        <v>3169</v>
      </c>
      <c r="E91" s="449" t="s">
        <v>4279</v>
      </c>
      <c r="F91" s="449" t="s">
        <v>517</v>
      </c>
      <c r="G91" s="452" t="s">
        <v>3171</v>
      </c>
      <c r="H91" s="452">
        <v>210</v>
      </c>
      <c r="I91" s="452"/>
      <c r="J91" s="452"/>
      <c r="K91" s="452" t="s">
        <v>3172</v>
      </c>
      <c r="L91" s="452" t="s">
        <v>3172</v>
      </c>
      <c r="M91" s="449" t="s">
        <v>3307</v>
      </c>
      <c r="N91" s="449">
        <v>0</v>
      </c>
      <c r="O91" s="449" t="s">
        <v>3174</v>
      </c>
      <c r="P91" s="449" t="s">
        <v>4280</v>
      </c>
      <c r="Q91" s="449" t="s">
        <v>3176</v>
      </c>
    </row>
    <row r="92" spans="1:17">
      <c r="A92" s="451">
        <v>91</v>
      </c>
      <c r="B92" s="449" t="s">
        <v>4281</v>
      </c>
      <c r="C92" s="449" t="s">
        <v>924</v>
      </c>
      <c r="D92" s="449" t="s">
        <v>3169</v>
      </c>
      <c r="E92" s="449" t="s">
        <v>4282</v>
      </c>
      <c r="F92" s="449" t="s">
        <v>517</v>
      </c>
      <c r="G92" s="452" t="s">
        <v>3171</v>
      </c>
      <c r="H92" s="452">
        <v>210</v>
      </c>
      <c r="I92" s="452"/>
      <c r="J92" s="452"/>
      <c r="K92" s="452" t="s">
        <v>3172</v>
      </c>
      <c r="L92" s="452" t="s">
        <v>3172</v>
      </c>
      <c r="M92" s="449" t="s">
        <v>3307</v>
      </c>
      <c r="N92" s="449">
        <v>0</v>
      </c>
      <c r="O92" s="449" t="s">
        <v>3174</v>
      </c>
      <c r="P92" s="449" t="s">
        <v>4283</v>
      </c>
      <c r="Q92" s="449" t="s">
        <v>3176</v>
      </c>
    </row>
    <row r="93" spans="1:17">
      <c r="A93" s="451">
        <v>92</v>
      </c>
      <c r="B93" s="449" t="s">
        <v>4284</v>
      </c>
      <c r="C93" s="449" t="s">
        <v>4285</v>
      </c>
      <c r="D93" s="449" t="s">
        <v>3169</v>
      </c>
      <c r="E93" s="449" t="s">
        <v>4286</v>
      </c>
      <c r="F93" s="449" t="s">
        <v>517</v>
      </c>
      <c r="G93" s="452" t="s">
        <v>3171</v>
      </c>
      <c r="H93" s="452">
        <v>210</v>
      </c>
      <c r="I93" s="452"/>
      <c r="J93" s="452"/>
      <c r="K93" s="452" t="s">
        <v>3172</v>
      </c>
      <c r="L93" s="452" t="s">
        <v>3172</v>
      </c>
      <c r="M93" s="449" t="s">
        <v>3307</v>
      </c>
      <c r="N93" s="449">
        <v>0</v>
      </c>
      <c r="O93" s="449" t="s">
        <v>3174</v>
      </c>
      <c r="P93" s="449" t="s">
        <v>4287</v>
      </c>
      <c r="Q93" s="449" t="s">
        <v>3176</v>
      </c>
    </row>
    <row r="94" spans="1:17">
      <c r="A94" s="451">
        <v>93</v>
      </c>
      <c r="B94" s="449" t="s">
        <v>4288</v>
      </c>
      <c r="C94" s="449" t="s">
        <v>874</v>
      </c>
      <c r="D94" s="449" t="s">
        <v>3169</v>
      </c>
      <c r="E94" s="449" t="s">
        <v>4289</v>
      </c>
      <c r="F94" s="449" t="s">
        <v>517</v>
      </c>
      <c r="G94" s="452" t="s">
        <v>3171</v>
      </c>
      <c r="H94" s="452">
        <v>210</v>
      </c>
      <c r="I94" s="452"/>
      <c r="J94" s="452"/>
      <c r="K94" s="452" t="s">
        <v>3172</v>
      </c>
      <c r="L94" s="452" t="s">
        <v>3172</v>
      </c>
      <c r="M94" s="449" t="s">
        <v>3307</v>
      </c>
      <c r="N94" s="449">
        <v>0</v>
      </c>
      <c r="O94" s="449" t="s">
        <v>3174</v>
      </c>
      <c r="P94" s="449" t="s">
        <v>4290</v>
      </c>
      <c r="Q94" s="449" t="s">
        <v>3176</v>
      </c>
    </row>
    <row r="95" spans="1:17">
      <c r="A95" s="451">
        <v>94</v>
      </c>
      <c r="B95" s="449" t="s">
        <v>4291</v>
      </c>
      <c r="C95" s="449" t="s">
        <v>4292</v>
      </c>
      <c r="D95" s="449" t="s">
        <v>3169</v>
      </c>
      <c r="E95" s="449" t="s">
        <v>4293</v>
      </c>
      <c r="F95" s="449" t="s">
        <v>517</v>
      </c>
      <c r="G95" s="452" t="s">
        <v>3171</v>
      </c>
      <c r="H95" s="452">
        <v>210</v>
      </c>
      <c r="I95" s="452"/>
      <c r="J95" s="452"/>
      <c r="K95" s="452" t="s">
        <v>3172</v>
      </c>
      <c r="L95" s="452" t="s">
        <v>3172</v>
      </c>
      <c r="M95" s="449" t="s">
        <v>3307</v>
      </c>
      <c r="N95" s="449">
        <v>0</v>
      </c>
      <c r="O95" s="449" t="s">
        <v>3174</v>
      </c>
      <c r="P95" s="449" t="s">
        <v>4294</v>
      </c>
      <c r="Q95" s="449" t="s">
        <v>3176</v>
      </c>
    </row>
    <row r="96" spans="1:17">
      <c r="A96" s="451">
        <v>95</v>
      </c>
      <c r="B96" s="449" t="s">
        <v>4295</v>
      </c>
      <c r="C96" s="449" t="s">
        <v>4296</v>
      </c>
      <c r="D96" s="449" t="s">
        <v>3169</v>
      </c>
      <c r="E96" s="449" t="s">
        <v>4297</v>
      </c>
      <c r="F96" s="449" t="s">
        <v>517</v>
      </c>
      <c r="G96" s="452" t="s">
        <v>3171</v>
      </c>
      <c r="H96" s="452">
        <v>210</v>
      </c>
      <c r="I96" s="452"/>
      <c r="J96" s="452"/>
      <c r="K96" s="452" t="s">
        <v>3172</v>
      </c>
      <c r="L96" s="452" t="s">
        <v>3172</v>
      </c>
      <c r="M96" s="449" t="s">
        <v>3307</v>
      </c>
      <c r="N96" s="449">
        <v>0</v>
      </c>
      <c r="O96" s="449" t="s">
        <v>3174</v>
      </c>
      <c r="P96" s="449" t="s">
        <v>4298</v>
      </c>
      <c r="Q96" s="449" t="s">
        <v>3176</v>
      </c>
    </row>
    <row r="97" spans="1:17">
      <c r="A97" s="451">
        <v>96</v>
      </c>
      <c r="B97" s="449" t="s">
        <v>4299</v>
      </c>
      <c r="C97" s="449" t="s">
        <v>933</v>
      </c>
      <c r="D97" s="449" t="s">
        <v>3169</v>
      </c>
      <c r="E97" s="449" t="s">
        <v>4300</v>
      </c>
      <c r="F97" s="449" t="s">
        <v>517</v>
      </c>
      <c r="G97" s="452" t="s">
        <v>3171</v>
      </c>
      <c r="H97" s="452">
        <v>210</v>
      </c>
      <c r="I97" s="452"/>
      <c r="J97" s="452"/>
      <c r="K97" s="452" t="s">
        <v>3172</v>
      </c>
      <c r="L97" s="452" t="s">
        <v>3172</v>
      </c>
      <c r="M97" s="449" t="s">
        <v>3307</v>
      </c>
      <c r="N97" s="449">
        <v>0</v>
      </c>
      <c r="O97" s="449" t="s">
        <v>3174</v>
      </c>
      <c r="P97" s="449" t="s">
        <v>4301</v>
      </c>
      <c r="Q97" s="449" t="s">
        <v>3176</v>
      </c>
    </row>
    <row r="98" spans="1:17">
      <c r="A98" s="451">
        <v>97</v>
      </c>
      <c r="B98" s="449" t="s">
        <v>4302</v>
      </c>
      <c r="C98" s="449" t="s">
        <v>196</v>
      </c>
      <c r="D98" s="449" t="s">
        <v>3169</v>
      </c>
      <c r="E98" s="449" t="s">
        <v>4303</v>
      </c>
      <c r="F98" s="449" t="s">
        <v>517</v>
      </c>
      <c r="G98" s="452" t="s">
        <v>3171</v>
      </c>
      <c r="H98" s="452">
        <v>210</v>
      </c>
      <c r="I98" s="452"/>
      <c r="J98" s="452"/>
      <c r="K98" s="452" t="s">
        <v>3172</v>
      </c>
      <c r="L98" s="452" t="s">
        <v>3172</v>
      </c>
      <c r="M98" s="449" t="s">
        <v>3307</v>
      </c>
      <c r="N98" s="449">
        <v>0</v>
      </c>
      <c r="O98" s="449" t="s">
        <v>3174</v>
      </c>
      <c r="P98" s="449" t="s">
        <v>4304</v>
      </c>
      <c r="Q98" s="449" t="s">
        <v>3176</v>
      </c>
    </row>
    <row r="99" spans="1:17">
      <c r="A99" s="451">
        <v>98</v>
      </c>
      <c r="B99" s="449" t="s">
        <v>4305</v>
      </c>
      <c r="C99" s="449" t="s">
        <v>222</v>
      </c>
      <c r="D99" s="449" t="s">
        <v>3169</v>
      </c>
      <c r="E99" s="449" t="s">
        <v>4306</v>
      </c>
      <c r="F99" s="449" t="s">
        <v>517</v>
      </c>
      <c r="G99" s="452" t="s">
        <v>3171</v>
      </c>
      <c r="H99" s="452">
        <v>210</v>
      </c>
      <c r="I99" s="452"/>
      <c r="J99" s="452"/>
      <c r="K99" s="452" t="s">
        <v>3172</v>
      </c>
      <c r="L99" s="452" t="s">
        <v>3172</v>
      </c>
      <c r="M99" s="449" t="s">
        <v>3307</v>
      </c>
      <c r="N99" s="449">
        <v>0</v>
      </c>
      <c r="O99" s="449" t="s">
        <v>3174</v>
      </c>
      <c r="P99" s="449" t="s">
        <v>4307</v>
      </c>
      <c r="Q99" s="449" t="s">
        <v>3176</v>
      </c>
    </row>
    <row r="100" spans="1:17">
      <c r="A100" s="451">
        <v>99</v>
      </c>
      <c r="B100" s="449" t="s">
        <v>4308</v>
      </c>
      <c r="C100" s="449" t="s">
        <v>200</v>
      </c>
      <c r="D100" s="449" t="s">
        <v>3169</v>
      </c>
      <c r="E100" s="449" t="s">
        <v>4309</v>
      </c>
      <c r="F100" s="449" t="s">
        <v>517</v>
      </c>
      <c r="G100" s="452" t="s">
        <v>3171</v>
      </c>
      <c r="H100" s="452">
        <v>210</v>
      </c>
      <c r="I100" s="452"/>
      <c r="J100" s="452"/>
      <c r="K100" s="452" t="s">
        <v>3172</v>
      </c>
      <c r="L100" s="452" t="s">
        <v>3172</v>
      </c>
      <c r="M100" s="449" t="s">
        <v>3307</v>
      </c>
      <c r="N100" s="449">
        <v>0</v>
      </c>
      <c r="O100" s="449" t="s">
        <v>3174</v>
      </c>
      <c r="P100" s="449" t="s">
        <v>4310</v>
      </c>
      <c r="Q100" s="449" t="s">
        <v>3176</v>
      </c>
    </row>
    <row r="101" spans="1:17">
      <c r="A101" s="451">
        <v>100</v>
      </c>
      <c r="B101" s="449" t="s">
        <v>4311</v>
      </c>
      <c r="C101" s="449" t="s">
        <v>202</v>
      </c>
      <c r="D101" s="449" t="s">
        <v>3169</v>
      </c>
      <c r="E101" s="449" t="s">
        <v>4312</v>
      </c>
      <c r="F101" s="449" t="s">
        <v>517</v>
      </c>
      <c r="G101" s="452" t="s">
        <v>3171</v>
      </c>
      <c r="H101" s="452">
        <v>210</v>
      </c>
      <c r="I101" s="452"/>
      <c r="J101" s="452"/>
      <c r="K101" s="452" t="s">
        <v>3172</v>
      </c>
      <c r="L101" s="452" t="s">
        <v>3172</v>
      </c>
      <c r="M101" s="449" t="s">
        <v>3307</v>
      </c>
      <c r="N101" s="449">
        <v>0</v>
      </c>
      <c r="O101" s="449" t="s">
        <v>3174</v>
      </c>
      <c r="P101" s="449" t="s">
        <v>4313</v>
      </c>
      <c r="Q101" s="449" t="s">
        <v>3176</v>
      </c>
    </row>
    <row r="102" spans="1:17">
      <c r="A102" s="451">
        <v>101</v>
      </c>
      <c r="B102" s="449" t="s">
        <v>4314</v>
      </c>
      <c r="C102" s="449" t="s">
        <v>4315</v>
      </c>
      <c r="D102" s="449" t="s">
        <v>3169</v>
      </c>
      <c r="E102" s="449" t="s">
        <v>4316</v>
      </c>
      <c r="F102" s="449" t="s">
        <v>517</v>
      </c>
      <c r="G102" s="452" t="s">
        <v>3171</v>
      </c>
      <c r="H102" s="452">
        <v>210</v>
      </c>
      <c r="I102" s="452"/>
      <c r="J102" s="452"/>
      <c r="K102" s="452" t="s">
        <v>3172</v>
      </c>
      <c r="L102" s="452" t="s">
        <v>3172</v>
      </c>
      <c r="M102" s="449" t="s">
        <v>3307</v>
      </c>
      <c r="N102" s="449">
        <v>0</v>
      </c>
      <c r="O102" s="449" t="s">
        <v>3174</v>
      </c>
      <c r="P102" s="449" t="s">
        <v>4317</v>
      </c>
      <c r="Q102" s="449" t="s">
        <v>3176</v>
      </c>
    </row>
    <row r="103" spans="1:17">
      <c r="A103" s="451">
        <v>102</v>
      </c>
      <c r="B103" s="449" t="s">
        <v>4318</v>
      </c>
      <c r="C103" s="449" t="s">
        <v>212</v>
      </c>
      <c r="D103" s="449" t="s">
        <v>3169</v>
      </c>
      <c r="E103" s="449" t="s">
        <v>4319</v>
      </c>
      <c r="F103" s="449" t="s">
        <v>517</v>
      </c>
      <c r="G103" s="452" t="s">
        <v>3171</v>
      </c>
      <c r="H103" s="452">
        <v>210</v>
      </c>
      <c r="I103" s="452"/>
      <c r="J103" s="452"/>
      <c r="K103" s="452" t="s">
        <v>3172</v>
      </c>
      <c r="L103" s="452" t="s">
        <v>3172</v>
      </c>
      <c r="M103" s="449" t="s">
        <v>3307</v>
      </c>
      <c r="N103" s="449">
        <v>0</v>
      </c>
      <c r="O103" s="449" t="s">
        <v>3174</v>
      </c>
      <c r="P103" s="449" t="s">
        <v>4320</v>
      </c>
      <c r="Q103" s="449" t="s">
        <v>3176</v>
      </c>
    </row>
    <row r="104" spans="1:17">
      <c r="A104" s="451">
        <v>103</v>
      </c>
      <c r="B104" s="449" t="s">
        <v>4321</v>
      </c>
      <c r="C104" s="449" t="s">
        <v>75</v>
      </c>
      <c r="D104" s="449" t="s">
        <v>3169</v>
      </c>
      <c r="E104" s="449" t="s">
        <v>4322</v>
      </c>
      <c r="F104" s="449" t="s">
        <v>517</v>
      </c>
      <c r="G104" s="452" t="s">
        <v>3171</v>
      </c>
      <c r="H104" s="452">
        <v>210</v>
      </c>
      <c r="I104" s="452"/>
      <c r="J104" s="452"/>
      <c r="K104" s="452" t="s">
        <v>3172</v>
      </c>
      <c r="L104" s="452" t="s">
        <v>3172</v>
      </c>
      <c r="M104" s="449" t="s">
        <v>3307</v>
      </c>
      <c r="N104" s="449">
        <v>0</v>
      </c>
      <c r="O104" s="449" t="s">
        <v>3174</v>
      </c>
      <c r="P104" s="449" t="s">
        <v>4323</v>
      </c>
      <c r="Q104" s="449" t="s">
        <v>3176</v>
      </c>
    </row>
    <row r="105" spans="1:17">
      <c r="A105" s="451">
        <v>104</v>
      </c>
      <c r="B105" s="449" t="s">
        <v>4324</v>
      </c>
      <c r="C105" s="449" t="s">
        <v>70</v>
      </c>
      <c r="D105" s="449" t="s">
        <v>3169</v>
      </c>
      <c r="E105" s="449" t="s">
        <v>4325</v>
      </c>
      <c r="F105" s="449" t="s">
        <v>517</v>
      </c>
      <c r="G105" s="452" t="s">
        <v>3171</v>
      </c>
      <c r="H105" s="452">
        <v>210</v>
      </c>
      <c r="I105" s="452"/>
      <c r="J105" s="452"/>
      <c r="K105" s="452" t="s">
        <v>3172</v>
      </c>
      <c r="L105" s="452" t="s">
        <v>3172</v>
      </c>
      <c r="M105" s="449" t="s">
        <v>3307</v>
      </c>
      <c r="N105" s="449">
        <v>0</v>
      </c>
      <c r="O105" s="449" t="s">
        <v>3174</v>
      </c>
      <c r="P105" s="449" t="s">
        <v>4326</v>
      </c>
      <c r="Q105" s="449" t="s">
        <v>3176</v>
      </c>
    </row>
    <row r="106" spans="1:17">
      <c r="A106" s="451">
        <v>105</v>
      </c>
      <c r="B106" s="449" t="s">
        <v>4327</v>
      </c>
      <c r="C106" s="449" t="s">
        <v>206</v>
      </c>
      <c r="D106" s="449" t="s">
        <v>3169</v>
      </c>
      <c r="E106" s="449" t="s">
        <v>4328</v>
      </c>
      <c r="F106" s="449" t="s">
        <v>517</v>
      </c>
      <c r="G106" s="452" t="s">
        <v>3171</v>
      </c>
      <c r="H106" s="452">
        <v>210</v>
      </c>
      <c r="I106" s="452"/>
      <c r="J106" s="452"/>
      <c r="K106" s="452" t="s">
        <v>3172</v>
      </c>
      <c r="L106" s="452" t="s">
        <v>3172</v>
      </c>
      <c r="M106" s="449" t="s">
        <v>3307</v>
      </c>
      <c r="N106" s="449">
        <v>0</v>
      </c>
      <c r="O106" s="449" t="s">
        <v>3174</v>
      </c>
      <c r="P106" s="449" t="s">
        <v>4329</v>
      </c>
      <c r="Q106" s="449" t="s">
        <v>3176</v>
      </c>
    </row>
    <row r="107" spans="1:17">
      <c r="A107" s="451">
        <v>106</v>
      </c>
      <c r="B107" s="449" t="s">
        <v>4330</v>
      </c>
      <c r="C107" s="449" t="s">
        <v>240</v>
      </c>
      <c r="D107" s="449" t="s">
        <v>3169</v>
      </c>
      <c r="E107" s="449" t="s">
        <v>4331</v>
      </c>
      <c r="F107" s="449" t="s">
        <v>517</v>
      </c>
      <c r="G107" s="452" t="s">
        <v>3171</v>
      </c>
      <c r="H107" s="452">
        <v>210</v>
      </c>
      <c r="I107" s="452"/>
      <c r="J107" s="452"/>
      <c r="K107" s="452" t="s">
        <v>3172</v>
      </c>
      <c r="L107" s="452" t="s">
        <v>3172</v>
      </c>
      <c r="M107" s="449" t="s">
        <v>3307</v>
      </c>
      <c r="N107" s="449">
        <v>0</v>
      </c>
      <c r="O107" s="449" t="s">
        <v>3174</v>
      </c>
      <c r="P107" s="449" t="s">
        <v>4332</v>
      </c>
      <c r="Q107" s="449" t="s">
        <v>3176</v>
      </c>
    </row>
    <row r="108" spans="1:17">
      <c r="A108" s="451">
        <v>107</v>
      </c>
      <c r="B108" s="449" t="s">
        <v>4333</v>
      </c>
      <c r="C108" s="449" t="s">
        <v>140</v>
      </c>
      <c r="D108" s="449" t="s">
        <v>3169</v>
      </c>
      <c r="E108" s="449" t="s">
        <v>4334</v>
      </c>
      <c r="F108" s="449" t="s">
        <v>517</v>
      </c>
      <c r="G108" s="452" t="s">
        <v>3171</v>
      </c>
      <c r="H108" s="452">
        <v>210</v>
      </c>
      <c r="I108" s="452"/>
      <c r="J108" s="452"/>
      <c r="K108" s="452" t="s">
        <v>3172</v>
      </c>
      <c r="L108" s="452" t="s">
        <v>3172</v>
      </c>
      <c r="M108" s="449" t="s">
        <v>3307</v>
      </c>
      <c r="N108" s="449">
        <v>0</v>
      </c>
      <c r="O108" s="449" t="s">
        <v>3174</v>
      </c>
      <c r="P108" s="449" t="s">
        <v>4335</v>
      </c>
      <c r="Q108" s="449" t="s">
        <v>3176</v>
      </c>
    </row>
    <row r="109" spans="1:17">
      <c r="A109" s="451">
        <v>108</v>
      </c>
      <c r="B109" s="449" t="s">
        <v>4336</v>
      </c>
      <c r="C109" s="449" t="s">
        <v>228</v>
      </c>
      <c r="D109" s="449" t="s">
        <v>3169</v>
      </c>
      <c r="E109" s="449" t="s">
        <v>4337</v>
      </c>
      <c r="F109" s="449" t="s">
        <v>517</v>
      </c>
      <c r="G109" s="452" t="s">
        <v>3171</v>
      </c>
      <c r="H109" s="452">
        <v>210</v>
      </c>
      <c r="I109" s="452"/>
      <c r="J109" s="452"/>
      <c r="K109" s="452" t="s">
        <v>3172</v>
      </c>
      <c r="L109" s="452" t="s">
        <v>3172</v>
      </c>
      <c r="M109" s="449" t="s">
        <v>3307</v>
      </c>
      <c r="N109" s="449">
        <v>0</v>
      </c>
      <c r="O109" s="449" t="s">
        <v>3174</v>
      </c>
      <c r="P109" s="449" t="s">
        <v>4338</v>
      </c>
      <c r="Q109" s="449" t="s">
        <v>3176</v>
      </c>
    </row>
    <row r="110" spans="1:17">
      <c r="A110" s="451">
        <v>109</v>
      </c>
      <c r="B110" s="449" t="s">
        <v>4339</v>
      </c>
      <c r="C110" s="449" t="s">
        <v>224</v>
      </c>
      <c r="D110" s="449" t="s">
        <v>3169</v>
      </c>
      <c r="E110" s="449" t="s">
        <v>4340</v>
      </c>
      <c r="F110" s="449" t="s">
        <v>517</v>
      </c>
      <c r="G110" s="452" t="s">
        <v>3171</v>
      </c>
      <c r="H110" s="452">
        <v>210</v>
      </c>
      <c r="I110" s="452"/>
      <c r="J110" s="452"/>
      <c r="K110" s="452" t="s">
        <v>3172</v>
      </c>
      <c r="L110" s="452" t="s">
        <v>3172</v>
      </c>
      <c r="M110" s="449" t="s">
        <v>3307</v>
      </c>
      <c r="N110" s="449">
        <v>0</v>
      </c>
      <c r="O110" s="449" t="s">
        <v>3174</v>
      </c>
      <c r="P110" s="449" t="s">
        <v>4341</v>
      </c>
      <c r="Q110" s="449" t="s">
        <v>3176</v>
      </c>
    </row>
    <row r="111" spans="1:17">
      <c r="A111" s="451">
        <v>110</v>
      </c>
      <c r="B111" s="449" t="s">
        <v>4342</v>
      </c>
      <c r="C111" s="449" t="s">
        <v>225</v>
      </c>
      <c r="D111" s="449" t="s">
        <v>3169</v>
      </c>
      <c r="E111" s="449" t="s">
        <v>4343</v>
      </c>
      <c r="F111" s="449" t="s">
        <v>517</v>
      </c>
      <c r="G111" s="452" t="s">
        <v>3171</v>
      </c>
      <c r="H111" s="452">
        <v>210</v>
      </c>
      <c r="I111" s="452"/>
      <c r="J111" s="452"/>
      <c r="K111" s="452" t="s">
        <v>3172</v>
      </c>
      <c r="L111" s="452" t="s">
        <v>3172</v>
      </c>
      <c r="M111" s="449" t="s">
        <v>3307</v>
      </c>
      <c r="N111" s="449">
        <v>0</v>
      </c>
      <c r="O111" s="449" t="s">
        <v>3174</v>
      </c>
      <c r="P111" s="449" t="s">
        <v>4344</v>
      </c>
      <c r="Q111" s="449" t="s">
        <v>3176</v>
      </c>
    </row>
    <row r="112" spans="1:17">
      <c r="A112" s="451">
        <v>111</v>
      </c>
      <c r="B112" s="449" t="s">
        <v>4345</v>
      </c>
      <c r="C112" s="449" t="s">
        <v>227</v>
      </c>
      <c r="D112" s="449" t="s">
        <v>3169</v>
      </c>
      <c r="E112" s="449" t="s">
        <v>4346</v>
      </c>
      <c r="F112" s="449" t="s">
        <v>517</v>
      </c>
      <c r="G112" s="452" t="s">
        <v>3171</v>
      </c>
      <c r="H112" s="452">
        <v>210</v>
      </c>
      <c r="I112" s="452"/>
      <c r="J112" s="452"/>
      <c r="K112" s="452" t="s">
        <v>3172</v>
      </c>
      <c r="L112" s="452" t="s">
        <v>3172</v>
      </c>
      <c r="M112" s="449" t="s">
        <v>3307</v>
      </c>
      <c r="N112" s="449">
        <v>0</v>
      </c>
      <c r="O112" s="449" t="s">
        <v>3174</v>
      </c>
      <c r="P112" s="449" t="s">
        <v>4347</v>
      </c>
      <c r="Q112" s="449" t="s">
        <v>3176</v>
      </c>
    </row>
    <row r="113" spans="1:17">
      <c r="A113" s="451">
        <v>112</v>
      </c>
      <c r="B113" s="449" t="s">
        <v>4348</v>
      </c>
      <c r="C113" s="449" t="s">
        <v>226</v>
      </c>
      <c r="D113" s="449" t="s">
        <v>3169</v>
      </c>
      <c r="E113" s="449" t="s">
        <v>4349</v>
      </c>
      <c r="F113" s="449" t="s">
        <v>517</v>
      </c>
      <c r="G113" s="452" t="s">
        <v>3171</v>
      </c>
      <c r="H113" s="452">
        <v>210</v>
      </c>
      <c r="I113" s="452"/>
      <c r="J113" s="452"/>
      <c r="K113" s="452" t="s">
        <v>3172</v>
      </c>
      <c r="L113" s="452" t="s">
        <v>3172</v>
      </c>
      <c r="M113" s="449" t="s">
        <v>3307</v>
      </c>
      <c r="N113" s="449">
        <v>0</v>
      </c>
      <c r="O113" s="449" t="s">
        <v>3174</v>
      </c>
      <c r="P113" s="449" t="s">
        <v>4350</v>
      </c>
      <c r="Q113" s="449" t="s">
        <v>3176</v>
      </c>
    </row>
    <row r="114" spans="1:17">
      <c r="A114" s="451">
        <v>113</v>
      </c>
      <c r="B114" s="449" t="s">
        <v>4351</v>
      </c>
      <c r="C114" s="449" t="s">
        <v>231</v>
      </c>
      <c r="D114" s="449" t="s">
        <v>3169</v>
      </c>
      <c r="E114" s="449" t="s">
        <v>4352</v>
      </c>
      <c r="F114" s="449" t="s">
        <v>517</v>
      </c>
      <c r="G114" s="452" t="s">
        <v>3171</v>
      </c>
      <c r="H114" s="452">
        <v>210</v>
      </c>
      <c r="I114" s="452"/>
      <c r="J114" s="452"/>
      <c r="K114" s="452" t="s">
        <v>3172</v>
      </c>
      <c r="L114" s="452" t="s">
        <v>3172</v>
      </c>
      <c r="M114" s="449" t="s">
        <v>3307</v>
      </c>
      <c r="N114" s="449">
        <v>0</v>
      </c>
      <c r="O114" s="449" t="s">
        <v>3174</v>
      </c>
      <c r="P114" s="449" t="s">
        <v>4353</v>
      </c>
      <c r="Q114" s="449" t="s">
        <v>3176</v>
      </c>
    </row>
    <row r="115" spans="1:17">
      <c r="A115" s="451">
        <v>114</v>
      </c>
      <c r="B115" s="449" t="s">
        <v>4354</v>
      </c>
      <c r="C115" s="449" t="s">
        <v>4355</v>
      </c>
      <c r="D115" s="449" t="s">
        <v>3169</v>
      </c>
      <c r="E115" s="449" t="s">
        <v>4356</v>
      </c>
      <c r="F115" s="449" t="s">
        <v>517</v>
      </c>
      <c r="G115" s="452" t="s">
        <v>3171</v>
      </c>
      <c r="H115" s="452">
        <v>210</v>
      </c>
      <c r="I115" s="452"/>
      <c r="J115" s="452"/>
      <c r="K115" s="452" t="s">
        <v>3172</v>
      </c>
      <c r="L115" s="452" t="s">
        <v>3172</v>
      </c>
      <c r="M115" s="449" t="s">
        <v>3307</v>
      </c>
      <c r="N115" s="449">
        <v>0</v>
      </c>
      <c r="O115" s="449" t="s">
        <v>3174</v>
      </c>
      <c r="P115" s="449" t="s">
        <v>4357</v>
      </c>
      <c r="Q115" s="449" t="s">
        <v>3176</v>
      </c>
    </row>
    <row r="116" spans="1:17">
      <c r="A116" s="451">
        <v>115</v>
      </c>
      <c r="B116" s="449" t="s">
        <v>4358</v>
      </c>
      <c r="C116" s="449" t="s">
        <v>4359</v>
      </c>
      <c r="D116" s="449" t="s">
        <v>3169</v>
      </c>
      <c r="E116" s="449" t="s">
        <v>4360</v>
      </c>
      <c r="F116" s="449" t="s">
        <v>517</v>
      </c>
      <c r="G116" s="452" t="s">
        <v>3171</v>
      </c>
      <c r="H116" s="452">
        <v>210</v>
      </c>
      <c r="I116" s="452"/>
      <c r="J116" s="452"/>
      <c r="K116" s="452" t="s">
        <v>3172</v>
      </c>
      <c r="L116" s="452" t="s">
        <v>3172</v>
      </c>
      <c r="M116" s="449" t="s">
        <v>3307</v>
      </c>
      <c r="N116" s="449">
        <v>0</v>
      </c>
      <c r="O116" s="449" t="s">
        <v>3174</v>
      </c>
      <c r="P116" s="449" t="s">
        <v>4361</v>
      </c>
      <c r="Q116" s="449" t="s">
        <v>3176</v>
      </c>
    </row>
    <row r="117" spans="1:17">
      <c r="A117" s="451">
        <v>116</v>
      </c>
      <c r="B117" s="449" t="s">
        <v>4362</v>
      </c>
      <c r="C117" s="449" t="s">
        <v>4363</v>
      </c>
      <c r="D117" s="449" t="s">
        <v>3169</v>
      </c>
      <c r="E117" s="449" t="s">
        <v>4364</v>
      </c>
      <c r="F117" s="449" t="s">
        <v>517</v>
      </c>
      <c r="G117" s="452" t="s">
        <v>3171</v>
      </c>
      <c r="H117" s="452">
        <v>210</v>
      </c>
      <c r="I117" s="452"/>
      <c r="J117" s="452"/>
      <c r="K117" s="452" t="s">
        <v>3172</v>
      </c>
      <c r="L117" s="452" t="s">
        <v>3172</v>
      </c>
      <c r="M117" s="449" t="s">
        <v>3307</v>
      </c>
      <c r="N117" s="449">
        <v>0</v>
      </c>
      <c r="O117" s="449" t="s">
        <v>3174</v>
      </c>
      <c r="P117" s="449" t="s">
        <v>4365</v>
      </c>
      <c r="Q117" s="449" t="s">
        <v>3176</v>
      </c>
    </row>
    <row r="118" spans="1:17">
      <c r="A118" s="451">
        <v>117</v>
      </c>
      <c r="B118" s="449" t="s">
        <v>4366</v>
      </c>
      <c r="C118" s="449" t="s">
        <v>4367</v>
      </c>
      <c r="D118" s="449" t="s">
        <v>3169</v>
      </c>
      <c r="E118" s="449" t="s">
        <v>4368</v>
      </c>
      <c r="F118" s="449" t="s">
        <v>517</v>
      </c>
      <c r="G118" s="452" t="s">
        <v>3171</v>
      </c>
      <c r="H118" s="452">
        <v>210</v>
      </c>
      <c r="I118" s="452"/>
      <c r="J118" s="452"/>
      <c r="K118" s="452" t="s">
        <v>3172</v>
      </c>
      <c r="L118" s="452" t="s">
        <v>3172</v>
      </c>
      <c r="M118" s="449" t="s">
        <v>3307</v>
      </c>
      <c r="N118" s="449">
        <v>0</v>
      </c>
      <c r="O118" s="449" t="s">
        <v>3174</v>
      </c>
      <c r="P118" s="449" t="s">
        <v>4369</v>
      </c>
      <c r="Q118" s="449" t="s">
        <v>3176</v>
      </c>
    </row>
    <row r="119" spans="1:17">
      <c r="A119" s="451">
        <v>118</v>
      </c>
      <c r="B119" s="449" t="s">
        <v>4370</v>
      </c>
      <c r="C119" s="449" t="s">
        <v>4371</v>
      </c>
      <c r="D119" s="449" t="s">
        <v>3169</v>
      </c>
      <c r="E119" s="449" t="s">
        <v>4372</v>
      </c>
      <c r="F119" s="449" t="s">
        <v>517</v>
      </c>
      <c r="G119" s="452" t="s">
        <v>3171</v>
      </c>
      <c r="H119" s="452">
        <v>210</v>
      </c>
      <c r="I119" s="452"/>
      <c r="J119" s="452"/>
      <c r="K119" s="452" t="s">
        <v>3172</v>
      </c>
      <c r="L119" s="452" t="s">
        <v>3172</v>
      </c>
      <c r="M119" s="449" t="s">
        <v>3307</v>
      </c>
      <c r="N119" s="449">
        <v>0</v>
      </c>
      <c r="O119" s="449" t="s">
        <v>3174</v>
      </c>
      <c r="P119" s="449" t="s">
        <v>4373</v>
      </c>
      <c r="Q119" s="449" t="s">
        <v>3176</v>
      </c>
    </row>
    <row r="120" spans="1:17">
      <c r="A120" s="451">
        <v>119</v>
      </c>
      <c r="B120" s="449" t="s">
        <v>4374</v>
      </c>
      <c r="C120" s="449" t="s">
        <v>4375</v>
      </c>
      <c r="D120" s="449" t="s">
        <v>3169</v>
      </c>
      <c r="E120" s="449" t="s">
        <v>4376</v>
      </c>
      <c r="F120" s="449" t="s">
        <v>517</v>
      </c>
      <c r="G120" s="452" t="s">
        <v>3171</v>
      </c>
      <c r="H120" s="452">
        <v>210</v>
      </c>
      <c r="I120" s="452"/>
      <c r="J120" s="452"/>
      <c r="K120" s="452" t="s">
        <v>3172</v>
      </c>
      <c r="L120" s="452" t="s">
        <v>3172</v>
      </c>
      <c r="M120" s="449" t="s">
        <v>3307</v>
      </c>
      <c r="N120" s="449">
        <v>0</v>
      </c>
      <c r="O120" s="449" t="s">
        <v>3174</v>
      </c>
      <c r="P120" s="449" t="s">
        <v>4377</v>
      </c>
      <c r="Q120" s="449" t="s">
        <v>3176</v>
      </c>
    </row>
    <row r="121" spans="1:17">
      <c r="A121" s="451">
        <v>120</v>
      </c>
      <c r="B121" s="449" t="s">
        <v>4378</v>
      </c>
      <c r="C121" s="449" t="s">
        <v>4379</v>
      </c>
      <c r="D121" s="449" t="s">
        <v>3169</v>
      </c>
      <c r="E121" s="449" t="s">
        <v>4380</v>
      </c>
      <c r="F121" s="449" t="s">
        <v>517</v>
      </c>
      <c r="G121" s="452" t="s">
        <v>3171</v>
      </c>
      <c r="H121" s="452">
        <v>210</v>
      </c>
      <c r="I121" s="452"/>
      <c r="J121" s="452"/>
      <c r="K121" s="452" t="s">
        <v>3172</v>
      </c>
      <c r="L121" s="452" t="s">
        <v>3172</v>
      </c>
      <c r="M121" s="449" t="s">
        <v>3307</v>
      </c>
      <c r="N121" s="449">
        <v>0</v>
      </c>
      <c r="O121" s="449" t="s">
        <v>3174</v>
      </c>
      <c r="P121" s="449" t="s">
        <v>4381</v>
      </c>
      <c r="Q121" s="449" t="s">
        <v>3176</v>
      </c>
    </row>
    <row r="122" spans="1:17">
      <c r="A122" s="451">
        <v>121</v>
      </c>
      <c r="B122" s="449" t="s">
        <v>4382</v>
      </c>
      <c r="C122" s="449" t="s">
        <v>4383</v>
      </c>
      <c r="D122" s="449" t="s">
        <v>3169</v>
      </c>
      <c r="E122" s="449" t="s">
        <v>4384</v>
      </c>
      <c r="F122" s="449" t="s">
        <v>517</v>
      </c>
      <c r="G122" s="452" t="s">
        <v>3171</v>
      </c>
      <c r="H122" s="452">
        <v>210</v>
      </c>
      <c r="I122" s="452"/>
      <c r="J122" s="452"/>
      <c r="K122" s="452" t="s">
        <v>3172</v>
      </c>
      <c r="L122" s="452" t="s">
        <v>3172</v>
      </c>
      <c r="M122" s="449" t="s">
        <v>3307</v>
      </c>
      <c r="N122" s="449">
        <v>0</v>
      </c>
      <c r="O122" s="449" t="s">
        <v>3174</v>
      </c>
      <c r="P122" s="449" t="s">
        <v>4385</v>
      </c>
      <c r="Q122" s="449" t="s">
        <v>3176</v>
      </c>
    </row>
    <row r="123" spans="1:17">
      <c r="A123" s="451">
        <v>122</v>
      </c>
      <c r="B123" s="449" t="s">
        <v>4386</v>
      </c>
      <c r="C123" s="449" t="s">
        <v>4387</v>
      </c>
      <c r="D123" s="449" t="s">
        <v>3169</v>
      </c>
      <c r="E123" s="449" t="s">
        <v>4388</v>
      </c>
      <c r="F123" s="449" t="s">
        <v>517</v>
      </c>
      <c r="G123" s="452" t="s">
        <v>3171</v>
      </c>
      <c r="H123" s="452">
        <v>210</v>
      </c>
      <c r="I123" s="452"/>
      <c r="J123" s="452"/>
      <c r="K123" s="452" t="s">
        <v>3172</v>
      </c>
      <c r="L123" s="452" t="s">
        <v>3172</v>
      </c>
      <c r="M123" s="449" t="s">
        <v>3307</v>
      </c>
      <c r="N123" s="449">
        <v>0</v>
      </c>
      <c r="O123" s="449" t="s">
        <v>3174</v>
      </c>
      <c r="P123" s="449" t="s">
        <v>4389</v>
      </c>
      <c r="Q123" s="449" t="s">
        <v>3176</v>
      </c>
    </row>
    <row r="124" spans="1:17">
      <c r="A124" s="451">
        <v>123</v>
      </c>
      <c r="B124" s="449" t="s">
        <v>4390</v>
      </c>
      <c r="C124" s="449" t="s">
        <v>4391</v>
      </c>
      <c r="D124" s="449" t="s">
        <v>3169</v>
      </c>
      <c r="E124" s="449" t="s">
        <v>4392</v>
      </c>
      <c r="F124" s="449" t="s">
        <v>517</v>
      </c>
      <c r="G124" s="452" t="s">
        <v>3171</v>
      </c>
      <c r="H124" s="452">
        <v>210</v>
      </c>
      <c r="I124" s="452"/>
      <c r="J124" s="452"/>
      <c r="K124" s="452" t="s">
        <v>3172</v>
      </c>
      <c r="L124" s="452" t="s">
        <v>3172</v>
      </c>
      <c r="M124" s="449" t="s">
        <v>3307</v>
      </c>
      <c r="N124" s="449">
        <v>0</v>
      </c>
      <c r="O124" s="449" t="s">
        <v>3174</v>
      </c>
      <c r="P124" s="449" t="s">
        <v>4393</v>
      </c>
      <c r="Q124" s="449" t="s">
        <v>3176</v>
      </c>
    </row>
    <row r="125" spans="1:17">
      <c r="A125" s="451">
        <v>124</v>
      </c>
      <c r="B125" s="449" t="s">
        <v>4394</v>
      </c>
      <c r="C125" s="449" t="s">
        <v>4395</v>
      </c>
      <c r="D125" s="449" t="s">
        <v>3169</v>
      </c>
      <c r="E125" s="449" t="s">
        <v>4396</v>
      </c>
      <c r="F125" s="449" t="s">
        <v>517</v>
      </c>
      <c r="G125" s="452" t="s">
        <v>3171</v>
      </c>
      <c r="H125" s="452">
        <v>210</v>
      </c>
      <c r="I125" s="452"/>
      <c r="J125" s="452"/>
      <c r="K125" s="452" t="s">
        <v>3172</v>
      </c>
      <c r="L125" s="452" t="s">
        <v>3172</v>
      </c>
      <c r="M125" s="449" t="s">
        <v>3307</v>
      </c>
      <c r="N125" s="449">
        <v>0</v>
      </c>
      <c r="O125" s="449" t="s">
        <v>3174</v>
      </c>
      <c r="P125" s="449" t="s">
        <v>4397</v>
      </c>
      <c r="Q125" s="449" t="s">
        <v>3176</v>
      </c>
    </row>
    <row r="126" spans="1:17">
      <c r="A126" s="451">
        <v>125</v>
      </c>
      <c r="B126" s="449" t="s">
        <v>4398</v>
      </c>
      <c r="C126" s="449" t="s">
        <v>4399</v>
      </c>
      <c r="D126" s="449" t="s">
        <v>3169</v>
      </c>
      <c r="E126" s="449" t="s">
        <v>4400</v>
      </c>
      <c r="F126" s="449" t="s">
        <v>517</v>
      </c>
      <c r="G126" s="452" t="s">
        <v>3171</v>
      </c>
      <c r="H126" s="452">
        <v>210</v>
      </c>
      <c r="I126" s="452"/>
      <c r="J126" s="452"/>
      <c r="K126" s="452" t="s">
        <v>3172</v>
      </c>
      <c r="L126" s="452" t="s">
        <v>3172</v>
      </c>
      <c r="M126" s="449" t="s">
        <v>3307</v>
      </c>
      <c r="N126" s="449">
        <v>0</v>
      </c>
      <c r="O126" s="449" t="s">
        <v>3174</v>
      </c>
      <c r="P126" s="449" t="s">
        <v>4401</v>
      </c>
      <c r="Q126" s="449" t="s">
        <v>3176</v>
      </c>
    </row>
    <row r="127" spans="1:17">
      <c r="A127" s="451">
        <v>126</v>
      </c>
      <c r="B127" s="449" t="s">
        <v>4402</v>
      </c>
      <c r="C127" s="449" t="s">
        <v>4403</v>
      </c>
      <c r="D127" s="449" t="s">
        <v>3169</v>
      </c>
      <c r="E127" s="449" t="s">
        <v>4404</v>
      </c>
      <c r="F127" s="449" t="s">
        <v>517</v>
      </c>
      <c r="G127" s="452" t="s">
        <v>3171</v>
      </c>
      <c r="H127" s="452">
        <v>210</v>
      </c>
      <c r="I127" s="452"/>
      <c r="J127" s="452"/>
      <c r="K127" s="452" t="s">
        <v>3172</v>
      </c>
      <c r="L127" s="452" t="s">
        <v>3172</v>
      </c>
      <c r="M127" s="449" t="s">
        <v>3307</v>
      </c>
      <c r="N127" s="449">
        <v>0</v>
      </c>
      <c r="O127" s="449" t="s">
        <v>3174</v>
      </c>
      <c r="P127" s="449" t="s">
        <v>4405</v>
      </c>
      <c r="Q127" s="449" t="s">
        <v>3176</v>
      </c>
    </row>
    <row r="128" spans="1:17">
      <c r="A128" s="451">
        <v>127</v>
      </c>
      <c r="B128" s="449" t="s">
        <v>4406</v>
      </c>
      <c r="C128" s="449" t="s">
        <v>4407</v>
      </c>
      <c r="D128" s="449" t="s">
        <v>3169</v>
      </c>
      <c r="E128" s="449" t="s">
        <v>4408</v>
      </c>
      <c r="F128" s="449" t="s">
        <v>517</v>
      </c>
      <c r="G128" s="452" t="s">
        <v>3171</v>
      </c>
      <c r="H128" s="452">
        <v>210</v>
      </c>
      <c r="I128" s="452"/>
      <c r="J128" s="452"/>
      <c r="K128" s="452" t="s">
        <v>3172</v>
      </c>
      <c r="L128" s="452" t="s">
        <v>3172</v>
      </c>
      <c r="M128" s="449" t="s">
        <v>3307</v>
      </c>
      <c r="N128" s="449">
        <v>0</v>
      </c>
      <c r="O128" s="449" t="s">
        <v>3174</v>
      </c>
      <c r="P128" s="449" t="s">
        <v>4409</v>
      </c>
      <c r="Q128" s="449" t="s">
        <v>3176</v>
      </c>
    </row>
    <row r="129" spans="1:17">
      <c r="A129" s="451">
        <v>128</v>
      </c>
      <c r="B129" s="449" t="s">
        <v>4410</v>
      </c>
      <c r="C129" s="449" t="s">
        <v>4411</v>
      </c>
      <c r="D129" s="449" t="s">
        <v>3169</v>
      </c>
      <c r="E129" s="449" t="s">
        <v>4412</v>
      </c>
      <c r="F129" s="449" t="s">
        <v>517</v>
      </c>
      <c r="G129" s="452" t="s">
        <v>3171</v>
      </c>
      <c r="H129" s="452">
        <v>210</v>
      </c>
      <c r="I129" s="452"/>
      <c r="J129" s="452"/>
      <c r="K129" s="452" t="s">
        <v>3172</v>
      </c>
      <c r="L129" s="452" t="s">
        <v>3172</v>
      </c>
      <c r="M129" s="449" t="s">
        <v>3307</v>
      </c>
      <c r="N129" s="449">
        <v>0</v>
      </c>
      <c r="O129" s="449" t="s">
        <v>3174</v>
      </c>
      <c r="P129" s="449" t="s">
        <v>4413</v>
      </c>
      <c r="Q129" s="449" t="s">
        <v>3176</v>
      </c>
    </row>
    <row r="130" spans="1:17">
      <c r="A130" s="451">
        <v>129</v>
      </c>
      <c r="B130" s="449" t="s">
        <v>4414</v>
      </c>
      <c r="C130" s="449" t="s">
        <v>4415</v>
      </c>
      <c r="D130" s="449" t="s">
        <v>3169</v>
      </c>
      <c r="E130" s="449" t="s">
        <v>4416</v>
      </c>
      <c r="F130" s="449" t="s">
        <v>517</v>
      </c>
      <c r="G130" s="452" t="s">
        <v>3171</v>
      </c>
      <c r="H130" s="452">
        <v>210</v>
      </c>
      <c r="I130" s="452"/>
      <c r="J130" s="452"/>
      <c r="K130" s="452" t="s">
        <v>3172</v>
      </c>
      <c r="L130" s="452" t="s">
        <v>3172</v>
      </c>
      <c r="M130" s="449" t="s">
        <v>3307</v>
      </c>
      <c r="N130" s="449">
        <v>0</v>
      </c>
      <c r="O130" s="449" t="s">
        <v>3174</v>
      </c>
      <c r="P130" s="449" t="s">
        <v>4417</v>
      </c>
      <c r="Q130" s="449" t="s">
        <v>3176</v>
      </c>
    </row>
    <row r="131" spans="1:17">
      <c r="A131" s="451">
        <v>130</v>
      </c>
      <c r="B131" s="449" t="s">
        <v>4418</v>
      </c>
      <c r="C131" s="449" t="s">
        <v>4419</v>
      </c>
      <c r="D131" s="449" t="s">
        <v>3169</v>
      </c>
      <c r="E131" s="449" t="s">
        <v>4420</v>
      </c>
      <c r="F131" s="449" t="s">
        <v>517</v>
      </c>
      <c r="G131" s="452" t="s">
        <v>3171</v>
      </c>
      <c r="H131" s="452">
        <v>210</v>
      </c>
      <c r="I131" s="452"/>
      <c r="J131" s="452"/>
      <c r="K131" s="452" t="s">
        <v>3172</v>
      </c>
      <c r="L131" s="452" t="s">
        <v>3172</v>
      </c>
      <c r="M131" s="449" t="s">
        <v>3307</v>
      </c>
      <c r="N131" s="449">
        <v>0</v>
      </c>
      <c r="O131" s="449" t="s">
        <v>3174</v>
      </c>
      <c r="P131" s="449" t="s">
        <v>4421</v>
      </c>
      <c r="Q131" s="449" t="s">
        <v>3176</v>
      </c>
    </row>
    <row r="132" spans="1:17">
      <c r="A132" s="451">
        <v>131</v>
      </c>
      <c r="B132" s="449" t="s">
        <v>4422</v>
      </c>
      <c r="C132" s="449" t="s">
        <v>2262</v>
      </c>
      <c r="D132" s="449" t="s">
        <v>3169</v>
      </c>
      <c r="E132" s="449" t="s">
        <v>4423</v>
      </c>
      <c r="F132" s="449" t="s">
        <v>517</v>
      </c>
      <c r="G132" s="452" t="s">
        <v>3171</v>
      </c>
      <c r="H132" s="452">
        <v>210</v>
      </c>
      <c r="I132" s="452"/>
      <c r="J132" s="452"/>
      <c r="K132" s="452" t="s">
        <v>3172</v>
      </c>
      <c r="L132" s="452" t="s">
        <v>3172</v>
      </c>
      <c r="M132" s="449" t="s">
        <v>3307</v>
      </c>
      <c r="N132" s="449">
        <v>0</v>
      </c>
      <c r="O132" s="449" t="s">
        <v>3174</v>
      </c>
      <c r="P132" s="449" t="s">
        <v>4424</v>
      </c>
      <c r="Q132" s="449" t="s">
        <v>3176</v>
      </c>
    </row>
    <row r="133" spans="1:17">
      <c r="A133" s="451">
        <v>132</v>
      </c>
      <c r="B133" s="449" t="s">
        <v>4425</v>
      </c>
      <c r="C133" s="449" t="s">
        <v>4426</v>
      </c>
      <c r="D133" s="449" t="s">
        <v>3169</v>
      </c>
      <c r="E133" s="449" t="s">
        <v>4427</v>
      </c>
      <c r="F133" s="449" t="s">
        <v>517</v>
      </c>
      <c r="G133" s="452" t="s">
        <v>3171</v>
      </c>
      <c r="H133" s="452">
        <v>210</v>
      </c>
      <c r="I133" s="452"/>
      <c r="J133" s="452"/>
      <c r="K133" s="452" t="s">
        <v>3172</v>
      </c>
      <c r="L133" s="452" t="s">
        <v>3172</v>
      </c>
      <c r="M133" s="449" t="s">
        <v>3307</v>
      </c>
      <c r="N133" s="449">
        <v>0</v>
      </c>
      <c r="O133" s="449" t="s">
        <v>3174</v>
      </c>
      <c r="P133" s="449" t="s">
        <v>4428</v>
      </c>
      <c r="Q133" s="449" t="s">
        <v>3176</v>
      </c>
    </row>
    <row r="134" spans="1:17">
      <c r="A134" s="451">
        <v>133</v>
      </c>
      <c r="B134" s="449" t="s">
        <v>4429</v>
      </c>
      <c r="C134" s="449" t="s">
        <v>4430</v>
      </c>
      <c r="D134" s="449" t="s">
        <v>3169</v>
      </c>
      <c r="E134" s="449" t="s">
        <v>4431</v>
      </c>
      <c r="F134" s="449" t="s">
        <v>517</v>
      </c>
      <c r="G134" s="452" t="s">
        <v>3171</v>
      </c>
      <c r="H134" s="452">
        <v>210</v>
      </c>
      <c r="I134" s="452"/>
      <c r="J134" s="452"/>
      <c r="K134" s="452" t="s">
        <v>3172</v>
      </c>
      <c r="L134" s="452" t="s">
        <v>3172</v>
      </c>
      <c r="M134" s="449" t="s">
        <v>3307</v>
      </c>
      <c r="N134" s="449">
        <v>0</v>
      </c>
      <c r="O134" s="449" t="s">
        <v>3174</v>
      </c>
      <c r="P134" s="449" t="s">
        <v>4432</v>
      </c>
      <c r="Q134" s="449" t="s">
        <v>3176</v>
      </c>
    </row>
    <row r="135" spans="1:17">
      <c r="A135" s="451">
        <v>134</v>
      </c>
      <c r="B135" s="449" t="s">
        <v>4433</v>
      </c>
      <c r="C135" s="449" t="s">
        <v>4434</v>
      </c>
      <c r="D135" s="449" t="s">
        <v>3169</v>
      </c>
      <c r="E135" s="449" t="s">
        <v>4435</v>
      </c>
      <c r="F135" s="449" t="s">
        <v>517</v>
      </c>
      <c r="G135" s="452" t="s">
        <v>3171</v>
      </c>
      <c r="H135" s="452">
        <v>210</v>
      </c>
      <c r="I135" s="452"/>
      <c r="J135" s="452"/>
      <c r="K135" s="452" t="s">
        <v>3172</v>
      </c>
      <c r="L135" s="452" t="s">
        <v>3172</v>
      </c>
      <c r="M135" s="449" t="s">
        <v>3307</v>
      </c>
      <c r="N135" s="449">
        <v>0</v>
      </c>
      <c r="O135" s="449" t="s">
        <v>3174</v>
      </c>
      <c r="P135" s="449" t="s">
        <v>4436</v>
      </c>
      <c r="Q135" s="449" t="s">
        <v>3176</v>
      </c>
    </row>
    <row r="136" spans="1:17">
      <c r="H136" s="452">
        <v>210</v>
      </c>
      <c r="I136" s="452"/>
      <c r="J136" s="452"/>
    </row>
  </sheetData>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72"/>
  <sheetViews>
    <sheetView workbookViewId="0">
      <selection activeCell="G15" sqref="G15"/>
    </sheetView>
  </sheetViews>
  <sheetFormatPr defaultColWidth="9" defaultRowHeight="14.4"/>
  <cols>
    <col min="1" max="1" width="16.44140625" customWidth="1"/>
    <col min="2" max="4" width="13.88671875" customWidth="1"/>
    <col min="5" max="8" width="17.6640625" customWidth="1"/>
    <col min="9" max="10" width="11" customWidth="1"/>
    <col min="11" max="11" width="13.44140625" customWidth="1"/>
    <col min="12" max="12" width="21.44140625" customWidth="1"/>
    <col min="13" max="13" width="17.44140625" customWidth="1"/>
  </cols>
  <sheetData>
    <row r="1" spans="1:15" ht="31.5" customHeight="1">
      <c r="A1" s="436"/>
      <c r="B1" s="437" t="s">
        <v>311</v>
      </c>
      <c r="C1" s="437">
        <f>SUM(C5:C23)</f>
        <v>0</v>
      </c>
      <c r="G1" s="437" t="s">
        <v>311</v>
      </c>
      <c r="H1" s="437">
        <f>SUM(H25)</f>
        <v>300</v>
      </c>
      <c r="L1" s="437" t="s">
        <v>311</v>
      </c>
      <c r="M1" s="437">
        <f>SUM(M5:M178)</f>
        <v>0</v>
      </c>
    </row>
    <row r="2" spans="1:15" ht="30" customHeight="1"/>
    <row r="3" spans="1:15" ht="20.399999999999999">
      <c r="A3" s="436" t="s">
        <v>4437</v>
      </c>
      <c r="E3" s="438" t="s">
        <v>4438</v>
      </c>
      <c r="F3" s="438"/>
      <c r="G3" s="438"/>
      <c r="H3" s="438"/>
      <c r="K3" s="2046" t="s">
        <v>4439</v>
      </c>
      <c r="L3" s="2047"/>
      <c r="M3" s="2048"/>
      <c r="N3" s="439"/>
      <c r="O3" s="439"/>
    </row>
    <row r="4" spans="1:15" ht="17.399999999999999">
      <c r="A4" s="440" t="s">
        <v>316</v>
      </c>
      <c r="B4" s="441" t="s">
        <v>628</v>
      </c>
      <c r="C4" s="442" t="s">
        <v>4440</v>
      </c>
      <c r="D4">
        <f>INDEX(综合考核!A:A,MATCH(B5,综合考核!A:A,0))</f>
        <v>0</v>
      </c>
      <c r="E4" s="443" t="s">
        <v>4441</v>
      </c>
      <c r="F4" s="444" t="s">
        <v>4442</v>
      </c>
      <c r="G4" s="444" t="s">
        <v>4443</v>
      </c>
      <c r="H4" s="442" t="s">
        <v>4440</v>
      </c>
      <c r="K4" s="443" t="s">
        <v>4441</v>
      </c>
      <c r="L4" s="444" t="s">
        <v>4444</v>
      </c>
      <c r="M4" s="442" t="s">
        <v>4440</v>
      </c>
    </row>
    <row r="5" spans="1:15" ht="17.399999999999999">
      <c r="A5" s="445"/>
      <c r="B5" s="442"/>
      <c r="C5" s="442"/>
      <c r="D5">
        <f>INDEX(综合考核!A:A,MATCH(B6,综合考核!A:A,0))</f>
        <v>0</v>
      </c>
      <c r="E5" s="445" t="s">
        <v>4445</v>
      </c>
      <c r="F5" s="442" t="s">
        <v>68</v>
      </c>
      <c r="G5" s="34" t="s">
        <v>4446</v>
      </c>
      <c r="H5" s="442">
        <v>300</v>
      </c>
      <c r="I5" t="str">
        <f>INDEX(综合考核!A:A,MATCH(F5,综合考核!A:A,0))</f>
        <v>张林</v>
      </c>
      <c r="K5" s="446" t="s">
        <v>587</v>
      </c>
      <c r="L5" s="306" t="s">
        <v>218</v>
      </c>
      <c r="M5" s="306"/>
      <c r="N5" t="str">
        <f>INDEX(综合考核!A:A,MATCH(L5,综合考核!A:A,0))</f>
        <v>曹锟</v>
      </c>
    </row>
    <row r="6" spans="1:15" ht="17.399999999999999">
      <c r="A6" s="445"/>
      <c r="B6" s="442"/>
      <c r="C6" s="442"/>
      <c r="D6">
        <f>INDEX(综合考核!A:A,MATCH(B7,综合考核!A:A,0))</f>
        <v>0</v>
      </c>
      <c r="E6" s="445"/>
      <c r="F6" s="442"/>
      <c r="G6" s="34"/>
      <c r="H6" s="442"/>
      <c r="I6">
        <f>INDEX(综合考核!A:A,MATCH(F6,综合考核!A:A,0))</f>
        <v>0</v>
      </c>
      <c r="K6" s="446" t="str">
        <f>INDEX('05基本'!B:B,MATCH(L6,'05基本'!C:C,0))</f>
        <v>保险理赔</v>
      </c>
      <c r="L6" s="306" t="s">
        <v>73</v>
      </c>
      <c r="M6" s="306"/>
      <c r="N6" t="str">
        <f>INDEX(综合考核!A:A,MATCH(L6,综合考核!A:A,0))</f>
        <v>曾浩</v>
      </c>
    </row>
    <row r="7" spans="1:15" ht="17.399999999999999">
      <c r="A7" s="445"/>
      <c r="B7" s="442"/>
      <c r="C7" s="442"/>
      <c r="D7">
        <f>INDEX(综合考核!A:A,MATCH(B8,综合考核!A:A,0))</f>
        <v>0</v>
      </c>
      <c r="E7" s="445"/>
      <c r="F7" s="442"/>
      <c r="G7" s="34"/>
      <c r="H7" s="442"/>
      <c r="I7">
        <f>INDEX(综合考核!A:A,MATCH(F7,综合考核!A:A,0))</f>
        <v>0</v>
      </c>
      <c r="K7" s="446" t="str">
        <f>INDEX('05基本'!B:B,MATCH(L7,'05基本'!C:C,0))</f>
        <v>机场售后-车间管理</v>
      </c>
      <c r="L7" s="306" t="s">
        <v>222</v>
      </c>
      <c r="M7" s="306"/>
      <c r="N7" t="str">
        <f>INDEX(综合考核!A:A,MATCH(L7,综合考核!A:A,0))</f>
        <v>陈浩</v>
      </c>
    </row>
    <row r="8" spans="1:15" ht="17.399999999999999">
      <c r="A8" s="445"/>
      <c r="B8" s="442"/>
      <c r="C8" s="442"/>
      <c r="E8" s="445"/>
      <c r="F8" s="442"/>
      <c r="G8" s="442"/>
      <c r="H8" s="442"/>
      <c r="I8">
        <f>INDEX(综合考核!A:A,MATCH(F8,综合考核!A:A,0))</f>
        <v>0</v>
      </c>
      <c r="K8" s="446" t="str">
        <f>INDEX('05基本'!B:B,MATCH(L8,'05基本'!C:C,0))</f>
        <v>客户关系部</v>
      </c>
      <c r="L8" s="306" t="s">
        <v>54</v>
      </c>
      <c r="M8" s="306"/>
      <c r="N8" t="str">
        <f>INDEX(综合考核!A:A,MATCH(L8,综合考核!A:A,0))</f>
        <v>陈琳琳</v>
      </c>
    </row>
    <row r="9" spans="1:15" ht="17.399999999999999">
      <c r="E9" s="445"/>
      <c r="F9" s="442"/>
      <c r="G9" s="442"/>
      <c r="H9" s="442"/>
      <c r="I9">
        <f>INDEX(综合考核!A:A,MATCH(F9,综合考核!A:A,0))</f>
        <v>0</v>
      </c>
      <c r="K9" s="446" t="str">
        <f>INDEX('05基本'!B:B,MATCH(L9,'05基本'!C:C,0))</f>
        <v>保险理赔</v>
      </c>
      <c r="L9" s="306" t="s">
        <v>67</v>
      </c>
      <c r="M9" s="306"/>
      <c r="N9" t="str">
        <f>INDEX(综合考核!A:A,MATCH(L9,综合考核!A:A,0))</f>
        <v>陈昱良</v>
      </c>
    </row>
    <row r="10" spans="1:15" ht="17.399999999999999">
      <c r="E10" s="445"/>
      <c r="F10" s="442"/>
      <c r="G10" s="442"/>
      <c r="H10" s="442"/>
      <c r="I10">
        <f>INDEX(综合考核!A:A,MATCH(F10,综合考核!A:A,0))</f>
        <v>0</v>
      </c>
      <c r="K10" s="446" t="str">
        <f>INDEX('05基本'!B:B,MATCH(L10,'05基本'!C:C,0))</f>
        <v>保险理赔</v>
      </c>
      <c r="L10" s="306" t="s">
        <v>63</v>
      </c>
      <c r="M10" s="306"/>
      <c r="N10" t="str">
        <f>INDEX(综合考核!A:A,MATCH(L10,综合考核!A:A,0))</f>
        <v>段宝安</v>
      </c>
    </row>
    <row r="11" spans="1:15" ht="17.399999999999999">
      <c r="E11" s="445"/>
      <c r="F11" s="442"/>
      <c r="G11" s="34"/>
      <c r="H11" s="442"/>
      <c r="I11">
        <f>INDEX(综合考核!A:A,MATCH(F11,综合考核!A:A,0))</f>
        <v>0</v>
      </c>
      <c r="K11" s="446" t="str">
        <f>INDEX('05基本'!B:B,MATCH(L11,'05基本'!C:C,0))</f>
        <v>保客营销部</v>
      </c>
      <c r="L11" s="306" t="s">
        <v>214</v>
      </c>
      <c r="M11" s="306"/>
      <c r="N11" t="str">
        <f>INDEX(综合考核!A:A,MATCH(L11,综合考核!A:A,0))</f>
        <v>苟艳</v>
      </c>
    </row>
    <row r="12" spans="1:15" ht="17.399999999999999">
      <c r="E12" s="445"/>
      <c r="F12" s="442"/>
      <c r="G12" s="442"/>
      <c r="H12" s="442"/>
      <c r="I12">
        <f>INDEX(综合考核!A:A,MATCH(F12,综合考核!A:A,0))</f>
        <v>0</v>
      </c>
      <c r="K12" s="446" t="str">
        <f>INDEX('05基本'!B:B,MATCH(L12,'05基本'!C:C,0))</f>
        <v>机场配件部</v>
      </c>
      <c r="L12" s="306" t="s">
        <v>200</v>
      </c>
      <c r="M12" s="306"/>
      <c r="N12" t="str">
        <f>INDEX(综合考核!A:A,MATCH(L12,综合考核!A:A,0))</f>
        <v>古镇吉</v>
      </c>
    </row>
    <row r="13" spans="1:15" ht="17.399999999999999">
      <c r="E13" s="445"/>
      <c r="F13" s="442"/>
      <c r="G13" s="442"/>
      <c r="H13" s="442"/>
      <c r="I13">
        <f>INDEX(综合考核!A:A,MATCH(F13,综合考核!A:A,0))</f>
        <v>0</v>
      </c>
      <c r="K13" s="446" t="str">
        <f>INDEX('05基本'!B:B,MATCH(L13,'05基本'!C:C,0))</f>
        <v>机场业务前台</v>
      </c>
      <c r="L13" s="306" t="s">
        <v>206</v>
      </c>
      <c r="M13" s="306"/>
      <c r="N13" t="str">
        <f>INDEX(综合考核!A:A,MATCH(L13,综合考核!A:A,0))</f>
        <v>何滔</v>
      </c>
    </row>
    <row r="14" spans="1:15" ht="17.399999999999999">
      <c r="E14" s="445"/>
      <c r="F14" s="442"/>
      <c r="G14" s="34"/>
      <c r="H14" s="442"/>
      <c r="K14" s="446" t="str">
        <f>INDEX('05基本'!B:B,MATCH(L14,'05基本'!C:C,0))</f>
        <v>业务前台</v>
      </c>
      <c r="L14" s="306" t="s">
        <v>66</v>
      </c>
      <c r="M14" s="306"/>
      <c r="N14" t="str">
        <f>INDEX(综合考核!A:A,MATCH(L14,综合考核!A:A,0))</f>
        <v>黄小炼</v>
      </c>
    </row>
    <row r="15" spans="1:15" ht="17.399999999999999">
      <c r="E15" s="447"/>
      <c r="F15" s="442"/>
      <c r="G15" s="34"/>
      <c r="H15" s="34"/>
      <c r="K15" s="446" t="str">
        <f>INDEX('05基本'!B:B,MATCH(L15,'05基本'!C:C,0))</f>
        <v>客户关系部</v>
      </c>
      <c r="L15" s="306" t="s">
        <v>57</v>
      </c>
      <c r="M15" s="306"/>
      <c r="N15" t="str">
        <f>INDEX(综合考核!A:A,MATCH(L15,综合考核!A:A,0))</f>
        <v>黄雪梅</v>
      </c>
    </row>
    <row r="16" spans="1:15" ht="17.399999999999999">
      <c r="E16" s="445"/>
      <c r="F16" s="442"/>
      <c r="G16" s="34"/>
      <c r="H16" s="34"/>
      <c r="K16" s="446" t="str">
        <f>INDEX('05基本'!B:B,MATCH(L16,'05基本'!C:C,0))</f>
        <v>保险理赔</v>
      </c>
      <c r="L16" s="306" t="s">
        <v>71</v>
      </c>
      <c r="M16" s="306"/>
      <c r="N16" t="str">
        <f>INDEX(综合考核!A:A,MATCH(L16,综合考核!A:A,0))</f>
        <v>金亮亮</v>
      </c>
    </row>
    <row r="17" spans="5:14" ht="17.399999999999999">
      <c r="E17" s="445"/>
      <c r="F17" s="442"/>
      <c r="G17" s="34"/>
      <c r="H17" s="34"/>
      <c r="K17" s="446" t="str">
        <f>INDEX('05基本'!B:B,MATCH(L17,'05基本'!C:C,0))</f>
        <v>客户关系部</v>
      </c>
      <c r="L17" s="306" t="s">
        <v>219</v>
      </c>
      <c r="M17" s="306"/>
      <c r="N17" t="str">
        <f>INDEX(综合考核!A:A,MATCH(L17,综合考核!A:A,0))</f>
        <v>况婷婷</v>
      </c>
    </row>
    <row r="18" spans="5:14" ht="17.399999999999999">
      <c r="E18" s="445"/>
      <c r="F18" s="442"/>
      <c r="G18" s="34"/>
      <c r="H18" s="34"/>
      <c r="K18" s="446" t="str">
        <f>INDEX('05基本'!B:B,MATCH(L18,'05基本'!C:C,0))</f>
        <v>客户关系部</v>
      </c>
      <c r="L18" s="306" t="s">
        <v>58</v>
      </c>
      <c r="M18" s="306"/>
      <c r="N18" t="str">
        <f>INDEX(综合考核!A:A,MATCH(L18,综合考核!A:A,0))</f>
        <v>李彩琼</v>
      </c>
    </row>
    <row r="19" spans="5:14" ht="17.399999999999999">
      <c r="E19" s="34"/>
      <c r="F19" s="442"/>
      <c r="G19" s="34"/>
      <c r="H19" s="34"/>
      <c r="K19" s="446" t="e">
        <f>INDEX('05基本'!B:B,MATCH(L19,'05基本'!C:C,0))</f>
        <v>#N/A</v>
      </c>
      <c r="L19" s="306" t="s">
        <v>4010</v>
      </c>
      <c r="M19" s="306"/>
      <c r="N19" t="e">
        <f>INDEX(综合考核!A:A,MATCH(L19,综合考核!A:A,0))</f>
        <v>#N/A</v>
      </c>
    </row>
    <row r="20" spans="5:14" ht="17.399999999999999">
      <c r="E20" s="448"/>
      <c r="F20" s="442"/>
      <c r="G20" s="34"/>
      <c r="H20" s="34"/>
      <c r="K20" s="446" t="str">
        <f>INDEX('05基本'!B:B,MATCH(L20,'05基本'!C:C,0))</f>
        <v>机场业务前台</v>
      </c>
      <c r="L20" s="306" t="s">
        <v>207</v>
      </c>
      <c r="M20" s="306"/>
      <c r="N20" t="str">
        <f>INDEX(综合考核!A:A,MATCH(L20,综合考核!A:A,0))</f>
        <v>李东梅</v>
      </c>
    </row>
    <row r="21" spans="5:14" ht="17.399999999999999">
      <c r="E21" s="34"/>
      <c r="F21" s="442"/>
      <c r="G21" s="34"/>
      <c r="H21" s="34"/>
      <c r="K21" s="446" t="str">
        <f>INDEX('05基本'!B:B,MATCH(L21,'05基本'!C:C,0))</f>
        <v>业务前台</v>
      </c>
      <c r="L21" s="306" t="s">
        <v>74</v>
      </c>
      <c r="M21" s="306"/>
      <c r="N21" t="str">
        <f>INDEX(综合考核!A:A,MATCH(L21,综合考核!A:A,0))</f>
        <v>刘强</v>
      </c>
    </row>
    <row r="22" spans="5:14" ht="17.399999999999999">
      <c r="E22" s="34"/>
      <c r="F22" s="442"/>
      <c r="G22" s="34"/>
      <c r="H22" s="34"/>
      <c r="K22" s="446" t="str">
        <f>INDEX('05基本'!B:B,MATCH(L22,'05基本'!C:C,0))</f>
        <v>保客营销部</v>
      </c>
      <c r="L22" s="306" t="s">
        <v>87</v>
      </c>
      <c r="M22" s="306"/>
      <c r="N22" t="str">
        <f>INDEX(综合考核!A:A,MATCH(L22,综合考核!A:A,0))</f>
        <v>罗文琦</v>
      </c>
    </row>
    <row r="23" spans="5:14" ht="17.399999999999999">
      <c r="E23" s="34"/>
      <c r="F23" s="442"/>
      <c r="G23" s="34"/>
      <c r="H23" s="34"/>
      <c r="K23" s="446" t="str">
        <f>INDEX('05基本'!B:B,MATCH(L23,'05基本'!C:C,0))</f>
        <v>管理部</v>
      </c>
      <c r="L23" s="306" t="s">
        <v>196</v>
      </c>
      <c r="M23" s="306"/>
      <c r="N23" t="str">
        <f>INDEX(综合考核!A:A,MATCH(L23,综合考核!A:A,0))</f>
        <v>罗筱凡</v>
      </c>
    </row>
    <row r="24" spans="5:14" ht="17.399999999999999">
      <c r="E24" s="34"/>
      <c r="F24" s="442"/>
      <c r="G24" s="34"/>
      <c r="H24" s="34"/>
      <c r="K24" s="446" t="str">
        <f>INDEX('05基本'!B:B,MATCH(L24,'05基本'!C:C,0))</f>
        <v>业务前台</v>
      </c>
      <c r="L24" s="306" t="s">
        <v>62</v>
      </c>
      <c r="M24" s="306"/>
      <c r="N24" t="str">
        <f>INDEX(综合考核!A:A,MATCH(L24,综合考核!A:A,0))</f>
        <v>罗义瑕</v>
      </c>
    </row>
    <row r="25" spans="5:14" ht="17.399999999999999">
      <c r="E25" s="34"/>
      <c r="F25" s="442"/>
      <c r="G25" s="34"/>
      <c r="H25" s="34">
        <f>SUM(H5:H24)</f>
        <v>300</v>
      </c>
      <c r="K25" s="446" t="str">
        <f>INDEX('05基本'!B:B,MATCH(L25,'05基本'!C:C,0))</f>
        <v>客户关系部</v>
      </c>
      <c r="L25" s="306" t="s">
        <v>55</v>
      </c>
      <c r="M25" s="306"/>
      <c r="N25" t="str">
        <f>INDEX(综合考核!A:A,MATCH(L25,综合考核!A:A,0))</f>
        <v>邱昭丽</v>
      </c>
    </row>
    <row r="26" spans="5:14">
      <c r="K26" s="446" t="str">
        <f>INDEX('05基本'!B:B,MATCH(L26,'05基本'!C:C,0))</f>
        <v>业务前台</v>
      </c>
      <c r="L26" s="306" t="s">
        <v>61</v>
      </c>
      <c r="M26" s="306"/>
      <c r="N26" t="str">
        <f>INDEX(综合考核!A:A,MATCH(L26,综合考核!A:A,0))</f>
        <v>舒童强</v>
      </c>
    </row>
    <row r="27" spans="5:14">
      <c r="K27" s="446" t="str">
        <f>INDEX('05基本'!B:B,MATCH(L27,'05基本'!C:C,0))</f>
        <v>保客营销部</v>
      </c>
      <c r="L27" s="306" t="s">
        <v>215</v>
      </c>
      <c r="M27" s="306"/>
      <c r="N27" t="str">
        <f>INDEX(综合考核!A:A,MATCH(L27,综合考核!A:A,0))</f>
        <v>孙苗</v>
      </c>
    </row>
    <row r="28" spans="5:14">
      <c r="K28" s="446" t="str">
        <f>INDEX('05基本'!B:B,MATCH(L28,'05基本'!C:C,0))</f>
        <v>保客营销部</v>
      </c>
      <c r="L28" s="306" t="s">
        <v>78</v>
      </c>
      <c r="M28" s="306"/>
      <c r="N28" t="str">
        <f>INDEX(综合考核!A:A,MATCH(L28,综合考核!A:A,0))</f>
        <v>唐芳兰</v>
      </c>
    </row>
    <row r="29" spans="5:14">
      <c r="K29" s="446" t="str">
        <f>INDEX('05基本'!B:B,MATCH(L29,'05基本'!C:C,0))</f>
        <v>客户关系部</v>
      </c>
      <c r="L29" s="306" t="s">
        <v>53</v>
      </c>
      <c r="M29" s="306"/>
      <c r="N29" t="str">
        <f>INDEX(综合考核!A:A,MATCH(L29,综合考核!A:A,0))</f>
        <v>唐梅</v>
      </c>
    </row>
    <row r="30" spans="5:14">
      <c r="K30" s="446" t="str">
        <f>INDEX('05基本'!B:B,MATCH(L30,'05基本'!C:C,0))</f>
        <v>油漆组</v>
      </c>
      <c r="L30" s="306" t="s">
        <v>162</v>
      </c>
      <c r="M30" s="306"/>
      <c r="N30" t="str">
        <f>INDEX(综合考核!A:A,MATCH(L30,综合考核!A:A,0))</f>
        <v>王成</v>
      </c>
    </row>
    <row r="31" spans="5:14">
      <c r="K31" s="446" t="str">
        <f>INDEX('05基本'!B:B,MATCH(L31,'05基本'!C:C,0))</f>
        <v>机十二</v>
      </c>
      <c r="L31" s="306" t="s">
        <v>136</v>
      </c>
      <c r="M31" s="306"/>
      <c r="N31" t="str">
        <f>INDEX(综合考核!A:A,MATCH(L31,综合考核!A:A,0))</f>
        <v>王鹏</v>
      </c>
    </row>
    <row r="32" spans="5:14">
      <c r="K32" s="446" t="str">
        <f>INDEX('05基本'!B:B,MATCH(L32,'05基本'!C:C,0))</f>
        <v>业务前台</v>
      </c>
      <c r="L32" s="306" t="s">
        <v>69</v>
      </c>
      <c r="M32" s="306"/>
      <c r="N32" t="str">
        <f>INDEX(综合考核!A:A,MATCH(L32,综合考核!A:A,0))</f>
        <v>王毅</v>
      </c>
    </row>
    <row r="33" spans="11:14">
      <c r="K33" s="446" t="str">
        <f>INDEX('05基本'!B:B,MATCH(L33,'05基本'!C:C,0))</f>
        <v>客户关系部</v>
      </c>
      <c r="L33" s="306" t="s">
        <v>59</v>
      </c>
      <c r="M33" s="306"/>
      <c r="N33" t="str">
        <f>INDEX(综合考核!A:A,MATCH(L33,综合考核!A:A,0))</f>
        <v>向阳</v>
      </c>
    </row>
    <row r="34" spans="11:14">
      <c r="K34" s="446" t="str">
        <f>INDEX('05基本'!B:B,MATCH(L34,'05基本'!C:C,0))</f>
        <v>客户关系部</v>
      </c>
      <c r="L34" s="306" t="s">
        <v>220</v>
      </c>
      <c r="M34" s="306"/>
      <c r="N34" t="str">
        <f>INDEX(综合考核!A:A,MATCH(L34,综合考核!A:A,0))</f>
        <v>谢婷</v>
      </c>
    </row>
    <row r="35" spans="11:14">
      <c r="K35" s="446" t="str">
        <f>INDEX('05基本'!B:B,MATCH(L35,'05基本'!C:C,0))</f>
        <v>业务前台</v>
      </c>
      <c r="L35" s="306" t="s">
        <v>38</v>
      </c>
      <c r="M35" s="306"/>
      <c r="N35" t="str">
        <f>INDEX(综合考核!A:A,MATCH(L35,综合考核!A:A,0))</f>
        <v>谢尧江</v>
      </c>
    </row>
    <row r="36" spans="11:14">
      <c r="K36" s="446" t="str">
        <f>INDEX('05基本'!B:B,MATCH(L36,'05基本'!C:C,0))</f>
        <v>机场业务前台</v>
      </c>
      <c r="L36" s="306" t="s">
        <v>203</v>
      </c>
      <c r="M36" s="306"/>
      <c r="N36" t="str">
        <f>INDEX(综合考核!A:A,MATCH(L36,综合考核!A:A,0))</f>
        <v>徐源</v>
      </c>
    </row>
    <row r="37" spans="11:14">
      <c r="K37" s="446" t="str">
        <f>INDEX('05基本'!B:B,MATCH(L37,'05基本'!C:C,0))</f>
        <v>业务前台</v>
      </c>
      <c r="L37" s="306" t="s">
        <v>64</v>
      </c>
      <c r="M37" s="306"/>
      <c r="N37" t="str">
        <f>INDEX(综合考核!A:A,MATCH(L37,综合考核!A:A,0))</f>
        <v>张建</v>
      </c>
    </row>
    <row r="38" spans="11:14">
      <c r="K38" s="446" t="str">
        <f>INDEX('05基本'!B:B,MATCH(L38,'05基本'!C:C,0))</f>
        <v>业务前台</v>
      </c>
      <c r="L38" s="306" t="s">
        <v>68</v>
      </c>
      <c r="M38" s="306"/>
      <c r="N38" t="str">
        <f>INDEX(综合考核!A:A,MATCH(L38,综合考核!A:A,0))</f>
        <v>张林</v>
      </c>
    </row>
    <row r="39" spans="11:14">
      <c r="K39" s="446" t="str">
        <f>INDEX('05基本'!B:B,MATCH(L39,'05基本'!C:C,0))</f>
        <v>保客营销部</v>
      </c>
      <c r="L39" s="306" t="s">
        <v>80</v>
      </c>
      <c r="M39" s="306"/>
      <c r="N39" t="str">
        <f>INDEX(综合考核!A:A,MATCH(L39,综合考核!A:A,0))</f>
        <v>张琴</v>
      </c>
    </row>
    <row r="40" spans="11:14">
      <c r="K40" s="446" t="str">
        <f>INDEX('05基本'!B:B,MATCH(L40,'05基本'!C:C,0))</f>
        <v>保客营销部</v>
      </c>
      <c r="L40" s="306" t="s">
        <v>79</v>
      </c>
      <c r="M40" s="306"/>
      <c r="N40" t="str">
        <f>INDEX(综合考核!A:A,MATCH(L40,综合考核!A:A,0))</f>
        <v>赵水仙</v>
      </c>
    </row>
    <row r="41" spans="11:14">
      <c r="K41" s="446" t="e">
        <f>INDEX('05基本'!B:B,MATCH(L41,'05基本'!C:C,0))</f>
        <v>#N/A</v>
      </c>
      <c r="L41" s="306" t="s">
        <v>88</v>
      </c>
      <c r="M41" s="306"/>
      <c r="N41" t="str">
        <f>INDEX(综合考核!A:A,MATCH(L41,综合考核!A:A,0))</f>
        <v>周凤英</v>
      </c>
    </row>
    <row r="42" spans="11:14">
      <c r="K42" s="446" t="e">
        <f>INDEX('05基本'!B:B,MATCH(L42,'05基本'!C:C,0))</f>
        <v>#N/A</v>
      </c>
      <c r="L42" s="306" t="s">
        <v>1009</v>
      </c>
      <c r="M42" s="306"/>
      <c r="N42" t="e">
        <f>INDEX(综合考核!A:A,MATCH(L42,综合考核!A:A,0))</f>
        <v>#N/A</v>
      </c>
    </row>
    <row r="43" spans="11:14">
      <c r="K43" s="446" t="str">
        <f>INDEX('05基本'!B:B,MATCH(L43,'05基本'!C:C,0))</f>
        <v>保险理赔</v>
      </c>
      <c r="L43" s="306" t="s">
        <v>211</v>
      </c>
      <c r="M43" s="306"/>
      <c r="N43" t="str">
        <f>INDEX(综合考核!A:A,MATCH(L43,综合考核!A:A,0))</f>
        <v>周兴强</v>
      </c>
    </row>
    <row r="44" spans="11:14">
      <c r="K44" s="446"/>
      <c r="L44" s="306"/>
      <c r="M44" s="306"/>
      <c r="N44">
        <f>INDEX(综合考核!A:A,MATCH(L44,综合考核!A:A,0))</f>
        <v>0</v>
      </c>
    </row>
    <row r="45" spans="11:14">
      <c r="K45" s="446"/>
      <c r="L45" s="306"/>
      <c r="M45" s="306"/>
      <c r="N45">
        <f>INDEX(综合考核!A:A,MATCH(L45,综合考核!A:A,0))</f>
        <v>0</v>
      </c>
    </row>
    <row r="46" spans="11:14">
      <c r="K46" s="446"/>
      <c r="L46" s="306"/>
      <c r="M46" s="306"/>
      <c r="N46">
        <f>INDEX(综合考核!A:A,MATCH(L46,综合考核!A:A,0))</f>
        <v>0</v>
      </c>
    </row>
    <row r="47" spans="11:14">
      <c r="K47" s="446"/>
      <c r="L47" s="306"/>
      <c r="M47" s="306"/>
      <c r="N47">
        <f>INDEX(综合考核!A:A,MATCH(L47,综合考核!A:A,0))</f>
        <v>0</v>
      </c>
    </row>
    <row r="48" spans="11:14">
      <c r="K48" s="446"/>
      <c r="L48" s="306"/>
      <c r="M48" s="306"/>
      <c r="N48">
        <f>INDEX(综合考核!A:A,MATCH(L48,综合考核!A:A,0))</f>
        <v>0</v>
      </c>
    </row>
    <row r="49" spans="11:14">
      <c r="K49" s="446"/>
      <c r="L49" s="306"/>
      <c r="M49" s="306"/>
      <c r="N49">
        <f>INDEX(综合考核!A:A,MATCH(L49,综合考核!A:A,0))</f>
        <v>0</v>
      </c>
    </row>
    <row r="50" spans="11:14">
      <c r="K50" s="446"/>
      <c r="L50" s="306"/>
      <c r="M50" s="306"/>
      <c r="N50">
        <f>INDEX(综合考核!A:A,MATCH(L50,综合考核!A:A,0))</f>
        <v>0</v>
      </c>
    </row>
    <row r="51" spans="11:14">
      <c r="K51" s="445"/>
      <c r="L51" s="306"/>
      <c r="M51" s="306"/>
      <c r="N51">
        <f>INDEX(综合考核!A:A,MATCH(L51,综合考核!A:A,0))</f>
        <v>0</v>
      </c>
    </row>
    <row r="52" spans="11:14">
      <c r="K52" s="445"/>
      <c r="L52" s="306"/>
      <c r="M52" s="306"/>
      <c r="N52">
        <f>INDEX(综合考核!A:A,MATCH(L52,综合考核!A:A,0))</f>
        <v>0</v>
      </c>
    </row>
    <row r="53" spans="11:14">
      <c r="K53" s="445"/>
      <c r="L53" s="306"/>
      <c r="M53" s="306"/>
      <c r="N53">
        <f>INDEX(综合考核!A:A,MATCH(L53,综合考核!A:A,0))</f>
        <v>0</v>
      </c>
    </row>
    <row r="54" spans="11:14">
      <c r="K54" s="445"/>
      <c r="L54" s="306"/>
      <c r="M54" s="306"/>
      <c r="N54">
        <f>INDEX(综合考核!A:A,MATCH(L54,综合考核!A:A,0))</f>
        <v>0</v>
      </c>
    </row>
    <row r="55" spans="11:14">
      <c r="K55" s="445"/>
      <c r="L55" s="306"/>
      <c r="M55" s="306"/>
      <c r="N55">
        <f>INDEX(综合考核!A:A,MATCH(L55,综合考核!A:A,0))</f>
        <v>0</v>
      </c>
    </row>
    <row r="56" spans="11:14">
      <c r="K56" s="445"/>
      <c r="L56" s="306"/>
      <c r="M56" s="306"/>
      <c r="N56">
        <f>INDEX(综合考核!A:A,MATCH(L56,综合考核!A:A,0))</f>
        <v>0</v>
      </c>
    </row>
    <row r="57" spans="11:14">
      <c r="K57" s="445"/>
      <c r="L57" s="306"/>
      <c r="M57" s="306"/>
      <c r="N57">
        <f>INDEX(综合考核!A:A,MATCH(L57,综合考核!A:A,0))</f>
        <v>0</v>
      </c>
    </row>
    <row r="58" spans="11:14">
      <c r="K58" s="445"/>
      <c r="L58" s="306"/>
      <c r="M58" s="306"/>
      <c r="N58">
        <f>INDEX(综合考核!A:A,MATCH(L58,综合考核!A:A,0))</f>
        <v>0</v>
      </c>
    </row>
    <row r="59" spans="11:14">
      <c r="K59" s="445"/>
      <c r="L59" s="306"/>
      <c r="M59" s="306"/>
      <c r="N59">
        <f>INDEX(综合考核!A:A,MATCH(L59,综合考核!A:A,0))</f>
        <v>0</v>
      </c>
    </row>
    <row r="60" spans="11:14">
      <c r="K60" s="445"/>
      <c r="L60" s="306"/>
      <c r="M60" s="306"/>
      <c r="N60">
        <f>INDEX(综合考核!A:A,MATCH(L60,综合考核!A:A,0))</f>
        <v>0</v>
      </c>
    </row>
    <row r="61" spans="11:14">
      <c r="K61" s="445"/>
      <c r="L61" s="306"/>
      <c r="M61" s="306"/>
      <c r="N61">
        <f>INDEX(综合考核!A:A,MATCH(L61,综合考核!A:A,0))</f>
        <v>0</v>
      </c>
    </row>
    <row r="62" spans="11:14">
      <c r="K62" s="445"/>
      <c r="L62" s="306"/>
      <c r="M62" s="306"/>
      <c r="N62">
        <f>INDEX(综合考核!A:A,MATCH(L62,综合考核!A:A,0))</f>
        <v>0</v>
      </c>
    </row>
    <row r="63" spans="11:14">
      <c r="K63" s="445"/>
      <c r="L63" s="306"/>
      <c r="M63" s="306"/>
      <c r="N63">
        <f>INDEX(综合考核!A:A,MATCH(L63,综合考核!A:A,0))</f>
        <v>0</v>
      </c>
    </row>
    <row r="64" spans="11:14">
      <c r="K64" s="445"/>
      <c r="L64" s="306"/>
      <c r="M64" s="306"/>
      <c r="N64">
        <f>INDEX(综合考核!A:A,MATCH(L64,综合考核!A:A,0))</f>
        <v>0</v>
      </c>
    </row>
    <row r="65" spans="11:14">
      <c r="K65" s="445"/>
      <c r="L65" s="306"/>
      <c r="M65" s="306"/>
      <c r="N65">
        <f>INDEX(综合考核!A:A,MATCH(L65,综合考核!A:A,0))</f>
        <v>0</v>
      </c>
    </row>
    <row r="66" spans="11:14">
      <c r="K66" s="445"/>
      <c r="L66" s="306"/>
      <c r="M66" s="306"/>
      <c r="N66">
        <f>INDEX(综合考核!A:A,MATCH(L66,综合考核!A:A,0))</f>
        <v>0</v>
      </c>
    </row>
    <row r="67" spans="11:14">
      <c r="K67" s="445"/>
      <c r="L67" s="306"/>
      <c r="M67" s="306"/>
      <c r="N67">
        <f>INDEX(综合考核!A:A,MATCH(L67,综合考核!A:A,0))</f>
        <v>0</v>
      </c>
    </row>
    <row r="68" spans="11:14">
      <c r="K68" s="445"/>
      <c r="L68" s="306"/>
      <c r="M68" s="306"/>
      <c r="N68">
        <f>INDEX(综合考核!A:A,MATCH(L68,综合考核!A:A,0))</f>
        <v>0</v>
      </c>
    </row>
    <row r="69" spans="11:14">
      <c r="K69" s="445"/>
      <c r="L69" s="306"/>
      <c r="M69" s="306"/>
      <c r="N69">
        <f>INDEX(综合考核!A:A,MATCH(L69,综合考核!A:A,0))</f>
        <v>0</v>
      </c>
    </row>
    <row r="70" spans="11:14">
      <c r="K70" s="445"/>
      <c r="L70" s="306"/>
      <c r="M70" s="306"/>
      <c r="N70">
        <f>INDEX(综合考核!A:A,MATCH(L70,综合考核!A:A,0))</f>
        <v>0</v>
      </c>
    </row>
    <row r="71" spans="11:14">
      <c r="K71" s="445"/>
      <c r="L71" s="306"/>
      <c r="M71" s="306"/>
      <c r="N71">
        <f>INDEX(综合考核!A:A,MATCH(L71,综合考核!A:A,0))</f>
        <v>0</v>
      </c>
    </row>
    <row r="72" spans="11:14">
      <c r="K72" s="445"/>
      <c r="L72" s="306"/>
      <c r="M72" s="306"/>
      <c r="N72">
        <f>INDEX(综合考核!A:A,MATCH(L72,综合考核!A:A,0))</f>
        <v>0</v>
      </c>
    </row>
  </sheetData>
  <autoFilter ref="K3:N72" xr:uid="{00000000-0009-0000-0000-000011000000}"/>
  <mergeCells count="1">
    <mergeCell ref="K3:M3"/>
  </mergeCells>
  <phoneticPr fontId="5" type="noConversion"/>
  <conditionalFormatting sqref="B3">
    <cfRule type="duplicateValues" dxfId="91" priority="8"/>
  </conditionalFormatting>
  <conditionalFormatting sqref="B4">
    <cfRule type="duplicateValues" dxfId="90" priority="3"/>
    <cfRule type="duplicateValues" dxfId="89" priority="7"/>
  </conditionalFormatting>
  <conditionalFormatting sqref="C4">
    <cfRule type="duplicateValues" dxfId="88" priority="9"/>
    <cfRule type="duplicateValues" dxfId="87" priority="10"/>
  </conditionalFormatting>
  <dataValidations count="1">
    <dataValidation type="list" allowBlank="1" showInputMessage="1" showErrorMessage="1" sqref="B5:C5" xr:uid="{00000000-0002-0000-1100-000000000000}">
      <formula1>INDIRECT(A5)</formula1>
    </dataValidation>
  </dataValidations>
  <pageMargins left="0.7" right="0.7" top="0.75" bottom="0.75" header="0.3" footer="0.3"/>
  <pageSetup paperSize="9" orientation="portrait"/>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BF219"/>
  <sheetViews>
    <sheetView workbookViewId="0">
      <pane xSplit="3" ySplit="3" topLeftCell="D4" activePane="bottomRight" state="frozen"/>
      <selection pane="topRight"/>
      <selection pane="bottomLeft"/>
      <selection pane="bottomRight" activeCell="J90" sqref="J90"/>
    </sheetView>
  </sheetViews>
  <sheetFormatPr defaultColWidth="9" defaultRowHeight="14.4"/>
  <cols>
    <col min="1" max="1" width="16.33203125" style="232" customWidth="1"/>
    <col min="2" max="2" width="8.88671875" style="351" customWidth="1"/>
    <col min="3" max="3" width="8.44140625" style="351" customWidth="1"/>
    <col min="4" max="4" width="11.109375" style="351" customWidth="1"/>
    <col min="5" max="5" width="13.21875" style="232" customWidth="1"/>
    <col min="6" max="6" width="9.88671875" style="352" customWidth="1"/>
    <col min="7" max="7" width="14.88671875" style="353" customWidth="1"/>
    <col min="8" max="8" width="12.77734375" style="354" customWidth="1"/>
    <col min="9" max="9" width="10.88671875" style="354" customWidth="1"/>
    <col min="10" max="10" width="9.77734375" style="352" customWidth="1"/>
    <col min="11" max="11" width="14.77734375" style="353" customWidth="1"/>
    <col min="12" max="12" width="7.88671875" style="353" customWidth="1"/>
    <col min="13" max="13" width="12.21875" style="232" customWidth="1"/>
    <col min="14" max="14" width="11.88671875" style="233" customWidth="1"/>
    <col min="15" max="15" width="6.88671875" style="42" customWidth="1"/>
    <col min="16" max="16" width="13.77734375" style="42"/>
    <col min="17" max="17" width="13.44140625" style="42" customWidth="1"/>
    <col min="18" max="18" width="10.44140625" style="42" customWidth="1"/>
    <col min="19" max="19" width="10.21875" style="42" customWidth="1"/>
    <col min="20" max="20" width="10.6640625" style="42" customWidth="1"/>
    <col min="21" max="21" width="12.33203125" style="232" customWidth="1"/>
    <col min="22" max="22" width="11.44140625" style="42" customWidth="1"/>
    <col min="23" max="23" width="13.88671875" style="42" customWidth="1"/>
    <col min="24" max="24" width="13.77734375" style="42" customWidth="1"/>
    <col min="25" max="25" width="11.109375" style="42" customWidth="1"/>
    <col min="26" max="26" width="9.44140625" style="42" customWidth="1"/>
    <col min="27" max="27" width="17.88671875" style="42" customWidth="1"/>
    <col min="28" max="28" width="7.88671875" style="42" customWidth="1"/>
    <col min="29" max="29" width="9" style="42"/>
    <col min="30" max="30" width="7" style="42" customWidth="1"/>
    <col min="31" max="34" width="13" style="42" customWidth="1"/>
    <col min="35" max="35" width="20.109375" style="42" customWidth="1"/>
    <col min="36" max="40" width="9" style="42"/>
    <col min="41" max="41" width="8.88671875" style="42" customWidth="1"/>
    <col min="42" max="42" width="9" style="42"/>
    <col min="43" max="43" width="11.21875" style="42" customWidth="1"/>
    <col min="44" max="44" width="13.33203125" style="42" customWidth="1"/>
    <col min="45" max="45" width="16" style="42" customWidth="1"/>
    <col min="46" max="46" width="8.44140625" style="42" customWidth="1"/>
    <col min="47" max="47" width="6.21875" style="42" customWidth="1"/>
    <col min="48" max="48" width="6.33203125" style="42" customWidth="1"/>
    <col min="49" max="49" width="10.33203125" style="42" customWidth="1"/>
    <col min="50" max="50" width="11.44140625" style="232" customWidth="1"/>
    <col min="51" max="51" width="26.88671875" style="351" customWidth="1"/>
    <col min="52" max="52" width="11.6640625" style="351" customWidth="1"/>
    <col min="53" max="53" width="11.77734375" style="351" customWidth="1"/>
    <col min="54" max="54" width="14.109375" style="351" customWidth="1"/>
    <col min="55" max="55" width="11.6640625" style="351" customWidth="1"/>
    <col min="56" max="56" width="12.77734375" style="351" customWidth="1"/>
    <col min="57" max="57" width="9" style="232"/>
    <col min="58" max="58" width="11.77734375" style="42" customWidth="1"/>
    <col min="59" max="16384" width="9" style="42"/>
  </cols>
  <sheetData>
    <row r="1" spans="1:57" ht="23.25" customHeight="1">
      <c r="A1" s="2049" t="s">
        <v>4447</v>
      </c>
      <c r="B1" s="2050"/>
      <c r="C1" s="2050"/>
      <c r="D1" s="2050"/>
      <c r="E1" s="2050"/>
      <c r="F1" s="2050"/>
      <c r="G1" s="2050"/>
      <c r="H1" s="2050"/>
      <c r="I1" s="2050"/>
      <c r="J1" s="2050"/>
      <c r="K1" s="2050"/>
      <c r="L1" s="2050"/>
      <c r="M1" s="2050"/>
      <c r="N1" s="2050"/>
      <c r="O1" s="2050"/>
      <c r="AV1" s="42">
        <f>SUM(AV23,AV42)</f>
        <v>0</v>
      </c>
    </row>
    <row r="2" spans="1:57" ht="19.5" customHeight="1">
      <c r="A2" s="2061" t="s">
        <v>33</v>
      </c>
      <c r="B2" s="2051" t="s">
        <v>4448</v>
      </c>
      <c r="C2" s="2051"/>
      <c r="D2" s="355"/>
      <c r="E2" s="356"/>
      <c r="F2" s="2052" t="s">
        <v>422</v>
      </c>
      <c r="G2" s="2053"/>
      <c r="H2" s="2053"/>
      <c r="I2" s="2053"/>
      <c r="J2" s="2063" t="s">
        <v>4449</v>
      </c>
      <c r="K2" s="2053" t="s">
        <v>4450</v>
      </c>
      <c r="L2" s="2053" t="s">
        <v>4451</v>
      </c>
      <c r="M2" s="2063" t="s">
        <v>4452</v>
      </c>
      <c r="N2" s="2066" t="s">
        <v>4453</v>
      </c>
      <c r="O2" s="2067" t="s">
        <v>9</v>
      </c>
      <c r="R2" s="2054" t="s">
        <v>4454</v>
      </c>
      <c r="S2" s="2055"/>
      <c r="T2" s="2055"/>
      <c r="U2" s="2055"/>
      <c r="V2" s="2055"/>
      <c r="W2" s="2055"/>
      <c r="X2" s="2055"/>
      <c r="Y2" s="2055"/>
      <c r="Z2" s="2055"/>
      <c r="AA2" s="2055"/>
      <c r="AB2" s="2055"/>
      <c r="AX2" s="2072" t="s">
        <v>4455</v>
      </c>
      <c r="AY2" s="2071"/>
      <c r="AZ2" s="2071"/>
      <c r="BA2" s="2071"/>
      <c r="BB2" s="2071"/>
      <c r="BC2" s="2071"/>
      <c r="BD2" s="2071"/>
      <c r="BE2" s="2071"/>
    </row>
    <row r="3" spans="1:57" ht="21.75" customHeight="1">
      <c r="A3" s="2062"/>
      <c r="B3" s="358" t="s">
        <v>4456</v>
      </c>
      <c r="C3" s="358" t="s">
        <v>4457</v>
      </c>
      <c r="D3" s="358" t="s">
        <v>4458</v>
      </c>
      <c r="E3" s="359" t="s">
        <v>4459</v>
      </c>
      <c r="F3" s="360" t="s">
        <v>4460</v>
      </c>
      <c r="G3" s="359" t="s">
        <v>4461</v>
      </c>
      <c r="H3" s="361" t="s">
        <v>4462</v>
      </c>
      <c r="I3" s="360" t="s">
        <v>9</v>
      </c>
      <c r="J3" s="2064"/>
      <c r="K3" s="2065"/>
      <c r="L3" s="2065"/>
      <c r="M3" s="2064"/>
      <c r="N3" s="2064"/>
      <c r="O3" s="2068"/>
      <c r="R3" s="362" t="s">
        <v>315</v>
      </c>
      <c r="S3" s="363" t="s">
        <v>33</v>
      </c>
      <c r="T3" s="364" t="s">
        <v>4463</v>
      </c>
      <c r="U3" s="365" t="s">
        <v>4464</v>
      </c>
      <c r="V3" s="364" t="s">
        <v>4465</v>
      </c>
      <c r="W3" s="364" t="s">
        <v>4466</v>
      </c>
      <c r="X3" s="366" t="s">
        <v>4467</v>
      </c>
      <c r="Y3" s="364" t="s">
        <v>998</v>
      </c>
      <c r="Z3" s="367" t="s">
        <v>422</v>
      </c>
      <c r="AA3" s="367" t="s">
        <v>4468</v>
      </c>
      <c r="AB3" s="368" t="s">
        <v>423</v>
      </c>
      <c r="AX3" s="2071"/>
      <c r="AY3" s="2071"/>
      <c r="AZ3" s="2071"/>
      <c r="BA3" s="2071"/>
      <c r="BB3" s="2071"/>
      <c r="BC3" s="2071"/>
      <c r="BD3" s="2071"/>
      <c r="BE3" s="2071"/>
    </row>
    <row r="4" spans="1:57" ht="26.1" customHeight="1">
      <c r="A4" s="357" t="str">
        <f>'05月提成-武侯售后'!C5</f>
        <v>曹磊</v>
      </c>
      <c r="B4" s="358">
        <f>SUMIF('6月配件'!K:K,综合考核!A4,'6月配件'!L:L)</f>
        <v>0</v>
      </c>
      <c r="C4" s="358">
        <f>SUMIF('6月配件'!K:K,A4,'6月配件'!M:M)</f>
        <v>0</v>
      </c>
      <c r="D4" s="358">
        <f>SUMIF('5月接送车'!D:D,综合考核!A4,'5月接送车'!E:E)</f>
        <v>0</v>
      </c>
      <c r="E4" s="369">
        <f>SUMIF('转介绍+留修奖励（已发现金）'!F:F,综合考核!A4,'转介绍+留修奖励（已发现金）'!H:H)+SUMIF('转介绍+留修奖励（已发现金）'!L:L,综合考核!A4,'转介绍+留修奖励（已发现金）'!M:M)++SUMIF('转介绍+留修奖励（已发现金）'!B:B,综合考核!A4,'转介绍+留修奖励（已发现金）'!C:C)</f>
        <v>0</v>
      </c>
      <c r="F4" s="360">
        <f>SUMIF(工作车救急!A:A,A4,工作车救急!B:B)</f>
        <v>0</v>
      </c>
      <c r="G4" s="360">
        <f>SUMIF(AJ:AJ,A4,AV:AV)</f>
        <v>0</v>
      </c>
      <c r="H4" s="359"/>
      <c r="I4" s="359">
        <f>SUMIF(保客营销考核!E:E,A4,保客营销考核!J:J)</f>
        <v>0</v>
      </c>
      <c r="J4" s="361">
        <f>SUMIF(服装扣款!D:D,综合考核!A4,服装扣款!R:R)</f>
        <v>0</v>
      </c>
      <c r="K4" s="360">
        <f>SUMIF(S:S,A4,Y:Y)</f>
        <v>0</v>
      </c>
      <c r="L4" s="360"/>
      <c r="M4" s="370">
        <f>SUM(B4:K4)-E4</f>
        <v>0</v>
      </c>
      <c r="N4" s="371">
        <f t="shared" ref="N4:N17" si="0">SUM(E4)</f>
        <v>0</v>
      </c>
      <c r="O4" s="372"/>
      <c r="P4" s="42">
        <f>SUMIF('05月提成-武侯售后'!C:C,综合考核!A4,'05月提成-武侯售后'!L:L)</f>
        <v>0</v>
      </c>
      <c r="Q4" s="373">
        <f t="shared" ref="Q4:Q14" si="1">M4-P4</f>
        <v>0</v>
      </c>
      <c r="R4" s="374">
        <v>1</v>
      </c>
      <c r="S4" s="375" t="s">
        <v>38</v>
      </c>
      <c r="T4" s="376">
        <v>100</v>
      </c>
      <c r="U4" s="376">
        <v>100</v>
      </c>
      <c r="V4" s="375">
        <f>U4/T4*100%</f>
        <v>1</v>
      </c>
      <c r="W4" s="377">
        <f>SUMIF('05月其他部门提成'!C:C,综合考核!S4,'05月其他部门提成'!O:O)</f>
        <v>11763.000980418101</v>
      </c>
      <c r="X4" s="376"/>
      <c r="Y4" s="377">
        <f>-W4*(1-V4)+X4</f>
        <v>0</v>
      </c>
      <c r="Z4" s="375"/>
      <c r="AA4" s="376">
        <f>-(W4*Z4)</f>
        <v>0</v>
      </c>
      <c r="AB4" s="378"/>
      <c r="AC4" s="42" t="str">
        <f t="shared" ref="AC4:AC21" si="2">INDEX(A:A,MATCH(S4,A:A,0))</f>
        <v>谢尧江</v>
      </c>
      <c r="AI4" s="2056"/>
      <c r="AJ4" s="2056"/>
      <c r="AK4" s="2056"/>
      <c r="AL4" s="2056"/>
      <c r="AM4" s="2056"/>
      <c r="AN4" s="2056"/>
      <c r="AO4" s="2056"/>
      <c r="AP4" s="2056"/>
      <c r="AQ4" s="2056"/>
      <c r="AR4" s="2056"/>
      <c r="AS4" s="2056"/>
      <c r="AT4" s="2056"/>
      <c r="AU4" s="2056"/>
      <c r="AX4" s="2071" t="s">
        <v>4469</v>
      </c>
      <c r="AY4" s="309" t="s">
        <v>4470</v>
      </c>
      <c r="AZ4" s="380" t="s">
        <v>4471</v>
      </c>
      <c r="BA4" s="381" t="s">
        <v>4472</v>
      </c>
      <c r="BB4" s="381" t="s">
        <v>4473</v>
      </c>
      <c r="BC4" s="381" t="s">
        <v>4474</v>
      </c>
      <c r="BD4" s="381" t="s">
        <v>4475</v>
      </c>
      <c r="BE4" s="281" t="s">
        <v>304</v>
      </c>
    </row>
    <row r="5" spans="1:57" ht="26.1" customHeight="1">
      <c r="A5" s="357" t="str">
        <f>'05月提成-武侯售后'!C6</f>
        <v>曾吉斌</v>
      </c>
      <c r="B5" s="358">
        <f>SUMIF('6月配件'!K:K,综合考核!A5,'6月配件'!L:L)</f>
        <v>0</v>
      </c>
      <c r="C5" s="358">
        <f>SUMIF('6月配件'!K:K,A5,'6月配件'!M:M)</f>
        <v>0</v>
      </c>
      <c r="D5" s="358">
        <f>SUMIF('5月接送车'!D:D,综合考核!A5,'5月接送车'!E:E)</f>
        <v>0</v>
      </c>
      <c r="E5" s="369">
        <f>SUMIF('转介绍+留修奖励（已发现金）'!F:F,综合考核!A5,'转介绍+留修奖励（已发现金）'!H:H)+SUMIF('转介绍+留修奖励（已发现金）'!L:L,综合考核!A5,'转介绍+留修奖励（已发现金）'!M:M)++SUMIF('转介绍+留修奖励（已发现金）'!B:B,综合考核!A5,'转介绍+留修奖励（已发现金）'!C:C)</f>
        <v>0</v>
      </c>
      <c r="F5" s="360">
        <f>SUMIF(工作车救急!A:A,A5,工作车救急!B:B)</f>
        <v>0</v>
      </c>
      <c r="G5" s="360">
        <f t="shared" ref="G5:G21" si="3">SUMIF(AJ:AJ,A5,AV:AV)</f>
        <v>0</v>
      </c>
      <c r="H5" s="359"/>
      <c r="I5" s="359">
        <f>SUMIF(保客营销考核!E:E,A5,保客营销考核!J:J)</f>
        <v>0</v>
      </c>
      <c r="J5" s="361">
        <f>SUMIF(服装扣款!D:D,综合考核!A5,服装扣款!R:R)</f>
        <v>0</v>
      </c>
      <c r="K5" s="360">
        <f t="shared" ref="K5:K36" si="4">SUMIF(S:S,A5,Y:Y)</f>
        <v>0</v>
      </c>
      <c r="L5" s="360">
        <f>SUMIF('-月满意度考核'!C:C,综合考核!A5,'-月满意度考核'!J:J)</f>
        <v>0</v>
      </c>
      <c r="M5" s="370">
        <f t="shared" ref="M5:M14" si="5">SUM(B5:K5)-E5</f>
        <v>0</v>
      </c>
      <c r="N5" s="371">
        <f t="shared" si="0"/>
        <v>0</v>
      </c>
      <c r="O5" s="372"/>
      <c r="P5" s="42">
        <f>SUMIF('05月提成-武侯售后'!C:C,综合考核!A5,'05月提成-武侯售后'!L:L)</f>
        <v>0</v>
      </c>
      <c r="Q5" s="373">
        <f t="shared" si="1"/>
        <v>0</v>
      </c>
      <c r="R5" s="374">
        <v>2</v>
      </c>
      <c r="S5" s="375" t="s">
        <v>60</v>
      </c>
      <c r="T5" s="376">
        <v>100</v>
      </c>
      <c r="U5" s="376">
        <v>100</v>
      </c>
      <c r="V5" s="375">
        <f>U5/T5*100%</f>
        <v>1</v>
      </c>
      <c r="W5" s="377">
        <f>SUMIF('05月其他部门提成'!C:C,综合考核!S5,'05月其他部门提成'!O:O)</f>
        <v>10989.415206</v>
      </c>
      <c r="X5" s="376"/>
      <c r="Y5" s="377">
        <f t="shared" ref="Y5:Y19" si="6">-W5*(1-V5)+X5</f>
        <v>0</v>
      </c>
      <c r="Z5" s="376"/>
      <c r="AA5" s="376">
        <f t="shared" ref="AA5:AA14" si="7">-(W5*Z5)</f>
        <v>0</v>
      </c>
      <c r="AB5" s="378"/>
      <c r="AC5" s="42" t="str">
        <f t="shared" si="2"/>
        <v>阳国华</v>
      </c>
      <c r="AI5" s="2056" t="s">
        <v>4476</v>
      </c>
      <c r="AJ5" s="2056"/>
      <c r="AK5" s="2056"/>
      <c r="AL5" s="2056"/>
      <c r="AM5" s="2056"/>
      <c r="AN5" s="2056"/>
      <c r="AO5" s="2056"/>
      <c r="AP5" s="2056"/>
      <c r="AQ5" s="2056"/>
      <c r="AR5" s="2056"/>
      <c r="AS5" s="2056"/>
      <c r="AT5" s="2056"/>
      <c r="AU5" s="2056"/>
      <c r="AV5" s="2056"/>
      <c r="AW5" s="379"/>
      <c r="AX5" s="2071"/>
      <c r="AY5" s="318" t="s">
        <v>4477</v>
      </c>
      <c r="AZ5" s="318">
        <v>69</v>
      </c>
      <c r="BA5" s="381">
        <v>6</v>
      </c>
      <c r="BB5" s="381"/>
      <c r="BC5" s="381">
        <f>BA5</f>
        <v>6</v>
      </c>
      <c r="BD5" s="381">
        <f>AZ5*BC5</f>
        <v>414</v>
      </c>
      <c r="BE5" s="382"/>
    </row>
    <row r="6" spans="1:57" ht="26.1" customHeight="1">
      <c r="A6" s="357" t="str">
        <f>'05月提成-武侯售后'!C7</f>
        <v>谢尧江</v>
      </c>
      <c r="B6" s="358">
        <f>SUMIF('6月配件'!K:K,综合考核!A6,'6月配件'!L:L)</f>
        <v>0</v>
      </c>
      <c r="C6" s="358">
        <f>SUMIF('6月配件'!K:K,A6,'6月配件'!M:M)</f>
        <v>0</v>
      </c>
      <c r="D6" s="358">
        <f>SUMIF('5月接送车'!D:D,综合考核!A6,'5月接送车'!E:E)</f>
        <v>0</v>
      </c>
      <c r="E6" s="369">
        <f>SUMIF('转介绍+留修奖励（已发现金）'!F:F,综合考核!A6,'转介绍+留修奖励（已发现金）'!H:H)+SUMIF('转介绍+留修奖励（已发现金）'!L:L,综合考核!A6,'转介绍+留修奖励（已发现金）'!M:M)++SUMIF('转介绍+留修奖励（已发现金）'!B:B,综合考核!A6,'转介绍+留修奖励（已发现金）'!C:C)</f>
        <v>0</v>
      </c>
      <c r="F6" s="360">
        <f>SUMIF(工作车救急!A:A,A6,工作车救急!B:B)</f>
        <v>0</v>
      </c>
      <c r="G6" s="360">
        <f t="shared" si="3"/>
        <v>0</v>
      </c>
      <c r="H6" s="359"/>
      <c r="I6" s="359">
        <f>SUMIF(保客营销考核!E:E,A6,保客营销考核!J:J)</f>
        <v>0</v>
      </c>
      <c r="J6" s="361">
        <f>SUMIF(服装扣款!D:D,综合考核!A6,服装扣款!R:R)</f>
        <v>0</v>
      </c>
      <c r="K6" s="360">
        <f t="shared" si="4"/>
        <v>0</v>
      </c>
      <c r="L6" s="360">
        <f>SUMIF('-月满意度考核'!C:C,综合考核!A6,'-月满意度考核'!J:J)</f>
        <v>0</v>
      </c>
      <c r="M6" s="370">
        <f t="shared" si="5"/>
        <v>0</v>
      </c>
      <c r="N6" s="371">
        <f t="shared" si="0"/>
        <v>0</v>
      </c>
      <c r="O6" s="372"/>
      <c r="P6" s="42">
        <f>SUMIF('05月提成-武侯售后'!C:C,综合考核!A6,'05月提成-武侯售后'!L:L)</f>
        <v>0</v>
      </c>
      <c r="Q6" s="373">
        <f t="shared" si="1"/>
        <v>0</v>
      </c>
      <c r="R6" s="374">
        <v>3</v>
      </c>
      <c r="S6" s="375" t="s">
        <v>102</v>
      </c>
      <c r="T6" s="376">
        <v>100</v>
      </c>
      <c r="U6" s="376">
        <v>100</v>
      </c>
      <c r="V6" s="375">
        <f t="shared" ref="V6:V18" si="8">U6/T6*100%</f>
        <v>1</v>
      </c>
      <c r="W6" s="377">
        <f>SUMIF('05月其他部门提成'!C:C,综合考核!S6,'05月其他部门提成'!O:O)</f>
        <v>12324.340391415</v>
      </c>
      <c r="X6" s="376"/>
      <c r="Y6" s="377">
        <f t="shared" si="6"/>
        <v>0</v>
      </c>
      <c r="Z6" s="376"/>
      <c r="AA6" s="376">
        <f t="shared" si="7"/>
        <v>0</v>
      </c>
      <c r="AB6" s="378"/>
      <c r="AC6" s="42" t="str">
        <f t="shared" si="2"/>
        <v>王竹飞</v>
      </c>
      <c r="AI6" s="2057" t="s">
        <v>4478</v>
      </c>
      <c r="AJ6" s="2057"/>
      <c r="AK6" s="2057"/>
      <c r="AL6" s="2057"/>
      <c r="AM6" s="2057"/>
      <c r="AN6" s="2057"/>
      <c r="AO6" s="2057"/>
      <c r="AP6" s="2057"/>
      <c r="AQ6" s="2057"/>
      <c r="AR6" s="2057"/>
      <c r="AS6" s="2057"/>
      <c r="AT6" s="2057"/>
      <c r="AU6" s="2057"/>
      <c r="AV6" s="2057"/>
      <c r="AW6" s="383"/>
      <c r="AX6" s="2071"/>
      <c r="AY6" s="318" t="s">
        <v>4479</v>
      </c>
      <c r="AZ6" s="318">
        <v>44</v>
      </c>
      <c r="BA6" s="381">
        <v>20</v>
      </c>
      <c r="BB6" s="381"/>
      <c r="BC6" s="381">
        <f t="shared" ref="BC6:BC18" si="9">BA6</f>
        <v>20</v>
      </c>
      <c r="BD6" s="381">
        <f t="shared" ref="BD6:BD27" si="10">AZ6*BC6</f>
        <v>880</v>
      </c>
      <c r="BE6" s="382"/>
    </row>
    <row r="7" spans="1:57" ht="26.1" customHeight="1">
      <c r="A7" s="357" t="str">
        <f>'05月提成-武侯售后'!C8</f>
        <v>小计</v>
      </c>
      <c r="B7" s="358">
        <f>SUMIF('6月配件'!K:K,综合考核!A7,'6月配件'!L:L)</f>
        <v>0</v>
      </c>
      <c r="C7" s="358">
        <f>SUMIF('6月配件'!K:K,A7,'6月配件'!M:M)</f>
        <v>0</v>
      </c>
      <c r="D7" s="358">
        <f>SUMIF('5月接送车'!D:D,综合考核!A7,'5月接送车'!E:E)</f>
        <v>0</v>
      </c>
      <c r="E7" s="369">
        <f>SUMIF('转介绍+留修奖励（已发现金）'!F:F,综合考核!A7,'转介绍+留修奖励（已发现金）'!H:H)+SUMIF('转介绍+留修奖励（已发现金）'!L:L,综合考核!A7,'转介绍+留修奖励（已发现金）'!M:M)++SUMIF('转介绍+留修奖励（已发现金）'!B:B,综合考核!A7,'转介绍+留修奖励（已发现金）'!C:C)</f>
        <v>0</v>
      </c>
      <c r="F7" s="360">
        <f>SUMIF(工作车救急!A:A,A7,工作车救急!B:B)</f>
        <v>0</v>
      </c>
      <c r="G7" s="360">
        <f t="shared" si="3"/>
        <v>0</v>
      </c>
      <c r="H7" s="359"/>
      <c r="I7" s="359">
        <f>SUMIF(保客营销考核!E:E,A7,保客营销考核!J:J)</f>
        <v>0</v>
      </c>
      <c r="J7" s="361">
        <f>SUMIF(服装扣款!D:D,综合考核!A7,服装扣款!R:R)</f>
        <v>0</v>
      </c>
      <c r="K7" s="360">
        <f t="shared" si="4"/>
        <v>0</v>
      </c>
      <c r="L7" s="360">
        <f>SUMIF('-月满意度考核'!C:C,综合考核!A7,'-月满意度考核'!J:J)</f>
        <v>0</v>
      </c>
      <c r="M7" s="370">
        <f t="shared" si="5"/>
        <v>0</v>
      </c>
      <c r="N7" s="371">
        <f t="shared" si="0"/>
        <v>0</v>
      </c>
      <c r="O7" s="372"/>
      <c r="Q7" s="373">
        <f t="shared" si="1"/>
        <v>0</v>
      </c>
      <c r="R7" s="374">
        <v>4</v>
      </c>
      <c r="S7" s="375" t="s">
        <v>101</v>
      </c>
      <c r="T7" s="376">
        <v>100</v>
      </c>
      <c r="U7" s="376">
        <v>100</v>
      </c>
      <c r="V7" s="375">
        <f t="shared" si="8"/>
        <v>1</v>
      </c>
      <c r="W7" s="377">
        <f>SUMIF('05月其他部门提成'!C:C,综合考核!S7,'05月其他部门提成'!O:O)</f>
        <v>12324.340391415</v>
      </c>
      <c r="X7" s="376"/>
      <c r="Y7" s="377">
        <f t="shared" si="6"/>
        <v>0</v>
      </c>
      <c r="Z7" s="376"/>
      <c r="AA7" s="376">
        <f t="shared" si="7"/>
        <v>0</v>
      </c>
      <c r="AB7" s="378"/>
      <c r="AC7" s="42" t="str">
        <f t="shared" si="2"/>
        <v>何毅</v>
      </c>
      <c r="AI7" s="384" t="s">
        <v>4480</v>
      </c>
      <c r="AJ7" s="384">
        <v>96.09</v>
      </c>
      <c r="AK7" s="384"/>
      <c r="AL7" s="384"/>
      <c r="AM7" s="384"/>
      <c r="AN7" s="384"/>
      <c r="AO7" s="384"/>
      <c r="AP7" s="384"/>
      <c r="AQ7" s="384"/>
      <c r="AR7" s="384"/>
      <c r="AS7" s="384"/>
      <c r="AT7" s="384"/>
      <c r="AU7" s="384"/>
      <c r="AV7" s="384"/>
      <c r="AW7" s="384"/>
      <c r="AX7" s="2071"/>
      <c r="AY7" s="318" t="s">
        <v>4481</v>
      </c>
      <c r="AZ7" s="318">
        <v>1</v>
      </c>
      <c r="BA7" s="381">
        <v>30</v>
      </c>
      <c r="BB7" s="381"/>
      <c r="BC7" s="381">
        <f t="shared" si="9"/>
        <v>30</v>
      </c>
      <c r="BD7" s="381">
        <f t="shared" si="10"/>
        <v>30</v>
      </c>
      <c r="BE7" s="382"/>
    </row>
    <row r="8" spans="1:57" ht="26.1" customHeight="1">
      <c r="A8" s="357" t="str">
        <f>'05月提成-武侯售后'!C9</f>
        <v>张敏</v>
      </c>
      <c r="B8" s="358">
        <f>SUMIF('6月配件'!K:K,综合考核!A8,'6月配件'!L:L)</f>
        <v>0</v>
      </c>
      <c r="C8" s="358">
        <f>SUMIF('6月配件'!K:K,A8,'6月配件'!M:M)</f>
        <v>0</v>
      </c>
      <c r="D8" s="358">
        <f>SUMIF('5月接送车'!D:D,综合考核!A8,'5月接送车'!E:E)</f>
        <v>0</v>
      </c>
      <c r="E8" s="369">
        <f>SUMIF('转介绍+留修奖励（已发现金）'!F:F,综合考核!A8,'转介绍+留修奖励（已发现金）'!H:H)+SUMIF('转介绍+留修奖励（已发现金）'!L:L,综合考核!A8,'转介绍+留修奖励（已发现金）'!M:M)++SUMIF('转介绍+留修奖励（已发现金）'!B:B,综合考核!A8,'转介绍+留修奖励（已发现金）'!C:C)</f>
        <v>0</v>
      </c>
      <c r="F8" s="360">
        <f>SUMIF(工作车救急!A:A,A8,工作车救急!B:B)</f>
        <v>0</v>
      </c>
      <c r="G8" s="360">
        <f t="shared" si="3"/>
        <v>0</v>
      </c>
      <c r="H8" s="359"/>
      <c r="I8" s="359">
        <f>SUMIF(保客营销考核!E:E,A8,保客营销考核!J:J)</f>
        <v>0</v>
      </c>
      <c r="J8" s="361">
        <f>SUMIF(服装扣款!D:D,综合考核!A8,服装扣款!R:R)</f>
        <v>0</v>
      </c>
      <c r="K8" s="360">
        <f t="shared" si="4"/>
        <v>0</v>
      </c>
      <c r="L8" s="360">
        <f>SUMIF('-月满意度考核'!C:C,综合考核!A8,'-月满意度考核'!J:J)</f>
        <v>0</v>
      </c>
      <c r="M8" s="370">
        <f t="shared" si="5"/>
        <v>0</v>
      </c>
      <c r="N8" s="371">
        <f t="shared" si="0"/>
        <v>0</v>
      </c>
      <c r="O8" s="372"/>
      <c r="P8" s="42">
        <f>SUMIF('05月提成-武侯售后'!C:C,综合考核!A8,'05月提成-武侯售后'!L:L)</f>
        <v>0</v>
      </c>
      <c r="Q8" s="373">
        <f t="shared" si="1"/>
        <v>0</v>
      </c>
      <c r="R8" s="374">
        <v>5</v>
      </c>
      <c r="S8" s="375" t="s">
        <v>108</v>
      </c>
      <c r="T8" s="376">
        <v>100</v>
      </c>
      <c r="U8" s="376">
        <v>100</v>
      </c>
      <c r="V8" s="375">
        <f t="shared" si="8"/>
        <v>1</v>
      </c>
      <c r="W8" s="377">
        <f>SUMIF('05月其他部门提成'!C:C,综合考核!S8,'05月其他部门提成'!O:O)</f>
        <v>10714.67982585</v>
      </c>
      <c r="X8" s="376"/>
      <c r="Y8" s="377">
        <f t="shared" si="6"/>
        <v>0</v>
      </c>
      <c r="Z8" s="376"/>
      <c r="AA8" s="376">
        <f t="shared" si="7"/>
        <v>0</v>
      </c>
      <c r="AB8" s="378"/>
      <c r="AC8" s="42" t="str">
        <f t="shared" si="2"/>
        <v>宋虹冰</v>
      </c>
      <c r="AI8" s="384" t="s">
        <v>4482</v>
      </c>
      <c r="AJ8" s="384">
        <v>610014</v>
      </c>
      <c r="AK8" s="384"/>
      <c r="AL8" s="384"/>
      <c r="AM8" s="384"/>
      <c r="AN8" s="384"/>
      <c r="AO8" s="384"/>
      <c r="AP8" s="384"/>
      <c r="AQ8" s="384"/>
      <c r="AR8" s="384"/>
      <c r="AS8" s="384"/>
      <c r="AT8" s="384"/>
      <c r="AU8" s="384"/>
      <c r="AV8" s="384"/>
      <c r="AW8" s="384"/>
      <c r="AX8" s="2071"/>
      <c r="AY8" s="318" t="s">
        <v>4483</v>
      </c>
      <c r="AZ8" s="318">
        <v>3</v>
      </c>
      <c r="BA8" s="381">
        <v>5</v>
      </c>
      <c r="BB8" s="381"/>
      <c r="BC8" s="381">
        <f t="shared" si="9"/>
        <v>5</v>
      </c>
      <c r="BD8" s="381">
        <f t="shared" si="10"/>
        <v>15</v>
      </c>
      <c r="BE8" s="382"/>
    </row>
    <row r="9" spans="1:57" ht="26.1" customHeight="1">
      <c r="A9" s="357" t="str">
        <f>'05月提成-武侯售后'!C10</f>
        <v>邱小艳</v>
      </c>
      <c r="B9" s="358">
        <f>SUMIF('6月配件'!K:K,综合考核!A9,'6月配件'!L:L)</f>
        <v>0</v>
      </c>
      <c r="C9" s="358">
        <f>SUMIF('6月配件'!K:K,A9,'6月配件'!M:M)</f>
        <v>0</v>
      </c>
      <c r="D9" s="358">
        <f>SUMIF('5月接送车'!D:D,综合考核!A9,'5月接送车'!E:E)</f>
        <v>0</v>
      </c>
      <c r="E9" s="369">
        <f>SUMIF('转介绍+留修奖励（已发现金）'!F:F,综合考核!A9,'转介绍+留修奖励（已发现金）'!H:H)+SUMIF('转介绍+留修奖励（已发现金）'!L:L,综合考核!A9,'转介绍+留修奖励（已发现金）'!M:M)++SUMIF('转介绍+留修奖励（已发现金）'!B:B,综合考核!A9,'转介绍+留修奖励（已发现金）'!C:C)</f>
        <v>0</v>
      </c>
      <c r="F9" s="360">
        <f>SUMIF(工作车救急!A:A,A9,工作车救急!B:B)</f>
        <v>0</v>
      </c>
      <c r="G9" s="360">
        <f t="shared" si="3"/>
        <v>0</v>
      </c>
      <c r="H9" s="359"/>
      <c r="I9" s="359">
        <f>SUMIF(保客营销考核!E:E,A9,保客营销考核!J:J)</f>
        <v>0</v>
      </c>
      <c r="J9" s="361">
        <f>SUMIF(服装扣款!D:D,综合考核!A9,服装扣款!R:R)</f>
        <v>0</v>
      </c>
      <c r="K9" s="360">
        <f t="shared" si="4"/>
        <v>0</v>
      </c>
      <c r="L9" s="360">
        <f>SUMIF('-月满意度考核'!C:C,综合考核!A9,'-月满意度考核'!J:J)</f>
        <v>0</v>
      </c>
      <c r="M9" s="370">
        <f t="shared" si="5"/>
        <v>0</v>
      </c>
      <c r="N9" s="371">
        <f t="shared" si="0"/>
        <v>0</v>
      </c>
      <c r="O9" s="372"/>
      <c r="P9" s="42">
        <f>SUMIF('05月提成-武侯售后'!C:C,综合考核!A9,'05月提成-武侯售后'!L:L)</f>
        <v>0</v>
      </c>
      <c r="Q9" s="373">
        <f t="shared" si="1"/>
        <v>0</v>
      </c>
      <c r="R9" s="374">
        <v>6</v>
      </c>
      <c r="S9" s="375" t="s">
        <v>93</v>
      </c>
      <c r="T9" s="376">
        <v>100</v>
      </c>
      <c r="U9" s="376">
        <v>100</v>
      </c>
      <c r="V9" s="375">
        <f t="shared" si="8"/>
        <v>1</v>
      </c>
      <c r="W9" s="377">
        <f>SUMIF('05月其他部门提成'!C:C,综合考核!S9,'05月其他部门提成'!O:O)</f>
        <v>11977.302831421501</v>
      </c>
      <c r="X9" s="376"/>
      <c r="Y9" s="377">
        <f t="shared" si="6"/>
        <v>0</v>
      </c>
      <c r="Z9" s="376"/>
      <c r="AA9" s="376">
        <f t="shared" si="7"/>
        <v>0</v>
      </c>
      <c r="AB9" s="378"/>
      <c r="AC9" s="42" t="str">
        <f t="shared" si="2"/>
        <v>颜书琼</v>
      </c>
      <c r="AI9" s="2069" t="s">
        <v>316</v>
      </c>
      <c r="AJ9" s="2069" t="s">
        <v>4484</v>
      </c>
      <c r="AK9" s="2069" t="s">
        <v>4485</v>
      </c>
      <c r="AL9" s="2069" t="s">
        <v>998</v>
      </c>
      <c r="AM9" s="385" t="s">
        <v>4486</v>
      </c>
      <c r="AN9" s="385" t="s">
        <v>4487</v>
      </c>
      <c r="AO9" s="385" t="s">
        <v>4488</v>
      </c>
      <c r="AP9" s="385" t="s">
        <v>4489</v>
      </c>
      <c r="AQ9" s="385" t="s">
        <v>4490</v>
      </c>
      <c r="AR9" s="385" t="s">
        <v>4491</v>
      </c>
      <c r="AS9" s="385" t="s">
        <v>4492</v>
      </c>
      <c r="AT9" s="2070" t="s">
        <v>4493</v>
      </c>
      <c r="AU9" s="2070" t="s">
        <v>4494</v>
      </c>
      <c r="AV9" s="2070" t="s">
        <v>4495</v>
      </c>
      <c r="AW9" s="386"/>
      <c r="AX9" s="2071"/>
      <c r="AY9" s="318" t="s">
        <v>4496</v>
      </c>
      <c r="AZ9" s="318">
        <v>0</v>
      </c>
      <c r="BA9" s="381">
        <v>1</v>
      </c>
      <c r="BB9" s="381"/>
      <c r="BC9" s="381">
        <f t="shared" si="9"/>
        <v>1</v>
      </c>
      <c r="BD9" s="381">
        <f t="shared" si="10"/>
        <v>0</v>
      </c>
      <c r="BE9" s="382"/>
    </row>
    <row r="10" spans="1:57" ht="26.1" customHeight="1">
      <c r="A10" s="357" t="str">
        <f>'05月提成-武侯售后'!C11</f>
        <v>潘倩</v>
      </c>
      <c r="B10" s="358">
        <f>SUMIF('6月配件'!K:K,综合考核!A10,'6月配件'!L:L)</f>
        <v>0</v>
      </c>
      <c r="C10" s="358">
        <f>SUMIF('6月配件'!K:K,A10,'6月配件'!M:M)</f>
        <v>0</v>
      </c>
      <c r="D10" s="358">
        <f>SUMIF('5月接送车'!D:D,综合考核!A10,'5月接送车'!E:E)</f>
        <v>0</v>
      </c>
      <c r="E10" s="369">
        <f>SUMIF('转介绍+留修奖励（已发现金）'!F:F,综合考核!A10,'转介绍+留修奖励（已发现金）'!H:H)+SUMIF('转介绍+留修奖励（已发现金）'!L:L,综合考核!A10,'转介绍+留修奖励（已发现金）'!M:M)++SUMIF('转介绍+留修奖励（已发现金）'!B:B,综合考核!A10,'转介绍+留修奖励（已发现金）'!C:C)</f>
        <v>0</v>
      </c>
      <c r="F10" s="360">
        <f>SUMIF(工作车救急!A:A,A10,工作车救急!B:B)</f>
        <v>0</v>
      </c>
      <c r="G10" s="360">
        <f t="shared" si="3"/>
        <v>0</v>
      </c>
      <c r="H10" s="359"/>
      <c r="I10" s="359">
        <f>SUMIF(保客营销考核!E:E,A10,保客营销考核!J:J)</f>
        <v>0</v>
      </c>
      <c r="J10" s="361">
        <f>SUMIF(服装扣款!D:D,综合考核!A10,服装扣款!R:R)</f>
        <v>0</v>
      </c>
      <c r="K10" s="360">
        <f t="shared" si="4"/>
        <v>0</v>
      </c>
      <c r="L10" s="360">
        <f>SUMIF('-月满意度考核'!C:C,综合考核!A10,'-月满意度考核'!J:J)</f>
        <v>0</v>
      </c>
      <c r="M10" s="370">
        <f t="shared" si="5"/>
        <v>0</v>
      </c>
      <c r="N10" s="371">
        <f t="shared" si="0"/>
        <v>0</v>
      </c>
      <c r="O10" s="372"/>
      <c r="P10" s="42">
        <f>SUMIF('05月提成-武侯售后'!C:C,综合考核!A10,'05月提成-武侯售后'!L:L)</f>
        <v>0</v>
      </c>
      <c r="Q10" s="373">
        <f t="shared" si="1"/>
        <v>0</v>
      </c>
      <c r="R10" s="374">
        <v>7</v>
      </c>
      <c r="S10" s="375" t="s">
        <v>47</v>
      </c>
      <c r="T10" s="376">
        <v>100</v>
      </c>
      <c r="U10" s="376">
        <v>100</v>
      </c>
      <c r="V10" s="375">
        <f t="shared" si="8"/>
        <v>1</v>
      </c>
      <c r="W10" s="377">
        <f>SUMIF('05月其他部门提成'!C:C,综合考核!S10,'05月其他部门提成'!O:O)</f>
        <v>6482.6133477049898</v>
      </c>
      <c r="X10" s="376"/>
      <c r="Y10" s="377">
        <f t="shared" si="6"/>
        <v>0</v>
      </c>
      <c r="Z10" s="376"/>
      <c r="AA10" s="376">
        <f t="shared" si="7"/>
        <v>0</v>
      </c>
      <c r="AB10" s="378"/>
      <c r="AC10" s="42" t="str">
        <f t="shared" si="2"/>
        <v>陈川蓉</v>
      </c>
      <c r="AI10" s="2069"/>
      <c r="AJ10" s="2069"/>
      <c r="AK10" s="2069"/>
      <c r="AL10" s="2069"/>
      <c r="AM10" s="385" t="s">
        <v>4497</v>
      </c>
      <c r="AN10" s="385" t="s">
        <v>4497</v>
      </c>
      <c r="AO10" s="385" t="s">
        <v>4497</v>
      </c>
      <c r="AP10" s="385" t="s">
        <v>4497</v>
      </c>
      <c r="AQ10" s="385" t="s">
        <v>4497</v>
      </c>
      <c r="AR10" s="385" t="s">
        <v>4497</v>
      </c>
      <c r="AS10" s="385" t="s">
        <v>4497</v>
      </c>
      <c r="AT10" s="2070"/>
      <c r="AU10" s="2070"/>
      <c r="AV10" s="2070"/>
      <c r="AW10" s="386"/>
      <c r="AX10" s="2071"/>
      <c r="AY10" s="318" t="s">
        <v>4498</v>
      </c>
      <c r="AZ10" s="318">
        <v>0</v>
      </c>
      <c r="BA10" s="381">
        <v>5</v>
      </c>
      <c r="BB10" s="381"/>
      <c r="BC10" s="381">
        <f t="shared" si="9"/>
        <v>5</v>
      </c>
      <c r="BD10" s="381">
        <f t="shared" si="10"/>
        <v>0</v>
      </c>
      <c r="BE10" s="382"/>
    </row>
    <row r="11" spans="1:57" ht="26.1" customHeight="1">
      <c r="A11" s="357" t="str">
        <f>'05月提成-武侯售后'!C12</f>
        <v>唐玉屏</v>
      </c>
      <c r="B11" s="358">
        <f>SUMIF('6月配件'!K:K,综合考核!A11,'6月配件'!L:L)</f>
        <v>0</v>
      </c>
      <c r="C11" s="358">
        <f>SUMIF('6月配件'!K:K,A11,'6月配件'!M:M)</f>
        <v>0</v>
      </c>
      <c r="D11" s="358">
        <f>SUMIF('5月接送车'!D:D,综合考核!A11,'5月接送车'!E:E)</f>
        <v>0</v>
      </c>
      <c r="E11" s="369">
        <f>SUMIF('转介绍+留修奖励（已发现金）'!F:F,综合考核!A11,'转介绍+留修奖励（已发现金）'!H:H)+SUMIF('转介绍+留修奖励（已发现金）'!L:L,综合考核!A11,'转介绍+留修奖励（已发现金）'!M:M)++SUMIF('转介绍+留修奖励（已发现金）'!B:B,综合考核!A11,'转介绍+留修奖励（已发现金）'!C:C)</f>
        <v>0</v>
      </c>
      <c r="F11" s="360">
        <f>SUMIF(工作车救急!A:A,A11,工作车救急!B:B)</f>
        <v>0</v>
      </c>
      <c r="G11" s="360">
        <f t="shared" si="3"/>
        <v>0</v>
      </c>
      <c r="H11" s="359"/>
      <c r="I11" s="359">
        <f>SUMIF(保客营销考核!E:E,A11,保客营销考核!J:J)</f>
        <v>0</v>
      </c>
      <c r="J11" s="361">
        <f>SUMIF(服装扣款!D:D,综合考核!A11,服装扣款!R:R)</f>
        <v>0</v>
      </c>
      <c r="K11" s="360">
        <f t="shared" si="4"/>
        <v>0</v>
      </c>
      <c r="L11" s="360">
        <f>SUMIF('-月满意度考核'!C:C,综合考核!A11,'-月满意度考核'!J:J)</f>
        <v>0</v>
      </c>
      <c r="M11" s="370">
        <f t="shared" si="5"/>
        <v>0</v>
      </c>
      <c r="N11" s="371">
        <f t="shared" si="0"/>
        <v>0</v>
      </c>
      <c r="O11" s="372"/>
      <c r="P11" s="42">
        <f>SUMIF('05月提成-武侯售后'!C:C,综合考核!A11,'05月提成-武侯售后'!L:L)</f>
        <v>0</v>
      </c>
      <c r="Q11" s="373">
        <f t="shared" si="1"/>
        <v>0</v>
      </c>
      <c r="R11" s="374">
        <v>8</v>
      </c>
      <c r="S11" s="375" t="s">
        <v>107</v>
      </c>
      <c r="T11" s="376">
        <v>100</v>
      </c>
      <c r="U11" s="376">
        <v>100</v>
      </c>
      <c r="V11" s="375">
        <f t="shared" si="8"/>
        <v>1</v>
      </c>
      <c r="W11" s="377">
        <f>SUMIF('05月其他部门提成'!C:C,综合考核!S11,'05月其他部门提成'!O:O)</f>
        <v>8713.3169595689797</v>
      </c>
      <c r="X11" s="376"/>
      <c r="Y11" s="377">
        <f t="shared" si="6"/>
        <v>0</v>
      </c>
      <c r="Z11" s="376"/>
      <c r="AA11" s="376">
        <f t="shared" si="7"/>
        <v>0</v>
      </c>
      <c r="AB11" s="378"/>
      <c r="AC11" s="42" t="str">
        <f t="shared" si="2"/>
        <v>田建勇</v>
      </c>
      <c r="AI11" s="387" t="s">
        <v>4499</v>
      </c>
      <c r="AJ11" s="387"/>
      <c r="AK11" s="388"/>
      <c r="AL11" s="387"/>
      <c r="AM11" s="387"/>
      <c r="AN11" s="387"/>
      <c r="AO11" s="387"/>
      <c r="AP11" s="387"/>
      <c r="AQ11" s="387"/>
      <c r="AR11" s="387"/>
      <c r="AS11" s="387"/>
      <c r="AT11" s="387"/>
      <c r="AU11" s="387"/>
      <c r="AV11" s="387"/>
      <c r="AW11" s="389">
        <f t="shared" ref="AW11:AW17" si="11">INDEX(A:A,MATCH(AJ11,A:A,0))</f>
        <v>0</v>
      </c>
      <c r="AX11" s="2071"/>
      <c r="AY11" s="318" t="s">
        <v>4500</v>
      </c>
      <c r="AZ11" s="318">
        <v>92</v>
      </c>
      <c r="BA11" s="381">
        <v>2</v>
      </c>
      <c r="BB11" s="381"/>
      <c r="BC11" s="381">
        <f t="shared" si="9"/>
        <v>2</v>
      </c>
      <c r="BD11" s="381">
        <f t="shared" si="10"/>
        <v>184</v>
      </c>
      <c r="BE11" s="382"/>
    </row>
    <row r="12" spans="1:57" ht="26.1" customHeight="1">
      <c r="A12" s="357" t="str">
        <f>'05月提成-武侯售后'!C13</f>
        <v>陈川蓉</v>
      </c>
      <c r="B12" s="358">
        <f>SUMIF('6月配件'!K:K,综合考核!A12,'6月配件'!L:L)</f>
        <v>0</v>
      </c>
      <c r="C12" s="358">
        <f>SUMIF('6月配件'!K:K,A12,'6月配件'!M:M)</f>
        <v>0</v>
      </c>
      <c r="D12" s="358">
        <f>SUMIF('5月接送车'!D:D,综合考核!A12,'5月接送车'!E:E)</f>
        <v>0</v>
      </c>
      <c r="E12" s="369">
        <f>SUMIF('转介绍+留修奖励（已发现金）'!F:F,综合考核!A12,'转介绍+留修奖励（已发现金）'!H:H)+SUMIF('转介绍+留修奖励（已发现金）'!L:L,综合考核!A12,'转介绍+留修奖励（已发现金）'!M:M)++SUMIF('转介绍+留修奖励（已发现金）'!B:B,综合考核!A12,'转介绍+留修奖励（已发现金）'!C:C)</f>
        <v>0</v>
      </c>
      <c r="F12" s="360">
        <f>SUMIF(工作车救急!A:A,A12,工作车救急!B:B)</f>
        <v>0</v>
      </c>
      <c r="G12" s="360">
        <f t="shared" si="3"/>
        <v>0</v>
      </c>
      <c r="H12" s="359"/>
      <c r="I12" s="359">
        <f>SUMIF(保客营销考核!E:E,A12,保客营销考核!J:J)</f>
        <v>0</v>
      </c>
      <c r="J12" s="361">
        <f>SUMIF(服装扣款!D:D,综合考核!A12,服装扣款!R:R)</f>
        <v>0</v>
      </c>
      <c r="K12" s="360">
        <f t="shared" si="4"/>
        <v>0</v>
      </c>
      <c r="L12" s="360">
        <f>SUMIF('-月满意度考核'!C:C,综合考核!A12,'-月满意度考核'!J:J)</f>
        <v>0</v>
      </c>
      <c r="M12" s="370">
        <f t="shared" si="5"/>
        <v>0</v>
      </c>
      <c r="N12" s="371">
        <f t="shared" si="0"/>
        <v>0</v>
      </c>
      <c r="O12" s="372"/>
      <c r="P12" s="42">
        <f>SUMIF('05月提成-武侯售后'!C:C,综合考核!A12,'05月提成-武侯售后'!L:L)</f>
        <v>0</v>
      </c>
      <c r="Q12" s="373">
        <f t="shared" si="1"/>
        <v>0</v>
      </c>
      <c r="R12" s="374">
        <v>9</v>
      </c>
      <c r="S12" s="375" t="s">
        <v>105</v>
      </c>
      <c r="T12" s="376">
        <v>100</v>
      </c>
      <c r="U12" s="376">
        <v>100</v>
      </c>
      <c r="V12" s="375">
        <f t="shared" si="8"/>
        <v>1</v>
      </c>
      <c r="W12" s="377">
        <f>SUMIF('05月其他部门提成'!C:C,综合考核!S12,'05月其他部门提成'!O:O)</f>
        <v>8713.3169595689797</v>
      </c>
      <c r="X12" s="376"/>
      <c r="Y12" s="377">
        <f t="shared" si="6"/>
        <v>0</v>
      </c>
      <c r="Z12" s="376"/>
      <c r="AA12" s="376">
        <f t="shared" si="7"/>
        <v>0</v>
      </c>
      <c r="AB12" s="378"/>
      <c r="AC12" s="42" t="str">
        <f t="shared" si="2"/>
        <v>周劲松</v>
      </c>
      <c r="AI12" s="387" t="s">
        <v>4499</v>
      </c>
      <c r="AJ12" s="387"/>
      <c r="AK12" s="388"/>
      <c r="AL12" s="387"/>
      <c r="AM12" s="387"/>
      <c r="AN12" s="387"/>
      <c r="AO12" s="387"/>
      <c r="AP12" s="387"/>
      <c r="AQ12" s="387"/>
      <c r="AR12" s="387"/>
      <c r="AS12" s="387"/>
      <c r="AT12" s="387"/>
      <c r="AU12" s="387"/>
      <c r="AV12" s="387"/>
      <c r="AW12" s="389">
        <f t="shared" si="11"/>
        <v>0</v>
      </c>
      <c r="AX12" s="2071"/>
      <c r="AY12" s="318" t="s">
        <v>4501</v>
      </c>
      <c r="AZ12" s="318">
        <v>4</v>
      </c>
      <c r="BA12" s="381">
        <v>5</v>
      </c>
      <c r="BB12" s="381"/>
      <c r="BC12" s="381">
        <f t="shared" si="9"/>
        <v>5</v>
      </c>
      <c r="BD12" s="381">
        <f t="shared" si="10"/>
        <v>20</v>
      </c>
      <c r="BE12" s="382"/>
    </row>
    <row r="13" spans="1:57" ht="26.1" customHeight="1">
      <c r="A13" s="357" t="str">
        <f>'05月提成-武侯售后'!C14</f>
        <v>小计</v>
      </c>
      <c r="B13" s="390">
        <f>SUMIF('6月配件'!K:K,综合考核!A13,'6月配件'!L:L)</f>
        <v>0</v>
      </c>
      <c r="C13" s="390">
        <f>SUMIF('6月配件'!K:K,A13,'6月配件'!M:M)</f>
        <v>0</v>
      </c>
      <c r="D13" s="358">
        <f>SUMIF('5月接送车'!D:D,综合考核!A13,'5月接送车'!E:E)</f>
        <v>0</v>
      </c>
      <c r="E13" s="369">
        <f>SUMIF('转介绍+留修奖励（已发现金）'!F:F,综合考核!A13,'转介绍+留修奖励（已发现金）'!H:H)+SUMIF('转介绍+留修奖励（已发现金）'!L:L,综合考核!A13,'转介绍+留修奖励（已发现金）'!M:M)++SUMIF('转介绍+留修奖励（已发现金）'!B:B,综合考核!A13,'转介绍+留修奖励（已发现金）'!C:C)</f>
        <v>0</v>
      </c>
      <c r="F13" s="359">
        <f>SUMIF(工作车救急!A:A,A13,工作车救急!B:B)</f>
        <v>0</v>
      </c>
      <c r="G13" s="360">
        <f t="shared" si="3"/>
        <v>0</v>
      </c>
      <c r="H13" s="359"/>
      <c r="I13" s="359">
        <f>SUMIF(保客营销考核!E:E,A13,保客营销考核!J:J)</f>
        <v>0</v>
      </c>
      <c r="J13" s="361">
        <f>SUMIF(服装扣款!D:D,综合考核!A13,服装扣款!R:R)</f>
        <v>0</v>
      </c>
      <c r="K13" s="360">
        <f t="shared" si="4"/>
        <v>0</v>
      </c>
      <c r="L13" s="360">
        <f>SUMIF('-月满意度考核'!C:C,综合考核!A13,'-月满意度考核'!J:J)</f>
        <v>0</v>
      </c>
      <c r="M13" s="370">
        <f t="shared" si="5"/>
        <v>0</v>
      </c>
      <c r="N13" s="371">
        <f t="shared" si="0"/>
        <v>0</v>
      </c>
      <c r="O13" s="372"/>
      <c r="Q13" s="373">
        <f t="shared" si="1"/>
        <v>0</v>
      </c>
      <c r="R13" s="374">
        <v>10</v>
      </c>
      <c r="S13" s="391" t="s">
        <v>90</v>
      </c>
      <c r="T13" s="376">
        <v>100</v>
      </c>
      <c r="U13" s="376">
        <v>100</v>
      </c>
      <c r="V13" s="375">
        <f t="shared" si="8"/>
        <v>1</v>
      </c>
      <c r="W13" s="377">
        <f>SUMIF('05月其他部门提成'!C:C,综合考核!S13,'05月其他部门提成'!O:O)</f>
        <v>9914.2024584671708</v>
      </c>
      <c r="X13" s="376"/>
      <c r="Y13" s="377">
        <f t="shared" si="6"/>
        <v>0</v>
      </c>
      <c r="Z13" s="376"/>
      <c r="AA13" s="376">
        <f t="shared" si="7"/>
        <v>0</v>
      </c>
      <c r="AB13" s="378"/>
      <c r="AC13" s="42" t="str">
        <f t="shared" si="2"/>
        <v>雷维可</v>
      </c>
      <c r="AI13" s="387" t="s">
        <v>4499</v>
      </c>
      <c r="AJ13" s="387"/>
      <c r="AK13" s="388"/>
      <c r="AL13" s="387"/>
      <c r="AM13" s="387"/>
      <c r="AN13" s="387"/>
      <c r="AO13" s="387"/>
      <c r="AP13" s="387"/>
      <c r="AQ13" s="387"/>
      <c r="AR13" s="387"/>
      <c r="AS13" s="387"/>
      <c r="AT13" s="387"/>
      <c r="AU13" s="387"/>
      <c r="AV13" s="387"/>
      <c r="AW13" s="389">
        <f t="shared" si="11"/>
        <v>0</v>
      </c>
      <c r="AX13" s="2071"/>
      <c r="AY13" s="318" t="s">
        <v>4502</v>
      </c>
      <c r="AZ13" s="318">
        <v>14</v>
      </c>
      <c r="BA13" s="381">
        <v>2</v>
      </c>
      <c r="BB13" s="381"/>
      <c r="BC13" s="381">
        <f t="shared" si="9"/>
        <v>2</v>
      </c>
      <c r="BD13" s="381">
        <f t="shared" si="10"/>
        <v>28</v>
      </c>
      <c r="BE13" s="382"/>
    </row>
    <row r="14" spans="1:57" ht="26.1" customHeight="1">
      <c r="A14" s="357" t="str">
        <f>'05月提成-武侯售后'!C15</f>
        <v>白影</v>
      </c>
      <c r="B14" s="358">
        <f>SUMIF('6月配件'!K:K,综合考核!A14,'6月配件'!L:L)</f>
        <v>0</v>
      </c>
      <c r="C14" s="358">
        <f>SUMIF('6月配件'!K:K,A14,'6月配件'!M:M)</f>
        <v>0</v>
      </c>
      <c r="D14" s="358">
        <f>SUMIF('5月接送车'!D:D,综合考核!A14,'5月接送车'!E:E)</f>
        <v>0</v>
      </c>
      <c r="E14" s="369">
        <f>SUMIF('转介绍+留修奖励（已发现金）'!F:F,综合考核!A14,'转介绍+留修奖励（已发现金）'!H:H)+SUMIF('转介绍+留修奖励（已发现金）'!L:L,综合考核!A14,'转介绍+留修奖励（已发现金）'!M:M)++SUMIF('转介绍+留修奖励（已发现金）'!B:B,综合考核!A14,'转介绍+留修奖励（已发现金）'!C:C)</f>
        <v>0</v>
      </c>
      <c r="F14" s="360">
        <f>SUMIF(工作车救急!A:A,A14,工作车救急!B:B)</f>
        <v>0</v>
      </c>
      <c r="G14" s="360">
        <f t="shared" si="3"/>
        <v>0</v>
      </c>
      <c r="H14" s="359"/>
      <c r="I14" s="359">
        <f>SUMIF(保客营销考核!E:E,A14,保客营销考核!J:J)</f>
        <v>0</v>
      </c>
      <c r="J14" s="361">
        <f>SUMIF(服装扣款!D:D,综合考核!A14,服装扣款!R:R)</f>
        <v>0</v>
      </c>
      <c r="K14" s="360">
        <f t="shared" si="4"/>
        <v>0</v>
      </c>
      <c r="L14" s="360"/>
      <c r="M14" s="370">
        <f t="shared" si="5"/>
        <v>0</v>
      </c>
      <c r="N14" s="371">
        <f t="shared" si="0"/>
        <v>0</v>
      </c>
      <c r="O14" s="372"/>
      <c r="P14" s="42">
        <f>SUMIF('05月提成-武侯售后'!C:C,综合考核!A14,'05月提成-武侯售后'!L:L)</f>
        <v>0</v>
      </c>
      <c r="Q14" s="373">
        <f t="shared" si="1"/>
        <v>0</v>
      </c>
      <c r="R14" s="374">
        <v>11</v>
      </c>
      <c r="S14" s="391" t="s">
        <v>77</v>
      </c>
      <c r="T14" s="376">
        <v>100</v>
      </c>
      <c r="U14" s="376">
        <v>100</v>
      </c>
      <c r="V14" s="375">
        <f t="shared" si="8"/>
        <v>1</v>
      </c>
      <c r="W14" s="377">
        <f>SUMIF('05月其他部门提成'!C:C,综合考核!S14,'05月其他部门提成'!O:O)</f>
        <v>9870</v>
      </c>
      <c r="X14" s="376"/>
      <c r="Y14" s="377">
        <f t="shared" si="6"/>
        <v>0</v>
      </c>
      <c r="Z14" s="376"/>
      <c r="AA14" s="376">
        <f t="shared" si="7"/>
        <v>0</v>
      </c>
      <c r="AB14" s="378"/>
      <c r="AC14" s="42" t="str">
        <f t="shared" si="2"/>
        <v>黄意轩</v>
      </c>
      <c r="AI14" s="387" t="s">
        <v>4499</v>
      </c>
      <c r="AJ14" s="387"/>
      <c r="AK14" s="388"/>
      <c r="AL14" s="387"/>
      <c r="AM14" s="387"/>
      <c r="AN14" s="387"/>
      <c r="AO14" s="387"/>
      <c r="AP14" s="387"/>
      <c r="AQ14" s="387"/>
      <c r="AR14" s="387"/>
      <c r="AS14" s="387"/>
      <c r="AT14" s="387"/>
      <c r="AU14" s="387"/>
      <c r="AV14" s="387"/>
      <c r="AW14" s="389">
        <f t="shared" si="11"/>
        <v>0</v>
      </c>
      <c r="AX14" s="2071"/>
      <c r="AY14" s="318" t="s">
        <v>4503</v>
      </c>
      <c r="AZ14" s="318">
        <v>39</v>
      </c>
      <c r="BA14" s="381">
        <v>2</v>
      </c>
      <c r="BB14" s="381"/>
      <c r="BC14" s="381">
        <f t="shared" si="9"/>
        <v>2</v>
      </c>
      <c r="BD14" s="381">
        <f t="shared" si="10"/>
        <v>78</v>
      </c>
      <c r="BE14" s="382"/>
    </row>
    <row r="15" spans="1:57" ht="26.1" customHeight="1">
      <c r="A15" s="357" t="str">
        <f>'05月提成-武侯售后'!C16</f>
        <v>曹青</v>
      </c>
      <c r="B15" s="358"/>
      <c r="C15" s="358"/>
      <c r="D15" s="358">
        <f>SUMIF('5月接送车'!D:D,综合考核!A15,'5月接送车'!E:E)</f>
        <v>0</v>
      </c>
      <c r="E15" s="369">
        <f>SUMIF('转介绍+留修奖励（已发现金）'!F:F,综合考核!A15,'转介绍+留修奖励（已发现金）'!H:H)+SUMIF('转介绍+留修奖励（已发现金）'!L:L,综合考核!A15,'转介绍+留修奖励（已发现金）'!M:M)++SUMIF('转介绍+留修奖励（已发现金）'!B:B,综合考核!A15,'转介绍+留修奖励（已发现金）'!C:C)</f>
        <v>0</v>
      </c>
      <c r="F15" s="360"/>
      <c r="G15" s="360">
        <f t="shared" si="3"/>
        <v>0</v>
      </c>
      <c r="H15" s="359"/>
      <c r="I15" s="359">
        <f>SUMIF(保客营销考核!E:E,A15,保客营销考核!J:J)</f>
        <v>0</v>
      </c>
      <c r="J15" s="361"/>
      <c r="K15" s="360">
        <f t="shared" si="4"/>
        <v>0</v>
      </c>
      <c r="L15" s="360"/>
      <c r="M15" s="370"/>
      <c r="N15" s="371">
        <f t="shared" si="0"/>
        <v>0</v>
      </c>
      <c r="O15" s="372"/>
      <c r="P15" s="42">
        <f>SUMIF('05月提成-武侯售后'!C:C,综合考核!A15,'05月提成-武侯售后'!L:L)</f>
        <v>0</v>
      </c>
      <c r="Q15" s="373">
        <f t="shared" ref="Q15:Q16" si="12">M15-P15</f>
        <v>0</v>
      </c>
      <c r="R15" s="374">
        <v>12</v>
      </c>
      <c r="S15" s="391" t="s">
        <v>222</v>
      </c>
      <c r="T15" s="376">
        <v>100</v>
      </c>
      <c r="U15" s="376">
        <v>100</v>
      </c>
      <c r="V15" s="375">
        <f t="shared" si="8"/>
        <v>1</v>
      </c>
      <c r="W15" s="377">
        <f>SUMIF('05月其他部门提成'!C:C,综合考核!S15,'05月其他部门提成'!O:O)</f>
        <v>10179.6665617</v>
      </c>
      <c r="X15" s="376"/>
      <c r="Y15" s="377">
        <f t="shared" si="6"/>
        <v>0</v>
      </c>
      <c r="Z15" s="376"/>
      <c r="AA15" s="376"/>
      <c r="AB15" s="378"/>
      <c r="AC15" s="42" t="str">
        <f t="shared" si="2"/>
        <v>陈浩</v>
      </c>
      <c r="AI15" s="387"/>
      <c r="AJ15" s="387"/>
      <c r="AK15" s="388"/>
      <c r="AL15" s="387"/>
      <c r="AM15" s="387"/>
      <c r="AN15" s="387"/>
      <c r="AO15" s="387"/>
      <c r="AP15" s="387"/>
      <c r="AQ15" s="387"/>
      <c r="AR15" s="387"/>
      <c r="AS15" s="387"/>
      <c r="AT15" s="387"/>
      <c r="AU15" s="387"/>
      <c r="AV15" s="387">
        <f>SUM(AL15:AU15)</f>
        <v>0</v>
      </c>
      <c r="AW15" s="389">
        <f t="shared" si="11"/>
        <v>0</v>
      </c>
      <c r="AX15" s="2071"/>
      <c r="AY15" s="318" t="s">
        <v>4504</v>
      </c>
      <c r="AZ15" s="318">
        <v>5</v>
      </c>
      <c r="BA15" s="381">
        <v>100</v>
      </c>
      <c r="BB15" s="381"/>
      <c r="BC15" s="381">
        <f t="shared" si="9"/>
        <v>100</v>
      </c>
      <c r="BD15" s="381">
        <f t="shared" si="10"/>
        <v>500</v>
      </c>
      <c r="BE15" s="382"/>
    </row>
    <row r="16" spans="1:57" ht="26.1" customHeight="1">
      <c r="A16" s="357" t="str">
        <f>'05月提成-武侯售后'!C17</f>
        <v>陶纯玲</v>
      </c>
      <c r="B16" s="358"/>
      <c r="C16" s="358"/>
      <c r="D16" s="358">
        <f>SUMIF('5月接送车'!D:D,综合考核!A16,'5月接送车'!E:E)</f>
        <v>0</v>
      </c>
      <c r="E16" s="369">
        <f>SUMIF('转介绍+留修奖励（已发现金）'!F:F,综合考核!A16,'转介绍+留修奖励（已发现金）'!H:H)+SUMIF('转介绍+留修奖励（已发现金）'!L:L,综合考核!A16,'转介绍+留修奖励（已发现金）'!M:M)++SUMIF('转介绍+留修奖励（已发现金）'!B:B,综合考核!A16,'转介绍+留修奖励（已发现金）'!C:C)</f>
        <v>0</v>
      </c>
      <c r="F16" s="360"/>
      <c r="G16" s="360">
        <f t="shared" si="3"/>
        <v>0</v>
      </c>
      <c r="H16" s="359"/>
      <c r="I16" s="359">
        <f>SUMIF(保客营销考核!E:E,A16,保客营销考核!J:J)</f>
        <v>0</v>
      </c>
      <c r="J16" s="361"/>
      <c r="K16" s="360">
        <f t="shared" si="4"/>
        <v>0</v>
      </c>
      <c r="L16" s="360"/>
      <c r="M16" s="370"/>
      <c r="N16" s="371">
        <f t="shared" si="0"/>
        <v>0</v>
      </c>
      <c r="O16" s="372"/>
      <c r="P16" s="42">
        <f>SUMIF('05月提成-武侯售后'!C:C,综合考核!A16,'05月提成-武侯售后'!L:L)</f>
        <v>0</v>
      </c>
      <c r="Q16" s="373">
        <f t="shared" si="12"/>
        <v>0</v>
      </c>
      <c r="R16" s="374">
        <v>13</v>
      </c>
      <c r="S16" s="391" t="s">
        <v>200</v>
      </c>
      <c r="T16" s="376">
        <v>100</v>
      </c>
      <c r="U16" s="376">
        <v>100</v>
      </c>
      <c r="V16" s="375">
        <f t="shared" si="8"/>
        <v>1</v>
      </c>
      <c r="W16" s="377">
        <f>SUMIF('05月其他部门提成'!C:C,综合考核!S16,'05月其他部门提成'!O:O)</f>
        <v>9851.2332210000095</v>
      </c>
      <c r="X16" s="376"/>
      <c r="Y16" s="377">
        <f t="shared" si="6"/>
        <v>0</v>
      </c>
      <c r="Z16" s="376"/>
      <c r="AA16" s="376"/>
      <c r="AB16" s="378"/>
      <c r="AC16" s="42" t="str">
        <f t="shared" si="2"/>
        <v>古镇吉</v>
      </c>
      <c r="AI16" s="387"/>
      <c r="AJ16" s="387"/>
      <c r="AK16" s="388"/>
      <c r="AL16" s="387"/>
      <c r="AM16" s="387"/>
      <c r="AN16" s="387"/>
      <c r="AO16" s="387"/>
      <c r="AP16" s="387"/>
      <c r="AQ16" s="387"/>
      <c r="AR16" s="387"/>
      <c r="AS16" s="387"/>
      <c r="AT16" s="387"/>
      <c r="AU16" s="387"/>
      <c r="AV16" s="387">
        <f>SUM(AL16:AU16)</f>
        <v>0</v>
      </c>
      <c r="AW16" s="389">
        <f t="shared" si="11"/>
        <v>0</v>
      </c>
      <c r="AX16" s="2071"/>
      <c r="AY16" s="318" t="s">
        <v>4505</v>
      </c>
      <c r="AZ16" s="318">
        <v>0</v>
      </c>
      <c r="BA16" s="381">
        <v>50</v>
      </c>
      <c r="BB16" s="381"/>
      <c r="BC16" s="381">
        <f t="shared" si="9"/>
        <v>50</v>
      </c>
      <c r="BD16" s="381">
        <f t="shared" si="10"/>
        <v>0</v>
      </c>
      <c r="BE16" s="382"/>
    </row>
    <row r="17" spans="1:58" ht="26.1" customHeight="1">
      <c r="A17" s="357" t="str">
        <f>'05月提成-武侯售后'!C18</f>
        <v>朱开莲</v>
      </c>
      <c r="B17" s="358">
        <f>SUMIF('6月配件'!K:K,综合考核!A17,'6月配件'!L:L)</f>
        <v>0</v>
      </c>
      <c r="C17" s="358">
        <f>SUMIF('6月配件'!K:K,A17,'6月配件'!M:M)</f>
        <v>0</v>
      </c>
      <c r="D17" s="358">
        <f>SUMIF('5月接送车'!D:D,综合考核!A17,'5月接送车'!E:E)</f>
        <v>0</v>
      </c>
      <c r="E17" s="369">
        <f>SUMIF('转介绍+留修奖励（已发现金）'!F:F,综合考核!A17,'转介绍+留修奖励（已发现金）'!H:H)+SUMIF('转介绍+留修奖励（已发现金）'!L:L,综合考核!A17,'转介绍+留修奖励（已发现金）'!M:M)++SUMIF('转介绍+留修奖励（已发现金）'!B:B,综合考核!A17,'转介绍+留修奖励（已发现金）'!C:C)</f>
        <v>0</v>
      </c>
      <c r="F17" s="360">
        <f>SUMIF(工作车救急!A:A,A17,工作车救急!B:B)</f>
        <v>0</v>
      </c>
      <c r="G17" s="360">
        <f t="shared" si="3"/>
        <v>0</v>
      </c>
      <c r="H17" s="359"/>
      <c r="I17" s="359">
        <f>SUMIF(保客营销考核!E:E,A17,保客营销考核!J:J)</f>
        <v>0</v>
      </c>
      <c r="J17" s="361">
        <f>SUMIF(服装扣款!D:D,综合考核!A17,服装扣款!R:R)</f>
        <v>0</v>
      </c>
      <c r="K17" s="360">
        <f t="shared" si="4"/>
        <v>0</v>
      </c>
      <c r="L17" s="360">
        <f>SUMIF('-月满意度考核'!C:C,综合考核!A17,'-月满意度考核'!J:J)</f>
        <v>0</v>
      </c>
      <c r="M17" s="370">
        <f>SUM(B17:K17)-E17</f>
        <v>0</v>
      </c>
      <c r="N17" s="371">
        <f t="shared" si="0"/>
        <v>0</v>
      </c>
      <c r="O17" s="372"/>
      <c r="Q17" s="373"/>
      <c r="R17" s="374">
        <v>14</v>
      </c>
      <c r="S17" s="391" t="s">
        <v>223</v>
      </c>
      <c r="T17" s="376">
        <v>100</v>
      </c>
      <c r="U17" s="376">
        <v>100</v>
      </c>
      <c r="V17" s="375">
        <f t="shared" si="8"/>
        <v>1</v>
      </c>
      <c r="W17" s="377">
        <f>SUMIF('05月其他部门提成'!C:C,综合考核!S17,'05月其他部门提成'!O:O)</f>
        <v>10179.6665617</v>
      </c>
      <c r="X17" s="392"/>
      <c r="Y17" s="377">
        <f t="shared" si="6"/>
        <v>0</v>
      </c>
      <c r="Z17" s="376"/>
      <c r="AA17" s="376"/>
      <c r="AB17" s="378"/>
      <c r="AC17" s="42" t="str">
        <f t="shared" si="2"/>
        <v>刘志洪</v>
      </c>
      <c r="AI17" s="387"/>
      <c r="AJ17" s="387"/>
      <c r="AK17" s="388"/>
      <c r="AL17" s="387"/>
      <c r="AM17" s="387"/>
      <c r="AN17" s="387"/>
      <c r="AO17" s="387"/>
      <c r="AP17" s="387"/>
      <c r="AQ17" s="387"/>
      <c r="AR17" s="387"/>
      <c r="AS17" s="387"/>
      <c r="AT17" s="387"/>
      <c r="AU17" s="387"/>
      <c r="AV17" s="387"/>
      <c r="AW17" s="389">
        <f t="shared" si="11"/>
        <v>0</v>
      </c>
      <c r="AX17" s="2071"/>
      <c r="AY17" s="318" t="s">
        <v>4506</v>
      </c>
      <c r="AZ17" s="318">
        <v>6</v>
      </c>
      <c r="BA17" s="381">
        <v>2</v>
      </c>
      <c r="BB17" s="381"/>
      <c r="BC17" s="381">
        <f t="shared" si="9"/>
        <v>2</v>
      </c>
      <c r="BD17" s="381">
        <f t="shared" si="10"/>
        <v>12</v>
      </c>
      <c r="BE17" s="382"/>
    </row>
    <row r="18" spans="1:58" ht="26.1" customHeight="1">
      <c r="A18" s="357" t="str">
        <f>'05月提成-武侯售后'!C19</f>
        <v>小计</v>
      </c>
      <c r="B18" s="358"/>
      <c r="C18" s="358"/>
      <c r="D18" s="358">
        <f>SUMIF('5月接送车'!D:D,综合考核!A18,'5月接送车'!E:E)</f>
        <v>0</v>
      </c>
      <c r="E18" s="369">
        <f>SUMIF('转介绍+留修奖励（已发现金）'!F:F,综合考核!A18,'转介绍+留修奖励（已发现金）'!H:H)+SUMIF('转介绍+留修奖励（已发现金）'!L:L,综合考核!A18,'转介绍+留修奖励（已发现金）'!M:M)++SUMIF('转介绍+留修奖励（已发现金）'!B:B,综合考核!A18,'转介绍+留修奖励（已发现金）'!C:C)</f>
        <v>0</v>
      </c>
      <c r="F18" s="360"/>
      <c r="G18" s="360">
        <f t="shared" si="3"/>
        <v>0</v>
      </c>
      <c r="H18" s="359"/>
      <c r="I18" s="359">
        <f>SUMIF(保客营销考核!E:E,A18,保客营销考核!J:J)</f>
        <v>0</v>
      </c>
      <c r="J18" s="361"/>
      <c r="K18" s="360">
        <f t="shared" si="4"/>
        <v>0</v>
      </c>
      <c r="L18" s="360"/>
      <c r="M18" s="370"/>
      <c r="N18" s="371"/>
      <c r="O18" s="372"/>
      <c r="Q18" s="373"/>
      <c r="R18" s="374">
        <v>15</v>
      </c>
      <c r="S18" s="391" t="s">
        <v>212</v>
      </c>
      <c r="T18" s="376">
        <v>100</v>
      </c>
      <c r="U18" s="376">
        <v>100</v>
      </c>
      <c r="V18" s="375">
        <f t="shared" si="8"/>
        <v>1</v>
      </c>
      <c r="W18" s="377">
        <f>SUMIF('05月其他部门提成'!C:C,综合考核!S18,'05月其他部门提成'!O:O)</f>
        <v>10672.231072750001</v>
      </c>
      <c r="X18" s="392"/>
      <c r="Y18" s="377">
        <f t="shared" si="6"/>
        <v>0</v>
      </c>
      <c r="Z18" s="376"/>
      <c r="AA18" s="376"/>
      <c r="AB18" s="378"/>
      <c r="AC18" s="42" t="str">
        <f t="shared" si="2"/>
        <v>姚金东</v>
      </c>
      <c r="AI18" s="387"/>
      <c r="AJ18" s="387"/>
      <c r="AK18" s="388"/>
      <c r="AL18" s="387"/>
      <c r="AM18" s="387"/>
      <c r="AN18" s="387"/>
      <c r="AO18" s="387"/>
      <c r="AP18" s="387"/>
      <c r="AQ18" s="387"/>
      <c r="AR18" s="387"/>
      <c r="AS18" s="387"/>
      <c r="AT18" s="387"/>
      <c r="AU18" s="387"/>
      <c r="AV18" s="387"/>
      <c r="AW18" s="389"/>
      <c r="AX18" s="2071"/>
      <c r="AY18" s="318" t="s">
        <v>4507</v>
      </c>
      <c r="AZ18" s="318">
        <v>2</v>
      </c>
      <c r="BA18" s="381">
        <v>20</v>
      </c>
      <c r="BB18" s="381"/>
      <c r="BC18" s="381">
        <f t="shared" si="9"/>
        <v>20</v>
      </c>
      <c r="BD18" s="381">
        <f t="shared" si="10"/>
        <v>40</v>
      </c>
      <c r="BE18" s="382"/>
    </row>
    <row r="19" spans="1:58" ht="26.1" customHeight="1">
      <c r="A19" s="357" t="str">
        <f>'05月提成-武侯售后'!C20</f>
        <v>唐梅</v>
      </c>
      <c r="B19" s="358">
        <f>SUMIF('6月配件'!K:K,综合考核!A19,'6月配件'!L:L)</f>
        <v>0</v>
      </c>
      <c r="C19" s="358">
        <f>SUMIF('6月配件'!K:K,A19,'6月配件'!M:M)</f>
        <v>0</v>
      </c>
      <c r="D19" s="358">
        <f>SUMIF('5月接送车'!D:D,综合考核!A19,'5月接送车'!E:E)</f>
        <v>0</v>
      </c>
      <c r="E19" s="369">
        <f>SUMIF('转介绍+留修奖励（已发现金）'!F:F,综合考核!A19,'转介绍+留修奖励（已发现金）'!H:H)+SUMIF('转介绍+留修奖励（已发现金）'!L:L,综合考核!A19,'转介绍+留修奖励（已发现金）'!M:M)++SUMIF('转介绍+留修奖励（已发现金）'!B:B,综合考核!A19,'转介绍+留修奖励（已发现金）'!C:C)</f>
        <v>0</v>
      </c>
      <c r="F19" s="360">
        <f>SUMIF(工作车救急!A:A,A19,工作车救急!B:B)</f>
        <v>0</v>
      </c>
      <c r="G19" s="360">
        <f t="shared" si="3"/>
        <v>0</v>
      </c>
      <c r="H19" s="359"/>
      <c r="I19" s="359">
        <f>SUMIF(保客营销考核!E:E,A19,保客营销考核!J:J)</f>
        <v>0</v>
      </c>
      <c r="J19" s="361">
        <f>SUMIF(服装扣款!D:D,综合考核!A19,服装扣款!R:R)</f>
        <v>0</v>
      </c>
      <c r="K19" s="360">
        <f t="shared" si="4"/>
        <v>0</v>
      </c>
      <c r="L19" s="360">
        <f>SUMIF('-月满意度考核'!C:C,综合考核!A19,'-月满意度考核'!J:J)</f>
        <v>0</v>
      </c>
      <c r="M19" s="370">
        <f t="shared" ref="M19:M71" si="13">SUM(B19:K19)-E19</f>
        <v>0</v>
      </c>
      <c r="N19" s="371">
        <f t="shared" ref="N19:N69" si="14">SUM(E19)</f>
        <v>0</v>
      </c>
      <c r="O19" s="372"/>
      <c r="P19" s="42">
        <f>SUMIF('05月提成-武侯售后'!C:C,综合考核!A19,'05月提成-武侯售后'!L:L)</f>
        <v>0</v>
      </c>
      <c r="Q19" s="373">
        <f t="shared" ref="Q19:Q71" si="15">M19-P19</f>
        <v>0</v>
      </c>
      <c r="R19" s="374">
        <v>16</v>
      </c>
      <c r="S19" s="391" t="s">
        <v>36</v>
      </c>
      <c r="T19" s="391">
        <v>100</v>
      </c>
      <c r="U19" s="376">
        <v>100</v>
      </c>
      <c r="V19" s="375">
        <f>IF(U19&gt;=95,100%,U19/100)</f>
        <v>1</v>
      </c>
      <c r="W19" s="377">
        <f>SUMIF('05月其他部门提成'!C:C,综合考核!S19,'05月其他部门提成'!O:O)</f>
        <v>8666.6666666666697</v>
      </c>
      <c r="X19" s="392"/>
      <c r="Y19" s="377">
        <f t="shared" si="6"/>
        <v>0</v>
      </c>
      <c r="Z19" s="376"/>
      <c r="AA19" s="376"/>
      <c r="AB19" s="378"/>
      <c r="AC19" s="42" t="str">
        <f t="shared" si="2"/>
        <v>曹磊</v>
      </c>
      <c r="AI19" s="387"/>
      <c r="AJ19" s="387"/>
      <c r="AK19" s="388"/>
      <c r="AL19" s="387"/>
      <c r="AM19" s="387"/>
      <c r="AN19" s="387"/>
      <c r="AO19" s="387"/>
      <c r="AP19" s="387"/>
      <c r="AQ19" s="387"/>
      <c r="AR19" s="387"/>
      <c r="AS19" s="387"/>
      <c r="AT19" s="387"/>
      <c r="AU19" s="387"/>
      <c r="AV19" s="387"/>
      <c r="AW19" s="389">
        <f t="shared" ref="AW19:AW42" si="16">INDEX(A:A,MATCH(AJ19,A:A,0))</f>
        <v>0</v>
      </c>
      <c r="AX19" s="2071"/>
      <c r="AY19" s="318" t="s">
        <v>4508</v>
      </c>
      <c r="AZ19" s="318">
        <v>0</v>
      </c>
      <c r="BA19" s="381">
        <v>6</v>
      </c>
      <c r="BB19" s="381"/>
      <c r="BC19" s="381">
        <f t="shared" ref="BC19:BC27" si="17">BA19</f>
        <v>6</v>
      </c>
      <c r="BD19" s="381">
        <f t="shared" si="10"/>
        <v>0</v>
      </c>
      <c r="BE19" s="382"/>
    </row>
    <row r="20" spans="1:58" ht="26.1" customHeight="1">
      <c r="A20" s="357" t="str">
        <f>'05月提成-武侯售后'!C21</f>
        <v>陈琳琳</v>
      </c>
      <c r="B20" s="358">
        <f>SUMIF('6月配件'!K:K,综合考核!A20,'6月配件'!L:L)</f>
        <v>0</v>
      </c>
      <c r="C20" s="358">
        <f>SUMIF('6月配件'!K:K,A20,'6月配件'!M:M)</f>
        <v>0</v>
      </c>
      <c r="D20" s="358">
        <f>SUMIF('5月接送车'!D:D,综合考核!A20,'5月接送车'!E:E)</f>
        <v>0</v>
      </c>
      <c r="E20" s="369">
        <f>SUMIF('转介绍+留修奖励（已发现金）'!F:F,综合考核!A20,'转介绍+留修奖励（已发现金）'!H:H)+SUMIF('转介绍+留修奖励（已发现金）'!L:L,综合考核!A20,'转介绍+留修奖励（已发现金）'!M:M)++SUMIF('转介绍+留修奖励（已发现金）'!B:B,综合考核!A20,'转介绍+留修奖励（已发现金）'!C:C)</f>
        <v>0</v>
      </c>
      <c r="F20" s="360">
        <f>SUMIF(工作车救急!A:A,A20,工作车救急!B:B)</f>
        <v>0</v>
      </c>
      <c r="G20" s="360">
        <f t="shared" si="3"/>
        <v>0</v>
      </c>
      <c r="H20" s="359"/>
      <c r="I20" s="359">
        <f>SUMIF(保客营销考核!E:E,A20,保客营销考核!J:J)</f>
        <v>0</v>
      </c>
      <c r="J20" s="361">
        <f>SUMIF(服装扣款!D:D,综合考核!A20,服装扣款!R:R)</f>
        <v>0</v>
      </c>
      <c r="K20" s="360">
        <f t="shared" si="4"/>
        <v>0</v>
      </c>
      <c r="L20" s="360">
        <f>SUMIF('-月满意度考核'!C:C,综合考核!A20,'-月满意度考核'!J:J)</f>
        <v>0</v>
      </c>
      <c r="M20" s="370">
        <f t="shared" si="13"/>
        <v>0</v>
      </c>
      <c r="N20" s="371">
        <f t="shared" si="14"/>
        <v>0</v>
      </c>
      <c r="O20" s="372"/>
      <c r="P20" s="42">
        <f>SUMIF('05月提成-武侯售后'!C:C,综合考核!A20,'05月提成-武侯售后'!L:L)</f>
        <v>0</v>
      </c>
      <c r="Q20" s="373">
        <f t="shared" ref="Q20:Q25" si="18">M20-P20</f>
        <v>0</v>
      </c>
      <c r="R20" s="374">
        <v>17</v>
      </c>
      <c r="S20" s="393" t="s">
        <v>37</v>
      </c>
      <c r="T20" s="391">
        <v>100</v>
      </c>
      <c r="U20" s="376">
        <v>100</v>
      </c>
      <c r="V20" s="375">
        <f>IF(U20&gt;=95,100%,U20/100)</f>
        <v>1</v>
      </c>
      <c r="W20" s="377">
        <f>SUMIF('05月其他部门提成'!C:C,综合考核!S20,'05月其他部门提成'!O:O)</f>
        <v>10833.33</v>
      </c>
      <c r="X20" s="392"/>
      <c r="Y20" s="377">
        <f t="shared" ref="Y20:Y21" si="19">-W20*(1-V20)+X20</f>
        <v>0</v>
      </c>
      <c r="Z20" s="376"/>
      <c r="AA20" s="376">
        <f>-(W20*Z20)</f>
        <v>0</v>
      </c>
      <c r="AB20" s="378"/>
      <c r="AC20" s="42" t="str">
        <f t="shared" si="2"/>
        <v>曾吉斌</v>
      </c>
      <c r="AI20" s="387"/>
      <c r="AJ20" s="387"/>
      <c r="AK20" s="388"/>
      <c r="AL20" s="387"/>
      <c r="AM20" s="387"/>
      <c r="AN20" s="387"/>
      <c r="AO20" s="387"/>
      <c r="AP20" s="387"/>
      <c r="AQ20" s="387"/>
      <c r="AR20" s="387"/>
      <c r="AS20" s="387"/>
      <c r="AT20" s="387"/>
      <c r="AU20" s="387"/>
      <c r="AV20" s="387"/>
      <c r="AW20" s="389">
        <f t="shared" si="16"/>
        <v>0</v>
      </c>
      <c r="AX20" s="2071"/>
      <c r="AY20" s="318" t="s">
        <v>4509</v>
      </c>
      <c r="AZ20" s="318">
        <v>430</v>
      </c>
      <c r="BA20" s="381">
        <v>1</v>
      </c>
      <c r="BB20" s="381"/>
      <c r="BC20" s="381">
        <f t="shared" si="17"/>
        <v>1</v>
      </c>
      <c r="BD20" s="381">
        <f t="shared" si="10"/>
        <v>430</v>
      </c>
      <c r="BE20" s="382"/>
    </row>
    <row r="21" spans="1:58" ht="26.1" customHeight="1">
      <c r="A21" s="357" t="str">
        <f>'05月提成-武侯售后'!C22</f>
        <v>邱昭丽</v>
      </c>
      <c r="B21" s="358">
        <f>SUMIF('6月配件'!K:K,综合考核!A21,'6月配件'!L:L)</f>
        <v>0</v>
      </c>
      <c r="C21" s="358">
        <f>SUMIF('6月配件'!K:K,A21,'6月配件'!M:M)</f>
        <v>0</v>
      </c>
      <c r="D21" s="358">
        <f>SUMIF('5月接送车'!D:D,综合考核!A21,'5月接送车'!E:E)</f>
        <v>0</v>
      </c>
      <c r="E21" s="369">
        <f>SUMIF('转介绍+留修奖励（已发现金）'!F:F,综合考核!A21,'转介绍+留修奖励（已发现金）'!H:H)+SUMIF('转介绍+留修奖励（已发现金）'!L:L,综合考核!A21,'转介绍+留修奖励（已发现金）'!M:M)++SUMIF('转介绍+留修奖励（已发现金）'!B:B,综合考核!A21,'转介绍+留修奖励（已发现金）'!C:C)</f>
        <v>0</v>
      </c>
      <c r="F21" s="360">
        <f>SUMIF(工作车救急!A:A,A21,工作车救急!B:B)</f>
        <v>0</v>
      </c>
      <c r="G21" s="360">
        <f t="shared" si="3"/>
        <v>0</v>
      </c>
      <c r="H21" s="359"/>
      <c r="I21" s="359">
        <f>SUMIF(保客营销考核!E:E,A21,保客营销考核!J:J)</f>
        <v>0</v>
      </c>
      <c r="J21" s="361">
        <f>SUMIF(服装扣款!D:D,综合考核!A21,服装扣款!R:R)</f>
        <v>0</v>
      </c>
      <c r="K21" s="360">
        <f t="shared" si="4"/>
        <v>0</v>
      </c>
      <c r="L21" s="360">
        <f>SUMIF('-月满意度考核'!C:C,综合考核!A21,'-月满意度考核'!J:J)</f>
        <v>0</v>
      </c>
      <c r="M21" s="370">
        <f t="shared" si="13"/>
        <v>0</v>
      </c>
      <c r="N21" s="371">
        <f t="shared" si="14"/>
        <v>0</v>
      </c>
      <c r="O21" s="372"/>
      <c r="P21" s="42">
        <f>SUMIF('05月提成-武侯售后'!C:C,综合考核!A21,'05月提成-武侯售后'!L:L)</f>
        <v>0</v>
      </c>
      <c r="Q21" s="373">
        <f t="shared" si="18"/>
        <v>0</v>
      </c>
      <c r="R21" s="374">
        <v>18</v>
      </c>
      <c r="S21" s="394" t="s">
        <v>196</v>
      </c>
      <c r="T21" s="391">
        <v>100</v>
      </c>
      <c r="U21" s="376">
        <v>100</v>
      </c>
      <c r="V21" s="375">
        <f>IF(U21&gt;=95,100%,U21/100)</f>
        <v>1</v>
      </c>
      <c r="W21" s="377">
        <f>SUMIF('05月其他部门提成'!C:C,综合考核!S21,'05月其他部门提成'!O:O)</f>
        <v>6800</v>
      </c>
      <c r="X21" s="392"/>
      <c r="Y21" s="377">
        <f t="shared" si="19"/>
        <v>0</v>
      </c>
      <c r="Z21" s="376"/>
      <c r="AA21" s="376">
        <f>-(W21*Z21)</f>
        <v>0</v>
      </c>
      <c r="AB21" s="378"/>
      <c r="AC21" s="42" t="str">
        <f t="shared" si="2"/>
        <v>罗筱凡</v>
      </c>
      <c r="AI21" s="387"/>
      <c r="AJ21" s="387"/>
      <c r="AK21" s="388"/>
      <c r="AL21" s="387"/>
      <c r="AM21" s="387"/>
      <c r="AN21" s="387"/>
      <c r="AO21" s="387"/>
      <c r="AP21" s="387"/>
      <c r="AQ21" s="387"/>
      <c r="AR21" s="387"/>
      <c r="AS21" s="387"/>
      <c r="AT21" s="387"/>
      <c r="AU21" s="387"/>
      <c r="AV21" s="387"/>
      <c r="AW21" s="389">
        <f t="shared" si="16"/>
        <v>0</v>
      </c>
      <c r="AX21" s="2071"/>
      <c r="AY21" s="318" t="s">
        <v>4510</v>
      </c>
      <c r="AZ21" s="318">
        <v>0</v>
      </c>
      <c r="BA21" s="381">
        <v>20</v>
      </c>
      <c r="BB21" s="381"/>
      <c r="BC21" s="381">
        <f t="shared" si="17"/>
        <v>20</v>
      </c>
      <c r="BD21" s="381">
        <f t="shared" si="10"/>
        <v>0</v>
      </c>
      <c r="BE21" s="382"/>
    </row>
    <row r="22" spans="1:58" ht="26.1" customHeight="1">
      <c r="A22" s="357" t="str">
        <f>'05月提成-武侯售后'!C23</f>
        <v>黄雪梅</v>
      </c>
      <c r="B22" s="358">
        <f>SUMIF('6月配件'!K:K,综合考核!A22,'6月配件'!L:L)</f>
        <v>0</v>
      </c>
      <c r="C22" s="358">
        <f>SUMIF('6月配件'!K:K,A22,'6月配件'!M:M)</f>
        <v>0</v>
      </c>
      <c r="D22" s="358">
        <f>SUMIF('5月接送车'!D:D,综合考核!A22,'5月接送车'!E:E)</f>
        <v>0</v>
      </c>
      <c r="E22" s="369">
        <f>SUMIF('转介绍+留修奖励（已发现金）'!F:F,综合考核!A22,'转介绍+留修奖励（已发现金）'!H:H)+SUMIF('转介绍+留修奖励（已发现金）'!L:L,综合考核!A22,'转介绍+留修奖励（已发现金）'!M:M)++SUMIF('转介绍+留修奖励（已发现金）'!B:B,综合考核!A22,'转介绍+留修奖励（已发现金）'!C:C)</f>
        <v>0</v>
      </c>
      <c r="F22" s="360">
        <f>SUMIF(工作车救急!A:A,A22,工作车救急!B:B)</f>
        <v>0</v>
      </c>
      <c r="G22" s="360">
        <f t="shared" ref="G22:G36" si="20">SUMIF(AJ:AJ,A22,AV:AV)</f>
        <v>0</v>
      </c>
      <c r="H22" s="361"/>
      <c r="I22" s="359">
        <f>SUMIF(保客营销考核!E:E,A22,保客营销考核!J:J)</f>
        <v>0</v>
      </c>
      <c r="J22" s="361">
        <f>SUMIF(服装扣款!D:D,综合考核!A22,服装扣款!R:R)</f>
        <v>0</v>
      </c>
      <c r="K22" s="360">
        <f t="shared" si="4"/>
        <v>0</v>
      </c>
      <c r="L22" s="360">
        <f>SUMIF('-月满意度考核'!C:C,综合考核!A22,'-月满意度考核'!J:J)</f>
        <v>0</v>
      </c>
      <c r="M22" s="370">
        <f t="shared" si="13"/>
        <v>0</v>
      </c>
      <c r="N22" s="371">
        <f t="shared" si="14"/>
        <v>0</v>
      </c>
      <c r="O22" s="372"/>
      <c r="P22" s="42">
        <f>SUMIF('05月提成-武侯售后'!C:C,综合考核!A22,'05月提成-武侯售后'!L:L)</f>
        <v>0</v>
      </c>
      <c r="Q22" s="373">
        <f t="shared" si="18"/>
        <v>0</v>
      </c>
      <c r="R22" s="395" t="s">
        <v>311</v>
      </c>
      <c r="S22" s="396"/>
      <c r="T22" s="396"/>
      <c r="U22" s="397"/>
      <c r="V22" s="396"/>
      <c r="W22" s="396"/>
      <c r="X22" s="396"/>
      <c r="Y22" s="398">
        <f>SUM(Y4:Y21)</f>
        <v>0</v>
      </c>
      <c r="Z22" s="396"/>
      <c r="AA22" s="397">
        <f>-(W22*Z22)</f>
        <v>0</v>
      </c>
      <c r="AB22" s="399"/>
      <c r="AI22" s="387"/>
      <c r="AJ22" s="387"/>
      <c r="AK22" s="388"/>
      <c r="AL22" s="387"/>
      <c r="AM22" s="387"/>
      <c r="AN22" s="387"/>
      <c r="AO22" s="387"/>
      <c r="AP22" s="387"/>
      <c r="AQ22" s="387"/>
      <c r="AR22" s="387"/>
      <c r="AS22" s="387"/>
      <c r="AT22" s="387"/>
      <c r="AU22" s="387"/>
      <c r="AV22" s="387"/>
      <c r="AW22" s="389">
        <f t="shared" si="16"/>
        <v>0</v>
      </c>
      <c r="AX22" s="2071"/>
      <c r="AY22" s="318" t="s">
        <v>4511</v>
      </c>
      <c r="AZ22" s="318">
        <v>0</v>
      </c>
      <c r="BA22" s="381">
        <v>50</v>
      </c>
      <c r="BB22" s="381"/>
      <c r="BC22" s="381">
        <f t="shared" si="17"/>
        <v>50</v>
      </c>
      <c r="BD22" s="381">
        <f t="shared" si="10"/>
        <v>0</v>
      </c>
      <c r="BE22" s="382"/>
    </row>
    <row r="23" spans="1:58" ht="26.1" customHeight="1">
      <c r="A23" s="357" t="str">
        <f>'05月提成-武侯售后'!C24</f>
        <v>李彩琼</v>
      </c>
      <c r="B23" s="358">
        <f>SUMIF('6月配件'!K:K,综合考核!A23,'6月配件'!L:L)</f>
        <v>0</v>
      </c>
      <c r="C23" s="358">
        <f>SUMIF('6月配件'!K:K,A23,'6月配件'!M:M)</f>
        <v>0</v>
      </c>
      <c r="D23" s="358">
        <f>SUMIF('5月接送车'!D:D,综合考核!A23,'5月接送车'!E:E)</f>
        <v>0</v>
      </c>
      <c r="E23" s="369">
        <f>SUMIF('转介绍+留修奖励（已发现金）'!F:F,综合考核!A23,'转介绍+留修奖励（已发现金）'!H:H)+SUMIF('转介绍+留修奖励（已发现金）'!L:L,综合考核!A23,'转介绍+留修奖励（已发现金）'!M:M)++SUMIF('转介绍+留修奖励（已发现金）'!B:B,综合考核!A23,'转介绍+留修奖励（已发现金）'!C:C)</f>
        <v>0</v>
      </c>
      <c r="F23" s="360">
        <f>SUMIF(工作车救急!A:A,A23,工作车救急!B:B)</f>
        <v>0</v>
      </c>
      <c r="G23" s="360">
        <f t="shared" si="20"/>
        <v>0</v>
      </c>
      <c r="H23" s="361"/>
      <c r="I23" s="359">
        <f>SUMIF(保客营销考核!E:E,A23,保客营销考核!J:J)</f>
        <v>0</v>
      </c>
      <c r="J23" s="361">
        <f>SUMIF(服装扣款!D:D,综合考核!A23,服装扣款!R:R)</f>
        <v>0</v>
      </c>
      <c r="K23" s="360">
        <f t="shared" si="4"/>
        <v>0</v>
      </c>
      <c r="L23" s="360">
        <f>SUMIF('-月满意度考核'!C:C,综合考核!A23,'-月满意度考核'!J:J)</f>
        <v>0</v>
      </c>
      <c r="M23" s="370">
        <f t="shared" si="13"/>
        <v>0</v>
      </c>
      <c r="N23" s="371">
        <f t="shared" si="14"/>
        <v>0</v>
      </c>
      <c r="O23" s="372"/>
      <c r="P23" s="42">
        <f>SUMIF('05月提成-武侯售后'!C:C,综合考核!A23,'05月提成-武侯售后'!L:L)</f>
        <v>0</v>
      </c>
      <c r="Q23" s="373">
        <f t="shared" si="18"/>
        <v>0</v>
      </c>
      <c r="AI23" s="2058" t="s">
        <v>232</v>
      </c>
      <c r="AJ23" s="2058"/>
      <c r="AK23" s="387"/>
      <c r="AL23" s="387">
        <f>SUM(AL11:AL22)</f>
        <v>0</v>
      </c>
      <c r="AM23" s="387">
        <f t="shared" ref="AM23:AV23" si="21">SUM(AM11:AM22)</f>
        <v>0</v>
      </c>
      <c r="AN23" s="387">
        <f t="shared" si="21"/>
        <v>0</v>
      </c>
      <c r="AO23" s="387">
        <f t="shared" si="21"/>
        <v>0</v>
      </c>
      <c r="AP23" s="387">
        <f t="shared" si="21"/>
        <v>0</v>
      </c>
      <c r="AQ23" s="387">
        <f t="shared" si="21"/>
        <v>0</v>
      </c>
      <c r="AR23" s="387">
        <f t="shared" si="21"/>
        <v>0</v>
      </c>
      <c r="AS23" s="387">
        <f t="shared" si="21"/>
        <v>0</v>
      </c>
      <c r="AT23" s="387">
        <f t="shared" si="21"/>
        <v>0</v>
      </c>
      <c r="AU23" s="387">
        <f t="shared" si="21"/>
        <v>0</v>
      </c>
      <c r="AV23" s="387">
        <f t="shared" si="21"/>
        <v>0</v>
      </c>
      <c r="AW23" s="389">
        <f t="shared" si="16"/>
        <v>0</v>
      </c>
      <c r="AX23" s="2071"/>
      <c r="AY23" s="318" t="s">
        <v>4512</v>
      </c>
      <c r="AZ23" s="318">
        <v>88</v>
      </c>
      <c r="BA23" s="381">
        <v>10</v>
      </c>
      <c r="BB23" s="381"/>
      <c r="BC23" s="381">
        <f t="shared" si="17"/>
        <v>10</v>
      </c>
      <c r="BD23" s="381">
        <f t="shared" si="10"/>
        <v>880</v>
      </c>
      <c r="BE23" s="382"/>
    </row>
    <row r="24" spans="1:58" ht="26.1" customHeight="1">
      <c r="A24" s="357" t="str">
        <f>'05月提成-武侯售后'!C25</f>
        <v>向阳</v>
      </c>
      <c r="B24" s="358">
        <f>SUMIF('6月配件'!K:K,综合考核!A24,'6月配件'!L:L)</f>
        <v>0</v>
      </c>
      <c r="C24" s="358">
        <f>SUMIF('6月配件'!K:K,A24,'6月配件'!M:M)</f>
        <v>0</v>
      </c>
      <c r="D24" s="358">
        <f>SUMIF('5月接送车'!D:D,综合考核!A24,'5月接送车'!E:E)</f>
        <v>0</v>
      </c>
      <c r="E24" s="369">
        <f>SUMIF('转介绍+留修奖励（已发现金）'!F:F,综合考核!A24,'转介绍+留修奖励（已发现金）'!H:H)+SUMIF('转介绍+留修奖励（已发现金）'!L:L,综合考核!A24,'转介绍+留修奖励（已发现金）'!M:M)++SUMIF('转介绍+留修奖励（已发现金）'!B:B,综合考核!A24,'转介绍+留修奖励（已发现金）'!C:C)</f>
        <v>0</v>
      </c>
      <c r="F24" s="360">
        <f>SUMIF(工作车救急!A:A,A24,工作车救急!B:B)</f>
        <v>0</v>
      </c>
      <c r="G24" s="360">
        <f t="shared" si="20"/>
        <v>0</v>
      </c>
      <c r="H24" s="361"/>
      <c r="I24" s="359">
        <f>SUMIF(保客营销考核!E:E,A24,保客营销考核!J:J)</f>
        <v>0</v>
      </c>
      <c r="J24" s="361">
        <f>SUMIF(服装扣款!D:D,综合考核!A24,服装扣款!R:R)</f>
        <v>0</v>
      </c>
      <c r="K24" s="360">
        <f t="shared" si="4"/>
        <v>0</v>
      </c>
      <c r="L24" s="360">
        <f>SUMIF('-月满意度考核'!C:C,综合考核!A24,'-月满意度考核'!J:J)</f>
        <v>0</v>
      </c>
      <c r="M24" s="370">
        <f t="shared" si="13"/>
        <v>0</v>
      </c>
      <c r="N24" s="371">
        <f t="shared" si="14"/>
        <v>0</v>
      </c>
      <c r="O24" s="372"/>
      <c r="P24" s="42">
        <f>SUMIF('05月提成-武侯售后'!C:C,综合考核!A24,'05月提成-武侯售后'!L:L)</f>
        <v>0</v>
      </c>
      <c r="Q24" s="373">
        <f t="shared" si="18"/>
        <v>0</v>
      </c>
      <c r="U24" s="42"/>
      <c r="AI24" s="400"/>
      <c r="AJ24" s="400"/>
      <c r="AK24" s="400"/>
      <c r="AL24" s="400"/>
      <c r="AM24" s="400"/>
      <c r="AN24" s="400"/>
      <c r="AO24" s="400"/>
      <c r="AP24" s="400"/>
      <c r="AQ24" s="400"/>
      <c r="AR24" s="400"/>
      <c r="AS24" s="400"/>
      <c r="AT24" s="400"/>
      <c r="AU24" s="400"/>
      <c r="AV24" s="400"/>
      <c r="AW24" s="389">
        <f t="shared" si="16"/>
        <v>0</v>
      </c>
      <c r="AX24" s="2071"/>
      <c r="AY24" s="401" t="s">
        <v>4513</v>
      </c>
      <c r="AZ24" s="318">
        <v>84</v>
      </c>
      <c r="BA24" s="381">
        <v>2</v>
      </c>
      <c r="BB24" s="381"/>
      <c r="BC24" s="381">
        <f t="shared" si="17"/>
        <v>2</v>
      </c>
      <c r="BD24" s="381">
        <f t="shared" si="10"/>
        <v>168</v>
      </c>
      <c r="BE24" s="382" t="s">
        <v>4514</v>
      </c>
    </row>
    <row r="25" spans="1:58" ht="26.1" customHeight="1">
      <c r="A25" s="357" t="str">
        <f>'05月提成-武侯售后'!C26</f>
        <v>小计</v>
      </c>
      <c r="B25" s="358">
        <f>SUMIF('6月配件'!K:K,综合考核!A25,'6月配件'!L:L)</f>
        <v>0</v>
      </c>
      <c r="C25" s="358">
        <f>SUMIF('6月配件'!K:K,A25,'6月配件'!M:M)</f>
        <v>0</v>
      </c>
      <c r="D25" s="358">
        <f>SUMIF('5月接送车'!D:D,综合考核!A25,'5月接送车'!E:E)</f>
        <v>0</v>
      </c>
      <c r="E25" s="369">
        <f>SUMIF('转介绍+留修奖励（已发现金）'!F:F,综合考核!A25,'转介绍+留修奖励（已发现金）'!H:H)+SUMIF('转介绍+留修奖励（已发现金）'!L:L,综合考核!A25,'转介绍+留修奖励（已发现金）'!M:M)++SUMIF('转介绍+留修奖励（已发现金）'!B:B,综合考核!A25,'转介绍+留修奖励（已发现金）'!C:C)</f>
        <v>0</v>
      </c>
      <c r="F25" s="360">
        <f>SUMIF(工作车救急!A:A,A25,工作车救急!B:B)</f>
        <v>0</v>
      </c>
      <c r="G25" s="360">
        <f t="shared" si="20"/>
        <v>0</v>
      </c>
      <c r="H25" s="361"/>
      <c r="I25" s="359">
        <f>SUMIF(保客营销考核!E:E,A25,保客营销考核!J:J)</f>
        <v>0</v>
      </c>
      <c r="J25" s="361">
        <f>SUMIF(服装扣款!D:D,综合考核!A25,服装扣款!R:R)</f>
        <v>0</v>
      </c>
      <c r="K25" s="360">
        <f t="shared" si="4"/>
        <v>0</v>
      </c>
      <c r="L25" s="360">
        <f>SUMIF('-月满意度考核'!C:C,综合考核!A25,'-月满意度考核'!J:J)</f>
        <v>0</v>
      </c>
      <c r="M25" s="370">
        <f t="shared" si="13"/>
        <v>0</v>
      </c>
      <c r="N25" s="371">
        <f t="shared" si="14"/>
        <v>0</v>
      </c>
      <c r="O25" s="372"/>
      <c r="Q25" s="373">
        <f t="shared" si="18"/>
        <v>0</v>
      </c>
      <c r="U25" s="42"/>
      <c r="AI25" s="2069" t="s">
        <v>316</v>
      </c>
      <c r="AJ25" s="400"/>
      <c r="AK25" s="400"/>
      <c r="AL25" s="400"/>
      <c r="AM25" s="400"/>
      <c r="AN25" s="400"/>
      <c r="AO25" s="400"/>
      <c r="AP25" s="400"/>
      <c r="AQ25" s="400"/>
      <c r="AR25" s="400"/>
      <c r="AS25" s="400"/>
      <c r="AT25" s="400"/>
      <c r="AU25" s="400"/>
      <c r="AV25" s="400"/>
      <c r="AW25" s="389">
        <f t="shared" si="16"/>
        <v>0</v>
      </c>
      <c r="AX25" s="2071"/>
      <c r="AY25" s="118" t="s">
        <v>4515</v>
      </c>
      <c r="AZ25" s="318">
        <v>0</v>
      </c>
      <c r="BA25" s="381">
        <v>10</v>
      </c>
      <c r="BB25" s="381"/>
      <c r="BC25" s="381">
        <f t="shared" si="17"/>
        <v>10</v>
      </c>
      <c r="BD25" s="381">
        <f t="shared" si="10"/>
        <v>0</v>
      </c>
      <c r="BE25" s="382" t="s">
        <v>4516</v>
      </c>
    </row>
    <row r="26" spans="1:58" ht="26.1" customHeight="1">
      <c r="A26" s="357" t="str">
        <f>'05月提成-武侯售后'!C27</f>
        <v>阳国华</v>
      </c>
      <c r="B26" s="358">
        <f>SUMIF('6月配件'!K:K,综合考核!A26,'6月配件'!L:L)</f>
        <v>0</v>
      </c>
      <c r="C26" s="358">
        <f>SUMIF('6月配件'!K:K,A26,'6月配件'!M:M)</f>
        <v>0</v>
      </c>
      <c r="D26" s="358">
        <f>SUMIF('5月接送车'!D:D,综合考核!A26,'5月接送车'!E:E)</f>
        <v>0</v>
      </c>
      <c r="E26" s="369">
        <f>SUMIF('转介绍+留修奖励（已发现金）'!F:F,综合考核!A26,'转介绍+留修奖励（已发现金）'!H:H)+SUMIF('转介绍+留修奖励（已发现金）'!L:L,综合考核!A26,'转介绍+留修奖励（已发现金）'!M:M)++SUMIF('转介绍+留修奖励（已发现金）'!B:B,综合考核!A26,'转介绍+留修奖励（已发现金）'!C:C)</f>
        <v>0</v>
      </c>
      <c r="F26" s="360">
        <f>SUMIF(工作车救急!A:A,A26,工作车救急!B:B)</f>
        <v>0</v>
      </c>
      <c r="G26" s="360">
        <f t="shared" si="20"/>
        <v>0</v>
      </c>
      <c r="H26" s="361"/>
      <c r="I26" s="359">
        <f>SUMIF(保客营销考核!E:E,A26,保客营销考核!J:J)</f>
        <v>0</v>
      </c>
      <c r="J26" s="361">
        <f>SUMIF(服装扣款!D:D,综合考核!A26,服装扣款!R:R)</f>
        <v>0</v>
      </c>
      <c r="K26" s="360">
        <f t="shared" si="4"/>
        <v>0</v>
      </c>
      <c r="L26" s="360">
        <f>SUMIF('-月满意度考核'!C:C,综合考核!A26,'-月满意度考核'!J:J)</f>
        <v>0</v>
      </c>
      <c r="M26" s="370">
        <f t="shared" si="13"/>
        <v>0</v>
      </c>
      <c r="N26" s="371">
        <f t="shared" si="14"/>
        <v>0</v>
      </c>
      <c r="O26" s="372"/>
      <c r="P26" s="42">
        <f>SUMIF('05月提成-武侯售后'!C:C,综合考核!A26,'05月提成-武侯售后'!L:L)</f>
        <v>0</v>
      </c>
      <c r="Q26" s="373">
        <f t="shared" ref="Q26" si="22">M26-P26</f>
        <v>0</v>
      </c>
      <c r="U26" s="42"/>
      <c r="AI26" s="2069"/>
      <c r="AJ26" s="400"/>
      <c r="AK26" s="400"/>
      <c r="AL26" s="400"/>
      <c r="AM26" s="400"/>
      <c r="AN26" s="400"/>
      <c r="AO26" s="400"/>
      <c r="AP26" s="400"/>
      <c r="AQ26" s="400"/>
      <c r="AR26" s="400"/>
      <c r="AS26" s="400"/>
      <c r="AT26" s="400"/>
      <c r="AU26" s="400"/>
      <c r="AV26" s="400"/>
      <c r="AW26" s="389">
        <f t="shared" si="16"/>
        <v>0</v>
      </c>
      <c r="AX26" s="402"/>
      <c r="AY26" s="403" t="s">
        <v>4517</v>
      </c>
      <c r="AZ26" s="318">
        <v>1</v>
      </c>
      <c r="BA26" s="404">
        <v>50</v>
      </c>
      <c r="BB26" s="404"/>
      <c r="BC26" s="381">
        <f t="shared" si="17"/>
        <v>50</v>
      </c>
      <c r="BD26" s="381">
        <f t="shared" si="10"/>
        <v>50</v>
      </c>
      <c r="BE26" s="404"/>
    </row>
    <row r="27" spans="1:58" ht="26.1" customHeight="1">
      <c r="A27" s="357" t="str">
        <f>'05月提成-武侯售后'!C28</f>
        <v>舒童强</v>
      </c>
      <c r="B27" s="358">
        <f>SUMIF('6月配件'!K:K,综合考核!A27,'6月配件'!L:L)</f>
        <v>0</v>
      </c>
      <c r="C27" s="358">
        <f>SUMIF('6月配件'!K:K,A27,'6月配件'!M:M)</f>
        <v>0</v>
      </c>
      <c r="D27" s="358">
        <f>SUMIF('5月接送车'!D:D,综合考核!A27,'5月接送车'!E:E)</f>
        <v>0</v>
      </c>
      <c r="E27" s="369">
        <f>SUMIF('转介绍+留修奖励（已发现金）'!F:F,综合考核!A27,'转介绍+留修奖励（已发现金）'!H:H)+SUMIF('转介绍+留修奖励（已发现金）'!L:L,综合考核!A27,'转介绍+留修奖励（已发现金）'!M:M)++SUMIF('转介绍+留修奖励（已发现金）'!B:B,综合考核!A27,'转介绍+留修奖励（已发现金）'!C:C)</f>
        <v>0</v>
      </c>
      <c r="F27" s="360">
        <f>SUMIF(工作车救急!A:A,A27,工作车救急!B:B)</f>
        <v>0</v>
      </c>
      <c r="G27" s="360">
        <f t="shared" si="20"/>
        <v>0</v>
      </c>
      <c r="H27" s="361"/>
      <c r="I27" s="359">
        <f>SUMIF(保客营销考核!E:E,A27,保客营销考核!J:J)</f>
        <v>0</v>
      </c>
      <c r="J27" s="361">
        <f>SUMIF(服装扣款!D:D,综合考核!A27,服装扣款!R:R)</f>
        <v>0</v>
      </c>
      <c r="K27" s="360">
        <f t="shared" si="4"/>
        <v>0</v>
      </c>
      <c r="L27" s="360">
        <f>SUMIF('-月满意度考核'!C:C,综合考核!A27,'-月满意度考核'!J:J)</f>
        <v>0</v>
      </c>
      <c r="M27" s="370">
        <f t="shared" si="13"/>
        <v>0</v>
      </c>
      <c r="N27" s="371">
        <f t="shared" si="14"/>
        <v>0</v>
      </c>
      <c r="O27" s="372"/>
      <c r="P27" s="42">
        <f>SUMIF('05月提成-武侯售后'!C:C,综合考核!A27,'05月提成-武侯售后'!L:L)</f>
        <v>0</v>
      </c>
      <c r="Q27" s="373">
        <f t="shared" si="15"/>
        <v>0</v>
      </c>
      <c r="U27" s="42"/>
      <c r="AI27" s="387"/>
      <c r="AJ27" s="387"/>
      <c r="AK27" s="388"/>
      <c r="AL27" s="387"/>
      <c r="AM27" s="2058"/>
      <c r="AN27" s="2058"/>
      <c r="AO27" s="2058"/>
      <c r="AP27" s="2058"/>
      <c r="AQ27" s="2058"/>
      <c r="AR27" s="2058"/>
      <c r="AS27" s="2058"/>
      <c r="AT27" s="387"/>
      <c r="AU27" s="387"/>
      <c r="AV27" s="387"/>
      <c r="AW27" s="389">
        <f t="shared" si="16"/>
        <v>0</v>
      </c>
      <c r="AX27" s="402"/>
      <c r="AY27" s="318"/>
      <c r="AZ27" s="318"/>
      <c r="BA27" s="404"/>
      <c r="BB27" s="404"/>
      <c r="BC27" s="381">
        <f t="shared" si="17"/>
        <v>0</v>
      </c>
      <c r="BD27" s="381">
        <f t="shared" si="10"/>
        <v>0</v>
      </c>
      <c r="BE27" s="404"/>
    </row>
    <row r="28" spans="1:58" ht="26.1" customHeight="1">
      <c r="A28" s="357" t="str">
        <f>'05月提成-武侯售后'!C29</f>
        <v>罗义瑕</v>
      </c>
      <c r="B28" s="358">
        <f>SUMIF('6月配件'!K:K,综合考核!A28,'6月配件'!L:L)</f>
        <v>0</v>
      </c>
      <c r="C28" s="358">
        <f>SUMIF('6月配件'!K:K,A28,'6月配件'!M:M)</f>
        <v>0</v>
      </c>
      <c r="D28" s="358">
        <f>SUMIF('5月接送车'!D:D,综合考核!A28,'5月接送车'!E:E)</f>
        <v>0</v>
      </c>
      <c r="E28" s="369">
        <f>SUMIF('转介绍+留修奖励（已发现金）'!F:F,综合考核!A28,'转介绍+留修奖励（已发现金）'!H:H)+SUMIF('转介绍+留修奖励（已发现金）'!L:L,综合考核!A28,'转介绍+留修奖励（已发现金）'!M:M)++SUMIF('转介绍+留修奖励（已发现金）'!B:B,综合考核!A28,'转介绍+留修奖励（已发现金）'!C:C)</f>
        <v>0</v>
      </c>
      <c r="F28" s="360">
        <f>SUMIF(工作车救急!A:A,A28,工作车救急!B:B)</f>
        <v>0</v>
      </c>
      <c r="G28" s="360">
        <f t="shared" si="20"/>
        <v>0</v>
      </c>
      <c r="H28" s="361"/>
      <c r="I28" s="359">
        <f>SUMIF(保客营销考核!E:E,A28,保客营销考核!J:J)</f>
        <v>0</v>
      </c>
      <c r="J28" s="361">
        <f>SUMIF(服装扣款!D:D,综合考核!A28,服装扣款!R:R)</f>
        <v>0</v>
      </c>
      <c r="K28" s="360">
        <f t="shared" si="4"/>
        <v>0</v>
      </c>
      <c r="L28" s="360">
        <f>SUMIF('-月满意度考核'!C:C,综合考核!A28,'-月满意度考核'!J:J)</f>
        <v>0</v>
      </c>
      <c r="M28" s="370">
        <f t="shared" si="13"/>
        <v>0</v>
      </c>
      <c r="N28" s="371">
        <f t="shared" si="14"/>
        <v>0</v>
      </c>
      <c r="O28" s="372"/>
      <c r="P28" s="42">
        <f>SUMIF('05月提成-武侯售后'!C:C,综合考核!A28,'05月提成-武侯售后'!L:L)</f>
        <v>0</v>
      </c>
      <c r="Q28" s="373">
        <f t="shared" si="15"/>
        <v>0</v>
      </c>
      <c r="U28" s="42"/>
      <c r="AI28" s="387"/>
      <c r="AJ28" s="387"/>
      <c r="AK28" s="405"/>
      <c r="AL28" s="387"/>
      <c r="AM28" s="2058"/>
      <c r="AN28" s="2058"/>
      <c r="AO28" s="2058"/>
      <c r="AP28" s="2058"/>
      <c r="AQ28" s="2058"/>
      <c r="AR28" s="2058"/>
      <c r="AS28" s="2058"/>
      <c r="AT28" s="387"/>
      <c r="AU28" s="387"/>
      <c r="AV28" s="387"/>
      <c r="AW28" s="389">
        <f t="shared" si="16"/>
        <v>0</v>
      </c>
      <c r="AX28" s="118"/>
      <c r="AY28" s="309" t="s">
        <v>311</v>
      </c>
      <c r="AZ28" s="318">
        <f>SUM(AZ5:AZ27)</f>
        <v>882</v>
      </c>
      <c r="BA28" s="381"/>
      <c r="BB28" s="381"/>
      <c r="BC28" s="381"/>
      <c r="BD28" s="381">
        <f>SUM(BD5:BD27)</f>
        <v>3729</v>
      </c>
      <c r="BE28" s="382"/>
      <c r="BF28" s="273">
        <f>BD28-SUM(AZ32:AZ44,BA45)</f>
        <v>0</v>
      </c>
    </row>
    <row r="29" spans="1:58" ht="26.1" customHeight="1">
      <c r="A29" s="357" t="str">
        <f>'05月提成-武侯售后'!C30</f>
        <v>段宝安</v>
      </c>
      <c r="B29" s="358">
        <f>SUMIF('6月配件'!K:K,综合考核!A29,'6月配件'!L:L)</f>
        <v>0</v>
      </c>
      <c r="C29" s="358">
        <f>SUMIF('6月配件'!K:K,A29,'6月配件'!M:M)</f>
        <v>0</v>
      </c>
      <c r="D29" s="358">
        <f>SUMIF('5月接送车'!D:D,综合考核!A29,'5月接送车'!E:E)</f>
        <v>220</v>
      </c>
      <c r="E29" s="369">
        <f>SUMIF('转介绍+留修奖励（已发现金）'!F:F,综合考核!A29,'转介绍+留修奖励（已发现金）'!H:H)+SUMIF('转介绍+留修奖励（已发现金）'!L:L,综合考核!A29,'转介绍+留修奖励（已发现金）'!M:M)++SUMIF('转介绍+留修奖励（已发现金）'!B:B,综合考核!A29,'转介绍+留修奖励（已发现金）'!C:C)</f>
        <v>0</v>
      </c>
      <c r="F29" s="360">
        <f>SUMIF(工作车救急!A:A,A29,工作车救急!B:B)</f>
        <v>0</v>
      </c>
      <c r="G29" s="360">
        <f t="shared" si="20"/>
        <v>0</v>
      </c>
      <c r="H29" s="361"/>
      <c r="I29" s="359">
        <f>SUMIF(保客营销考核!E:E,A29,保客营销考核!J:J)</f>
        <v>0</v>
      </c>
      <c r="J29" s="361">
        <f>SUMIF(服装扣款!D:D,综合考核!A29,服装扣款!R:R)</f>
        <v>0</v>
      </c>
      <c r="K29" s="360">
        <f t="shared" si="4"/>
        <v>0</v>
      </c>
      <c r="L29" s="360">
        <f>SUMIF('-月满意度考核'!C:C,综合考核!A29,'-月满意度考核'!J:J)</f>
        <v>0</v>
      </c>
      <c r="M29" s="370">
        <f t="shared" si="13"/>
        <v>220</v>
      </c>
      <c r="N29" s="371">
        <f t="shared" si="14"/>
        <v>0</v>
      </c>
      <c r="O29" s="372"/>
      <c r="P29" s="42">
        <f>SUMIF('05月提成-武侯售后'!C:C,综合考核!A29,'05月提成-武侯售后'!L:L)</f>
        <v>220</v>
      </c>
      <c r="Q29" s="373">
        <f t="shared" si="15"/>
        <v>0</v>
      </c>
      <c r="U29" s="42"/>
      <c r="AI29" s="387"/>
      <c r="AJ29" s="387"/>
      <c r="AK29" s="388"/>
      <c r="AL29" s="387"/>
      <c r="AM29" s="2058"/>
      <c r="AN29" s="2058"/>
      <c r="AO29" s="2058"/>
      <c r="AP29" s="2058"/>
      <c r="AQ29" s="2058"/>
      <c r="AR29" s="2058"/>
      <c r="AS29" s="2058"/>
      <c r="AT29" s="387"/>
      <c r="AU29" s="387"/>
      <c r="AV29" s="387"/>
      <c r="AW29" s="389">
        <f t="shared" si="16"/>
        <v>0</v>
      </c>
      <c r="AX29" s="118"/>
      <c r="AY29" s="309"/>
      <c r="AZ29" s="406"/>
      <c r="BA29" s="407"/>
      <c r="BB29" s="407"/>
      <c r="BC29" s="407"/>
      <c r="BD29" s="407"/>
      <c r="BE29" s="382"/>
    </row>
    <row r="30" spans="1:58" ht="26.1" customHeight="1">
      <c r="A30" s="357" t="str">
        <f>'05月提成-武侯售后'!C31</f>
        <v>张建</v>
      </c>
      <c r="B30" s="358">
        <f>SUMIF('6月配件'!K:K,综合考核!A30,'6月配件'!L:L)</f>
        <v>0</v>
      </c>
      <c r="C30" s="358">
        <f>SUMIF('6月配件'!K:K,A30,'6月配件'!M:M)</f>
        <v>0</v>
      </c>
      <c r="D30" s="358">
        <f>SUMIF('5月接送车'!D:D,综合考核!A30,'5月接送车'!E:E)</f>
        <v>0</v>
      </c>
      <c r="E30" s="369">
        <f>SUMIF('转介绍+留修奖励（已发现金）'!F:F,综合考核!A30,'转介绍+留修奖励（已发现金）'!H:H)+SUMIF('转介绍+留修奖励（已发现金）'!L:L,综合考核!A30,'转介绍+留修奖励（已发现金）'!M:M)++SUMIF('转介绍+留修奖励（已发现金）'!B:B,综合考核!A30,'转介绍+留修奖励（已发现金）'!C:C)</f>
        <v>0</v>
      </c>
      <c r="F30" s="360">
        <f>SUMIF(工作车救急!A:A,A30,工作车救急!B:B)</f>
        <v>0</v>
      </c>
      <c r="G30" s="360">
        <f t="shared" si="20"/>
        <v>0</v>
      </c>
      <c r="H30" s="361"/>
      <c r="I30" s="359">
        <f>SUMIF(保客营销考核!E:E,A30,保客营销考核!J:J)</f>
        <v>0</v>
      </c>
      <c r="J30" s="361">
        <f>SUMIF(服装扣款!D:D,综合考核!A30,服装扣款!R:R)</f>
        <v>0</v>
      </c>
      <c r="K30" s="360">
        <f t="shared" si="4"/>
        <v>0</v>
      </c>
      <c r="L30" s="360">
        <f>SUMIF('-月满意度考核'!C:C,综合考核!A30,'-月满意度考核'!J:J)</f>
        <v>0</v>
      </c>
      <c r="M30" s="370">
        <f t="shared" si="13"/>
        <v>0</v>
      </c>
      <c r="N30" s="371">
        <f t="shared" si="14"/>
        <v>0</v>
      </c>
      <c r="O30" s="372"/>
      <c r="P30" s="42">
        <f>SUMIF('05月提成-武侯售后'!C:C,综合考核!A30,'05月提成-武侯售后'!L:L)</f>
        <v>0</v>
      </c>
      <c r="Q30" s="373">
        <f t="shared" si="15"/>
        <v>0</v>
      </c>
      <c r="U30" s="42"/>
      <c r="AI30" s="387"/>
      <c r="AJ30" s="387"/>
      <c r="AK30" s="388"/>
      <c r="AL30" s="387"/>
      <c r="AM30" s="2058"/>
      <c r="AN30" s="2058"/>
      <c r="AO30" s="2058"/>
      <c r="AP30" s="2058"/>
      <c r="AQ30" s="2058"/>
      <c r="AR30" s="2058"/>
      <c r="AS30" s="2058"/>
      <c r="AT30" s="387"/>
      <c r="AU30" s="387"/>
      <c r="AV30" s="387"/>
      <c r="AW30" s="389">
        <f t="shared" si="16"/>
        <v>0</v>
      </c>
      <c r="AX30" s="281" t="s">
        <v>4518</v>
      </c>
      <c r="AY30" s="381"/>
      <c r="AZ30" s="408"/>
      <c r="BA30" s="381"/>
      <c r="BB30" s="407"/>
      <c r="BC30" s="407"/>
      <c r="BD30" s="407"/>
      <c r="BE30" s="382"/>
    </row>
    <row r="31" spans="1:58" ht="26.1" customHeight="1">
      <c r="A31" s="357" t="str">
        <f>'05月提成-武侯售后'!C32</f>
        <v>贾文哲</v>
      </c>
      <c r="B31" s="358">
        <f>SUMIF('6月配件'!K:K,综合考核!A31,'6月配件'!L:L)</f>
        <v>0</v>
      </c>
      <c r="C31" s="358">
        <f>SUMIF('6月配件'!K:K,A31,'6月配件'!M:M)</f>
        <v>0</v>
      </c>
      <c r="D31" s="358">
        <f>SUMIF('5月接送车'!D:D,综合考核!A31,'5月接送车'!E:E)</f>
        <v>0</v>
      </c>
      <c r="E31" s="369">
        <f>SUMIF('转介绍+留修奖励（已发现金）'!F:F,综合考核!A31,'转介绍+留修奖励（已发现金）'!H:H)+SUMIF('转介绍+留修奖励（已发现金）'!L:L,综合考核!A31,'转介绍+留修奖励（已发现金）'!M:M)++SUMIF('转介绍+留修奖励（已发现金）'!B:B,综合考核!A31,'转介绍+留修奖励（已发现金）'!C:C)</f>
        <v>0</v>
      </c>
      <c r="F31" s="360">
        <f>SUMIF(工作车救急!A:A,A31,工作车救急!B:B)</f>
        <v>0</v>
      </c>
      <c r="G31" s="360">
        <f t="shared" si="20"/>
        <v>0</v>
      </c>
      <c r="H31" s="361"/>
      <c r="I31" s="359">
        <f>SUMIF(保客营销考核!E:E,A31,保客营销考核!J:J)</f>
        <v>0</v>
      </c>
      <c r="J31" s="361">
        <f>SUMIF(服装扣款!D:D,综合考核!A31,服装扣款!R:R)</f>
        <v>0</v>
      </c>
      <c r="K31" s="360">
        <f t="shared" si="4"/>
        <v>0</v>
      </c>
      <c r="L31" s="360">
        <f>SUMIF('-月满意度考核'!C:C,综合考核!A31,'-月满意度考核'!J:J)</f>
        <v>0</v>
      </c>
      <c r="M31" s="370">
        <f t="shared" si="13"/>
        <v>0</v>
      </c>
      <c r="N31" s="371">
        <f t="shared" si="14"/>
        <v>0</v>
      </c>
      <c r="O31" s="372"/>
      <c r="P31" s="42">
        <f>SUMIF('05月提成-武侯售后'!C:C,综合考核!A31,'05月提成-武侯售后'!L:L)</f>
        <v>0</v>
      </c>
      <c r="Q31" s="373">
        <f t="shared" si="15"/>
        <v>0</v>
      </c>
      <c r="U31" s="42"/>
      <c r="AI31" s="387"/>
      <c r="AJ31" s="387"/>
      <c r="AK31" s="388"/>
      <c r="AL31" s="387"/>
      <c r="AM31" s="2058"/>
      <c r="AN31" s="2058"/>
      <c r="AO31" s="2058"/>
      <c r="AP31" s="2058"/>
      <c r="AQ31" s="2058"/>
      <c r="AR31" s="2058"/>
      <c r="AS31" s="2058"/>
      <c r="AT31" s="387"/>
      <c r="AU31" s="387"/>
      <c r="AV31" s="387"/>
      <c r="AW31" s="389">
        <f t="shared" si="16"/>
        <v>0</v>
      </c>
      <c r="AX31" s="118" t="s">
        <v>315</v>
      </c>
      <c r="AY31" s="309" t="s">
        <v>4519</v>
      </c>
      <c r="AZ31" s="406" t="s">
        <v>4520</v>
      </c>
      <c r="BA31" s="407"/>
      <c r="BB31" s="381"/>
      <c r="BC31" s="381"/>
      <c r="BD31" s="381"/>
      <c r="BE31" s="382"/>
    </row>
    <row r="32" spans="1:58" ht="26.1" customHeight="1">
      <c r="A32" s="357" t="str">
        <f>'05月提成-武侯售后'!C33</f>
        <v>黄小炼</v>
      </c>
      <c r="B32" s="358">
        <f>SUMIF('6月配件'!K:K,综合考核!A32,'6月配件'!L:L)</f>
        <v>0</v>
      </c>
      <c r="C32" s="358">
        <f>SUMIF('6月配件'!K:K,A32,'6月配件'!M:M)</f>
        <v>0</v>
      </c>
      <c r="D32" s="358">
        <f>SUMIF('5月接送车'!D:D,综合考核!A32,'5月接送车'!E:E)</f>
        <v>0</v>
      </c>
      <c r="E32" s="369">
        <f>SUMIF('转介绍+留修奖励（已发现金）'!F:F,综合考核!A32,'转介绍+留修奖励（已发现金）'!H:H)+SUMIF('转介绍+留修奖励（已发现金）'!L:L,综合考核!A32,'转介绍+留修奖励（已发现金）'!M:M)++SUMIF('转介绍+留修奖励（已发现金）'!B:B,综合考核!A32,'转介绍+留修奖励（已发现金）'!C:C)</f>
        <v>0</v>
      </c>
      <c r="F32" s="360">
        <f>SUMIF(工作车救急!A:A,A32,工作车救急!B:B)</f>
        <v>0</v>
      </c>
      <c r="G32" s="360">
        <f t="shared" si="20"/>
        <v>0</v>
      </c>
      <c r="H32" s="361"/>
      <c r="I32" s="359">
        <f>SUMIF(保客营销考核!E:E,A32,保客营销考核!J:J)</f>
        <v>0</v>
      </c>
      <c r="J32" s="361">
        <f>SUMIF(服装扣款!D:D,综合考核!A32,服装扣款!R:R)</f>
        <v>0</v>
      </c>
      <c r="K32" s="360">
        <f t="shared" si="4"/>
        <v>0</v>
      </c>
      <c r="L32" s="360">
        <f>SUMIF('-月满意度考核'!C:C,综合考核!A32,'-月满意度考核'!J:J)</f>
        <v>0</v>
      </c>
      <c r="M32" s="370">
        <f t="shared" si="13"/>
        <v>0</v>
      </c>
      <c r="N32" s="371">
        <f t="shared" si="14"/>
        <v>0</v>
      </c>
      <c r="O32" s="372"/>
      <c r="P32" s="42">
        <f>SUMIF('05月提成-武侯售后'!C:C,综合考核!A32,'05月提成-武侯售后'!L:L)</f>
        <v>0</v>
      </c>
      <c r="Q32" s="373">
        <f t="shared" si="15"/>
        <v>0</v>
      </c>
      <c r="U32" s="42"/>
      <c r="AI32" s="387"/>
      <c r="AJ32" s="387"/>
      <c r="AK32" s="409"/>
      <c r="AL32" s="387"/>
      <c r="AM32" s="2058"/>
      <c r="AN32" s="2058"/>
      <c r="AO32" s="2058"/>
      <c r="AP32" s="2058"/>
      <c r="AQ32" s="2058"/>
      <c r="AR32" s="2058"/>
      <c r="AS32" s="2058"/>
      <c r="AT32" s="387"/>
      <c r="AU32" s="387"/>
      <c r="AV32" s="387"/>
      <c r="AW32" s="389">
        <f t="shared" si="16"/>
        <v>0</v>
      </c>
      <c r="AX32" s="410" t="s">
        <v>154</v>
      </c>
      <c r="AY32" s="309" t="s">
        <v>4521</v>
      </c>
      <c r="AZ32" s="380"/>
      <c r="BA32" s="407"/>
      <c r="BB32" s="381"/>
      <c r="BC32" s="381"/>
      <c r="BD32" s="381"/>
      <c r="BE32" s="382"/>
    </row>
    <row r="33" spans="1:57" ht="26.1" customHeight="1">
      <c r="A33" s="357" t="str">
        <f>'05月提成-武侯售后'!C34</f>
        <v>陈昱良</v>
      </c>
      <c r="B33" s="358">
        <f>SUMIF('6月配件'!K:K,综合考核!A33,'6月配件'!L:L)</f>
        <v>0</v>
      </c>
      <c r="C33" s="358">
        <f>SUMIF('6月配件'!K:K,A33,'6月配件'!M:M)</f>
        <v>0</v>
      </c>
      <c r="D33" s="358">
        <f>SUMIF('5月接送车'!D:D,综合考核!A33,'5月接送车'!E:E)</f>
        <v>350</v>
      </c>
      <c r="E33" s="369">
        <f>SUMIF('转介绍+留修奖励（已发现金）'!F:F,综合考核!A33,'转介绍+留修奖励（已发现金）'!H:H)+SUMIF('转介绍+留修奖励（已发现金）'!L:L,综合考核!A33,'转介绍+留修奖励（已发现金）'!M:M)++SUMIF('转介绍+留修奖励（已发现金）'!B:B,综合考核!A33,'转介绍+留修奖励（已发现金）'!C:C)</f>
        <v>0</v>
      </c>
      <c r="F33" s="360">
        <f>SUMIF(工作车救急!A:A,A33,工作车救急!B:B)</f>
        <v>0</v>
      </c>
      <c r="G33" s="360">
        <f t="shared" si="20"/>
        <v>0</v>
      </c>
      <c r="H33" s="361"/>
      <c r="I33" s="359">
        <f>SUMIF(保客营销考核!E:E,A33,保客营销考核!J:J)</f>
        <v>0</v>
      </c>
      <c r="J33" s="361">
        <f>SUMIF(服装扣款!D:D,综合考核!A33,服装扣款!R:R)</f>
        <v>0</v>
      </c>
      <c r="K33" s="360">
        <f t="shared" si="4"/>
        <v>0</v>
      </c>
      <c r="L33" s="360">
        <f>SUMIF('-月满意度考核'!C:C,综合考核!A33,'-月满意度考核'!J:J)</f>
        <v>0</v>
      </c>
      <c r="M33" s="370">
        <f t="shared" si="13"/>
        <v>350</v>
      </c>
      <c r="N33" s="371">
        <f t="shared" si="14"/>
        <v>0</v>
      </c>
      <c r="O33" s="372"/>
      <c r="P33" s="42">
        <f>SUMIF('05月提成-武侯售后'!C:C,综合考核!A33,'05月提成-武侯售后'!L:L)</f>
        <v>350</v>
      </c>
      <c r="Q33" s="373">
        <f t="shared" si="15"/>
        <v>0</v>
      </c>
      <c r="AI33" s="387"/>
      <c r="AJ33" s="387"/>
      <c r="AK33" s="388"/>
      <c r="AL33" s="387"/>
      <c r="AM33" s="2058"/>
      <c r="AN33" s="2058"/>
      <c r="AO33" s="2058"/>
      <c r="AP33" s="2058"/>
      <c r="AQ33" s="2058"/>
      <c r="AR33" s="2058"/>
      <c r="AS33" s="2058"/>
      <c r="AT33" s="387"/>
      <c r="AU33" s="387"/>
      <c r="AV33" s="387"/>
      <c r="AW33" s="389">
        <f t="shared" si="16"/>
        <v>0</v>
      </c>
      <c r="AX33" s="411" t="s">
        <v>169</v>
      </c>
      <c r="AY33" s="309" t="s">
        <v>4522</v>
      </c>
      <c r="AZ33" s="318"/>
      <c r="BA33" s="407"/>
      <c r="BB33" s="381"/>
      <c r="BC33" s="381"/>
      <c r="BD33" s="381"/>
      <c r="BE33" s="382"/>
    </row>
    <row r="34" spans="1:57" ht="26.1" customHeight="1">
      <c r="A34" s="357" t="str">
        <f>'05月提成-武侯售后'!C35</f>
        <v>张林</v>
      </c>
      <c r="B34" s="358">
        <f>SUMIF('6月配件'!K:K,综合考核!A34,'6月配件'!L:L)</f>
        <v>0</v>
      </c>
      <c r="C34" s="358">
        <f>SUMIF('6月配件'!K:K,A34,'6月配件'!M:M)</f>
        <v>0</v>
      </c>
      <c r="D34" s="358">
        <f>SUMIF('5月接送车'!D:D,综合考核!A34,'5月接送车'!E:E)</f>
        <v>0</v>
      </c>
      <c r="E34" s="369">
        <f>SUMIF('转介绍+留修奖励（已发现金）'!F:F,综合考核!A34,'转介绍+留修奖励（已发现金）'!H:H)+SUMIF('转介绍+留修奖励（已发现金）'!L:L,综合考核!A34,'转介绍+留修奖励（已发现金）'!M:M)++SUMIF('转介绍+留修奖励（已发现金）'!B:B,综合考核!A34,'转介绍+留修奖励（已发现金）'!C:C)</f>
        <v>300</v>
      </c>
      <c r="F34" s="360">
        <f>SUMIF(工作车救急!A:A,A34,工作车救急!B:B)</f>
        <v>0</v>
      </c>
      <c r="G34" s="360">
        <f t="shared" si="20"/>
        <v>0</v>
      </c>
      <c r="H34" s="361"/>
      <c r="I34" s="359">
        <f>SUMIF(保客营销考核!E:E,A34,保客营销考核!J:J)</f>
        <v>0</v>
      </c>
      <c r="J34" s="361">
        <f>SUMIF(服装扣款!D:D,综合考核!A34,服装扣款!R:R)</f>
        <v>0</v>
      </c>
      <c r="K34" s="360">
        <f t="shared" si="4"/>
        <v>0</v>
      </c>
      <c r="L34" s="360">
        <f>SUMIF('-月满意度考核'!C:C,综合考核!A34,'-月满意度考核'!J:J)</f>
        <v>0</v>
      </c>
      <c r="M34" s="370">
        <f t="shared" si="13"/>
        <v>0</v>
      </c>
      <c r="N34" s="371">
        <f t="shared" si="14"/>
        <v>300</v>
      </c>
      <c r="O34" s="372"/>
      <c r="P34" s="42">
        <f>SUMIF('05月提成-武侯售后'!C:C,综合考核!A34,'05月提成-武侯售后'!L:L)</f>
        <v>0</v>
      </c>
      <c r="Q34" s="373">
        <f t="shared" si="15"/>
        <v>0</v>
      </c>
      <c r="AI34" s="387"/>
      <c r="AJ34" s="387"/>
      <c r="AK34" s="388"/>
      <c r="AL34" s="387"/>
      <c r="AM34" s="2058"/>
      <c r="AN34" s="2058"/>
      <c r="AO34" s="2058"/>
      <c r="AP34" s="2058"/>
      <c r="AQ34" s="2058"/>
      <c r="AR34" s="2058"/>
      <c r="AS34" s="2058"/>
      <c r="AT34" s="387"/>
      <c r="AU34" s="387"/>
      <c r="AV34" s="387"/>
      <c r="AW34" s="389">
        <f t="shared" si="16"/>
        <v>0</v>
      </c>
      <c r="AX34" s="412" t="s">
        <v>149</v>
      </c>
      <c r="AY34" s="309" t="s">
        <v>373</v>
      </c>
      <c r="AZ34" s="318"/>
      <c r="BA34" s="407"/>
      <c r="BB34" s="381"/>
      <c r="BC34" s="381"/>
      <c r="BD34" s="381"/>
      <c r="BE34" s="382"/>
    </row>
    <row r="35" spans="1:57" ht="26.1" customHeight="1">
      <c r="A35" s="357" t="str">
        <f>'05月提成-武侯售后'!C36</f>
        <v>王毅</v>
      </c>
      <c r="B35" s="358">
        <f>SUMIF('6月配件'!K:K,综合考核!A35,'6月配件'!L:L)</f>
        <v>0</v>
      </c>
      <c r="C35" s="358">
        <f>SUMIF('6月配件'!K:K,A35,'6月配件'!M:M)</f>
        <v>0</v>
      </c>
      <c r="D35" s="358">
        <f>SUMIF('5月接送车'!D:D,综合考核!A35,'5月接送车'!E:E)</f>
        <v>0</v>
      </c>
      <c r="E35" s="369">
        <f>SUMIF('转介绍+留修奖励（已发现金）'!F:F,综合考核!A35,'转介绍+留修奖励（已发现金）'!H:H)+SUMIF('转介绍+留修奖励（已发现金）'!L:L,综合考核!A35,'转介绍+留修奖励（已发现金）'!M:M)++SUMIF('转介绍+留修奖励（已发现金）'!B:B,综合考核!A35,'转介绍+留修奖励（已发现金）'!C:C)</f>
        <v>0</v>
      </c>
      <c r="F35" s="360">
        <f>SUMIF(工作车救急!A:A,A35,工作车救急!B:B)</f>
        <v>0</v>
      </c>
      <c r="G35" s="360">
        <f t="shared" si="20"/>
        <v>0</v>
      </c>
      <c r="H35" s="361"/>
      <c r="I35" s="359">
        <f>SUMIF(保客营销考核!E:E,A35,保客营销考核!J:J)</f>
        <v>0</v>
      </c>
      <c r="J35" s="361">
        <f>SUMIF(服装扣款!D:D,综合考核!A35,服装扣款!R:R)</f>
        <v>0</v>
      </c>
      <c r="K35" s="360">
        <f t="shared" si="4"/>
        <v>0</v>
      </c>
      <c r="L35" s="360">
        <f>SUMIF('-月满意度考核'!C:C,综合考核!A35,'-月满意度考核'!J:J)</f>
        <v>0</v>
      </c>
      <c r="M35" s="370">
        <f t="shared" si="13"/>
        <v>0</v>
      </c>
      <c r="N35" s="371">
        <f t="shared" si="14"/>
        <v>0</v>
      </c>
      <c r="O35" s="372"/>
      <c r="P35" s="42">
        <f>SUMIF('05月提成-武侯售后'!C:C,综合考核!A35,'05月提成-武侯售后'!L:L)</f>
        <v>0</v>
      </c>
      <c r="Q35" s="373">
        <f t="shared" si="15"/>
        <v>0</v>
      </c>
      <c r="AI35" s="387"/>
      <c r="AJ35" s="387"/>
      <c r="AK35" s="388"/>
      <c r="AL35" s="387"/>
      <c r="AM35" s="2058"/>
      <c r="AN35" s="2058"/>
      <c r="AO35" s="2058"/>
      <c r="AP35" s="2058"/>
      <c r="AQ35" s="2058"/>
      <c r="AR35" s="2058"/>
      <c r="AS35" s="2058"/>
      <c r="AT35" s="387"/>
      <c r="AU35" s="387"/>
      <c r="AV35" s="387"/>
      <c r="AW35" s="389">
        <f t="shared" si="16"/>
        <v>0</v>
      </c>
      <c r="AX35" s="411" t="s">
        <v>135</v>
      </c>
      <c r="AY35" s="309" t="s">
        <v>114</v>
      </c>
      <c r="AZ35" s="318"/>
      <c r="BA35" s="407"/>
      <c r="BB35" s="407"/>
      <c r="BC35" s="381"/>
      <c r="BD35" s="381"/>
      <c r="BE35" s="382"/>
    </row>
    <row r="36" spans="1:57" ht="26.1" customHeight="1">
      <c r="A36" s="357" t="str">
        <f>'05月提成-武侯售后'!C37</f>
        <v>李国民</v>
      </c>
      <c r="B36" s="358">
        <f>SUMIF('6月配件'!K:K,综合考核!A36,'6月配件'!L:L)</f>
        <v>0</v>
      </c>
      <c r="C36" s="358">
        <f>SUMIF('6月配件'!K:K,A36,'6月配件'!M:M)</f>
        <v>0</v>
      </c>
      <c r="D36" s="358">
        <f>SUMIF('5月接送车'!D:D,综合考核!A36,'5月接送车'!E:E)</f>
        <v>190</v>
      </c>
      <c r="E36" s="369">
        <f>SUMIF('转介绍+留修奖励（已发现金）'!F:F,综合考核!A36,'转介绍+留修奖励（已发现金）'!H:H)+SUMIF('转介绍+留修奖励（已发现金）'!L:L,综合考核!A36,'转介绍+留修奖励（已发现金）'!M:M)++SUMIF('转介绍+留修奖励（已发现金）'!B:B,综合考核!A36,'转介绍+留修奖励（已发现金）'!C:C)</f>
        <v>0</v>
      </c>
      <c r="F36" s="360">
        <f>SUMIF(工作车救急!A:A,A36,工作车救急!B:B)</f>
        <v>0</v>
      </c>
      <c r="G36" s="360">
        <f t="shared" si="20"/>
        <v>0</v>
      </c>
      <c r="H36" s="361"/>
      <c r="I36" s="359">
        <f>SUMIF(保客营销考核!E:E,A36,保客营销考核!J:J)</f>
        <v>0</v>
      </c>
      <c r="J36" s="361">
        <f>SUMIF(服装扣款!D:D,综合考核!A36,服装扣款!R:R)</f>
        <v>0</v>
      </c>
      <c r="K36" s="360">
        <f t="shared" si="4"/>
        <v>0</v>
      </c>
      <c r="L36" s="360">
        <f>SUMIF('-月满意度考核'!C:C,综合考核!A36,'-月满意度考核'!J:J)</f>
        <v>0</v>
      </c>
      <c r="M36" s="370">
        <f t="shared" si="13"/>
        <v>190</v>
      </c>
      <c r="N36" s="371">
        <f t="shared" si="14"/>
        <v>0</v>
      </c>
      <c r="O36" s="372"/>
      <c r="P36" s="42">
        <f>SUMIF('05月提成-武侯售后'!C:C,综合考核!A36,'05月提成-武侯售后'!L:L)</f>
        <v>190</v>
      </c>
      <c r="Q36" s="373">
        <f t="shared" si="15"/>
        <v>0</v>
      </c>
      <c r="AI36" s="387"/>
      <c r="AJ36" s="387"/>
      <c r="AK36" s="388"/>
      <c r="AL36" s="387"/>
      <c r="AM36" s="2058"/>
      <c r="AN36" s="2058"/>
      <c r="AO36" s="2058"/>
      <c r="AP36" s="2058"/>
      <c r="AQ36" s="2058"/>
      <c r="AR36" s="2058"/>
      <c r="AS36" s="2058"/>
      <c r="AT36" s="387"/>
      <c r="AU36" s="387"/>
      <c r="AV36" s="387"/>
      <c r="AW36" s="389">
        <f t="shared" si="16"/>
        <v>0</v>
      </c>
      <c r="AX36" s="412" t="s">
        <v>241</v>
      </c>
      <c r="AY36" s="309" t="s">
        <v>228</v>
      </c>
      <c r="AZ36" s="318">
        <v>200</v>
      </c>
      <c r="BA36" s="407"/>
      <c r="BB36" s="407"/>
      <c r="BC36" s="381"/>
      <c r="BD36" s="381"/>
      <c r="BE36" s="382"/>
    </row>
    <row r="37" spans="1:57" ht="26.1" customHeight="1">
      <c r="A37" s="357" t="str">
        <f>'05月提成-武侯售后'!C38</f>
        <v>金亮亮</v>
      </c>
      <c r="B37" s="358">
        <f>SUMIF('6月配件'!K:K,综合考核!A37,'6月配件'!L:L)</f>
        <v>0</v>
      </c>
      <c r="C37" s="358">
        <f>SUMIF('6月配件'!K:K,A37,'6月配件'!M:M)</f>
        <v>0</v>
      </c>
      <c r="D37" s="358">
        <f>SUMIF('5月接送车'!D:D,综合考核!A37,'5月接送车'!E:E)</f>
        <v>290</v>
      </c>
      <c r="E37" s="369">
        <f>SUMIF('转介绍+留修奖励（已发现金）'!F:F,综合考核!A37,'转介绍+留修奖励（已发现金）'!H:H)+SUMIF('转介绍+留修奖励（已发现金）'!L:L,综合考核!A37,'转介绍+留修奖励（已发现金）'!M:M)++SUMIF('转介绍+留修奖励（已发现金）'!B:B,综合考核!A37,'转介绍+留修奖励（已发现金）'!C:C)</f>
        <v>0</v>
      </c>
      <c r="F37" s="360">
        <f>SUMIF(工作车救急!A:A,A37,工作车救急!B:B)</f>
        <v>0</v>
      </c>
      <c r="G37" s="360">
        <f t="shared" ref="G37:G68" si="23">SUMIF(AJ:AJ,A37,AV:AV)</f>
        <v>0</v>
      </c>
      <c r="H37" s="361"/>
      <c r="I37" s="359">
        <f>SUMIF(保客营销考核!E:E,A37,保客营销考核!J:J)</f>
        <v>0</v>
      </c>
      <c r="J37" s="361">
        <f>SUMIF(服装扣款!D:D,综合考核!A37,服装扣款!R:R)</f>
        <v>0</v>
      </c>
      <c r="K37" s="360">
        <f t="shared" ref="K37:K65" si="24">SUMIF(S:S,A37,Y:Y)</f>
        <v>0</v>
      </c>
      <c r="L37" s="360">
        <f>SUMIF('-月满意度考核'!C:C,综合考核!A37,'-月满意度考核'!J:J)</f>
        <v>0</v>
      </c>
      <c r="M37" s="370">
        <f t="shared" si="13"/>
        <v>290</v>
      </c>
      <c r="N37" s="371">
        <f t="shared" si="14"/>
        <v>0</v>
      </c>
      <c r="O37" s="372"/>
      <c r="P37" s="42">
        <f>SUMIF('05月提成-武侯售后'!C:C,综合考核!A37,'05月提成-武侯售后'!L:L)</f>
        <v>290</v>
      </c>
      <c r="Q37" s="373">
        <f t="shared" si="15"/>
        <v>0</v>
      </c>
      <c r="AI37" s="387"/>
      <c r="AJ37" s="387"/>
      <c r="AK37" s="388"/>
      <c r="AL37" s="387"/>
      <c r="AM37" s="2058"/>
      <c r="AN37" s="2058"/>
      <c r="AO37" s="2058"/>
      <c r="AP37" s="2058"/>
      <c r="AQ37" s="2058"/>
      <c r="AR37" s="2058"/>
      <c r="AS37" s="2058"/>
      <c r="AT37" s="387"/>
      <c r="AU37" s="387"/>
      <c r="AV37" s="387"/>
      <c r="AW37" s="389">
        <f t="shared" si="16"/>
        <v>0</v>
      </c>
      <c r="AX37" s="412" t="s">
        <v>4523</v>
      </c>
      <c r="AY37" s="309" t="s">
        <v>129</v>
      </c>
      <c r="AZ37" s="318"/>
      <c r="BA37" s="407"/>
      <c r="BB37" s="381"/>
      <c r="BC37" s="381"/>
      <c r="BD37" s="381"/>
      <c r="BE37" s="382"/>
    </row>
    <row r="38" spans="1:57" s="349" customFormat="1" ht="26.1" customHeight="1">
      <c r="A38" s="357" t="str">
        <f>'05月提成-武侯售后'!C39</f>
        <v>应文龙</v>
      </c>
      <c r="B38" s="358">
        <f>SUMIF('6月配件'!K:K,综合考核!A38,'6月配件'!L:L)</f>
        <v>0</v>
      </c>
      <c r="C38" s="358">
        <f>SUMIF('6月配件'!K:K,A38,'6月配件'!M:M)</f>
        <v>0</v>
      </c>
      <c r="D38" s="358">
        <f>SUMIF('5月接送车'!D:D,综合考核!A38,'5月接送车'!E:E)</f>
        <v>270</v>
      </c>
      <c r="E38" s="369">
        <f>SUMIF('转介绍+留修奖励（已发现金）'!F:F,综合考核!A38,'转介绍+留修奖励（已发现金）'!H:H)+SUMIF('转介绍+留修奖励（已发现金）'!L:L,综合考核!A38,'转介绍+留修奖励（已发现金）'!M:M)++SUMIF('转介绍+留修奖励（已发现金）'!B:B,综合考核!A38,'转介绍+留修奖励（已发现金）'!C:C)</f>
        <v>0</v>
      </c>
      <c r="F38" s="360">
        <f>SUMIF(工作车救急!A:A,A38,工作车救急!B:B)</f>
        <v>0</v>
      </c>
      <c r="G38" s="360">
        <f t="shared" si="23"/>
        <v>0</v>
      </c>
      <c r="H38" s="361"/>
      <c r="I38" s="359">
        <f>SUMIF(保客营销考核!E:E,A38,保客营销考核!J:J)</f>
        <v>0</v>
      </c>
      <c r="J38" s="361">
        <f>SUMIF(服装扣款!D:D,综合考核!A38,服装扣款!R:R)</f>
        <v>0</v>
      </c>
      <c r="K38" s="360">
        <f t="shared" si="24"/>
        <v>0</v>
      </c>
      <c r="L38" s="360">
        <f>SUMIF('-月满意度考核'!C:C,综合考核!A38,'-月满意度考核'!J:J)</f>
        <v>0</v>
      </c>
      <c r="M38" s="370">
        <f t="shared" si="13"/>
        <v>270</v>
      </c>
      <c r="N38" s="371">
        <f t="shared" si="14"/>
        <v>0</v>
      </c>
      <c r="O38" s="372"/>
      <c r="P38" s="42">
        <f>SUMIF('05月提成-武侯售后'!C:C,综合考核!A38,'05月提成-武侯售后'!L:L)</f>
        <v>270</v>
      </c>
      <c r="Q38" s="373">
        <f t="shared" si="15"/>
        <v>0</v>
      </c>
      <c r="R38" s="42"/>
      <c r="S38" s="42"/>
      <c r="T38" s="42"/>
      <c r="U38" s="232"/>
      <c r="V38" s="42"/>
      <c r="W38" s="42"/>
      <c r="X38" s="42"/>
      <c r="Y38" s="42"/>
      <c r="Z38" s="42"/>
      <c r="AA38" s="42"/>
      <c r="AB38" s="42"/>
      <c r="AD38" s="42"/>
      <c r="AE38" s="42"/>
      <c r="AF38" s="42"/>
      <c r="AG38" s="42"/>
      <c r="AH38" s="42"/>
      <c r="AI38" s="387"/>
      <c r="AJ38" s="387"/>
      <c r="AK38" s="409"/>
      <c r="AL38" s="387"/>
      <c r="AM38" s="2058"/>
      <c r="AN38" s="2058"/>
      <c r="AO38" s="2058"/>
      <c r="AP38" s="2058"/>
      <c r="AQ38" s="2058"/>
      <c r="AR38" s="2058"/>
      <c r="AS38" s="2058"/>
      <c r="AT38" s="387"/>
      <c r="AU38" s="387"/>
      <c r="AV38" s="387"/>
      <c r="AW38" s="389">
        <f t="shared" si="16"/>
        <v>0</v>
      </c>
      <c r="AX38" s="410" t="s">
        <v>159</v>
      </c>
      <c r="AY38" s="309" t="s">
        <v>126</v>
      </c>
      <c r="AZ38" s="318">
        <v>874</v>
      </c>
      <c r="BA38" s="407"/>
      <c r="BB38" s="381"/>
      <c r="BC38" s="381"/>
      <c r="BD38" s="381"/>
      <c r="BE38" s="382"/>
    </row>
    <row r="39" spans="1:57" s="349" customFormat="1" ht="26.1" customHeight="1">
      <c r="A39" s="357" t="str">
        <f>'05月提成-武侯售后'!C40</f>
        <v>曾浩</v>
      </c>
      <c r="B39" s="358">
        <f>SUMIF('6月配件'!K:K,综合考核!A39,'6月配件'!L:L)</f>
        <v>0</v>
      </c>
      <c r="C39" s="358">
        <f>SUMIF('6月配件'!K:K,A39,'6月配件'!M:M)</f>
        <v>0</v>
      </c>
      <c r="D39" s="358">
        <f>SUMIF('5月接送车'!D:D,综合考核!A39,'5月接送车'!E:E)</f>
        <v>270</v>
      </c>
      <c r="E39" s="369">
        <f>SUMIF('转介绍+留修奖励（已发现金）'!F:F,综合考核!A39,'转介绍+留修奖励（已发现金）'!H:H)+SUMIF('转介绍+留修奖励（已发现金）'!L:L,综合考核!A39,'转介绍+留修奖励（已发现金）'!M:M)++SUMIF('转介绍+留修奖励（已发现金）'!B:B,综合考核!A39,'转介绍+留修奖励（已发现金）'!C:C)</f>
        <v>0</v>
      </c>
      <c r="F39" s="360">
        <f>SUMIF(工作车救急!A:A,A39,工作车救急!B:B)</f>
        <v>0</v>
      </c>
      <c r="G39" s="360">
        <f t="shared" si="23"/>
        <v>0</v>
      </c>
      <c r="H39" s="361"/>
      <c r="I39" s="359">
        <f>SUMIF(保客营销考核!E:E,A39,保客营销考核!J:J)</f>
        <v>0</v>
      </c>
      <c r="J39" s="361">
        <f>SUMIF(服装扣款!D:D,综合考核!A39,服装扣款!R:R)</f>
        <v>0</v>
      </c>
      <c r="K39" s="360">
        <f t="shared" si="24"/>
        <v>0</v>
      </c>
      <c r="L39" s="360">
        <f>SUMIF('-月满意度考核'!C:C,综合考核!A39,'-月满意度考核'!J:J)</f>
        <v>0</v>
      </c>
      <c r="M39" s="370">
        <f t="shared" si="13"/>
        <v>270</v>
      </c>
      <c r="N39" s="371">
        <f t="shared" si="14"/>
        <v>0</v>
      </c>
      <c r="O39" s="372"/>
      <c r="P39" s="42">
        <f>SUMIF('05月提成-武侯售后'!C:C,综合考核!A39,'05月提成-武侯售后'!L:L)</f>
        <v>270</v>
      </c>
      <c r="Q39" s="373">
        <f t="shared" si="15"/>
        <v>0</v>
      </c>
      <c r="R39" s="42"/>
      <c r="S39" s="42"/>
      <c r="T39" s="42"/>
      <c r="U39" s="232"/>
      <c r="V39" s="42"/>
      <c r="W39" s="42"/>
      <c r="X39" s="42"/>
      <c r="Y39" s="42"/>
      <c r="Z39" s="42"/>
      <c r="AA39" s="42"/>
      <c r="AB39" s="42"/>
      <c r="AD39" s="42"/>
      <c r="AE39" s="42"/>
      <c r="AF39" s="42"/>
      <c r="AG39" s="42"/>
      <c r="AH39" s="42"/>
      <c r="AI39" s="387"/>
      <c r="AJ39" s="387"/>
      <c r="AK39" s="388"/>
      <c r="AL39" s="387"/>
      <c r="AM39" s="2058"/>
      <c r="AN39" s="2058"/>
      <c r="AO39" s="2058"/>
      <c r="AP39" s="2058"/>
      <c r="AQ39" s="2058"/>
      <c r="AR39" s="2058"/>
      <c r="AS39" s="2058"/>
      <c r="AT39" s="387"/>
      <c r="AU39" s="387"/>
      <c r="AV39" s="387"/>
      <c r="AW39" s="389">
        <f t="shared" si="16"/>
        <v>0</v>
      </c>
      <c r="AX39" s="410" t="s">
        <v>234</v>
      </c>
      <c r="AY39" s="309" t="s">
        <v>224</v>
      </c>
      <c r="AZ39" s="318">
        <v>196</v>
      </c>
      <c r="BA39" s="318"/>
      <c r="BB39" s="381"/>
      <c r="BC39" s="381"/>
      <c r="BD39" s="381"/>
      <c r="BE39" s="382"/>
    </row>
    <row r="40" spans="1:57" s="349" customFormat="1" ht="26.1" customHeight="1">
      <c r="A40" s="357" t="str">
        <f>'05月提成-武侯售后'!C41</f>
        <v>刘强</v>
      </c>
      <c r="B40" s="358">
        <f>SUMIF('6月配件'!K:K,综合考核!A40,'6月配件'!L:L)</f>
        <v>0</v>
      </c>
      <c r="C40" s="358">
        <f>SUMIF('6月配件'!K:K,A40,'6月配件'!M:M)</f>
        <v>0</v>
      </c>
      <c r="D40" s="358">
        <f>SUMIF('5月接送车'!D:D,综合考核!A40,'5月接送车'!E:E)</f>
        <v>0</v>
      </c>
      <c r="E40" s="369">
        <f>SUMIF('转介绍+留修奖励（已发现金）'!F:F,综合考核!A40,'转介绍+留修奖励（已发现金）'!H:H)+SUMIF('转介绍+留修奖励（已发现金）'!L:L,综合考核!A40,'转介绍+留修奖励（已发现金）'!M:M)++SUMIF('转介绍+留修奖励（已发现金）'!B:B,综合考核!A40,'转介绍+留修奖励（已发现金）'!C:C)</f>
        <v>0</v>
      </c>
      <c r="F40" s="360">
        <f>SUMIF(工作车救急!A:A,A40,工作车救急!B:B)</f>
        <v>0</v>
      </c>
      <c r="G40" s="360">
        <f t="shared" si="23"/>
        <v>0</v>
      </c>
      <c r="H40" s="361"/>
      <c r="I40" s="359">
        <f>SUMIF(保客营销考核!E:E,A40,保客营销考核!J:J)</f>
        <v>0</v>
      </c>
      <c r="J40" s="361">
        <f>SUMIF(服装扣款!D:D,综合考核!A40,服装扣款!R:R)</f>
        <v>0</v>
      </c>
      <c r="K40" s="360">
        <f t="shared" si="24"/>
        <v>0</v>
      </c>
      <c r="L40" s="360">
        <f>SUMIF('-月满意度考核'!C:C,综合考核!A40,'-月满意度考核'!J:J)</f>
        <v>0</v>
      </c>
      <c r="M40" s="370">
        <f t="shared" si="13"/>
        <v>0</v>
      </c>
      <c r="N40" s="371">
        <f t="shared" si="14"/>
        <v>0</v>
      </c>
      <c r="O40" s="372"/>
      <c r="P40" s="42">
        <f>SUMIF('05月提成-武侯售后'!C:C,综合考核!A40,'05月提成-武侯售后'!L:L)</f>
        <v>0</v>
      </c>
      <c r="Q40" s="373">
        <f t="shared" si="15"/>
        <v>0</v>
      </c>
      <c r="U40" s="413"/>
      <c r="AD40" s="42"/>
      <c r="AE40" s="42"/>
      <c r="AF40" s="42"/>
      <c r="AG40" s="42"/>
      <c r="AH40" s="42"/>
      <c r="AI40" s="387"/>
      <c r="AJ40" s="387"/>
      <c r="AK40" s="388"/>
      <c r="AL40" s="387"/>
      <c r="AM40" s="2058"/>
      <c r="AN40" s="2058"/>
      <c r="AO40" s="2058"/>
      <c r="AP40" s="2058"/>
      <c r="AQ40" s="2058"/>
      <c r="AR40" s="2058"/>
      <c r="AS40" s="2058"/>
      <c r="AT40" s="387"/>
      <c r="AU40" s="387"/>
      <c r="AV40" s="387"/>
      <c r="AW40" s="389">
        <f t="shared" si="16"/>
        <v>0</v>
      </c>
      <c r="AX40" s="410" t="s">
        <v>239</v>
      </c>
      <c r="AY40" s="309" t="s">
        <v>226</v>
      </c>
      <c r="AZ40" s="318">
        <v>114</v>
      </c>
      <c r="BA40" s="318"/>
      <c r="BB40" s="381"/>
      <c r="BC40" s="381"/>
      <c r="BD40" s="381"/>
      <c r="BE40" s="382"/>
    </row>
    <row r="41" spans="1:57" ht="26.1" customHeight="1">
      <c r="A41" s="357" t="str">
        <f>'05月提成-武侯售后'!C42</f>
        <v>小计</v>
      </c>
      <c r="B41" s="358">
        <f>SUMIF('6月配件'!K:K,综合考核!A41,'6月配件'!L:L)</f>
        <v>0</v>
      </c>
      <c r="C41" s="358">
        <f>SUMIF('6月配件'!K:K,A41,'6月配件'!M:M)</f>
        <v>0</v>
      </c>
      <c r="D41" s="358">
        <f>SUMIF('5月接送车'!D:D,综合考核!A41,'5月接送车'!E:E)</f>
        <v>0</v>
      </c>
      <c r="E41" s="369">
        <f>SUMIF('转介绍+留修奖励（已发现金）'!F:F,综合考核!A41,'转介绍+留修奖励（已发现金）'!H:H)+SUMIF('转介绍+留修奖励（已发现金）'!L:L,综合考核!A41,'转介绍+留修奖励（已发现金）'!M:M)++SUMIF('转介绍+留修奖励（已发现金）'!B:B,综合考核!A41,'转介绍+留修奖励（已发现金）'!C:C)</f>
        <v>0</v>
      </c>
      <c r="F41" s="360">
        <f>SUMIF(工作车救急!A:A,A41,工作车救急!B:B)</f>
        <v>0</v>
      </c>
      <c r="G41" s="360">
        <f t="shared" si="23"/>
        <v>0</v>
      </c>
      <c r="H41" s="361"/>
      <c r="I41" s="359">
        <f>SUMIF(保客营销考核!E:E,A41,保客营销考核!J:J)</f>
        <v>0</v>
      </c>
      <c r="J41" s="361">
        <f>SUMIF(服装扣款!D:D,综合考核!A41,服装扣款!R:R)</f>
        <v>0</v>
      </c>
      <c r="K41" s="360">
        <f t="shared" si="24"/>
        <v>0</v>
      </c>
      <c r="L41" s="360">
        <f>SUMIF('-月满意度考核'!C:C,综合考核!A41,'-月满意度考核'!J:J)</f>
        <v>0</v>
      </c>
      <c r="M41" s="370">
        <f t="shared" si="13"/>
        <v>0</v>
      </c>
      <c r="N41" s="371">
        <f t="shared" si="14"/>
        <v>0</v>
      </c>
      <c r="O41" s="372"/>
      <c r="Q41" s="373">
        <f t="shared" si="15"/>
        <v>0</v>
      </c>
      <c r="R41" s="349"/>
      <c r="S41" s="349"/>
      <c r="T41" s="349"/>
      <c r="U41" s="413"/>
      <c r="V41" s="349"/>
      <c r="W41" s="349"/>
      <c r="X41" s="349"/>
      <c r="Y41" s="349"/>
      <c r="Z41" s="349"/>
      <c r="AA41" s="349"/>
      <c r="AB41" s="349"/>
      <c r="AI41" s="387"/>
      <c r="AJ41" s="387"/>
      <c r="AK41" s="388"/>
      <c r="AL41" s="387"/>
      <c r="AM41" s="387"/>
      <c r="AN41" s="387"/>
      <c r="AO41" s="387"/>
      <c r="AP41" s="387"/>
      <c r="AQ41" s="387"/>
      <c r="AR41" s="387"/>
      <c r="AS41" s="387"/>
      <c r="AT41" s="387"/>
      <c r="AU41" s="387"/>
      <c r="AV41" s="387"/>
      <c r="AW41" s="389">
        <f t="shared" si="16"/>
        <v>0</v>
      </c>
      <c r="AX41" s="306" t="s">
        <v>139</v>
      </c>
      <c r="AY41" s="309" t="s">
        <v>117</v>
      </c>
      <c r="AZ41" s="318"/>
      <c r="BA41" s="407"/>
      <c r="BB41" s="381"/>
      <c r="BC41" s="381"/>
      <c r="BD41" s="381"/>
      <c r="BE41" s="382"/>
    </row>
    <row r="42" spans="1:57" ht="26.1" customHeight="1">
      <c r="A42" s="357" t="str">
        <f>'05月提成-武侯售后'!C43</f>
        <v>辜晓菲</v>
      </c>
      <c r="B42" s="358">
        <f>SUMIF('6月配件'!K:K,综合考核!A42,'6月配件'!L:L)</f>
        <v>0</v>
      </c>
      <c r="C42" s="358">
        <f>SUMIF('6月配件'!K:K,A42,'6月配件'!M:M)</f>
        <v>0</v>
      </c>
      <c r="D42" s="358">
        <f>SUMIF('5月接送车'!D:D,综合考核!A42,'5月接送车'!E:E)</f>
        <v>0</v>
      </c>
      <c r="E42" s="369">
        <f>SUMIF('转介绍+留修奖励（已发现金）'!F:F,综合考核!A42,'转介绍+留修奖励（已发现金）'!H:H)+SUMIF('转介绍+留修奖励（已发现金）'!L:L,综合考核!A42,'转介绍+留修奖励（已发现金）'!M:M)++SUMIF('转介绍+留修奖励（已发现金）'!B:B,综合考核!A42,'转介绍+留修奖励（已发现金）'!C:C)</f>
        <v>0</v>
      </c>
      <c r="F42" s="360">
        <f>SUMIF(工作车救急!A:A,A42,工作车救急!B:B)</f>
        <v>0</v>
      </c>
      <c r="G42" s="360">
        <f t="shared" si="23"/>
        <v>0</v>
      </c>
      <c r="H42" s="361"/>
      <c r="I42" s="359">
        <f>SUMIF(保客营销考核!E:E,A42,保客营销考核!J:J)</f>
        <v>0</v>
      </c>
      <c r="J42" s="361">
        <f>SUMIF(服装扣款!D:D,综合考核!A42,服装扣款!R:R)</f>
        <v>0</v>
      </c>
      <c r="K42" s="360">
        <f t="shared" si="24"/>
        <v>0</v>
      </c>
      <c r="L42" s="360">
        <f>SUMIF('-月满意度考核'!C:C,综合考核!A42,'-月满意度考核'!J:J)</f>
        <v>0</v>
      </c>
      <c r="M42" s="370">
        <f t="shared" si="13"/>
        <v>0</v>
      </c>
      <c r="N42" s="371">
        <f t="shared" si="14"/>
        <v>0</v>
      </c>
      <c r="O42" s="372"/>
      <c r="P42" s="42">
        <f>SUMIF('05月提成-武侯售后'!C:C,综合考核!A42,'05月提成-武侯售后'!L:L)</f>
        <v>0</v>
      </c>
      <c r="Q42" s="373">
        <f t="shared" si="15"/>
        <v>0</v>
      </c>
      <c r="R42" s="349"/>
      <c r="S42" s="349"/>
      <c r="T42" s="349"/>
      <c r="U42" s="413"/>
      <c r="V42" s="349"/>
      <c r="W42" s="349"/>
      <c r="X42" s="349"/>
      <c r="Y42" s="349"/>
      <c r="Z42" s="349"/>
      <c r="AA42" s="349"/>
      <c r="AB42" s="349"/>
      <c r="AI42" s="2058" t="s">
        <v>232</v>
      </c>
      <c r="AJ42" s="2058"/>
      <c r="AK42" s="388">
        <v>100</v>
      </c>
      <c r="AL42" s="387">
        <f>SUM(AL27:AL41)</f>
        <v>0</v>
      </c>
      <c r="AM42" s="2058">
        <f>SUM(AM27:AN40)</f>
        <v>0</v>
      </c>
      <c r="AN42" s="2058"/>
      <c r="AO42" s="2058">
        <f>SUM(AO27:AP40)</f>
        <v>0</v>
      </c>
      <c r="AP42" s="2058"/>
      <c r="AQ42" s="2058">
        <f>SUM(AQ27:AS40)</f>
        <v>0</v>
      </c>
      <c r="AR42" s="2058"/>
      <c r="AS42" s="2058"/>
      <c r="AT42" s="387">
        <f>SUM(AT27:AT40)</f>
        <v>0</v>
      </c>
      <c r="AU42" s="387">
        <f>SUM(AU27:AU41)</f>
        <v>0</v>
      </c>
      <c r="AV42" s="387">
        <f>SUM(AV27:AV40)</f>
        <v>0</v>
      </c>
      <c r="AW42" s="389">
        <f t="shared" si="16"/>
        <v>0</v>
      </c>
      <c r="AX42" s="306" t="s">
        <v>125</v>
      </c>
      <c r="AY42" s="309" t="s">
        <v>4524</v>
      </c>
      <c r="AZ42" s="318"/>
      <c r="BA42" s="407"/>
      <c r="BB42" s="381"/>
      <c r="BC42" s="381"/>
      <c r="BD42" s="381"/>
      <c r="BE42" s="382"/>
    </row>
    <row r="43" spans="1:57" ht="26.1" customHeight="1">
      <c r="A43" s="357" t="str">
        <f>'05月提成-武侯售后'!C44</f>
        <v>李超</v>
      </c>
      <c r="B43" s="358">
        <f>SUMIF('6月配件'!K:K,综合考核!A43,'6月配件'!L:L)</f>
        <v>0</v>
      </c>
      <c r="C43" s="358">
        <f>SUMIF('6月配件'!K:K,A43,'6月配件'!M:M)</f>
        <v>0</v>
      </c>
      <c r="D43" s="358">
        <f>SUMIF('5月接送车'!D:D,综合考核!A43,'5月接送车'!E:E)</f>
        <v>0</v>
      </c>
      <c r="E43" s="369">
        <f>SUMIF('转介绍+留修奖励（已发现金）'!F:F,综合考核!A43,'转介绍+留修奖励（已发现金）'!H:H)+SUMIF('转介绍+留修奖励（已发现金）'!L:L,综合考核!A43,'转介绍+留修奖励（已发现金）'!M:M)++SUMIF('转介绍+留修奖励（已发现金）'!B:B,综合考核!A43,'转介绍+留修奖励（已发现金）'!C:C)</f>
        <v>0</v>
      </c>
      <c r="F43" s="360">
        <f>SUMIF(工作车救急!A:A,A43,工作车救急!B:B)</f>
        <v>0</v>
      </c>
      <c r="G43" s="360">
        <f t="shared" si="23"/>
        <v>0</v>
      </c>
      <c r="H43" s="361"/>
      <c r="I43" s="359">
        <f>SUMIF(保客营销考核!E:E,A43,保客营销考核!J:J)</f>
        <v>0</v>
      </c>
      <c r="J43" s="361">
        <f>SUMIF(服装扣款!D:D,综合考核!A43,服装扣款!R:R)</f>
        <v>0</v>
      </c>
      <c r="K43" s="360">
        <f t="shared" si="24"/>
        <v>0</v>
      </c>
      <c r="L43" s="360">
        <f>SUMIF('-月满意度考核'!C:C,综合考核!A43,'-月满意度考核'!J:J)</f>
        <v>0</v>
      </c>
      <c r="M43" s="370">
        <f t="shared" si="13"/>
        <v>0</v>
      </c>
      <c r="N43" s="371">
        <f t="shared" si="14"/>
        <v>0</v>
      </c>
      <c r="O43" s="372"/>
      <c r="P43" s="42">
        <f>SUMIF('05月提成-武侯售后'!C:C,综合考核!A43,'05月提成-武侯售后'!L:L)</f>
        <v>0</v>
      </c>
      <c r="Q43" s="373">
        <f t="shared" si="15"/>
        <v>0</v>
      </c>
      <c r="AI43" s="2059" t="s">
        <v>4525</v>
      </c>
      <c r="AJ43" s="2059"/>
      <c r="AK43" s="2059"/>
      <c r="AL43" s="2059"/>
      <c r="AM43" s="2059"/>
      <c r="AN43" s="2059"/>
      <c r="AO43" s="2059"/>
      <c r="AP43" s="414"/>
      <c r="AQ43" s="414"/>
      <c r="AR43" s="414"/>
      <c r="AS43" s="414"/>
      <c r="AT43" s="414"/>
      <c r="AU43" s="414"/>
      <c r="AV43" s="414"/>
      <c r="AW43" s="414"/>
      <c r="AX43" s="306" t="s">
        <v>199</v>
      </c>
      <c r="AY43" s="415" t="s">
        <v>93</v>
      </c>
      <c r="AZ43" s="318"/>
      <c r="BA43" s="407"/>
      <c r="BB43" s="381"/>
      <c r="BC43" s="381"/>
      <c r="BD43" s="381"/>
      <c r="BE43" s="382"/>
    </row>
    <row r="44" spans="1:57" ht="26.1" customHeight="1">
      <c r="A44" s="357" t="str">
        <f>'05月提成-武侯售后'!C45</f>
        <v>小计</v>
      </c>
      <c r="B44" s="358">
        <f>SUMIF('6月配件'!K:K,综合考核!A44,'6月配件'!L:L)</f>
        <v>0</v>
      </c>
      <c r="C44" s="358">
        <f>SUMIF('6月配件'!K:K,A44,'6月配件'!M:M)</f>
        <v>0</v>
      </c>
      <c r="D44" s="358">
        <f>SUMIF('5月接送车'!D:D,综合考核!A44,'5月接送车'!E:E)</f>
        <v>0</v>
      </c>
      <c r="E44" s="369">
        <f>SUMIF('转介绍+留修奖励（已发现金）'!F:F,综合考核!A44,'转介绍+留修奖励（已发现金）'!H:H)+SUMIF('转介绍+留修奖励（已发现金）'!L:L,综合考核!A44,'转介绍+留修奖励（已发现金）'!M:M)++SUMIF('转介绍+留修奖励（已发现金）'!B:B,综合考核!A44,'转介绍+留修奖励（已发现金）'!C:C)</f>
        <v>0</v>
      </c>
      <c r="F44" s="360">
        <f>SUMIF(工作车救急!A:A,A44,工作车救急!B:B)</f>
        <v>0</v>
      </c>
      <c r="G44" s="360">
        <f t="shared" si="23"/>
        <v>0</v>
      </c>
      <c r="H44" s="361"/>
      <c r="I44" s="359">
        <f>SUMIF(保客营销考核!E:E,A44,保客营销考核!J:J)</f>
        <v>0</v>
      </c>
      <c r="J44" s="361">
        <f>SUMIF(服装扣款!D:D,综合考核!A44,服装扣款!R:R)</f>
        <v>0</v>
      </c>
      <c r="K44" s="360">
        <f t="shared" si="24"/>
        <v>0</v>
      </c>
      <c r="L44" s="360">
        <f>SUMIF('-月满意度考核'!C:C,综合考核!A44,'-月满意度考核'!J:J)</f>
        <v>0</v>
      </c>
      <c r="M44" s="370">
        <f t="shared" si="13"/>
        <v>0</v>
      </c>
      <c r="N44" s="371">
        <f t="shared" si="14"/>
        <v>0</v>
      </c>
      <c r="O44" s="372"/>
      <c r="Q44" s="373">
        <f t="shared" si="15"/>
        <v>0</v>
      </c>
      <c r="AI44" s="2059" t="s">
        <v>4526</v>
      </c>
      <c r="AJ44" s="2059"/>
      <c r="AK44" s="2059"/>
      <c r="AL44" s="2059"/>
      <c r="AM44" s="2059"/>
      <c r="AN44" s="2059"/>
      <c r="AO44" s="2059"/>
      <c r="AP44" s="414"/>
      <c r="AQ44" s="414"/>
      <c r="AR44" s="414"/>
      <c r="AS44" s="414"/>
      <c r="AT44" s="414"/>
      <c r="AU44" s="414"/>
      <c r="AV44" s="414"/>
      <c r="AW44" s="414"/>
      <c r="AX44" s="306"/>
      <c r="AY44" s="309" t="s">
        <v>4527</v>
      </c>
      <c r="AZ44" s="416">
        <v>935</v>
      </c>
      <c r="BA44" s="407"/>
      <c r="BB44" s="381"/>
      <c r="BC44" s="381"/>
      <c r="BD44" s="381"/>
      <c r="BE44" s="382"/>
    </row>
    <row r="45" spans="1:57" ht="26.1" customHeight="1">
      <c r="A45" s="357" t="str">
        <f>'05月提成-武侯售后'!C46</f>
        <v>黄意轩</v>
      </c>
      <c r="B45" s="358">
        <f>SUMIF('6月配件'!K:K,综合考核!A45,'6月配件'!L:L)</f>
        <v>0</v>
      </c>
      <c r="C45" s="358">
        <f>SUMIF('6月配件'!K:K,A45,'6月配件'!M:M)</f>
        <v>0</v>
      </c>
      <c r="D45" s="358">
        <f>SUMIF('5月接送车'!D:D,综合考核!A45,'5月接送车'!E:E)</f>
        <v>0</v>
      </c>
      <c r="E45" s="369">
        <f>SUMIF('转介绍+留修奖励（已发现金）'!F:F,综合考核!A45,'转介绍+留修奖励（已发现金）'!H:H)+SUMIF('转介绍+留修奖励（已发现金）'!L:L,综合考核!A45,'转介绍+留修奖励（已发现金）'!M:M)++SUMIF('转介绍+留修奖励（已发现金）'!B:B,综合考核!A45,'转介绍+留修奖励（已发现金）'!C:C)</f>
        <v>0</v>
      </c>
      <c r="F45" s="360">
        <f>SUMIF(工作车救急!A:A,A45,工作车救急!B:B)</f>
        <v>0</v>
      </c>
      <c r="G45" s="360">
        <f t="shared" si="23"/>
        <v>0</v>
      </c>
      <c r="H45" s="361"/>
      <c r="I45" s="359">
        <f>SUMIF(保客营销考核!E:E,A45,保客营销考核!J:J)</f>
        <v>0</v>
      </c>
      <c r="J45" s="361">
        <f>SUMIF(服装扣款!D:D,综合考核!A45,服装扣款!R:R)</f>
        <v>0</v>
      </c>
      <c r="K45" s="360">
        <f t="shared" si="24"/>
        <v>0</v>
      </c>
      <c r="L45" s="360">
        <f>SUMIF('-月满意度考核'!C:C,综合考核!A45,'-月满意度考核'!J:J)</f>
        <v>0</v>
      </c>
      <c r="M45" s="370">
        <f t="shared" si="13"/>
        <v>0</v>
      </c>
      <c r="N45" s="371">
        <f t="shared" si="14"/>
        <v>0</v>
      </c>
      <c r="O45" s="372"/>
      <c r="P45" s="42">
        <f>SUMIF('05月提成-武侯售后'!C:C,综合考核!A45,'05月提成-武侯售后'!L:L)</f>
        <v>0</v>
      </c>
      <c r="Q45" s="373">
        <f t="shared" si="15"/>
        <v>0</v>
      </c>
      <c r="AI45" s="417" t="s">
        <v>4528</v>
      </c>
      <c r="AJ45" s="417"/>
      <c r="AK45" s="417"/>
      <c r="AL45" s="417"/>
      <c r="AM45" s="417"/>
      <c r="AN45" s="417"/>
      <c r="AO45" s="417"/>
      <c r="AP45" s="417"/>
      <c r="AQ45" s="414"/>
      <c r="AR45" s="414"/>
      <c r="AS45" s="414"/>
      <c r="AT45" s="414"/>
      <c r="AU45" s="414"/>
      <c r="AV45" s="414"/>
      <c r="AW45" s="414"/>
      <c r="AX45" s="306">
        <v>15</v>
      </c>
      <c r="AY45" s="309" t="s">
        <v>311</v>
      </c>
      <c r="AZ45" s="380"/>
      <c r="BA45" s="418">
        <v>1410</v>
      </c>
      <c r="BB45" s="419"/>
      <c r="BC45" s="419"/>
      <c r="BD45" s="419"/>
      <c r="BE45" s="35"/>
    </row>
    <row r="46" spans="1:57" ht="26.1" customHeight="1">
      <c r="A46" s="357" t="str">
        <f>'05月提成-武侯售后'!C47</f>
        <v>唐芳兰</v>
      </c>
      <c r="B46" s="358">
        <f>SUMIF('6月配件'!K:K,综合考核!A46,'6月配件'!L:L)</f>
        <v>0</v>
      </c>
      <c r="C46" s="358">
        <f>SUMIF('6月配件'!K:K,A46,'6月配件'!M:M)</f>
        <v>0</v>
      </c>
      <c r="D46" s="358">
        <f>SUMIF('5月接送车'!D:D,综合考核!A46,'5月接送车'!E:E)</f>
        <v>0</v>
      </c>
      <c r="E46" s="369">
        <f>SUMIF('转介绍+留修奖励（已发现金）'!F:F,综合考核!A46,'转介绍+留修奖励（已发现金）'!H:H)+SUMIF('转介绍+留修奖励（已发现金）'!L:L,综合考核!A46,'转介绍+留修奖励（已发现金）'!M:M)++SUMIF('转介绍+留修奖励（已发现金）'!B:B,综合考核!A46,'转介绍+留修奖励（已发现金）'!C:C)</f>
        <v>0</v>
      </c>
      <c r="F46" s="360">
        <f>SUMIF(工作车救急!A:A,A46,工作车救急!B:B)</f>
        <v>0</v>
      </c>
      <c r="G46" s="360">
        <f t="shared" si="23"/>
        <v>0</v>
      </c>
      <c r="H46" s="361"/>
      <c r="I46" s="359">
        <f>SUMIF(保客营销考核!E:E,A46,保客营销考核!J:J)</f>
        <v>0</v>
      </c>
      <c r="J46" s="361">
        <f>SUMIF(服装扣款!D:D,综合考核!A46,服装扣款!R:R)</f>
        <v>0</v>
      </c>
      <c r="K46" s="360">
        <f t="shared" si="24"/>
        <v>0</v>
      </c>
      <c r="L46" s="360">
        <f>SUMIF('-月满意度考核'!C:C,综合考核!A46,'-月满意度考核'!J:J)</f>
        <v>0</v>
      </c>
      <c r="M46" s="370">
        <f t="shared" si="13"/>
        <v>0</v>
      </c>
      <c r="N46" s="371">
        <f t="shared" si="14"/>
        <v>0</v>
      </c>
      <c r="O46" s="372"/>
      <c r="P46" s="42">
        <f>SUMIF('05月提成-武侯售后'!C:C,综合考核!A46,'05月提成-武侯售后'!L:L)</f>
        <v>0</v>
      </c>
      <c r="Q46" s="373">
        <f t="shared" si="15"/>
        <v>0</v>
      </c>
      <c r="AI46" s="414" t="s">
        <v>4529</v>
      </c>
      <c r="AJ46" s="414"/>
      <c r="AK46" s="414"/>
      <c r="AL46" s="414"/>
      <c r="AM46" s="420"/>
      <c r="AN46" s="420"/>
      <c r="AO46" s="421"/>
      <c r="AP46" s="414"/>
      <c r="AQ46" s="414"/>
      <c r="AR46" s="414"/>
      <c r="AS46" s="414"/>
      <c r="AT46" s="2060">
        <v>45958</v>
      </c>
      <c r="AU46" s="2060"/>
      <c r="AV46" s="2060"/>
      <c r="AW46" s="414"/>
      <c r="AX46" s="422"/>
      <c r="AY46" s="381" t="s">
        <v>93</v>
      </c>
      <c r="AZ46" s="408">
        <f>BA45*0.2</f>
        <v>282</v>
      </c>
      <c r="BA46" s="407">
        <f>BA45</f>
        <v>1410</v>
      </c>
      <c r="BB46" s="419"/>
      <c r="BC46" s="419"/>
      <c r="BD46" s="419"/>
      <c r="BE46" s="35"/>
    </row>
    <row r="47" spans="1:57" ht="26.1" customHeight="1">
      <c r="A47" s="357" t="str">
        <f>'05月提成-武侯售后'!C48</f>
        <v>赵水仙</v>
      </c>
      <c r="B47" s="358">
        <f>SUMIF('6月配件'!K:K,综合考核!A47,'6月配件'!L:L)</f>
        <v>0</v>
      </c>
      <c r="C47" s="358">
        <f>SUMIF('6月配件'!K:K,A47,'6月配件'!M:M)</f>
        <v>0</v>
      </c>
      <c r="D47" s="358">
        <f>SUMIF('5月接送车'!D:D,综合考核!A47,'5月接送车'!E:E)</f>
        <v>0</v>
      </c>
      <c r="E47" s="369">
        <f>SUMIF('转介绍+留修奖励（已发现金）'!F:F,综合考核!A47,'转介绍+留修奖励（已发现金）'!H:H)+SUMIF('转介绍+留修奖励（已发现金）'!L:L,综合考核!A47,'转介绍+留修奖励（已发现金）'!M:M)++SUMIF('转介绍+留修奖励（已发现金）'!B:B,综合考核!A47,'转介绍+留修奖励（已发现金）'!C:C)</f>
        <v>0</v>
      </c>
      <c r="F47" s="360">
        <f>SUMIF(工作车救急!A:A,A47,工作车救急!B:B)</f>
        <v>0</v>
      </c>
      <c r="G47" s="360">
        <f t="shared" si="23"/>
        <v>0</v>
      </c>
      <c r="H47" s="361"/>
      <c r="I47" s="359">
        <f>SUMIF(保客营销考核!E:E,A47,保客营销考核!J:J)</f>
        <v>0</v>
      </c>
      <c r="J47" s="361">
        <f>SUMIF(服装扣款!D:D,综合考核!A47,服装扣款!R:R)</f>
        <v>0</v>
      </c>
      <c r="K47" s="360">
        <f t="shared" si="24"/>
        <v>0</v>
      </c>
      <c r="L47" s="360">
        <f>SUMIF('-月满意度考核'!C:C,综合考核!A47,'-月满意度考核'!J:J)</f>
        <v>0</v>
      </c>
      <c r="M47" s="370">
        <f t="shared" si="13"/>
        <v>0</v>
      </c>
      <c r="N47" s="371">
        <f t="shared" si="14"/>
        <v>0</v>
      </c>
      <c r="O47" s="372"/>
      <c r="P47" s="42">
        <f>SUMIF('05月提成-武侯售后'!C:C,综合考核!A47,'05月提成-武侯售后'!L:L)</f>
        <v>0</v>
      </c>
      <c r="Q47" s="373">
        <f t="shared" si="15"/>
        <v>0</v>
      </c>
      <c r="AI47" s="414"/>
      <c r="AJ47" s="414"/>
      <c r="AK47" s="414"/>
      <c r="AL47" s="414"/>
      <c r="AM47" s="420"/>
      <c r="AN47" s="420"/>
      <c r="AO47" s="421"/>
      <c r="AP47" s="414"/>
      <c r="AQ47" s="414"/>
      <c r="AR47" s="414"/>
      <c r="AS47" s="414"/>
      <c r="AT47" s="2060"/>
      <c r="AU47" s="2060"/>
      <c r="AV47" s="414"/>
      <c r="AW47" s="414"/>
      <c r="AX47" s="422"/>
      <c r="AY47" s="423" t="s">
        <v>94</v>
      </c>
      <c r="AZ47" s="408">
        <f>BA46*0.13</f>
        <v>183.3</v>
      </c>
      <c r="BA47" s="407">
        <f t="shared" ref="BA47:BA52" si="25">BA46</f>
        <v>1410</v>
      </c>
      <c r="BB47" s="419"/>
      <c r="BC47" s="419"/>
      <c r="BD47" s="419"/>
      <c r="BE47" s="35"/>
    </row>
    <row r="48" spans="1:57" ht="26.1" customHeight="1">
      <c r="A48" s="357" t="str">
        <f>'05月提成-武侯售后'!C49</f>
        <v>张琴</v>
      </c>
      <c r="B48" s="358">
        <f>SUMIF('6月配件'!K:K,综合考核!A48,'6月配件'!L:L)</f>
        <v>0</v>
      </c>
      <c r="C48" s="358">
        <f>SUMIF('6月配件'!K:K,A48,'6月配件'!M:M)</f>
        <v>0</v>
      </c>
      <c r="D48" s="358">
        <f>SUMIF('5月接送车'!D:D,综合考核!A48,'5月接送车'!E:E)</f>
        <v>0</v>
      </c>
      <c r="E48" s="369">
        <f>SUMIF('转介绍+留修奖励（已发现金）'!F:F,综合考核!A48,'转介绍+留修奖励（已发现金）'!H:H)+SUMIF('转介绍+留修奖励（已发现金）'!L:L,综合考核!A48,'转介绍+留修奖励（已发现金）'!M:M)++SUMIF('转介绍+留修奖励（已发现金）'!B:B,综合考核!A48,'转介绍+留修奖励（已发现金）'!C:C)</f>
        <v>0</v>
      </c>
      <c r="F48" s="360">
        <f>SUMIF(工作车救急!A:A,A48,工作车救急!B:B)</f>
        <v>0</v>
      </c>
      <c r="G48" s="360">
        <f t="shared" si="23"/>
        <v>0</v>
      </c>
      <c r="H48" s="361"/>
      <c r="I48" s="359">
        <f>SUMIF(保客营销考核!E:E,A48,保客营销考核!J:J)</f>
        <v>0</v>
      </c>
      <c r="J48" s="361">
        <f>SUMIF(服装扣款!D:D,综合考核!A48,服装扣款!R:R)</f>
        <v>0</v>
      </c>
      <c r="K48" s="360">
        <f t="shared" si="24"/>
        <v>0</v>
      </c>
      <c r="L48" s="360">
        <f>SUMIF('-月满意度考核'!C:C,综合考核!A48,'-月满意度考核'!J:J)</f>
        <v>0</v>
      </c>
      <c r="M48" s="370">
        <f t="shared" si="13"/>
        <v>0</v>
      </c>
      <c r="N48" s="371">
        <f t="shared" si="14"/>
        <v>0</v>
      </c>
      <c r="O48" s="372"/>
      <c r="P48" s="42">
        <f>SUMIF('05月提成-武侯售后'!C:C,综合考核!A48,'05月提成-武侯售后'!L:L)</f>
        <v>0</v>
      </c>
      <c r="Q48" s="373">
        <f t="shared" si="15"/>
        <v>0</v>
      </c>
      <c r="AI48" s="384"/>
      <c r="AJ48" s="384"/>
      <c r="AK48" s="384"/>
      <c r="AL48" s="384"/>
      <c r="AM48" s="384"/>
      <c r="AN48" s="384"/>
      <c r="AO48" s="384"/>
      <c r="AP48" s="384"/>
      <c r="AQ48" s="384"/>
      <c r="AR48" s="384"/>
      <c r="AS48" s="384"/>
      <c r="AT48" s="384"/>
      <c r="AU48" s="384"/>
      <c r="AX48" s="422"/>
      <c r="AY48" s="424" t="s">
        <v>95</v>
      </c>
      <c r="AZ48" s="408">
        <f>BA47*0.13</f>
        <v>183.3</v>
      </c>
      <c r="BA48" s="407">
        <f t="shared" si="25"/>
        <v>1410</v>
      </c>
      <c r="BB48" s="419"/>
      <c r="BC48" s="419"/>
      <c r="BD48" s="419"/>
      <c r="BE48" s="35"/>
    </row>
    <row r="49" spans="1:57" ht="26.1" customHeight="1">
      <c r="A49" s="357" t="str">
        <f>'05月提成-武侯售后'!C50</f>
        <v>刘林</v>
      </c>
      <c r="B49" s="358">
        <f>SUMIF('6月配件'!K:K,综合考核!A49,'6月配件'!L:L)</f>
        <v>0</v>
      </c>
      <c r="C49" s="358">
        <f>SUMIF('6月配件'!K:K,A49,'6月配件'!M:M)</f>
        <v>0</v>
      </c>
      <c r="D49" s="358">
        <f>SUMIF('5月接送车'!D:D,综合考核!A49,'5月接送车'!E:E)</f>
        <v>0</v>
      </c>
      <c r="E49" s="369">
        <f>SUMIF('转介绍+留修奖励（已发现金）'!F:F,综合考核!A49,'转介绍+留修奖励（已发现金）'!H:H)+SUMIF('转介绍+留修奖励（已发现金）'!L:L,综合考核!A49,'转介绍+留修奖励（已发现金）'!M:M)++SUMIF('转介绍+留修奖励（已发现金）'!B:B,综合考核!A49,'转介绍+留修奖励（已发现金）'!C:C)</f>
        <v>0</v>
      </c>
      <c r="F49" s="360">
        <f>SUMIF(工作车救急!A:A,A49,工作车救急!B:B)</f>
        <v>0</v>
      </c>
      <c r="G49" s="360">
        <f t="shared" si="23"/>
        <v>0</v>
      </c>
      <c r="H49" s="361"/>
      <c r="I49" s="359">
        <f>SUMIF(保客营销考核!E:E,A49,保客营销考核!J:J)</f>
        <v>0</v>
      </c>
      <c r="J49" s="361">
        <f>SUMIF(服装扣款!D:D,综合考核!A49,服装扣款!R:R)</f>
        <v>0</v>
      </c>
      <c r="K49" s="360">
        <f t="shared" si="24"/>
        <v>0</v>
      </c>
      <c r="L49" s="360">
        <f>SUMIF('-月满意度考核'!C:C,综合考核!A49,'-月满意度考核'!J:J)</f>
        <v>0</v>
      </c>
      <c r="M49" s="370">
        <f t="shared" si="13"/>
        <v>0</v>
      </c>
      <c r="N49" s="371">
        <f t="shared" si="14"/>
        <v>0</v>
      </c>
      <c r="O49" s="372"/>
      <c r="P49" s="42">
        <f>SUMIF('05月提成-武侯售后'!C:C,综合考核!A49,'05月提成-武侯售后'!L:L)</f>
        <v>0</v>
      </c>
      <c r="Q49" s="373">
        <f t="shared" si="15"/>
        <v>0</v>
      </c>
      <c r="AI49" s="384"/>
      <c r="AJ49" s="384"/>
      <c r="AK49" s="384"/>
      <c r="AL49" s="384"/>
      <c r="AM49" s="384"/>
      <c r="AN49" s="384"/>
      <c r="AO49" s="384"/>
      <c r="AP49" s="384"/>
      <c r="AQ49" s="384"/>
      <c r="AR49" s="384"/>
      <c r="AS49" s="384"/>
      <c r="AT49" s="384"/>
      <c r="AU49" s="384"/>
      <c r="AX49" s="422"/>
      <c r="AY49" s="424" t="s">
        <v>202</v>
      </c>
      <c r="AZ49" s="408">
        <f>BA48*0.14</f>
        <v>197.4</v>
      </c>
      <c r="BA49" s="407">
        <f t="shared" si="25"/>
        <v>1410</v>
      </c>
      <c r="BB49" s="419"/>
      <c r="BC49" s="419"/>
      <c r="BD49" s="419"/>
      <c r="BE49" s="35"/>
    </row>
    <row r="50" spans="1:57" s="350" customFormat="1" ht="26.1" customHeight="1">
      <c r="A50" s="357" t="str">
        <f>'05月提成-武侯售后'!C54</f>
        <v>高梓绮</v>
      </c>
      <c r="B50" s="390">
        <f>SUMIF('6月配件'!K:K,综合考核!A50,'6月配件'!L:L)</f>
        <v>0</v>
      </c>
      <c r="C50" s="390">
        <f>SUMIF('6月配件'!K:K,A50,'6月配件'!M:M)</f>
        <v>0</v>
      </c>
      <c r="D50" s="358">
        <f>SUMIF('5月接送车'!D:D,综合考核!A50,'5月接送车'!E:E)</f>
        <v>0</v>
      </c>
      <c r="E50" s="369">
        <f>SUMIF('转介绍+留修奖励（已发现金）'!F:F,综合考核!A50,'转介绍+留修奖励（已发现金）'!H:H)+SUMIF('转介绍+留修奖励（已发现金）'!L:L,综合考核!A50,'转介绍+留修奖励（已发现金）'!M:M)++SUMIF('转介绍+留修奖励（已发现金）'!B:B,综合考核!A50,'转介绍+留修奖励（已发现金）'!C:C)</f>
        <v>0</v>
      </c>
      <c r="F50" s="359">
        <f>SUMIF(工作车救急!A:A,A50,工作车救急!B:B)</f>
        <v>0</v>
      </c>
      <c r="G50" s="359">
        <f t="shared" si="23"/>
        <v>0</v>
      </c>
      <c r="H50" s="359"/>
      <c r="I50" s="359">
        <f>SUMIF(保客营销考核!E:E,A50,保客营销考核!J:J)</f>
        <v>0</v>
      </c>
      <c r="J50" s="359">
        <f>SUMIF(服装扣款!D:D,综合考核!A50,服装扣款!R:R)</f>
        <v>0</v>
      </c>
      <c r="K50" s="360">
        <f t="shared" si="24"/>
        <v>0</v>
      </c>
      <c r="L50" s="359">
        <f>SUMIF('-月满意度考核'!C:C,综合考核!A50,'-月满意度考核'!J:J)</f>
        <v>0</v>
      </c>
      <c r="M50" s="390">
        <f t="shared" si="13"/>
        <v>0</v>
      </c>
      <c r="N50" s="425">
        <f t="shared" si="14"/>
        <v>0</v>
      </c>
      <c r="O50" s="426"/>
      <c r="P50" s="350">
        <f>SUMIF('05月提成-武侯售后'!C:C,综合考核!A50,'05月提成-武侯售后'!L:L)</f>
        <v>0</v>
      </c>
      <c r="Q50" s="427">
        <f t="shared" si="15"/>
        <v>0</v>
      </c>
      <c r="U50" s="428"/>
      <c r="AI50" s="429"/>
      <c r="AJ50" s="429"/>
      <c r="AK50" s="429"/>
      <c r="AL50" s="429"/>
      <c r="AM50" s="429"/>
      <c r="AN50" s="429"/>
      <c r="AO50" s="429"/>
      <c r="AP50" s="429"/>
      <c r="AQ50" s="429"/>
      <c r="AR50" s="429"/>
      <c r="AS50" s="429"/>
      <c r="AT50" s="429"/>
      <c r="AU50" s="429"/>
      <c r="AX50" s="430"/>
      <c r="AY50" s="431" t="s">
        <v>96</v>
      </c>
      <c r="AZ50" s="33">
        <f>BA49*0.14</f>
        <v>197.4</v>
      </c>
      <c r="BA50" s="418">
        <f t="shared" si="25"/>
        <v>1410</v>
      </c>
      <c r="BB50" s="277"/>
      <c r="BC50" s="277"/>
      <c r="BD50" s="277"/>
      <c r="BE50" s="277"/>
    </row>
    <row r="51" spans="1:57" ht="26.1" customHeight="1">
      <c r="A51" s="357" t="str">
        <f>'05月提成-武侯售后'!C55</f>
        <v>罗文琦</v>
      </c>
      <c r="B51" s="358">
        <f>SUMIF('6月配件'!K:K,综合考核!A51,'6月配件'!L:L)</f>
        <v>0</v>
      </c>
      <c r="C51" s="358">
        <f>SUMIF('6月配件'!K:K,A51,'6月配件'!M:M)</f>
        <v>0</v>
      </c>
      <c r="D51" s="358">
        <f>SUMIF('5月接送车'!D:D,综合考核!A51,'5月接送车'!E:E)</f>
        <v>0</v>
      </c>
      <c r="E51" s="369">
        <f>SUMIF('转介绍+留修奖励（已发现金）'!F:F,综合考核!A51,'转介绍+留修奖励（已发现金）'!H:H)+SUMIF('转介绍+留修奖励（已发现金）'!L:L,综合考核!A51,'转介绍+留修奖励（已发现金）'!M:M)++SUMIF('转介绍+留修奖励（已发现金）'!B:B,综合考核!A51,'转介绍+留修奖励（已发现金）'!C:C)</f>
        <v>0</v>
      </c>
      <c r="F51" s="360">
        <f>SUMIF(工作车救急!A:A,A51,工作车救急!B:B)</f>
        <v>0</v>
      </c>
      <c r="G51" s="360">
        <f t="shared" si="23"/>
        <v>0</v>
      </c>
      <c r="H51" s="361"/>
      <c r="I51" s="359">
        <f>SUMIF(保客营销考核!E:E,A51,保客营销考核!J:J)</f>
        <v>0</v>
      </c>
      <c r="J51" s="361">
        <f>SUMIF(服装扣款!D:D,综合考核!A51,服装扣款!R:R)</f>
        <v>0</v>
      </c>
      <c r="K51" s="360">
        <f t="shared" si="24"/>
        <v>0</v>
      </c>
      <c r="L51" s="360">
        <f>SUMIF('-月满意度考核'!C:C,综合考核!A51,'-月满意度考核'!J:J)</f>
        <v>0</v>
      </c>
      <c r="M51" s="370">
        <f t="shared" si="13"/>
        <v>0</v>
      </c>
      <c r="N51" s="371">
        <f t="shared" si="14"/>
        <v>0</v>
      </c>
      <c r="O51" s="372"/>
      <c r="P51" s="42">
        <f>SUMIF('05月提成-武侯售后'!C:C,综合考核!A51,'05月提成-武侯售后'!L:L)</f>
        <v>0</v>
      </c>
      <c r="Q51" s="373">
        <f t="shared" si="15"/>
        <v>0</v>
      </c>
      <c r="AI51" s="384"/>
      <c r="AJ51" s="384"/>
      <c r="AK51" s="384"/>
      <c r="AL51" s="384"/>
      <c r="AM51" s="384"/>
      <c r="AN51" s="384"/>
      <c r="AO51" s="384"/>
      <c r="AP51" s="384"/>
      <c r="AQ51" s="384"/>
      <c r="AR51" s="384"/>
      <c r="AS51" s="384"/>
      <c r="AT51" s="384"/>
      <c r="AU51" s="384"/>
      <c r="AX51" s="422"/>
      <c r="AY51" s="424" t="s">
        <v>99</v>
      </c>
      <c r="AZ51" s="408">
        <f>BA50*0.14</f>
        <v>197.4</v>
      </c>
      <c r="BA51" s="407">
        <f t="shared" si="25"/>
        <v>1410</v>
      </c>
      <c r="BB51" s="419"/>
      <c r="BC51" s="419"/>
      <c r="BD51" s="419"/>
      <c r="BE51" s="35"/>
    </row>
    <row r="52" spans="1:57" ht="26.1" customHeight="1">
      <c r="A52" s="357" t="str">
        <f>'05月提成-武侯售后'!C56</f>
        <v>周凤英</v>
      </c>
      <c r="B52" s="358">
        <f>SUMIF('6月配件'!K:K,综合考核!A52,'6月配件'!L:L)</f>
        <v>0</v>
      </c>
      <c r="C52" s="358">
        <f>SUMIF('6月配件'!K:K,A52,'6月配件'!M:M)</f>
        <v>0</v>
      </c>
      <c r="D52" s="358">
        <f>SUMIF('5月接送车'!D:D,综合考核!A52,'5月接送车'!E:E)</f>
        <v>0</v>
      </c>
      <c r="E52" s="369">
        <f>SUMIF('转介绍+留修奖励（已发现金）'!F:F,综合考核!A52,'转介绍+留修奖励（已发现金）'!H:H)+SUMIF('转介绍+留修奖励（已发现金）'!L:L,综合考核!A52,'转介绍+留修奖励（已发现金）'!M:M)++SUMIF('转介绍+留修奖励（已发现金）'!B:B,综合考核!A52,'转介绍+留修奖励（已发现金）'!C:C)</f>
        <v>0</v>
      </c>
      <c r="F52" s="360">
        <f>SUMIF(工作车救急!A:A,A52,工作车救急!B:B)</f>
        <v>0</v>
      </c>
      <c r="G52" s="360">
        <f t="shared" si="23"/>
        <v>0</v>
      </c>
      <c r="H52" s="361"/>
      <c r="I52" s="359">
        <f>SUMIF(保客营销考核!E:E,A52,保客营销考核!J:J)</f>
        <v>0</v>
      </c>
      <c r="J52" s="361">
        <f>SUMIF(服装扣款!D:D,综合考核!A52,服装扣款!R:R)</f>
        <v>0</v>
      </c>
      <c r="K52" s="360">
        <f t="shared" si="24"/>
        <v>0</v>
      </c>
      <c r="L52" s="360">
        <f>SUMIF('-月满意度考核'!C:C,综合考核!A52,'-月满意度考核'!J:J)</f>
        <v>0</v>
      </c>
      <c r="M52" s="370">
        <f t="shared" si="13"/>
        <v>0</v>
      </c>
      <c r="N52" s="371">
        <f t="shared" si="14"/>
        <v>0</v>
      </c>
      <c r="O52" s="372"/>
      <c r="P52" s="42">
        <f>SUMIF('05月提成-武侯售后'!C:C,综合考核!A52,'05月提成-武侯售后'!L:L)</f>
        <v>0</v>
      </c>
      <c r="Q52" s="373">
        <f t="shared" si="15"/>
        <v>0</v>
      </c>
      <c r="AI52" s="384"/>
      <c r="AJ52" s="384"/>
      <c r="AK52" s="384"/>
      <c r="AL52" s="384"/>
      <c r="AM52" s="384"/>
      <c r="AN52" s="384"/>
      <c r="AO52" s="384"/>
      <c r="AP52" s="384"/>
      <c r="AQ52" s="384"/>
      <c r="AR52" s="384"/>
      <c r="AS52" s="384"/>
      <c r="AT52" s="384"/>
      <c r="AU52" s="384"/>
      <c r="AX52" s="422"/>
      <c r="AY52" s="424" t="s">
        <v>100</v>
      </c>
      <c r="AZ52" s="408">
        <f>BA51*0.12</f>
        <v>169.2</v>
      </c>
      <c r="BA52" s="407">
        <f t="shared" si="25"/>
        <v>1410</v>
      </c>
      <c r="BB52" s="419"/>
      <c r="BC52" s="419"/>
      <c r="BD52" s="419"/>
      <c r="BE52" s="35"/>
    </row>
    <row r="53" spans="1:57" ht="26.1" customHeight="1">
      <c r="A53" s="357" t="str">
        <f>'05月提成-武侯售后'!C57</f>
        <v>孙茂梅</v>
      </c>
      <c r="B53" s="358">
        <f>SUMIF('6月配件'!K:K,综合考核!A53,'6月配件'!L:L)</f>
        <v>0</v>
      </c>
      <c r="C53" s="358">
        <f>SUMIF('6月配件'!K:K,A53,'6月配件'!M:M)</f>
        <v>0</v>
      </c>
      <c r="D53" s="358">
        <f>SUMIF('5月接送车'!D:D,综合考核!A53,'5月接送车'!E:E)</f>
        <v>0</v>
      </c>
      <c r="E53" s="369">
        <f>SUMIF('转介绍+留修奖励（已发现金）'!F:F,综合考核!A53,'转介绍+留修奖励（已发现金）'!H:H)+SUMIF('转介绍+留修奖励（已发现金）'!L:L,综合考核!A53,'转介绍+留修奖励（已发现金）'!M:M)++SUMIF('转介绍+留修奖励（已发现金）'!B:B,综合考核!A53,'转介绍+留修奖励（已发现金）'!C:C)</f>
        <v>0</v>
      </c>
      <c r="F53" s="360">
        <f>SUMIF(工作车救急!A:A,A53,工作车救急!B:B)</f>
        <v>0</v>
      </c>
      <c r="G53" s="360">
        <f t="shared" si="23"/>
        <v>0</v>
      </c>
      <c r="H53" s="361"/>
      <c r="I53" s="359">
        <f>SUMIF(保客营销考核!E:E,A53,保客营销考核!J:J)</f>
        <v>0</v>
      </c>
      <c r="J53" s="361">
        <f>SUMIF(服装扣款!D:D,综合考核!A53,服装扣款!R:R)</f>
        <v>0</v>
      </c>
      <c r="K53" s="360">
        <f t="shared" si="24"/>
        <v>0</v>
      </c>
      <c r="L53" s="360">
        <f>SUMIF('-月满意度考核'!C:C,综合考核!A53,'-月满意度考核'!J:J)</f>
        <v>0</v>
      </c>
      <c r="M53" s="370">
        <f t="shared" si="13"/>
        <v>0</v>
      </c>
      <c r="N53" s="371">
        <f t="shared" si="14"/>
        <v>0</v>
      </c>
      <c r="O53" s="372"/>
      <c r="Q53" s="373">
        <f t="shared" si="15"/>
        <v>0</v>
      </c>
      <c r="AI53" s="384"/>
      <c r="AJ53" s="384"/>
      <c r="AK53" s="384"/>
      <c r="AL53" s="384"/>
      <c r="AM53" s="384"/>
      <c r="AN53" s="384"/>
      <c r="AO53" s="384"/>
      <c r="AP53" s="384"/>
      <c r="AQ53" s="384"/>
      <c r="AR53" s="384"/>
      <c r="AS53" s="384"/>
      <c r="AT53" s="384"/>
      <c r="AU53" s="384"/>
      <c r="AX53" s="422"/>
      <c r="AY53" s="419"/>
      <c r="AZ53" s="419"/>
      <c r="BA53" s="419"/>
      <c r="BB53" s="419"/>
      <c r="BC53" s="419"/>
      <c r="BD53" s="419"/>
      <c r="BE53" s="35"/>
    </row>
    <row r="54" spans="1:57" ht="26.1" customHeight="1">
      <c r="A54" s="357" t="e">
        <f>'05月提成-武侯售后'!#REF!</f>
        <v>#REF!</v>
      </c>
      <c r="B54" s="358">
        <f>SUMIF('6月配件'!K:K,综合考核!A54,'6月配件'!L:L)</f>
        <v>0</v>
      </c>
      <c r="C54" s="358">
        <f>SUMIF('6月配件'!K:K,A54,'6月配件'!M:M)</f>
        <v>0</v>
      </c>
      <c r="D54" s="358">
        <f>SUMIF('5月接送车'!D:D,综合考核!A54,'5月接送车'!E:E)</f>
        <v>0</v>
      </c>
      <c r="E54" s="369">
        <f>SUMIF('转介绍+留修奖励（已发现金）'!F:F,综合考核!A54,'转介绍+留修奖励（已发现金）'!H:H)+SUMIF('转介绍+留修奖励（已发现金）'!L:L,综合考核!A54,'转介绍+留修奖励（已发现金）'!M:M)++SUMIF('转介绍+留修奖励（已发现金）'!B:B,综合考核!A54,'转介绍+留修奖励（已发现金）'!C:C)</f>
        <v>0</v>
      </c>
      <c r="F54" s="360">
        <f>SUMIF(工作车救急!A:A,A54,工作车救急!B:B)</f>
        <v>0</v>
      </c>
      <c r="G54" s="360">
        <f t="shared" si="23"/>
        <v>0</v>
      </c>
      <c r="H54" s="361"/>
      <c r="I54" s="359">
        <f>SUMIF(保客营销考核!E:E,A54,保客营销考核!J:J)</f>
        <v>0</v>
      </c>
      <c r="J54" s="361">
        <f>SUMIF(服装扣款!D:D,综合考核!A54,服装扣款!R:R)</f>
        <v>0</v>
      </c>
      <c r="K54" s="360">
        <f t="shared" si="24"/>
        <v>0</v>
      </c>
      <c r="L54" s="360">
        <f>SUMIF('-月满意度考核'!C:C,综合考核!A54,'-月满意度考核'!J:J)</f>
        <v>0</v>
      </c>
      <c r="M54" s="370">
        <f t="shared" si="13"/>
        <v>0</v>
      </c>
      <c r="N54" s="371">
        <f t="shared" si="14"/>
        <v>0</v>
      </c>
      <c r="O54" s="372"/>
      <c r="P54" s="42">
        <f>SUMIF('05月提成-武侯售后'!C:C,综合考核!A54,'05月提成-武侯售后'!L:L)</f>
        <v>0</v>
      </c>
      <c r="Q54" s="373">
        <f t="shared" si="15"/>
        <v>0</v>
      </c>
      <c r="AI54" s="384"/>
      <c r="AJ54" s="384"/>
      <c r="AK54" s="384"/>
      <c r="AL54" s="384"/>
      <c r="AM54" s="384"/>
      <c r="AN54" s="384"/>
      <c r="AO54" s="384"/>
      <c r="AP54" s="384"/>
      <c r="AQ54" s="384"/>
      <c r="AR54" s="384"/>
      <c r="AS54" s="384"/>
      <c r="AT54" s="384"/>
      <c r="AU54" s="384"/>
      <c r="AX54" s="35"/>
      <c r="AY54" s="419"/>
      <c r="AZ54" s="419"/>
      <c r="BA54" s="419"/>
      <c r="BB54" s="419"/>
      <c r="BC54" s="419"/>
      <c r="BD54" s="419"/>
      <c r="BE54" s="35"/>
    </row>
    <row r="55" spans="1:57" ht="26.1" customHeight="1">
      <c r="A55" s="357" t="e">
        <f>'05月提成-武侯售后'!#REF!</f>
        <v>#REF!</v>
      </c>
      <c r="B55" s="358">
        <f>SUMIF('6月配件'!K:K,综合考核!A55,'6月配件'!L:L)</f>
        <v>0</v>
      </c>
      <c r="C55" s="358">
        <f>SUMIF('6月配件'!K:K,A55,'6月配件'!M:M)</f>
        <v>0</v>
      </c>
      <c r="D55" s="358">
        <f>SUMIF('5月接送车'!D:D,综合考核!A55,'5月接送车'!E:E)</f>
        <v>0</v>
      </c>
      <c r="E55" s="369">
        <f>SUMIF('转介绍+留修奖励（已发现金）'!F:F,综合考核!A55,'转介绍+留修奖励（已发现金）'!H:H)+SUMIF('转介绍+留修奖励（已发现金）'!L:L,综合考核!A55,'转介绍+留修奖励（已发现金）'!M:M)++SUMIF('转介绍+留修奖励（已发现金）'!B:B,综合考核!A55,'转介绍+留修奖励（已发现金）'!C:C)</f>
        <v>0</v>
      </c>
      <c r="F55" s="360">
        <f>SUMIF(工作车救急!A:A,A55,工作车救急!B:B)</f>
        <v>0</v>
      </c>
      <c r="G55" s="360">
        <f t="shared" si="23"/>
        <v>0</v>
      </c>
      <c r="H55" s="361"/>
      <c r="I55" s="359">
        <f>SUMIF(保客营销考核!E:E,A55,保客营销考核!J:J)</f>
        <v>0</v>
      </c>
      <c r="J55" s="361">
        <f>SUMIF(服装扣款!D:D,综合考核!A55,服装扣款!R:R)</f>
        <v>0</v>
      </c>
      <c r="K55" s="360">
        <f t="shared" si="24"/>
        <v>0</v>
      </c>
      <c r="L55" s="360">
        <f>SUMIF('-月满意度考核'!C:C,综合考核!A55,'-月满意度考核'!J:J)</f>
        <v>0</v>
      </c>
      <c r="M55" s="370">
        <f t="shared" si="13"/>
        <v>0</v>
      </c>
      <c r="N55" s="371">
        <f t="shared" si="14"/>
        <v>0</v>
      </c>
      <c r="O55" s="372"/>
      <c r="Q55" s="373">
        <f t="shared" si="15"/>
        <v>0</v>
      </c>
      <c r="AI55" s="384"/>
      <c r="AJ55" s="384"/>
      <c r="AK55" s="384"/>
      <c r="AL55" s="384"/>
      <c r="AM55" s="384"/>
      <c r="AN55" s="384"/>
      <c r="AO55" s="384"/>
      <c r="AP55" s="384"/>
      <c r="AQ55" s="384"/>
      <c r="AR55" s="384"/>
      <c r="AS55" s="384"/>
      <c r="AT55" s="384"/>
      <c r="AU55" s="384"/>
      <c r="AX55" s="35"/>
      <c r="AY55" s="419"/>
      <c r="AZ55" s="419"/>
      <c r="BA55" s="419"/>
      <c r="BB55" s="419"/>
      <c r="BC55" s="419"/>
      <c r="BD55" s="419"/>
      <c r="BE55" s="35"/>
    </row>
    <row r="56" spans="1:57" ht="26.1" customHeight="1">
      <c r="A56" s="357" t="e">
        <f>'05月提成-武侯售后'!#REF!</f>
        <v>#REF!</v>
      </c>
      <c r="B56" s="358">
        <f>SUMIF('6月配件'!K:K,综合考核!A56,'6月配件'!L:L)</f>
        <v>0</v>
      </c>
      <c r="C56" s="358">
        <f>SUMIF('6月配件'!K:K,A56,'6月配件'!M:M)</f>
        <v>0</v>
      </c>
      <c r="D56" s="358">
        <f>SUMIF('5月接送车'!D:D,综合考核!A56,'5月接送车'!E:E)</f>
        <v>0</v>
      </c>
      <c r="E56" s="369">
        <f>SUMIF('转介绍+留修奖励（已发现金）'!F:F,综合考核!A56,'转介绍+留修奖励（已发现金）'!H:H)+SUMIF('转介绍+留修奖励（已发现金）'!L:L,综合考核!A56,'转介绍+留修奖励（已发现金）'!M:M)++SUMIF('转介绍+留修奖励（已发现金）'!B:B,综合考核!A56,'转介绍+留修奖励（已发现金）'!C:C)</f>
        <v>0</v>
      </c>
      <c r="F56" s="360">
        <f>SUMIF(工作车救急!A:A,A56,工作车救急!B:B)</f>
        <v>0</v>
      </c>
      <c r="G56" s="360">
        <f t="shared" si="23"/>
        <v>0</v>
      </c>
      <c r="H56" s="361"/>
      <c r="I56" s="359">
        <f>SUMIF(保客营销考核!E:E,A56,保客营销考核!J:J)</f>
        <v>0</v>
      </c>
      <c r="J56" s="361">
        <f>SUMIF(服装扣款!D:D,综合考核!A56,服装扣款!R:R)</f>
        <v>0</v>
      </c>
      <c r="K56" s="360">
        <f t="shared" si="24"/>
        <v>0</v>
      </c>
      <c r="L56" s="360">
        <f>SUMIF('-月满意度考核'!C:C,综合考核!A56,'-月满意度考核'!J:J)</f>
        <v>0</v>
      </c>
      <c r="M56" s="370">
        <f t="shared" si="13"/>
        <v>0</v>
      </c>
      <c r="N56" s="371">
        <f t="shared" si="14"/>
        <v>0</v>
      </c>
      <c r="O56" s="372"/>
      <c r="P56" s="42">
        <f>SUMIF('05月提成-武侯售后'!C:C,综合考核!A56,'05月提成-武侯售后'!L:L)</f>
        <v>0</v>
      </c>
      <c r="Q56" s="373">
        <f t="shared" si="15"/>
        <v>0</v>
      </c>
      <c r="AI56" s="384"/>
      <c r="AJ56" s="384"/>
      <c r="AK56" s="384"/>
      <c r="AL56" s="384"/>
      <c r="AM56" s="384"/>
      <c r="AN56" s="384"/>
      <c r="AO56" s="384"/>
      <c r="AP56" s="384"/>
      <c r="AQ56" s="384"/>
      <c r="AR56" s="384"/>
      <c r="AS56" s="384"/>
      <c r="AT56" s="384"/>
      <c r="AU56" s="384"/>
    </row>
    <row r="57" spans="1:57" ht="26.1" customHeight="1">
      <c r="A57" s="357" t="str">
        <f>'05月提成-武侯售后'!C58</f>
        <v>小计</v>
      </c>
      <c r="B57" s="358">
        <f>SUMIF('6月配件'!K:K,综合考核!A57,'6月配件'!L:L)</f>
        <v>0</v>
      </c>
      <c r="C57" s="358">
        <f>SUMIF('6月配件'!K:K,A57,'6月配件'!M:M)</f>
        <v>0</v>
      </c>
      <c r="D57" s="358">
        <f>SUMIF('5月接送车'!D:D,综合考核!A57,'5月接送车'!E:E)</f>
        <v>0</v>
      </c>
      <c r="E57" s="369">
        <f>SUMIF('转介绍+留修奖励（已发现金）'!F:F,综合考核!A57,'转介绍+留修奖励（已发现金）'!H:H)+SUMIF('转介绍+留修奖励（已发现金）'!L:L,综合考核!A57,'转介绍+留修奖励（已发现金）'!M:M)++SUMIF('转介绍+留修奖励（已发现金）'!B:B,综合考核!A57,'转介绍+留修奖励（已发现金）'!C:C)</f>
        <v>0</v>
      </c>
      <c r="F57" s="360">
        <f>SUMIF(工作车救急!A:A,A57,工作车救急!B:B)</f>
        <v>0</v>
      </c>
      <c r="G57" s="360">
        <f t="shared" si="23"/>
        <v>0</v>
      </c>
      <c r="H57" s="361"/>
      <c r="I57" s="359">
        <f>SUMIF(保客营销考核!E:E,A57,保客营销考核!J:J)</f>
        <v>0</v>
      </c>
      <c r="J57" s="361">
        <f>SUMIF(服装扣款!D:D,综合考核!A57,服装扣款!R:R)</f>
        <v>0</v>
      </c>
      <c r="K57" s="360">
        <f t="shared" si="24"/>
        <v>0</v>
      </c>
      <c r="L57" s="360">
        <f>SUMIF('-月满意度考核'!C:C,综合考核!A57,'-月满意度考核'!J:J)</f>
        <v>0</v>
      </c>
      <c r="M57" s="370">
        <f t="shared" si="13"/>
        <v>0</v>
      </c>
      <c r="N57" s="371">
        <f t="shared" si="14"/>
        <v>0</v>
      </c>
      <c r="O57" s="372"/>
      <c r="Q57" s="373">
        <f t="shared" si="15"/>
        <v>0</v>
      </c>
      <c r="AI57" s="384"/>
      <c r="AJ57" s="384"/>
      <c r="AK57" s="384"/>
      <c r="AL57" s="384"/>
      <c r="AM57" s="384"/>
      <c r="AN57" s="384"/>
      <c r="AO57" s="384"/>
      <c r="AP57" s="384"/>
      <c r="AQ57" s="384"/>
      <c r="AR57" s="384"/>
      <c r="AS57" s="384"/>
      <c r="AT57" s="384"/>
      <c r="AU57" s="384"/>
    </row>
    <row r="58" spans="1:57" ht="26.1" customHeight="1">
      <c r="A58" s="357" t="str">
        <f>'05月提成-武侯售后'!C59</f>
        <v>雷维可</v>
      </c>
      <c r="B58" s="358">
        <f>SUMIF('6月配件'!K:K,综合考核!A58,'6月配件'!L:L)</f>
        <v>0</v>
      </c>
      <c r="C58" s="358">
        <f>SUMIF('6月配件'!K:K,A58,'6月配件'!M:M)</f>
        <v>0</v>
      </c>
      <c r="D58" s="358">
        <f>SUMIF('5月接送车'!D:D,综合考核!A58,'5月接送车'!E:E)</f>
        <v>0</v>
      </c>
      <c r="E58" s="369">
        <f>SUMIF('转介绍+留修奖励（已发现金）'!F:F,综合考核!A58,'转介绍+留修奖励（已发现金）'!H:H)+SUMIF('转介绍+留修奖励（已发现金）'!L:L,综合考核!A58,'转介绍+留修奖励（已发现金）'!M:M)++SUMIF('转介绍+留修奖励（已发现金）'!B:B,综合考核!A58,'转介绍+留修奖励（已发现金）'!C:C)</f>
        <v>0</v>
      </c>
      <c r="F58" s="360">
        <f>SUMIF(工作车救急!A:A,A58,工作车救急!B:B)</f>
        <v>0</v>
      </c>
      <c r="G58" s="360">
        <f t="shared" si="23"/>
        <v>0</v>
      </c>
      <c r="H58" s="361"/>
      <c r="I58" s="359">
        <f>SUMIF(保客营销考核!E:E,A58,保客营销考核!J:J)</f>
        <v>0</v>
      </c>
      <c r="J58" s="361">
        <f>SUMIF(服装扣款!D:D,综合考核!A58,服装扣款!R:R)</f>
        <v>0</v>
      </c>
      <c r="K58" s="360">
        <f t="shared" si="24"/>
        <v>0</v>
      </c>
      <c r="L58" s="360">
        <f>SUMIF('-月满意度考核'!C:C,综合考核!A58,'-月满意度考核'!J:J)</f>
        <v>0</v>
      </c>
      <c r="M58" s="370">
        <f t="shared" si="13"/>
        <v>0</v>
      </c>
      <c r="N58" s="371">
        <f t="shared" si="14"/>
        <v>0</v>
      </c>
      <c r="O58" s="372"/>
      <c r="P58" s="42">
        <f>SUMIF('05月提成-武侯售后'!C:C,综合考核!A58,'05月提成-武侯售后'!L:L)</f>
        <v>0</v>
      </c>
      <c r="Q58" s="373">
        <f t="shared" si="15"/>
        <v>0</v>
      </c>
      <c r="AI58" s="384"/>
      <c r="AJ58" s="384"/>
      <c r="AK58" s="384"/>
      <c r="AL58" s="384"/>
      <c r="AM58" s="384"/>
      <c r="AN58" s="384"/>
      <c r="AO58" s="384"/>
      <c r="AP58" s="384"/>
      <c r="AQ58" s="384"/>
      <c r="AR58" s="384"/>
      <c r="AS58" s="384"/>
      <c r="AT58" s="384"/>
      <c r="AU58" s="384"/>
    </row>
    <row r="59" spans="1:57" ht="26.1" customHeight="1">
      <c r="A59" s="357" t="str">
        <f>'05月提成-武侯售后'!C60</f>
        <v>梁宁</v>
      </c>
      <c r="B59" s="358">
        <f>SUMIF('6月配件'!K:K,综合考核!A59,'6月配件'!L:L)</f>
        <v>0</v>
      </c>
      <c r="C59" s="358">
        <f>SUMIF('6月配件'!K:K,A59,'6月配件'!M:M)</f>
        <v>0</v>
      </c>
      <c r="D59" s="358">
        <f>SUMIF('5月接送车'!D:D,综合考核!A59,'5月接送车'!E:E)</f>
        <v>0</v>
      </c>
      <c r="E59" s="369">
        <f>SUMIF('转介绍+留修奖励（已发现金）'!F:F,综合考核!A59,'转介绍+留修奖励（已发现金）'!H:H)+SUMIF('转介绍+留修奖励（已发现金）'!L:L,综合考核!A59,'转介绍+留修奖励（已发现金）'!M:M)++SUMIF('转介绍+留修奖励（已发现金）'!B:B,综合考核!A59,'转介绍+留修奖励（已发现金）'!C:C)</f>
        <v>0</v>
      </c>
      <c r="F59" s="360">
        <f>SUMIF(工作车救急!A:A,A59,工作车救急!B:B)</f>
        <v>0</v>
      </c>
      <c r="G59" s="360">
        <f t="shared" si="23"/>
        <v>0</v>
      </c>
      <c r="H59" s="361"/>
      <c r="I59" s="359">
        <f>SUMIF(保客营销考核!E:E,A59,保客营销考核!J:J)</f>
        <v>0</v>
      </c>
      <c r="J59" s="361">
        <f>SUMIF(服装扣款!D:D,综合考核!A59,服装扣款!R:R)</f>
        <v>0</v>
      </c>
      <c r="K59" s="360">
        <f t="shared" si="24"/>
        <v>0</v>
      </c>
      <c r="L59" s="360">
        <f>SUMIF('-月满意度考核'!C:C,综合考核!A59,'-月满意度考核'!J:J)</f>
        <v>0</v>
      </c>
      <c r="M59" s="370">
        <f t="shared" si="13"/>
        <v>0</v>
      </c>
      <c r="N59" s="371">
        <f t="shared" si="14"/>
        <v>0</v>
      </c>
      <c r="O59" s="372"/>
      <c r="P59" s="42">
        <f>SUMIF('05月提成-武侯售后'!C:C,综合考核!A59,'05月提成-武侯售后'!L:L)</f>
        <v>0</v>
      </c>
      <c r="Q59" s="373">
        <f t="shared" si="15"/>
        <v>0</v>
      </c>
      <c r="AI59" s="384"/>
      <c r="AJ59" s="384"/>
      <c r="AK59" s="384"/>
      <c r="AL59" s="384"/>
      <c r="AM59" s="384"/>
      <c r="AN59" s="384"/>
      <c r="AO59" s="384"/>
      <c r="AP59" s="384"/>
      <c r="AQ59" s="384"/>
      <c r="AR59" s="384"/>
      <c r="AS59" s="384"/>
      <c r="AT59" s="384"/>
      <c r="AU59" s="384"/>
    </row>
    <row r="60" spans="1:57" ht="26.1" customHeight="1">
      <c r="A60" s="357" t="str">
        <f>'05月提成-武侯售后'!C61</f>
        <v>陈晓波</v>
      </c>
      <c r="B60" s="358">
        <f>SUMIF('6月配件'!K:K,综合考核!A60,'6月配件'!L:L)</f>
        <v>0</v>
      </c>
      <c r="C60" s="358">
        <f>SUMIF('6月配件'!K:K,A60,'6月配件'!M:M)</f>
        <v>0</v>
      </c>
      <c r="D60" s="358">
        <f>SUMIF('5月接送车'!D:D,综合考核!A60,'5月接送车'!E:E)</f>
        <v>0</v>
      </c>
      <c r="E60" s="369">
        <f>SUMIF('转介绍+留修奖励（已发现金）'!F:F,综合考核!A60,'转介绍+留修奖励（已发现金）'!H:H)+SUMIF('转介绍+留修奖励（已发现金）'!L:L,综合考核!A60,'转介绍+留修奖励（已发现金）'!M:M)++SUMIF('转介绍+留修奖励（已发现金）'!B:B,综合考核!A60,'转介绍+留修奖励（已发现金）'!C:C)</f>
        <v>0</v>
      </c>
      <c r="F60" s="360">
        <f>SUMIF(工作车救急!A:A,A60,工作车救急!B:B)</f>
        <v>0</v>
      </c>
      <c r="G60" s="360">
        <f t="shared" si="23"/>
        <v>0</v>
      </c>
      <c r="H60" s="361"/>
      <c r="I60" s="359">
        <f>SUMIF(保客营销考核!E:E,A60,保客营销考核!J:J)</f>
        <v>0</v>
      </c>
      <c r="J60" s="361">
        <f>SUMIF(服装扣款!D:D,综合考核!A60,服装扣款!R:R)</f>
        <v>0</v>
      </c>
      <c r="K60" s="360">
        <f t="shared" si="24"/>
        <v>0</v>
      </c>
      <c r="L60" s="360">
        <f>SUMIF('-月满意度考核'!C:C,综合考核!A60,'-月满意度考核'!J:J)</f>
        <v>0</v>
      </c>
      <c r="M60" s="370">
        <f t="shared" si="13"/>
        <v>0</v>
      </c>
      <c r="N60" s="371">
        <f t="shared" si="14"/>
        <v>0</v>
      </c>
      <c r="O60" s="372"/>
      <c r="P60" s="42">
        <f>SUMIF('05月提成-武侯售后'!C:C,综合考核!A60,'05月提成-武侯售后'!L:L)</f>
        <v>0</v>
      </c>
      <c r="Q60" s="373">
        <f t="shared" si="15"/>
        <v>0</v>
      </c>
      <c r="AI60" s="384"/>
      <c r="AJ60" s="384"/>
      <c r="AK60" s="384"/>
      <c r="AL60" s="384"/>
      <c r="AM60" s="384"/>
      <c r="AN60" s="384"/>
      <c r="AO60" s="384"/>
      <c r="AP60" s="384"/>
      <c r="AQ60" s="384"/>
      <c r="AR60" s="384"/>
      <c r="AS60" s="384"/>
      <c r="AT60" s="384"/>
      <c r="AU60" s="384"/>
    </row>
    <row r="61" spans="1:57" ht="26.1" customHeight="1">
      <c r="A61" s="357" t="str">
        <f>'05月提成-武侯售后'!C62</f>
        <v>小计</v>
      </c>
      <c r="B61" s="358">
        <f>SUMIF('6月配件'!K:K,综合考核!A61,'6月配件'!L:L)</f>
        <v>0</v>
      </c>
      <c r="C61" s="358">
        <f>SUMIF('6月配件'!K:K,A61,'6月配件'!M:M)</f>
        <v>0</v>
      </c>
      <c r="D61" s="358">
        <f>SUMIF('5月接送车'!D:D,综合考核!A61,'5月接送车'!E:E)</f>
        <v>0</v>
      </c>
      <c r="E61" s="369">
        <f>SUMIF('转介绍+留修奖励（已发现金）'!F:F,综合考核!A61,'转介绍+留修奖励（已发现金）'!H:H)+SUMIF('转介绍+留修奖励（已发现金）'!L:L,综合考核!A61,'转介绍+留修奖励（已发现金）'!M:M)++SUMIF('转介绍+留修奖励（已发现金）'!B:B,综合考核!A61,'转介绍+留修奖励（已发现金）'!C:C)</f>
        <v>0</v>
      </c>
      <c r="F61" s="360">
        <f>SUMIF(工作车救急!A:A,A61,工作车救急!B:B)</f>
        <v>0</v>
      </c>
      <c r="G61" s="360">
        <f t="shared" si="23"/>
        <v>0</v>
      </c>
      <c r="H61" s="361"/>
      <c r="I61" s="359">
        <f>SUMIF(保客营销考核!E:E,A61,保客营销考核!J:J)</f>
        <v>0</v>
      </c>
      <c r="J61" s="361">
        <f>SUMIF(服装扣款!D:D,综合考核!A61,服装扣款!R:R)</f>
        <v>0</v>
      </c>
      <c r="K61" s="360">
        <f t="shared" si="24"/>
        <v>0</v>
      </c>
      <c r="L61" s="360">
        <f>SUMIF('-月满意度考核'!C:C,综合考核!A61,'-月满意度考核'!J:J)</f>
        <v>0</v>
      </c>
      <c r="M61" s="370">
        <f t="shared" si="13"/>
        <v>0</v>
      </c>
      <c r="N61" s="371">
        <f t="shared" si="14"/>
        <v>0</v>
      </c>
      <c r="O61" s="372"/>
      <c r="P61" s="42">
        <f>SUMIF('05月提成-武侯售后'!C:C,综合考核!A61,'05月提成-武侯售后'!L:L)</f>
        <v>1590</v>
      </c>
      <c r="Q61" s="373">
        <f t="shared" si="15"/>
        <v>-1590</v>
      </c>
      <c r="AI61" s="384"/>
      <c r="AJ61" s="384"/>
      <c r="AK61" s="384"/>
      <c r="AL61" s="384"/>
      <c r="AM61" s="384"/>
      <c r="AN61" s="384"/>
      <c r="AO61" s="384"/>
      <c r="AP61" s="384"/>
      <c r="AQ61" s="384"/>
      <c r="AR61" s="384"/>
      <c r="AS61" s="384"/>
      <c r="AT61" s="384"/>
      <c r="AU61" s="384"/>
    </row>
    <row r="62" spans="1:57" ht="26.1" customHeight="1">
      <c r="A62" s="357" t="str">
        <f>'05月提成-武侯售后'!C63</f>
        <v>颜书琼</v>
      </c>
      <c r="B62" s="358">
        <f>SUMIF('6月配件'!K:K,综合考核!A62,'6月配件'!L:L)</f>
        <v>0</v>
      </c>
      <c r="C62" s="358">
        <f>SUMIF('6月配件'!K:K,A62,'6月配件'!M:M)</f>
        <v>0</v>
      </c>
      <c r="D62" s="358">
        <f>SUMIF('5月接送车'!D:D,综合考核!A62,'5月接送车'!E:E)</f>
        <v>0</v>
      </c>
      <c r="E62" s="369">
        <f>SUMIF('转介绍+留修奖励（已发现金）'!F:F,综合考核!A62,'转介绍+留修奖励（已发现金）'!H:H)+SUMIF('转介绍+留修奖励（已发现金）'!L:L,综合考核!A62,'转介绍+留修奖励（已发现金）'!M:M)++SUMIF('转介绍+留修奖励（已发现金）'!B:B,综合考核!A62,'转介绍+留修奖励（已发现金）'!C:C)</f>
        <v>0</v>
      </c>
      <c r="F62" s="360">
        <f>SUMIF(工作车救急!A:A,A62,工作车救急!B:B)</f>
        <v>0</v>
      </c>
      <c r="G62" s="360">
        <f t="shared" si="23"/>
        <v>0</v>
      </c>
      <c r="H62" s="361"/>
      <c r="I62" s="359">
        <f>SUMIF(保客营销考核!E:E,A62,保客营销考核!J:J)</f>
        <v>0</v>
      </c>
      <c r="J62" s="361">
        <f>SUMIF(服装扣款!D:D,综合考核!A62,服装扣款!R:R)</f>
        <v>0</v>
      </c>
      <c r="K62" s="360">
        <f t="shared" si="24"/>
        <v>0</v>
      </c>
      <c r="L62" s="360">
        <f>SUMIF('-月满意度考核'!C:C,综合考核!A62,'-月满意度考核'!J:J)</f>
        <v>0</v>
      </c>
      <c r="M62" s="370">
        <f t="shared" si="13"/>
        <v>0</v>
      </c>
      <c r="N62" s="371">
        <f t="shared" si="14"/>
        <v>0</v>
      </c>
      <c r="O62" s="372"/>
      <c r="P62" s="42">
        <f>SUMIF('05月提成-武侯售后'!C:C,综合考核!A62,'05月提成-武侯售后'!L:L)</f>
        <v>0</v>
      </c>
      <c r="Q62" s="373">
        <f t="shared" si="15"/>
        <v>0</v>
      </c>
      <c r="AI62" s="384"/>
      <c r="AJ62" s="384"/>
      <c r="AK62" s="384"/>
      <c r="AL62" s="384"/>
      <c r="AM62" s="384"/>
      <c r="AN62" s="384"/>
      <c r="AO62" s="384"/>
      <c r="AP62" s="384"/>
      <c r="AQ62" s="384"/>
      <c r="AR62" s="384"/>
      <c r="AS62" s="384"/>
      <c r="AT62" s="384"/>
      <c r="AU62" s="384"/>
    </row>
    <row r="63" spans="1:57" ht="26.1" customHeight="1">
      <c r="A63" s="357" t="str">
        <f>'05月提成-武侯售后'!C64</f>
        <v>李波</v>
      </c>
      <c r="B63" s="358">
        <f>SUMIF('6月配件'!K:K,综合考核!A63,'6月配件'!L:L)</f>
        <v>0</v>
      </c>
      <c r="C63" s="358">
        <f>SUMIF('6月配件'!K:K,A63,'6月配件'!M:M)</f>
        <v>0</v>
      </c>
      <c r="D63" s="358">
        <f>SUMIF('5月接送车'!D:D,综合考核!A63,'5月接送车'!E:E)</f>
        <v>0</v>
      </c>
      <c r="E63" s="369">
        <f>SUMIF('转介绍+留修奖励（已发现金）'!F:F,综合考核!A63,'转介绍+留修奖励（已发现金）'!H:H)+SUMIF('转介绍+留修奖励（已发现金）'!L:L,综合考核!A63,'转介绍+留修奖励（已发现金）'!M:M)++SUMIF('转介绍+留修奖励（已发现金）'!B:B,综合考核!A63,'转介绍+留修奖励（已发现金）'!C:C)</f>
        <v>0</v>
      </c>
      <c r="F63" s="360">
        <f>SUMIF(工作车救急!A:A,A63,工作车救急!B:B)</f>
        <v>0</v>
      </c>
      <c r="G63" s="360">
        <f t="shared" si="23"/>
        <v>0</v>
      </c>
      <c r="H63" s="361"/>
      <c r="I63" s="359">
        <f>SUMIF(保客营销考核!E:E,A63,保客营销考核!J:J)</f>
        <v>0</v>
      </c>
      <c r="J63" s="361">
        <f>SUMIF(服装扣款!D:D,综合考核!A63,服装扣款!R:R)</f>
        <v>0</v>
      </c>
      <c r="K63" s="360">
        <f t="shared" si="24"/>
        <v>0</v>
      </c>
      <c r="L63" s="360">
        <f>SUMIF('-月满意度考核'!C:C,综合考核!A63,'-月满意度考核'!J:J)</f>
        <v>0</v>
      </c>
      <c r="M63" s="370">
        <f t="shared" si="13"/>
        <v>0</v>
      </c>
      <c r="N63" s="371">
        <f t="shared" si="14"/>
        <v>0</v>
      </c>
      <c r="O63" s="372"/>
      <c r="P63" s="42">
        <f>SUMIF('05月提成-武侯售后'!C:C,综合考核!A63,'05月提成-武侯售后'!L:L)</f>
        <v>0</v>
      </c>
      <c r="Q63" s="373">
        <f t="shared" si="15"/>
        <v>0</v>
      </c>
      <c r="AI63" s="384"/>
      <c r="AJ63" s="384"/>
      <c r="AK63" s="384"/>
      <c r="AL63" s="384"/>
      <c r="AM63" s="384"/>
      <c r="AN63" s="384"/>
      <c r="AO63" s="384"/>
      <c r="AP63" s="384"/>
      <c r="AQ63" s="384"/>
      <c r="AR63" s="384"/>
      <c r="AS63" s="384"/>
      <c r="AT63" s="384"/>
      <c r="AU63" s="384"/>
    </row>
    <row r="64" spans="1:57" ht="26.1" customHeight="1">
      <c r="A64" s="357" t="str">
        <f>'05月提成-武侯售后'!C65</f>
        <v>肖伦容</v>
      </c>
      <c r="B64" s="358">
        <f>SUMIF('6月配件'!K:K,综合考核!A64,'6月配件'!L:L)</f>
        <v>0</v>
      </c>
      <c r="C64" s="358">
        <f>SUMIF('6月配件'!K:K,A64,'6月配件'!M:M)</f>
        <v>0</v>
      </c>
      <c r="D64" s="358">
        <f>SUMIF('5月接送车'!D:D,综合考核!A64,'5月接送车'!E:E)</f>
        <v>0</v>
      </c>
      <c r="E64" s="369">
        <f>SUMIF('转介绍+留修奖励（已发现金）'!F:F,综合考核!A64,'转介绍+留修奖励（已发现金）'!H:H)+SUMIF('转介绍+留修奖励（已发现金）'!L:L,综合考核!A64,'转介绍+留修奖励（已发现金）'!M:M)++SUMIF('转介绍+留修奖励（已发现金）'!B:B,综合考核!A64,'转介绍+留修奖励（已发现金）'!C:C)</f>
        <v>0</v>
      </c>
      <c r="F64" s="360">
        <f>SUMIF(工作车救急!A:A,A64,工作车救急!B:B)</f>
        <v>0</v>
      </c>
      <c r="G64" s="360">
        <f t="shared" si="23"/>
        <v>0</v>
      </c>
      <c r="H64" s="361"/>
      <c r="I64" s="359">
        <f>SUMIF(保客营销考核!E:E,A64,保客营销考核!J:J)</f>
        <v>0</v>
      </c>
      <c r="J64" s="361">
        <f>SUMIF(服装扣款!D:D,综合考核!A64,服装扣款!R:R)</f>
        <v>0</v>
      </c>
      <c r="K64" s="360">
        <f t="shared" si="24"/>
        <v>0</v>
      </c>
      <c r="L64" s="360">
        <f>SUMIF('-月满意度考核'!C:C,综合考核!A64,'-月满意度考核'!J:J)</f>
        <v>0</v>
      </c>
      <c r="M64" s="370">
        <f t="shared" si="13"/>
        <v>0</v>
      </c>
      <c r="N64" s="371">
        <f t="shared" si="14"/>
        <v>0</v>
      </c>
      <c r="O64" s="372"/>
      <c r="Q64" s="373">
        <f t="shared" si="15"/>
        <v>0</v>
      </c>
      <c r="AI64" s="384"/>
      <c r="AJ64" s="384"/>
      <c r="AK64" s="384"/>
      <c r="AL64" s="384"/>
      <c r="AM64" s="384"/>
      <c r="AN64" s="384"/>
      <c r="AO64" s="384"/>
      <c r="AP64" s="384"/>
      <c r="AQ64" s="384"/>
      <c r="AR64" s="384"/>
      <c r="AS64" s="384"/>
      <c r="AT64" s="384"/>
      <c r="AU64" s="384"/>
    </row>
    <row r="65" spans="1:47" ht="26.1" customHeight="1">
      <c r="A65" s="357" t="str">
        <f>'05月提成-武侯售后'!C66</f>
        <v>李桃</v>
      </c>
      <c r="B65" s="358">
        <f>SUMIF('6月配件'!K:K,综合考核!A65,'6月配件'!L:L)</f>
        <v>0</v>
      </c>
      <c r="C65" s="358">
        <f>SUMIF('6月配件'!K:K,A65,'6月配件'!M:M)</f>
        <v>0</v>
      </c>
      <c r="D65" s="358">
        <f>SUMIF('5月接送车'!D:D,综合考核!A65,'5月接送车'!E:E)</f>
        <v>0</v>
      </c>
      <c r="E65" s="369">
        <f>SUMIF('转介绍+留修奖励（已发现金）'!F:F,综合考核!A65,'转介绍+留修奖励（已发现金）'!H:H)+SUMIF('转介绍+留修奖励（已发现金）'!L:L,综合考核!A65,'转介绍+留修奖励（已发现金）'!M:M)++SUMIF('转介绍+留修奖励（已发现金）'!B:B,综合考核!A65,'转介绍+留修奖励（已发现金）'!C:C)</f>
        <v>0</v>
      </c>
      <c r="F65" s="360">
        <f>SUMIF(工作车救急!A:A,A65,工作车救急!B:B)</f>
        <v>0</v>
      </c>
      <c r="G65" s="360">
        <f t="shared" si="23"/>
        <v>0</v>
      </c>
      <c r="H65" s="361"/>
      <c r="I65" s="359">
        <f>SUMIF(保客营销考核!E:E,A65,保客营销考核!J:J)</f>
        <v>0</v>
      </c>
      <c r="J65" s="361">
        <f>SUMIF(服装扣款!D:D,综合考核!A65,服装扣款!R:R)</f>
        <v>0</v>
      </c>
      <c r="K65" s="360">
        <f t="shared" si="24"/>
        <v>0</v>
      </c>
      <c r="L65" s="360">
        <f>SUMIF('-月满意度考核'!C:C,综合考核!A65,'-月满意度考核'!J:J)</f>
        <v>0</v>
      </c>
      <c r="M65" s="370">
        <f t="shared" si="13"/>
        <v>0</v>
      </c>
      <c r="N65" s="371">
        <f t="shared" si="14"/>
        <v>0</v>
      </c>
      <c r="O65" s="372"/>
      <c r="P65" s="42">
        <f>SUMIF('05月提成-武侯售后'!C:C,综合考核!A65,'05月提成-武侯售后'!L:L)</f>
        <v>0</v>
      </c>
      <c r="Q65" s="373">
        <f t="shared" si="15"/>
        <v>0</v>
      </c>
      <c r="AI65" s="384"/>
      <c r="AJ65" s="384"/>
      <c r="AK65" s="384"/>
      <c r="AL65" s="384"/>
      <c r="AM65" s="384"/>
      <c r="AN65" s="384"/>
      <c r="AO65" s="384"/>
      <c r="AP65" s="384"/>
      <c r="AQ65" s="384"/>
      <c r="AR65" s="384"/>
      <c r="AS65" s="384"/>
      <c r="AT65" s="384"/>
      <c r="AU65" s="384"/>
    </row>
    <row r="66" spans="1:47" ht="26.1" customHeight="1">
      <c r="A66" s="357" t="str">
        <f>'05月提成-武侯售后'!C67</f>
        <v>宋航</v>
      </c>
      <c r="B66" s="358">
        <f>SUMIF('6月配件'!K:K,综合考核!A66,'6月配件'!L:L)</f>
        <v>0</v>
      </c>
      <c r="C66" s="358">
        <f>SUMIF('6月配件'!K:K,A66,'6月配件'!M:M)</f>
        <v>0</v>
      </c>
      <c r="D66" s="358">
        <f>SUMIF('5月接送车'!D:D,综合考核!A66,'5月接送车'!E:E)</f>
        <v>0</v>
      </c>
      <c r="E66" s="369">
        <f>SUMIF('转介绍+留修奖励（已发现金）'!F:F,综合考核!A66,'转介绍+留修奖励（已发现金）'!H:H)+SUMIF('转介绍+留修奖励（已发现金）'!L:L,综合考核!A66,'转介绍+留修奖励（已发现金）'!M:M)++SUMIF('转介绍+留修奖励（已发现金）'!B:B,综合考核!A66,'转介绍+留修奖励（已发现金）'!C:C)</f>
        <v>0</v>
      </c>
      <c r="F66" s="360">
        <f>SUMIF(工作车救急!A:A,A66,工作车救急!B:B)</f>
        <v>0</v>
      </c>
      <c r="G66" s="360">
        <f t="shared" si="23"/>
        <v>0</v>
      </c>
      <c r="H66" s="361"/>
      <c r="I66" s="359">
        <f>SUMIF(保客营销考核!E:E,A66,保客营销考核!J:J)</f>
        <v>0</v>
      </c>
      <c r="J66" s="361">
        <f>SUMIF(服装扣款!D:D,综合考核!A66,服装扣款!R:R)</f>
        <v>0</v>
      </c>
      <c r="K66" s="360">
        <f t="shared" ref="K66:K97" si="26">SUMIF(S:S,A66,Y:Y)</f>
        <v>0</v>
      </c>
      <c r="L66" s="360">
        <f>SUMIF('-月满意度考核'!C:C,综合考核!A66,'-月满意度考核'!J:J)</f>
        <v>0</v>
      </c>
      <c r="M66" s="370">
        <f t="shared" si="13"/>
        <v>0</v>
      </c>
      <c r="N66" s="371">
        <f t="shared" si="14"/>
        <v>0</v>
      </c>
      <c r="O66" s="372"/>
      <c r="P66" s="42">
        <f>SUMIF('05月提成-武侯售后'!C:C,综合考核!A66,'05月提成-武侯售后'!L:L)</f>
        <v>0</v>
      </c>
      <c r="Q66" s="373">
        <f t="shared" si="15"/>
        <v>0</v>
      </c>
      <c r="AI66" s="384"/>
      <c r="AJ66" s="384"/>
      <c r="AK66" s="384"/>
      <c r="AL66" s="384"/>
      <c r="AM66" s="384"/>
      <c r="AN66" s="384"/>
      <c r="AO66" s="384"/>
      <c r="AP66" s="384"/>
      <c r="AQ66" s="384"/>
      <c r="AR66" s="384"/>
      <c r="AS66" s="384"/>
      <c r="AT66" s="384"/>
      <c r="AU66" s="384"/>
    </row>
    <row r="67" spans="1:47" ht="26.1" customHeight="1">
      <c r="A67" s="357" t="str">
        <f>'05月提成-武侯售后'!C68</f>
        <v>伍成勇</v>
      </c>
      <c r="B67" s="358">
        <f>SUMIF('6月配件'!K:K,综合考核!A67,'6月配件'!L:L)</f>
        <v>0</v>
      </c>
      <c r="C67" s="358">
        <f>SUMIF('6月配件'!K:K,A67,'6月配件'!M:M)</f>
        <v>0</v>
      </c>
      <c r="D67" s="358">
        <f>SUMIF('5月接送车'!D:D,综合考核!A67,'5月接送车'!E:E)</f>
        <v>0</v>
      </c>
      <c r="E67" s="369">
        <f>SUMIF('转介绍+留修奖励（已发现金）'!F:F,综合考核!A67,'转介绍+留修奖励（已发现金）'!H:H)+SUMIF('转介绍+留修奖励（已发现金）'!L:L,综合考核!A67,'转介绍+留修奖励（已发现金）'!M:M)++SUMIF('转介绍+留修奖励（已发现金）'!B:B,综合考核!A67,'转介绍+留修奖励（已发现金）'!C:C)</f>
        <v>0</v>
      </c>
      <c r="F67" s="360">
        <f>SUMIF(工作车救急!A:A,A67,工作车救急!B:B)</f>
        <v>0</v>
      </c>
      <c r="G67" s="360">
        <f t="shared" si="23"/>
        <v>0</v>
      </c>
      <c r="H67" s="361"/>
      <c r="I67" s="359">
        <f>SUMIF(保客营销考核!E:E,A67,保客营销考核!J:J)</f>
        <v>0</v>
      </c>
      <c r="J67" s="361">
        <f>SUMIF(服装扣款!D:D,综合考核!A67,服装扣款!R:R)</f>
        <v>0</v>
      </c>
      <c r="K67" s="360">
        <f t="shared" si="26"/>
        <v>0</v>
      </c>
      <c r="L67" s="360">
        <f>SUMIF('-月满意度考核'!C:C,综合考核!A67,'-月满意度考核'!J:J)</f>
        <v>0</v>
      </c>
      <c r="M67" s="370">
        <f t="shared" si="13"/>
        <v>0</v>
      </c>
      <c r="N67" s="371">
        <f t="shared" si="14"/>
        <v>0</v>
      </c>
      <c r="O67" s="372"/>
      <c r="P67" s="42">
        <f>SUMIF('05月提成-武侯售后'!C:C,综合考核!A67,'05月提成-武侯售后'!L:L)</f>
        <v>0</v>
      </c>
      <c r="Q67" s="373">
        <f t="shared" si="15"/>
        <v>0</v>
      </c>
      <c r="AI67" s="384"/>
      <c r="AJ67" s="384"/>
      <c r="AK67" s="384"/>
      <c r="AL67" s="384"/>
      <c r="AM67" s="384"/>
      <c r="AN67" s="384"/>
      <c r="AO67" s="384"/>
      <c r="AP67" s="384"/>
      <c r="AQ67" s="384"/>
      <c r="AR67" s="384"/>
      <c r="AS67" s="384"/>
      <c r="AT67" s="384"/>
      <c r="AU67" s="384"/>
    </row>
    <row r="68" spans="1:47" ht="26.1" customHeight="1">
      <c r="A68" s="357" t="str">
        <f>'05月提成-武侯售后'!C69</f>
        <v>小计</v>
      </c>
      <c r="B68" s="358">
        <f>SUMIF('6月配件'!K:K,综合考核!A68,'6月配件'!L:L)</f>
        <v>0</v>
      </c>
      <c r="C68" s="358">
        <f>SUMIF('6月配件'!K:K,A68,'6月配件'!M:M)</f>
        <v>0</v>
      </c>
      <c r="D68" s="358">
        <f>SUMIF('5月接送车'!D:D,综合考核!A68,'5月接送车'!E:E)</f>
        <v>0</v>
      </c>
      <c r="E68" s="369">
        <f>SUMIF('转介绍+留修奖励（已发现金）'!F:F,综合考核!A68,'转介绍+留修奖励（已发现金）'!H:H)+SUMIF('转介绍+留修奖励（已发现金）'!L:L,综合考核!A68,'转介绍+留修奖励（已发现金）'!M:M)++SUMIF('转介绍+留修奖励（已发现金）'!B:B,综合考核!A68,'转介绍+留修奖励（已发现金）'!C:C)</f>
        <v>0</v>
      </c>
      <c r="F68" s="360">
        <f>SUMIF(工作车救急!A:A,A68,工作车救急!B:B)</f>
        <v>0</v>
      </c>
      <c r="G68" s="360">
        <f t="shared" si="23"/>
        <v>0</v>
      </c>
      <c r="H68" s="361"/>
      <c r="I68" s="359">
        <f>SUMIF(保客营销考核!E:E,A68,保客营销考核!J:J)</f>
        <v>0</v>
      </c>
      <c r="J68" s="361">
        <f>SUMIF(服装扣款!D:D,综合考核!A68,服装扣款!R:R)</f>
        <v>0</v>
      </c>
      <c r="K68" s="360">
        <f t="shared" si="26"/>
        <v>0</v>
      </c>
      <c r="L68" s="360">
        <f>SUMIF('-月满意度考核'!C:C,综合考核!A68,'-月满意度考核'!J:J)</f>
        <v>0</v>
      </c>
      <c r="M68" s="370">
        <f t="shared" si="13"/>
        <v>0</v>
      </c>
      <c r="N68" s="371">
        <f t="shared" si="14"/>
        <v>0</v>
      </c>
      <c r="O68" s="372"/>
      <c r="P68" s="42">
        <f>SUMIF('05月提成-武侯售后'!C:C,综合考核!A68,'05月提成-武侯售后'!L:L)</f>
        <v>1590</v>
      </c>
      <c r="Q68" s="373">
        <f t="shared" si="15"/>
        <v>-1590</v>
      </c>
      <c r="AI68" s="384"/>
      <c r="AJ68" s="384"/>
      <c r="AK68" s="384"/>
      <c r="AL68" s="384"/>
      <c r="AM68" s="384"/>
      <c r="AN68" s="384"/>
      <c r="AO68" s="384"/>
      <c r="AP68" s="384"/>
      <c r="AQ68" s="384"/>
      <c r="AR68" s="384"/>
      <c r="AS68" s="384"/>
      <c r="AT68" s="384"/>
      <c r="AU68" s="384"/>
    </row>
    <row r="69" spans="1:47" ht="26.1" customHeight="1">
      <c r="A69" s="357">
        <f>'05月提成-武侯售后'!C70</f>
        <v>0</v>
      </c>
      <c r="B69" s="358">
        <f>SUMIF('6月配件'!K:K,综合考核!A69,'6月配件'!L:L)</f>
        <v>0</v>
      </c>
      <c r="C69" s="358">
        <f>SUMIF('6月配件'!K:K,A69,'6月配件'!M:M)</f>
        <v>0</v>
      </c>
      <c r="D69" s="358">
        <f>SUMIF('5月接送车'!D:D,综合考核!A69,'5月接送车'!E:E)</f>
        <v>0</v>
      </c>
      <c r="E69" s="369">
        <f>SUMIF('转介绍+留修奖励（已发现金）'!F:F,综合考核!A69,'转介绍+留修奖励（已发现金）'!H:H)+SUMIF('转介绍+留修奖励（已发现金）'!L:L,综合考核!A69,'转介绍+留修奖励（已发现金）'!M:M)++SUMIF('转介绍+留修奖励（已发现金）'!B:B,综合考核!A69,'转介绍+留修奖励（已发现金）'!C:C)</f>
        <v>0</v>
      </c>
      <c r="F69" s="360">
        <f>SUMIF(工作车救急!A:A,A69,工作车救急!B:B)</f>
        <v>0</v>
      </c>
      <c r="G69" s="360">
        <f t="shared" ref="G69:G100" si="27">SUMIF(AJ:AJ,A69,AV:AV)</f>
        <v>0</v>
      </c>
      <c r="H69" s="361"/>
      <c r="I69" s="359">
        <f>SUMIF(保客营销考核!E:E,A69,保客营销考核!J:J)</f>
        <v>0</v>
      </c>
      <c r="J69" s="361">
        <f>SUMIF(服装扣款!D:D,综合考核!A69,服装扣款!R:R)</f>
        <v>0</v>
      </c>
      <c r="K69" s="360">
        <f t="shared" si="26"/>
        <v>0</v>
      </c>
      <c r="L69" s="360">
        <f>SUMIF('-月满意度考核'!C:C,综合考核!A69,'-月满意度考核'!J:J)</f>
        <v>0</v>
      </c>
      <c r="M69" s="370">
        <f t="shared" si="13"/>
        <v>0</v>
      </c>
      <c r="N69" s="371">
        <f t="shared" si="14"/>
        <v>0</v>
      </c>
      <c r="O69" s="372"/>
      <c r="P69" s="42">
        <f>SUMIF('05月提成-武侯售后'!C:C,综合考核!A69,'05月提成-武侯售后'!L:L)</f>
        <v>0</v>
      </c>
      <c r="Q69" s="373">
        <f t="shared" si="15"/>
        <v>0</v>
      </c>
      <c r="AI69" s="384"/>
      <c r="AJ69" s="384"/>
      <c r="AK69" s="384"/>
      <c r="AL69" s="384"/>
      <c r="AM69" s="384"/>
      <c r="AN69" s="384"/>
      <c r="AO69" s="384"/>
      <c r="AP69" s="384"/>
      <c r="AQ69" s="384"/>
      <c r="AR69" s="384"/>
      <c r="AS69" s="384"/>
      <c r="AT69" s="384"/>
      <c r="AU69" s="384"/>
    </row>
    <row r="70" spans="1:47" ht="26.1" customHeight="1">
      <c r="A70" s="357" t="str">
        <f>'05月提成-武侯售后'!C71</f>
        <v>何毅</v>
      </c>
      <c r="B70" s="358">
        <f>SUMIF('6月配件'!K:K,综合考核!A70,'6月配件'!L:L)</f>
        <v>0</v>
      </c>
      <c r="C70" s="358">
        <f>SUMIF('6月配件'!K:K,A70,'6月配件'!M:M)</f>
        <v>0</v>
      </c>
      <c r="D70" s="358">
        <f>SUMIF('5月接送车'!D:D,综合考核!A70,'5月接送车'!E:E)</f>
        <v>0</v>
      </c>
      <c r="E70" s="369">
        <f>SUMIF('转介绍+留修奖励（已发现金）'!F:F,综合考核!A70,'转介绍+留修奖励（已发现金）'!H:H)+SUMIF('转介绍+留修奖励（已发现金）'!L:L,综合考核!A70,'转介绍+留修奖励（已发现金）'!M:M)++SUMIF('转介绍+留修奖励（已发现金）'!B:B,综合考核!A70,'转介绍+留修奖励（已发现金）'!C:C)</f>
        <v>0</v>
      </c>
      <c r="F70" s="360">
        <f>SUMIF(工作车救急!A:A,A70,工作车救急!B:B)</f>
        <v>0</v>
      </c>
      <c r="G70" s="360">
        <f t="shared" si="27"/>
        <v>0</v>
      </c>
      <c r="H70" s="361"/>
      <c r="I70" s="359">
        <f>SUMIF(保客营销考核!E:E,A70,保客营销考核!J:J)</f>
        <v>0</v>
      </c>
      <c r="J70" s="361">
        <f>SUMIF(服装扣款!D:D,综合考核!A70,服装扣款!R:R)</f>
        <v>0</v>
      </c>
      <c r="K70" s="360">
        <f t="shared" si="26"/>
        <v>0</v>
      </c>
      <c r="L70" s="360">
        <f>SUMIF('-月满意度考核'!C:C,综合考核!A70,'-月满意度考核'!J:J)</f>
        <v>0</v>
      </c>
      <c r="M70" s="370">
        <f t="shared" si="13"/>
        <v>0</v>
      </c>
      <c r="N70" s="371">
        <f t="shared" ref="N70:N133" si="28">SUM(E70)</f>
        <v>0</v>
      </c>
      <c r="O70" s="372"/>
      <c r="P70" s="42">
        <f>SUMIF('05月提成-武侯售后'!C:C,综合考核!A70,'05月提成-武侯售后'!L:L)</f>
        <v>0</v>
      </c>
      <c r="Q70" s="373">
        <f t="shared" si="15"/>
        <v>0</v>
      </c>
      <c r="AI70" s="384"/>
      <c r="AJ70" s="384"/>
      <c r="AK70" s="384"/>
      <c r="AL70" s="384"/>
      <c r="AM70" s="384"/>
      <c r="AN70" s="384"/>
      <c r="AO70" s="384"/>
      <c r="AP70" s="384"/>
      <c r="AQ70" s="384"/>
      <c r="AR70" s="384"/>
      <c r="AS70" s="384"/>
      <c r="AT70" s="384"/>
      <c r="AU70" s="384"/>
    </row>
    <row r="71" spans="1:47" ht="26.1" customHeight="1">
      <c r="A71" s="357" t="str">
        <f>'05月提成-武侯售后'!C72</f>
        <v>王竹飞</v>
      </c>
      <c r="B71" s="358">
        <f>SUMIF('6月配件'!K:K,综合考核!A71,'6月配件'!L:L)</f>
        <v>0</v>
      </c>
      <c r="C71" s="358">
        <f>SUMIF('6月配件'!K:K,A71,'6月配件'!M:M)</f>
        <v>0</v>
      </c>
      <c r="D71" s="358">
        <f>SUMIF('5月接送车'!D:D,综合考核!A71,'5月接送车'!E:E)</f>
        <v>0</v>
      </c>
      <c r="E71" s="369">
        <f>SUMIF('转介绍+留修奖励（已发现金）'!F:F,综合考核!A71,'转介绍+留修奖励（已发现金）'!H:H)+SUMIF('转介绍+留修奖励（已发现金）'!L:L,综合考核!A71,'转介绍+留修奖励（已发现金）'!M:M)++SUMIF('转介绍+留修奖励（已发现金）'!B:B,综合考核!A71,'转介绍+留修奖励（已发现金）'!C:C)</f>
        <v>0</v>
      </c>
      <c r="F71" s="360">
        <f>SUMIF(工作车救急!A:A,A71,工作车救急!B:B)</f>
        <v>0</v>
      </c>
      <c r="G71" s="360">
        <f t="shared" si="27"/>
        <v>0</v>
      </c>
      <c r="H71" s="361"/>
      <c r="I71" s="359">
        <f>SUMIF(保客营销考核!E:E,A71,保客营销考核!J:J)</f>
        <v>0</v>
      </c>
      <c r="J71" s="361">
        <f>SUMIF(服装扣款!D:D,综合考核!A71,服装扣款!R:R)</f>
        <v>0</v>
      </c>
      <c r="K71" s="360">
        <f t="shared" si="26"/>
        <v>0</v>
      </c>
      <c r="L71" s="360">
        <f>SUMIF('-月满意度考核'!C:C,综合考核!A71,'-月满意度考核'!J:J)</f>
        <v>0</v>
      </c>
      <c r="M71" s="370">
        <f t="shared" si="13"/>
        <v>0</v>
      </c>
      <c r="N71" s="371">
        <f t="shared" si="28"/>
        <v>0</v>
      </c>
      <c r="O71" s="372"/>
      <c r="Q71" s="373">
        <f t="shared" si="15"/>
        <v>0</v>
      </c>
      <c r="AI71" s="384"/>
      <c r="AJ71" s="384"/>
      <c r="AK71" s="384"/>
      <c r="AL71" s="384"/>
      <c r="AM71" s="384"/>
      <c r="AN71" s="384"/>
      <c r="AO71" s="384"/>
      <c r="AP71" s="384"/>
      <c r="AQ71" s="384"/>
      <c r="AR71" s="384"/>
      <c r="AS71" s="384"/>
      <c r="AT71" s="384"/>
      <c r="AU71" s="384"/>
    </row>
    <row r="72" spans="1:47" ht="26.1" customHeight="1">
      <c r="A72" s="357" t="str">
        <f>'05月提成-武侯售后'!C73</f>
        <v>周劲松</v>
      </c>
      <c r="B72" s="358">
        <f>SUMIF('6月配件'!K:K,综合考核!A72,'6月配件'!L:L)</f>
        <v>0</v>
      </c>
      <c r="C72" s="358">
        <f>SUMIF('6月配件'!K:K,A72,'6月配件'!M:M)</f>
        <v>0</v>
      </c>
      <c r="D72" s="358">
        <f>SUMIF('5月接送车'!D:D,综合考核!A72,'5月接送车'!E:E)</f>
        <v>0</v>
      </c>
      <c r="E72" s="369">
        <f>SUMIF('转介绍+留修奖励（已发现金）'!F:F,综合考核!A72,'转介绍+留修奖励（已发现金）'!H:H)+SUMIF('转介绍+留修奖励（已发现金）'!L:L,综合考核!A72,'转介绍+留修奖励（已发现金）'!M:M)++SUMIF('转介绍+留修奖励（已发现金）'!B:B,综合考核!A72,'转介绍+留修奖励（已发现金）'!C:C)</f>
        <v>0</v>
      </c>
      <c r="F72" s="360">
        <f>SUMIF(工作车救急!A:A,A72,工作车救急!B:B)</f>
        <v>0</v>
      </c>
      <c r="G72" s="360">
        <f t="shared" si="27"/>
        <v>0</v>
      </c>
      <c r="H72" s="361"/>
      <c r="I72" s="359">
        <f>SUMIF(保客营销考核!E:E,A72,保客营销考核!J:J)</f>
        <v>0</v>
      </c>
      <c r="J72" s="361">
        <f>SUMIF(服装扣款!D:D,综合考核!A72,服装扣款!R:R)</f>
        <v>0</v>
      </c>
      <c r="K72" s="360">
        <f t="shared" si="26"/>
        <v>0</v>
      </c>
      <c r="L72" s="360">
        <f>SUMIF('-月满意度考核'!C:C,综合考核!A72,'-月满意度考核'!J:J)</f>
        <v>0</v>
      </c>
      <c r="M72" s="370">
        <f t="shared" ref="M72:M135" si="29">SUM(B72:K72)-E72</f>
        <v>0</v>
      </c>
      <c r="N72" s="371">
        <f t="shared" si="28"/>
        <v>0</v>
      </c>
      <c r="O72" s="372"/>
      <c r="P72" s="42">
        <f>SUMIF('05月提成-武侯售后'!C:C,综合考核!A72,'05月提成-武侯售后'!L:L)</f>
        <v>0</v>
      </c>
      <c r="Q72" s="373">
        <f t="shared" ref="Q72" si="30">M72-P72</f>
        <v>0</v>
      </c>
      <c r="AI72" s="384"/>
      <c r="AJ72" s="384"/>
      <c r="AK72" s="384"/>
      <c r="AL72" s="384"/>
      <c r="AM72" s="384"/>
      <c r="AN72" s="384"/>
      <c r="AO72" s="384"/>
      <c r="AP72" s="384"/>
      <c r="AQ72" s="384"/>
      <c r="AR72" s="384"/>
      <c r="AS72" s="384"/>
      <c r="AT72" s="384"/>
      <c r="AU72" s="384"/>
    </row>
    <row r="73" spans="1:47" ht="26.1" customHeight="1">
      <c r="A73" s="357" t="str">
        <f>'05月提成-武侯售后'!C74</f>
        <v>田建勇</v>
      </c>
      <c r="B73" s="358">
        <f>SUMIF('6月配件'!K:K,综合考核!A73,'6月配件'!L:L)</f>
        <v>0</v>
      </c>
      <c r="C73" s="358">
        <f>SUMIF('6月配件'!K:K,A73,'6月配件'!M:M)</f>
        <v>0</v>
      </c>
      <c r="D73" s="358">
        <f>SUMIF('5月接送车'!D:D,综合考核!A73,'5月接送车'!E:E)</f>
        <v>0</v>
      </c>
      <c r="E73" s="369">
        <f>SUMIF('转介绍+留修奖励（已发现金）'!F:F,综合考核!A73,'转介绍+留修奖励（已发现金）'!H:H)+SUMIF('转介绍+留修奖励（已发现金）'!L:L,综合考核!A73,'转介绍+留修奖励（已发现金）'!M:M)++SUMIF('转介绍+留修奖励（已发现金）'!B:B,综合考核!A73,'转介绍+留修奖励（已发现金）'!C:C)</f>
        <v>0</v>
      </c>
      <c r="F73" s="360">
        <f>SUMIF(工作车救急!A:A,A73,工作车救急!B:B)</f>
        <v>0</v>
      </c>
      <c r="G73" s="360">
        <f t="shared" si="27"/>
        <v>0</v>
      </c>
      <c r="H73" s="361"/>
      <c r="I73" s="359">
        <f>SUMIF(保客营销考核!E:E,A73,保客营销考核!J:J)</f>
        <v>0</v>
      </c>
      <c r="J73" s="361">
        <f>SUMIF(服装扣款!D:D,综合考核!A73,服装扣款!R:R)</f>
        <v>0</v>
      </c>
      <c r="K73" s="360">
        <f t="shared" si="26"/>
        <v>0</v>
      </c>
      <c r="L73" s="360">
        <f>SUMIF('-月满意度考核'!C:C,综合考核!A73,'-月满意度考核'!J:J)</f>
        <v>0</v>
      </c>
      <c r="M73" s="370">
        <f t="shared" si="29"/>
        <v>0</v>
      </c>
      <c r="N73" s="371">
        <f t="shared" si="28"/>
        <v>0</v>
      </c>
      <c r="O73" s="372"/>
      <c r="P73" s="42">
        <f>SUMIF('05月提成-武侯售后'!C:C,综合考核!A73,'05月提成-武侯售后'!L:L)</f>
        <v>0</v>
      </c>
      <c r="Q73" s="373">
        <f t="shared" ref="Q73:Q136" si="31">M73-P73</f>
        <v>0</v>
      </c>
      <c r="AI73" s="384"/>
      <c r="AJ73" s="384"/>
      <c r="AK73" s="384"/>
      <c r="AL73" s="384"/>
      <c r="AM73" s="384"/>
      <c r="AN73" s="384"/>
      <c r="AO73" s="384"/>
      <c r="AP73" s="384"/>
      <c r="AQ73" s="384"/>
      <c r="AR73" s="384"/>
      <c r="AS73" s="384"/>
      <c r="AT73" s="384"/>
      <c r="AU73" s="384"/>
    </row>
    <row r="74" spans="1:47" ht="26.1" customHeight="1">
      <c r="A74" s="357" t="str">
        <f>'05月提成-武侯售后'!C75</f>
        <v>宋虹冰</v>
      </c>
      <c r="B74" s="358">
        <f>SUMIF('6月配件'!K:K,综合考核!A74,'6月配件'!L:L)</f>
        <v>0</v>
      </c>
      <c r="C74" s="358">
        <f>SUMIF('6月配件'!K:K,A74,'6月配件'!M:M)</f>
        <v>0</v>
      </c>
      <c r="D74" s="358">
        <f>SUMIF('5月接送车'!D:D,综合考核!A74,'5月接送车'!E:E)</f>
        <v>0</v>
      </c>
      <c r="E74" s="369">
        <f>SUMIF('转介绍+留修奖励（已发现金）'!F:F,综合考核!A74,'转介绍+留修奖励（已发现金）'!H:H)+SUMIF('转介绍+留修奖励（已发现金）'!L:L,综合考核!A74,'转介绍+留修奖励（已发现金）'!M:M)++SUMIF('转介绍+留修奖励（已发现金）'!B:B,综合考核!A74,'转介绍+留修奖励（已发现金）'!C:C)</f>
        <v>0</v>
      </c>
      <c r="F74" s="360">
        <f>SUMIF(工作车救急!A:A,A74,工作车救急!B:B)</f>
        <v>0</v>
      </c>
      <c r="G74" s="360">
        <f t="shared" si="27"/>
        <v>0</v>
      </c>
      <c r="H74" s="361"/>
      <c r="I74" s="359">
        <f>SUMIF(保客营销考核!E:E,A74,保客营销考核!J:J)</f>
        <v>0</v>
      </c>
      <c r="J74" s="361">
        <f>SUMIF(服装扣款!D:D,综合考核!A74,服装扣款!R:R)</f>
        <v>0</v>
      </c>
      <c r="K74" s="360">
        <f t="shared" si="26"/>
        <v>0</v>
      </c>
      <c r="L74" s="360">
        <f>SUMIF('-月满意度考核'!C:C,综合考核!A74,'-月满意度考核'!J:J)</f>
        <v>0</v>
      </c>
      <c r="M74" s="370">
        <f t="shared" si="29"/>
        <v>0</v>
      </c>
      <c r="N74" s="371">
        <f t="shared" si="28"/>
        <v>0</v>
      </c>
      <c r="O74" s="372"/>
      <c r="Q74" s="373">
        <f t="shared" si="31"/>
        <v>0</v>
      </c>
      <c r="AI74" s="384"/>
      <c r="AJ74" s="384"/>
      <c r="AK74" s="384"/>
      <c r="AL74" s="384"/>
      <c r="AM74" s="384"/>
      <c r="AN74" s="384"/>
      <c r="AO74" s="384"/>
      <c r="AP74" s="384"/>
      <c r="AQ74" s="384"/>
      <c r="AR74" s="384"/>
      <c r="AS74" s="384"/>
      <c r="AT74" s="384"/>
      <c r="AU74" s="384"/>
    </row>
    <row r="75" spans="1:47" ht="26.1" customHeight="1">
      <c r="A75" s="357" t="str">
        <f>'05月提成-武侯售后'!C76</f>
        <v>小计</v>
      </c>
      <c r="B75" s="358">
        <f>SUMIF('6月配件'!K:K,综合考核!A75,'6月配件'!L:L)</f>
        <v>0</v>
      </c>
      <c r="C75" s="358">
        <f>SUMIF('6月配件'!K:K,A75,'6月配件'!M:M)</f>
        <v>0</v>
      </c>
      <c r="D75" s="358">
        <f>SUMIF('5月接送车'!D:D,综合考核!A75,'5月接送车'!E:E)</f>
        <v>0</v>
      </c>
      <c r="E75" s="369">
        <f>SUMIF('转介绍+留修奖励（已发现金）'!F:F,综合考核!A75,'转介绍+留修奖励（已发现金）'!H:H)+SUMIF('转介绍+留修奖励（已发现金）'!L:L,综合考核!A75,'转介绍+留修奖励（已发现金）'!M:M)++SUMIF('转介绍+留修奖励（已发现金）'!B:B,综合考核!A75,'转介绍+留修奖励（已发现金）'!C:C)</f>
        <v>0</v>
      </c>
      <c r="F75" s="360">
        <f>SUMIF(工作车救急!A:A,A75,工作车救急!B:B)</f>
        <v>0</v>
      </c>
      <c r="G75" s="360">
        <f t="shared" si="27"/>
        <v>0</v>
      </c>
      <c r="H75" s="361"/>
      <c r="I75" s="359">
        <f>SUMIF(保客营销考核!E:E,A75,保客营销考核!J:J)</f>
        <v>0</v>
      </c>
      <c r="J75" s="361">
        <f>SUMIF(服装扣款!D:D,综合考核!A75,服装扣款!R:R)</f>
        <v>0</v>
      </c>
      <c r="K75" s="360">
        <f t="shared" si="26"/>
        <v>0</v>
      </c>
      <c r="L75" s="360">
        <f>SUMIF('-月满意度考核'!C:C,综合考核!A75,'-月满意度考核'!J:J)</f>
        <v>0</v>
      </c>
      <c r="M75" s="370">
        <f t="shared" si="29"/>
        <v>0</v>
      </c>
      <c r="N75" s="371">
        <f t="shared" si="28"/>
        <v>0</v>
      </c>
      <c r="O75" s="372"/>
      <c r="P75" s="42">
        <f>SUMIF('05月提成-武侯售后'!C:C,综合考核!A75,'05月提成-武侯售后'!L:L)</f>
        <v>1590</v>
      </c>
      <c r="Q75" s="373">
        <f t="shared" si="31"/>
        <v>-1590</v>
      </c>
      <c r="AI75" s="384"/>
      <c r="AJ75" s="384"/>
      <c r="AK75" s="384"/>
      <c r="AL75" s="384"/>
      <c r="AM75" s="384"/>
      <c r="AN75" s="384"/>
      <c r="AO75" s="384"/>
      <c r="AP75" s="384"/>
      <c r="AQ75" s="384"/>
      <c r="AR75" s="384"/>
      <c r="AS75" s="384"/>
      <c r="AT75" s="384"/>
      <c r="AU75" s="384"/>
    </row>
    <row r="76" spans="1:47" ht="26.1" customHeight="1">
      <c r="A76" s="357" t="str">
        <f>'05月提成-武侯售后'!C77</f>
        <v>冉维朗</v>
      </c>
      <c r="B76" s="358">
        <f>SUMIF('6月配件'!K:K,综合考核!A76,'6月配件'!L:L)</f>
        <v>0</v>
      </c>
      <c r="C76" s="358">
        <f>SUMIF('6月配件'!K:K,A76,'6月配件'!M:M)</f>
        <v>0</v>
      </c>
      <c r="D76" s="358">
        <f>SUMIF('5月接送车'!D:D,综合考核!A76,'5月接送车'!E:E)</f>
        <v>0</v>
      </c>
      <c r="E76" s="369">
        <f>SUMIF('转介绍+留修奖励（已发现金）'!F:F,综合考核!A76,'转介绍+留修奖励（已发现金）'!H:H)+SUMIF('转介绍+留修奖励（已发现金）'!L:L,综合考核!A76,'转介绍+留修奖励（已发现金）'!M:M)++SUMIF('转介绍+留修奖励（已发现金）'!B:B,综合考核!A76,'转介绍+留修奖励（已发现金）'!C:C)</f>
        <v>0</v>
      </c>
      <c r="F76" s="360">
        <f>SUMIF(工作车救急!A:A,A76,工作车救急!B:B)</f>
        <v>0</v>
      </c>
      <c r="G76" s="360">
        <f t="shared" si="27"/>
        <v>0</v>
      </c>
      <c r="H76" s="361"/>
      <c r="I76" s="359">
        <f>SUMIF(保客营销考核!E:E,A76,保客营销考核!J:J)</f>
        <v>0</v>
      </c>
      <c r="J76" s="361">
        <f>SUMIF(服装扣款!D:D,综合考核!A76,服装扣款!R:R)</f>
        <v>0</v>
      </c>
      <c r="K76" s="360">
        <f t="shared" si="26"/>
        <v>0</v>
      </c>
      <c r="L76" s="360">
        <f>SUMIF('-月满意度考核'!C:C,综合考核!A76,'-月满意度考核'!J:J)</f>
        <v>0</v>
      </c>
      <c r="M76" s="370">
        <f t="shared" si="29"/>
        <v>0</v>
      </c>
      <c r="N76" s="371">
        <f t="shared" si="28"/>
        <v>0</v>
      </c>
      <c r="O76" s="372"/>
      <c r="P76" s="42">
        <f>SUMIF('05月提成-武侯售后'!C:C,综合考核!A76,'05月提成-武侯售后'!L:L)</f>
        <v>0</v>
      </c>
      <c r="Q76" s="373">
        <f t="shared" si="31"/>
        <v>0</v>
      </c>
      <c r="AI76" s="384"/>
      <c r="AJ76" s="384"/>
      <c r="AK76" s="384"/>
      <c r="AL76" s="384"/>
      <c r="AM76" s="384"/>
      <c r="AN76" s="384"/>
      <c r="AO76" s="384"/>
      <c r="AP76" s="384"/>
      <c r="AQ76" s="384"/>
      <c r="AR76" s="384"/>
      <c r="AS76" s="384"/>
      <c r="AT76" s="384"/>
      <c r="AU76" s="384"/>
    </row>
    <row r="77" spans="1:47" ht="26.1" customHeight="1">
      <c r="A77" s="357" t="str">
        <f>'05月提成-武侯售后'!C78</f>
        <v>柳超</v>
      </c>
      <c r="B77" s="358">
        <f>SUMIF('6月配件'!K:K,综合考核!A77,'6月配件'!L:L)</f>
        <v>0</v>
      </c>
      <c r="C77" s="358">
        <f>SUMIF('6月配件'!K:K,A77,'6月配件'!M:M)</f>
        <v>0</v>
      </c>
      <c r="D77" s="358">
        <f>SUMIF('5月接送车'!D:D,综合考核!A77,'5月接送车'!E:E)</f>
        <v>0</v>
      </c>
      <c r="E77" s="369">
        <f>SUMIF('转介绍+留修奖励（已发现金）'!F:F,综合考核!A77,'转介绍+留修奖励（已发现金）'!H:H)+SUMIF('转介绍+留修奖励（已发现金）'!L:L,综合考核!A77,'转介绍+留修奖励（已发现金）'!M:M)++SUMIF('转介绍+留修奖励（已发现金）'!B:B,综合考核!A77,'转介绍+留修奖励（已发现金）'!C:C)</f>
        <v>0</v>
      </c>
      <c r="F77" s="360">
        <f>SUMIF(工作车救急!A:A,A77,工作车救急!B:B)</f>
        <v>0</v>
      </c>
      <c r="G77" s="360">
        <f t="shared" si="27"/>
        <v>0</v>
      </c>
      <c r="H77" s="361"/>
      <c r="I77" s="359">
        <f>SUMIF(保客营销考核!E:E,A77,保客营销考核!J:J)</f>
        <v>0</v>
      </c>
      <c r="J77" s="361">
        <f>SUMIF(服装扣款!D:D,综合考核!A77,服装扣款!R:R)</f>
        <v>0</v>
      </c>
      <c r="K77" s="360">
        <f t="shared" si="26"/>
        <v>0</v>
      </c>
      <c r="L77" s="360">
        <f>SUMIF('-月满意度考核'!C:C,综合考核!A77,'-月满意度考核'!J:J)</f>
        <v>0</v>
      </c>
      <c r="M77" s="370">
        <f t="shared" si="29"/>
        <v>0</v>
      </c>
      <c r="N77" s="371">
        <f t="shared" si="28"/>
        <v>0</v>
      </c>
      <c r="O77" s="372"/>
      <c r="P77" s="42">
        <f>SUMIF('05月提成-武侯售后'!C:C,综合考核!A77,'05月提成-武侯售后'!L:L)</f>
        <v>0</v>
      </c>
      <c r="Q77" s="373">
        <f t="shared" si="31"/>
        <v>0</v>
      </c>
      <c r="AI77" s="384"/>
      <c r="AJ77" s="384"/>
      <c r="AK77" s="384"/>
      <c r="AL77" s="384"/>
      <c r="AM77" s="384"/>
      <c r="AN77" s="384"/>
      <c r="AO77" s="384"/>
      <c r="AP77" s="384"/>
      <c r="AQ77" s="384"/>
      <c r="AR77" s="384"/>
      <c r="AS77" s="384"/>
      <c r="AT77" s="384"/>
      <c r="AU77" s="384"/>
    </row>
    <row r="78" spans="1:47" ht="26.1" customHeight="1">
      <c r="A78" s="357" t="str">
        <f>'05月提成-武侯售后'!C79</f>
        <v>机修一组</v>
      </c>
      <c r="B78" s="358">
        <f>SUMIF('6月配件'!K:K,综合考核!A78,'6月配件'!L:L)</f>
        <v>0</v>
      </c>
      <c r="C78" s="358">
        <f>SUMIF('6月配件'!K:K,A78,'6月配件'!M:M)</f>
        <v>0</v>
      </c>
      <c r="D78" s="358">
        <f>SUMIF('5月接送车'!D:D,综合考核!A78,'5月接送车'!E:E)</f>
        <v>0</v>
      </c>
      <c r="E78" s="369">
        <f>SUMIF('转介绍+留修奖励（已发现金）'!F:F,综合考核!A78,'转介绍+留修奖励（已发现金）'!H:H)+SUMIF('转介绍+留修奖励（已发现金）'!L:L,综合考核!A78,'转介绍+留修奖励（已发现金）'!M:M)++SUMIF('转介绍+留修奖励（已发现金）'!B:B,综合考核!A78,'转介绍+留修奖励（已发现金）'!C:C)</f>
        <v>0</v>
      </c>
      <c r="F78" s="360">
        <f>SUMIF(工作车救急!A:A,A78,工作车救急!B:B)</f>
        <v>0</v>
      </c>
      <c r="G78" s="360">
        <f t="shared" si="27"/>
        <v>0</v>
      </c>
      <c r="H78" s="361"/>
      <c r="I78" s="359">
        <f>SUMIF(保客营销考核!E:E,A78,保客营销考核!J:J)</f>
        <v>0</v>
      </c>
      <c r="J78" s="361">
        <f>SUMIF(服装扣款!D:D,综合考核!A78,服装扣款!R:R)</f>
        <v>0</v>
      </c>
      <c r="K78" s="360">
        <f t="shared" si="26"/>
        <v>0</v>
      </c>
      <c r="L78" s="360">
        <f>SUMIF('-月满意度考核'!C:C,综合考核!A78,'-月满意度考核'!J:J)</f>
        <v>0</v>
      </c>
      <c r="M78" s="370">
        <f t="shared" si="29"/>
        <v>0</v>
      </c>
      <c r="N78" s="371">
        <f t="shared" si="28"/>
        <v>0</v>
      </c>
      <c r="O78" s="372"/>
      <c r="P78" s="42">
        <f>SUMIF('05月提成-武侯售后'!C:C,综合考核!A78,'05月提成-武侯售后'!L:L)</f>
        <v>0</v>
      </c>
      <c r="Q78" s="373">
        <f t="shared" si="31"/>
        <v>0</v>
      </c>
      <c r="AI78" s="384"/>
      <c r="AJ78" s="384"/>
      <c r="AK78" s="384"/>
      <c r="AL78" s="384"/>
      <c r="AM78" s="384"/>
      <c r="AN78" s="384"/>
      <c r="AO78" s="384"/>
      <c r="AP78" s="384"/>
      <c r="AQ78" s="384"/>
      <c r="AR78" s="384"/>
      <c r="AS78" s="384"/>
      <c r="AT78" s="384"/>
      <c r="AU78" s="384"/>
    </row>
    <row r="79" spans="1:47" ht="26.1" customHeight="1">
      <c r="A79" s="357" t="str">
        <f>'05月提成-武侯售后'!C80</f>
        <v>杨洋</v>
      </c>
      <c r="B79" s="358">
        <f>SUMIF('6月配件'!K:K,综合考核!A79,'6月配件'!L:L)</f>
        <v>0</v>
      </c>
      <c r="C79" s="358">
        <f>SUMIF('6月配件'!K:K,A79,'6月配件'!M:M)</f>
        <v>0</v>
      </c>
      <c r="D79" s="358">
        <f>SUMIF('5月接送车'!D:D,综合考核!A79,'5月接送车'!E:E)</f>
        <v>0</v>
      </c>
      <c r="E79" s="369">
        <f>SUMIF('转介绍+留修奖励（已发现金）'!F:F,综合考核!A79,'转介绍+留修奖励（已发现金）'!H:H)+SUMIF('转介绍+留修奖励（已发现金）'!L:L,综合考核!A79,'转介绍+留修奖励（已发现金）'!M:M)++SUMIF('转介绍+留修奖励（已发现金）'!B:B,综合考核!A79,'转介绍+留修奖励（已发现金）'!C:C)</f>
        <v>0</v>
      </c>
      <c r="F79" s="360">
        <f>SUMIF(工作车救急!A:A,A79,工作车救急!B:B)</f>
        <v>0</v>
      </c>
      <c r="G79" s="360">
        <f t="shared" si="27"/>
        <v>0</v>
      </c>
      <c r="H79" s="361"/>
      <c r="I79" s="359">
        <f>SUMIF(保客营销考核!E:E,A79,保客营销考核!J:J)</f>
        <v>0</v>
      </c>
      <c r="J79" s="361">
        <f>SUMIF(服装扣款!D:D,综合考核!A79,服装扣款!R:R)</f>
        <v>0</v>
      </c>
      <c r="K79" s="360">
        <f t="shared" si="26"/>
        <v>0</v>
      </c>
      <c r="L79" s="360">
        <f>SUMIF('-月满意度考核'!C:C,综合考核!A79,'-月满意度考核'!J:J)</f>
        <v>0</v>
      </c>
      <c r="M79" s="370">
        <f t="shared" si="29"/>
        <v>0</v>
      </c>
      <c r="N79" s="371">
        <f t="shared" si="28"/>
        <v>0</v>
      </c>
      <c r="O79" s="372"/>
      <c r="P79" s="42">
        <f>SUMIF('05月提成-武侯售后'!C:C,综合考核!A79,'05月提成-武侯售后'!L:L)</f>
        <v>0</v>
      </c>
      <c r="Q79" s="373">
        <f t="shared" si="31"/>
        <v>0</v>
      </c>
      <c r="AI79" s="384"/>
      <c r="AJ79" s="384"/>
      <c r="AK79" s="384"/>
      <c r="AL79" s="384"/>
      <c r="AM79" s="384"/>
      <c r="AN79" s="384"/>
      <c r="AO79" s="384"/>
      <c r="AP79" s="384"/>
      <c r="AQ79" s="384"/>
      <c r="AR79" s="384"/>
      <c r="AS79" s="384"/>
      <c r="AT79" s="384"/>
      <c r="AU79" s="384"/>
    </row>
    <row r="80" spans="1:47" ht="26.1" customHeight="1">
      <c r="A80" s="357" t="str">
        <f>'05月提成-武侯售后'!C81</f>
        <v>王华通</v>
      </c>
      <c r="B80" s="358">
        <f>SUMIF('6月配件'!K:K,综合考核!A80,'6月配件'!L:L)</f>
        <v>0</v>
      </c>
      <c r="C80" s="358">
        <f>SUMIF('6月配件'!K:K,A80,'6月配件'!M:M)</f>
        <v>0</v>
      </c>
      <c r="D80" s="358">
        <f>SUMIF('5月接送车'!D:D,综合考核!A80,'5月接送车'!E:E)</f>
        <v>0</v>
      </c>
      <c r="E80" s="369">
        <f>SUMIF('转介绍+留修奖励（已发现金）'!F:F,综合考核!A80,'转介绍+留修奖励（已发现金）'!H:H)+SUMIF('转介绍+留修奖励（已发现金）'!L:L,综合考核!A80,'转介绍+留修奖励（已发现金）'!M:M)++SUMIF('转介绍+留修奖励（已发现金）'!B:B,综合考核!A80,'转介绍+留修奖励（已发现金）'!C:C)</f>
        <v>0</v>
      </c>
      <c r="F80" s="360">
        <f>SUMIF(工作车救急!A:A,A80,工作车救急!B:B)</f>
        <v>0</v>
      </c>
      <c r="G80" s="360">
        <f t="shared" si="27"/>
        <v>0</v>
      </c>
      <c r="H80" s="361"/>
      <c r="I80" s="359">
        <f>SUMIF(保客营销考核!E:E,A80,保客营销考核!J:J)</f>
        <v>0</v>
      </c>
      <c r="J80" s="361">
        <f>SUMIF(服装扣款!D:D,综合考核!A80,服装扣款!R:R)</f>
        <v>0</v>
      </c>
      <c r="K80" s="360">
        <f t="shared" si="26"/>
        <v>0</v>
      </c>
      <c r="L80" s="360">
        <f>SUMIF('-月满意度考核'!C:C,综合考核!A80,'-月满意度考核'!J:J)</f>
        <v>0</v>
      </c>
      <c r="M80" s="370">
        <f t="shared" si="29"/>
        <v>0</v>
      </c>
      <c r="N80" s="371">
        <f t="shared" si="28"/>
        <v>0</v>
      </c>
      <c r="O80" s="372"/>
      <c r="P80" s="42">
        <f>SUMIF('05月提成-武侯售后'!C:C,综合考核!A80,'05月提成-武侯售后'!L:L)</f>
        <v>0</v>
      </c>
      <c r="Q80" s="373">
        <f t="shared" si="31"/>
        <v>0</v>
      </c>
      <c r="AI80" s="384"/>
      <c r="AJ80" s="384"/>
      <c r="AK80" s="384"/>
      <c r="AL80" s="384"/>
      <c r="AM80" s="384"/>
      <c r="AN80" s="384"/>
      <c r="AO80" s="384"/>
      <c r="AP80" s="384"/>
      <c r="AQ80" s="384"/>
      <c r="AR80" s="384"/>
      <c r="AS80" s="384"/>
      <c r="AT80" s="384"/>
      <c r="AU80" s="384"/>
    </row>
    <row r="81" spans="1:47" ht="26.1" customHeight="1">
      <c r="A81" s="357" t="str">
        <f>'05月提成-武侯售后'!C82</f>
        <v>机修二组</v>
      </c>
      <c r="B81" s="358">
        <f>SUMIF('6月配件'!K:K,综合考核!A81,'6月配件'!L:L)</f>
        <v>0</v>
      </c>
      <c r="C81" s="358">
        <f>SUMIF('6月配件'!K:K,A81,'6月配件'!M:M)</f>
        <v>0</v>
      </c>
      <c r="D81" s="358">
        <f>SUMIF('5月接送车'!D:D,综合考核!A81,'5月接送车'!E:E)</f>
        <v>0</v>
      </c>
      <c r="E81" s="369">
        <f>SUMIF('转介绍+留修奖励（已发现金）'!F:F,综合考核!A81,'转介绍+留修奖励（已发现金）'!H:H)+SUMIF('转介绍+留修奖励（已发现金）'!L:L,综合考核!A81,'转介绍+留修奖励（已发现金）'!M:M)++SUMIF('转介绍+留修奖励（已发现金）'!B:B,综合考核!A81,'转介绍+留修奖励（已发现金）'!C:C)</f>
        <v>0</v>
      </c>
      <c r="F81" s="360">
        <f>SUMIF(工作车救急!A:A,A81,工作车救急!B:B)</f>
        <v>0</v>
      </c>
      <c r="G81" s="360">
        <f t="shared" si="27"/>
        <v>0</v>
      </c>
      <c r="H81" s="361"/>
      <c r="I81" s="359">
        <f>SUMIF(保客营销考核!E:E,A81,保客营销考核!J:J)</f>
        <v>0</v>
      </c>
      <c r="J81" s="361">
        <f>SUMIF(服装扣款!D:D,综合考核!A81,服装扣款!R:R)</f>
        <v>0</v>
      </c>
      <c r="K81" s="360">
        <f t="shared" si="26"/>
        <v>0</v>
      </c>
      <c r="L81" s="360">
        <f>SUMIF('-月满意度考核'!C:C,综合考核!A81,'-月满意度考核'!J:J)</f>
        <v>0</v>
      </c>
      <c r="M81" s="370">
        <f t="shared" si="29"/>
        <v>0</v>
      </c>
      <c r="N81" s="371">
        <f t="shared" si="28"/>
        <v>0</v>
      </c>
      <c r="O81" s="372"/>
      <c r="P81" s="42">
        <f>SUMIF('05月提成-武侯售后'!C:C,综合考核!A81,'05月提成-武侯售后'!L:L)</f>
        <v>0</v>
      </c>
      <c r="Q81" s="373">
        <f t="shared" si="31"/>
        <v>0</v>
      </c>
      <c r="AI81" s="384"/>
      <c r="AJ81" s="384"/>
      <c r="AK81" s="384"/>
      <c r="AL81" s="384"/>
      <c r="AM81" s="384"/>
      <c r="AN81" s="384"/>
      <c r="AO81" s="384"/>
      <c r="AP81" s="384"/>
      <c r="AQ81" s="384"/>
      <c r="AR81" s="384"/>
      <c r="AS81" s="384"/>
      <c r="AT81" s="384"/>
      <c r="AU81" s="384"/>
    </row>
    <row r="82" spans="1:47" ht="26.1" customHeight="1">
      <c r="A82" s="357" t="str">
        <f>'05月提成-武侯售后'!C83</f>
        <v>谢波桃</v>
      </c>
      <c r="B82" s="358">
        <f>SUMIF('6月配件'!K:K,综合考核!A82,'6月配件'!L:L)</f>
        <v>0</v>
      </c>
      <c r="C82" s="358">
        <f>SUMIF('6月配件'!K:K,A82,'6月配件'!M:M)</f>
        <v>0</v>
      </c>
      <c r="D82" s="358">
        <f>SUMIF('5月接送车'!D:D,综合考核!A82,'5月接送车'!E:E)</f>
        <v>0</v>
      </c>
      <c r="E82" s="369">
        <f>SUMIF('转介绍+留修奖励（已发现金）'!F:F,综合考核!A82,'转介绍+留修奖励（已发现金）'!H:H)+SUMIF('转介绍+留修奖励（已发现金）'!L:L,综合考核!A82,'转介绍+留修奖励（已发现金）'!M:M)++SUMIF('转介绍+留修奖励（已发现金）'!B:B,综合考核!A82,'转介绍+留修奖励（已发现金）'!C:C)</f>
        <v>0</v>
      </c>
      <c r="F82" s="360">
        <f>SUMIF(工作车救急!A:A,A82,工作车救急!B:B)</f>
        <v>0</v>
      </c>
      <c r="G82" s="360">
        <f t="shared" si="27"/>
        <v>0</v>
      </c>
      <c r="H82" s="361"/>
      <c r="I82" s="359">
        <f>SUMIF(保客营销考核!E:E,A82,保客营销考核!J:J)</f>
        <v>0</v>
      </c>
      <c r="J82" s="361">
        <f>SUMIF(服装扣款!D:D,综合考核!A82,服装扣款!R:R)</f>
        <v>0</v>
      </c>
      <c r="K82" s="360">
        <f t="shared" si="26"/>
        <v>0</v>
      </c>
      <c r="L82" s="360">
        <f>SUMIF('-月满意度考核'!C:C,综合考核!A82,'-月满意度考核'!J:J)</f>
        <v>0</v>
      </c>
      <c r="M82" s="370">
        <f t="shared" si="29"/>
        <v>0</v>
      </c>
      <c r="N82" s="371">
        <f t="shared" si="28"/>
        <v>0</v>
      </c>
      <c r="O82" s="372"/>
      <c r="Q82" s="373">
        <f t="shared" si="31"/>
        <v>0</v>
      </c>
      <c r="AI82" s="384"/>
      <c r="AJ82" s="384"/>
      <c r="AK82" s="384"/>
      <c r="AL82" s="384"/>
      <c r="AM82" s="384"/>
      <c r="AN82" s="384"/>
      <c r="AO82" s="384"/>
      <c r="AP82" s="384"/>
      <c r="AQ82" s="384"/>
      <c r="AR82" s="384"/>
      <c r="AS82" s="384"/>
      <c r="AT82" s="384"/>
      <c r="AU82" s="384"/>
    </row>
    <row r="83" spans="1:47" ht="26.1" customHeight="1">
      <c r="A83" s="357" t="str">
        <f>'05月提成-武侯售后'!C84</f>
        <v>吴德亮</v>
      </c>
      <c r="B83" s="358">
        <f>SUMIF('6月配件'!K:K,综合考核!A83,'6月配件'!L:L)</f>
        <v>0</v>
      </c>
      <c r="C83" s="358">
        <f>SUMIF('6月配件'!K:K,A83,'6月配件'!M:M)</f>
        <v>0</v>
      </c>
      <c r="D83" s="358">
        <f>SUMIF('5月接送车'!D:D,综合考核!A83,'5月接送车'!E:E)</f>
        <v>0</v>
      </c>
      <c r="E83" s="369">
        <f>SUMIF('转介绍+留修奖励（已发现金）'!F:F,综合考核!A83,'转介绍+留修奖励（已发现金）'!H:H)+SUMIF('转介绍+留修奖励（已发现金）'!L:L,综合考核!A83,'转介绍+留修奖励（已发现金）'!M:M)++SUMIF('转介绍+留修奖励（已发现金）'!B:B,综合考核!A83,'转介绍+留修奖励（已发现金）'!C:C)</f>
        <v>0</v>
      </c>
      <c r="F83" s="360">
        <f>SUMIF(工作车救急!A:A,A83,工作车救急!B:B)</f>
        <v>0</v>
      </c>
      <c r="G83" s="360">
        <f t="shared" si="27"/>
        <v>0</v>
      </c>
      <c r="H83" s="361"/>
      <c r="I83" s="359">
        <f>SUMIF(保客营销考核!E:E,A83,保客营销考核!J:J)</f>
        <v>0</v>
      </c>
      <c r="J83" s="361">
        <f>SUMIF(服装扣款!D:D,综合考核!A83,服装扣款!R:R)</f>
        <v>0</v>
      </c>
      <c r="K83" s="360">
        <f t="shared" si="26"/>
        <v>0</v>
      </c>
      <c r="L83" s="360">
        <f>SUMIF('-月满意度考核'!C:C,综合考核!A83,'-月满意度考核'!J:J)</f>
        <v>0</v>
      </c>
      <c r="M83" s="370">
        <f t="shared" si="29"/>
        <v>0</v>
      </c>
      <c r="N83" s="371">
        <f t="shared" si="28"/>
        <v>0</v>
      </c>
      <c r="O83" s="372"/>
      <c r="P83" s="42">
        <f>SUMIF('05月提成-武侯售后'!C:C,综合考核!A83,'05月提成-武侯售后'!L:L)</f>
        <v>0</v>
      </c>
      <c r="Q83" s="373">
        <f t="shared" si="31"/>
        <v>0</v>
      </c>
      <c r="AI83" s="384"/>
      <c r="AJ83" s="384"/>
      <c r="AK83" s="384"/>
      <c r="AL83" s="384"/>
      <c r="AM83" s="384"/>
      <c r="AN83" s="384"/>
      <c r="AO83" s="384"/>
      <c r="AP83" s="384"/>
      <c r="AQ83" s="384"/>
      <c r="AR83" s="384"/>
      <c r="AS83" s="384"/>
      <c r="AT83" s="384"/>
      <c r="AU83" s="384"/>
    </row>
    <row r="84" spans="1:47" ht="26.1" customHeight="1">
      <c r="A84" s="357" t="str">
        <f>'05月提成-武侯售后'!C85</f>
        <v>机修三组</v>
      </c>
      <c r="B84" s="358">
        <f>SUMIF('6月配件'!K:K,综合考核!A84,'6月配件'!L:L)</f>
        <v>0</v>
      </c>
      <c r="C84" s="358">
        <f>SUMIF('6月配件'!K:K,A84,'6月配件'!M:M)</f>
        <v>0</v>
      </c>
      <c r="D84" s="358">
        <f>SUMIF('5月接送车'!D:D,综合考核!A84,'5月接送车'!E:E)</f>
        <v>0</v>
      </c>
      <c r="E84" s="369">
        <f>SUMIF('转介绍+留修奖励（已发现金）'!F:F,综合考核!A84,'转介绍+留修奖励（已发现金）'!H:H)+SUMIF('转介绍+留修奖励（已发现金）'!L:L,综合考核!A84,'转介绍+留修奖励（已发现金）'!M:M)++SUMIF('转介绍+留修奖励（已发现金）'!B:B,综合考核!A84,'转介绍+留修奖励（已发现金）'!C:C)</f>
        <v>0</v>
      </c>
      <c r="F84" s="360">
        <f>SUMIF(工作车救急!A:A,A84,工作车救急!B:B)</f>
        <v>0</v>
      </c>
      <c r="G84" s="360">
        <f t="shared" si="27"/>
        <v>0</v>
      </c>
      <c r="H84" s="361"/>
      <c r="I84" s="359">
        <f>SUMIF(保客营销考核!E:E,A84,保客营销考核!J:J)</f>
        <v>0</v>
      </c>
      <c r="J84" s="361">
        <f>SUMIF(服装扣款!D:D,综合考核!A84,服装扣款!R:R)</f>
        <v>0</v>
      </c>
      <c r="K84" s="360">
        <f t="shared" si="26"/>
        <v>0</v>
      </c>
      <c r="L84" s="360">
        <f>SUMIF('-月满意度考核'!C:C,综合考核!A84,'-月满意度考核'!J:J)</f>
        <v>0</v>
      </c>
      <c r="M84" s="370">
        <f t="shared" si="29"/>
        <v>0</v>
      </c>
      <c r="N84" s="371">
        <f t="shared" si="28"/>
        <v>0</v>
      </c>
      <c r="O84" s="372"/>
      <c r="P84" s="42">
        <f>SUMIF('05月提成-武侯售后'!C:C,综合考核!A84,'05月提成-武侯售后'!L:L)</f>
        <v>0</v>
      </c>
      <c r="Q84" s="373">
        <f t="shared" si="31"/>
        <v>0</v>
      </c>
      <c r="AI84" s="384"/>
      <c r="AJ84" s="384"/>
      <c r="AK84" s="384"/>
      <c r="AL84" s="384"/>
      <c r="AM84" s="384"/>
      <c r="AN84" s="384"/>
      <c r="AO84" s="384"/>
      <c r="AP84" s="384"/>
      <c r="AQ84" s="384"/>
      <c r="AR84" s="384"/>
      <c r="AS84" s="384"/>
      <c r="AT84" s="384"/>
      <c r="AU84" s="384"/>
    </row>
    <row r="85" spans="1:47" ht="26.1" customHeight="1">
      <c r="A85" s="357" t="str">
        <f>'05月提成-武侯售后'!C86</f>
        <v>蔡青山</v>
      </c>
      <c r="B85" s="358">
        <f>SUMIF('6月配件'!K:K,综合考核!A85,'6月配件'!L:L)</f>
        <v>0</v>
      </c>
      <c r="C85" s="358">
        <f>SUMIF('6月配件'!K:K,A85,'6月配件'!M:M)</f>
        <v>0</v>
      </c>
      <c r="D85" s="358">
        <f>SUMIF('5月接送车'!D:D,综合考核!A85,'5月接送车'!E:E)</f>
        <v>0</v>
      </c>
      <c r="E85" s="369">
        <f>SUMIF('转介绍+留修奖励（已发现金）'!F:F,综合考核!A85,'转介绍+留修奖励（已发现金）'!H:H)+SUMIF('转介绍+留修奖励（已发现金）'!L:L,综合考核!A85,'转介绍+留修奖励（已发现金）'!M:M)++SUMIF('转介绍+留修奖励（已发现金）'!B:B,综合考核!A85,'转介绍+留修奖励（已发现金）'!C:C)</f>
        <v>0</v>
      </c>
      <c r="F85" s="360">
        <f>SUMIF(工作车救急!A:A,A85,工作车救急!B:B)</f>
        <v>0</v>
      </c>
      <c r="G85" s="360">
        <f t="shared" si="27"/>
        <v>0</v>
      </c>
      <c r="H85" s="361"/>
      <c r="I85" s="359">
        <f>SUMIF(保客营销考核!E:E,A85,保客营销考核!J:J)</f>
        <v>0</v>
      </c>
      <c r="J85" s="361">
        <f>SUMIF(服装扣款!D:D,综合考核!A85,服装扣款!R:R)</f>
        <v>0</v>
      </c>
      <c r="K85" s="360">
        <f t="shared" si="26"/>
        <v>0</v>
      </c>
      <c r="L85" s="360">
        <f>SUMIF('-月满意度考核'!C:C,综合考核!A85,'-月满意度考核'!J:J)</f>
        <v>0</v>
      </c>
      <c r="M85" s="370">
        <f t="shared" si="29"/>
        <v>0</v>
      </c>
      <c r="N85" s="371">
        <f t="shared" si="28"/>
        <v>0</v>
      </c>
      <c r="O85" s="372"/>
      <c r="Q85" s="373">
        <f t="shared" si="31"/>
        <v>0</v>
      </c>
      <c r="AI85" s="384"/>
      <c r="AJ85" s="384"/>
      <c r="AK85" s="384"/>
      <c r="AL85" s="384"/>
      <c r="AM85" s="384"/>
      <c r="AN85" s="384"/>
      <c r="AO85" s="384"/>
      <c r="AP85" s="384"/>
      <c r="AQ85" s="384"/>
      <c r="AR85" s="384"/>
      <c r="AS85" s="384"/>
      <c r="AT85" s="384"/>
      <c r="AU85" s="384"/>
    </row>
    <row r="86" spans="1:47" ht="26.1" customHeight="1">
      <c r="A86" s="357" t="str">
        <f>'05月提成-武侯售后'!C87</f>
        <v>机修四组</v>
      </c>
      <c r="B86" s="358">
        <f>SUMIF('6月配件'!K:K,综合考核!A86,'6月配件'!L:L)</f>
        <v>0</v>
      </c>
      <c r="C86" s="358">
        <f>SUMIF('6月配件'!K:K,A86,'6月配件'!M:M)</f>
        <v>0</v>
      </c>
      <c r="D86" s="358">
        <f>SUMIF('5月接送车'!D:D,综合考核!A86,'5月接送车'!E:E)</f>
        <v>0</v>
      </c>
      <c r="E86" s="369">
        <f>SUMIF('转介绍+留修奖励（已发现金）'!F:F,综合考核!A86,'转介绍+留修奖励（已发现金）'!H:H)+SUMIF('转介绍+留修奖励（已发现金）'!L:L,综合考核!A86,'转介绍+留修奖励（已发现金）'!M:M)++SUMIF('转介绍+留修奖励（已发现金）'!B:B,综合考核!A86,'转介绍+留修奖励（已发现金）'!C:C)</f>
        <v>0</v>
      </c>
      <c r="F86" s="360">
        <f>SUMIF(工作车救急!A:A,A86,工作车救急!B:B)</f>
        <v>0</v>
      </c>
      <c r="G86" s="360">
        <f t="shared" si="27"/>
        <v>0</v>
      </c>
      <c r="H86" s="361"/>
      <c r="I86" s="359">
        <f>SUMIF(保客营销考核!E:E,A86,保客营销考核!J:J)</f>
        <v>0</v>
      </c>
      <c r="J86" s="361">
        <f>SUMIF(服装扣款!D:D,综合考核!A86,服装扣款!R:R)</f>
        <v>0</v>
      </c>
      <c r="K86" s="360">
        <f t="shared" si="26"/>
        <v>0</v>
      </c>
      <c r="L86" s="360">
        <f>SUMIF('-月满意度考核'!C:C,综合考核!A86,'-月满意度考核'!J:J)</f>
        <v>0</v>
      </c>
      <c r="M86" s="370">
        <f t="shared" si="29"/>
        <v>0</v>
      </c>
      <c r="N86" s="371">
        <f t="shared" si="28"/>
        <v>0</v>
      </c>
      <c r="O86" s="372"/>
      <c r="P86" s="42">
        <f>SUMIF('05月提成-武侯售后'!C:C,综合考核!A86,'05月提成-武侯售后'!L:L)</f>
        <v>0</v>
      </c>
      <c r="Q86" s="373">
        <f t="shared" si="31"/>
        <v>0</v>
      </c>
      <c r="AI86" s="384"/>
      <c r="AJ86" s="384"/>
      <c r="AK86" s="384"/>
      <c r="AL86" s="384"/>
      <c r="AM86" s="384"/>
      <c r="AN86" s="384"/>
      <c r="AO86" s="384"/>
      <c r="AP86" s="384"/>
      <c r="AQ86" s="384"/>
      <c r="AR86" s="384"/>
      <c r="AS86" s="384"/>
      <c r="AT86" s="384"/>
      <c r="AU86" s="384"/>
    </row>
    <row r="87" spans="1:47" ht="26.1" customHeight="1">
      <c r="A87" s="357" t="str">
        <f>'05月提成-武侯售后'!C88</f>
        <v>廖君</v>
      </c>
      <c r="B87" s="358">
        <f>SUMIF('6月配件'!K:K,综合考核!A87,'6月配件'!L:L)</f>
        <v>0</v>
      </c>
      <c r="C87" s="358">
        <f>SUMIF('6月配件'!K:K,A87,'6月配件'!M:M)</f>
        <v>0</v>
      </c>
      <c r="D87" s="358">
        <f>SUMIF('5月接送车'!D:D,综合考核!A87,'5月接送车'!E:E)</f>
        <v>0</v>
      </c>
      <c r="E87" s="369">
        <f>SUMIF('转介绍+留修奖励（已发现金）'!F:F,综合考核!A87,'转介绍+留修奖励（已发现金）'!H:H)+SUMIF('转介绍+留修奖励（已发现金）'!L:L,综合考核!A87,'转介绍+留修奖励（已发现金）'!M:M)++SUMIF('转介绍+留修奖励（已发现金）'!B:B,综合考核!A87,'转介绍+留修奖励（已发现金）'!C:C)</f>
        <v>0</v>
      </c>
      <c r="F87" s="360">
        <f>SUMIF(工作车救急!A:A,A87,工作车救急!B:B)</f>
        <v>0</v>
      </c>
      <c r="G87" s="360">
        <f t="shared" si="27"/>
        <v>0</v>
      </c>
      <c r="H87" s="361"/>
      <c r="I87" s="359">
        <f>SUMIF(保客营销考核!E:E,A87,保客营销考核!J:J)</f>
        <v>0</v>
      </c>
      <c r="J87" s="361">
        <f>SUMIF(服装扣款!D:D,综合考核!A87,服装扣款!R:R)</f>
        <v>0</v>
      </c>
      <c r="K87" s="360">
        <f t="shared" si="26"/>
        <v>0</v>
      </c>
      <c r="L87" s="360">
        <f>SUMIF('-月满意度考核'!C:C,综合考核!A87,'-月满意度考核'!J:J)</f>
        <v>0</v>
      </c>
      <c r="M87" s="370">
        <f t="shared" si="29"/>
        <v>0</v>
      </c>
      <c r="N87" s="371">
        <f t="shared" si="28"/>
        <v>0</v>
      </c>
      <c r="O87" s="372"/>
      <c r="P87" s="42">
        <f>SUMIF('05月提成-武侯售后'!C:C,综合考核!A87,'05月提成-武侯售后'!L:L)</f>
        <v>0</v>
      </c>
      <c r="Q87" s="373">
        <f t="shared" ref="Q87" si="32">M87-P87</f>
        <v>0</v>
      </c>
      <c r="AI87" s="384"/>
      <c r="AJ87" s="384"/>
      <c r="AK87" s="384"/>
      <c r="AL87" s="384"/>
      <c r="AM87" s="384"/>
      <c r="AN87" s="384"/>
      <c r="AO87" s="384"/>
      <c r="AP87" s="384"/>
      <c r="AQ87" s="384"/>
      <c r="AR87" s="384"/>
      <c r="AS87" s="384"/>
      <c r="AT87" s="384"/>
      <c r="AU87" s="384"/>
    </row>
    <row r="88" spans="1:47" ht="26.1" customHeight="1">
      <c r="A88" s="357" t="str">
        <f>'05月提成-武侯售后'!C89</f>
        <v>李欢</v>
      </c>
      <c r="B88" s="358">
        <f>SUMIF('6月配件'!K:K,综合考核!A88,'6月配件'!L:L)</f>
        <v>0</v>
      </c>
      <c r="C88" s="358">
        <f>SUMIF('6月配件'!K:K,A88,'6月配件'!M:M)</f>
        <v>0</v>
      </c>
      <c r="D88" s="358">
        <f>SUMIF('5月接送车'!D:D,综合考核!A88,'5月接送车'!E:E)</f>
        <v>0</v>
      </c>
      <c r="E88" s="369">
        <f>SUMIF('转介绍+留修奖励（已发现金）'!F:F,综合考核!A88,'转介绍+留修奖励（已发现金）'!H:H)+SUMIF('转介绍+留修奖励（已发现金）'!L:L,综合考核!A88,'转介绍+留修奖励（已发现金）'!M:M)++SUMIF('转介绍+留修奖励（已发现金）'!B:B,综合考核!A88,'转介绍+留修奖励（已发现金）'!C:C)</f>
        <v>0</v>
      </c>
      <c r="F88" s="360">
        <f>SUMIF(工作车救急!A:A,A88,工作车救急!B:B)</f>
        <v>0</v>
      </c>
      <c r="G88" s="360">
        <f t="shared" si="27"/>
        <v>0</v>
      </c>
      <c r="H88" s="361"/>
      <c r="I88" s="359">
        <f>SUMIF(保客营销考核!E:E,A88,保客营销考核!J:J)</f>
        <v>0</v>
      </c>
      <c r="J88" s="361">
        <f>SUMIF(服装扣款!D:D,综合考核!A88,服装扣款!R:R)</f>
        <v>0</v>
      </c>
      <c r="K88" s="360">
        <f t="shared" si="26"/>
        <v>0</v>
      </c>
      <c r="L88" s="360">
        <f>SUMIF('-月满意度考核'!C:C,综合考核!A88,'-月满意度考核'!J:J)</f>
        <v>0</v>
      </c>
      <c r="M88" s="370">
        <f t="shared" si="29"/>
        <v>0</v>
      </c>
      <c r="N88" s="371">
        <f t="shared" si="28"/>
        <v>0</v>
      </c>
      <c r="O88" s="372"/>
      <c r="Q88" s="373">
        <f t="shared" si="31"/>
        <v>0</v>
      </c>
      <c r="AI88" s="384"/>
      <c r="AJ88" s="384"/>
      <c r="AK88" s="384"/>
      <c r="AL88" s="384"/>
      <c r="AM88" s="384"/>
      <c r="AN88" s="384"/>
      <c r="AO88" s="384"/>
      <c r="AP88" s="384"/>
      <c r="AQ88" s="384"/>
      <c r="AR88" s="384"/>
      <c r="AS88" s="384"/>
      <c r="AT88" s="384"/>
      <c r="AU88" s="384"/>
    </row>
    <row r="89" spans="1:47" ht="26.1" customHeight="1">
      <c r="A89" s="357" t="str">
        <f>'05月提成-武侯售后'!C90</f>
        <v>机修五组</v>
      </c>
      <c r="B89" s="358">
        <f>SUMIF('6月配件'!K:K,综合考核!A89,'6月配件'!L:L)</f>
        <v>0</v>
      </c>
      <c r="C89" s="358">
        <f>SUMIF('6月配件'!K:K,A89,'6月配件'!M:M)</f>
        <v>0</v>
      </c>
      <c r="D89" s="358">
        <f>SUMIF('5月接送车'!D:D,综合考核!A89,'5月接送车'!E:E)</f>
        <v>0</v>
      </c>
      <c r="E89" s="369">
        <f>SUMIF('转介绍+留修奖励（已发现金）'!F:F,综合考核!A89,'转介绍+留修奖励（已发现金）'!H:H)+SUMIF('转介绍+留修奖励（已发现金）'!L:L,综合考核!A89,'转介绍+留修奖励（已发现金）'!M:M)++SUMIF('转介绍+留修奖励（已发现金）'!B:B,综合考核!A89,'转介绍+留修奖励（已发现金）'!C:C)</f>
        <v>0</v>
      </c>
      <c r="F89" s="360">
        <f>SUMIF(工作车救急!A:A,A89,工作车救急!B:B)</f>
        <v>0</v>
      </c>
      <c r="G89" s="360">
        <f t="shared" si="27"/>
        <v>0</v>
      </c>
      <c r="H89" s="361"/>
      <c r="I89" s="359">
        <f>SUMIF(保客营销考核!E:E,A89,保客营销考核!J:J)</f>
        <v>0</v>
      </c>
      <c r="J89" s="361">
        <f>SUMIF(服装扣款!D:D,综合考核!A89,服装扣款!R:R)</f>
        <v>0</v>
      </c>
      <c r="K89" s="360">
        <f t="shared" si="26"/>
        <v>0</v>
      </c>
      <c r="L89" s="360">
        <f>SUMIF('-月满意度考核'!C:C,综合考核!A89,'-月满意度考核'!J:J)</f>
        <v>0</v>
      </c>
      <c r="M89" s="370">
        <f t="shared" si="29"/>
        <v>0</v>
      </c>
      <c r="N89" s="371">
        <f t="shared" si="28"/>
        <v>0</v>
      </c>
      <c r="O89" s="372"/>
      <c r="P89" s="42">
        <f>SUMIF('05月提成-武侯售后'!C:C,综合考核!A89,'05月提成-武侯售后'!L:L)</f>
        <v>0</v>
      </c>
      <c r="Q89" s="373">
        <f t="shared" si="31"/>
        <v>0</v>
      </c>
      <c r="AI89" s="384"/>
      <c r="AJ89" s="384"/>
      <c r="AK89" s="384"/>
      <c r="AL89" s="384"/>
      <c r="AM89" s="384"/>
      <c r="AN89" s="384"/>
      <c r="AO89" s="384"/>
      <c r="AP89" s="384"/>
      <c r="AQ89" s="384"/>
      <c r="AR89" s="384"/>
      <c r="AS89" s="384"/>
      <c r="AT89" s="384"/>
      <c r="AU89" s="384"/>
    </row>
    <row r="90" spans="1:47" ht="26.1" customHeight="1">
      <c r="A90" s="357" t="str">
        <f>'05月提成-武侯售后'!C91</f>
        <v>李建国</v>
      </c>
      <c r="B90" s="358">
        <f>SUMIF('6月配件'!K:K,综合考核!A90,'6月配件'!L:L)</f>
        <v>0</v>
      </c>
      <c r="C90" s="358">
        <f>SUMIF('6月配件'!K:K,A90,'6月配件'!M:M)</f>
        <v>0</v>
      </c>
      <c r="D90" s="358">
        <f>SUMIF('5月接送车'!D:D,综合考核!A90,'5月接送车'!E:E)</f>
        <v>0</v>
      </c>
      <c r="E90" s="369">
        <f>SUMIF('转介绍+留修奖励（已发现金）'!F:F,综合考核!A90,'转介绍+留修奖励（已发现金）'!H:H)+SUMIF('转介绍+留修奖励（已发现金）'!L:L,综合考核!A90,'转介绍+留修奖励（已发现金）'!M:M)++SUMIF('转介绍+留修奖励（已发现金）'!B:B,综合考核!A90,'转介绍+留修奖励（已发现金）'!C:C)</f>
        <v>0</v>
      </c>
      <c r="F90" s="360">
        <f>SUMIF(工作车救急!A:A,A90,工作车救急!B:B)</f>
        <v>0</v>
      </c>
      <c r="G90" s="360">
        <f t="shared" si="27"/>
        <v>0</v>
      </c>
      <c r="H90" s="361"/>
      <c r="I90" s="359">
        <f>SUMIF(保客营销考核!E:E,A90,保客营销考核!J:J)</f>
        <v>0</v>
      </c>
      <c r="J90" s="361">
        <f>SUMIF(服装扣款!D:D,综合考核!A90,服装扣款!R:R)</f>
        <v>0</v>
      </c>
      <c r="K90" s="360">
        <f t="shared" si="26"/>
        <v>0</v>
      </c>
      <c r="L90" s="360">
        <f>SUMIF('-月满意度考核'!C:C,综合考核!A90,'-月满意度考核'!J:J)</f>
        <v>0</v>
      </c>
      <c r="M90" s="370">
        <f t="shared" si="29"/>
        <v>0</v>
      </c>
      <c r="N90" s="371">
        <f t="shared" si="28"/>
        <v>0</v>
      </c>
      <c r="O90" s="372"/>
      <c r="P90" s="42">
        <f>SUMIF('05月提成-武侯售后'!C:C,综合考核!A90,'05月提成-武侯售后'!L:L)</f>
        <v>0</v>
      </c>
      <c r="Q90" s="373">
        <f t="shared" si="31"/>
        <v>0</v>
      </c>
      <c r="AI90" s="384"/>
      <c r="AJ90" s="384"/>
      <c r="AK90" s="384"/>
      <c r="AL90" s="384"/>
      <c r="AM90" s="384"/>
      <c r="AN90" s="384"/>
      <c r="AO90" s="384"/>
      <c r="AP90" s="384"/>
      <c r="AQ90" s="384"/>
      <c r="AR90" s="384"/>
      <c r="AS90" s="384"/>
      <c r="AT90" s="384"/>
      <c r="AU90" s="384"/>
    </row>
    <row r="91" spans="1:47" ht="26.1" customHeight="1">
      <c r="A91" s="357" t="str">
        <f>'05月提成-武侯售后'!C92</f>
        <v>左三明</v>
      </c>
      <c r="B91" s="358">
        <f>SUMIF('6月配件'!K:K,综合考核!A91,'6月配件'!L:L)</f>
        <v>0</v>
      </c>
      <c r="C91" s="358">
        <f>SUMIF('6月配件'!K:K,A91,'6月配件'!M:M)</f>
        <v>0</v>
      </c>
      <c r="D91" s="358">
        <f>SUMIF('5月接送车'!D:D,综合考核!A91,'5月接送车'!E:E)</f>
        <v>0</v>
      </c>
      <c r="E91" s="369">
        <f>SUMIF('转介绍+留修奖励（已发现金）'!F:F,综合考核!A91,'转介绍+留修奖励（已发现金）'!H:H)+SUMIF('转介绍+留修奖励（已发现金）'!L:L,综合考核!A91,'转介绍+留修奖励（已发现金）'!M:M)++SUMIF('转介绍+留修奖励（已发现金）'!B:B,综合考核!A91,'转介绍+留修奖励（已发现金）'!C:C)</f>
        <v>0</v>
      </c>
      <c r="F91" s="360">
        <f>SUMIF(工作车救急!A:A,A91,工作车救急!B:B)</f>
        <v>0</v>
      </c>
      <c r="G91" s="360">
        <f t="shared" si="27"/>
        <v>0</v>
      </c>
      <c r="H91" s="361"/>
      <c r="I91" s="359">
        <f>SUMIF(保客营销考核!E:E,A91,保客营销考核!J:J)</f>
        <v>0</v>
      </c>
      <c r="J91" s="361">
        <f>SUMIF(服装扣款!D:D,综合考核!A91,服装扣款!R:R)</f>
        <v>0</v>
      </c>
      <c r="K91" s="360">
        <f t="shared" si="26"/>
        <v>0</v>
      </c>
      <c r="L91" s="360">
        <f>SUMIF('-月满意度考核'!C:C,综合考核!A91,'-月满意度考核'!J:J)</f>
        <v>0</v>
      </c>
      <c r="M91" s="370">
        <f t="shared" si="29"/>
        <v>0</v>
      </c>
      <c r="N91" s="371">
        <f t="shared" si="28"/>
        <v>0</v>
      </c>
      <c r="O91" s="372"/>
      <c r="Q91" s="373">
        <f t="shared" si="31"/>
        <v>0</v>
      </c>
      <c r="AI91" s="384"/>
      <c r="AJ91" s="384"/>
      <c r="AK91" s="384"/>
      <c r="AL91" s="384"/>
      <c r="AM91" s="384"/>
      <c r="AN91" s="384"/>
      <c r="AO91" s="384"/>
      <c r="AP91" s="384"/>
      <c r="AQ91" s="384"/>
      <c r="AR91" s="384"/>
      <c r="AS91" s="384"/>
      <c r="AT91" s="384"/>
      <c r="AU91" s="384"/>
    </row>
    <row r="92" spans="1:47" ht="26.1" customHeight="1">
      <c r="A92" s="357" t="str">
        <f>'05月提成-武侯售后'!C93</f>
        <v>机修六组</v>
      </c>
      <c r="B92" s="358">
        <f>SUMIF('6月配件'!K:K,综合考核!A92,'6月配件'!L:L)</f>
        <v>0</v>
      </c>
      <c r="C92" s="358">
        <f>SUMIF('6月配件'!K:K,A92,'6月配件'!M:M)</f>
        <v>0</v>
      </c>
      <c r="D92" s="358">
        <f>SUMIF('5月接送车'!D:D,综合考核!A92,'5月接送车'!E:E)</f>
        <v>0</v>
      </c>
      <c r="E92" s="369">
        <f>SUMIF('转介绍+留修奖励（已发现金）'!F:F,综合考核!A92,'转介绍+留修奖励（已发现金）'!H:H)+SUMIF('转介绍+留修奖励（已发现金）'!L:L,综合考核!A92,'转介绍+留修奖励（已发现金）'!M:M)++SUMIF('转介绍+留修奖励（已发现金）'!B:B,综合考核!A92,'转介绍+留修奖励（已发现金）'!C:C)</f>
        <v>0</v>
      </c>
      <c r="F92" s="360">
        <f>SUMIF(工作车救急!A:A,A92,工作车救急!B:B)</f>
        <v>0</v>
      </c>
      <c r="G92" s="360">
        <f t="shared" si="27"/>
        <v>0</v>
      </c>
      <c r="H92" s="361"/>
      <c r="I92" s="359">
        <f>SUMIF(保客营销考核!E:E,A92,保客营销考核!J:J)</f>
        <v>0</v>
      </c>
      <c r="J92" s="361">
        <f>SUMIF(服装扣款!D:D,综合考核!A92,服装扣款!R:R)</f>
        <v>0</v>
      </c>
      <c r="K92" s="360">
        <f t="shared" si="26"/>
        <v>0</v>
      </c>
      <c r="L92" s="360">
        <f>SUMIF('-月满意度考核'!C:C,综合考核!A92,'-月满意度考核'!J:J)</f>
        <v>0</v>
      </c>
      <c r="M92" s="370">
        <f t="shared" si="29"/>
        <v>0</v>
      </c>
      <c r="N92" s="371">
        <f t="shared" si="28"/>
        <v>0</v>
      </c>
      <c r="O92" s="372"/>
      <c r="P92" s="42">
        <f>SUMIF('05月提成-武侯售后'!C:C,综合考核!A92,'05月提成-武侯售后'!L:L)</f>
        <v>0</v>
      </c>
      <c r="Q92" s="373">
        <f t="shared" si="31"/>
        <v>0</v>
      </c>
      <c r="AI92" s="384"/>
      <c r="AJ92" s="384"/>
      <c r="AK92" s="384"/>
      <c r="AL92" s="384"/>
      <c r="AM92" s="384"/>
      <c r="AN92" s="384"/>
      <c r="AO92" s="384"/>
      <c r="AP92" s="384"/>
      <c r="AQ92" s="384"/>
      <c r="AR92" s="384"/>
      <c r="AS92" s="384"/>
      <c r="AT92" s="384"/>
      <c r="AU92" s="384"/>
    </row>
    <row r="93" spans="1:47" ht="26.1" customHeight="1">
      <c r="A93" s="357" t="str">
        <f>'05月提成-武侯售后'!C94</f>
        <v>李伦伟</v>
      </c>
      <c r="B93" s="358">
        <f>SUMIF('6月配件'!K:K,综合考核!A93,'6月配件'!L:L)</f>
        <v>0</v>
      </c>
      <c r="C93" s="358">
        <f>SUMIF('6月配件'!K:K,A93,'6月配件'!M:M)</f>
        <v>0</v>
      </c>
      <c r="D93" s="358">
        <f>SUMIF('5月接送车'!D:D,综合考核!A93,'5月接送车'!E:E)</f>
        <v>0</v>
      </c>
      <c r="E93" s="369">
        <f>SUMIF('转介绍+留修奖励（已发现金）'!F:F,综合考核!A93,'转介绍+留修奖励（已发现金）'!H:H)+SUMIF('转介绍+留修奖励（已发现金）'!L:L,综合考核!A93,'转介绍+留修奖励（已发现金）'!M:M)++SUMIF('转介绍+留修奖励（已发现金）'!B:B,综合考核!A93,'转介绍+留修奖励（已发现金）'!C:C)</f>
        <v>0</v>
      </c>
      <c r="F93" s="360">
        <f>SUMIF(工作车救急!A:A,A93,工作车救急!B:B)</f>
        <v>0</v>
      </c>
      <c r="G93" s="360">
        <f t="shared" si="27"/>
        <v>0</v>
      </c>
      <c r="H93" s="361"/>
      <c r="I93" s="359">
        <f>SUMIF(保客营销考核!E:E,A93,保客营销考核!J:J)</f>
        <v>0</v>
      </c>
      <c r="J93" s="361">
        <f>SUMIF(服装扣款!D:D,综合考核!A93,服装扣款!R:R)</f>
        <v>0</v>
      </c>
      <c r="K93" s="360">
        <f t="shared" si="26"/>
        <v>0</v>
      </c>
      <c r="L93" s="360">
        <f>SUMIF('-月满意度考核'!C:C,综合考核!A93,'-月满意度考核'!J:J)</f>
        <v>0</v>
      </c>
      <c r="M93" s="370">
        <f t="shared" si="29"/>
        <v>0</v>
      </c>
      <c r="N93" s="371">
        <f t="shared" si="28"/>
        <v>0</v>
      </c>
      <c r="O93" s="372"/>
      <c r="Q93" s="373">
        <f t="shared" si="31"/>
        <v>0</v>
      </c>
      <c r="AI93" s="384"/>
      <c r="AJ93" s="384"/>
      <c r="AK93" s="384"/>
      <c r="AL93" s="384"/>
      <c r="AM93" s="384"/>
      <c r="AN93" s="384"/>
      <c r="AO93" s="384"/>
      <c r="AP93" s="384"/>
      <c r="AQ93" s="384"/>
      <c r="AR93" s="384"/>
      <c r="AS93" s="384"/>
      <c r="AT93" s="384"/>
      <c r="AU93" s="384"/>
    </row>
    <row r="94" spans="1:47" ht="26.1" customHeight="1">
      <c r="A94" s="357" t="str">
        <f>'05月提成-武侯售后'!C95</f>
        <v>刘新宇</v>
      </c>
      <c r="B94" s="358">
        <f>SUMIF('6月配件'!K:K,综合考核!A94,'6月配件'!L:L)</f>
        <v>0</v>
      </c>
      <c r="C94" s="358">
        <f>SUMIF('6月配件'!K:K,A94,'6月配件'!M:M)</f>
        <v>0</v>
      </c>
      <c r="D94" s="358">
        <f>SUMIF('5月接送车'!D:D,综合考核!A94,'5月接送车'!E:E)</f>
        <v>0</v>
      </c>
      <c r="E94" s="369">
        <f>SUMIF('转介绍+留修奖励（已发现金）'!F:F,综合考核!A94,'转介绍+留修奖励（已发现金）'!H:H)+SUMIF('转介绍+留修奖励（已发现金）'!L:L,综合考核!A94,'转介绍+留修奖励（已发现金）'!M:M)++SUMIF('转介绍+留修奖励（已发现金）'!B:B,综合考核!A94,'转介绍+留修奖励（已发现金）'!C:C)</f>
        <v>0</v>
      </c>
      <c r="F94" s="360">
        <f>SUMIF(工作车救急!A:A,A94,工作车救急!B:B)</f>
        <v>0</v>
      </c>
      <c r="G94" s="360">
        <f t="shared" si="27"/>
        <v>0</v>
      </c>
      <c r="H94" s="361"/>
      <c r="I94" s="359">
        <f>SUMIF(保客营销考核!E:E,A94,保客营销考核!J:J)</f>
        <v>0</v>
      </c>
      <c r="J94" s="361">
        <f>SUMIF(服装扣款!D:D,综合考核!A94,服装扣款!R:R)</f>
        <v>0</v>
      </c>
      <c r="K94" s="360">
        <f t="shared" si="26"/>
        <v>0</v>
      </c>
      <c r="L94" s="360">
        <f>SUMIF('-月满意度考核'!C:C,综合考核!A94,'-月满意度考核'!J:J)</f>
        <v>0</v>
      </c>
      <c r="M94" s="370">
        <f t="shared" si="29"/>
        <v>0</v>
      </c>
      <c r="N94" s="371">
        <f t="shared" si="28"/>
        <v>0</v>
      </c>
      <c r="O94" s="372"/>
      <c r="P94" s="42">
        <f>SUMIF('05月提成-武侯售后'!C:C,综合考核!A94,'05月提成-武侯售后'!L:L)</f>
        <v>0</v>
      </c>
      <c r="Q94" s="373">
        <f t="shared" si="31"/>
        <v>0</v>
      </c>
      <c r="AI94" s="384"/>
      <c r="AJ94" s="384"/>
      <c r="AK94" s="384"/>
      <c r="AL94" s="384"/>
      <c r="AM94" s="384"/>
      <c r="AN94" s="384"/>
      <c r="AO94" s="384"/>
      <c r="AP94" s="384"/>
      <c r="AQ94" s="384"/>
      <c r="AR94" s="384"/>
      <c r="AS94" s="384"/>
      <c r="AT94" s="384"/>
      <c r="AU94" s="384"/>
    </row>
    <row r="95" spans="1:47" ht="26.1" customHeight="1">
      <c r="A95" s="357" t="str">
        <f>'05月提成-武侯售后'!C96</f>
        <v>机修七组</v>
      </c>
      <c r="B95" s="358">
        <f>SUMIF('6月配件'!K:K,综合考核!A95,'6月配件'!L:L)</f>
        <v>0</v>
      </c>
      <c r="C95" s="358">
        <f>SUMIF('6月配件'!K:K,A95,'6月配件'!M:M)</f>
        <v>0</v>
      </c>
      <c r="D95" s="358">
        <f>SUMIF('5月接送车'!D:D,综合考核!A95,'5月接送车'!E:E)</f>
        <v>0</v>
      </c>
      <c r="E95" s="369">
        <f>SUMIF('转介绍+留修奖励（已发现金）'!F:F,综合考核!A95,'转介绍+留修奖励（已发现金）'!H:H)+SUMIF('转介绍+留修奖励（已发现金）'!L:L,综合考核!A95,'转介绍+留修奖励（已发现金）'!M:M)++SUMIF('转介绍+留修奖励（已发现金）'!B:B,综合考核!A95,'转介绍+留修奖励（已发现金）'!C:C)</f>
        <v>0</v>
      </c>
      <c r="F95" s="360">
        <f>SUMIF(工作车救急!A:A,A95,工作车救急!B:B)</f>
        <v>0</v>
      </c>
      <c r="G95" s="360">
        <f t="shared" si="27"/>
        <v>0</v>
      </c>
      <c r="H95" s="361"/>
      <c r="I95" s="359">
        <f>SUMIF(保客营销考核!E:E,A95,保客营销考核!J:J)</f>
        <v>0</v>
      </c>
      <c r="J95" s="361">
        <f>SUMIF(服装扣款!D:D,综合考核!A95,服装扣款!R:R)</f>
        <v>0</v>
      </c>
      <c r="K95" s="360">
        <f t="shared" si="26"/>
        <v>0</v>
      </c>
      <c r="L95" s="360">
        <f>SUMIF('-月满意度考核'!C:C,综合考核!A95,'-月满意度考核'!J:J)</f>
        <v>0</v>
      </c>
      <c r="M95" s="370">
        <f t="shared" si="29"/>
        <v>0</v>
      </c>
      <c r="N95" s="371">
        <f t="shared" si="28"/>
        <v>0</v>
      </c>
      <c r="O95" s="372"/>
      <c r="P95" s="42">
        <f>SUMIF('05月提成-武侯售后'!C:C,综合考核!A95,'05月提成-武侯售后'!L:L)</f>
        <v>0</v>
      </c>
      <c r="Q95" s="373">
        <f t="shared" si="31"/>
        <v>0</v>
      </c>
      <c r="AI95" s="384"/>
      <c r="AJ95" s="384"/>
      <c r="AK95" s="384"/>
      <c r="AL95" s="384"/>
      <c r="AM95" s="384"/>
      <c r="AN95" s="384"/>
      <c r="AO95" s="384"/>
      <c r="AP95" s="384"/>
      <c r="AQ95" s="384"/>
      <c r="AR95" s="384"/>
      <c r="AS95" s="384"/>
      <c r="AT95" s="384"/>
      <c r="AU95" s="384"/>
    </row>
    <row r="96" spans="1:47" ht="26.1" customHeight="1">
      <c r="A96" s="357" t="str">
        <f>'05月提成-武侯售后'!C97</f>
        <v>章东</v>
      </c>
      <c r="B96" s="358">
        <f>SUMIF('6月配件'!K:K,综合考核!A96,'6月配件'!L:L)</f>
        <v>0</v>
      </c>
      <c r="C96" s="358">
        <f>SUMIF('6月配件'!K:K,A96,'6月配件'!M:M)</f>
        <v>0</v>
      </c>
      <c r="D96" s="358">
        <f>SUMIF('5月接送车'!D:D,综合考核!A96,'5月接送车'!E:E)</f>
        <v>0</v>
      </c>
      <c r="E96" s="369">
        <f>SUMIF('转介绍+留修奖励（已发现金）'!F:F,综合考核!A96,'转介绍+留修奖励（已发现金）'!H:H)+SUMIF('转介绍+留修奖励（已发现金）'!L:L,综合考核!A96,'转介绍+留修奖励（已发现金）'!M:M)++SUMIF('转介绍+留修奖励（已发现金）'!B:B,综合考核!A96,'转介绍+留修奖励（已发现金）'!C:C)</f>
        <v>0</v>
      </c>
      <c r="F96" s="360">
        <f>SUMIF(工作车救急!A:A,A96,工作车救急!B:B)</f>
        <v>0</v>
      </c>
      <c r="G96" s="360">
        <f t="shared" si="27"/>
        <v>0</v>
      </c>
      <c r="H96" s="361"/>
      <c r="I96" s="359">
        <f>SUMIF(保客营销考核!E:E,A96,保客营销考核!J:J)</f>
        <v>0</v>
      </c>
      <c r="J96" s="361">
        <f>SUMIF(服装扣款!D:D,综合考核!A96,服装扣款!R:R)</f>
        <v>0</v>
      </c>
      <c r="K96" s="360">
        <f t="shared" si="26"/>
        <v>0</v>
      </c>
      <c r="L96" s="360">
        <f>SUMIF('-月满意度考核'!C:C,综合考核!A96,'-月满意度考核'!J:J)</f>
        <v>0</v>
      </c>
      <c r="M96" s="370">
        <f t="shared" si="29"/>
        <v>0</v>
      </c>
      <c r="N96" s="371">
        <f t="shared" si="28"/>
        <v>0</v>
      </c>
      <c r="O96" s="372"/>
      <c r="Q96" s="373">
        <f t="shared" si="31"/>
        <v>0</v>
      </c>
      <c r="AI96" s="384"/>
      <c r="AJ96" s="384"/>
      <c r="AK96" s="384"/>
      <c r="AL96" s="384"/>
      <c r="AM96" s="384"/>
      <c r="AN96" s="384"/>
      <c r="AO96" s="384"/>
      <c r="AP96" s="384"/>
      <c r="AQ96" s="384"/>
      <c r="AR96" s="384"/>
      <c r="AS96" s="384"/>
      <c r="AT96" s="384"/>
      <c r="AU96" s="384"/>
    </row>
    <row r="97" spans="1:57" ht="26.1" customHeight="1">
      <c r="A97" s="357" t="str">
        <f>'05月提成-武侯售后'!C98</f>
        <v>冯波</v>
      </c>
      <c r="B97" s="358">
        <f>SUMIF('6月配件'!K:K,综合考核!A97,'6月配件'!L:L)</f>
        <v>0</v>
      </c>
      <c r="C97" s="358">
        <f>SUMIF('6月配件'!K:K,A97,'6月配件'!M:M)</f>
        <v>0</v>
      </c>
      <c r="D97" s="358">
        <f>SUMIF('5月接送车'!D:D,综合考核!A97,'5月接送车'!E:E)</f>
        <v>0</v>
      </c>
      <c r="E97" s="369">
        <f>SUMIF('转介绍+留修奖励（已发现金）'!F:F,综合考核!A97,'转介绍+留修奖励（已发现金）'!H:H)+SUMIF('转介绍+留修奖励（已发现金）'!L:L,综合考核!A97,'转介绍+留修奖励（已发现金）'!M:M)++SUMIF('转介绍+留修奖励（已发现金）'!B:B,综合考核!A97,'转介绍+留修奖励（已发现金）'!C:C)</f>
        <v>0</v>
      </c>
      <c r="F97" s="360">
        <f>SUMIF(工作车救急!A:A,A97,工作车救急!B:B)</f>
        <v>0</v>
      </c>
      <c r="G97" s="360">
        <f t="shared" si="27"/>
        <v>0</v>
      </c>
      <c r="H97" s="361"/>
      <c r="I97" s="359">
        <f>SUMIF(保客营销考核!E:E,A97,保客营销考核!J:J)</f>
        <v>0</v>
      </c>
      <c r="J97" s="361">
        <f>SUMIF(服装扣款!D:D,综合考核!A97,服装扣款!R:R)</f>
        <v>0</v>
      </c>
      <c r="K97" s="360">
        <f t="shared" si="26"/>
        <v>0</v>
      </c>
      <c r="L97" s="360">
        <f>SUMIF('-月满意度考核'!C:C,综合考核!A97,'-月满意度考核'!J:J)</f>
        <v>0</v>
      </c>
      <c r="M97" s="370">
        <f t="shared" si="29"/>
        <v>0</v>
      </c>
      <c r="N97" s="371">
        <f t="shared" si="28"/>
        <v>0</v>
      </c>
      <c r="O97" s="372"/>
      <c r="P97" s="42">
        <f>SUMIF('05月提成-武侯售后'!C:C,综合考核!A97,'05月提成-武侯售后'!L:L)</f>
        <v>0</v>
      </c>
      <c r="Q97" s="373">
        <f t="shared" si="31"/>
        <v>0</v>
      </c>
      <c r="AI97" s="384"/>
      <c r="AJ97" s="384"/>
      <c r="AK97" s="384"/>
      <c r="AL97" s="384"/>
      <c r="AM97" s="384"/>
      <c r="AN97" s="384"/>
      <c r="AO97" s="384"/>
      <c r="AP97" s="384"/>
      <c r="AQ97" s="384"/>
      <c r="AR97" s="384"/>
      <c r="AS97" s="384"/>
      <c r="AT97" s="384"/>
      <c r="AU97" s="384"/>
    </row>
    <row r="98" spans="1:57" ht="26.1" customHeight="1">
      <c r="A98" s="357" t="str">
        <f>'05月提成-武侯售后'!C99</f>
        <v>快修一组</v>
      </c>
      <c r="B98" s="358">
        <f>SUMIF('6月配件'!K:K,综合考核!A98,'6月配件'!L:L)</f>
        <v>0</v>
      </c>
      <c r="C98" s="358">
        <f>SUMIF('6月配件'!K:K,A98,'6月配件'!M:M)</f>
        <v>0</v>
      </c>
      <c r="D98" s="358">
        <f>SUMIF('5月接送车'!D:D,综合考核!A98,'5月接送车'!E:E)</f>
        <v>0</v>
      </c>
      <c r="E98" s="369">
        <f>SUMIF('转介绍+留修奖励（已发现金）'!F:F,综合考核!A98,'转介绍+留修奖励（已发现金）'!H:H)+SUMIF('转介绍+留修奖励（已发现金）'!L:L,综合考核!A98,'转介绍+留修奖励（已发现金）'!M:M)++SUMIF('转介绍+留修奖励（已发现金）'!B:B,综合考核!A98,'转介绍+留修奖励（已发现金）'!C:C)</f>
        <v>0</v>
      </c>
      <c r="F98" s="360">
        <f>SUMIF(工作车救急!A:A,A98,工作车救急!B:B)</f>
        <v>0</v>
      </c>
      <c r="G98" s="360">
        <f t="shared" si="27"/>
        <v>0</v>
      </c>
      <c r="H98" s="361"/>
      <c r="I98" s="359">
        <f>SUMIF(保客营销考核!E:E,A98,保客营销考核!J:J)</f>
        <v>0</v>
      </c>
      <c r="J98" s="361">
        <f>SUMIF(服装扣款!D:D,综合考核!A98,服装扣款!R:R)</f>
        <v>0</v>
      </c>
      <c r="K98" s="360">
        <f t="shared" ref="K98:K119" si="33">SUMIF(S:S,A98,Y:Y)</f>
        <v>0</v>
      </c>
      <c r="L98" s="360">
        <f>SUMIF('-月满意度考核'!C:C,综合考核!A98,'-月满意度考核'!J:J)</f>
        <v>0</v>
      </c>
      <c r="M98" s="370">
        <f t="shared" si="29"/>
        <v>0</v>
      </c>
      <c r="N98" s="371">
        <f t="shared" si="28"/>
        <v>0</v>
      </c>
      <c r="O98" s="372"/>
      <c r="Q98" s="373">
        <f t="shared" si="31"/>
        <v>0</v>
      </c>
      <c r="AI98" s="384"/>
      <c r="AJ98" s="384"/>
      <c r="AK98" s="384"/>
      <c r="AL98" s="384"/>
      <c r="AM98" s="384"/>
      <c r="AN98" s="384"/>
      <c r="AO98" s="384"/>
      <c r="AP98" s="384"/>
      <c r="AQ98" s="384"/>
      <c r="AR98" s="384"/>
      <c r="AS98" s="384"/>
      <c r="AT98" s="384"/>
      <c r="AU98" s="384"/>
    </row>
    <row r="99" spans="1:57" ht="26.1" customHeight="1">
      <c r="A99" s="357" t="str">
        <f>'05月提成-武侯售后'!C100</f>
        <v>周俊宏</v>
      </c>
      <c r="B99" s="358">
        <f>SUMIF('6月配件'!K:K,综合考核!A99,'6月配件'!L:L)</f>
        <v>0</v>
      </c>
      <c r="C99" s="358">
        <f>SUMIF('6月配件'!K:K,A99,'6月配件'!M:M)</f>
        <v>0</v>
      </c>
      <c r="D99" s="358">
        <f>SUMIF('5月接送车'!D:D,综合考核!A99,'5月接送车'!E:E)</f>
        <v>0</v>
      </c>
      <c r="E99" s="369">
        <f>SUMIF('转介绍+留修奖励（已发现金）'!F:F,综合考核!A99,'转介绍+留修奖励（已发现金）'!H:H)+SUMIF('转介绍+留修奖励（已发现金）'!L:L,综合考核!A99,'转介绍+留修奖励（已发现金）'!M:M)++SUMIF('转介绍+留修奖励（已发现金）'!B:B,综合考核!A99,'转介绍+留修奖励（已发现金）'!C:C)</f>
        <v>0</v>
      </c>
      <c r="F99" s="360">
        <f>SUMIF(工作车救急!A:A,A99,工作车救急!B:B)</f>
        <v>0</v>
      </c>
      <c r="G99" s="360">
        <f t="shared" si="27"/>
        <v>0</v>
      </c>
      <c r="H99" s="361"/>
      <c r="I99" s="359">
        <f>SUMIF(保客营销考核!E:E,A99,保客营销考核!J:J)</f>
        <v>0</v>
      </c>
      <c r="J99" s="361">
        <f>SUMIF(服装扣款!D:D,综合考核!A99,服装扣款!R:R)</f>
        <v>0</v>
      </c>
      <c r="K99" s="360">
        <f t="shared" si="33"/>
        <v>0</v>
      </c>
      <c r="L99" s="360">
        <f>SUMIF('-月满意度考核'!C:C,综合考核!A99,'-月满意度考核'!J:J)</f>
        <v>0</v>
      </c>
      <c r="M99" s="370">
        <f t="shared" si="29"/>
        <v>0</v>
      </c>
      <c r="N99" s="371">
        <f t="shared" si="28"/>
        <v>0</v>
      </c>
      <c r="O99" s="372"/>
      <c r="P99" s="42">
        <f>SUMIF('05月提成-武侯售后'!C:C,综合考核!A99,'05月提成-武侯售后'!L:L)</f>
        <v>0</v>
      </c>
      <c r="Q99" s="373">
        <f t="shared" si="31"/>
        <v>0</v>
      </c>
      <c r="AI99" s="384"/>
      <c r="AJ99" s="384"/>
      <c r="AK99" s="384"/>
      <c r="AL99" s="384"/>
      <c r="AM99" s="384"/>
      <c r="AN99" s="384"/>
      <c r="AO99" s="384"/>
      <c r="AP99" s="384"/>
      <c r="AQ99" s="384"/>
      <c r="AR99" s="384"/>
      <c r="AS99" s="384"/>
      <c r="AT99" s="384"/>
      <c r="AU99" s="384"/>
    </row>
    <row r="100" spans="1:57" ht="26.1" customHeight="1">
      <c r="A100" s="357" t="str">
        <f>'05月提成-武侯售后'!C101</f>
        <v>机电十组</v>
      </c>
      <c r="B100" s="358">
        <f>SUMIF('6月配件'!K:K,综合考核!A100,'6月配件'!L:L)</f>
        <v>0</v>
      </c>
      <c r="C100" s="358">
        <f>SUMIF('6月配件'!K:K,A100,'6月配件'!M:M)</f>
        <v>0</v>
      </c>
      <c r="D100" s="358">
        <f>SUMIF('5月接送车'!D:D,综合考核!A100,'5月接送车'!E:E)</f>
        <v>0</v>
      </c>
      <c r="E100" s="369">
        <f>SUMIF('转介绍+留修奖励（已发现金）'!F:F,综合考核!A100,'转介绍+留修奖励（已发现金）'!H:H)+SUMIF('转介绍+留修奖励（已发现金）'!L:L,综合考核!A100,'转介绍+留修奖励（已发现金）'!M:M)++SUMIF('转介绍+留修奖励（已发现金）'!B:B,综合考核!A100,'转介绍+留修奖励（已发现金）'!C:C)</f>
        <v>0</v>
      </c>
      <c r="F100" s="360">
        <f>SUMIF(工作车救急!A:A,A100,工作车救急!B:B)</f>
        <v>0</v>
      </c>
      <c r="G100" s="360">
        <f t="shared" si="27"/>
        <v>0</v>
      </c>
      <c r="H100" s="361"/>
      <c r="I100" s="359">
        <f>SUMIF(保客营销考核!E:E,A100,保客营销考核!J:J)</f>
        <v>0</v>
      </c>
      <c r="J100" s="361">
        <f>SUMIF(服装扣款!D:D,综合考核!A100,服装扣款!R:R)</f>
        <v>0</v>
      </c>
      <c r="K100" s="360">
        <f t="shared" si="33"/>
        <v>0</v>
      </c>
      <c r="L100" s="360">
        <f>SUMIF('-月满意度考核'!C:C,综合考核!A100,'-月满意度考核'!J:J)</f>
        <v>0</v>
      </c>
      <c r="M100" s="370">
        <f t="shared" si="29"/>
        <v>0</v>
      </c>
      <c r="N100" s="371">
        <f t="shared" si="28"/>
        <v>0</v>
      </c>
      <c r="O100" s="372"/>
      <c r="P100" s="42">
        <f>SUMIF('05月提成-武侯售后'!C:C,综合考核!A100,'05月提成-武侯售后'!L:L)</f>
        <v>0</v>
      </c>
      <c r="Q100" s="373">
        <f t="shared" si="31"/>
        <v>0</v>
      </c>
      <c r="AI100" s="384"/>
      <c r="AJ100" s="384"/>
      <c r="AK100" s="384"/>
      <c r="AL100" s="384"/>
      <c r="AM100" s="384"/>
      <c r="AN100" s="384"/>
      <c r="AO100" s="384"/>
      <c r="AP100" s="384"/>
      <c r="AQ100" s="384"/>
      <c r="AR100" s="384"/>
      <c r="AS100" s="384"/>
      <c r="AT100" s="384"/>
      <c r="AU100" s="384"/>
    </row>
    <row r="101" spans="1:57" s="43" customFormat="1" ht="26.1" customHeight="1">
      <c r="A101" s="357" t="str">
        <f>'05月提成-武侯售后'!C102</f>
        <v>易林江</v>
      </c>
      <c r="B101" s="358">
        <f>SUMIF('6月配件'!K:K,综合考核!A101,'6月配件'!L:L)</f>
        <v>0</v>
      </c>
      <c r="C101" s="358">
        <f>SUMIF('6月配件'!K:K,A101,'6月配件'!M:M)</f>
        <v>0</v>
      </c>
      <c r="D101" s="358">
        <f>SUMIF('5月接送车'!D:D,综合考核!A101,'5月接送车'!E:E)</f>
        <v>0</v>
      </c>
      <c r="E101" s="369">
        <f>SUMIF('转介绍+留修奖励（已发现金）'!F:F,综合考核!A101,'转介绍+留修奖励（已发现金）'!H:H)+SUMIF('转介绍+留修奖励（已发现金）'!L:L,综合考核!A101,'转介绍+留修奖励（已发现金）'!M:M)++SUMIF('转介绍+留修奖励（已发现金）'!B:B,综合考核!A101,'转介绍+留修奖励（已发现金）'!C:C)</f>
        <v>0</v>
      </c>
      <c r="F101" s="361">
        <f>SUMIF(工作车救急!A:A,A101,工作车救急!B:B)</f>
        <v>0</v>
      </c>
      <c r="G101" s="360">
        <f t="shared" ref="G101:G132" si="34">SUMIF(AJ:AJ,A101,AV:AV)</f>
        <v>0</v>
      </c>
      <c r="H101" s="361"/>
      <c r="I101" s="359">
        <f>SUMIF(保客营销考核!E:E,A101,保客营销考核!J:J)</f>
        <v>0</v>
      </c>
      <c r="J101" s="361">
        <f>SUMIF(服装扣款!D:D,综合考核!A101,服装扣款!R:R)</f>
        <v>0</v>
      </c>
      <c r="K101" s="360">
        <f t="shared" si="33"/>
        <v>0</v>
      </c>
      <c r="L101" s="361">
        <f>SUMIF('-月满意度考核'!C:C,综合考核!A101,'-月满意度考核'!J:J)</f>
        <v>0</v>
      </c>
      <c r="M101" s="370">
        <f t="shared" si="29"/>
        <v>0</v>
      </c>
      <c r="N101" s="371">
        <f t="shared" si="28"/>
        <v>0</v>
      </c>
      <c r="O101" s="432"/>
      <c r="P101" s="42"/>
      <c r="Q101" s="373">
        <f t="shared" si="31"/>
        <v>0</v>
      </c>
      <c r="U101" s="351"/>
      <c r="AE101" s="42"/>
      <c r="AF101" s="42"/>
      <c r="AG101" s="42"/>
      <c r="AH101" s="42"/>
      <c r="AI101" s="384"/>
      <c r="AJ101" s="384"/>
      <c r="AK101" s="384"/>
      <c r="AL101" s="384"/>
      <c r="AM101" s="384"/>
      <c r="AN101" s="384"/>
      <c r="AO101" s="384"/>
      <c r="AP101" s="384"/>
      <c r="AQ101" s="384"/>
      <c r="AR101" s="384"/>
      <c r="AS101" s="384"/>
      <c r="AT101" s="384"/>
      <c r="AU101" s="384"/>
      <c r="AX101" s="232"/>
      <c r="AY101" s="351"/>
      <c r="AZ101" s="351"/>
      <c r="BA101" s="351"/>
      <c r="BB101" s="351"/>
      <c r="BC101" s="351"/>
      <c r="BD101" s="351"/>
      <c r="BE101" s="351"/>
    </row>
    <row r="102" spans="1:57" ht="26.1" customHeight="1">
      <c r="A102" s="357" t="str">
        <f>'05月提成-武侯售后'!C103</f>
        <v>罗烽</v>
      </c>
      <c r="B102" s="358">
        <f>SUMIF('6月配件'!K:K,综合考核!A102,'6月配件'!L:L)</f>
        <v>0</v>
      </c>
      <c r="C102" s="358">
        <f>SUMIF('6月配件'!K:K,A102,'6月配件'!M:M)</f>
        <v>0</v>
      </c>
      <c r="D102" s="358">
        <f>SUMIF('5月接送车'!D:D,综合考核!A102,'5月接送车'!E:E)</f>
        <v>0</v>
      </c>
      <c r="E102" s="369">
        <f>SUMIF('转介绍+留修奖励（已发现金）'!F:F,综合考核!A102,'转介绍+留修奖励（已发现金）'!H:H)+SUMIF('转介绍+留修奖励（已发现金）'!L:L,综合考核!A102,'转介绍+留修奖励（已发现金）'!M:M)++SUMIF('转介绍+留修奖励（已发现金）'!B:B,综合考核!A102,'转介绍+留修奖励（已发现金）'!C:C)</f>
        <v>0</v>
      </c>
      <c r="F102" s="360">
        <f>SUMIF(工作车救急!A:A,A102,工作车救急!B:B)</f>
        <v>0</v>
      </c>
      <c r="G102" s="360">
        <f t="shared" si="34"/>
        <v>0</v>
      </c>
      <c r="H102" s="361"/>
      <c r="I102" s="359">
        <f>SUMIF(保客营销考核!E:E,A102,保客营销考核!J:J)</f>
        <v>0</v>
      </c>
      <c r="J102" s="361">
        <f>SUMIF(服装扣款!D:D,综合考核!A102,服装扣款!R:R)</f>
        <v>0</v>
      </c>
      <c r="K102" s="360">
        <f t="shared" si="33"/>
        <v>0</v>
      </c>
      <c r="L102" s="360">
        <f>SUMIF('-月满意度考核'!C:C,综合考核!A102,'-月满意度考核'!J:J)</f>
        <v>0</v>
      </c>
      <c r="M102" s="370">
        <f t="shared" si="29"/>
        <v>0</v>
      </c>
      <c r="N102" s="371">
        <f t="shared" si="28"/>
        <v>0</v>
      </c>
      <c r="O102" s="372"/>
      <c r="P102" s="42">
        <f>SUMIF('05月提成-武侯售后'!C:C,综合考核!A102,'05月提成-武侯售后'!L:L)</f>
        <v>0</v>
      </c>
      <c r="Q102" s="373">
        <f t="shared" si="31"/>
        <v>0</v>
      </c>
      <c r="AI102" s="384"/>
      <c r="AJ102" s="384"/>
      <c r="AK102" s="384"/>
      <c r="AL102" s="384"/>
      <c r="AM102" s="384"/>
      <c r="AN102" s="384"/>
      <c r="AO102" s="384"/>
      <c r="AP102" s="384"/>
      <c r="AQ102" s="384"/>
      <c r="AR102" s="384"/>
      <c r="AS102" s="384"/>
      <c r="AT102" s="384"/>
      <c r="AU102" s="384"/>
      <c r="AX102" s="351"/>
    </row>
    <row r="103" spans="1:57" ht="26.1" customHeight="1">
      <c r="A103" s="357" t="str">
        <f>'05月提成-武侯售后'!C104</f>
        <v>王浩宇</v>
      </c>
      <c r="B103" s="358">
        <f>SUMIF('6月配件'!K:K,综合考核!A103,'6月配件'!L:L)</f>
        <v>0</v>
      </c>
      <c r="C103" s="358">
        <f>SUMIF('6月配件'!K:K,A103,'6月配件'!M:M)</f>
        <v>0</v>
      </c>
      <c r="D103" s="358">
        <f>SUMIF('5月接送车'!D:D,综合考核!A103,'5月接送车'!E:E)</f>
        <v>0</v>
      </c>
      <c r="E103" s="369">
        <f>SUMIF('转介绍+留修奖励（已发现金）'!F:F,综合考核!A103,'转介绍+留修奖励（已发现金）'!H:H)+SUMIF('转介绍+留修奖励（已发现金）'!L:L,综合考核!A103,'转介绍+留修奖励（已发现金）'!M:M)++SUMIF('转介绍+留修奖励（已发现金）'!B:B,综合考核!A103,'转介绍+留修奖励（已发现金）'!C:C)</f>
        <v>0</v>
      </c>
      <c r="F103" s="360">
        <f>SUMIF(工作车救急!A:A,A103,工作车救急!B:B)</f>
        <v>0</v>
      </c>
      <c r="G103" s="360">
        <f t="shared" si="34"/>
        <v>0</v>
      </c>
      <c r="H103" s="361"/>
      <c r="I103" s="359">
        <f>SUMIF(保客营销考核!E:E,A103,保客营销考核!J:J)</f>
        <v>0</v>
      </c>
      <c r="J103" s="361">
        <f>SUMIF(服装扣款!D:D,综合考核!A103,服装扣款!R:R)</f>
        <v>0</v>
      </c>
      <c r="K103" s="360">
        <f t="shared" si="33"/>
        <v>0</v>
      </c>
      <c r="L103" s="360">
        <f>SUMIF('-月满意度考核'!C:C,综合考核!A103,'-月满意度考核'!J:J)</f>
        <v>0</v>
      </c>
      <c r="M103" s="370">
        <f t="shared" si="29"/>
        <v>0</v>
      </c>
      <c r="N103" s="371">
        <f t="shared" si="28"/>
        <v>0</v>
      </c>
      <c r="O103" s="372"/>
      <c r="P103" s="42">
        <f>SUMIF('05月提成-武侯售后'!C:C,综合考核!A103,'05月提成-武侯售后'!L:L)</f>
        <v>0</v>
      </c>
      <c r="Q103" s="373">
        <f t="shared" si="31"/>
        <v>0</v>
      </c>
      <c r="AI103" s="384"/>
      <c r="AJ103" s="384"/>
      <c r="AK103" s="384"/>
      <c r="AL103" s="384"/>
      <c r="AM103" s="384"/>
      <c r="AN103" s="384"/>
      <c r="AO103" s="384"/>
      <c r="AP103" s="384"/>
      <c r="AQ103" s="384"/>
      <c r="AR103" s="384"/>
      <c r="AS103" s="384"/>
      <c r="AT103" s="384"/>
      <c r="AU103" s="384"/>
    </row>
    <row r="104" spans="1:57" ht="26.1" customHeight="1">
      <c r="A104" s="357" t="str">
        <f>'05月提成-武侯售后'!C105</f>
        <v>机修十一组</v>
      </c>
      <c r="B104" s="358">
        <f>SUMIF('6月配件'!K:K,综合考核!A104,'6月配件'!L:L)</f>
        <v>0</v>
      </c>
      <c r="C104" s="358">
        <f>SUMIF('6月配件'!K:K,A104,'6月配件'!M:M)</f>
        <v>0</v>
      </c>
      <c r="D104" s="358">
        <f>SUMIF('5月接送车'!D:D,综合考核!A104,'5月接送车'!E:E)</f>
        <v>0</v>
      </c>
      <c r="E104" s="369">
        <f>SUMIF('转介绍+留修奖励（已发现金）'!F:F,综合考核!A104,'转介绍+留修奖励（已发现金）'!H:H)+SUMIF('转介绍+留修奖励（已发现金）'!L:L,综合考核!A104,'转介绍+留修奖励（已发现金）'!M:M)++SUMIF('转介绍+留修奖励（已发现金）'!B:B,综合考核!A104,'转介绍+留修奖励（已发现金）'!C:C)</f>
        <v>0</v>
      </c>
      <c r="F104" s="360">
        <f>SUMIF(工作车救急!A:A,A104,工作车救急!B:B)</f>
        <v>0</v>
      </c>
      <c r="G104" s="360">
        <f t="shared" si="34"/>
        <v>0</v>
      </c>
      <c r="H104" s="361"/>
      <c r="I104" s="359">
        <f>SUMIF(保客营销考核!E:E,A104,保客营销考核!J:J)</f>
        <v>0</v>
      </c>
      <c r="J104" s="361">
        <f>SUMIF(服装扣款!D:D,综合考核!A104,服装扣款!R:R)</f>
        <v>0</v>
      </c>
      <c r="K104" s="360">
        <f t="shared" si="33"/>
        <v>0</v>
      </c>
      <c r="L104" s="360">
        <f>SUMIF('-月满意度考核'!C:C,综合考核!A104,'-月满意度考核'!J:J)</f>
        <v>0</v>
      </c>
      <c r="M104" s="370">
        <f t="shared" si="29"/>
        <v>0</v>
      </c>
      <c r="N104" s="371">
        <f t="shared" si="28"/>
        <v>0</v>
      </c>
      <c r="O104" s="372"/>
      <c r="Q104" s="373">
        <f t="shared" si="31"/>
        <v>0</v>
      </c>
      <c r="AI104" s="384"/>
      <c r="AJ104" s="384"/>
      <c r="AK104" s="384"/>
      <c r="AL104" s="384"/>
      <c r="AM104" s="384"/>
      <c r="AN104" s="384"/>
      <c r="AO104" s="384"/>
      <c r="AP104" s="384"/>
      <c r="AQ104" s="384"/>
      <c r="AR104" s="384"/>
      <c r="AS104" s="384"/>
      <c r="AT104" s="384"/>
      <c r="AU104" s="384"/>
    </row>
    <row r="105" spans="1:57" ht="26.1" customHeight="1">
      <c r="A105" s="357" t="str">
        <f>'05月提成-武侯售后'!C106</f>
        <v>王鹏</v>
      </c>
      <c r="B105" s="358">
        <f>SUMIF('6月配件'!K:K,综合考核!A105,'6月配件'!L:L)</f>
        <v>0</v>
      </c>
      <c r="C105" s="358">
        <f>SUMIF('6月配件'!K:K,A105,'6月配件'!M:M)</f>
        <v>0</v>
      </c>
      <c r="D105" s="358">
        <f>SUMIF('5月接送车'!D:D,综合考核!A105,'5月接送车'!E:E)</f>
        <v>0</v>
      </c>
      <c r="E105" s="369">
        <f>SUMIF('转介绍+留修奖励（已发现金）'!F:F,综合考核!A105,'转介绍+留修奖励（已发现金）'!H:H)+SUMIF('转介绍+留修奖励（已发现金）'!L:L,综合考核!A105,'转介绍+留修奖励（已发现金）'!M:M)++SUMIF('转介绍+留修奖励（已发现金）'!B:B,综合考核!A105,'转介绍+留修奖励（已发现金）'!C:C)</f>
        <v>0</v>
      </c>
      <c r="F105" s="360">
        <f>SUMIF(工作车救急!A:A,A105,工作车救急!B:B)</f>
        <v>0</v>
      </c>
      <c r="G105" s="360">
        <f t="shared" si="34"/>
        <v>0</v>
      </c>
      <c r="H105" s="361"/>
      <c r="I105" s="359">
        <f>SUMIF(保客营销考核!E:E,A105,保客营销考核!J:J)</f>
        <v>0</v>
      </c>
      <c r="J105" s="361">
        <f>SUMIF(服装扣款!D:D,综合考核!A105,服装扣款!R:R)</f>
        <v>0</v>
      </c>
      <c r="K105" s="360">
        <f t="shared" si="33"/>
        <v>0</v>
      </c>
      <c r="L105" s="360">
        <f>SUMIF('-月满意度考核'!C:C,综合考核!A105,'-月满意度考核'!J:J)</f>
        <v>0</v>
      </c>
      <c r="M105" s="370">
        <f t="shared" si="29"/>
        <v>0</v>
      </c>
      <c r="N105" s="371">
        <f t="shared" si="28"/>
        <v>0</v>
      </c>
      <c r="O105" s="372"/>
      <c r="P105" s="42">
        <f>SUMIF('05月提成-武侯售后'!C:C,综合考核!A105,'05月提成-武侯售后'!L:L)</f>
        <v>0</v>
      </c>
      <c r="Q105" s="373">
        <f t="shared" si="31"/>
        <v>0</v>
      </c>
      <c r="AI105" s="384"/>
      <c r="AJ105" s="384"/>
      <c r="AK105" s="384"/>
      <c r="AL105" s="384"/>
      <c r="AM105" s="384"/>
      <c r="AN105" s="384"/>
      <c r="AO105" s="384"/>
      <c r="AP105" s="384"/>
      <c r="AQ105" s="384"/>
      <c r="AR105" s="384"/>
      <c r="AS105" s="384"/>
      <c r="AT105" s="384"/>
      <c r="AU105" s="384"/>
    </row>
    <row r="106" spans="1:57" ht="26.1" customHeight="1">
      <c r="A106" s="357" t="str">
        <f>'05月提成-武侯售后'!C107</f>
        <v>机修十二组</v>
      </c>
      <c r="B106" s="358">
        <f>SUMIF('6月配件'!K:K,综合考核!A106,'6月配件'!L:L)</f>
        <v>0</v>
      </c>
      <c r="C106" s="358">
        <f>SUMIF('6月配件'!K:K,A106,'6月配件'!M:M)</f>
        <v>0</v>
      </c>
      <c r="D106" s="358">
        <f>SUMIF('5月接送车'!D:D,综合考核!A106,'5月接送车'!E:E)</f>
        <v>0</v>
      </c>
      <c r="E106" s="369">
        <f>SUMIF('转介绍+留修奖励（已发现金）'!F:F,综合考核!A106,'转介绍+留修奖励（已发现金）'!H:H)+SUMIF('转介绍+留修奖励（已发现金）'!L:L,综合考核!A106,'转介绍+留修奖励（已发现金）'!M:M)++SUMIF('转介绍+留修奖励（已发现金）'!B:B,综合考核!A106,'转介绍+留修奖励（已发现金）'!C:C)</f>
        <v>0</v>
      </c>
      <c r="F106" s="360">
        <f>SUMIF(工作车救急!A:A,A106,工作车救急!B:B)</f>
        <v>0</v>
      </c>
      <c r="G106" s="360">
        <f t="shared" si="34"/>
        <v>0</v>
      </c>
      <c r="H106" s="361"/>
      <c r="I106" s="359">
        <f>SUMIF(保客营销考核!E:E,A106,保客营销考核!J:J)</f>
        <v>0</v>
      </c>
      <c r="J106" s="361">
        <f>SUMIF(服装扣款!D:D,综合考核!A106,服装扣款!R:R)</f>
        <v>0</v>
      </c>
      <c r="K106" s="360">
        <f t="shared" si="33"/>
        <v>0</v>
      </c>
      <c r="L106" s="360">
        <f>SUMIF('-月满意度考核'!C:C,综合考核!A106,'-月满意度考核'!J:J)</f>
        <v>0</v>
      </c>
      <c r="M106" s="370">
        <f t="shared" si="29"/>
        <v>0</v>
      </c>
      <c r="N106" s="371">
        <f t="shared" si="28"/>
        <v>0</v>
      </c>
      <c r="O106" s="372"/>
      <c r="P106" s="42">
        <f>SUMIF('05月提成-武侯售后'!C:C,综合考核!A106,'05月提成-武侯售后'!L:L)</f>
        <v>0</v>
      </c>
      <c r="Q106" s="373">
        <f t="shared" si="31"/>
        <v>0</v>
      </c>
      <c r="AI106" s="384"/>
      <c r="AJ106" s="384"/>
      <c r="AK106" s="384"/>
      <c r="AL106" s="384"/>
      <c r="AM106" s="384"/>
      <c r="AN106" s="384"/>
      <c r="AO106" s="384"/>
      <c r="AP106" s="384"/>
      <c r="AQ106" s="384"/>
      <c r="AR106" s="384"/>
      <c r="AS106" s="384"/>
      <c r="AT106" s="384"/>
      <c r="AU106" s="384"/>
    </row>
    <row r="107" spans="1:57" ht="26.1" customHeight="1">
      <c r="A107" s="357" t="str">
        <f>'05月提成-武侯售后'!C108</f>
        <v>刘玳琳</v>
      </c>
      <c r="B107" s="358">
        <f>SUMIF('6月配件'!K:K,综合考核!A107,'6月配件'!L:L)</f>
        <v>0</v>
      </c>
      <c r="C107" s="358">
        <f>SUMIF('6月配件'!K:K,A107,'6月配件'!M:M)</f>
        <v>0</v>
      </c>
      <c r="D107" s="358">
        <f>SUMIF('5月接送车'!D:D,综合考核!A107,'5月接送车'!E:E)</f>
        <v>0</v>
      </c>
      <c r="E107" s="369">
        <f>SUMIF('转介绍+留修奖励（已发现金）'!F:F,综合考核!A107,'转介绍+留修奖励（已发现金）'!H:H)+SUMIF('转介绍+留修奖励（已发现金）'!L:L,综合考核!A107,'转介绍+留修奖励（已发现金）'!M:M)++SUMIF('转介绍+留修奖励（已发现金）'!B:B,综合考核!A107,'转介绍+留修奖励（已发现金）'!C:C)</f>
        <v>0</v>
      </c>
      <c r="F107" s="360">
        <f>SUMIF(工作车救急!A:A,A107,工作车救急!B:B)</f>
        <v>0</v>
      </c>
      <c r="G107" s="360">
        <f t="shared" si="34"/>
        <v>0</v>
      </c>
      <c r="H107" s="361"/>
      <c r="I107" s="359">
        <f>SUMIF(保客营销考核!E:E,A107,保客营销考核!J:J)</f>
        <v>0</v>
      </c>
      <c r="J107" s="361">
        <f>SUMIF(服装扣款!D:D,综合考核!A107,服装扣款!R:R)</f>
        <v>0</v>
      </c>
      <c r="K107" s="360">
        <f t="shared" si="33"/>
        <v>0</v>
      </c>
      <c r="L107" s="360">
        <f>SUMIF('-月满意度考核'!C:C,综合考核!A107,'-月满意度考核'!J:J)</f>
        <v>0</v>
      </c>
      <c r="M107" s="370">
        <f t="shared" si="29"/>
        <v>0</v>
      </c>
      <c r="N107" s="371">
        <f t="shared" si="28"/>
        <v>0</v>
      </c>
      <c r="O107" s="372"/>
      <c r="P107" s="42">
        <f>SUMIF('05月提成-武侯售后'!C:C,综合考核!A107,'05月提成-武侯售后'!L:L)</f>
        <v>0</v>
      </c>
      <c r="Q107" s="373">
        <f t="shared" si="31"/>
        <v>0</v>
      </c>
      <c r="AI107" s="384"/>
      <c r="AJ107" s="384"/>
      <c r="AK107" s="384"/>
      <c r="AL107" s="384"/>
      <c r="AM107" s="384"/>
      <c r="AN107" s="384"/>
      <c r="AO107" s="384"/>
      <c r="AP107" s="384"/>
      <c r="AQ107" s="384"/>
      <c r="AR107" s="384"/>
      <c r="AS107" s="384"/>
      <c r="AT107" s="384"/>
      <c r="AU107" s="384"/>
    </row>
    <row r="108" spans="1:57" ht="26.1" customHeight="1">
      <c r="A108" s="357" t="str">
        <f>'05月提成-武侯售后'!C109</f>
        <v>赵廷宇</v>
      </c>
      <c r="B108" s="358">
        <f>SUMIF('6月配件'!K:K,综合考核!A108,'6月配件'!L:L)</f>
        <v>0</v>
      </c>
      <c r="C108" s="358">
        <f>SUMIF('6月配件'!K:K,A108,'6月配件'!M:M)</f>
        <v>0</v>
      </c>
      <c r="D108" s="358">
        <f>SUMIF('5月接送车'!D:D,综合考核!A108,'5月接送车'!E:E)</f>
        <v>0</v>
      </c>
      <c r="E108" s="369">
        <f>SUMIF('转介绍+留修奖励（已发现金）'!F:F,综合考核!A108,'转介绍+留修奖励（已发现金）'!H:H)+SUMIF('转介绍+留修奖励（已发现金）'!L:L,综合考核!A108,'转介绍+留修奖励（已发现金）'!M:M)++SUMIF('转介绍+留修奖励（已发现金）'!B:B,综合考核!A108,'转介绍+留修奖励（已发现金）'!C:C)</f>
        <v>0</v>
      </c>
      <c r="F108" s="360">
        <f>SUMIF(工作车救急!A:A,A108,工作车救急!B:B)</f>
        <v>0</v>
      </c>
      <c r="G108" s="360">
        <f t="shared" si="34"/>
        <v>0</v>
      </c>
      <c r="H108" s="361"/>
      <c r="I108" s="359">
        <f>SUMIF(保客营销考核!E:E,A108,保客营销考核!J:J)</f>
        <v>0</v>
      </c>
      <c r="J108" s="361">
        <f>SUMIF(服装扣款!D:D,综合考核!A108,服装扣款!R:R)</f>
        <v>0</v>
      </c>
      <c r="K108" s="360">
        <f t="shared" si="33"/>
        <v>0</v>
      </c>
      <c r="L108" s="360">
        <f>SUMIF('-月满意度考核'!C:C,综合考核!A108,'-月满意度考核'!J:J)</f>
        <v>0</v>
      </c>
      <c r="M108" s="370">
        <f t="shared" si="29"/>
        <v>0</v>
      </c>
      <c r="N108" s="371">
        <f t="shared" si="28"/>
        <v>0</v>
      </c>
      <c r="O108" s="372"/>
      <c r="Q108" s="373">
        <f t="shared" si="31"/>
        <v>0</v>
      </c>
      <c r="AI108" s="384"/>
      <c r="AJ108" s="384"/>
      <c r="AK108" s="384"/>
      <c r="AL108" s="384"/>
      <c r="AM108" s="384"/>
      <c r="AN108" s="384"/>
      <c r="AO108" s="384"/>
      <c r="AP108" s="384"/>
      <c r="AQ108" s="384"/>
      <c r="AR108" s="384"/>
      <c r="AS108" s="384"/>
      <c r="AT108" s="384"/>
      <c r="AU108" s="384"/>
    </row>
    <row r="109" spans="1:57" ht="26.1" customHeight="1">
      <c r="A109" s="357" t="str">
        <f>'05月提成-武侯售后'!C110</f>
        <v>邓尚明</v>
      </c>
      <c r="B109" s="358">
        <f>SUMIF('6月配件'!K:K,综合考核!A109,'6月配件'!L:L)</f>
        <v>0</v>
      </c>
      <c r="C109" s="358">
        <f>SUMIF('6月配件'!K:K,A109,'6月配件'!M:M)</f>
        <v>0</v>
      </c>
      <c r="D109" s="358">
        <f>SUMIF('5月接送车'!D:D,综合考核!A109,'5月接送车'!E:E)</f>
        <v>0</v>
      </c>
      <c r="E109" s="369">
        <f>SUMIF('转介绍+留修奖励（已发现金）'!F:F,综合考核!A109,'转介绍+留修奖励（已发现金）'!H:H)+SUMIF('转介绍+留修奖励（已发现金）'!L:L,综合考核!A109,'转介绍+留修奖励（已发现金）'!M:M)++SUMIF('转介绍+留修奖励（已发现金）'!B:B,综合考核!A109,'转介绍+留修奖励（已发现金）'!C:C)</f>
        <v>0</v>
      </c>
      <c r="F109" s="360">
        <f>SUMIF(工作车救急!A:A,A109,工作车救急!B:B)</f>
        <v>0</v>
      </c>
      <c r="G109" s="360">
        <f t="shared" si="34"/>
        <v>0</v>
      </c>
      <c r="H109" s="361"/>
      <c r="I109" s="359">
        <f>SUMIF(保客营销考核!E:E,A109,保客营销考核!J:J)</f>
        <v>0</v>
      </c>
      <c r="J109" s="361">
        <f>SUMIF(服装扣款!D:D,综合考核!A109,服装扣款!R:R)</f>
        <v>0</v>
      </c>
      <c r="K109" s="360">
        <f t="shared" si="33"/>
        <v>0</v>
      </c>
      <c r="L109" s="360">
        <f>SUMIF('-月满意度考核'!C:C,综合考核!A109,'-月满意度考核'!J:J)</f>
        <v>0</v>
      </c>
      <c r="M109" s="370">
        <f t="shared" si="29"/>
        <v>0</v>
      </c>
      <c r="N109" s="371">
        <f t="shared" si="28"/>
        <v>0</v>
      </c>
      <c r="O109" s="372"/>
      <c r="P109" s="42">
        <f>SUMIF('05月提成-武侯售后'!C:C,综合考核!A109,'05月提成-武侯售后'!L:L)</f>
        <v>0</v>
      </c>
      <c r="Q109" s="373">
        <f t="shared" si="31"/>
        <v>0</v>
      </c>
      <c r="AI109" s="384"/>
      <c r="AJ109" s="384"/>
      <c r="AK109" s="384"/>
      <c r="AL109" s="384"/>
      <c r="AM109" s="384"/>
      <c r="AN109" s="384"/>
      <c r="AO109" s="384"/>
      <c r="AP109" s="384"/>
      <c r="AQ109" s="384"/>
      <c r="AR109" s="384"/>
      <c r="AS109" s="384"/>
      <c r="AT109" s="384"/>
      <c r="AU109" s="384"/>
    </row>
    <row r="110" spans="1:57" ht="26.1" customHeight="1">
      <c r="A110" s="357" t="str">
        <f>'05月提成-武侯售后'!C111</f>
        <v>事故组</v>
      </c>
      <c r="B110" s="358">
        <f>SUMIF('6月配件'!K:K,综合考核!A110,'6月配件'!L:L)</f>
        <v>0</v>
      </c>
      <c r="C110" s="358">
        <f>SUMIF('6月配件'!K:K,A110,'6月配件'!M:M)</f>
        <v>0</v>
      </c>
      <c r="D110" s="358">
        <f>SUMIF('5月接送车'!D:D,综合考核!A110,'5月接送车'!E:E)</f>
        <v>0</v>
      </c>
      <c r="E110" s="369">
        <f>SUMIF('转介绍+留修奖励（已发现金）'!F:F,综合考核!A110,'转介绍+留修奖励（已发现金）'!H:H)+SUMIF('转介绍+留修奖励（已发现金）'!L:L,综合考核!A110,'转介绍+留修奖励（已发现金）'!M:M)++SUMIF('转介绍+留修奖励（已发现金）'!B:B,综合考核!A110,'转介绍+留修奖励（已发现金）'!C:C)</f>
        <v>0</v>
      </c>
      <c r="F110" s="360">
        <f>SUMIF(工作车救急!A:A,A110,工作车救急!B:B)</f>
        <v>0</v>
      </c>
      <c r="G110" s="360">
        <f t="shared" si="34"/>
        <v>0</v>
      </c>
      <c r="H110" s="361"/>
      <c r="I110" s="359">
        <f>SUMIF(保客营销考核!E:E,A110,保客营销考核!J:J)</f>
        <v>0</v>
      </c>
      <c r="J110" s="361">
        <f>SUMIF(服装扣款!D:D,综合考核!A110,服装扣款!R:R)</f>
        <v>0</v>
      </c>
      <c r="K110" s="360">
        <f t="shared" si="33"/>
        <v>0</v>
      </c>
      <c r="L110" s="360">
        <f>SUMIF('-月满意度考核'!C:C,综合考核!A110,'-月满意度考核'!J:J)</f>
        <v>0</v>
      </c>
      <c r="M110" s="370">
        <f t="shared" si="29"/>
        <v>0</v>
      </c>
      <c r="N110" s="371">
        <f t="shared" si="28"/>
        <v>0</v>
      </c>
      <c r="O110" s="372"/>
      <c r="P110" s="42">
        <f>SUMIF('05月提成-武侯售后'!C:C,综合考核!A110,'05月提成-武侯售后'!L:L)</f>
        <v>0</v>
      </c>
      <c r="Q110" s="373">
        <f t="shared" si="31"/>
        <v>0</v>
      </c>
      <c r="AI110" s="384"/>
      <c r="AJ110" s="384"/>
      <c r="AK110" s="384"/>
      <c r="AL110" s="384"/>
      <c r="AM110" s="384"/>
      <c r="AN110" s="384"/>
      <c r="AO110" s="384"/>
      <c r="AP110" s="384"/>
      <c r="AQ110" s="384"/>
      <c r="AR110" s="384"/>
      <c r="AS110" s="384"/>
      <c r="AT110" s="384"/>
      <c r="AU110" s="384"/>
    </row>
    <row r="111" spans="1:57" ht="26.1" customHeight="1">
      <c r="A111" s="357" t="str">
        <f>'05月提成-武侯售后'!C112</f>
        <v>刘石磊</v>
      </c>
      <c r="B111" s="358">
        <f>SUMIF('6月配件'!K:K,综合考核!A111,'6月配件'!L:L)</f>
        <v>0</v>
      </c>
      <c r="C111" s="358">
        <f>SUMIF('6月配件'!K:K,A111,'6月配件'!M:M)</f>
        <v>0</v>
      </c>
      <c r="D111" s="358">
        <f>SUMIF('5月接送车'!D:D,综合考核!A111,'5月接送车'!E:E)</f>
        <v>0</v>
      </c>
      <c r="E111" s="369">
        <f>SUMIF('转介绍+留修奖励（已发现金）'!F:F,综合考核!A111,'转介绍+留修奖励（已发现金）'!H:H)+SUMIF('转介绍+留修奖励（已发现金）'!L:L,综合考核!A111,'转介绍+留修奖励（已发现金）'!M:M)++SUMIF('转介绍+留修奖励（已发现金）'!B:B,综合考核!A111,'转介绍+留修奖励（已发现金）'!C:C)</f>
        <v>0</v>
      </c>
      <c r="F111" s="360">
        <f>SUMIF(工作车救急!A:A,A111,工作车救急!B:B)</f>
        <v>0</v>
      </c>
      <c r="G111" s="360">
        <f t="shared" si="34"/>
        <v>0</v>
      </c>
      <c r="H111" s="361"/>
      <c r="I111" s="359">
        <f>SUMIF(保客营销考核!E:E,A111,保客营销考核!J:J)</f>
        <v>0</v>
      </c>
      <c r="J111" s="361">
        <f>SUMIF(服装扣款!D:D,综合考核!A111,服装扣款!R:R)</f>
        <v>0</v>
      </c>
      <c r="K111" s="360">
        <f t="shared" si="33"/>
        <v>0</v>
      </c>
      <c r="L111" s="360">
        <f>SUMIF('-月满意度考核'!C:C,综合考核!A111,'-月满意度考核'!J:J)</f>
        <v>0</v>
      </c>
      <c r="M111" s="370">
        <f t="shared" si="29"/>
        <v>0</v>
      </c>
      <c r="N111" s="371">
        <f t="shared" si="28"/>
        <v>0</v>
      </c>
      <c r="O111" s="372"/>
      <c r="P111" s="42">
        <f>SUMIF('05月提成-武侯售后'!C:C,综合考核!A111,'05月提成-武侯售后'!L:L)</f>
        <v>0</v>
      </c>
      <c r="Q111" s="373">
        <f t="shared" si="31"/>
        <v>0</v>
      </c>
      <c r="AI111" s="384"/>
      <c r="AJ111" s="384"/>
      <c r="AK111" s="384"/>
      <c r="AL111" s="384"/>
      <c r="AM111" s="384"/>
      <c r="AN111" s="384"/>
      <c r="AO111" s="384"/>
      <c r="AP111" s="384"/>
      <c r="AQ111" s="384"/>
      <c r="AR111" s="384"/>
      <c r="AS111" s="384"/>
      <c r="AT111" s="384"/>
      <c r="AU111" s="384"/>
    </row>
    <row r="112" spans="1:57" ht="26.1" customHeight="1">
      <c r="A112" s="357" t="str">
        <f>'05月提成-武侯售后'!C113</f>
        <v>陈晓华</v>
      </c>
      <c r="B112" s="358">
        <f>SUMIF('6月配件'!K:K,综合考核!A112,'6月配件'!L:L)</f>
        <v>0</v>
      </c>
      <c r="C112" s="358">
        <f>SUMIF('6月配件'!K:K,A112,'6月配件'!M:M)</f>
        <v>0</v>
      </c>
      <c r="D112" s="358">
        <f>SUMIF('5月接送车'!D:D,综合考核!A112,'5月接送车'!E:E)</f>
        <v>0</v>
      </c>
      <c r="E112" s="369">
        <f>SUMIF('转介绍+留修奖励（已发现金）'!F:F,综合考核!A112,'转介绍+留修奖励（已发现金）'!H:H)+SUMIF('转介绍+留修奖励（已发现金）'!L:L,综合考核!A112,'转介绍+留修奖励（已发现金）'!M:M)++SUMIF('转介绍+留修奖励（已发现金）'!B:B,综合考核!A112,'转介绍+留修奖励（已发现金）'!C:C)</f>
        <v>0</v>
      </c>
      <c r="F112" s="360">
        <f>SUMIF(工作车救急!A:A,A112,工作车救急!B:B)</f>
        <v>0</v>
      </c>
      <c r="G112" s="360">
        <f t="shared" si="34"/>
        <v>0</v>
      </c>
      <c r="H112" s="361"/>
      <c r="I112" s="359">
        <f>SUMIF(保客营销考核!E:E,A112,保客营销考核!J:J)</f>
        <v>0</v>
      </c>
      <c r="J112" s="361">
        <f>SUMIF(服装扣款!D:D,综合考核!A112,服装扣款!R:R)</f>
        <v>0</v>
      </c>
      <c r="K112" s="360">
        <f t="shared" si="33"/>
        <v>0</v>
      </c>
      <c r="L112" s="360">
        <f>SUMIF('-月满意度考核'!C:C,综合考核!A112,'-月满意度考核'!J:J)</f>
        <v>0</v>
      </c>
      <c r="M112" s="370">
        <f t="shared" si="29"/>
        <v>0</v>
      </c>
      <c r="N112" s="371">
        <f t="shared" si="28"/>
        <v>0</v>
      </c>
      <c r="O112" s="372"/>
      <c r="P112" s="42">
        <f>SUMIF('05月提成-武侯售后'!C:C,综合考核!A112,'05月提成-武侯售后'!L:L)</f>
        <v>0</v>
      </c>
      <c r="Q112" s="373">
        <f t="shared" si="31"/>
        <v>0</v>
      </c>
      <c r="AI112" s="384"/>
      <c r="AJ112" s="384"/>
      <c r="AK112" s="384"/>
      <c r="AL112" s="384"/>
      <c r="AM112" s="384"/>
      <c r="AN112" s="384"/>
      <c r="AO112" s="384"/>
      <c r="AP112" s="384"/>
      <c r="AQ112" s="384"/>
      <c r="AR112" s="384"/>
      <c r="AS112" s="384"/>
      <c r="AT112" s="384"/>
      <c r="AU112" s="384"/>
    </row>
    <row r="113" spans="1:47" ht="26.1" customHeight="1">
      <c r="A113" s="357" t="str">
        <f>'05月提成-武侯售后'!C114</f>
        <v>王立勃</v>
      </c>
      <c r="B113" s="358">
        <f>SUMIF('6月配件'!K:K,综合考核!A113,'6月配件'!L:L)</f>
        <v>0</v>
      </c>
      <c r="C113" s="358">
        <f>SUMIF('6月配件'!K:K,A113,'6月配件'!M:M)</f>
        <v>0</v>
      </c>
      <c r="D113" s="358">
        <f>SUMIF('5月接送车'!D:D,综合考核!A113,'5月接送车'!E:E)</f>
        <v>0</v>
      </c>
      <c r="E113" s="369">
        <f>SUMIF('转介绍+留修奖励（已发现金）'!F:F,综合考核!A113,'转介绍+留修奖励（已发现金）'!H:H)+SUMIF('转介绍+留修奖励（已发现金）'!L:L,综合考核!A113,'转介绍+留修奖励（已发现金）'!M:M)++SUMIF('转介绍+留修奖励（已发现金）'!B:B,综合考核!A113,'转介绍+留修奖励（已发现金）'!C:C)</f>
        <v>0</v>
      </c>
      <c r="F113" s="360">
        <f>SUMIF(工作车救急!A:A,A113,工作车救急!B:B)</f>
        <v>0</v>
      </c>
      <c r="G113" s="360">
        <f t="shared" si="34"/>
        <v>0</v>
      </c>
      <c r="H113" s="361"/>
      <c r="I113" s="359">
        <f>SUMIF(保客营销考核!E:E,A113,保客营销考核!J:J)</f>
        <v>0</v>
      </c>
      <c r="J113" s="361">
        <f>SUMIF(服装扣款!D:D,综合考核!A113,服装扣款!R:R)</f>
        <v>0</v>
      </c>
      <c r="K113" s="360">
        <f t="shared" si="33"/>
        <v>0</v>
      </c>
      <c r="L113" s="360">
        <f>SUMIF('-月满意度考核'!C:C,综合考核!A113,'-月满意度考核'!J:J)</f>
        <v>0</v>
      </c>
      <c r="M113" s="370">
        <f t="shared" si="29"/>
        <v>0</v>
      </c>
      <c r="N113" s="371">
        <f t="shared" si="28"/>
        <v>0</v>
      </c>
      <c r="O113" s="372"/>
      <c r="P113" s="42">
        <f>SUMIF('05月提成-武侯售后'!C:C,综合考核!A113,'05月提成-武侯售后'!L:L)</f>
        <v>0</v>
      </c>
      <c r="Q113" s="373">
        <f t="shared" si="31"/>
        <v>0</v>
      </c>
      <c r="AI113" s="384"/>
      <c r="AJ113" s="384"/>
      <c r="AK113" s="384"/>
      <c r="AL113" s="384"/>
      <c r="AM113" s="384"/>
      <c r="AN113" s="384"/>
      <c r="AO113" s="384"/>
      <c r="AP113" s="384"/>
      <c r="AQ113" s="384"/>
      <c r="AR113" s="384"/>
      <c r="AS113" s="384"/>
      <c r="AT113" s="384"/>
      <c r="AU113" s="384"/>
    </row>
    <row r="114" spans="1:47" ht="26.1" customHeight="1">
      <c r="A114" s="357" t="str">
        <f>'05月提成-武侯售后'!C115</f>
        <v>陈志扬</v>
      </c>
      <c r="B114" s="358">
        <f>SUMIF('6月配件'!K:K,综合考核!A114,'6月配件'!L:L)</f>
        <v>0</v>
      </c>
      <c r="C114" s="358">
        <f>SUMIF('6月配件'!K:K,A114,'6月配件'!M:M)</f>
        <v>0</v>
      </c>
      <c r="D114" s="358">
        <f>SUMIF('5月接送车'!D:D,综合考核!A114,'5月接送车'!E:E)</f>
        <v>0</v>
      </c>
      <c r="E114" s="369">
        <f>SUMIF('转介绍+留修奖励（已发现金）'!F:F,综合考核!A114,'转介绍+留修奖励（已发现金）'!H:H)+SUMIF('转介绍+留修奖励（已发现金）'!L:L,综合考核!A114,'转介绍+留修奖励（已发现金）'!M:M)++SUMIF('转介绍+留修奖励（已发现金）'!B:B,综合考核!A114,'转介绍+留修奖励（已发现金）'!C:C)</f>
        <v>0</v>
      </c>
      <c r="F114" s="360">
        <f>SUMIF(工作车救急!A:A,A114,工作车救急!B:B)</f>
        <v>0</v>
      </c>
      <c r="G114" s="360">
        <f t="shared" si="34"/>
        <v>0</v>
      </c>
      <c r="H114" s="361"/>
      <c r="I114" s="359">
        <f>SUMIF(保客营销考核!E:E,A114,保客营销考核!J:J)</f>
        <v>0</v>
      </c>
      <c r="J114" s="361">
        <f>SUMIF(服装扣款!D:D,综合考核!A114,服装扣款!R:R)</f>
        <v>0</v>
      </c>
      <c r="K114" s="360">
        <f t="shared" si="33"/>
        <v>0</v>
      </c>
      <c r="L114" s="360">
        <f>SUMIF('-月满意度考核'!C:C,综合考核!A114,'-月满意度考核'!J:J)</f>
        <v>0</v>
      </c>
      <c r="M114" s="370">
        <f t="shared" si="29"/>
        <v>0</v>
      </c>
      <c r="N114" s="371">
        <f t="shared" si="28"/>
        <v>0</v>
      </c>
      <c r="O114" s="372"/>
      <c r="P114" s="42">
        <f>SUMIF('05月提成-武侯售后'!C:C,综合考核!A114,'05月提成-武侯售后'!L:L)</f>
        <v>0</v>
      </c>
      <c r="Q114" s="373">
        <f t="shared" si="31"/>
        <v>0</v>
      </c>
      <c r="AI114" s="384"/>
      <c r="AJ114" s="384"/>
      <c r="AK114" s="384"/>
      <c r="AL114" s="384"/>
      <c r="AM114" s="384"/>
      <c r="AN114" s="384"/>
      <c r="AO114" s="384"/>
      <c r="AP114" s="384"/>
      <c r="AQ114" s="384"/>
      <c r="AR114" s="384"/>
      <c r="AS114" s="384"/>
      <c r="AT114" s="384"/>
      <c r="AU114" s="384"/>
    </row>
    <row r="115" spans="1:47" ht="26.1" customHeight="1">
      <c r="A115" s="357" t="str">
        <f>'05月提成-武侯售后'!C116</f>
        <v>朱小军</v>
      </c>
      <c r="B115" s="358">
        <f>SUMIF('6月配件'!K:K,综合考核!A115,'6月配件'!L:L)</f>
        <v>0</v>
      </c>
      <c r="C115" s="358">
        <f>SUMIF('6月配件'!K:K,A115,'6月配件'!M:M)</f>
        <v>0</v>
      </c>
      <c r="D115" s="358">
        <f>SUMIF('5月接送车'!D:D,综合考核!A115,'5月接送车'!E:E)</f>
        <v>0</v>
      </c>
      <c r="E115" s="369">
        <f>SUMIF('转介绍+留修奖励（已发现金）'!F:F,综合考核!A115,'转介绍+留修奖励（已发现金）'!H:H)+SUMIF('转介绍+留修奖励（已发现金）'!L:L,综合考核!A115,'转介绍+留修奖励（已发现金）'!M:M)++SUMIF('转介绍+留修奖励（已发现金）'!B:B,综合考核!A115,'转介绍+留修奖励（已发现金）'!C:C)</f>
        <v>0</v>
      </c>
      <c r="F115" s="360">
        <f>SUMIF(工作车救急!A:A,A115,工作车救急!B:B)</f>
        <v>0</v>
      </c>
      <c r="G115" s="360">
        <f t="shared" si="34"/>
        <v>0</v>
      </c>
      <c r="H115" s="361"/>
      <c r="I115" s="359">
        <f>SUMIF(保客营销考核!E:E,A115,保客营销考核!J:J)</f>
        <v>0</v>
      </c>
      <c r="J115" s="361">
        <f>SUMIF(服装扣款!D:D,综合考核!A115,服装扣款!R:R)</f>
        <v>0</v>
      </c>
      <c r="K115" s="360">
        <f t="shared" si="33"/>
        <v>0</v>
      </c>
      <c r="L115" s="360">
        <f>SUMIF('-月满意度考核'!C:C,综合考核!A115,'-月满意度考核'!J:J)</f>
        <v>0</v>
      </c>
      <c r="M115" s="370">
        <f t="shared" si="29"/>
        <v>0</v>
      </c>
      <c r="N115" s="371">
        <f t="shared" si="28"/>
        <v>0</v>
      </c>
      <c r="O115" s="372"/>
      <c r="P115" s="42">
        <f>SUMIF('05月提成-武侯售后'!C:C,综合考核!A115,'05月提成-武侯售后'!L:L)</f>
        <v>0</v>
      </c>
      <c r="Q115" s="373">
        <f t="shared" si="31"/>
        <v>0</v>
      </c>
      <c r="AI115" s="384"/>
      <c r="AJ115" s="384"/>
      <c r="AK115" s="384"/>
      <c r="AL115" s="384"/>
      <c r="AM115" s="384"/>
      <c r="AN115" s="384"/>
      <c r="AO115" s="384"/>
      <c r="AP115" s="384"/>
      <c r="AQ115" s="384"/>
      <c r="AR115" s="384"/>
      <c r="AS115" s="384"/>
      <c r="AT115" s="384"/>
      <c r="AU115" s="384"/>
    </row>
    <row r="116" spans="1:47" ht="26.1" customHeight="1">
      <c r="A116" s="357" t="str">
        <f>'05月提成-武侯售后'!C117</f>
        <v>王强</v>
      </c>
      <c r="B116" s="358">
        <f>SUMIF('6月配件'!K:K,综合考核!A116,'6月配件'!L:L)</f>
        <v>0</v>
      </c>
      <c r="C116" s="358">
        <f>SUMIF('6月配件'!K:K,A116,'6月配件'!M:M)</f>
        <v>0</v>
      </c>
      <c r="D116" s="358">
        <f>SUMIF('5月接送车'!D:D,综合考核!A116,'5月接送车'!E:E)</f>
        <v>0</v>
      </c>
      <c r="E116" s="369">
        <f>SUMIF('转介绍+留修奖励（已发现金）'!F:F,综合考核!A116,'转介绍+留修奖励（已发现金）'!H:H)+SUMIF('转介绍+留修奖励（已发现金）'!L:L,综合考核!A116,'转介绍+留修奖励（已发现金）'!M:M)++SUMIF('转介绍+留修奖励（已发现金）'!B:B,综合考核!A116,'转介绍+留修奖励（已发现金）'!C:C)</f>
        <v>0</v>
      </c>
      <c r="F116" s="360">
        <f>SUMIF(工作车救急!A:A,A116,工作车救急!B:B)</f>
        <v>0</v>
      </c>
      <c r="G116" s="360">
        <f t="shared" si="34"/>
        <v>0</v>
      </c>
      <c r="H116" s="361"/>
      <c r="I116" s="359">
        <f>SUMIF(保客营销考核!E:E,A116,保客营销考核!J:J)</f>
        <v>0</v>
      </c>
      <c r="J116" s="361">
        <f>SUMIF(服装扣款!D:D,综合考核!A116,服装扣款!R:R)</f>
        <v>0</v>
      </c>
      <c r="K116" s="360">
        <f t="shared" si="33"/>
        <v>0</v>
      </c>
      <c r="L116" s="360">
        <f>SUMIF('-月满意度考核'!C:C,综合考核!A116,'-月满意度考核'!J:J)</f>
        <v>0</v>
      </c>
      <c r="M116" s="370">
        <f t="shared" si="29"/>
        <v>0</v>
      </c>
      <c r="N116" s="371">
        <f t="shared" si="28"/>
        <v>0</v>
      </c>
      <c r="O116" s="372"/>
      <c r="P116" s="42">
        <f>SUMIF('05月提成-武侯售后'!C:C,综合考核!A116,'05月提成-武侯售后'!L:L)</f>
        <v>0</v>
      </c>
      <c r="Q116" s="373">
        <f t="shared" si="31"/>
        <v>0</v>
      </c>
      <c r="AI116" s="384"/>
      <c r="AJ116" s="384"/>
      <c r="AK116" s="384"/>
      <c r="AL116" s="384"/>
      <c r="AM116" s="384"/>
      <c r="AN116" s="384"/>
      <c r="AO116" s="384"/>
      <c r="AP116" s="384"/>
      <c r="AQ116" s="384"/>
      <c r="AR116" s="384"/>
      <c r="AS116" s="384"/>
      <c r="AT116" s="384"/>
      <c r="AU116" s="384"/>
    </row>
    <row r="117" spans="1:47" ht="26.1" customHeight="1">
      <c r="A117" s="357" t="str">
        <f>'05月提成-武侯售后'!C118</f>
        <v>胡磊</v>
      </c>
      <c r="B117" s="358">
        <f>SUMIF('6月配件'!K:K,综合考核!A117,'6月配件'!L:L)</f>
        <v>0</v>
      </c>
      <c r="C117" s="358">
        <f>SUMIF('6月配件'!K:K,A117,'6月配件'!M:M)</f>
        <v>0</v>
      </c>
      <c r="D117" s="358">
        <f>SUMIF('5月接送车'!D:D,综合考核!A117,'5月接送车'!E:E)</f>
        <v>0</v>
      </c>
      <c r="E117" s="369">
        <f>SUMIF('转介绍+留修奖励（已发现金）'!F:F,综合考核!A117,'转介绍+留修奖励（已发现金）'!H:H)+SUMIF('转介绍+留修奖励（已发现金）'!L:L,综合考核!A117,'转介绍+留修奖励（已发现金）'!M:M)++SUMIF('转介绍+留修奖励（已发现金）'!B:B,综合考核!A117,'转介绍+留修奖励（已发现金）'!C:C)</f>
        <v>0</v>
      </c>
      <c r="F117" s="360">
        <f>SUMIF(工作车救急!A:A,A117,工作车救急!B:B)</f>
        <v>0</v>
      </c>
      <c r="G117" s="360">
        <f t="shared" si="34"/>
        <v>0</v>
      </c>
      <c r="H117" s="361"/>
      <c r="I117" s="359">
        <f>SUMIF(保客营销考核!E:E,A117,保客营销考核!J:J)</f>
        <v>0</v>
      </c>
      <c r="J117" s="361">
        <f>SUMIF(服装扣款!D:D,综合考核!A117,服装扣款!R:R)</f>
        <v>0</v>
      </c>
      <c r="K117" s="360">
        <f t="shared" si="33"/>
        <v>0</v>
      </c>
      <c r="L117" s="360">
        <f>SUMIF('-月满意度考核'!C:C,综合考核!A117,'-月满意度考核'!J:J)</f>
        <v>0</v>
      </c>
      <c r="M117" s="370">
        <f t="shared" si="29"/>
        <v>0</v>
      </c>
      <c r="N117" s="371">
        <f t="shared" si="28"/>
        <v>0</v>
      </c>
      <c r="O117" s="372"/>
      <c r="P117" s="42">
        <f>SUMIF('05月提成-武侯售后'!C:C,综合考核!A117,'05月提成-武侯售后'!L:L)</f>
        <v>0</v>
      </c>
      <c r="Q117" s="373">
        <f t="shared" si="31"/>
        <v>0</v>
      </c>
      <c r="AI117" s="384"/>
      <c r="AJ117" s="384"/>
      <c r="AK117" s="384"/>
      <c r="AL117" s="384"/>
      <c r="AM117" s="384"/>
      <c r="AN117" s="384"/>
      <c r="AO117" s="384"/>
      <c r="AP117" s="384"/>
      <c r="AQ117" s="384"/>
      <c r="AR117" s="384"/>
      <c r="AS117" s="384"/>
      <c r="AT117" s="384"/>
      <c r="AU117" s="384"/>
    </row>
    <row r="118" spans="1:47" ht="26.1" customHeight="1">
      <c r="A118" s="357" t="str">
        <f>'05月提成-武侯售后'!C119</f>
        <v>李双权</v>
      </c>
      <c r="B118" s="358">
        <f>SUMIF('6月配件'!K:K,综合考核!A118,'6月配件'!L:L)</f>
        <v>0</v>
      </c>
      <c r="C118" s="358">
        <f>SUMIF('6月配件'!K:K,A118,'6月配件'!M:M)</f>
        <v>0</v>
      </c>
      <c r="D118" s="358">
        <f>SUMIF('5月接送车'!D:D,综合考核!A118,'5月接送车'!E:E)</f>
        <v>0</v>
      </c>
      <c r="E118" s="369">
        <f>SUMIF('转介绍+留修奖励（已发现金）'!F:F,综合考核!A118,'转介绍+留修奖励（已发现金）'!H:H)+SUMIF('转介绍+留修奖励（已发现金）'!L:L,综合考核!A118,'转介绍+留修奖励（已发现金）'!M:M)++SUMIF('转介绍+留修奖励（已发现金）'!B:B,综合考核!A118,'转介绍+留修奖励（已发现金）'!C:C)</f>
        <v>0</v>
      </c>
      <c r="F118" s="360">
        <f>SUMIF(工作车救急!A:A,A118,工作车救急!B:B)</f>
        <v>0</v>
      </c>
      <c r="G118" s="360">
        <f t="shared" si="34"/>
        <v>0</v>
      </c>
      <c r="H118" s="361"/>
      <c r="I118" s="359">
        <f>SUMIF(保客营销考核!E:E,A118,保客营销考核!J:J)</f>
        <v>0</v>
      </c>
      <c r="J118" s="361">
        <f>SUMIF(服装扣款!D:D,综合考核!A118,服装扣款!R:R)</f>
        <v>0</v>
      </c>
      <c r="K118" s="360">
        <f t="shared" si="33"/>
        <v>0</v>
      </c>
      <c r="L118" s="360">
        <f>SUMIF('-月满意度考核'!C:C,综合考核!A118,'-月满意度考核'!J:J)</f>
        <v>0</v>
      </c>
      <c r="M118" s="370">
        <f t="shared" si="29"/>
        <v>0</v>
      </c>
      <c r="N118" s="371">
        <f t="shared" si="28"/>
        <v>0</v>
      </c>
      <c r="O118" s="372"/>
      <c r="P118" s="42">
        <f>SUMIF('05月提成-武侯售后'!C:C,综合考核!A118,'05月提成-武侯售后'!L:L)</f>
        <v>0</v>
      </c>
      <c r="Q118" s="373">
        <f t="shared" si="31"/>
        <v>0</v>
      </c>
      <c r="AI118" s="384"/>
      <c r="AJ118" s="384"/>
      <c r="AK118" s="384"/>
      <c r="AL118" s="384"/>
      <c r="AM118" s="384"/>
      <c r="AN118" s="384"/>
      <c r="AO118" s="384"/>
      <c r="AP118" s="384"/>
      <c r="AQ118" s="384"/>
      <c r="AR118" s="384"/>
      <c r="AS118" s="384"/>
      <c r="AT118" s="384"/>
      <c r="AU118" s="384"/>
    </row>
    <row r="119" spans="1:47" ht="26.1" customHeight="1">
      <c r="A119" s="357" t="str">
        <f>'05月提成-武侯售后'!C120</f>
        <v>李垚</v>
      </c>
      <c r="B119" s="358">
        <f>SUMIF('6月配件'!K:K,综合考核!A119,'6月配件'!L:L)</f>
        <v>0</v>
      </c>
      <c r="C119" s="358">
        <f>SUMIF('6月配件'!K:K,A119,'6月配件'!M:M)</f>
        <v>0</v>
      </c>
      <c r="D119" s="358">
        <f>SUMIF('5月接送车'!D:D,综合考核!A119,'5月接送车'!E:E)</f>
        <v>0</v>
      </c>
      <c r="E119" s="369">
        <f>SUMIF('转介绍+留修奖励（已发现金）'!F:F,综合考核!A119,'转介绍+留修奖励（已发现金）'!H:H)+SUMIF('转介绍+留修奖励（已发现金）'!L:L,综合考核!A119,'转介绍+留修奖励（已发现金）'!M:M)++SUMIF('转介绍+留修奖励（已发现金）'!B:B,综合考核!A119,'转介绍+留修奖励（已发现金）'!C:C)</f>
        <v>0</v>
      </c>
      <c r="F119" s="360">
        <f>SUMIF(工作车救急!A:A,A119,工作车救急!B:B)</f>
        <v>0</v>
      </c>
      <c r="G119" s="360">
        <f t="shared" si="34"/>
        <v>0</v>
      </c>
      <c r="H119" s="361"/>
      <c r="I119" s="359">
        <f>SUMIF(保客营销考核!E:E,A119,保客营销考核!J:J)</f>
        <v>0</v>
      </c>
      <c r="J119" s="361">
        <f>SUMIF(服装扣款!D:D,综合考核!A119,服装扣款!R:R)</f>
        <v>0</v>
      </c>
      <c r="K119" s="360">
        <f t="shared" si="33"/>
        <v>0</v>
      </c>
      <c r="L119" s="360">
        <f>SUMIF('-月满意度考核'!C:C,综合考核!A119,'-月满意度考核'!J:J)</f>
        <v>0</v>
      </c>
      <c r="M119" s="370">
        <f t="shared" si="29"/>
        <v>0</v>
      </c>
      <c r="N119" s="371">
        <f t="shared" si="28"/>
        <v>0</v>
      </c>
      <c r="O119" s="372"/>
      <c r="P119" s="42">
        <f>SUMIF('05月提成-武侯售后'!C:C,综合考核!A119,'05月提成-武侯售后'!L:L)</f>
        <v>0</v>
      </c>
      <c r="Q119" s="373">
        <f t="shared" si="31"/>
        <v>0</v>
      </c>
      <c r="AI119" s="384"/>
      <c r="AJ119" s="384"/>
      <c r="AK119" s="384"/>
      <c r="AL119" s="384"/>
      <c r="AM119" s="384"/>
      <c r="AN119" s="384"/>
      <c r="AO119" s="384"/>
      <c r="AP119" s="384"/>
      <c r="AQ119" s="384"/>
      <c r="AR119" s="384"/>
      <c r="AS119" s="384"/>
      <c r="AT119" s="384"/>
      <c r="AU119" s="384"/>
    </row>
    <row r="120" spans="1:47" ht="26.1" customHeight="1">
      <c r="A120" s="357" t="str">
        <f>'05月提成-武侯售后'!C121</f>
        <v>王柳毅</v>
      </c>
      <c r="B120" s="358">
        <f>SUMIF('6月配件'!K:K,综合考核!A120,'6月配件'!L:L)</f>
        <v>0</v>
      </c>
      <c r="C120" s="358">
        <f>SUMIF('6月配件'!K:K,A120,'6月配件'!M:M)</f>
        <v>0</v>
      </c>
      <c r="D120" s="358">
        <f>SUMIF('5月接送车'!D:D,综合考核!A120,'5月接送车'!E:E)</f>
        <v>0</v>
      </c>
      <c r="E120" s="369">
        <f>SUMIF('转介绍+留修奖励（已发现金）'!F:F,综合考核!A120,'转介绍+留修奖励（已发现金）'!H:H)+SUMIF('转介绍+留修奖励（已发现金）'!L:L,综合考核!A120,'转介绍+留修奖励（已发现金）'!M:M)++SUMIF('转介绍+留修奖励（已发现金）'!B:B,综合考核!A120,'转介绍+留修奖励（已发现金）'!C:C)</f>
        <v>0</v>
      </c>
      <c r="F120" s="360">
        <f>SUMIF(工作车救急!A:A,A120,工作车救急!B:B)</f>
        <v>0</v>
      </c>
      <c r="G120" s="360">
        <f t="shared" si="34"/>
        <v>0</v>
      </c>
      <c r="H120" s="361"/>
      <c r="I120" s="359">
        <f>SUMIF(保客营销考核!E:E,A120,保客营销考核!J:J)</f>
        <v>0</v>
      </c>
      <c r="J120" s="361">
        <f>SUMIF(服装扣款!D:D,综合考核!A120,服装扣款!R:R)</f>
        <v>0</v>
      </c>
      <c r="K120" s="360">
        <f t="shared" ref="K120:K142" si="35">SUMIF(S:S,A120,Y:Y)</f>
        <v>0</v>
      </c>
      <c r="L120" s="360">
        <f>SUMIF('-月满意度考核'!C:C,综合考核!A120,'-月满意度考核'!J:J)</f>
        <v>0</v>
      </c>
      <c r="M120" s="370">
        <f t="shared" si="29"/>
        <v>0</v>
      </c>
      <c r="N120" s="371">
        <f t="shared" si="28"/>
        <v>0</v>
      </c>
      <c r="O120" s="372"/>
      <c r="P120" s="42">
        <f>SUMIF('05月提成-武侯售后'!C:C,综合考核!A120,'05月提成-武侯售后'!L:L)</f>
        <v>0</v>
      </c>
      <c r="Q120" s="373">
        <f t="shared" si="31"/>
        <v>0</v>
      </c>
      <c r="AI120" s="384"/>
      <c r="AJ120" s="384"/>
      <c r="AK120" s="384"/>
      <c r="AL120" s="384"/>
      <c r="AM120" s="384"/>
      <c r="AN120" s="384"/>
      <c r="AO120" s="384"/>
      <c r="AP120" s="384"/>
      <c r="AQ120" s="384"/>
      <c r="AR120" s="384"/>
      <c r="AS120" s="384"/>
      <c r="AT120" s="384"/>
      <c r="AU120" s="384"/>
    </row>
    <row r="121" spans="1:47" ht="26.1" customHeight="1">
      <c r="A121" s="357" t="str">
        <f>'05月提成-武侯售后'!C122</f>
        <v>李璐</v>
      </c>
      <c r="B121" s="358">
        <f>SUMIF('6月配件'!K:K,综合考核!A121,'6月配件'!L:L)</f>
        <v>0</v>
      </c>
      <c r="C121" s="358">
        <f>SUMIF('6月配件'!K:K,A121,'6月配件'!M:M)</f>
        <v>0</v>
      </c>
      <c r="D121" s="358">
        <f>SUMIF('5月接送车'!D:D,综合考核!A121,'5月接送车'!E:E)</f>
        <v>0</v>
      </c>
      <c r="E121" s="369">
        <f>SUMIF('转介绍+留修奖励（已发现金）'!F:F,综合考核!A121,'转介绍+留修奖励（已发现金）'!H:H)+SUMIF('转介绍+留修奖励（已发现金）'!L:L,综合考核!A121,'转介绍+留修奖励（已发现金）'!M:M)++SUMIF('转介绍+留修奖励（已发现金）'!B:B,综合考核!A121,'转介绍+留修奖励（已发现金）'!C:C)</f>
        <v>0</v>
      </c>
      <c r="F121" s="360">
        <f>SUMIF(工作车救急!A:A,A121,工作车救急!B:B)</f>
        <v>0</v>
      </c>
      <c r="G121" s="360">
        <f t="shared" si="34"/>
        <v>0</v>
      </c>
      <c r="H121" s="361"/>
      <c r="I121" s="359">
        <f>SUMIF(保客营销考核!E:E,A121,保客营销考核!J:J)</f>
        <v>0</v>
      </c>
      <c r="J121" s="361">
        <f>SUMIF(服装扣款!D:D,综合考核!A121,服装扣款!R:R)</f>
        <v>0</v>
      </c>
      <c r="K121" s="360">
        <f t="shared" si="35"/>
        <v>0</v>
      </c>
      <c r="L121" s="360">
        <f>SUMIF('-月满意度考核'!C:C,综合考核!A121,'-月满意度考核'!J:J)</f>
        <v>0</v>
      </c>
      <c r="M121" s="370">
        <f t="shared" si="29"/>
        <v>0</v>
      </c>
      <c r="N121" s="371">
        <f t="shared" si="28"/>
        <v>0</v>
      </c>
      <c r="O121" s="372"/>
      <c r="P121" s="42">
        <f>SUMIF('05月提成-武侯售后'!C:C,综合考核!A121,'05月提成-武侯售后'!L:L)</f>
        <v>0</v>
      </c>
      <c r="Q121" s="373">
        <f t="shared" si="31"/>
        <v>0</v>
      </c>
      <c r="AI121" s="384"/>
      <c r="AJ121" s="384"/>
      <c r="AK121" s="384"/>
      <c r="AL121" s="384"/>
      <c r="AM121" s="384"/>
      <c r="AN121" s="384"/>
      <c r="AO121" s="384"/>
      <c r="AP121" s="384"/>
      <c r="AQ121" s="384"/>
      <c r="AR121" s="384"/>
      <c r="AS121" s="384"/>
      <c r="AT121" s="384"/>
      <c r="AU121" s="384"/>
    </row>
    <row r="122" spans="1:47" ht="26.1" customHeight="1">
      <c r="A122" s="357" t="str">
        <f>'05月提成-武侯售后'!C123</f>
        <v>钣金组</v>
      </c>
      <c r="B122" s="358">
        <f>SUMIF('6月配件'!K:K,综合考核!A122,'6月配件'!L:L)</f>
        <v>0</v>
      </c>
      <c r="C122" s="358">
        <f>SUMIF('6月配件'!K:K,A122,'6月配件'!M:M)</f>
        <v>0</v>
      </c>
      <c r="D122" s="358">
        <f>SUMIF('5月接送车'!D:D,综合考核!A122,'5月接送车'!E:E)</f>
        <v>0</v>
      </c>
      <c r="E122" s="369">
        <f>SUMIF('转介绍+留修奖励（已发现金）'!F:F,综合考核!A122,'转介绍+留修奖励（已发现金）'!H:H)+SUMIF('转介绍+留修奖励（已发现金）'!L:L,综合考核!A122,'转介绍+留修奖励（已发现金）'!M:M)++SUMIF('转介绍+留修奖励（已发现金）'!B:B,综合考核!A122,'转介绍+留修奖励（已发现金）'!C:C)</f>
        <v>0</v>
      </c>
      <c r="F122" s="360">
        <f>SUMIF(工作车救急!A:A,A122,工作车救急!B:B)</f>
        <v>0</v>
      </c>
      <c r="G122" s="360">
        <f t="shared" si="34"/>
        <v>0</v>
      </c>
      <c r="H122" s="361"/>
      <c r="I122" s="359">
        <f>SUMIF(保客营销考核!E:E,A122,保客营销考核!J:J)</f>
        <v>0</v>
      </c>
      <c r="J122" s="361">
        <f>SUMIF(服装扣款!D:D,综合考核!A122,服装扣款!R:R)</f>
        <v>0</v>
      </c>
      <c r="K122" s="360">
        <f t="shared" si="35"/>
        <v>0</v>
      </c>
      <c r="L122" s="360">
        <f>SUMIF('-月满意度考核'!C:C,综合考核!A122,'-月满意度考核'!J:J)</f>
        <v>0</v>
      </c>
      <c r="M122" s="370">
        <f t="shared" si="29"/>
        <v>0</v>
      </c>
      <c r="N122" s="371">
        <f t="shared" si="28"/>
        <v>0</v>
      </c>
      <c r="O122" s="372"/>
      <c r="P122" s="42">
        <f>SUMIF('05月提成-武侯售后'!C:C,综合考核!A122,'05月提成-武侯售后'!L:L)</f>
        <v>0</v>
      </c>
      <c r="Q122" s="373">
        <f t="shared" si="31"/>
        <v>0</v>
      </c>
      <c r="AI122" s="384"/>
      <c r="AJ122" s="384"/>
      <c r="AK122" s="384"/>
      <c r="AL122" s="384"/>
      <c r="AM122" s="384"/>
      <c r="AN122" s="384"/>
      <c r="AO122" s="384"/>
      <c r="AP122" s="384"/>
      <c r="AQ122" s="384"/>
      <c r="AR122" s="384"/>
      <c r="AS122" s="384"/>
      <c r="AT122" s="384"/>
      <c r="AU122" s="384"/>
    </row>
    <row r="123" spans="1:47" ht="26.1" customHeight="1">
      <c r="A123" s="357" t="str">
        <f>'05月提成-武侯售后'!C124</f>
        <v>王成</v>
      </c>
      <c r="B123" s="358">
        <f>SUMIF('6月配件'!K:K,综合考核!A123,'6月配件'!L:L)</f>
        <v>0</v>
      </c>
      <c r="C123" s="358">
        <f>SUMIF('6月配件'!K:K,A123,'6月配件'!M:M)</f>
        <v>0</v>
      </c>
      <c r="D123" s="358">
        <f>SUMIF('5月接送车'!D:D,综合考核!A123,'5月接送车'!E:E)</f>
        <v>0</v>
      </c>
      <c r="E123" s="369">
        <f>SUMIF('转介绍+留修奖励（已发现金）'!F:F,综合考核!A123,'转介绍+留修奖励（已发现金）'!H:H)+SUMIF('转介绍+留修奖励（已发现金）'!L:L,综合考核!A123,'转介绍+留修奖励（已发现金）'!M:M)++SUMIF('转介绍+留修奖励（已发现金）'!B:B,综合考核!A123,'转介绍+留修奖励（已发现金）'!C:C)</f>
        <v>0</v>
      </c>
      <c r="F123" s="360">
        <f>SUMIF(工作车救急!A:A,A123,工作车救急!B:B)</f>
        <v>0</v>
      </c>
      <c r="G123" s="360">
        <f t="shared" si="34"/>
        <v>0</v>
      </c>
      <c r="H123" s="361"/>
      <c r="I123" s="359">
        <f>SUMIF(保客营销考核!E:E,A123,保客营销考核!J:J)</f>
        <v>0</v>
      </c>
      <c r="J123" s="361">
        <f>SUMIF(服装扣款!D:D,综合考核!A123,服装扣款!R:R)</f>
        <v>0</v>
      </c>
      <c r="K123" s="360">
        <f t="shared" si="35"/>
        <v>0</v>
      </c>
      <c r="L123" s="360">
        <f>SUMIF('-月满意度考核'!C:C,综合考核!A123,'-月满意度考核'!J:J)</f>
        <v>0</v>
      </c>
      <c r="M123" s="370">
        <f t="shared" si="29"/>
        <v>0</v>
      </c>
      <c r="N123" s="371">
        <f t="shared" si="28"/>
        <v>0</v>
      </c>
      <c r="O123" s="372"/>
      <c r="P123" s="42">
        <f>SUMIF('05月提成-武侯售后'!C:C,综合考核!A123,'05月提成-武侯售后'!L:L)</f>
        <v>0</v>
      </c>
      <c r="Q123" s="373">
        <f t="shared" si="31"/>
        <v>0</v>
      </c>
      <c r="AI123" s="384"/>
      <c r="AJ123" s="384"/>
      <c r="AK123" s="384"/>
      <c r="AL123" s="384"/>
      <c r="AM123" s="384"/>
      <c r="AN123" s="384"/>
      <c r="AO123" s="384"/>
      <c r="AP123" s="384"/>
      <c r="AQ123" s="384"/>
      <c r="AR123" s="384"/>
      <c r="AS123" s="384"/>
      <c r="AT123" s="384"/>
      <c r="AU123" s="384"/>
    </row>
    <row r="124" spans="1:47" ht="26.1" customHeight="1">
      <c r="A124" s="357" t="str">
        <f>'05月提成-武侯售后'!C125</f>
        <v>李长春</v>
      </c>
      <c r="B124" s="358">
        <f>SUMIF('6月配件'!K:K,综合考核!A124,'6月配件'!L:L)</f>
        <v>0</v>
      </c>
      <c r="C124" s="358">
        <f>SUMIF('6月配件'!K:K,A124,'6月配件'!M:M)</f>
        <v>0</v>
      </c>
      <c r="D124" s="358">
        <f>SUMIF('5月接送车'!D:D,综合考核!A124,'5月接送车'!E:E)</f>
        <v>0</v>
      </c>
      <c r="E124" s="369">
        <f>SUMIF('转介绍+留修奖励（已发现金）'!F:F,综合考核!A124,'转介绍+留修奖励（已发现金）'!H:H)+SUMIF('转介绍+留修奖励（已发现金）'!L:L,综合考核!A124,'转介绍+留修奖励（已发现金）'!M:M)++SUMIF('转介绍+留修奖励（已发现金）'!B:B,综合考核!A124,'转介绍+留修奖励（已发现金）'!C:C)</f>
        <v>0</v>
      </c>
      <c r="F124" s="360">
        <f>SUMIF(工作车救急!A:A,A124,工作车救急!B:B)</f>
        <v>0</v>
      </c>
      <c r="G124" s="360">
        <f t="shared" si="34"/>
        <v>0</v>
      </c>
      <c r="H124" s="361"/>
      <c r="I124" s="359">
        <f>SUMIF(保客营销考核!E:E,A124,保客营销考核!J:J)</f>
        <v>0</v>
      </c>
      <c r="J124" s="361">
        <f>SUMIF(服装扣款!D:D,综合考核!A124,服装扣款!R:R)</f>
        <v>0</v>
      </c>
      <c r="K124" s="360">
        <f t="shared" si="35"/>
        <v>0</v>
      </c>
      <c r="L124" s="360">
        <f>SUMIF('-月满意度考核'!C:C,综合考核!A124,'-月满意度考核'!J:J)</f>
        <v>0</v>
      </c>
      <c r="M124" s="370">
        <f t="shared" si="29"/>
        <v>0</v>
      </c>
      <c r="N124" s="371">
        <f t="shared" si="28"/>
        <v>0</v>
      </c>
      <c r="O124" s="372"/>
      <c r="P124" s="42">
        <f>SUMIF('05月提成-武侯售后'!C:C,综合考核!A124,'05月提成-武侯售后'!L:L)</f>
        <v>0</v>
      </c>
      <c r="Q124" s="373">
        <f t="shared" si="31"/>
        <v>0</v>
      </c>
      <c r="AI124" s="384"/>
      <c r="AJ124" s="384"/>
      <c r="AK124" s="384"/>
      <c r="AL124" s="384"/>
      <c r="AM124" s="384"/>
      <c r="AN124" s="384"/>
      <c r="AO124" s="384"/>
      <c r="AP124" s="384"/>
      <c r="AQ124" s="384"/>
      <c r="AR124" s="384"/>
      <c r="AS124" s="384"/>
      <c r="AT124" s="384"/>
      <c r="AU124" s="384"/>
    </row>
    <row r="125" spans="1:47" ht="26.1" customHeight="1">
      <c r="A125" s="357" t="str">
        <f>'05月提成-武侯售后'!C126</f>
        <v>吕自红</v>
      </c>
      <c r="B125" s="358">
        <f>SUMIF('6月配件'!K:K,综合考核!A125,'6月配件'!L:L)</f>
        <v>0</v>
      </c>
      <c r="C125" s="358">
        <f>SUMIF('6月配件'!K:K,A125,'6月配件'!M:M)</f>
        <v>0</v>
      </c>
      <c r="D125" s="358">
        <f>SUMIF('5月接送车'!D:D,综合考核!A125,'5月接送车'!E:E)</f>
        <v>0</v>
      </c>
      <c r="E125" s="369">
        <f>SUMIF('转介绍+留修奖励（已发现金）'!F:F,综合考核!A125,'转介绍+留修奖励（已发现金）'!H:H)+SUMIF('转介绍+留修奖励（已发现金）'!L:L,综合考核!A125,'转介绍+留修奖励（已发现金）'!M:M)++SUMIF('转介绍+留修奖励（已发现金）'!B:B,综合考核!A125,'转介绍+留修奖励（已发现金）'!C:C)</f>
        <v>0</v>
      </c>
      <c r="F125" s="360">
        <f>SUMIF(工作车救急!A:A,A125,工作车救急!B:B)</f>
        <v>0</v>
      </c>
      <c r="G125" s="360">
        <f t="shared" si="34"/>
        <v>0</v>
      </c>
      <c r="H125" s="361"/>
      <c r="I125" s="359">
        <f>SUMIF(保客营销考核!E:E,A125,保客营销考核!J:J)</f>
        <v>0</v>
      </c>
      <c r="J125" s="361">
        <f>SUMIF(服装扣款!D:D,综合考核!A125,服装扣款!R:R)</f>
        <v>0</v>
      </c>
      <c r="K125" s="360">
        <f t="shared" si="35"/>
        <v>0</v>
      </c>
      <c r="L125" s="360">
        <f>SUMIF('-月满意度考核'!C:C,综合考核!A125,'-月满意度考核'!J:J)</f>
        <v>0</v>
      </c>
      <c r="M125" s="370">
        <f t="shared" si="29"/>
        <v>0</v>
      </c>
      <c r="N125" s="371">
        <f t="shared" si="28"/>
        <v>0</v>
      </c>
      <c r="O125" s="372"/>
      <c r="P125" s="42">
        <f>SUMIF('05月提成-武侯售后'!C:C,综合考核!A125,'05月提成-武侯售后'!L:L)</f>
        <v>0</v>
      </c>
      <c r="Q125" s="373">
        <f t="shared" si="31"/>
        <v>0</v>
      </c>
      <c r="AI125" s="384"/>
      <c r="AJ125" s="384"/>
      <c r="AK125" s="384"/>
      <c r="AL125" s="384"/>
      <c r="AM125" s="384"/>
      <c r="AN125" s="384"/>
      <c r="AO125" s="384"/>
      <c r="AP125" s="384"/>
      <c r="AQ125" s="384"/>
      <c r="AR125" s="384"/>
      <c r="AS125" s="384"/>
      <c r="AT125" s="384"/>
      <c r="AU125" s="384"/>
    </row>
    <row r="126" spans="1:47" ht="26.1" customHeight="1">
      <c r="A126" s="357" t="str">
        <f>'05月提成-武侯售后'!C127</f>
        <v>谭磊</v>
      </c>
      <c r="B126" s="358">
        <f>SUMIF('6月配件'!K:K,综合考核!A126,'6月配件'!L:L)</f>
        <v>0</v>
      </c>
      <c r="C126" s="358">
        <f>SUMIF('6月配件'!K:K,A126,'6月配件'!M:M)</f>
        <v>0</v>
      </c>
      <c r="D126" s="358">
        <f>SUMIF('5月接送车'!D:D,综合考核!A126,'5月接送车'!E:E)</f>
        <v>0</v>
      </c>
      <c r="E126" s="369">
        <f>SUMIF('转介绍+留修奖励（已发现金）'!F:F,综合考核!A126,'转介绍+留修奖励（已发现金）'!H:H)+SUMIF('转介绍+留修奖励（已发现金）'!L:L,综合考核!A126,'转介绍+留修奖励（已发现金）'!M:M)++SUMIF('转介绍+留修奖励（已发现金）'!B:B,综合考核!A126,'转介绍+留修奖励（已发现金）'!C:C)</f>
        <v>0</v>
      </c>
      <c r="F126" s="360">
        <f>SUMIF(工作车救急!A:A,A126,工作车救急!B:B)</f>
        <v>0</v>
      </c>
      <c r="G126" s="360">
        <f t="shared" si="34"/>
        <v>0</v>
      </c>
      <c r="H126" s="361"/>
      <c r="I126" s="359">
        <f>SUMIF(保客营销考核!E:E,A126,保客营销考核!J:J)</f>
        <v>0</v>
      </c>
      <c r="J126" s="361">
        <f>SUMIF(服装扣款!D:D,综合考核!A126,服装扣款!R:R)</f>
        <v>0</v>
      </c>
      <c r="K126" s="360">
        <f t="shared" si="35"/>
        <v>0</v>
      </c>
      <c r="L126" s="360">
        <f>SUMIF('-月满意度考核'!C:C,综合考核!A126,'-月满意度考核'!J:J)</f>
        <v>0</v>
      </c>
      <c r="M126" s="370">
        <f t="shared" si="29"/>
        <v>0</v>
      </c>
      <c r="N126" s="371">
        <f t="shared" si="28"/>
        <v>0</v>
      </c>
      <c r="O126" s="372"/>
      <c r="P126" s="42">
        <f>SUMIF('05月提成-武侯售后'!C:C,综合考核!A126,'05月提成-武侯售后'!L:L)</f>
        <v>0</v>
      </c>
      <c r="Q126" s="373">
        <f t="shared" si="31"/>
        <v>0</v>
      </c>
      <c r="AI126" s="384"/>
      <c r="AJ126" s="384"/>
      <c r="AK126" s="384"/>
      <c r="AL126" s="384"/>
      <c r="AM126" s="384"/>
      <c r="AN126" s="384"/>
      <c r="AO126" s="384"/>
      <c r="AP126" s="384"/>
      <c r="AQ126" s="384"/>
      <c r="AR126" s="384"/>
      <c r="AS126" s="384"/>
      <c r="AT126" s="384"/>
      <c r="AU126" s="384"/>
    </row>
    <row r="127" spans="1:47" ht="26.1" customHeight="1">
      <c r="A127" s="357" t="str">
        <f>'05月提成-武侯售后'!C128</f>
        <v>赵前波</v>
      </c>
      <c r="B127" s="358">
        <f>SUMIF('6月配件'!K:K,综合考核!A127,'6月配件'!L:L)</f>
        <v>0</v>
      </c>
      <c r="C127" s="358">
        <f>SUMIF('6月配件'!K:K,A127,'6月配件'!M:M)</f>
        <v>0</v>
      </c>
      <c r="D127" s="358">
        <f>SUMIF('5月接送车'!D:D,综合考核!A127,'5月接送车'!E:E)</f>
        <v>0</v>
      </c>
      <c r="E127" s="369">
        <f>SUMIF('转介绍+留修奖励（已发现金）'!F:F,综合考核!A127,'转介绍+留修奖励（已发现金）'!H:H)+SUMIF('转介绍+留修奖励（已发现金）'!L:L,综合考核!A127,'转介绍+留修奖励（已发现金）'!M:M)++SUMIF('转介绍+留修奖励（已发现金）'!B:B,综合考核!A127,'转介绍+留修奖励（已发现金）'!C:C)</f>
        <v>0</v>
      </c>
      <c r="F127" s="360">
        <f>SUMIF(工作车救急!A:A,A127,工作车救急!B:B)</f>
        <v>0</v>
      </c>
      <c r="G127" s="360">
        <f t="shared" si="34"/>
        <v>0</v>
      </c>
      <c r="H127" s="361"/>
      <c r="I127" s="359">
        <f>SUMIF(保客营销考核!E:E,A127,保客营销考核!J:J)</f>
        <v>0</v>
      </c>
      <c r="J127" s="361">
        <f>SUMIF(服装扣款!D:D,综合考核!A127,服装扣款!R:R)</f>
        <v>0</v>
      </c>
      <c r="K127" s="360">
        <f t="shared" si="35"/>
        <v>0</v>
      </c>
      <c r="L127" s="360">
        <f>SUMIF('-月满意度考核'!C:C,综合考核!A127,'-月满意度考核'!J:J)</f>
        <v>0</v>
      </c>
      <c r="M127" s="370">
        <f t="shared" si="29"/>
        <v>0</v>
      </c>
      <c r="N127" s="371">
        <f t="shared" si="28"/>
        <v>0</v>
      </c>
      <c r="O127" s="372"/>
      <c r="P127" s="42">
        <f>SUMIF('05月提成-武侯售后'!C:C,综合考核!A127,'05月提成-武侯售后'!L:L)</f>
        <v>0</v>
      </c>
      <c r="Q127" s="373">
        <f t="shared" si="31"/>
        <v>0</v>
      </c>
      <c r="AI127" s="384"/>
      <c r="AJ127" s="384"/>
      <c r="AK127" s="384"/>
      <c r="AL127" s="384"/>
      <c r="AM127" s="384"/>
      <c r="AN127" s="384"/>
      <c r="AO127" s="384"/>
      <c r="AP127" s="384"/>
      <c r="AQ127" s="384"/>
      <c r="AR127" s="384"/>
      <c r="AS127" s="384"/>
      <c r="AT127" s="384"/>
      <c r="AU127" s="384"/>
    </row>
    <row r="128" spans="1:47" ht="26.1" customHeight="1">
      <c r="A128" s="357" t="str">
        <f>'05月提成-武侯售后'!C129</f>
        <v>任彬</v>
      </c>
      <c r="B128" s="358">
        <f>SUMIF('6月配件'!K:K,综合考核!A128,'6月配件'!L:L)</f>
        <v>0</v>
      </c>
      <c r="C128" s="358">
        <f>SUMIF('6月配件'!K:K,A128,'6月配件'!M:M)</f>
        <v>0</v>
      </c>
      <c r="D128" s="358">
        <f>SUMIF('5月接送车'!D:D,综合考核!A128,'5月接送车'!E:E)</f>
        <v>0</v>
      </c>
      <c r="E128" s="369">
        <f>SUMIF('转介绍+留修奖励（已发现金）'!F:F,综合考核!A128,'转介绍+留修奖励（已发现金）'!H:H)+SUMIF('转介绍+留修奖励（已发现金）'!L:L,综合考核!A128,'转介绍+留修奖励（已发现金）'!M:M)++SUMIF('转介绍+留修奖励（已发现金）'!B:B,综合考核!A128,'转介绍+留修奖励（已发现金）'!C:C)</f>
        <v>0</v>
      </c>
      <c r="F128" s="360">
        <f>SUMIF(工作车救急!A:A,A128,工作车救急!B:B)</f>
        <v>0</v>
      </c>
      <c r="G128" s="360">
        <f t="shared" si="34"/>
        <v>0</v>
      </c>
      <c r="H128" s="361"/>
      <c r="I128" s="359">
        <f>SUMIF(保客营销考核!E:E,A128,保客营销考核!J:J)</f>
        <v>0</v>
      </c>
      <c r="J128" s="361">
        <f>SUMIF(服装扣款!D:D,综合考核!A128,服装扣款!R:R)</f>
        <v>0</v>
      </c>
      <c r="K128" s="360">
        <f t="shared" si="35"/>
        <v>0</v>
      </c>
      <c r="L128" s="360">
        <f>SUMIF('-月满意度考核'!C:C,综合考核!A128,'-月满意度考核'!J:J)</f>
        <v>0</v>
      </c>
      <c r="M128" s="370">
        <f t="shared" si="29"/>
        <v>0</v>
      </c>
      <c r="N128" s="371">
        <f t="shared" si="28"/>
        <v>0</v>
      </c>
      <c r="O128" s="372"/>
      <c r="P128" s="42">
        <f>SUMIF('05月提成-武侯售后'!C:C,综合考核!A128,'05月提成-武侯售后'!L:L)</f>
        <v>0</v>
      </c>
      <c r="Q128" s="373">
        <f t="shared" si="31"/>
        <v>0</v>
      </c>
      <c r="AI128" s="384"/>
      <c r="AJ128" s="384"/>
      <c r="AK128" s="384"/>
      <c r="AL128" s="384"/>
      <c r="AM128" s="384"/>
      <c r="AN128" s="384"/>
      <c r="AO128" s="384"/>
      <c r="AP128" s="384"/>
      <c r="AQ128" s="384"/>
      <c r="AR128" s="384"/>
      <c r="AS128" s="384"/>
      <c r="AT128" s="384"/>
      <c r="AU128" s="384"/>
    </row>
    <row r="129" spans="1:47" ht="26.1" customHeight="1">
      <c r="A129" s="357" t="str">
        <f>'05月提成-武侯售后'!C130</f>
        <v>罗洪</v>
      </c>
      <c r="B129" s="358">
        <f>SUMIF('6月配件'!K:K,综合考核!A129,'6月配件'!L:L)</f>
        <v>0</v>
      </c>
      <c r="C129" s="358">
        <f>SUMIF('6月配件'!K:K,A129,'6月配件'!M:M)</f>
        <v>0</v>
      </c>
      <c r="D129" s="358">
        <f>SUMIF('5月接送车'!D:D,综合考核!A129,'5月接送车'!E:E)</f>
        <v>0</v>
      </c>
      <c r="E129" s="369">
        <f>SUMIF('转介绍+留修奖励（已发现金）'!F:F,综合考核!A129,'转介绍+留修奖励（已发现金）'!H:H)+SUMIF('转介绍+留修奖励（已发现金）'!L:L,综合考核!A129,'转介绍+留修奖励（已发现金）'!M:M)++SUMIF('转介绍+留修奖励（已发现金）'!B:B,综合考核!A129,'转介绍+留修奖励（已发现金）'!C:C)</f>
        <v>0</v>
      </c>
      <c r="F129" s="360">
        <f>SUMIF(工作车救急!A:A,A129,工作车救急!B:B)</f>
        <v>0</v>
      </c>
      <c r="G129" s="360">
        <f t="shared" si="34"/>
        <v>0</v>
      </c>
      <c r="H129" s="361"/>
      <c r="I129" s="359">
        <f>SUMIF(保客营销考核!E:E,A129,保客营销考核!J:J)</f>
        <v>0</v>
      </c>
      <c r="J129" s="361">
        <f>SUMIF(服装扣款!D:D,综合考核!A129,服装扣款!R:R)</f>
        <v>0</v>
      </c>
      <c r="K129" s="360">
        <f t="shared" si="35"/>
        <v>0</v>
      </c>
      <c r="L129" s="360">
        <f>SUMIF('-月满意度考核'!C:C,综合考核!A129,'-月满意度考核'!J:J)</f>
        <v>0</v>
      </c>
      <c r="M129" s="370">
        <f t="shared" si="29"/>
        <v>0</v>
      </c>
      <c r="N129" s="371">
        <f t="shared" si="28"/>
        <v>0</v>
      </c>
      <c r="O129" s="372"/>
      <c r="P129" s="42">
        <f>SUMIF('05月提成-武侯售后'!C:C,综合考核!A129,'05月提成-武侯售后'!L:L)</f>
        <v>0</v>
      </c>
      <c r="Q129" s="373">
        <f t="shared" si="31"/>
        <v>0</v>
      </c>
      <c r="AI129" s="384"/>
      <c r="AJ129" s="384"/>
      <c r="AK129" s="384"/>
      <c r="AL129" s="384"/>
      <c r="AM129" s="384"/>
      <c r="AN129" s="384"/>
      <c r="AO129" s="384"/>
      <c r="AP129" s="384"/>
      <c r="AQ129" s="384"/>
      <c r="AR129" s="384"/>
      <c r="AS129" s="384"/>
      <c r="AT129" s="384"/>
      <c r="AU129" s="384"/>
    </row>
    <row r="130" spans="1:47" ht="26.1" customHeight="1">
      <c r="A130" s="357" t="str">
        <f>'05月提成-武侯售后'!C131</f>
        <v>雷毫</v>
      </c>
      <c r="B130" s="358">
        <f>SUMIF('6月配件'!K:K,综合考核!A130,'6月配件'!L:L)</f>
        <v>0</v>
      </c>
      <c r="C130" s="358">
        <f>SUMIF('6月配件'!K:K,A130,'6月配件'!M:M)</f>
        <v>0</v>
      </c>
      <c r="D130" s="358">
        <f>SUMIF('5月接送车'!D:D,综合考核!A130,'5月接送车'!E:E)</f>
        <v>0</v>
      </c>
      <c r="E130" s="369">
        <f>SUMIF('转介绍+留修奖励（已发现金）'!F:F,综合考核!A130,'转介绍+留修奖励（已发现金）'!H:H)+SUMIF('转介绍+留修奖励（已发现金）'!L:L,综合考核!A130,'转介绍+留修奖励（已发现金）'!M:M)++SUMIF('转介绍+留修奖励（已发现金）'!B:B,综合考核!A130,'转介绍+留修奖励（已发现金）'!C:C)</f>
        <v>0</v>
      </c>
      <c r="F130" s="360">
        <f>SUMIF(工作车救急!A:A,A130,工作车救急!B:B)</f>
        <v>0</v>
      </c>
      <c r="G130" s="360">
        <f t="shared" si="34"/>
        <v>0</v>
      </c>
      <c r="H130" s="361"/>
      <c r="I130" s="359">
        <f>SUMIF(保客营销考核!E:E,A130,保客营销考核!J:J)</f>
        <v>0</v>
      </c>
      <c r="J130" s="361">
        <f>SUMIF(服装扣款!D:D,综合考核!A130,服装扣款!R:R)</f>
        <v>0</v>
      </c>
      <c r="K130" s="360">
        <f t="shared" si="35"/>
        <v>0</v>
      </c>
      <c r="L130" s="360">
        <f>SUMIF('-月满意度考核'!C:C,综合考核!A130,'-月满意度考核'!J:J)</f>
        <v>0</v>
      </c>
      <c r="M130" s="370">
        <f t="shared" si="29"/>
        <v>0</v>
      </c>
      <c r="N130" s="371">
        <f t="shared" si="28"/>
        <v>0</v>
      </c>
      <c r="O130" s="372"/>
      <c r="P130" s="42">
        <f>SUMIF('05月提成-武侯售后'!C:C,综合考核!A130,'05月提成-武侯售后'!L:L)</f>
        <v>0</v>
      </c>
      <c r="Q130" s="373">
        <f t="shared" si="31"/>
        <v>0</v>
      </c>
      <c r="AI130" s="384"/>
      <c r="AJ130" s="384"/>
      <c r="AK130" s="384"/>
      <c r="AL130" s="384"/>
      <c r="AM130" s="384"/>
      <c r="AN130" s="384"/>
      <c r="AO130" s="384"/>
      <c r="AP130" s="384"/>
      <c r="AQ130" s="384"/>
      <c r="AR130" s="384"/>
      <c r="AS130" s="384"/>
      <c r="AT130" s="384"/>
      <c r="AU130" s="384"/>
    </row>
    <row r="131" spans="1:47" ht="26.1" customHeight="1">
      <c r="A131" s="357" t="str">
        <f>'05月提成-武侯售后'!C132</f>
        <v>冯建勇</v>
      </c>
      <c r="B131" s="358">
        <f>SUMIF('6月配件'!K:K,综合考核!A131,'6月配件'!L:L)</f>
        <v>0</v>
      </c>
      <c r="C131" s="358">
        <f>SUMIF('6月配件'!K:K,A131,'6月配件'!M:M)</f>
        <v>0</v>
      </c>
      <c r="D131" s="358">
        <f>SUMIF('5月接送车'!D:D,综合考核!A131,'5月接送车'!E:E)</f>
        <v>0</v>
      </c>
      <c r="E131" s="369">
        <f>SUMIF('转介绍+留修奖励（已发现金）'!F:F,综合考核!A131,'转介绍+留修奖励（已发现金）'!H:H)+SUMIF('转介绍+留修奖励（已发现金）'!L:L,综合考核!A131,'转介绍+留修奖励（已发现金）'!M:M)++SUMIF('转介绍+留修奖励（已发现金）'!B:B,综合考核!A131,'转介绍+留修奖励（已发现金）'!C:C)</f>
        <v>0</v>
      </c>
      <c r="F131" s="360">
        <f>SUMIF(工作车救急!A:A,A131,工作车救急!B:B)</f>
        <v>0</v>
      </c>
      <c r="G131" s="360">
        <f t="shared" si="34"/>
        <v>0</v>
      </c>
      <c r="H131" s="361"/>
      <c r="I131" s="359">
        <f>SUMIF(保客营销考核!E:E,A131,保客营销考核!J:J)</f>
        <v>0</v>
      </c>
      <c r="J131" s="361">
        <f>SUMIF(服装扣款!D:D,综合考核!A131,服装扣款!R:R)</f>
        <v>0</v>
      </c>
      <c r="K131" s="360">
        <f t="shared" si="35"/>
        <v>0</v>
      </c>
      <c r="L131" s="360">
        <f>SUMIF('-月满意度考核'!C:C,综合考核!A131,'-月满意度考核'!J:J)</f>
        <v>0</v>
      </c>
      <c r="M131" s="370">
        <f t="shared" si="29"/>
        <v>0</v>
      </c>
      <c r="N131" s="371">
        <f t="shared" si="28"/>
        <v>0</v>
      </c>
      <c r="O131" s="372"/>
      <c r="Q131" s="373">
        <f t="shared" si="31"/>
        <v>0</v>
      </c>
      <c r="AI131" s="384"/>
      <c r="AJ131" s="384"/>
      <c r="AK131" s="384"/>
      <c r="AL131" s="384"/>
      <c r="AM131" s="384"/>
      <c r="AN131" s="384"/>
      <c r="AO131" s="384"/>
      <c r="AP131" s="384"/>
      <c r="AQ131" s="384"/>
      <c r="AR131" s="384"/>
      <c r="AS131" s="384"/>
      <c r="AT131" s="384"/>
      <c r="AU131" s="384"/>
    </row>
    <row r="132" spans="1:47" ht="26.1" customHeight="1">
      <c r="A132" s="357" t="str">
        <f>'05月提成-武侯售后'!C133</f>
        <v>油漆组</v>
      </c>
      <c r="B132" s="358">
        <f>SUMIF('6月配件'!K:K,综合考核!A132,'6月配件'!L:L)</f>
        <v>0</v>
      </c>
      <c r="C132" s="358">
        <f>SUMIF('6月配件'!K:K,A132,'6月配件'!M:M)</f>
        <v>0</v>
      </c>
      <c r="D132" s="358">
        <f>SUMIF('5月接送车'!D:D,综合考核!A132,'5月接送车'!E:E)</f>
        <v>0</v>
      </c>
      <c r="E132" s="369">
        <f>SUMIF('转介绍+留修奖励（已发现金）'!F:F,综合考核!A132,'转介绍+留修奖励（已发现金）'!H:H)+SUMIF('转介绍+留修奖励（已发现金）'!L:L,综合考核!A132,'转介绍+留修奖励（已发现金）'!M:M)++SUMIF('转介绍+留修奖励（已发现金）'!B:B,综合考核!A132,'转介绍+留修奖励（已发现金）'!C:C)</f>
        <v>0</v>
      </c>
      <c r="F132" s="360">
        <f>SUMIF(工作车救急!A:A,A132,工作车救急!B:B)</f>
        <v>0</v>
      </c>
      <c r="G132" s="360">
        <f t="shared" si="34"/>
        <v>0</v>
      </c>
      <c r="H132" s="361"/>
      <c r="I132" s="359">
        <f>SUMIF(保客营销考核!E:E,A132,保客营销考核!J:J)</f>
        <v>0</v>
      </c>
      <c r="J132" s="361">
        <f>SUMIF(服装扣款!D:D,综合考核!A132,服装扣款!R:R)</f>
        <v>0</v>
      </c>
      <c r="K132" s="360">
        <f t="shared" si="35"/>
        <v>0</v>
      </c>
      <c r="L132" s="360">
        <f>SUMIF('-月满意度考核'!C:C,综合考核!A132,'-月满意度考核'!J:J)</f>
        <v>0</v>
      </c>
      <c r="M132" s="370">
        <f t="shared" si="29"/>
        <v>0</v>
      </c>
      <c r="N132" s="371">
        <f t="shared" si="28"/>
        <v>0</v>
      </c>
      <c r="O132" s="372"/>
      <c r="P132" s="42">
        <f>SUMIF('05月提成-武侯售后'!C:C,综合考核!A132,'05月提成-武侯售后'!L:L)</f>
        <v>0</v>
      </c>
      <c r="Q132" s="373">
        <f t="shared" si="31"/>
        <v>0</v>
      </c>
      <c r="AI132" s="384"/>
      <c r="AJ132" s="384"/>
      <c r="AK132" s="384"/>
      <c r="AL132" s="384"/>
      <c r="AM132" s="384"/>
      <c r="AN132" s="384"/>
      <c r="AO132" s="384"/>
      <c r="AP132" s="384"/>
      <c r="AQ132" s="384"/>
      <c r="AR132" s="384"/>
      <c r="AS132" s="384"/>
      <c r="AT132" s="384"/>
      <c r="AU132" s="384"/>
    </row>
    <row r="133" spans="1:47" ht="26.1" customHeight="1">
      <c r="A133" s="357" t="str">
        <f>'05月提成-武侯售后'!C134</f>
        <v>孙小平</v>
      </c>
      <c r="B133" s="358">
        <f>SUMIF('6月配件'!K:K,综合考核!A133,'6月配件'!L:L)</f>
        <v>0</v>
      </c>
      <c r="C133" s="358">
        <f>SUMIF('6月配件'!K:K,A133,'6月配件'!M:M)</f>
        <v>0</v>
      </c>
      <c r="D133" s="358">
        <f>SUMIF('5月接送车'!D:D,综合考核!A133,'5月接送车'!E:E)</f>
        <v>0</v>
      </c>
      <c r="E133" s="369">
        <f>SUMIF('转介绍+留修奖励（已发现金）'!F:F,综合考核!A133,'转介绍+留修奖励（已发现金）'!H:H)+SUMIF('转介绍+留修奖励（已发现金）'!L:L,综合考核!A133,'转介绍+留修奖励（已发现金）'!M:M)++SUMIF('转介绍+留修奖励（已发现金）'!B:B,综合考核!A133,'转介绍+留修奖励（已发现金）'!C:C)</f>
        <v>0</v>
      </c>
      <c r="F133" s="360">
        <f>SUMIF(工作车救急!A:A,A133,工作车救急!B:B)</f>
        <v>0</v>
      </c>
      <c r="G133" s="360">
        <f t="shared" ref="G133:G164" si="36">SUMIF(AJ:AJ,A133,AV:AV)</f>
        <v>0</v>
      </c>
      <c r="H133" s="361"/>
      <c r="I133" s="359">
        <f>SUMIF(保客营销考核!E:E,A133,保客营销考核!J:J)</f>
        <v>0</v>
      </c>
      <c r="J133" s="361">
        <f>SUMIF(服装扣款!D:D,综合考核!A133,服装扣款!R:R)</f>
        <v>0</v>
      </c>
      <c r="K133" s="360">
        <f t="shared" si="35"/>
        <v>0</v>
      </c>
      <c r="L133" s="360">
        <f>SUMIF('-月满意度考核'!C:C,综合考核!A133,'-月满意度考核'!J:J)</f>
        <v>0</v>
      </c>
      <c r="M133" s="370">
        <f t="shared" si="29"/>
        <v>0</v>
      </c>
      <c r="N133" s="371">
        <f t="shared" si="28"/>
        <v>0</v>
      </c>
      <c r="O133" s="372"/>
      <c r="P133" s="42">
        <f>SUMIF('05月提成-武侯售后'!C:C,综合考核!A133,'05月提成-武侯售后'!L:L)</f>
        <v>0</v>
      </c>
      <c r="Q133" s="373">
        <f t="shared" si="31"/>
        <v>0</v>
      </c>
      <c r="AI133" s="384"/>
      <c r="AJ133" s="384"/>
      <c r="AK133" s="384"/>
      <c r="AL133" s="384"/>
      <c r="AM133" s="384"/>
      <c r="AN133" s="384"/>
      <c r="AO133" s="384"/>
      <c r="AP133" s="384"/>
      <c r="AQ133" s="384"/>
      <c r="AR133" s="384"/>
      <c r="AS133" s="384"/>
      <c r="AT133" s="384"/>
      <c r="AU133" s="384"/>
    </row>
    <row r="134" spans="1:47" ht="26.1" customHeight="1">
      <c r="A134" s="357" t="str">
        <f>'05月提成-武侯售后'!C135</f>
        <v>成万强</v>
      </c>
      <c r="B134" s="358">
        <f>SUMIF('6月配件'!K:K,综合考核!A134,'6月配件'!L:L)</f>
        <v>0</v>
      </c>
      <c r="C134" s="358">
        <f>SUMIF('6月配件'!K:K,A134,'6月配件'!M:M)</f>
        <v>0</v>
      </c>
      <c r="D134" s="358">
        <f>SUMIF('5月接送车'!D:D,综合考核!A134,'5月接送车'!E:E)</f>
        <v>0</v>
      </c>
      <c r="E134" s="369">
        <f>SUMIF('转介绍+留修奖励（已发现金）'!F:F,综合考核!A134,'转介绍+留修奖励（已发现金）'!H:H)+SUMIF('转介绍+留修奖励（已发现金）'!L:L,综合考核!A134,'转介绍+留修奖励（已发现金）'!M:M)++SUMIF('转介绍+留修奖励（已发现金）'!B:B,综合考核!A134,'转介绍+留修奖励（已发现金）'!C:C)</f>
        <v>0</v>
      </c>
      <c r="F134" s="360">
        <f>SUMIF(工作车救急!A:A,A134,工作车救急!B:B)</f>
        <v>0</v>
      </c>
      <c r="G134" s="360">
        <f t="shared" si="36"/>
        <v>0</v>
      </c>
      <c r="H134" s="361"/>
      <c r="I134" s="359">
        <f>SUMIF(保客营销考核!E:E,A134,保客营销考核!J:J)</f>
        <v>0</v>
      </c>
      <c r="J134" s="361">
        <f>SUMIF(服装扣款!D:D,综合考核!A134,服装扣款!R:R)</f>
        <v>0</v>
      </c>
      <c r="K134" s="360">
        <f t="shared" si="35"/>
        <v>0</v>
      </c>
      <c r="L134" s="360">
        <f>SUMIF('-月满意度考核'!C:C,综合考核!A134,'-月满意度考核'!J:J)</f>
        <v>0</v>
      </c>
      <c r="M134" s="370">
        <f t="shared" si="29"/>
        <v>0</v>
      </c>
      <c r="N134" s="371">
        <f t="shared" ref="N134:N197" si="37">SUM(E134)</f>
        <v>0</v>
      </c>
      <c r="O134" s="372"/>
      <c r="P134" s="42">
        <f>SUMIF('05月提成-武侯售后'!C:C,综合考核!A134,'05月提成-武侯售后'!L:L)</f>
        <v>0</v>
      </c>
      <c r="Q134" s="373">
        <f t="shared" si="31"/>
        <v>0</v>
      </c>
      <c r="AI134" s="384"/>
      <c r="AJ134" s="384"/>
      <c r="AK134" s="384"/>
      <c r="AL134" s="384"/>
      <c r="AM134" s="384"/>
      <c r="AN134" s="384"/>
      <c r="AO134" s="384"/>
      <c r="AP134" s="384"/>
      <c r="AQ134" s="384"/>
      <c r="AR134" s="384"/>
      <c r="AS134" s="384"/>
      <c r="AT134" s="384"/>
      <c r="AU134" s="384"/>
    </row>
    <row r="135" spans="1:47" ht="26.1" customHeight="1">
      <c r="A135" s="357" t="str">
        <f>'05月提成-武侯售后'!C136</f>
        <v>贾卫红</v>
      </c>
      <c r="B135" s="358">
        <f>SUMIF('6月配件'!K:K,综合考核!A135,'6月配件'!L:L)</f>
        <v>0</v>
      </c>
      <c r="C135" s="358">
        <f>SUMIF('6月配件'!K:K,A135,'6月配件'!M:M)</f>
        <v>0</v>
      </c>
      <c r="D135" s="358">
        <f>SUMIF('5月接送车'!D:D,综合考核!A135,'5月接送车'!E:E)</f>
        <v>0</v>
      </c>
      <c r="E135" s="369">
        <f>SUMIF('转介绍+留修奖励（已发现金）'!F:F,综合考核!A135,'转介绍+留修奖励（已发现金）'!H:H)+SUMIF('转介绍+留修奖励（已发现金）'!L:L,综合考核!A135,'转介绍+留修奖励（已发现金）'!M:M)++SUMIF('转介绍+留修奖励（已发现金）'!B:B,综合考核!A135,'转介绍+留修奖励（已发现金）'!C:C)</f>
        <v>0</v>
      </c>
      <c r="F135" s="360">
        <f>SUMIF(工作车救急!A:A,A135,工作车救急!B:B)</f>
        <v>0</v>
      </c>
      <c r="G135" s="360">
        <f t="shared" si="36"/>
        <v>0</v>
      </c>
      <c r="H135" s="361"/>
      <c r="I135" s="359">
        <f>SUMIF(保客营销考核!E:E,A135,保客营销考核!J:J)</f>
        <v>0</v>
      </c>
      <c r="J135" s="361">
        <f>SUMIF(服装扣款!D:D,综合考核!A135,服装扣款!R:R)</f>
        <v>0</v>
      </c>
      <c r="K135" s="360">
        <f t="shared" si="35"/>
        <v>0</v>
      </c>
      <c r="L135" s="360">
        <f>SUMIF('-月满意度考核'!C:C,综合考核!A135,'-月满意度考核'!J:J)</f>
        <v>0</v>
      </c>
      <c r="M135" s="370">
        <f t="shared" si="29"/>
        <v>0</v>
      </c>
      <c r="N135" s="371">
        <f t="shared" si="37"/>
        <v>0</v>
      </c>
      <c r="O135" s="372"/>
      <c r="Q135" s="373">
        <f t="shared" si="31"/>
        <v>0</v>
      </c>
      <c r="AI135" s="384"/>
      <c r="AJ135" s="384"/>
      <c r="AK135" s="384"/>
      <c r="AL135" s="384"/>
      <c r="AM135" s="384"/>
      <c r="AN135" s="384"/>
      <c r="AO135" s="384"/>
      <c r="AP135" s="384"/>
      <c r="AQ135" s="384"/>
      <c r="AR135" s="384"/>
      <c r="AS135" s="384"/>
      <c r="AT135" s="384"/>
      <c r="AU135" s="384"/>
    </row>
    <row r="136" spans="1:47" ht="26.1" customHeight="1">
      <c r="A136" s="357" t="str">
        <f>'05月提成-武侯售后'!C137</f>
        <v>小计</v>
      </c>
      <c r="B136" s="358">
        <f>SUMIF('6月配件'!K:K,综合考核!A136,'6月配件'!L:L)</f>
        <v>0</v>
      </c>
      <c r="C136" s="358">
        <f>SUMIF('6月配件'!K:K,A136,'6月配件'!M:M)</f>
        <v>0</v>
      </c>
      <c r="D136" s="358">
        <f>SUMIF('5月接送车'!D:D,综合考核!A136,'5月接送车'!E:E)</f>
        <v>0</v>
      </c>
      <c r="E136" s="369">
        <f>SUMIF('转介绍+留修奖励（已发现金）'!F:F,综合考核!A136,'转介绍+留修奖励（已发现金）'!H:H)+SUMIF('转介绍+留修奖励（已发现金）'!L:L,综合考核!A136,'转介绍+留修奖励（已发现金）'!M:M)++SUMIF('转介绍+留修奖励（已发现金）'!B:B,综合考核!A136,'转介绍+留修奖励（已发现金）'!C:C)</f>
        <v>0</v>
      </c>
      <c r="F136" s="360">
        <f>SUMIF(工作车救急!A:A,A136,工作车救急!B:B)</f>
        <v>0</v>
      </c>
      <c r="G136" s="360">
        <f t="shared" si="36"/>
        <v>0</v>
      </c>
      <c r="H136" s="361"/>
      <c r="I136" s="359">
        <f>SUMIF(保客营销考核!E:E,A136,保客营销考核!J:J)</f>
        <v>0</v>
      </c>
      <c r="J136" s="361">
        <f>SUMIF(服装扣款!D:D,综合考核!A136,服装扣款!R:R)</f>
        <v>0</v>
      </c>
      <c r="K136" s="360">
        <f t="shared" si="35"/>
        <v>0</v>
      </c>
      <c r="L136" s="360">
        <f>SUMIF('-月满意度考核'!C:C,综合考核!A136,'-月满意度考核'!J:J)</f>
        <v>0</v>
      </c>
      <c r="M136" s="370">
        <f>SUM(B136:K136)-E136</f>
        <v>0</v>
      </c>
      <c r="N136" s="371">
        <f t="shared" si="37"/>
        <v>0</v>
      </c>
      <c r="O136" s="372"/>
      <c r="P136" s="42">
        <f>SUMIF('05月提成-武侯售后'!C:C,综合考核!A136,'05月提成-武侯售后'!L:L)</f>
        <v>1590</v>
      </c>
      <c r="Q136" s="373">
        <f t="shared" si="31"/>
        <v>-1590</v>
      </c>
    </row>
    <row r="137" spans="1:47" ht="26.1" customHeight="1">
      <c r="A137" s="357">
        <f>'05月提成-武侯售后'!C138</f>
        <v>0</v>
      </c>
      <c r="B137" s="358">
        <f>SUMIF('6月配件'!K:K,综合考核!A137,'6月配件'!L:L)</f>
        <v>0</v>
      </c>
      <c r="C137" s="358">
        <f>SUMIF('6月配件'!K:K,A137,'6月配件'!M:M)</f>
        <v>0</v>
      </c>
      <c r="D137" s="358">
        <f>SUMIF('5月接送车'!D:D,综合考核!A137,'5月接送车'!E:E)</f>
        <v>0</v>
      </c>
      <c r="E137" s="369">
        <f>SUMIF('转介绍+留修奖励（已发现金）'!F:F,综合考核!A137,'转介绍+留修奖励（已发现金）'!H:H)+SUMIF('转介绍+留修奖励（已发现金）'!L:L,综合考核!A137,'转介绍+留修奖励（已发现金）'!M:M)++SUMIF('转介绍+留修奖励（已发现金）'!B:B,综合考核!A137,'转介绍+留修奖励（已发现金）'!C:C)</f>
        <v>0</v>
      </c>
      <c r="F137" s="360">
        <f>SUMIF(工作车救急!A:A,A137,工作车救急!B:B)</f>
        <v>0</v>
      </c>
      <c r="G137" s="360">
        <f t="shared" si="36"/>
        <v>0</v>
      </c>
      <c r="H137" s="361"/>
      <c r="I137" s="359">
        <f>SUMIF(保客营销考核!E:E,A137,保客营销考核!J:J)</f>
        <v>0</v>
      </c>
      <c r="J137" s="361">
        <f>SUMIF(服装扣款!D:D,综合考核!A137,服装扣款!R:R)</f>
        <v>0</v>
      </c>
      <c r="K137" s="360">
        <f t="shared" si="35"/>
        <v>0</v>
      </c>
      <c r="L137" s="360">
        <f>SUMIF('-月满意度考核'!C:C,综合考核!A137,'-月满意度考核'!J:J)</f>
        <v>0</v>
      </c>
      <c r="M137" s="370">
        <f>SUM(B137:K137)-E137</f>
        <v>0</v>
      </c>
      <c r="N137" s="371">
        <f t="shared" si="37"/>
        <v>0</v>
      </c>
      <c r="O137" s="372"/>
      <c r="P137" s="42">
        <f>SUMIF('05月提成-武侯售后'!C:C,综合考核!A137,'05月提成-武侯售后'!L:L)</f>
        <v>0</v>
      </c>
      <c r="Q137" s="373">
        <f t="shared" ref="Q137:Q139" si="38">M137-P137</f>
        <v>0</v>
      </c>
    </row>
    <row r="138" spans="1:47" ht="26.1" customHeight="1">
      <c r="A138" s="357">
        <f>'05月提成-武侯售后'!C139</f>
        <v>0</v>
      </c>
      <c r="B138" s="358">
        <f>SUMIF('6月配件'!K:K,综合考核!A138,'6月配件'!L:L)</f>
        <v>0</v>
      </c>
      <c r="C138" s="358">
        <f>SUMIF('6月配件'!K:K,A138,'6月配件'!M:M)</f>
        <v>0</v>
      </c>
      <c r="D138" s="358">
        <f>SUMIF('5月接送车'!D:D,综合考核!A138,'5月接送车'!E:E)</f>
        <v>0</v>
      </c>
      <c r="E138" s="369">
        <f>SUMIF('转介绍+留修奖励（已发现金）'!F:F,综合考核!A138,'转介绍+留修奖励（已发现金）'!H:H)+SUMIF('转介绍+留修奖励（已发现金）'!L:L,综合考核!A138,'转介绍+留修奖励（已发现金）'!M:M)++SUMIF('转介绍+留修奖励（已发现金）'!B:B,综合考核!A138,'转介绍+留修奖励（已发现金）'!C:C)</f>
        <v>0</v>
      </c>
      <c r="F138" s="360">
        <f>SUMIF(工作车救急!A:A,A138,工作车救急!B:B)</f>
        <v>0</v>
      </c>
      <c r="G138" s="360">
        <f t="shared" si="36"/>
        <v>0</v>
      </c>
      <c r="H138" s="361"/>
      <c r="I138" s="359">
        <f>SUMIF(保客营销考核!E:E,A138,保客营销考核!J:J)</f>
        <v>0</v>
      </c>
      <c r="J138" s="361">
        <f>SUMIF(服装扣款!D:D,综合考核!A138,服装扣款!R:R)</f>
        <v>0</v>
      </c>
      <c r="K138" s="360">
        <f t="shared" si="35"/>
        <v>0</v>
      </c>
      <c r="L138" s="360">
        <f>SUMIF('-月满意度考核'!C:C,综合考核!A138,'-月满意度考核'!J:J)</f>
        <v>0</v>
      </c>
      <c r="M138" s="370">
        <f>SUM(B138:K138)-E138</f>
        <v>0</v>
      </c>
      <c r="N138" s="371">
        <f t="shared" si="37"/>
        <v>0</v>
      </c>
      <c r="O138" s="372"/>
      <c r="P138" s="42">
        <f>SUMIF('05月提成-武侯售后'!C:C,综合考核!A138,'05月提成-武侯售后'!L:L)</f>
        <v>0</v>
      </c>
      <c r="Q138" s="373">
        <f t="shared" si="38"/>
        <v>0</v>
      </c>
    </row>
    <row r="139" spans="1:47" ht="26.1" customHeight="1">
      <c r="A139" s="357">
        <f>'05月提成-武侯售后'!C140</f>
        <v>0</v>
      </c>
      <c r="B139" s="358">
        <f>SUMIF('6月配件'!K:K,综合考核!A139,'6月配件'!L:L)</f>
        <v>0</v>
      </c>
      <c r="C139" s="358">
        <f>SUMIF('6月配件'!K:K,A139,'6月配件'!M:M)</f>
        <v>0</v>
      </c>
      <c r="D139" s="358">
        <f>SUMIF('5月接送车'!D:D,综合考核!A139,'5月接送车'!E:E)</f>
        <v>0</v>
      </c>
      <c r="E139" s="369">
        <f>SUMIF('转介绍+留修奖励（已发现金）'!F:F,综合考核!A139,'转介绍+留修奖励（已发现金）'!H:H)+SUMIF('转介绍+留修奖励（已发现金）'!L:L,综合考核!A139,'转介绍+留修奖励（已发现金）'!M:M)++SUMIF('转介绍+留修奖励（已发现金）'!B:B,综合考核!A139,'转介绍+留修奖励（已发现金）'!C:C)</f>
        <v>0</v>
      </c>
      <c r="F139" s="360">
        <f>SUMIF(工作车救急!A:A,A139,工作车救急!B:B)</f>
        <v>0</v>
      </c>
      <c r="G139" s="360">
        <f t="shared" si="36"/>
        <v>0</v>
      </c>
      <c r="H139" s="361"/>
      <c r="I139" s="359">
        <f>SUMIF(保客营销考核!E:E,A139,保客营销考核!J:J)</f>
        <v>0</v>
      </c>
      <c r="J139" s="361">
        <f>SUMIF(服装扣款!D:D,综合考核!A139,服装扣款!R:R)</f>
        <v>0</v>
      </c>
      <c r="K139" s="360">
        <f t="shared" si="35"/>
        <v>0</v>
      </c>
      <c r="L139" s="360">
        <f>SUMIF('-月满意度考核'!C:C,综合考核!A139,'-月满意度考核'!J:J)</f>
        <v>0</v>
      </c>
      <c r="M139" s="370">
        <f>SUM(B139:K139)-E139</f>
        <v>0</v>
      </c>
      <c r="N139" s="371">
        <f t="shared" si="37"/>
        <v>0</v>
      </c>
      <c r="O139" s="372"/>
      <c r="P139" s="42">
        <f>SUMIF('05月提成-武侯售后'!C:C,综合考核!A139,'05月提成-武侯售后'!L:L)</f>
        <v>0</v>
      </c>
      <c r="Q139" s="373">
        <f t="shared" si="38"/>
        <v>0</v>
      </c>
    </row>
    <row r="140" spans="1:47" ht="26.1" customHeight="1">
      <c r="A140" s="357">
        <f>'05月提成-武侯售后'!C142</f>
        <v>0</v>
      </c>
      <c r="B140" s="358">
        <f>SUMIF('6月配件'!K:K,综合考核!A140,'6月配件'!L:L)</f>
        <v>0</v>
      </c>
      <c r="C140" s="358">
        <f>SUMIF('6月配件'!K:K,A140,'6月配件'!M:M)</f>
        <v>0</v>
      </c>
      <c r="D140" s="358">
        <f>SUMIF('5月接送车'!D:D,综合考核!A140,'5月接送车'!E:E)</f>
        <v>0</v>
      </c>
      <c r="E140" s="369">
        <f>SUMIF('转介绍+留修奖励（已发现金）'!F:F,综合考核!A140,'转介绍+留修奖励（已发现金）'!H:H)+SUMIF('转介绍+留修奖励（已发现金）'!L:L,综合考核!A140,'转介绍+留修奖励（已发现金）'!M:M)++SUMIF('转介绍+留修奖励（已发现金）'!B:B,综合考核!A140,'转介绍+留修奖励（已发现金）'!C:C)</f>
        <v>0</v>
      </c>
      <c r="F140" s="360">
        <f>SUMIF(工作车救急!A:A,A140,工作车救急!B:B)</f>
        <v>0</v>
      </c>
      <c r="G140" s="360">
        <f t="shared" si="36"/>
        <v>0</v>
      </c>
      <c r="H140" s="361"/>
      <c r="I140" s="359">
        <f>SUMIF(保客营销考核!E:E,A140,保客营销考核!J:J)</f>
        <v>0</v>
      </c>
      <c r="J140" s="361">
        <f>SUMIF(服装扣款!D:D,综合考核!A140,服装扣款!R:R)</f>
        <v>0</v>
      </c>
      <c r="K140" s="360">
        <f t="shared" si="35"/>
        <v>0</v>
      </c>
      <c r="L140" s="360">
        <f>SUMIF('-月满意度考核'!C:C,综合考核!A140,'-月满意度考核'!J:J)</f>
        <v>0</v>
      </c>
      <c r="M140" s="370">
        <f t="shared" ref="M140:M159" si="39">SUM(B140:K140)-E140</f>
        <v>0</v>
      </c>
      <c r="N140" s="371">
        <f t="shared" si="37"/>
        <v>0</v>
      </c>
      <c r="O140" s="372"/>
      <c r="P140" s="42">
        <f>SUMIF('05月提成-武侯售后'!C:C,综合考核!A140,'05月提成-武侯售后'!L:L)</f>
        <v>0</v>
      </c>
      <c r="Q140" s="373">
        <f t="shared" ref="Q140:Q159" si="40">M140-P140</f>
        <v>0</v>
      </c>
    </row>
    <row r="141" spans="1:47" ht="26.1" customHeight="1">
      <c r="A141" s="357">
        <f>'05月提成-武侯售后'!C143</f>
        <v>0</v>
      </c>
      <c r="B141" s="358">
        <f>SUMIF('6月配件'!K:K,综合考核!A141,'6月配件'!L:L)</f>
        <v>0</v>
      </c>
      <c r="C141" s="358">
        <f>SUMIF('6月配件'!K:K,A141,'6月配件'!M:M)</f>
        <v>0</v>
      </c>
      <c r="D141" s="358">
        <f>SUMIF('5月接送车'!D:D,综合考核!A141,'5月接送车'!E:E)</f>
        <v>0</v>
      </c>
      <c r="E141" s="369">
        <f>SUMIF('转介绍+留修奖励（已发现金）'!F:F,综合考核!A141,'转介绍+留修奖励（已发现金）'!H:H)+SUMIF('转介绍+留修奖励（已发现金）'!L:L,综合考核!A141,'转介绍+留修奖励（已发现金）'!M:M)++SUMIF('转介绍+留修奖励（已发现金）'!B:B,综合考核!A141,'转介绍+留修奖励（已发现金）'!C:C)</f>
        <v>0</v>
      </c>
      <c r="F141" s="360">
        <f>SUMIF(工作车救急!A:A,A141,工作车救急!B:B)</f>
        <v>0</v>
      </c>
      <c r="G141" s="360">
        <f t="shared" si="36"/>
        <v>0</v>
      </c>
      <c r="H141" s="361"/>
      <c r="I141" s="359">
        <f>SUMIF(保客营销考核!E:E,A141,保客营销考核!J:J)</f>
        <v>0</v>
      </c>
      <c r="J141" s="361">
        <f>SUMIF(服装扣款!D:D,综合考核!A141,服装扣款!R:R)</f>
        <v>0</v>
      </c>
      <c r="K141" s="360">
        <f t="shared" si="35"/>
        <v>0</v>
      </c>
      <c r="L141" s="360">
        <f>SUMIF('-月满意度考核'!C:C,综合考核!A141,'-月满意度考核'!J:J)</f>
        <v>0</v>
      </c>
      <c r="M141" s="370">
        <f t="shared" si="39"/>
        <v>0</v>
      </c>
      <c r="N141" s="371">
        <f t="shared" si="37"/>
        <v>0</v>
      </c>
      <c r="O141" s="372"/>
      <c r="P141" s="42">
        <f>SUMIF('05月提成-武侯售后'!C:C,综合考核!A141,'05月提成-武侯售后'!L:L)</f>
        <v>0</v>
      </c>
      <c r="Q141" s="373">
        <f t="shared" si="40"/>
        <v>0</v>
      </c>
    </row>
    <row r="142" spans="1:47" ht="26.1" customHeight="1">
      <c r="A142" s="357" t="str">
        <f>'05月提成-机场售后'!C5</f>
        <v>罗筱凡</v>
      </c>
      <c r="B142" s="358">
        <f>SUMIF('6月配件'!K:K,综合考核!A142,'6月配件'!L:L)</f>
        <v>0</v>
      </c>
      <c r="C142" s="358">
        <f>SUMIF('6月配件'!K:K,A142,'6月配件'!M:M)</f>
        <v>0</v>
      </c>
      <c r="D142" s="358">
        <f>SUMIF('5月接送车'!D:D,综合考核!A142,'5月接送车'!E:E)</f>
        <v>0</v>
      </c>
      <c r="E142" s="369">
        <f>SUMIF('转介绍+留修奖励（已发现金）'!F:F,综合考核!A142,'转介绍+留修奖励（已发现金）'!H:H)+SUMIF('转介绍+留修奖励（已发现金）'!L:L,综合考核!A142,'转介绍+留修奖励（已发现金）'!M:M)++SUMIF('转介绍+留修奖励（已发现金）'!B:B,综合考核!A142,'转介绍+留修奖励（已发现金）'!C:C)</f>
        <v>0</v>
      </c>
      <c r="F142" s="360">
        <f>SUMIF(工作车救急!A:A,A142,工作车救急!B:B)</f>
        <v>0</v>
      </c>
      <c r="G142" s="360">
        <f t="shared" si="36"/>
        <v>0</v>
      </c>
      <c r="H142" s="361"/>
      <c r="I142" s="359">
        <f>SUMIF(保客营销考核!E:E,A142,保客营销考核!J:J)</f>
        <v>0</v>
      </c>
      <c r="J142" s="361">
        <f>SUMIF(服装扣款!D:D,综合考核!A142,服装扣款!R:R)</f>
        <v>0</v>
      </c>
      <c r="K142" s="360">
        <f t="shared" si="35"/>
        <v>0</v>
      </c>
      <c r="L142" s="360">
        <f>SUMIF('-月满意度考核'!C:C,综合考核!A142,'-月满意度考核'!J:J)</f>
        <v>0</v>
      </c>
      <c r="M142" s="370">
        <f t="shared" si="39"/>
        <v>0</v>
      </c>
      <c r="N142" s="371">
        <f t="shared" si="37"/>
        <v>0</v>
      </c>
      <c r="O142" s="372"/>
      <c r="P142" s="42">
        <f>SUMIF('05月提成-武侯售后'!C:C,综合考核!A142,'05月提成-武侯售后'!L:L)</f>
        <v>0</v>
      </c>
      <c r="Q142" s="373">
        <f t="shared" si="40"/>
        <v>0</v>
      </c>
    </row>
    <row r="143" spans="1:47" ht="26.1" customHeight="1">
      <c r="A143" s="357" t="str">
        <f>'05月提成-机场售后'!C6</f>
        <v>李佳语</v>
      </c>
      <c r="B143" s="358">
        <f>SUMIF('6月配件'!K:K,综合考核!A143,'6月配件'!L:L)</f>
        <v>0</v>
      </c>
      <c r="C143" s="358">
        <f>SUMIF('6月配件'!K:K,A143,'6月配件'!M:M)</f>
        <v>0</v>
      </c>
      <c r="D143" s="358">
        <f>SUMIF('5月接送车'!D:D,综合考核!A143,'5月接送车'!E:E)+SUMIF('4月续保推荐事故'!I:I,A143,'4月续保推荐事故'!K:K)</f>
        <v>0</v>
      </c>
      <c r="E143" s="369">
        <f>SUMIF('转介绍+留修奖励（已发现金）'!F:F,综合考核!A143,'转介绍+留修奖励（已发现金）'!H:H)+SUMIF('转介绍+留修奖励（已发现金）'!L:L,综合考核!A143,'转介绍+留修奖励（已发现金）'!M:M)++SUMIF('转介绍+留修奖励（已发现金）'!B:B,综合考核!A143,'转介绍+留修奖励（已发现金）'!C:C)</f>
        <v>0</v>
      </c>
      <c r="F143" s="360">
        <f>SUMIF(工作车救急!A:A,A143,工作车救急!B:B)</f>
        <v>0</v>
      </c>
      <c r="G143" s="360">
        <f t="shared" si="36"/>
        <v>0</v>
      </c>
      <c r="H143" s="361"/>
      <c r="I143" s="359">
        <f>SUMIF(保客营销考核!E:E,A143,保客营销考核!J:J)</f>
        <v>0</v>
      </c>
      <c r="J143" s="361">
        <f>SUMIF(服装扣款!D:D,综合考核!A143,服装扣款!R:R)</f>
        <v>0</v>
      </c>
      <c r="K143" s="360">
        <f t="shared" ref="K143:K169" si="41">SUMIF(S:S,A143,Y:Y)</f>
        <v>0</v>
      </c>
      <c r="L143" s="360">
        <f>SUMIF('-月满意度考核'!C:C,综合考核!A143,'-月满意度考核'!J:J)</f>
        <v>0</v>
      </c>
      <c r="M143" s="370">
        <f t="shared" si="39"/>
        <v>0</v>
      </c>
      <c r="N143" s="371">
        <f t="shared" si="37"/>
        <v>0</v>
      </c>
      <c r="O143" s="372"/>
      <c r="P143" s="42">
        <f>SUMIF('05月提成-武侯售后'!C:C,综合考核!A143,'05月提成-武侯售后'!L:L)</f>
        <v>0</v>
      </c>
      <c r="Q143" s="373">
        <f t="shared" si="40"/>
        <v>0</v>
      </c>
    </row>
    <row r="144" spans="1:47" ht="26.1" customHeight="1">
      <c r="A144" s="357" t="str">
        <f>'05月提成-机场售后'!C7</f>
        <v>古镇吉</v>
      </c>
      <c r="B144" s="358">
        <f>SUMIF('6月配件'!K:K,综合考核!A144,'6月配件'!L:L)</f>
        <v>0</v>
      </c>
      <c r="C144" s="358">
        <f>SUMIF('6月配件'!K:K,A144,'6月配件'!M:M)</f>
        <v>0</v>
      </c>
      <c r="D144" s="358">
        <f>SUMIF('5月接送车'!D:D,综合考核!A144,'5月接送车'!E:E)+SUMIF('4月续保推荐事故'!I:I,A144,'4月续保推荐事故'!K:K)</f>
        <v>0</v>
      </c>
      <c r="E144" s="369">
        <f>SUMIF('转介绍+留修奖励（已发现金）'!F:F,综合考核!A144,'转介绍+留修奖励（已发现金）'!H:H)+SUMIF('转介绍+留修奖励（已发现金）'!L:L,综合考核!A144,'转介绍+留修奖励（已发现金）'!M:M)++SUMIF('转介绍+留修奖励（已发现金）'!B:B,综合考核!A144,'转介绍+留修奖励（已发现金）'!C:C)</f>
        <v>0</v>
      </c>
      <c r="F144" s="360">
        <f>SUMIF(工作车救急!A:A,A144,工作车救急!B:B)</f>
        <v>0</v>
      </c>
      <c r="G144" s="360">
        <f t="shared" si="36"/>
        <v>0</v>
      </c>
      <c r="H144" s="361"/>
      <c r="I144" s="359">
        <f>SUMIF(保客营销考核!E:E,A144,保客营销考核!J:J)</f>
        <v>0</v>
      </c>
      <c r="J144" s="361">
        <f>SUMIF(服装扣款!D:D,综合考核!A144,服装扣款!R:R)</f>
        <v>0</v>
      </c>
      <c r="K144" s="360">
        <f t="shared" si="41"/>
        <v>0</v>
      </c>
      <c r="L144" s="360">
        <f>SUMIF('-月满意度考核'!C:C,综合考核!A144,'-月满意度考核'!J:J)</f>
        <v>0</v>
      </c>
      <c r="M144" s="370">
        <f t="shared" si="39"/>
        <v>0</v>
      </c>
      <c r="N144" s="371">
        <f t="shared" si="37"/>
        <v>0</v>
      </c>
      <c r="O144" s="372"/>
      <c r="P144" s="42">
        <f>SUMIF('05月提成-武侯售后'!C:C,综合考核!A144,'05月提成-武侯售后'!L:L)</f>
        <v>0</v>
      </c>
      <c r="Q144" s="373">
        <f t="shared" si="40"/>
        <v>0</v>
      </c>
    </row>
    <row r="145" spans="1:17" ht="26.1" customHeight="1">
      <c r="A145" s="357" t="str">
        <f>'05月提成-机场售后'!C8</f>
        <v>孙俊杰</v>
      </c>
      <c r="B145" s="358">
        <f>SUMIF('6月配件'!K:K,综合考核!A145,'6月配件'!L:L)</f>
        <v>0</v>
      </c>
      <c r="C145" s="358">
        <f>SUMIF('6月配件'!K:K,A145,'6月配件'!M:M)</f>
        <v>0</v>
      </c>
      <c r="D145" s="358">
        <f>SUMIF('5月接送车'!D:D,综合考核!A145,'5月接送车'!E:E)</f>
        <v>0</v>
      </c>
      <c r="E145" s="369">
        <f>SUMIF('转介绍+留修奖励（已发现金）'!F:F,综合考核!A145,'转介绍+留修奖励（已发现金）'!H:H)+SUMIF('转介绍+留修奖励（已发现金）'!L:L,综合考核!A145,'转介绍+留修奖励（已发现金）'!M:M)++SUMIF('转介绍+留修奖励（已发现金）'!B:B,综合考核!A145,'转介绍+留修奖励（已发现金）'!C:C)</f>
        <v>0</v>
      </c>
      <c r="F145" s="360">
        <f>SUMIF(工作车救急!A:A,A145,工作车救急!B:B)</f>
        <v>0</v>
      </c>
      <c r="G145" s="360">
        <f t="shared" si="36"/>
        <v>0</v>
      </c>
      <c r="H145" s="361"/>
      <c r="I145" s="359">
        <f>SUMIF(保客营销考核!E:E,A145,保客营销考核!J:J)</f>
        <v>0</v>
      </c>
      <c r="J145" s="361">
        <f>SUMIF(服装扣款!D:D,综合考核!A145,服装扣款!R:R)</f>
        <v>0</v>
      </c>
      <c r="K145" s="360">
        <f t="shared" si="41"/>
        <v>0</v>
      </c>
      <c r="L145" s="360">
        <f>SUMIF('-月满意度考核'!C:C,综合考核!A145,'-月满意度考核'!J:J)</f>
        <v>0</v>
      </c>
      <c r="M145" s="370">
        <f t="shared" si="39"/>
        <v>0</v>
      </c>
      <c r="N145" s="371">
        <f t="shared" si="37"/>
        <v>0</v>
      </c>
      <c r="O145" s="372"/>
      <c r="P145" s="42">
        <f>SUMIF('05月提成-武侯售后'!C:C,综合考核!A145,'05月提成-武侯售后'!L:L)</f>
        <v>0</v>
      </c>
      <c r="Q145" s="373">
        <f t="shared" si="40"/>
        <v>0</v>
      </c>
    </row>
    <row r="146" spans="1:17" ht="26.1" customHeight="1">
      <c r="A146" s="357" t="str">
        <f>'05月提成-机场售后'!C9</f>
        <v>周毅</v>
      </c>
      <c r="B146" s="358">
        <f>SUMIF('6月配件'!K:K,综合考核!A146,'6月配件'!L:L)</f>
        <v>0</v>
      </c>
      <c r="C146" s="358">
        <f>SUMIF('6月配件'!K:K,A146,'6月配件'!M:M)</f>
        <v>0</v>
      </c>
      <c r="D146" s="358">
        <f>SUMIF('5月接送车'!D:D,综合考核!A146,'5月接送车'!E:E)</f>
        <v>0</v>
      </c>
      <c r="E146" s="369">
        <f>SUMIF('转介绍+留修奖励（已发现金）'!F:F,综合考核!A146,'转介绍+留修奖励（已发现金）'!H:H)+SUMIF('转介绍+留修奖励（已发现金）'!L:L,综合考核!A146,'转介绍+留修奖励（已发现金）'!M:M)++SUMIF('转介绍+留修奖励（已发现金）'!B:B,综合考核!A146,'转介绍+留修奖励（已发现金）'!C:C)</f>
        <v>0</v>
      </c>
      <c r="F146" s="360">
        <f>SUMIF(工作车救急!A:A,A146,工作车救急!B:B)</f>
        <v>0</v>
      </c>
      <c r="G146" s="360">
        <f t="shared" si="36"/>
        <v>0</v>
      </c>
      <c r="H146" s="361"/>
      <c r="I146" s="359">
        <f>SUMIF(保客营销考核!E:E,A146,保客营销考核!J:J)</f>
        <v>0</v>
      </c>
      <c r="J146" s="361">
        <f>SUMIF(服装扣款!D:D,综合考核!A146,服装扣款!R:R)</f>
        <v>0</v>
      </c>
      <c r="K146" s="360">
        <f t="shared" si="41"/>
        <v>0</v>
      </c>
      <c r="L146" s="360">
        <f>SUMIF('-月满意度考核'!C:C,综合考核!A146,'-月满意度考核'!J:J)</f>
        <v>0</v>
      </c>
      <c r="M146" s="370">
        <f t="shared" si="39"/>
        <v>0</v>
      </c>
      <c r="N146" s="371">
        <f t="shared" si="37"/>
        <v>0</v>
      </c>
      <c r="O146" s="372"/>
      <c r="P146" s="42">
        <f>SUMIF('05月提成-武侯售后'!C:C,综合考核!A146,'05月提成-武侯售后'!L:L)</f>
        <v>0</v>
      </c>
      <c r="Q146" s="373">
        <f t="shared" si="40"/>
        <v>0</v>
      </c>
    </row>
    <row r="147" spans="1:17" ht="26.1" customHeight="1">
      <c r="A147" s="357" t="str">
        <f>'05月提成-机场售后'!C10</f>
        <v>小计</v>
      </c>
      <c r="B147" s="358">
        <f>SUMIF('6月配件'!K:K,综合考核!A147,'6月配件'!L:L)</f>
        <v>0</v>
      </c>
      <c r="C147" s="358">
        <f>SUMIF('6月配件'!K:K,A147,'6月配件'!M:M)</f>
        <v>0</v>
      </c>
      <c r="D147" s="358">
        <f>SUMIF('5月接送车'!D:D,综合考核!A147,'5月接送车'!E:E)</f>
        <v>0</v>
      </c>
      <c r="E147" s="369">
        <f>SUMIF('转介绍+留修奖励（已发现金）'!F:F,综合考核!A147,'转介绍+留修奖励（已发现金）'!H:H)+SUMIF('转介绍+留修奖励（已发现金）'!L:L,综合考核!A147,'转介绍+留修奖励（已发现金）'!M:M)++SUMIF('转介绍+留修奖励（已发现金）'!B:B,综合考核!A147,'转介绍+留修奖励（已发现金）'!C:C)</f>
        <v>0</v>
      </c>
      <c r="F147" s="360">
        <f>SUMIF(工作车救急!A:A,A147,工作车救急!B:B)</f>
        <v>0</v>
      </c>
      <c r="G147" s="360">
        <f t="shared" si="36"/>
        <v>0</v>
      </c>
      <c r="H147" s="361"/>
      <c r="I147" s="359">
        <f>SUMIF(保客营销考核!E:E,A147,保客营销考核!J:J)</f>
        <v>0</v>
      </c>
      <c r="J147" s="361">
        <f>SUMIF(服装扣款!D:D,综合考核!A147,服装扣款!R:R)</f>
        <v>0</v>
      </c>
      <c r="K147" s="360">
        <f t="shared" si="41"/>
        <v>0</v>
      </c>
      <c r="L147" s="360">
        <f>SUMIF('-月满意度考核'!C:C,综合考核!A147,'-月满意度考核'!J:J)</f>
        <v>0</v>
      </c>
      <c r="M147" s="370">
        <f t="shared" si="39"/>
        <v>0</v>
      </c>
      <c r="N147" s="371">
        <f t="shared" si="37"/>
        <v>0</v>
      </c>
      <c r="O147" s="372"/>
      <c r="Q147" s="373">
        <f t="shared" si="40"/>
        <v>0</v>
      </c>
    </row>
    <row r="148" spans="1:17" ht="26.1" customHeight="1">
      <c r="A148" s="357" t="str">
        <f>'05月提成-机场售后'!C11</f>
        <v>徐源</v>
      </c>
      <c r="B148" s="358">
        <f>SUMIF('6月配件'!K:K,综合考核!A148,'6月配件'!L:L)</f>
        <v>0</v>
      </c>
      <c r="C148" s="358">
        <f>SUMIF('6月配件'!K:K,A148,'6月配件'!M:M)</f>
        <v>0</v>
      </c>
      <c r="D148" s="358">
        <f>SUMIF('5月接送车'!D:D,综合考核!A148,'5月接送车'!E:E)</f>
        <v>0</v>
      </c>
      <c r="E148" s="369">
        <f>SUMIF('转介绍+留修奖励（已发现金）'!F:F,综合考核!A148,'转介绍+留修奖励（已发现金）'!H:H)+SUMIF('转介绍+留修奖励（已发现金）'!L:L,综合考核!A148,'转介绍+留修奖励（已发现金）'!M:M)++SUMIF('转介绍+留修奖励（已发现金）'!B:B,综合考核!A148,'转介绍+留修奖励（已发现金）'!C:C)</f>
        <v>0</v>
      </c>
      <c r="F148" s="360">
        <f>SUMIF(工作车救急!A:A,A148,工作车救急!B:B)</f>
        <v>0</v>
      </c>
      <c r="G148" s="360">
        <f t="shared" si="36"/>
        <v>0</v>
      </c>
      <c r="H148" s="361"/>
      <c r="I148" s="359">
        <f>SUMIF(保客营销考核!E:E,A148,保客营销考核!J:J)</f>
        <v>0</v>
      </c>
      <c r="J148" s="361">
        <f>SUMIF(服装扣款!D:D,综合考核!A148,服装扣款!R:R)</f>
        <v>0</v>
      </c>
      <c r="K148" s="360">
        <f t="shared" si="41"/>
        <v>0</v>
      </c>
      <c r="L148" s="360">
        <f>SUMIF('-月满意度考核'!C:C,综合考核!A148,'-月满意度考核'!J:J)</f>
        <v>0</v>
      </c>
      <c r="M148" s="370">
        <f t="shared" si="39"/>
        <v>0</v>
      </c>
      <c r="N148" s="371">
        <f t="shared" si="37"/>
        <v>0</v>
      </c>
      <c r="O148" s="372"/>
      <c r="P148" s="42">
        <f>SUMIF('05月提成-武侯售后'!C:C,综合考核!A148,'05月提成-武侯售后'!L:L)</f>
        <v>0</v>
      </c>
      <c r="Q148" s="373">
        <f t="shared" ref="Q148" si="42">M148-P148</f>
        <v>0</v>
      </c>
    </row>
    <row r="149" spans="1:17" ht="26.1" customHeight="1">
      <c r="A149" s="357" t="str">
        <f>'05月提成-机场售后'!C12</f>
        <v>刘红</v>
      </c>
      <c r="B149" s="358">
        <f>SUMIF('6月配件'!K:K,综合考核!A149,'6月配件'!L:L)</f>
        <v>0</v>
      </c>
      <c r="C149" s="358">
        <f>SUMIF('6月配件'!K:K,A149,'6月配件'!M:M)</f>
        <v>0</v>
      </c>
      <c r="D149" s="358">
        <f>SUMIF('5月接送车'!D:D,综合考核!A149,'5月接送车'!E:E)</f>
        <v>0</v>
      </c>
      <c r="E149" s="369">
        <f>SUMIF('转介绍+留修奖励（已发现金）'!F:F,综合考核!A149,'转介绍+留修奖励（已发现金）'!H:H)+SUMIF('转介绍+留修奖励（已发现金）'!L:L,综合考核!A149,'转介绍+留修奖励（已发现金）'!M:M)++SUMIF('转介绍+留修奖励（已发现金）'!B:B,综合考核!A149,'转介绍+留修奖励（已发现金）'!C:C)</f>
        <v>0</v>
      </c>
      <c r="F149" s="360">
        <f>SUMIF(工作车救急!A:A,A149,工作车救急!B:B)</f>
        <v>0</v>
      </c>
      <c r="G149" s="360">
        <f t="shared" si="36"/>
        <v>0</v>
      </c>
      <c r="H149" s="361"/>
      <c r="I149" s="359">
        <f>SUMIF(保客营销考核!E:E,A149,保客营销考核!J:J)</f>
        <v>0</v>
      </c>
      <c r="J149" s="361">
        <f>SUMIF(服装扣款!D:D,综合考核!A149,服装扣款!R:R)</f>
        <v>0</v>
      </c>
      <c r="K149" s="360">
        <f t="shared" si="41"/>
        <v>0</v>
      </c>
      <c r="L149" s="360">
        <f>SUMIF('-月满意度考核'!C:C,综合考核!A149,'-月满意度考核'!J:J)</f>
        <v>0</v>
      </c>
      <c r="M149" s="370">
        <f t="shared" si="39"/>
        <v>0</v>
      </c>
      <c r="N149" s="371">
        <f t="shared" si="37"/>
        <v>0</v>
      </c>
      <c r="O149" s="372"/>
      <c r="P149" s="42">
        <f>SUMIF('05月提成-武侯售后'!C:C,综合考核!A149,'05月提成-武侯售后'!L:L)</f>
        <v>0</v>
      </c>
      <c r="Q149" s="373">
        <f t="shared" si="40"/>
        <v>0</v>
      </c>
    </row>
    <row r="150" spans="1:17" ht="26.1" customHeight="1">
      <c r="A150" s="357" t="str">
        <f>'05月提成-机场售后'!C13</f>
        <v>何滔</v>
      </c>
      <c r="B150" s="358">
        <f>SUMIF('6月配件'!K:K,综合考核!A150,'6月配件'!L:L)</f>
        <v>0</v>
      </c>
      <c r="C150" s="358">
        <f>SUMIF('6月配件'!K:K,A150,'6月配件'!M:M)</f>
        <v>0</v>
      </c>
      <c r="D150" s="358">
        <f>SUMIF('5月接送车'!D:D,综合考核!A150,'5月接送车'!E:E)</f>
        <v>0</v>
      </c>
      <c r="E150" s="369">
        <f>SUMIF('转介绍+留修奖励（已发现金）'!F:F,综合考核!A150,'转介绍+留修奖励（已发现金）'!H:H)+SUMIF('转介绍+留修奖励（已发现金）'!L:L,综合考核!A150,'转介绍+留修奖励（已发现金）'!M:M)++SUMIF('转介绍+留修奖励（已发现金）'!B:B,综合考核!A150,'转介绍+留修奖励（已发现金）'!C:C)</f>
        <v>0</v>
      </c>
      <c r="F150" s="360">
        <f>SUMIF(工作车救急!A:A,A150,工作车救急!B:B)</f>
        <v>0</v>
      </c>
      <c r="G150" s="360">
        <f t="shared" si="36"/>
        <v>0</v>
      </c>
      <c r="H150" s="361"/>
      <c r="I150" s="359">
        <f>SUMIF(保客营销考核!E:E,A150,保客营销考核!J:J)</f>
        <v>0</v>
      </c>
      <c r="J150" s="361">
        <f>SUMIF(服装扣款!D:D,综合考核!A150,服装扣款!R:R)</f>
        <v>0</v>
      </c>
      <c r="K150" s="360">
        <f t="shared" si="41"/>
        <v>0</v>
      </c>
      <c r="L150" s="360">
        <f>SUMIF('-月满意度考核'!C:C,综合考核!A150,'-月满意度考核'!J:J)</f>
        <v>0</v>
      </c>
      <c r="M150" s="370">
        <f t="shared" si="39"/>
        <v>0</v>
      </c>
      <c r="N150" s="371">
        <f t="shared" si="37"/>
        <v>0</v>
      </c>
      <c r="O150" s="372"/>
      <c r="P150" s="42">
        <f>SUMIF('05月提成-武侯售后'!C:C,综合考核!A150,'05月提成-武侯售后'!L:L)</f>
        <v>0</v>
      </c>
      <c r="Q150" s="373">
        <f t="shared" si="40"/>
        <v>0</v>
      </c>
    </row>
    <row r="151" spans="1:17" ht="26.1" customHeight="1">
      <c r="A151" s="357" t="str">
        <f>'05月提成-机场售后'!C14</f>
        <v>李东梅</v>
      </c>
      <c r="B151" s="358">
        <f>SUMIF('6月配件'!K:K,综合考核!A151,'6月配件'!L:L)</f>
        <v>0</v>
      </c>
      <c r="C151" s="358">
        <f>SUMIF('6月配件'!K:K,A151,'6月配件'!M:M)</f>
        <v>0</v>
      </c>
      <c r="D151" s="358">
        <f>SUMIF('5月接送车'!D:D,综合考核!A151,'5月接送车'!E:E)+SUMIF('4月续保推荐事故'!I:I,A151,'4月续保推荐事故'!K:K)</f>
        <v>0</v>
      </c>
      <c r="E151" s="369">
        <f>SUMIF('转介绍+留修奖励（已发现金）'!F:F,综合考核!A151,'转介绍+留修奖励（已发现金）'!H:H)+SUMIF('转介绍+留修奖励（已发现金）'!L:L,综合考核!A151,'转介绍+留修奖励（已发现金）'!M:M)++SUMIF('转介绍+留修奖励（已发现金）'!B:B,综合考核!A151,'转介绍+留修奖励（已发现金）'!C:C)</f>
        <v>0</v>
      </c>
      <c r="F151" s="360">
        <f>SUMIF(工作车救急!A:A,A151,工作车救急!B:B)</f>
        <v>0</v>
      </c>
      <c r="G151" s="360">
        <f t="shared" si="36"/>
        <v>0</v>
      </c>
      <c r="H151" s="361"/>
      <c r="I151" s="359">
        <f>SUMIF(保客营销考核!E:E,A151,保客营销考核!J:J)</f>
        <v>0</v>
      </c>
      <c r="J151" s="361">
        <f>SUMIF(服装扣款!D:D,综合考核!A151,服装扣款!R:R)</f>
        <v>0</v>
      </c>
      <c r="K151" s="360">
        <f t="shared" si="41"/>
        <v>0</v>
      </c>
      <c r="L151" s="360">
        <f>SUMIF('-月满意度考核'!C:C,综合考核!A151,'-月满意度考核'!J:J)</f>
        <v>0</v>
      </c>
      <c r="M151" s="370">
        <f t="shared" si="39"/>
        <v>0</v>
      </c>
      <c r="N151" s="371">
        <f t="shared" si="37"/>
        <v>0</v>
      </c>
      <c r="O151" s="372"/>
      <c r="P151" s="42">
        <f>SUMIF('05月提成-武侯售后'!C:C,综合考核!A151,'05月提成-武侯售后'!L:L)</f>
        <v>0</v>
      </c>
      <c r="Q151" s="373">
        <f t="shared" ref="Q151" si="43">M151-P151</f>
        <v>0</v>
      </c>
    </row>
    <row r="152" spans="1:17" ht="26.1" customHeight="1">
      <c r="A152" s="357" t="str">
        <f>'05月提成-机场售后'!C15</f>
        <v>小计</v>
      </c>
      <c r="B152" s="358">
        <f>SUMIF('6月配件'!K:K,综合考核!A152,'6月配件'!L:L)</f>
        <v>0</v>
      </c>
      <c r="C152" s="358">
        <f>SUMIF('6月配件'!K:K,A152,'6月配件'!M:M)</f>
        <v>0</v>
      </c>
      <c r="D152" s="358">
        <f>SUMIF('5月接送车'!D:D,综合考核!A152,'5月接送车'!E:E)+SUMIF('4月续保推荐事故'!I:I,A152,'4月续保推荐事故'!K:K)</f>
        <v>0</v>
      </c>
      <c r="E152" s="369">
        <f>SUMIF('转介绍+留修奖励（已发现金）'!F:F,综合考核!A152,'转介绍+留修奖励（已发现金）'!H:H)+SUMIF('转介绍+留修奖励（已发现金）'!L:L,综合考核!A152,'转介绍+留修奖励（已发现金）'!M:M)++SUMIF('转介绍+留修奖励（已发现金）'!B:B,综合考核!A152,'转介绍+留修奖励（已发现金）'!C:C)</f>
        <v>0</v>
      </c>
      <c r="F152" s="360">
        <f>SUMIF(工作车救急!A:A,A152,工作车救急!B:B)</f>
        <v>0</v>
      </c>
      <c r="G152" s="360">
        <f t="shared" si="36"/>
        <v>0</v>
      </c>
      <c r="H152" s="361"/>
      <c r="I152" s="359">
        <f>SUMIF(保客营销考核!E:E,A152,保客营销考核!J:J)</f>
        <v>0</v>
      </c>
      <c r="J152" s="361">
        <f>SUMIF(服装扣款!D:D,综合考核!A152,服装扣款!R:R)</f>
        <v>0</v>
      </c>
      <c r="K152" s="360">
        <f t="shared" si="41"/>
        <v>0</v>
      </c>
      <c r="L152" s="360">
        <f>SUMIF('-月满意度考核'!C:C,综合考核!A152,'-月满意度考核'!J:J)</f>
        <v>0</v>
      </c>
      <c r="M152" s="370">
        <f t="shared" si="39"/>
        <v>0</v>
      </c>
      <c r="N152" s="371">
        <f t="shared" si="37"/>
        <v>0</v>
      </c>
      <c r="O152" s="372"/>
      <c r="Q152" s="373">
        <f t="shared" si="40"/>
        <v>0</v>
      </c>
    </row>
    <row r="153" spans="1:17" ht="26.1" customHeight="1">
      <c r="A153" s="357" t="str">
        <f>'05月提成-机场售后'!C16</f>
        <v>刘辉玺</v>
      </c>
      <c r="B153" s="358">
        <f>SUMIF('6月配件'!K:K,综合考核!A153,'6月配件'!L:L)</f>
        <v>0</v>
      </c>
      <c r="C153" s="358">
        <f>SUMIF('6月配件'!K:K,A153,'6月配件'!M:M)</f>
        <v>0</v>
      </c>
      <c r="D153" s="358">
        <f>SUMIF('5月接送车'!D:D,综合考核!A153,'5月接送车'!E:E)+SUMIF('4月续保推荐事故'!I:I,A153,'4月续保推荐事故'!K:K)</f>
        <v>0</v>
      </c>
      <c r="E153" s="369">
        <f>SUMIF('转介绍+留修奖励（已发现金）'!F:F,综合考核!A153,'转介绍+留修奖励（已发现金）'!H:H)+SUMIF('转介绍+留修奖励（已发现金）'!L:L,综合考核!A153,'转介绍+留修奖励（已发现金）'!M:M)++SUMIF('转介绍+留修奖励（已发现金）'!B:B,综合考核!A153,'转介绍+留修奖励（已发现金）'!C:C)</f>
        <v>0</v>
      </c>
      <c r="F153" s="360">
        <f>SUMIF(工作车救急!A:A,A153,工作车救急!B:B)</f>
        <v>0</v>
      </c>
      <c r="G153" s="360">
        <f t="shared" si="36"/>
        <v>0</v>
      </c>
      <c r="H153" s="361"/>
      <c r="I153" s="359">
        <f>SUMIF(保客营销考核!E:E,A153,保客营销考核!J:J)</f>
        <v>0</v>
      </c>
      <c r="J153" s="361">
        <f>SUMIF(服装扣款!D:D,综合考核!A153,服装扣款!R:R)</f>
        <v>0</v>
      </c>
      <c r="K153" s="360">
        <f t="shared" si="41"/>
        <v>0</v>
      </c>
      <c r="L153" s="360">
        <f>SUMIF('-月满意度考核'!C:C,综合考核!A153,'-月满意度考核'!J:J)</f>
        <v>0</v>
      </c>
      <c r="M153" s="370">
        <f t="shared" si="39"/>
        <v>0</v>
      </c>
      <c r="N153" s="371">
        <f t="shared" si="37"/>
        <v>0</v>
      </c>
      <c r="O153" s="372"/>
      <c r="P153" s="42">
        <f>SUMIF('05月提成-武侯售后'!C:C,综合考核!A153,'05月提成-武侯售后'!L:L)</f>
        <v>0</v>
      </c>
      <c r="Q153" s="373">
        <f t="shared" ref="Q153" si="44">M153-P153</f>
        <v>0</v>
      </c>
    </row>
    <row r="154" spans="1:17" ht="26.1" customHeight="1">
      <c r="A154" s="357" t="str">
        <f>'05月提成-机场售后'!C17</f>
        <v>贾兴卜</v>
      </c>
      <c r="B154" s="358">
        <f>SUMIF('6月配件'!K:K,综合考核!A154,'6月配件'!L:L)</f>
        <v>0</v>
      </c>
      <c r="C154" s="358">
        <f>SUMIF('6月配件'!K:K,A154,'6月配件'!M:M)</f>
        <v>0</v>
      </c>
      <c r="D154" s="358">
        <f>SUMIF('5月接送车'!D:D,综合考核!A154,'5月接送车'!E:E)+SUMIF('4月续保推荐事故'!I:I,A154,'4月续保推荐事故'!K:K)</f>
        <v>100</v>
      </c>
      <c r="E154" s="369">
        <f>SUMIF('转介绍+留修奖励（已发现金）'!F:F,综合考核!A154,'转介绍+留修奖励（已发现金）'!H:H)+SUMIF('转介绍+留修奖励（已发现金）'!L:L,综合考核!A154,'转介绍+留修奖励（已发现金）'!M:M)++SUMIF('转介绍+留修奖励（已发现金）'!B:B,综合考核!A154,'转介绍+留修奖励（已发现金）'!C:C)</f>
        <v>0</v>
      </c>
      <c r="F154" s="360">
        <f>SUMIF(工作车救急!A:A,A154,工作车救急!B:B)</f>
        <v>0</v>
      </c>
      <c r="G154" s="360">
        <f t="shared" si="36"/>
        <v>0</v>
      </c>
      <c r="H154" s="361"/>
      <c r="I154" s="359">
        <f>SUMIF(保客营销考核!E:E,A154,保客营销考核!J:J)</f>
        <v>0</v>
      </c>
      <c r="J154" s="361">
        <f>SUMIF(服装扣款!D:D,综合考核!A154,服装扣款!R:R)</f>
        <v>0</v>
      </c>
      <c r="K154" s="360">
        <f t="shared" si="41"/>
        <v>0</v>
      </c>
      <c r="L154" s="360">
        <f>SUMIF('-月满意度考核'!C:C,综合考核!A154,'-月满意度考核'!J:J)</f>
        <v>0</v>
      </c>
      <c r="M154" s="370">
        <f t="shared" si="39"/>
        <v>100</v>
      </c>
      <c r="N154" s="371">
        <f t="shared" si="37"/>
        <v>0</v>
      </c>
      <c r="O154" s="372"/>
      <c r="P154" s="42">
        <f>SUMIF('05月提成-武侯售后'!C:C,综合考核!A154,'05月提成-武侯售后'!L:L)</f>
        <v>0</v>
      </c>
      <c r="Q154" s="373">
        <f t="shared" si="40"/>
        <v>100</v>
      </c>
    </row>
    <row r="155" spans="1:17" ht="26.1" customHeight="1">
      <c r="A155" s="357" t="str">
        <f>'05月提成-机场售后'!C18</f>
        <v>周兴强</v>
      </c>
      <c r="B155" s="358">
        <f>SUMIF('6月配件'!K:K,综合考核!A155,'6月配件'!L:L)</f>
        <v>0</v>
      </c>
      <c r="C155" s="358">
        <f>SUMIF('6月配件'!K:K,A155,'6月配件'!M:M)</f>
        <v>0</v>
      </c>
      <c r="D155" s="358">
        <f>SUMIF('5月接送车'!D:D,综合考核!A155,'5月接送车'!E:E)+SUMIF('4月续保推荐事故'!I:I,A155,'4月续保推荐事故'!K:K)</f>
        <v>240</v>
      </c>
      <c r="E155" s="369">
        <f>SUMIF('转介绍+留修奖励（已发现金）'!F:F,综合考核!A155,'转介绍+留修奖励（已发现金）'!H:H)+SUMIF('转介绍+留修奖励（已发现金）'!L:L,综合考核!A155,'转介绍+留修奖励（已发现金）'!M:M)++SUMIF('转介绍+留修奖励（已发现金）'!B:B,综合考核!A155,'转介绍+留修奖励（已发现金）'!C:C)</f>
        <v>0</v>
      </c>
      <c r="F155" s="360">
        <f>SUMIF(工作车救急!A:A,A155,工作车救急!B:B)</f>
        <v>0</v>
      </c>
      <c r="G155" s="360">
        <f t="shared" si="36"/>
        <v>0</v>
      </c>
      <c r="H155" s="361"/>
      <c r="I155" s="359">
        <f>SUMIF(保客营销考核!E:E,A155,保客营销考核!J:J)</f>
        <v>0</v>
      </c>
      <c r="J155" s="361">
        <f>SUMIF(服装扣款!D:D,综合考核!A155,服装扣款!R:R)</f>
        <v>0</v>
      </c>
      <c r="K155" s="360">
        <f t="shared" si="41"/>
        <v>0</v>
      </c>
      <c r="L155" s="360">
        <f>SUMIF('-月满意度考核'!C:C,综合考核!A155,'-月满意度考核'!J:J)</f>
        <v>0</v>
      </c>
      <c r="M155" s="370">
        <f t="shared" si="39"/>
        <v>240</v>
      </c>
      <c r="N155" s="371">
        <f t="shared" si="37"/>
        <v>0</v>
      </c>
      <c r="O155" s="372"/>
      <c r="P155" s="42">
        <f>SUMIF('05月提成-武侯售后'!C:C,综合考核!A155,'05月提成-武侯售后'!L:L)</f>
        <v>0</v>
      </c>
      <c r="Q155" s="373">
        <f t="shared" si="40"/>
        <v>240</v>
      </c>
    </row>
    <row r="156" spans="1:17" ht="26.1" customHeight="1">
      <c r="A156" s="357" t="str">
        <f>'05月提成-机场售后'!C19</f>
        <v>姚金东</v>
      </c>
      <c r="B156" s="358">
        <f>SUMIF('6月配件'!K:K,综合考核!A156,'6月配件'!L:L)</f>
        <v>0</v>
      </c>
      <c r="C156" s="358">
        <f>SUMIF('6月配件'!K:K,A156,'6月配件'!M:M)</f>
        <v>0</v>
      </c>
      <c r="D156" s="358">
        <f>SUMIF('5月接送车'!D:D,综合考核!A156,'5月接送车'!E:E)+SUMIF('4月续保推荐事故'!I:I,A156,'4月续保推荐事故'!K:K)</f>
        <v>0</v>
      </c>
      <c r="E156" s="369">
        <f>SUMIF('转介绍+留修奖励（已发现金）'!F:F,综合考核!A156,'转介绍+留修奖励（已发现金）'!H:H)+SUMIF('转介绍+留修奖励（已发现金）'!L:L,综合考核!A156,'转介绍+留修奖励（已发现金）'!M:M)++SUMIF('转介绍+留修奖励（已发现金）'!B:B,综合考核!A156,'转介绍+留修奖励（已发现金）'!C:C)</f>
        <v>0</v>
      </c>
      <c r="F156" s="360">
        <f>SUMIF(工作车救急!A:A,A156,工作车救急!B:B)</f>
        <v>0</v>
      </c>
      <c r="G156" s="360">
        <f t="shared" si="36"/>
        <v>0</v>
      </c>
      <c r="H156" s="361"/>
      <c r="I156" s="359">
        <f>SUMIF(保客营销考核!E:E,A156,保客营销考核!J:J)</f>
        <v>0</v>
      </c>
      <c r="J156" s="361">
        <f>SUMIF(服装扣款!D:D,综合考核!A156,服装扣款!R:R)</f>
        <v>0</v>
      </c>
      <c r="K156" s="360">
        <f t="shared" si="41"/>
        <v>0</v>
      </c>
      <c r="L156" s="360">
        <f>SUMIF('-月满意度考核'!C:C,综合考核!A156,'-月满意度考核'!J:J)</f>
        <v>0</v>
      </c>
      <c r="M156" s="370">
        <f t="shared" si="39"/>
        <v>0</v>
      </c>
      <c r="N156" s="371">
        <f t="shared" si="37"/>
        <v>0</v>
      </c>
      <c r="O156" s="372"/>
      <c r="P156" s="42">
        <f>SUMIF('05月提成-武侯售后'!C:C,综合考核!A156,'05月提成-武侯售后'!L:L)</f>
        <v>0</v>
      </c>
      <c r="Q156" s="373">
        <f t="shared" si="40"/>
        <v>0</v>
      </c>
    </row>
    <row r="157" spans="1:17" ht="26.1" customHeight="1">
      <c r="A157" s="357" t="str">
        <f>'05月提成-机场售后'!C20</f>
        <v>舒麒羽</v>
      </c>
      <c r="B157" s="358">
        <f>SUMIF('6月配件'!K:K,综合考核!A157,'6月配件'!L:L)</f>
        <v>0</v>
      </c>
      <c r="C157" s="358">
        <f>SUMIF('6月配件'!K:K,A157,'6月配件'!M:M)</f>
        <v>0</v>
      </c>
      <c r="D157" s="358">
        <f>SUMIF('5月接送车'!D:D,综合考核!A157,'5月接送车'!E:E)+SUMIF('4月续保推荐事故'!I:I,A157,'4月续保推荐事故'!K:K)</f>
        <v>0</v>
      </c>
      <c r="E157" s="369">
        <f>SUMIF('转介绍+留修奖励（已发现金）'!F:F,综合考核!A157,'转介绍+留修奖励（已发现金）'!H:H)+SUMIF('转介绍+留修奖励（已发现金）'!L:L,综合考核!A157,'转介绍+留修奖励（已发现金）'!M:M)++SUMIF('转介绍+留修奖励（已发现金）'!B:B,综合考核!A157,'转介绍+留修奖励（已发现金）'!C:C)</f>
        <v>0</v>
      </c>
      <c r="F157" s="360">
        <f>SUMIF(工作车救急!A:A,A157,工作车救急!B:B)</f>
        <v>0</v>
      </c>
      <c r="G157" s="360">
        <f t="shared" si="36"/>
        <v>0</v>
      </c>
      <c r="H157" s="361"/>
      <c r="I157" s="359">
        <f>SUMIF(保客营销考核!E:E,A157,保客营销考核!J:J)</f>
        <v>0</v>
      </c>
      <c r="J157" s="361">
        <f>SUMIF(服装扣款!D:D,综合考核!A157,服装扣款!R:R)</f>
        <v>0</v>
      </c>
      <c r="K157" s="360">
        <f t="shared" si="41"/>
        <v>0</v>
      </c>
      <c r="L157" s="360">
        <f>SUMIF('-月满意度考核'!C:C,综合考核!A157,'-月满意度考核'!J:J)</f>
        <v>0</v>
      </c>
      <c r="M157" s="370">
        <f t="shared" si="39"/>
        <v>0</v>
      </c>
      <c r="N157" s="371">
        <f t="shared" si="37"/>
        <v>0</v>
      </c>
      <c r="O157" s="372"/>
      <c r="P157" s="42">
        <f>SUMIF('05月提成-武侯售后'!C:C,综合考核!A157,'05月提成-武侯售后'!L:L)</f>
        <v>0</v>
      </c>
      <c r="Q157" s="373">
        <f t="shared" si="40"/>
        <v>0</v>
      </c>
    </row>
    <row r="158" spans="1:17" ht="26.1" customHeight="1">
      <c r="A158" s="357" t="str">
        <f>'05月提成-机场售后'!C21</f>
        <v>小计</v>
      </c>
      <c r="B158" s="358">
        <f>SUMIF('6月配件'!K:K,综合考核!A158,'6月配件'!L:L)</f>
        <v>0</v>
      </c>
      <c r="C158" s="358">
        <f>SUMIF('6月配件'!K:K,A158,'6月配件'!M:M)</f>
        <v>0</v>
      </c>
      <c r="D158" s="358">
        <f>SUMIF('5月接送车'!D:D,综合考核!A158,'5月接送车'!E:E)+SUMIF('4月续保推荐事故'!I:I,A158,'4月续保推荐事故'!K:K)</f>
        <v>0</v>
      </c>
      <c r="E158" s="369">
        <f>SUMIF('转介绍+留修奖励（已发现金）'!F:F,综合考核!A158,'转介绍+留修奖励（已发现金）'!H:H)+SUMIF('转介绍+留修奖励（已发现金）'!L:L,综合考核!A158,'转介绍+留修奖励（已发现金）'!M:M)++SUMIF('转介绍+留修奖励（已发现金）'!B:B,综合考核!A158,'转介绍+留修奖励（已发现金）'!C:C)</f>
        <v>0</v>
      </c>
      <c r="F158" s="360">
        <f>SUMIF(工作车救急!A:A,A158,工作车救急!B:B)</f>
        <v>0</v>
      </c>
      <c r="G158" s="360">
        <f t="shared" si="36"/>
        <v>0</v>
      </c>
      <c r="H158" s="361"/>
      <c r="I158" s="359">
        <f>SUMIF(保客营销考核!E:E,A158,保客营销考核!J:J)</f>
        <v>0</v>
      </c>
      <c r="J158" s="361">
        <f>SUMIF(服装扣款!D:D,综合考核!A158,服装扣款!R:R)</f>
        <v>0</v>
      </c>
      <c r="K158" s="360">
        <f t="shared" si="41"/>
        <v>0</v>
      </c>
      <c r="L158" s="360">
        <f>SUMIF('-月满意度考核'!C:C,综合考核!A158,'-月满意度考核'!J:J)</f>
        <v>0</v>
      </c>
      <c r="M158" s="370">
        <f t="shared" si="39"/>
        <v>0</v>
      </c>
      <c r="N158" s="371">
        <f t="shared" si="37"/>
        <v>0</v>
      </c>
      <c r="O158" s="372"/>
      <c r="Q158" s="373">
        <f t="shared" si="40"/>
        <v>0</v>
      </c>
    </row>
    <row r="159" spans="1:17" ht="26.1" customHeight="1">
      <c r="A159" s="357" t="str">
        <f>'05月提成-机场售后'!C22</f>
        <v>苟艳</v>
      </c>
      <c r="B159" s="358">
        <f>SUMIF('6月配件'!K:K,综合考核!A159,'6月配件'!L:L)</f>
        <v>0</v>
      </c>
      <c r="C159" s="358">
        <f>SUMIF('6月配件'!K:K,A159,'6月配件'!M:M)</f>
        <v>0</v>
      </c>
      <c r="D159" s="358">
        <f>SUMIF('5月接送车'!D:D,综合考核!A159,'5月接送车'!E:E)+SUMIF('4月续保推荐事故'!I:I,A159,'4月续保推荐事故'!K:K)</f>
        <v>0</v>
      </c>
      <c r="E159" s="369">
        <f>SUMIF('转介绍+留修奖励（已发现金）'!F:F,综合考核!A159,'转介绍+留修奖励（已发现金）'!H:H)+SUMIF('转介绍+留修奖励（已发现金）'!L:L,综合考核!A159,'转介绍+留修奖励（已发现金）'!M:M)++SUMIF('转介绍+留修奖励（已发现金）'!B:B,综合考核!A159,'转介绍+留修奖励（已发现金）'!C:C)</f>
        <v>0</v>
      </c>
      <c r="F159" s="360">
        <f>SUMIF(工作车救急!A:A,A159,工作车救急!B:B)</f>
        <v>0</v>
      </c>
      <c r="G159" s="360">
        <f t="shared" si="36"/>
        <v>0</v>
      </c>
      <c r="H159" s="361"/>
      <c r="I159" s="359">
        <f>SUMIF(保客营销考核!E:E,A159,保客营销考核!J:J)</f>
        <v>0</v>
      </c>
      <c r="J159" s="361">
        <f>SUMIF(服装扣款!D:D,综合考核!A159,服装扣款!R:R)</f>
        <v>0</v>
      </c>
      <c r="K159" s="360">
        <f t="shared" si="41"/>
        <v>0</v>
      </c>
      <c r="L159" s="360">
        <f>SUMIF('-月满意度考核'!C:C,综合考核!A159,'-月满意度考核'!J:J)</f>
        <v>0</v>
      </c>
      <c r="M159" s="370">
        <f t="shared" si="39"/>
        <v>0</v>
      </c>
      <c r="N159" s="371">
        <f t="shared" si="37"/>
        <v>0</v>
      </c>
      <c r="O159" s="372"/>
      <c r="P159" s="42">
        <f>SUMIF('05月提成-武侯售后'!C:C,综合考核!A159,'05月提成-武侯售后'!L:L)</f>
        <v>0</v>
      </c>
      <c r="Q159" s="373">
        <f t="shared" si="40"/>
        <v>0</v>
      </c>
    </row>
    <row r="160" spans="1:17" ht="26.1" customHeight="1">
      <c r="A160" s="357" t="str">
        <f>'05月提成-机场售后'!C23</f>
        <v>孙苗</v>
      </c>
      <c r="B160" s="358">
        <f>SUMIF('6月配件'!K:K,综合考核!A160,'6月配件'!L:L)</f>
        <v>0</v>
      </c>
      <c r="C160" s="358">
        <f>SUMIF('6月配件'!K:K,A160,'6月配件'!M:M)</f>
        <v>0</v>
      </c>
      <c r="D160" s="358">
        <f>SUMIF('5月接送车'!D:D,综合考核!A160,'5月接送车'!E:E)+SUMIF('4月续保推荐事故'!I:I,A160,'4月续保推荐事故'!K:K)</f>
        <v>0</v>
      </c>
      <c r="E160" s="369">
        <f>SUMIF('转介绍+留修奖励（已发现金）'!F:F,综合考核!A160,'转介绍+留修奖励（已发现金）'!H:H)+SUMIF('转介绍+留修奖励（已发现金）'!L:L,综合考核!A160,'转介绍+留修奖励（已发现金）'!M:M)++SUMIF('转介绍+留修奖励（已发现金）'!B:B,综合考核!A160,'转介绍+留修奖励（已发现金）'!C:C)</f>
        <v>0</v>
      </c>
      <c r="F160" s="360">
        <f>SUMIF(工作车救急!A:A,A160,工作车救急!B:B)</f>
        <v>0</v>
      </c>
      <c r="G160" s="360">
        <f t="shared" si="36"/>
        <v>0</v>
      </c>
      <c r="H160" s="361"/>
      <c r="I160" s="359">
        <f>SUMIF(保客营销考核!E:E,A160,保客营销考核!J:J)</f>
        <v>0</v>
      </c>
      <c r="J160" s="361">
        <f>SUMIF(服装扣款!D:D,综合考核!A160,服装扣款!R:R)</f>
        <v>0</v>
      </c>
      <c r="K160" s="360">
        <f t="shared" si="41"/>
        <v>0</v>
      </c>
      <c r="L160" s="360">
        <f>SUMIF('-月满意度考核'!C:C,综合考核!A160,'-月满意度考核'!J:J)</f>
        <v>0</v>
      </c>
      <c r="M160" s="370">
        <f t="shared" ref="M160:M173" si="45">SUM(B160:K160)-E160</f>
        <v>0</v>
      </c>
      <c r="N160" s="371">
        <f t="shared" si="37"/>
        <v>0</v>
      </c>
      <c r="O160" s="372"/>
      <c r="P160" s="42">
        <f>SUMIF('05月提成-武侯售后'!C:C,综合考核!A160,'05月提成-武侯售后'!L:L)</f>
        <v>0</v>
      </c>
      <c r="Q160" s="373">
        <f t="shared" ref="Q160:Q164" si="46">M160-P160</f>
        <v>0</v>
      </c>
    </row>
    <row r="161" spans="1:17" ht="26.1" customHeight="1">
      <c r="A161" s="357" t="str">
        <f>'05月提成-机场售后'!C24</f>
        <v>翁林星</v>
      </c>
      <c r="B161" s="358">
        <f>SUMIF('6月配件'!K:K,综合考核!A161,'6月配件'!L:L)</f>
        <v>0</v>
      </c>
      <c r="C161" s="358">
        <f>SUMIF('6月配件'!K:K,A161,'6月配件'!M:M)</f>
        <v>0</v>
      </c>
      <c r="D161" s="358">
        <f>SUMIF('5月接送车'!D:D,综合考核!A161,'5月接送车'!E:E)+SUMIF('4月续保推荐事故'!I:I,A161,'4月续保推荐事故'!K:K)</f>
        <v>0</v>
      </c>
      <c r="E161" s="369">
        <f>SUMIF('转介绍+留修奖励（已发现金）'!F:F,综合考核!A161,'转介绍+留修奖励（已发现金）'!H:H)+SUMIF('转介绍+留修奖励（已发现金）'!L:L,综合考核!A161,'转介绍+留修奖励（已发现金）'!M:M)++SUMIF('转介绍+留修奖励（已发现金）'!B:B,综合考核!A161,'转介绍+留修奖励（已发现金）'!C:C)</f>
        <v>0</v>
      </c>
      <c r="F161" s="360">
        <f>SUMIF(工作车救急!A:A,A161,工作车救急!B:B)</f>
        <v>0</v>
      </c>
      <c r="G161" s="360">
        <f t="shared" si="36"/>
        <v>0</v>
      </c>
      <c r="H161" s="361"/>
      <c r="I161" s="359">
        <f>SUMIF(保客营销考核!E:E,A161,保客营销考核!J:J)</f>
        <v>0</v>
      </c>
      <c r="J161" s="361">
        <f>SUMIF(服装扣款!D:D,综合考核!A161,服装扣款!R:R)</f>
        <v>0</v>
      </c>
      <c r="K161" s="360">
        <f t="shared" si="41"/>
        <v>0</v>
      </c>
      <c r="L161" s="360">
        <f>SUMIF('-月满意度考核'!C:C,综合考核!A161,'-月满意度考核'!J:J)</f>
        <v>0</v>
      </c>
      <c r="M161" s="370">
        <f t="shared" si="45"/>
        <v>0</v>
      </c>
      <c r="N161" s="371">
        <f t="shared" si="37"/>
        <v>0</v>
      </c>
      <c r="O161" s="372"/>
      <c r="P161" s="42">
        <f>SUMIF('05月提成-武侯售后'!C:C,综合考核!A161,'05月提成-武侯售后'!L:L)</f>
        <v>0</v>
      </c>
      <c r="Q161" s="373">
        <f t="shared" si="46"/>
        <v>0</v>
      </c>
    </row>
    <row r="162" spans="1:17" ht="26.1" customHeight="1">
      <c r="A162" s="357" t="str">
        <f>'05月提成-机场售后'!C25</f>
        <v>曹锟</v>
      </c>
      <c r="B162" s="358">
        <f>SUMIF('6月配件'!K:K,综合考核!A162,'6月配件'!L:L)</f>
        <v>0</v>
      </c>
      <c r="C162" s="358">
        <f>SUMIF('6月配件'!K:K,A162,'6月配件'!M:M)</f>
        <v>0</v>
      </c>
      <c r="D162" s="358">
        <f>SUMIF('5月接送车'!D:D,综合考核!A162,'5月接送车'!E:E)+SUMIF('4月续保推荐事故'!I:I,A162,'4月续保推荐事故'!K:K)</f>
        <v>0</v>
      </c>
      <c r="E162" s="369">
        <f>SUMIF('转介绍+留修奖励（已发现金）'!F:F,综合考核!A162,'转介绍+留修奖励（已发现金）'!H:H)+SUMIF('转介绍+留修奖励（已发现金）'!L:L,综合考核!A162,'转介绍+留修奖励（已发现金）'!M:M)++SUMIF('转介绍+留修奖励（已发现金）'!B:B,综合考核!A162,'转介绍+留修奖励（已发现金）'!C:C)</f>
        <v>0</v>
      </c>
      <c r="F162" s="360">
        <f>SUMIF(工作车救急!A:A,A162,工作车救急!B:B)</f>
        <v>0</v>
      </c>
      <c r="G162" s="360">
        <f t="shared" si="36"/>
        <v>0</v>
      </c>
      <c r="H162" s="361"/>
      <c r="I162" s="359">
        <f>SUMIF(保客营销考核!E:E,A162,保客营销考核!J:J)</f>
        <v>0</v>
      </c>
      <c r="J162" s="361">
        <f>SUMIF(服装扣款!D:D,综合考核!A162,服装扣款!R:R)</f>
        <v>0</v>
      </c>
      <c r="K162" s="360">
        <f t="shared" si="41"/>
        <v>0</v>
      </c>
      <c r="L162" s="360">
        <f>SUMIF('-月满意度考核'!C:C,综合考核!A162,'-月满意度考核'!J:J)</f>
        <v>0</v>
      </c>
      <c r="M162" s="370">
        <f t="shared" si="45"/>
        <v>0</v>
      </c>
      <c r="N162" s="371">
        <f t="shared" si="37"/>
        <v>0</v>
      </c>
      <c r="O162" s="372"/>
      <c r="P162" s="42">
        <f>SUMIF('05月提成-武侯售后'!C:C,综合考核!A162,'05月提成-武侯售后'!L:L)</f>
        <v>0</v>
      </c>
      <c r="Q162" s="373">
        <f t="shared" si="46"/>
        <v>0</v>
      </c>
    </row>
    <row r="163" spans="1:17" ht="26.1" customHeight="1">
      <c r="A163" s="357" t="str">
        <f>'05月提成-机场售后'!C26</f>
        <v>小计</v>
      </c>
      <c r="B163" s="358">
        <f>SUMIF('6月配件'!K:K,综合考核!A163,'6月配件'!L:L)</f>
        <v>0</v>
      </c>
      <c r="C163" s="358">
        <f>SUMIF('6月配件'!K:K,A163,'6月配件'!M:M)</f>
        <v>0</v>
      </c>
      <c r="D163" s="358">
        <f>SUMIF('5月接送车'!D:D,综合考核!A163,'5月接送车'!E:E)+SUMIF('4月续保推荐事故'!I:I,A163,'4月续保推荐事故'!K:K)</f>
        <v>0</v>
      </c>
      <c r="E163" s="369">
        <f>SUMIF('转介绍+留修奖励（已发现金）'!F:F,综合考核!A163,'转介绍+留修奖励（已发现金）'!H:H)+SUMIF('转介绍+留修奖励（已发现金）'!L:L,综合考核!A163,'转介绍+留修奖励（已发现金）'!M:M)++SUMIF('转介绍+留修奖励（已发现金）'!B:B,综合考核!A163,'转介绍+留修奖励（已发现金）'!C:C)</f>
        <v>0</v>
      </c>
      <c r="F163" s="360">
        <f>SUMIF(工作车救急!A:A,A163,工作车救急!B:B)</f>
        <v>0</v>
      </c>
      <c r="G163" s="360">
        <f t="shared" si="36"/>
        <v>0</v>
      </c>
      <c r="H163" s="361"/>
      <c r="I163" s="359">
        <f>SUMIF(保客营销考核!E:E,A163,保客营销考核!J:J)</f>
        <v>0</v>
      </c>
      <c r="J163" s="361">
        <f>SUMIF(服装扣款!D:D,综合考核!A163,服装扣款!R:R)</f>
        <v>0</v>
      </c>
      <c r="K163" s="360">
        <f t="shared" si="41"/>
        <v>0</v>
      </c>
      <c r="L163" s="360">
        <f>SUMIF('-月满意度考核'!C:C,综合考核!A163,'-月满意度考核'!J:J)</f>
        <v>0</v>
      </c>
      <c r="M163" s="370">
        <f t="shared" si="45"/>
        <v>0</v>
      </c>
      <c r="N163" s="371">
        <f t="shared" si="37"/>
        <v>0</v>
      </c>
      <c r="O163" s="372"/>
      <c r="P163" s="42">
        <f>SUMIF('05月提成-武侯售后'!C:C,综合考核!A163,'05月提成-武侯售后'!L:L)</f>
        <v>1590</v>
      </c>
      <c r="Q163" s="373">
        <f t="shared" si="46"/>
        <v>-1590</v>
      </c>
    </row>
    <row r="164" spans="1:17" ht="26.1" customHeight="1">
      <c r="A164" s="357" t="str">
        <f>'05月提成-机场售后'!C27</f>
        <v>况婷婷</v>
      </c>
      <c r="B164" s="358">
        <f>SUMIF('6月配件'!K:K,综合考核!A164,'6月配件'!L:L)</f>
        <v>0</v>
      </c>
      <c r="C164" s="358">
        <f>SUMIF('6月配件'!K:K,A164,'6月配件'!M:M)</f>
        <v>0</v>
      </c>
      <c r="D164" s="358">
        <f>SUMIF('5月接送车'!D:D,综合考核!A164,'5月接送车'!E:E)+SUMIF('4月续保推荐事故'!I:I,A164,'4月续保推荐事故'!K:K)</f>
        <v>0</v>
      </c>
      <c r="E164" s="369">
        <f>SUMIF('转介绍+留修奖励（已发现金）'!F:F,综合考核!A164,'转介绍+留修奖励（已发现金）'!H:H)+SUMIF('转介绍+留修奖励（已发现金）'!L:L,综合考核!A164,'转介绍+留修奖励（已发现金）'!M:M)++SUMIF('转介绍+留修奖励（已发现金）'!B:B,综合考核!A164,'转介绍+留修奖励（已发现金）'!C:C)</f>
        <v>0</v>
      </c>
      <c r="F164" s="360">
        <f>SUMIF(工作车救急!A:A,A164,工作车救急!B:B)</f>
        <v>0</v>
      </c>
      <c r="G164" s="360">
        <f t="shared" si="36"/>
        <v>0</v>
      </c>
      <c r="H164" s="361"/>
      <c r="I164" s="359">
        <f>SUMIF(保客营销考核!E:E,A164,保客营销考核!J:J)</f>
        <v>0</v>
      </c>
      <c r="J164" s="361">
        <f>SUMIF(服装扣款!D:D,综合考核!A164,服装扣款!R:R)</f>
        <v>0</v>
      </c>
      <c r="K164" s="360">
        <f t="shared" si="41"/>
        <v>0</v>
      </c>
      <c r="L164" s="360">
        <f>SUMIF('-月满意度考核'!C:C,综合考核!A164,'-月满意度考核'!J:J)</f>
        <v>0</v>
      </c>
      <c r="M164" s="370">
        <f t="shared" si="45"/>
        <v>0</v>
      </c>
      <c r="N164" s="371">
        <f t="shared" si="37"/>
        <v>0</v>
      </c>
      <c r="O164" s="372"/>
      <c r="Q164" s="373">
        <f t="shared" si="46"/>
        <v>0</v>
      </c>
    </row>
    <row r="165" spans="1:17" ht="26.1" customHeight="1">
      <c r="A165" s="357" t="str">
        <f>'05月提成-机场售后'!C28</f>
        <v>谢婷</v>
      </c>
      <c r="B165" s="358">
        <f>SUMIF('6月配件'!K:K,综合考核!A165,'6月配件'!L:L)</f>
        <v>0</v>
      </c>
      <c r="C165" s="358">
        <f>SUMIF('6月配件'!K:K,A165,'6月配件'!M:M)</f>
        <v>0</v>
      </c>
      <c r="D165" s="358">
        <f>SUMIF('5月接送车'!D:D,综合考核!A165,'5月接送车'!E:E)+SUMIF('4月续保推荐事故'!I:I,A165,'4月续保推荐事故'!K:K)</f>
        <v>0</v>
      </c>
      <c r="E165" s="369">
        <f>SUMIF('转介绍+留修奖励（已发现金）'!F:F,综合考核!A165,'转介绍+留修奖励（已发现金）'!H:H)+SUMIF('转介绍+留修奖励（已发现金）'!L:L,综合考核!A165,'转介绍+留修奖励（已发现金）'!M:M)++SUMIF('转介绍+留修奖励（已发现金）'!B:B,综合考核!A165,'转介绍+留修奖励（已发现金）'!C:C)</f>
        <v>0</v>
      </c>
      <c r="F165" s="360">
        <f>SUMIF(工作车救急!A:A,A165,工作车救急!B:B)</f>
        <v>0</v>
      </c>
      <c r="G165" s="360">
        <f t="shared" ref="G165:G173" si="47">SUMIF(AJ:AJ,A165,AV:AV)</f>
        <v>0</v>
      </c>
      <c r="H165" s="361"/>
      <c r="I165" s="359">
        <f>SUMIF(保客营销考核!E:E,A165,保客营销考核!J:J)</f>
        <v>0</v>
      </c>
      <c r="J165" s="361">
        <f>SUMIF(服装扣款!D:D,综合考核!A165,服装扣款!R:R)</f>
        <v>0</v>
      </c>
      <c r="K165" s="360">
        <f t="shared" si="41"/>
        <v>0</v>
      </c>
      <c r="L165" s="360">
        <f>SUMIF('-月满意度考核'!C:C,综合考核!A165,'-月满意度考核'!J:J)</f>
        <v>0</v>
      </c>
      <c r="M165" s="370">
        <f t="shared" si="45"/>
        <v>0</v>
      </c>
      <c r="N165" s="371">
        <f t="shared" si="37"/>
        <v>0</v>
      </c>
      <c r="O165" s="372"/>
      <c r="P165" s="42">
        <f>SUMIF('05月提成-武侯售后'!C:C,综合考核!A165,'05月提成-武侯售后'!L:L)</f>
        <v>0</v>
      </c>
      <c r="Q165" s="373">
        <f t="shared" ref="Q165" si="48">M165-P165</f>
        <v>0</v>
      </c>
    </row>
    <row r="166" spans="1:17" ht="26.1" customHeight="1">
      <c r="A166" s="357" t="str">
        <f>'05月提成-机场售后'!C29</f>
        <v>小计</v>
      </c>
      <c r="B166" s="358">
        <f>SUMIF('6月配件'!K:K,综合考核!A166,'6月配件'!L:L)</f>
        <v>0</v>
      </c>
      <c r="C166" s="358">
        <f>SUMIF('6月配件'!K:K,A166,'6月配件'!M:M)</f>
        <v>0</v>
      </c>
      <c r="D166" s="358">
        <f>SUMIF('5月接送车'!D:D,综合考核!A166,'5月接送车'!E:E)+SUMIF('4月续保推荐事故'!I:I,A166,'4月续保推荐事故'!K:K)</f>
        <v>0</v>
      </c>
      <c r="E166" s="369">
        <f>SUMIF('转介绍+留修奖励（已发现金）'!F:F,综合考核!A166,'转介绍+留修奖励（已发现金）'!H:H)+SUMIF('转介绍+留修奖励（已发现金）'!L:L,综合考核!A166,'转介绍+留修奖励（已发现金）'!M:M)++SUMIF('转介绍+留修奖励（已发现金）'!B:B,综合考核!A166,'转介绍+留修奖励（已发现金）'!C:C)</f>
        <v>0</v>
      </c>
      <c r="F166" s="360">
        <f>SUMIF(工作车救急!A:A,A166,工作车救急!B:B)</f>
        <v>0</v>
      </c>
      <c r="G166" s="360">
        <f t="shared" si="47"/>
        <v>0</v>
      </c>
      <c r="H166" s="361"/>
      <c r="I166" s="359">
        <f>SUMIF(保客营销考核!E:E,A166,保客营销考核!J:J)</f>
        <v>0</v>
      </c>
      <c r="J166" s="361">
        <f>SUMIF(服装扣款!D:D,综合考核!A166,服装扣款!R:R)</f>
        <v>0</v>
      </c>
      <c r="K166" s="360">
        <f t="shared" si="41"/>
        <v>0</v>
      </c>
      <c r="L166" s="360">
        <f>SUMIF('-月满意度考核'!C:C,综合考核!A166,'-月满意度考核'!J:J)</f>
        <v>0</v>
      </c>
      <c r="M166" s="370">
        <f t="shared" si="45"/>
        <v>0</v>
      </c>
      <c r="N166" s="371">
        <f t="shared" si="37"/>
        <v>0</v>
      </c>
      <c r="O166" s="372"/>
      <c r="P166" s="42">
        <f>SUMIF('05月提成-武侯售后'!C:C,综合考核!A166,'05月提成-武侯售后'!L:L)</f>
        <v>1590</v>
      </c>
      <c r="Q166" s="373">
        <f t="shared" ref="Q166:Q173" si="49">M166-P166</f>
        <v>-1590</v>
      </c>
    </row>
    <row r="167" spans="1:17" ht="26.1" customHeight="1">
      <c r="A167" s="357" t="str">
        <f>'05月提成-机场售后'!C30</f>
        <v>鞠双双</v>
      </c>
      <c r="B167" s="358">
        <f>SUMIF('6月配件'!K:K,综合考核!A167,'6月配件'!L:L)</f>
        <v>0</v>
      </c>
      <c r="C167" s="358">
        <f>SUMIF('6月配件'!K:K,A167,'6月配件'!M:M)</f>
        <v>0</v>
      </c>
      <c r="D167" s="358">
        <f>SUMIF('5月接送车'!D:D,综合考核!A167,'5月接送车'!E:E)+SUMIF('4月续保推荐事故'!I:I,A167,'4月续保推荐事故'!K:K)</f>
        <v>0</v>
      </c>
      <c r="E167" s="369">
        <f>SUMIF('转介绍+留修奖励（已发现金）'!F:F,综合考核!A167,'转介绍+留修奖励（已发现金）'!H:H)+SUMIF('转介绍+留修奖励（已发现金）'!L:L,综合考核!A167,'转介绍+留修奖励（已发现金）'!M:M)++SUMIF('转介绍+留修奖励（已发现金）'!B:B,综合考核!A167,'转介绍+留修奖励（已发现金）'!C:C)</f>
        <v>0</v>
      </c>
      <c r="F167" s="360">
        <f>SUMIF(工作车救急!A:A,A167,工作车救急!B:B)</f>
        <v>0</v>
      </c>
      <c r="G167" s="360">
        <f t="shared" si="47"/>
        <v>0</v>
      </c>
      <c r="H167" s="361"/>
      <c r="I167" s="359">
        <f>SUMIF(保客营销考核!E:E,A167,保客营销考核!J:J)</f>
        <v>0</v>
      </c>
      <c r="J167" s="361">
        <f>SUMIF(服装扣款!D:D,综合考核!A167,服装扣款!R:R)</f>
        <v>0</v>
      </c>
      <c r="K167" s="360">
        <f t="shared" si="41"/>
        <v>0</v>
      </c>
      <c r="L167" s="360">
        <f>SUMIF('-月满意度考核'!C:C,综合考核!A167,'-月满意度考核'!J:J)</f>
        <v>0</v>
      </c>
      <c r="M167" s="370">
        <f t="shared" si="45"/>
        <v>0</v>
      </c>
      <c r="N167" s="371">
        <f t="shared" si="37"/>
        <v>0</v>
      </c>
      <c r="O167" s="372"/>
      <c r="Q167" s="373">
        <f t="shared" si="49"/>
        <v>0</v>
      </c>
    </row>
    <row r="168" spans="1:17" ht="26.1" customHeight="1">
      <c r="A168" s="357" t="str">
        <f>'05月提成-机场售后'!C31</f>
        <v>小计</v>
      </c>
      <c r="B168" s="358">
        <f>SUMIF('6月配件'!K:K,综合考核!A168,'6月配件'!L:L)</f>
        <v>0</v>
      </c>
      <c r="C168" s="358">
        <f>SUMIF('6月配件'!K:K,A168,'6月配件'!M:M)</f>
        <v>0</v>
      </c>
      <c r="D168" s="358">
        <f>SUMIF('5月接送车'!D:D,综合考核!A168,'5月接送车'!E:E)+SUMIF('4月续保推荐事故'!I:I,A168,'4月续保推荐事故'!K:K)</f>
        <v>0</v>
      </c>
      <c r="E168" s="369">
        <f>SUMIF('转介绍+留修奖励（已发现金）'!F:F,综合考核!A168,'转介绍+留修奖励（已发现金）'!H:H)+SUMIF('转介绍+留修奖励（已发现金）'!L:L,综合考核!A168,'转介绍+留修奖励（已发现金）'!M:M)++SUMIF('转介绍+留修奖励（已发现金）'!B:B,综合考核!A168,'转介绍+留修奖励（已发现金）'!C:C)</f>
        <v>0</v>
      </c>
      <c r="F168" s="360">
        <f>SUMIF(工作车救急!A:A,A168,工作车救急!B:B)</f>
        <v>0</v>
      </c>
      <c r="G168" s="360">
        <f t="shared" si="47"/>
        <v>0</v>
      </c>
      <c r="H168" s="361"/>
      <c r="I168" s="359">
        <f>SUMIF(保客营销考核!E:E,A168,保客营销考核!J:J)</f>
        <v>0</v>
      </c>
      <c r="J168" s="361">
        <f>SUMIF(服装扣款!D:D,综合考核!A168,服装扣款!R:R)</f>
        <v>0</v>
      </c>
      <c r="K168" s="360">
        <f t="shared" si="41"/>
        <v>0</v>
      </c>
      <c r="L168" s="360">
        <f>SUMIF('-月满意度考核'!C:C,综合考核!A168,'-月满意度考核'!J:J)</f>
        <v>0</v>
      </c>
      <c r="M168" s="370">
        <f t="shared" si="45"/>
        <v>0</v>
      </c>
      <c r="N168" s="371">
        <f t="shared" si="37"/>
        <v>0</v>
      </c>
      <c r="O168" s="372"/>
      <c r="P168" s="42">
        <f>SUMIF('05月提成-武侯售后'!C:C,综合考核!A168,'05月提成-武侯售后'!L:L)</f>
        <v>1590</v>
      </c>
      <c r="Q168" s="373">
        <f t="shared" si="49"/>
        <v>-1590</v>
      </c>
    </row>
    <row r="169" spans="1:17" ht="26.1" customHeight="1">
      <c r="A169" s="357">
        <f>'05月提成-机场售后'!C32</f>
        <v>0</v>
      </c>
      <c r="B169" s="358">
        <f>SUMIF('6月配件'!K:K,综合考核!A169,'6月配件'!L:L)</f>
        <v>0</v>
      </c>
      <c r="C169" s="358">
        <f>SUMIF('6月配件'!K:K,A169,'6月配件'!M:M)</f>
        <v>0</v>
      </c>
      <c r="D169" s="358">
        <f>SUMIF('5月接送车'!D:D,综合考核!A169,'5月接送车'!E:E)</f>
        <v>0</v>
      </c>
      <c r="E169" s="369">
        <f>SUMIF('转介绍+留修奖励（已发现金）'!F:F,综合考核!A169,'转介绍+留修奖励（已发现金）'!H:H)+SUMIF('转介绍+留修奖励（已发现金）'!L:L,综合考核!A169,'转介绍+留修奖励（已发现金）'!M:M)++SUMIF('转介绍+留修奖励（已发现金）'!B:B,综合考核!A169,'转介绍+留修奖励（已发现金）'!C:C)</f>
        <v>0</v>
      </c>
      <c r="F169" s="360">
        <f>SUMIF(工作车救急!A:A,A169,工作车救急!B:B)</f>
        <v>0</v>
      </c>
      <c r="G169" s="360">
        <f t="shared" si="47"/>
        <v>0</v>
      </c>
      <c r="H169" s="361"/>
      <c r="I169" s="359">
        <f>SUMIF(保客营销考核!E:E,A169,保客营销考核!J:J)</f>
        <v>0</v>
      </c>
      <c r="J169" s="361">
        <f>SUMIF(服装扣款!D:D,综合考核!A169,服装扣款!R:R)</f>
        <v>0</v>
      </c>
      <c r="K169" s="360">
        <f t="shared" si="41"/>
        <v>0</v>
      </c>
      <c r="L169" s="360">
        <f>SUMIF('-月满意度考核'!C:C,综合考核!A169,'-月满意度考核'!J:J)</f>
        <v>0</v>
      </c>
      <c r="M169" s="370">
        <f t="shared" si="45"/>
        <v>0</v>
      </c>
      <c r="N169" s="371">
        <f t="shared" si="37"/>
        <v>0</v>
      </c>
      <c r="O169" s="372"/>
      <c r="Q169" s="373">
        <f t="shared" si="49"/>
        <v>0</v>
      </c>
    </row>
    <row r="170" spans="1:17" ht="26.1" customHeight="1">
      <c r="A170" s="357" t="str">
        <f>'05月提成-机场售后'!C33</f>
        <v>陈浩</v>
      </c>
      <c r="B170" s="358">
        <f>SUMIF('6月配件'!K:K,综合考核!A170,'6月配件'!L:L)</f>
        <v>0</v>
      </c>
      <c r="C170" s="358">
        <f>SUMIF('6月配件'!K:K,A170,'6月配件'!M:M)</f>
        <v>0</v>
      </c>
      <c r="D170" s="358">
        <f>SUMIF('5月接送车'!D:D,综合考核!A170,'5月接送车'!E:E)</f>
        <v>20</v>
      </c>
      <c r="E170" s="369">
        <f>SUMIF('转介绍+留修奖励（已发现金）'!F:F,综合考核!A170,'转介绍+留修奖励（已发现金）'!H:H)+SUMIF('转介绍+留修奖励（已发现金）'!L:L,综合考核!A170,'转介绍+留修奖励（已发现金）'!M:M)++SUMIF('转介绍+留修奖励（已发现金）'!B:B,综合考核!A170,'转介绍+留修奖励（已发现金）'!C:C)</f>
        <v>0</v>
      </c>
      <c r="F170" s="360">
        <f>SUMIF(工作车救急!A:A,A170,工作车救急!B:B)</f>
        <v>0</v>
      </c>
      <c r="G170" s="360">
        <f t="shared" si="47"/>
        <v>0</v>
      </c>
      <c r="H170" s="361"/>
      <c r="I170" s="359">
        <f>SUMIF(保客营销考核!E:E,A170,保客营销考核!J:J)</f>
        <v>0</v>
      </c>
      <c r="J170" s="361">
        <f>SUMIF(服装扣款!D:D,综合考核!A170,服装扣款!R:R)</f>
        <v>0</v>
      </c>
      <c r="K170" s="360">
        <f t="shared" ref="K170:K184" si="50">SUMIF(S:S,A170,Y:Y)</f>
        <v>0</v>
      </c>
      <c r="L170" s="360">
        <f>SUMIF('-月满意度考核'!C:C,综合考核!A170,'-月满意度考核'!J:J)</f>
        <v>0</v>
      </c>
      <c r="M170" s="370">
        <f t="shared" si="45"/>
        <v>20</v>
      </c>
      <c r="N170" s="371">
        <f t="shared" si="37"/>
        <v>0</v>
      </c>
      <c r="O170" s="372"/>
      <c r="Q170" s="373">
        <f t="shared" si="49"/>
        <v>20</v>
      </c>
    </row>
    <row r="171" spans="1:17" ht="26.1" customHeight="1">
      <c r="A171" s="357" t="str">
        <f>'05月提成-机场售后'!C34</f>
        <v>刘志洪</v>
      </c>
      <c r="B171" s="358">
        <f>SUMIF('6月配件'!K:K,综合考核!A171,'6月配件'!L:L)</f>
        <v>0</v>
      </c>
      <c r="C171" s="358">
        <f>SUMIF('6月配件'!K:K,A171,'6月配件'!M:M)</f>
        <v>0</v>
      </c>
      <c r="D171" s="358">
        <f>SUMIF('5月接送车'!D:D,综合考核!A171,'5月接送车'!E:E)</f>
        <v>0</v>
      </c>
      <c r="E171" s="369">
        <f>SUMIF('转介绍+留修奖励（已发现金）'!F:F,综合考核!A171,'转介绍+留修奖励（已发现金）'!H:H)+SUMIF('转介绍+留修奖励（已发现金）'!L:L,综合考核!A171,'转介绍+留修奖励（已发现金）'!M:M)++SUMIF('转介绍+留修奖励（已发现金）'!B:B,综合考核!A171,'转介绍+留修奖励（已发现金）'!C:C)</f>
        <v>0</v>
      </c>
      <c r="F171" s="360">
        <f>SUMIF(工作车救急!A:A,A171,工作车救急!B:B)</f>
        <v>0</v>
      </c>
      <c r="G171" s="360">
        <f t="shared" si="47"/>
        <v>0</v>
      </c>
      <c r="H171" s="361"/>
      <c r="I171" s="359">
        <f>SUMIF(保客营销考核!E:E,A171,保客营销考核!J:J)</f>
        <v>0</v>
      </c>
      <c r="J171" s="361">
        <f>SUMIF(服装扣款!D:D,综合考核!A171,服装扣款!R:R)</f>
        <v>0</v>
      </c>
      <c r="K171" s="360">
        <f t="shared" si="50"/>
        <v>0</v>
      </c>
      <c r="L171" s="360">
        <f>SUMIF('-月满意度考核'!C:C,综合考核!A171,'-月满意度考核'!J:J)</f>
        <v>0</v>
      </c>
      <c r="M171" s="370">
        <f t="shared" si="45"/>
        <v>0</v>
      </c>
      <c r="N171" s="371">
        <f t="shared" si="37"/>
        <v>0</v>
      </c>
      <c r="O171" s="372"/>
      <c r="P171" s="42">
        <f>SUMIF('05月提成-武侯售后'!C:C,综合考核!A171,'05月提成-武侯售后'!L:L)</f>
        <v>0</v>
      </c>
      <c r="Q171" s="373">
        <f t="shared" si="49"/>
        <v>0</v>
      </c>
    </row>
    <row r="172" spans="1:17" ht="22.65" customHeight="1">
      <c r="A172" s="357" t="str">
        <f>'05月提成-机场售后'!C35</f>
        <v>小计</v>
      </c>
      <c r="B172" s="358">
        <f>SUMIF('6月配件'!K:K,综合考核!A172,'6月配件'!L:L)</f>
        <v>0</v>
      </c>
      <c r="C172" s="358">
        <f>SUMIF('6月配件'!K:K,A172,'6月配件'!M:M)</f>
        <v>0</v>
      </c>
      <c r="D172" s="358">
        <f>SUMIF('5月接送车'!D:D,综合考核!A172,'5月接送车'!E:E)</f>
        <v>0</v>
      </c>
      <c r="E172" s="369">
        <f>SUMIF('转介绍+留修奖励（已发现金）'!F:F,综合考核!A172,'转介绍+留修奖励（已发现金）'!H:H)+SUMIF('转介绍+留修奖励（已发现金）'!L:L,综合考核!A172,'转介绍+留修奖励（已发现金）'!M:M)++SUMIF('转介绍+留修奖励（已发现金）'!B:B,综合考核!A172,'转介绍+留修奖励（已发现金）'!C:C)</f>
        <v>0</v>
      </c>
      <c r="F172" s="360">
        <f>SUMIF(工作车救急!A:A,A172,工作车救急!B:B)</f>
        <v>0</v>
      </c>
      <c r="G172" s="360">
        <f t="shared" si="47"/>
        <v>0</v>
      </c>
      <c r="H172" s="361"/>
      <c r="I172" s="359">
        <f>SUMIF(保客营销考核!E:E,A172,保客营销考核!J:J)</f>
        <v>0</v>
      </c>
      <c r="J172" s="361">
        <f>SUMIF(服装扣款!D:D,综合考核!A172,服装扣款!R:R)</f>
        <v>0</v>
      </c>
      <c r="K172" s="360">
        <f t="shared" si="50"/>
        <v>0</v>
      </c>
      <c r="L172" s="360">
        <f>SUMIF('-月满意度考核'!C:C,综合考核!A172,'-月满意度考核'!J:J)</f>
        <v>0</v>
      </c>
      <c r="M172" s="370">
        <f t="shared" si="45"/>
        <v>0</v>
      </c>
      <c r="N172" s="371">
        <f t="shared" si="37"/>
        <v>0</v>
      </c>
      <c r="O172" s="372"/>
      <c r="P172" s="42">
        <f>SUMIF('05月提成-武侯售后'!C:C,综合考核!A172,'05月提成-武侯售后'!L:L)</f>
        <v>1590</v>
      </c>
      <c r="Q172" s="373">
        <f t="shared" si="49"/>
        <v>-1590</v>
      </c>
    </row>
    <row r="173" spans="1:17" ht="22.65" customHeight="1">
      <c r="A173" s="357" t="str">
        <f>'05月提成-机场售后'!C36</f>
        <v>严云中</v>
      </c>
      <c r="B173" s="358">
        <f>SUMIF('6月配件'!K:K,综合考核!A173,'6月配件'!L:L)</f>
        <v>0</v>
      </c>
      <c r="C173" s="358">
        <f>SUMIF('6月配件'!K:K,A173,'6月配件'!M:M)</f>
        <v>0</v>
      </c>
      <c r="D173" s="358">
        <f>SUMIF('5月接送车'!D:D,综合考核!A173,'5月接送车'!E:E)+SUMIF('4月续保推荐事故'!I:I,A173,'4月续保推荐事故'!K:K)</f>
        <v>0</v>
      </c>
      <c r="E173" s="369">
        <f>SUMIF('转介绍+留修奖励（已发现金）'!F:F,综合考核!A173,'转介绍+留修奖励（已发现金）'!H:H)+SUMIF('转介绍+留修奖励（已发现金）'!L:L,综合考核!A173,'转介绍+留修奖励（已发现金）'!M:M)++SUMIF('转介绍+留修奖励（已发现金）'!B:B,综合考核!A173,'转介绍+留修奖励（已发现金）'!C:C)</f>
        <v>0</v>
      </c>
      <c r="F173" s="360">
        <f>SUMIF(工作车救急!A:A,A173,工作车救急!B:B)</f>
        <v>0</v>
      </c>
      <c r="G173" s="360">
        <f t="shared" si="47"/>
        <v>0</v>
      </c>
      <c r="H173" s="361"/>
      <c r="I173" s="359">
        <f>SUMIF(保客营销考核!E:E,A173,保客营销考核!J:J)</f>
        <v>0</v>
      </c>
      <c r="J173" s="361">
        <f>SUMIF(服装扣款!D:D,综合考核!A173,服装扣款!R:R)</f>
        <v>0</v>
      </c>
      <c r="K173" s="360">
        <f t="shared" si="50"/>
        <v>0</v>
      </c>
      <c r="L173" s="360">
        <f>SUMIF('-月满意度考核'!C:C,综合考核!A173,'-月满意度考核'!J:J)</f>
        <v>0</v>
      </c>
      <c r="M173" s="370">
        <f t="shared" si="45"/>
        <v>0</v>
      </c>
      <c r="N173" s="371">
        <f t="shared" si="37"/>
        <v>0</v>
      </c>
      <c r="O173" s="372"/>
      <c r="Q173" s="373">
        <f t="shared" si="49"/>
        <v>0</v>
      </c>
    </row>
    <row r="174" spans="1:17" ht="22.65" customHeight="1">
      <c r="A174" s="357" t="str">
        <f>'05月提成-机场售后'!C37</f>
        <v>吴明洋</v>
      </c>
      <c r="B174" s="358">
        <f>SUMIF('6月配件'!K:K,综合考核!A174,'6月配件'!L:L)</f>
        <v>0</v>
      </c>
      <c r="C174" s="358">
        <f>SUMIF('6月配件'!K:K,A174,'6月配件'!M:M)</f>
        <v>0</v>
      </c>
      <c r="D174" s="358">
        <f>SUMIF('5月接送车'!D:D,综合考核!A174,'5月接送车'!E:E)</f>
        <v>0</v>
      </c>
      <c r="E174" s="369">
        <f>SUMIF('转介绍+留修奖励（已发现金）'!F:F,综合考核!A174,'转介绍+留修奖励（已发现金）'!H:H)+SUMIF('转介绍+留修奖励（已发现金）'!L:L,综合考核!A174,'转介绍+留修奖励（已发现金）'!M:M)++SUMIF('转介绍+留修奖励（已发现金）'!B:B,综合考核!A174,'转介绍+留修奖励（已发现金）'!C:C)</f>
        <v>0</v>
      </c>
      <c r="F174" s="360">
        <f>SUMIF(工作车救急!A:A,A174,工作车救急!B:B)</f>
        <v>0</v>
      </c>
      <c r="G174" s="360">
        <f t="shared" ref="G174:G213" si="51">SUMIF(AJ:AJ,A174,AU:AU)</f>
        <v>0</v>
      </c>
      <c r="H174" s="361"/>
      <c r="I174" s="359">
        <f>SUMIF(保客营销考核!E:E,A174,保客营销考核!J:J)</f>
        <v>0</v>
      </c>
      <c r="J174" s="361">
        <f>SUMIF(服装扣款!D:D,综合考核!A174,服装扣款!R:R)</f>
        <v>0</v>
      </c>
      <c r="K174" s="360">
        <f t="shared" si="50"/>
        <v>0</v>
      </c>
      <c r="L174" s="360">
        <f>SUMIF('-月满意度考核'!C:C,综合考核!A174,'-月满意度考核'!J:J)</f>
        <v>0</v>
      </c>
      <c r="M174" s="370">
        <f t="shared" ref="M174:M184" si="52">SUM(B174:K174)-E174</f>
        <v>0</v>
      </c>
      <c r="N174" s="371">
        <f t="shared" si="37"/>
        <v>0</v>
      </c>
      <c r="O174" s="372"/>
      <c r="P174" s="42">
        <f>SUMIF('05月提成-武侯售后'!C:C,综合考核!A174,'05月提成-武侯售后'!L:L)</f>
        <v>0</v>
      </c>
      <c r="Q174" s="373">
        <f t="shared" ref="Q174:Q182" si="53">M174-P174</f>
        <v>0</v>
      </c>
    </row>
    <row r="175" spans="1:17" ht="22.65" customHeight="1">
      <c r="A175" s="357" t="str">
        <f>'05月提成-机场售后'!C38</f>
        <v>机场店1组合计</v>
      </c>
      <c r="B175" s="358">
        <f>SUMIF('6月配件'!K:K,综合考核!A175,'6月配件'!L:L)</f>
        <v>0</v>
      </c>
      <c r="C175" s="358">
        <f>SUMIF('6月配件'!K:K,A175,'6月配件'!M:M)</f>
        <v>0</v>
      </c>
      <c r="D175" s="358">
        <f>SUMIF('5月接送车'!D:D,综合考核!A175,'5月接送车'!E:E)</f>
        <v>0</v>
      </c>
      <c r="E175" s="369">
        <f>SUMIF('转介绍+留修奖励（已发现金）'!F:F,综合考核!A175,'转介绍+留修奖励（已发现金）'!H:H)+SUMIF('转介绍+留修奖励（已发现金）'!L:L,综合考核!A175,'转介绍+留修奖励（已发现金）'!M:M)++SUMIF('转介绍+留修奖励（已发现金）'!B:B,综合考核!A175,'转介绍+留修奖励（已发现金）'!C:C)</f>
        <v>0</v>
      </c>
      <c r="F175" s="360">
        <f>SUMIF(工作车救急!A:A,A175,工作车救急!B:B)</f>
        <v>0</v>
      </c>
      <c r="G175" s="360">
        <f t="shared" si="51"/>
        <v>0</v>
      </c>
      <c r="H175" s="361"/>
      <c r="I175" s="359">
        <f>SUMIF(保客营销考核!E:E,A175,保客营销考核!J:J)</f>
        <v>0</v>
      </c>
      <c r="J175" s="361">
        <f>SUMIF(服装扣款!D:D,综合考核!A175,服装扣款!R:R)</f>
        <v>0</v>
      </c>
      <c r="K175" s="360">
        <f t="shared" si="50"/>
        <v>0</v>
      </c>
      <c r="L175" s="360">
        <f>SUMIF('-月满意度考核'!C:C,综合考核!A175,'-月满意度考核'!J:J)</f>
        <v>0</v>
      </c>
      <c r="M175" s="370">
        <f t="shared" si="52"/>
        <v>0</v>
      </c>
      <c r="N175" s="371">
        <f t="shared" si="37"/>
        <v>0</v>
      </c>
      <c r="O175" s="372"/>
      <c r="P175" s="42">
        <f>SUMIF('05月提成-武侯售后'!C:C,综合考核!A175,'05月提成-武侯售后'!L:L)</f>
        <v>0</v>
      </c>
      <c r="Q175" s="373">
        <f t="shared" si="53"/>
        <v>0</v>
      </c>
    </row>
    <row r="176" spans="1:17" ht="22.65" customHeight="1">
      <c r="A176" s="357" t="str">
        <f>'05月提成-机场售后'!C39</f>
        <v>韩爱民</v>
      </c>
      <c r="B176" s="358">
        <f>SUMIF('6月配件'!K:K,综合考核!A176,'6月配件'!L:L)</f>
        <v>0</v>
      </c>
      <c r="C176" s="358">
        <f>SUMIF('6月配件'!K:K,A176,'6月配件'!M:M)</f>
        <v>0</v>
      </c>
      <c r="D176" s="358">
        <f>SUMIF('5月接送车'!D:D,综合考核!A176,'5月接送车'!E:E)</f>
        <v>0</v>
      </c>
      <c r="E176" s="369">
        <f>SUMIF('转介绍+留修奖励（已发现金）'!F:F,综合考核!A176,'转介绍+留修奖励（已发现金）'!H:H)+SUMIF('转介绍+留修奖励（已发现金）'!L:L,综合考核!A176,'转介绍+留修奖励（已发现金）'!M:M)++SUMIF('转介绍+留修奖励（已发现金）'!B:B,综合考核!A176,'转介绍+留修奖励（已发现金）'!C:C)</f>
        <v>0</v>
      </c>
      <c r="F176" s="360">
        <f>SUMIF(工作车救急!A:A,A176,工作车救急!B:B)</f>
        <v>0</v>
      </c>
      <c r="G176" s="360">
        <f t="shared" si="51"/>
        <v>0</v>
      </c>
      <c r="H176" s="361"/>
      <c r="I176" s="359">
        <f>SUMIF(保客营销考核!E:E,A176,保客营销考核!J:J)</f>
        <v>0</v>
      </c>
      <c r="J176" s="361">
        <f>SUMIF(服装扣款!D:D,综合考核!A176,服装扣款!R:R)</f>
        <v>0</v>
      </c>
      <c r="K176" s="360">
        <f t="shared" si="50"/>
        <v>0</v>
      </c>
      <c r="L176" s="360">
        <f>SUMIF('-月满意度考核'!C:C,综合考核!A176,'-月满意度考核'!J:J)</f>
        <v>0</v>
      </c>
      <c r="M176" s="370">
        <f t="shared" si="52"/>
        <v>0</v>
      </c>
      <c r="N176" s="371">
        <f t="shared" si="37"/>
        <v>0</v>
      </c>
      <c r="O176" s="372"/>
      <c r="Q176" s="373"/>
    </row>
    <row r="177" spans="1:17" ht="22.65" customHeight="1">
      <c r="A177" s="357" t="str">
        <f>'05月提成-机场售后'!C40</f>
        <v>蒋湘龙</v>
      </c>
      <c r="B177" s="358">
        <f>SUMIF('6月配件'!K:K,综合考核!A177,'6月配件'!L:L)</f>
        <v>0</v>
      </c>
      <c r="C177" s="358">
        <f>SUMIF('6月配件'!K:K,A177,'6月配件'!M:M)</f>
        <v>0</v>
      </c>
      <c r="D177" s="358">
        <f>SUMIF('5月接送车'!D:D,综合考核!A177,'5月接送车'!E:E)+SUMIF('4月续保推荐事故'!I:I,A177,'4月续保推荐事故'!K:K)</f>
        <v>0</v>
      </c>
      <c r="E177" s="369">
        <f>SUMIF('转介绍+留修奖励（已发现金）'!F:F,综合考核!A177,'转介绍+留修奖励（已发现金）'!H:H)+SUMIF('转介绍+留修奖励（已发现金）'!L:L,综合考核!A177,'转介绍+留修奖励（已发现金）'!M:M)++SUMIF('转介绍+留修奖励（已发现金）'!B:B,综合考核!A177,'转介绍+留修奖励（已发现金）'!C:C)</f>
        <v>0</v>
      </c>
      <c r="F177" s="360">
        <f>SUMIF(工作车救急!A:A,A177,工作车救急!B:B)</f>
        <v>0</v>
      </c>
      <c r="G177" s="360">
        <f t="shared" si="51"/>
        <v>0</v>
      </c>
      <c r="H177" s="361"/>
      <c r="I177" s="359">
        <f>SUMIF(保客营销考核!E:E,A177,保客营销考核!J:J)</f>
        <v>0</v>
      </c>
      <c r="J177" s="361">
        <f>SUMIF(服装扣款!D:D,综合考核!A177,服装扣款!R:R)</f>
        <v>0</v>
      </c>
      <c r="K177" s="360">
        <f t="shared" si="50"/>
        <v>0</v>
      </c>
      <c r="L177" s="360">
        <f>SUMIF('-月满意度考核'!C:C,综合考核!A177,'-月满意度考核'!J:J)</f>
        <v>0</v>
      </c>
      <c r="M177" s="370">
        <f t="shared" si="52"/>
        <v>0</v>
      </c>
      <c r="N177" s="371">
        <f t="shared" si="37"/>
        <v>0</v>
      </c>
      <c r="O177" s="372"/>
      <c r="P177" s="42">
        <f>SUMIF('05月提成-武侯售后'!C:C,综合考核!A177,'05月提成-武侯售后'!L:L)</f>
        <v>0</v>
      </c>
      <c r="Q177" s="373">
        <f t="shared" si="53"/>
        <v>0</v>
      </c>
    </row>
    <row r="178" spans="1:17" ht="22.65" customHeight="1">
      <c r="A178" s="357" t="str">
        <f>'05月提成-机场售后'!C41</f>
        <v>机场店2组</v>
      </c>
      <c r="B178" s="358">
        <f>SUMIF('6月配件'!K:K,综合考核!A178,'6月配件'!L:L)</f>
        <v>0</v>
      </c>
      <c r="C178" s="358">
        <f>SUMIF('6月配件'!K:K,A178,'6月配件'!M:M)</f>
        <v>0</v>
      </c>
      <c r="D178" s="358">
        <f>SUMIF('5月接送车'!D:D,综合考核!A178,'5月接送车'!E:E)+SUMIF('4月续保推荐事故'!I:I,A178,'4月续保推荐事故'!K:K)</f>
        <v>0</v>
      </c>
      <c r="E178" s="369">
        <f>SUMIF('转介绍+留修奖励（已发现金）'!F:F,综合考核!A178,'转介绍+留修奖励（已发现金）'!H:H)+SUMIF('转介绍+留修奖励（已发现金）'!L:L,综合考核!A178,'转介绍+留修奖励（已发现金）'!M:M)++SUMIF('转介绍+留修奖励（已发现金）'!B:B,综合考核!A178,'转介绍+留修奖励（已发现金）'!C:C)</f>
        <v>0</v>
      </c>
      <c r="F178" s="360">
        <f>SUMIF(工作车救急!A:A,A178,工作车救急!B:B)</f>
        <v>0</v>
      </c>
      <c r="G178" s="360">
        <f t="shared" si="51"/>
        <v>0</v>
      </c>
      <c r="H178" s="361"/>
      <c r="I178" s="359">
        <f>SUMIF(保客营销考核!E:E,A178,保客营销考核!J:J)</f>
        <v>0</v>
      </c>
      <c r="J178" s="361">
        <f>SUMIF(服装扣款!D:D,综合考核!A178,服装扣款!R:R)</f>
        <v>0</v>
      </c>
      <c r="K178" s="360">
        <f t="shared" si="50"/>
        <v>0</v>
      </c>
      <c r="L178" s="360">
        <f>SUMIF('-月满意度考核'!C:C,综合考核!A178,'-月满意度考核'!J:J)</f>
        <v>0</v>
      </c>
      <c r="M178" s="370">
        <f t="shared" si="52"/>
        <v>0</v>
      </c>
      <c r="N178" s="371">
        <f t="shared" si="37"/>
        <v>0</v>
      </c>
      <c r="O178" s="372"/>
      <c r="P178" s="42">
        <f>SUMIF('05月提成-武侯售后'!C:C,综合考核!A178,'05月提成-武侯售后'!L:L)</f>
        <v>0</v>
      </c>
      <c r="Q178" s="373">
        <f t="shared" si="53"/>
        <v>0</v>
      </c>
    </row>
    <row r="179" spans="1:17" ht="22.65" customHeight="1">
      <c r="A179" s="357" t="str">
        <f>'05月提成-机场售后'!C42</f>
        <v>张雨</v>
      </c>
      <c r="B179" s="358">
        <f>SUMIF('6月配件'!K:K,综合考核!A179,'6月配件'!L:L)</f>
        <v>0</v>
      </c>
      <c r="C179" s="358">
        <f>SUMIF('6月配件'!K:K,A179,'6月配件'!M:M)</f>
        <v>0</v>
      </c>
      <c r="D179" s="358">
        <f>SUMIF('5月接送车'!D:D,综合考核!A179,'5月接送车'!E:E)</f>
        <v>0</v>
      </c>
      <c r="E179" s="369">
        <f>SUMIF('转介绍+留修奖励（已发现金）'!F:F,综合考核!A179,'转介绍+留修奖励（已发现金）'!H:H)+SUMIF('转介绍+留修奖励（已发现金）'!L:L,综合考核!A179,'转介绍+留修奖励（已发现金）'!M:M)++SUMIF('转介绍+留修奖励（已发现金）'!B:B,综合考核!A179,'转介绍+留修奖励（已发现金）'!C:C)</f>
        <v>0</v>
      </c>
      <c r="F179" s="360">
        <f>SUMIF(工作车救急!A:A,A179,工作车救急!B:B)</f>
        <v>0</v>
      </c>
      <c r="G179" s="360">
        <f t="shared" si="51"/>
        <v>0</v>
      </c>
      <c r="H179" s="361"/>
      <c r="I179" s="359">
        <f>SUMIF(保客营销考核!E:E,A179,保客营销考核!J:J)</f>
        <v>0</v>
      </c>
      <c r="J179" s="361">
        <f>SUMIF(服装扣款!D:D,综合考核!A179,服装扣款!R:R)</f>
        <v>0</v>
      </c>
      <c r="K179" s="360">
        <f t="shared" si="50"/>
        <v>0</v>
      </c>
      <c r="L179" s="360">
        <f>SUMIF('-月满意度考核'!C:C,综合考核!A179,'-月满意度考核'!J:J)</f>
        <v>0</v>
      </c>
      <c r="M179" s="370">
        <f t="shared" si="52"/>
        <v>0</v>
      </c>
      <c r="N179" s="371">
        <f t="shared" si="37"/>
        <v>0</v>
      </c>
      <c r="O179" s="372"/>
      <c r="Q179" s="373">
        <f t="shared" si="53"/>
        <v>0</v>
      </c>
    </row>
    <row r="180" spans="1:17" ht="22.65" customHeight="1">
      <c r="A180" s="357" t="str">
        <f>'05月提成-机场售后'!C43</f>
        <v>郑晓龙</v>
      </c>
      <c r="B180" s="358">
        <f>SUMIF('6月配件'!K:K,综合考核!A180,'6月配件'!L:L)</f>
        <v>0</v>
      </c>
      <c r="C180" s="358">
        <f>SUMIF('6月配件'!K:K,A180,'6月配件'!M:M)</f>
        <v>0</v>
      </c>
      <c r="D180" s="358">
        <f>SUMIF('5月接送车'!D:D,综合考核!A180,'5月接送车'!E:E)</f>
        <v>0</v>
      </c>
      <c r="E180" s="369">
        <f>SUMIF('转介绍+留修奖励（已发现金）'!F:F,综合考核!A180,'转介绍+留修奖励（已发现金）'!H:H)+SUMIF('转介绍+留修奖励（已发现金）'!L:L,综合考核!A180,'转介绍+留修奖励（已发现金）'!M:M)++SUMIF('转介绍+留修奖励（已发现金）'!B:B,综合考核!A180,'转介绍+留修奖励（已发现金）'!C:C)</f>
        <v>0</v>
      </c>
      <c r="F180" s="360">
        <f>SUMIF(工作车救急!A:A,A180,工作车救急!B:B)</f>
        <v>0</v>
      </c>
      <c r="G180" s="360">
        <f t="shared" si="51"/>
        <v>0</v>
      </c>
      <c r="H180" s="361"/>
      <c r="I180" s="359">
        <f>SUMIF(保客营销考核!E:E,A180,保客营销考核!J:J)</f>
        <v>0</v>
      </c>
      <c r="J180" s="361">
        <f>SUMIF(服装扣款!D:D,综合考核!A180,服装扣款!R:R)</f>
        <v>0</v>
      </c>
      <c r="K180" s="360">
        <f t="shared" si="50"/>
        <v>0</v>
      </c>
      <c r="L180" s="360">
        <f>SUMIF('-月满意度考核'!C:C,综合考核!A180,'-月满意度考核'!J:J)</f>
        <v>0</v>
      </c>
      <c r="M180" s="370">
        <f t="shared" si="52"/>
        <v>0</v>
      </c>
      <c r="N180" s="371">
        <f t="shared" si="37"/>
        <v>0</v>
      </c>
      <c r="O180" s="372"/>
      <c r="P180" s="42">
        <f>SUMIF('05月提成-武侯售后'!C:C,综合考核!A180,'05月提成-武侯售后'!L:L)</f>
        <v>0</v>
      </c>
      <c r="Q180" s="373">
        <f t="shared" si="53"/>
        <v>0</v>
      </c>
    </row>
    <row r="181" spans="1:17" ht="22.65" customHeight="1">
      <c r="A181" s="357" t="str">
        <f>'05月提成-机场售后'!C44</f>
        <v>刘杨</v>
      </c>
      <c r="B181" s="358">
        <f>SUMIF('6月配件'!K:K,综合考核!A181,'6月配件'!L:L)</f>
        <v>0</v>
      </c>
      <c r="C181" s="358">
        <f>SUMIF('6月配件'!K:K,A181,'6月配件'!M:M)</f>
        <v>0</v>
      </c>
      <c r="D181" s="358">
        <f>SUMIF('5月接送车'!D:D,综合考核!A181,'5月接送车'!E:E)</f>
        <v>0</v>
      </c>
      <c r="E181" s="369">
        <f>SUMIF('转介绍+留修奖励（已发现金）'!F:F,综合考核!A181,'转介绍+留修奖励（已发现金）'!H:H)+SUMIF('转介绍+留修奖励（已发现金）'!L:L,综合考核!A181,'转介绍+留修奖励（已发现金）'!M:M)++SUMIF('转介绍+留修奖励（已发现金）'!B:B,综合考核!A181,'转介绍+留修奖励（已发现金）'!C:C)</f>
        <v>0</v>
      </c>
      <c r="F181" s="360">
        <f>SUMIF(工作车救急!A:A,A181,工作车救急!B:B)</f>
        <v>0</v>
      </c>
      <c r="G181" s="360">
        <f t="shared" si="51"/>
        <v>0</v>
      </c>
      <c r="H181" s="361"/>
      <c r="I181" s="359">
        <f>SUMIF(保客营销考核!E:E,A181,保客营销考核!J:J)</f>
        <v>0</v>
      </c>
      <c r="J181" s="361">
        <f>SUMIF(服装扣款!D:D,综合考核!A181,服装扣款!R:R)</f>
        <v>0</v>
      </c>
      <c r="K181" s="360">
        <f t="shared" si="50"/>
        <v>0</v>
      </c>
      <c r="L181" s="360">
        <f>SUMIF('-月满意度考核'!C:C,综合考核!A181,'-月满意度考核'!J:J)</f>
        <v>0</v>
      </c>
      <c r="M181" s="370">
        <f t="shared" si="52"/>
        <v>0</v>
      </c>
      <c r="N181" s="371">
        <f t="shared" si="37"/>
        <v>0</v>
      </c>
      <c r="O181" s="372"/>
      <c r="P181" s="42">
        <f>SUMIF('05月提成-武侯售后'!C:C,综合考核!A181,'05月提成-武侯售后'!L:L)</f>
        <v>0</v>
      </c>
      <c r="Q181" s="373">
        <f t="shared" si="53"/>
        <v>0</v>
      </c>
    </row>
    <row r="182" spans="1:17" ht="22.65" customHeight="1">
      <c r="A182" s="357" t="str">
        <f>'05月提成-机场售后'!C45</f>
        <v>机场店3组</v>
      </c>
      <c r="B182" s="358">
        <f>SUMIF('6月配件'!K:K,综合考核!A182,'6月配件'!L:L)</f>
        <v>0</v>
      </c>
      <c r="C182" s="358">
        <f>SUMIF('6月配件'!K:K,A182,'6月配件'!M:M)</f>
        <v>0</v>
      </c>
      <c r="D182" s="358">
        <f>SUMIF('5月接送车'!D:D,综合考核!A182,'5月接送车'!E:E)</f>
        <v>0</v>
      </c>
      <c r="E182" s="369">
        <f>SUMIF('转介绍+留修奖励（已发现金）'!F:F,综合考核!A182,'转介绍+留修奖励（已发现金）'!H:H)+SUMIF('转介绍+留修奖励（已发现金）'!L:L,综合考核!A182,'转介绍+留修奖励（已发现金）'!M:M)++SUMIF('转介绍+留修奖励（已发现金）'!B:B,综合考核!A182,'转介绍+留修奖励（已发现金）'!C:C)</f>
        <v>0</v>
      </c>
      <c r="F182" s="360">
        <f>SUMIF(工作车救急!A:A,A182,工作车救急!B:B)</f>
        <v>0</v>
      </c>
      <c r="G182" s="360">
        <f t="shared" si="51"/>
        <v>0</v>
      </c>
      <c r="H182" s="361"/>
      <c r="I182" s="359">
        <f>SUMIF(保客营销考核!E:E,A182,保客营销考核!J:J)</f>
        <v>0</v>
      </c>
      <c r="J182" s="361">
        <f>SUMIF(服装扣款!D:D,综合考核!A182,服装扣款!R:R)</f>
        <v>0</v>
      </c>
      <c r="K182" s="360">
        <f t="shared" si="50"/>
        <v>0</v>
      </c>
      <c r="L182" s="360">
        <f>SUMIF('-月满意度考核'!C:C,综合考核!A182,'-月满意度考核'!J:J)</f>
        <v>0</v>
      </c>
      <c r="M182" s="370">
        <f t="shared" si="52"/>
        <v>0</v>
      </c>
      <c r="N182" s="371">
        <f t="shared" si="37"/>
        <v>0</v>
      </c>
      <c r="O182" s="372"/>
      <c r="P182" s="42">
        <f>SUMIF('05月提成-武侯售后'!C:C,综合考核!A182,'05月提成-武侯售后'!L:L)</f>
        <v>0</v>
      </c>
      <c r="Q182" s="373">
        <f t="shared" si="53"/>
        <v>0</v>
      </c>
    </row>
    <row r="183" spans="1:17" ht="22.65" customHeight="1">
      <c r="A183" s="357" t="str">
        <f>'05月提成-机场售后'!C46</f>
        <v>陈超</v>
      </c>
      <c r="B183" s="358">
        <f>SUMIF('6月配件'!K:K,综合考核!A183,'6月配件'!L:L)</f>
        <v>0</v>
      </c>
      <c r="C183" s="358">
        <f>SUMIF('6月配件'!K:K,A183,'6月配件'!M:M)</f>
        <v>0</v>
      </c>
      <c r="D183" s="358">
        <f>SUMIF('5月接送车'!D:D,综合考核!A183,'5月接送车'!E:E)</f>
        <v>0</v>
      </c>
      <c r="E183" s="369">
        <f>SUMIF('转介绍+留修奖励（已发现金）'!F:F,综合考核!A183,'转介绍+留修奖励（已发现金）'!H:H)+SUMIF('转介绍+留修奖励（已发现金）'!L:L,综合考核!A183,'转介绍+留修奖励（已发现金）'!M:M)++SUMIF('转介绍+留修奖励（已发现金）'!B:B,综合考核!A183,'转介绍+留修奖励（已发现金）'!C:C)</f>
        <v>0</v>
      </c>
      <c r="F183" s="360">
        <f>SUMIF(工作车救急!A:A,A183,工作车救急!B:B)</f>
        <v>0</v>
      </c>
      <c r="G183" s="360">
        <f t="shared" si="51"/>
        <v>0</v>
      </c>
      <c r="H183" s="361"/>
      <c r="I183" s="359">
        <f>SUMIF(保客营销考核!E:E,A183,保客营销考核!J:J)</f>
        <v>0</v>
      </c>
      <c r="J183" s="361">
        <f>SUMIF(服装扣款!D:D,综合考核!A183,服装扣款!R:R)</f>
        <v>0</v>
      </c>
      <c r="K183" s="360">
        <f t="shared" si="50"/>
        <v>0</v>
      </c>
      <c r="L183" s="360">
        <f>SUMIF('-月满意度考核'!C:C,综合考核!A183,'-月满意度考核'!J:J)</f>
        <v>0</v>
      </c>
      <c r="M183" s="370">
        <f t="shared" si="52"/>
        <v>0</v>
      </c>
      <c r="N183" s="371">
        <f t="shared" si="37"/>
        <v>0</v>
      </c>
      <c r="O183" s="372"/>
      <c r="Q183" s="373">
        <f t="shared" ref="Q183:Q213" si="54">M183-P183</f>
        <v>0</v>
      </c>
    </row>
    <row r="184" spans="1:17" ht="22.65" customHeight="1">
      <c r="A184" s="357" t="str">
        <f>'05月提成-机场售后'!C47</f>
        <v>陈凤平</v>
      </c>
      <c r="B184" s="358">
        <f>SUMIF('6月配件'!K:K,综合考核!A184,'6月配件'!L:L)</f>
        <v>0</v>
      </c>
      <c r="C184" s="358">
        <f>SUMIF('6月配件'!K:K,A184,'6月配件'!M:M)</f>
        <v>0</v>
      </c>
      <c r="D184" s="358">
        <f>SUMIF('5月接送车'!D:D,综合考核!A184,'5月接送车'!E:E)+SUMIF('4月续保推荐事故'!I:I,A184,'4月续保推荐事故'!K:K)</f>
        <v>0</v>
      </c>
      <c r="E184" s="369">
        <f>SUMIF('转介绍+留修奖励（已发现金）'!F:F,综合考核!A184,'转介绍+留修奖励（已发现金）'!H:H)+SUMIF('转介绍+留修奖励（已发现金）'!L:L,综合考核!A184,'转介绍+留修奖励（已发现金）'!M:M)++SUMIF('转介绍+留修奖励（已发现金）'!B:B,综合考核!A184,'转介绍+留修奖励（已发现金）'!C:C)</f>
        <v>0</v>
      </c>
      <c r="F184" s="360">
        <f>SUMIF(工作车救急!A:A,A184,工作车救急!B:B)</f>
        <v>0</v>
      </c>
      <c r="G184" s="360">
        <f t="shared" si="51"/>
        <v>0</v>
      </c>
      <c r="H184" s="361"/>
      <c r="I184" s="359">
        <f>SUMIF(保客营销考核!E:E,A184,保客营销考核!J:J)</f>
        <v>0</v>
      </c>
      <c r="J184" s="361">
        <f>SUMIF(服装扣款!D:D,综合考核!A184,服装扣款!R:R)</f>
        <v>0</v>
      </c>
      <c r="K184" s="360">
        <f t="shared" si="50"/>
        <v>0</v>
      </c>
      <c r="L184" s="360">
        <f>SUMIF('-月满意度考核'!C:C,综合考核!A184,'-月满意度考核'!J:J)</f>
        <v>0</v>
      </c>
      <c r="M184" s="370">
        <f t="shared" si="52"/>
        <v>0</v>
      </c>
      <c r="N184" s="371">
        <f t="shared" si="37"/>
        <v>0</v>
      </c>
      <c r="O184" s="372"/>
      <c r="P184" s="42">
        <f>SUMIF('05月提成-武侯售后'!C:C,综合考核!A184,'05月提成-武侯售后'!L:L)</f>
        <v>0</v>
      </c>
      <c r="Q184" s="373">
        <f t="shared" si="54"/>
        <v>0</v>
      </c>
    </row>
    <row r="185" spans="1:17" ht="22.65" customHeight="1">
      <c r="A185" s="357" t="str">
        <f>'05月提成-机场售后'!C48</f>
        <v>韩维</v>
      </c>
      <c r="B185" s="358">
        <f>SUMIF('6月配件'!K:K,综合考核!A185,'6月配件'!L:L)</f>
        <v>0</v>
      </c>
      <c r="C185" s="358">
        <f>SUMIF('6月配件'!K:K,A185,'6月配件'!M:M)</f>
        <v>0</v>
      </c>
      <c r="D185" s="358">
        <f>SUMIF('5月接送车'!D:D,综合考核!A185,'5月接送车'!E:E)+SUMIF('4月续保推荐事故'!I:I,A185,'4月续保推荐事故'!K:K)</f>
        <v>0</v>
      </c>
      <c r="E185" s="369">
        <f>SUMIF('转介绍+留修奖励（已发现金）'!F:F,综合考核!A185,'转介绍+留修奖励（已发现金）'!H:H)+SUMIF('转介绍+留修奖励（已发现金）'!L:L,综合考核!A185,'转介绍+留修奖励（已发现金）'!M:M)++SUMIF('转介绍+留修奖励（已发现金）'!B:B,综合考核!A185,'转介绍+留修奖励（已发现金）'!C:C)</f>
        <v>0</v>
      </c>
      <c r="F185" s="360">
        <f>SUMIF(工作车救急!A:A,A185,工作车救急!B:B)</f>
        <v>0</v>
      </c>
      <c r="G185" s="360">
        <f t="shared" si="51"/>
        <v>0</v>
      </c>
      <c r="H185" s="361"/>
      <c r="I185" s="359">
        <f>SUMIF(保客营销考核!E:E,A185,保客营销考核!J:J)</f>
        <v>0</v>
      </c>
      <c r="J185" s="361">
        <f>SUMIF(服装扣款!D:D,综合考核!A185,服装扣款!R:R)</f>
        <v>0</v>
      </c>
      <c r="K185" s="360">
        <f t="shared" ref="K185:K206" si="55">SUMIF(S:S,A185,Y:Y)</f>
        <v>0</v>
      </c>
      <c r="L185" s="360">
        <f>SUMIF('-月满意度考核'!C:C,综合考核!A185,'-月满意度考核'!J:J)</f>
        <v>0</v>
      </c>
      <c r="M185" s="370">
        <f t="shared" ref="M185:M206" si="56">SUM(B185:K185)-E185</f>
        <v>0</v>
      </c>
      <c r="N185" s="371">
        <f t="shared" si="37"/>
        <v>0</v>
      </c>
      <c r="O185" s="372"/>
      <c r="P185" s="42">
        <f>SUMIF('05月提成-武侯售后'!C:C,综合考核!A185,'05月提成-武侯售后'!L:L)</f>
        <v>0</v>
      </c>
      <c r="Q185" s="373">
        <f t="shared" si="54"/>
        <v>0</v>
      </c>
    </row>
    <row r="186" spans="1:17" ht="22.65" customHeight="1">
      <c r="A186" s="357" t="str">
        <f>'05月提成-机场售后'!C49</f>
        <v>何辉</v>
      </c>
      <c r="B186" s="358">
        <f>SUMIF('6月配件'!K:K,综合考核!A186,'6月配件'!L:L)</f>
        <v>0</v>
      </c>
      <c r="C186" s="358">
        <f>SUMIF('6月配件'!K:K,A186,'6月配件'!M:M)</f>
        <v>0</v>
      </c>
      <c r="D186" s="358">
        <f>SUMIF('5月接送车'!D:D,综合考核!A186,'5月接送车'!E:E)+SUMIF('4月续保推荐事故'!I:I,A186,'4月续保推荐事故'!K:K)</f>
        <v>0</v>
      </c>
      <c r="E186" s="369">
        <f>SUMIF('转介绍+留修奖励（已发现金）'!F:F,综合考核!A186,'转介绍+留修奖励（已发现金）'!H:H)+SUMIF('转介绍+留修奖励（已发现金）'!L:L,综合考核!A186,'转介绍+留修奖励（已发现金）'!M:M)++SUMIF('转介绍+留修奖励（已发现金）'!B:B,综合考核!A186,'转介绍+留修奖励（已发现金）'!C:C)</f>
        <v>0</v>
      </c>
      <c r="F186" s="360">
        <f>SUMIF(工作车救急!A:A,A186,工作车救急!B:B)</f>
        <v>0</v>
      </c>
      <c r="G186" s="360">
        <f t="shared" si="51"/>
        <v>0</v>
      </c>
      <c r="H186" s="361"/>
      <c r="I186" s="359">
        <f>SUMIF(保客营销考核!E:E,A186,保客营销考核!J:J)</f>
        <v>0</v>
      </c>
      <c r="J186" s="361">
        <f>SUMIF(服装扣款!D:D,综合考核!A186,服装扣款!R:R)</f>
        <v>0</v>
      </c>
      <c r="K186" s="360">
        <f t="shared" si="55"/>
        <v>0</v>
      </c>
      <c r="L186" s="360">
        <f>SUMIF('-月满意度考核'!C:C,综合考核!A186,'-月满意度考核'!J:J)</f>
        <v>0</v>
      </c>
      <c r="M186" s="370">
        <f t="shared" si="56"/>
        <v>0</v>
      </c>
      <c r="N186" s="371">
        <f t="shared" si="37"/>
        <v>0</v>
      </c>
      <c r="O186" s="372"/>
      <c r="P186" s="42">
        <f>SUMIF('05月提成-武侯售后'!C:C,综合考核!A186,'05月提成-武侯售后'!L:L)</f>
        <v>0</v>
      </c>
      <c r="Q186" s="373">
        <f t="shared" si="54"/>
        <v>0</v>
      </c>
    </row>
    <row r="187" spans="1:17" ht="22.65" customHeight="1">
      <c r="A187" s="357" t="str">
        <f>'05月提成-机场售后'!C50</f>
        <v>杨定安</v>
      </c>
      <c r="B187" s="358">
        <f>SUMIF('6月配件'!K:K,综合考核!A187,'6月配件'!L:L)</f>
        <v>0</v>
      </c>
      <c r="C187" s="358">
        <f>SUMIF('6月配件'!K:K,A187,'6月配件'!M:M)</f>
        <v>0</v>
      </c>
      <c r="D187" s="358">
        <f>SUMIF('5月接送车'!D:D,综合考核!A187,'5月接送车'!E:E)+SUMIF('4月续保推荐事故'!I:I,A187,'4月续保推荐事故'!K:K)</f>
        <v>0</v>
      </c>
      <c r="E187" s="369">
        <f>SUMIF('转介绍+留修奖励（已发现金）'!F:F,综合考核!A187,'转介绍+留修奖励（已发现金）'!H:H)+SUMIF('转介绍+留修奖励（已发现金）'!L:L,综合考核!A187,'转介绍+留修奖励（已发现金）'!M:M)++SUMIF('转介绍+留修奖励（已发现金）'!B:B,综合考核!A187,'转介绍+留修奖励（已发现金）'!C:C)</f>
        <v>0</v>
      </c>
      <c r="F187" s="360">
        <f>SUMIF(工作车救急!A:A,A187,工作车救急!B:B)</f>
        <v>0</v>
      </c>
      <c r="G187" s="360">
        <f t="shared" si="51"/>
        <v>0</v>
      </c>
      <c r="H187" s="361"/>
      <c r="I187" s="359">
        <f>SUMIF(保客营销考核!E:E,A187,保客营销考核!J:J)</f>
        <v>0</v>
      </c>
      <c r="J187" s="361">
        <f>SUMIF(服装扣款!D:D,综合考核!A187,服装扣款!R:R)</f>
        <v>0</v>
      </c>
      <c r="K187" s="360">
        <f t="shared" si="55"/>
        <v>0</v>
      </c>
      <c r="L187" s="360">
        <f>SUMIF('-月满意度考核'!C:C,综合考核!A187,'-月满意度考核'!J:J)</f>
        <v>0</v>
      </c>
      <c r="M187" s="370">
        <f t="shared" si="56"/>
        <v>0</v>
      </c>
      <c r="N187" s="371">
        <f t="shared" si="37"/>
        <v>0</v>
      </c>
      <c r="O187" s="372"/>
      <c r="P187" s="42">
        <f>SUMIF('05月提成-武侯售后'!C:C,综合考核!A187,'05月提成-武侯售后'!L:L)</f>
        <v>0</v>
      </c>
      <c r="Q187" s="373">
        <f t="shared" si="54"/>
        <v>0</v>
      </c>
    </row>
    <row r="188" spans="1:17" ht="22.65" customHeight="1">
      <c r="A188" s="357" t="str">
        <f>'05月提成-机场售后'!C51</f>
        <v>机场店钣喷</v>
      </c>
      <c r="B188" s="358">
        <f>SUMIF('6月配件'!K:K,综合考核!A188,'6月配件'!L:L)</f>
        <v>0</v>
      </c>
      <c r="C188" s="358">
        <f>SUMIF('6月配件'!K:K,A188,'6月配件'!M:M)</f>
        <v>0</v>
      </c>
      <c r="D188" s="358">
        <f>SUMIF('5月接送车'!D:D,综合考核!A188,'5月接送车'!E:E)+SUMIF('4月续保推荐事故'!I:I,A188,'4月续保推荐事故'!K:K)</f>
        <v>0</v>
      </c>
      <c r="E188" s="369">
        <f>SUMIF('转介绍+留修奖励（已发现金）'!F:F,综合考核!A188,'转介绍+留修奖励（已发现金）'!H:H)+SUMIF('转介绍+留修奖励（已发现金）'!L:L,综合考核!A188,'转介绍+留修奖励（已发现金）'!M:M)++SUMIF('转介绍+留修奖励（已发现金）'!B:B,综合考核!A188,'转介绍+留修奖励（已发现金）'!C:C)</f>
        <v>0</v>
      </c>
      <c r="F188" s="360">
        <f>SUMIF(工作车救急!A:A,A188,工作车救急!B:B)</f>
        <v>0</v>
      </c>
      <c r="G188" s="360">
        <f t="shared" si="51"/>
        <v>0</v>
      </c>
      <c r="H188" s="361"/>
      <c r="I188" s="359">
        <f>SUMIF(保客营销考核!E:E,A188,保客营销考核!J:J)</f>
        <v>0</v>
      </c>
      <c r="J188" s="361">
        <f>SUMIF(服装扣款!D:D,综合考核!A188,服装扣款!R:R)</f>
        <v>0</v>
      </c>
      <c r="K188" s="360">
        <f t="shared" si="55"/>
        <v>0</v>
      </c>
      <c r="L188" s="360">
        <f>SUMIF('-月满意度考核'!C:C,综合考核!A188,'-月满意度考核'!J:J)</f>
        <v>0</v>
      </c>
      <c r="M188" s="370">
        <f t="shared" si="56"/>
        <v>0</v>
      </c>
      <c r="N188" s="371">
        <f t="shared" si="37"/>
        <v>0</v>
      </c>
      <c r="O188" s="372"/>
      <c r="P188" s="42">
        <f>SUMIF('05月提成-武侯售后'!C:C,综合考核!A188,'05月提成-武侯售后'!L:L)</f>
        <v>0</v>
      </c>
      <c r="Q188" s="373">
        <f t="shared" si="54"/>
        <v>0</v>
      </c>
    </row>
    <row r="189" spans="1:17" ht="22.65" customHeight="1">
      <c r="A189" s="357" t="str">
        <f>'05月提成-机场售后'!C52</f>
        <v>机场店合计</v>
      </c>
      <c r="B189" s="358">
        <f>SUMIF('6月配件'!K:K,综合考核!A189,'6月配件'!L:L)</f>
        <v>0</v>
      </c>
      <c r="C189" s="358">
        <f>SUMIF('6月配件'!K:K,A189,'6月配件'!M:M)</f>
        <v>0</v>
      </c>
      <c r="D189" s="358">
        <f>SUMIF('5月接送车'!D:D,综合考核!A189,'5月接送车'!E:E)+SUMIF('4月续保推荐事故'!I:I,A189,'4月续保推荐事故'!K:K)</f>
        <v>0</v>
      </c>
      <c r="E189" s="369">
        <f>SUMIF('转介绍+留修奖励（已发现金）'!F:F,综合考核!A189,'转介绍+留修奖励（已发现金）'!H:H)+SUMIF('转介绍+留修奖励（已发现金）'!L:L,综合考核!A189,'转介绍+留修奖励（已发现金）'!M:M)++SUMIF('转介绍+留修奖励（已发现金）'!B:B,综合考核!A189,'转介绍+留修奖励（已发现金）'!C:C)</f>
        <v>0</v>
      </c>
      <c r="F189" s="360">
        <f>SUMIF(工作车救急!A:A,A189,工作车救急!B:B)</f>
        <v>0</v>
      </c>
      <c r="G189" s="360">
        <f t="shared" si="51"/>
        <v>0</v>
      </c>
      <c r="H189" s="361"/>
      <c r="I189" s="359">
        <f>SUMIF(保客营销考核!E:E,A189,保客营销考核!J:J)</f>
        <v>0</v>
      </c>
      <c r="J189" s="361">
        <f>SUMIF(服装扣款!D:D,综合考核!A189,服装扣款!R:R)</f>
        <v>0</v>
      </c>
      <c r="K189" s="360">
        <f t="shared" si="55"/>
        <v>0</v>
      </c>
      <c r="L189" s="360">
        <f>SUMIF('-月满意度考核'!C:C,综合考核!A189,'-月满意度考核'!J:J)</f>
        <v>0</v>
      </c>
      <c r="M189" s="370">
        <f t="shared" si="56"/>
        <v>0</v>
      </c>
      <c r="N189" s="371">
        <f t="shared" si="37"/>
        <v>0</v>
      </c>
      <c r="O189" s="372"/>
      <c r="Q189" s="373">
        <f t="shared" si="54"/>
        <v>0</v>
      </c>
    </row>
    <row r="190" spans="1:17" ht="22.65" customHeight="1">
      <c r="A190" s="357">
        <f>'05月提成-机场售后'!C53</f>
        <v>0</v>
      </c>
      <c r="B190" s="358">
        <f>SUMIF('6月配件'!K:K,综合考核!A190,'6月配件'!L:L)</f>
        <v>0</v>
      </c>
      <c r="C190" s="358">
        <f>SUMIF('6月配件'!K:K,A190,'6月配件'!M:M)</f>
        <v>0</v>
      </c>
      <c r="D190" s="358">
        <f>SUMIF('5月接送车'!D:D,综合考核!A190,'5月接送车'!E:E)+SUMIF('4月续保推荐事故'!I:I,A190,'4月续保推荐事故'!K:K)</f>
        <v>0</v>
      </c>
      <c r="E190" s="369">
        <f>SUMIF('转介绍+留修奖励（已发现金）'!F:F,综合考核!A190,'转介绍+留修奖励（已发现金）'!H:H)+SUMIF('转介绍+留修奖励（已发现金）'!L:L,综合考核!A190,'转介绍+留修奖励（已发现金）'!M:M)++SUMIF('转介绍+留修奖励（已发现金）'!B:B,综合考核!A190,'转介绍+留修奖励（已发现金）'!C:C)</f>
        <v>0</v>
      </c>
      <c r="F190" s="360">
        <f>SUMIF(工作车救急!A:A,A190,工作车救急!B:B)</f>
        <v>0</v>
      </c>
      <c r="G190" s="360">
        <f t="shared" si="51"/>
        <v>0</v>
      </c>
      <c r="H190" s="361"/>
      <c r="I190" s="359">
        <f>SUMIF(保客营销考核!E:E,A190,保客营销考核!J:J)</f>
        <v>0</v>
      </c>
      <c r="J190" s="361">
        <f>SUMIF(服装扣款!D:D,综合考核!A190,服装扣款!R:R)</f>
        <v>0</v>
      </c>
      <c r="K190" s="360">
        <f t="shared" si="55"/>
        <v>0</v>
      </c>
      <c r="L190" s="360">
        <f>SUMIF('-月满意度考核'!C:C,综合考核!A190,'-月满意度考核'!J:J)</f>
        <v>0</v>
      </c>
      <c r="M190" s="370">
        <f t="shared" si="56"/>
        <v>0</v>
      </c>
      <c r="N190" s="371">
        <f t="shared" si="37"/>
        <v>0</v>
      </c>
      <c r="O190" s="372"/>
      <c r="Q190" s="373">
        <f t="shared" si="54"/>
        <v>0</v>
      </c>
    </row>
    <row r="191" spans="1:17" ht="22.65" customHeight="1">
      <c r="A191" s="357">
        <f>'05月提成-机场售后'!C54</f>
        <v>0</v>
      </c>
      <c r="B191" s="358">
        <f>SUMIF('6月配件'!K:K,综合考核!A191,'6月配件'!L:L)</f>
        <v>0</v>
      </c>
      <c r="C191" s="358">
        <f>SUMIF('6月配件'!K:K,A191,'6月配件'!M:M)</f>
        <v>0</v>
      </c>
      <c r="D191" s="358">
        <f>SUMIF('5月接送车'!D:D,综合考核!A191,'5月接送车'!E:E)+SUMIF('4月续保推荐事故'!I:I,A191,'4月续保推荐事故'!K:K)</f>
        <v>0</v>
      </c>
      <c r="E191" s="369">
        <f>SUMIF('转介绍+留修奖励（已发现金）'!F:F,综合考核!A191,'转介绍+留修奖励（已发现金）'!H:H)+SUMIF('转介绍+留修奖励（已发现金）'!L:L,综合考核!A191,'转介绍+留修奖励（已发现金）'!M:M)++SUMIF('转介绍+留修奖励（已发现金）'!B:B,综合考核!A191,'转介绍+留修奖励（已发现金）'!C:C)</f>
        <v>0</v>
      </c>
      <c r="F191" s="360">
        <f>SUMIF(工作车救急!A:A,A191,工作车救急!B:B)</f>
        <v>0</v>
      </c>
      <c r="G191" s="360">
        <f t="shared" si="51"/>
        <v>0</v>
      </c>
      <c r="H191" s="361"/>
      <c r="I191" s="359">
        <f>SUMIF(保客营销考核!E:E,A191,保客营销考核!J:J)</f>
        <v>0</v>
      </c>
      <c r="J191" s="361">
        <f>SUMIF(服装扣款!D:D,综合考核!A191,服装扣款!R:R)</f>
        <v>0</v>
      </c>
      <c r="K191" s="360">
        <f t="shared" si="55"/>
        <v>0</v>
      </c>
      <c r="L191" s="360">
        <f>SUMIF('-月满意度考核'!C:C,综合考核!A191,'-月满意度考核'!J:J)</f>
        <v>0</v>
      </c>
      <c r="M191" s="370">
        <f t="shared" si="56"/>
        <v>0</v>
      </c>
      <c r="N191" s="371">
        <f t="shared" si="37"/>
        <v>0</v>
      </c>
      <c r="O191" s="372"/>
      <c r="Q191" s="373">
        <f t="shared" si="54"/>
        <v>0</v>
      </c>
    </row>
    <row r="192" spans="1:17" ht="22.65" customHeight="1">
      <c r="A192" s="357">
        <f>'05月提成-机场售后'!C55</f>
        <v>0</v>
      </c>
      <c r="B192" s="358">
        <f>SUMIF('6月配件'!K:K,综合考核!A192,'6月配件'!L:L)</f>
        <v>0</v>
      </c>
      <c r="C192" s="358">
        <f>SUMIF('6月配件'!K:K,A192,'6月配件'!M:M)</f>
        <v>0</v>
      </c>
      <c r="D192" s="358">
        <f>SUMIF('5月接送车'!D:D,综合考核!A192,'5月接送车'!E:E)+SUMIF('4月续保推荐事故'!I:I,A192,'4月续保推荐事故'!K:K)</f>
        <v>0</v>
      </c>
      <c r="E192" s="369">
        <f>SUMIF('转介绍+留修奖励（已发现金）'!F:F,综合考核!A192,'转介绍+留修奖励（已发现金）'!H:H)+SUMIF('转介绍+留修奖励（已发现金）'!L:L,综合考核!A192,'转介绍+留修奖励（已发现金）'!M:M)++SUMIF('转介绍+留修奖励（已发现金）'!B:B,综合考核!A192,'转介绍+留修奖励（已发现金）'!C:C)</f>
        <v>0</v>
      </c>
      <c r="F192" s="360">
        <f>SUMIF(工作车救急!A:A,A192,工作车救急!B:B)</f>
        <v>0</v>
      </c>
      <c r="G192" s="360">
        <f t="shared" si="51"/>
        <v>0</v>
      </c>
      <c r="H192" s="361"/>
      <c r="I192" s="359">
        <f>SUMIF(保客营销考核!E:E,A192,保客营销考核!J:J)</f>
        <v>0</v>
      </c>
      <c r="J192" s="361">
        <f>SUMIF(服装扣款!D:D,综合考核!A192,服装扣款!R:R)</f>
        <v>0</v>
      </c>
      <c r="K192" s="360">
        <f t="shared" si="55"/>
        <v>0</v>
      </c>
      <c r="L192" s="360">
        <f>SUMIF('-月满意度考核'!C:C,综合考核!A192,'-月满意度考核'!J:J)</f>
        <v>0</v>
      </c>
      <c r="M192" s="370">
        <f t="shared" si="56"/>
        <v>0</v>
      </c>
      <c r="N192" s="371">
        <f t="shared" si="37"/>
        <v>0</v>
      </c>
      <c r="O192" s="372"/>
      <c r="Q192" s="373">
        <f t="shared" si="54"/>
        <v>0</v>
      </c>
    </row>
    <row r="193" spans="1:17" ht="22.65" customHeight="1">
      <c r="A193" s="357">
        <f>'05月提成-机场售后'!C56</f>
        <v>0</v>
      </c>
      <c r="B193" s="358">
        <f>SUMIF('6月配件'!K:K,综合考核!A193,'6月配件'!L:L)</f>
        <v>0</v>
      </c>
      <c r="C193" s="358">
        <f>SUMIF('6月配件'!K:K,A193,'6月配件'!M:M)</f>
        <v>0</v>
      </c>
      <c r="D193" s="358">
        <f>SUMIF('5月接送车'!D:D,综合考核!A193,'5月接送车'!E:E)+SUMIF('4月续保推荐事故'!I:I,A193,'4月续保推荐事故'!K:K)</f>
        <v>0</v>
      </c>
      <c r="E193" s="369">
        <f>SUMIF('转介绍+留修奖励（已发现金）'!F:F,综合考核!A193,'转介绍+留修奖励（已发现金）'!H:H)+SUMIF('转介绍+留修奖励（已发现金）'!L:L,综合考核!A193,'转介绍+留修奖励（已发现金）'!M:M)++SUMIF('转介绍+留修奖励（已发现金）'!B:B,综合考核!A193,'转介绍+留修奖励（已发现金）'!C:C)</f>
        <v>0</v>
      </c>
      <c r="F193" s="360">
        <f>SUMIF(工作车救急!A:A,A193,工作车救急!B:B)</f>
        <v>0</v>
      </c>
      <c r="G193" s="360">
        <f t="shared" si="51"/>
        <v>0</v>
      </c>
      <c r="H193" s="361"/>
      <c r="I193" s="359">
        <f>SUMIF(保客营销考核!E:E,A193,保客营销考核!J:J)</f>
        <v>0</v>
      </c>
      <c r="J193" s="361">
        <f>SUMIF(服装扣款!D:D,综合考核!A193,服装扣款!R:R)</f>
        <v>0</v>
      </c>
      <c r="K193" s="360">
        <f t="shared" si="55"/>
        <v>0</v>
      </c>
      <c r="L193" s="360">
        <f>SUMIF('-月满意度考核'!C:C,综合考核!A193,'-月满意度考核'!J:J)</f>
        <v>0</v>
      </c>
      <c r="M193" s="370">
        <f t="shared" si="56"/>
        <v>0</v>
      </c>
      <c r="N193" s="371">
        <f t="shared" si="37"/>
        <v>0</v>
      </c>
      <c r="O193" s="372"/>
      <c r="Q193" s="373">
        <f t="shared" si="54"/>
        <v>0</v>
      </c>
    </row>
    <row r="194" spans="1:17" ht="22.65" customHeight="1">
      <c r="A194" s="357">
        <f>'05月提成-机场售后'!C57</f>
        <v>0</v>
      </c>
      <c r="B194" s="358">
        <f>SUMIF('6月配件'!K:K,综合考核!A194,'6月配件'!L:L)</f>
        <v>0</v>
      </c>
      <c r="C194" s="358">
        <f>SUMIF('6月配件'!K:K,A194,'6月配件'!M:M)</f>
        <v>0</v>
      </c>
      <c r="D194" s="358">
        <f>SUMIF('5月接送车'!D:D,综合考核!A194,'5月接送车'!E:E)+SUMIF('4月续保推荐事故'!I:I,A194,'4月续保推荐事故'!K:K)</f>
        <v>0</v>
      </c>
      <c r="E194" s="369">
        <f>SUMIF('转介绍+留修奖励（已发现金）'!F:F,综合考核!A194,'转介绍+留修奖励（已发现金）'!H:H)+SUMIF('转介绍+留修奖励（已发现金）'!L:L,综合考核!A194,'转介绍+留修奖励（已发现金）'!M:M)++SUMIF('转介绍+留修奖励（已发现金）'!B:B,综合考核!A194,'转介绍+留修奖励（已发现金）'!C:C)</f>
        <v>0</v>
      </c>
      <c r="F194" s="360">
        <f>SUMIF(工作车救急!A:A,A194,工作车救急!B:B)</f>
        <v>0</v>
      </c>
      <c r="G194" s="360">
        <f t="shared" si="51"/>
        <v>0</v>
      </c>
      <c r="H194" s="361"/>
      <c r="I194" s="359">
        <f>SUMIF(保客营销考核!E:E,A194,保客营销考核!J:J)</f>
        <v>0</v>
      </c>
      <c r="J194" s="361">
        <f>SUMIF(服装扣款!D:D,综合考核!A194,服装扣款!R:R)</f>
        <v>0</v>
      </c>
      <c r="K194" s="360">
        <f t="shared" si="55"/>
        <v>0</v>
      </c>
      <c r="L194" s="360">
        <f>SUMIF('-月满意度考核'!C:C,综合考核!A194,'-月满意度考核'!J:J)</f>
        <v>0</v>
      </c>
      <c r="M194" s="370">
        <f t="shared" si="56"/>
        <v>0</v>
      </c>
      <c r="N194" s="371">
        <f t="shared" si="37"/>
        <v>0</v>
      </c>
      <c r="O194" s="372"/>
      <c r="Q194" s="373">
        <f t="shared" si="54"/>
        <v>0</v>
      </c>
    </row>
    <row r="195" spans="1:17" ht="22.65" customHeight="1">
      <c r="A195" s="357">
        <f>'05月提成-机场售后'!C58</f>
        <v>0</v>
      </c>
      <c r="B195" s="358">
        <f>SUMIF('6月配件'!K:K,综合考核!A195,'6月配件'!L:L)</f>
        <v>0</v>
      </c>
      <c r="C195" s="358">
        <f>SUMIF('6月配件'!K:K,A195,'6月配件'!M:M)</f>
        <v>0</v>
      </c>
      <c r="D195" s="358">
        <f>SUMIF('5月接送车'!D:D,综合考核!A195,'5月接送车'!E:E)+SUMIF('4月续保推荐事故'!I:I,A195,'4月续保推荐事故'!K:K)</f>
        <v>0</v>
      </c>
      <c r="E195" s="369">
        <f>SUMIF('转介绍+留修奖励（已发现金）'!F:F,综合考核!A195,'转介绍+留修奖励（已发现金）'!H:H)+SUMIF('转介绍+留修奖励（已发现金）'!L:L,综合考核!A195,'转介绍+留修奖励（已发现金）'!M:M)++SUMIF('转介绍+留修奖励（已发现金）'!B:B,综合考核!A195,'转介绍+留修奖励（已发现金）'!C:C)</f>
        <v>0</v>
      </c>
      <c r="F195" s="360">
        <f>SUMIF(工作车救急!A:A,A195,工作车救急!B:B)</f>
        <v>0</v>
      </c>
      <c r="G195" s="360">
        <f t="shared" si="51"/>
        <v>0</v>
      </c>
      <c r="H195" s="361"/>
      <c r="I195" s="359">
        <f>SUMIF(保客营销考核!E:E,A195,保客营销考核!J:J)</f>
        <v>0</v>
      </c>
      <c r="J195" s="361">
        <f>SUMIF(服装扣款!D:D,综合考核!A195,服装扣款!R:R)</f>
        <v>0</v>
      </c>
      <c r="K195" s="360">
        <f t="shared" si="55"/>
        <v>0</v>
      </c>
      <c r="L195" s="360">
        <f>SUMIF('-月满意度考核'!C:C,综合考核!A195,'-月满意度考核'!J:J)</f>
        <v>0</v>
      </c>
      <c r="M195" s="370">
        <f t="shared" si="56"/>
        <v>0</v>
      </c>
      <c r="N195" s="371">
        <f t="shared" si="37"/>
        <v>0</v>
      </c>
      <c r="O195" s="372"/>
      <c r="Q195" s="373">
        <f t="shared" si="54"/>
        <v>0</v>
      </c>
    </row>
    <row r="196" spans="1:17" ht="22.65" customHeight="1">
      <c r="A196" s="357">
        <f>'05月提成-机场售后'!C59</f>
        <v>0</v>
      </c>
      <c r="B196" s="358">
        <f>SUMIF('6月配件'!K:K,综合考核!A196,'6月配件'!L:L)</f>
        <v>0</v>
      </c>
      <c r="C196" s="358">
        <f>SUMIF('6月配件'!K:K,A196,'6月配件'!M:M)</f>
        <v>0</v>
      </c>
      <c r="D196" s="358">
        <f>SUMIF('5月接送车'!D:D,综合考核!A196,'5月接送车'!E:E)+SUMIF('4月续保推荐事故'!I:I,A196,'4月续保推荐事故'!K:K)</f>
        <v>0</v>
      </c>
      <c r="E196" s="369">
        <f>SUMIF('转介绍+留修奖励（已发现金）'!F:F,综合考核!A196,'转介绍+留修奖励（已发现金）'!H:H)+SUMIF('转介绍+留修奖励（已发现金）'!L:L,综合考核!A196,'转介绍+留修奖励（已发现金）'!M:M)++SUMIF('转介绍+留修奖励（已发现金）'!B:B,综合考核!A196,'转介绍+留修奖励（已发现金）'!C:C)</f>
        <v>0</v>
      </c>
      <c r="F196" s="360">
        <f>SUMIF(工作车救急!A:A,A196,工作车救急!B:B)</f>
        <v>0</v>
      </c>
      <c r="G196" s="360">
        <f t="shared" si="51"/>
        <v>0</v>
      </c>
      <c r="H196" s="361"/>
      <c r="I196" s="359">
        <f>SUMIF(保客营销考核!E:E,A196,保客营销考核!J:J)</f>
        <v>0</v>
      </c>
      <c r="J196" s="361">
        <f>SUMIF(服装扣款!D:D,综合考核!A196,服装扣款!R:R)</f>
        <v>0</v>
      </c>
      <c r="K196" s="360">
        <f t="shared" si="55"/>
        <v>0</v>
      </c>
      <c r="L196" s="360">
        <f>SUMIF('-月满意度考核'!C:C,综合考核!A196,'-月满意度考核'!J:J)</f>
        <v>0</v>
      </c>
      <c r="M196" s="370">
        <f t="shared" si="56"/>
        <v>0</v>
      </c>
      <c r="N196" s="371">
        <f t="shared" si="37"/>
        <v>0</v>
      </c>
      <c r="O196" s="372"/>
      <c r="Q196" s="373">
        <f t="shared" si="54"/>
        <v>0</v>
      </c>
    </row>
    <row r="197" spans="1:17" ht="22.65" customHeight="1">
      <c r="A197" s="357">
        <f>'05月提成-机场售后'!C60</f>
        <v>0</v>
      </c>
      <c r="B197" s="358">
        <f>SUMIF('6月配件'!K:K,综合考核!A197,'6月配件'!L:L)</f>
        <v>0</v>
      </c>
      <c r="C197" s="358">
        <f>SUMIF('6月配件'!K:K,A197,'6月配件'!M:M)</f>
        <v>0</v>
      </c>
      <c r="D197" s="358">
        <f>SUMIF('5月接送车'!D:D,综合考核!A197,'5月接送车'!E:E)+SUMIF('4月续保推荐事故'!I:I,A197,'4月续保推荐事故'!K:K)</f>
        <v>0</v>
      </c>
      <c r="E197" s="369">
        <f>SUMIF('转介绍+留修奖励（已发现金）'!F:F,综合考核!A197,'转介绍+留修奖励（已发现金）'!H:H)+SUMIF('转介绍+留修奖励（已发现金）'!L:L,综合考核!A197,'转介绍+留修奖励（已发现金）'!M:M)++SUMIF('转介绍+留修奖励（已发现金）'!B:B,综合考核!A197,'转介绍+留修奖励（已发现金）'!C:C)</f>
        <v>0</v>
      </c>
      <c r="F197" s="360">
        <f>SUMIF(工作车救急!A:A,A197,工作车救急!B:B)</f>
        <v>0</v>
      </c>
      <c r="G197" s="360">
        <f t="shared" si="51"/>
        <v>0</v>
      </c>
      <c r="H197" s="361"/>
      <c r="I197" s="359">
        <f>SUMIF(保客营销考核!E:E,A197,保客营销考核!J:J)</f>
        <v>0</v>
      </c>
      <c r="J197" s="361">
        <f>SUMIF(服装扣款!D:D,综合考核!A197,服装扣款!R:R)</f>
        <v>0</v>
      </c>
      <c r="K197" s="360">
        <f t="shared" si="55"/>
        <v>0</v>
      </c>
      <c r="L197" s="360">
        <f>SUMIF('-月满意度考核'!C:C,综合考核!A197,'-月满意度考核'!J:J)</f>
        <v>0</v>
      </c>
      <c r="M197" s="370">
        <f t="shared" si="56"/>
        <v>0</v>
      </c>
      <c r="N197" s="371">
        <f t="shared" si="37"/>
        <v>0</v>
      </c>
      <c r="O197" s="372"/>
      <c r="Q197" s="373">
        <f t="shared" si="54"/>
        <v>0</v>
      </c>
    </row>
    <row r="198" spans="1:17" ht="22.65" customHeight="1">
      <c r="A198" s="357">
        <f>'05月提成-机场售后'!C60</f>
        <v>0</v>
      </c>
      <c r="B198" s="358">
        <f>SUMIF('6月配件'!K:K,综合考核!A198,'6月配件'!L:L)</f>
        <v>0</v>
      </c>
      <c r="C198" s="358">
        <f>SUMIF('6月配件'!K:K,A198,'6月配件'!M:M)</f>
        <v>0</v>
      </c>
      <c r="D198" s="358">
        <f>SUMIF('5月接送车'!D:D,综合考核!A198,'5月接送车'!E:E)+SUMIF('4月续保推荐事故'!I:I,A198,'4月续保推荐事故'!K:K)</f>
        <v>0</v>
      </c>
      <c r="E198" s="369">
        <f>SUMIF('转介绍+留修奖励（已发现金）'!F:F,综合考核!A198,'转介绍+留修奖励（已发现金）'!H:H)+SUMIF('转介绍+留修奖励（已发现金）'!L:L,综合考核!A198,'转介绍+留修奖励（已发现金）'!M:M)++SUMIF('转介绍+留修奖励（已发现金）'!B:B,综合考核!A198,'转介绍+留修奖励（已发现金）'!C:C)</f>
        <v>0</v>
      </c>
      <c r="F198" s="360">
        <f>SUMIF(工作车救急!A:A,A198,工作车救急!B:B)</f>
        <v>0</v>
      </c>
      <c r="G198" s="360">
        <f t="shared" si="51"/>
        <v>0</v>
      </c>
      <c r="H198" s="361"/>
      <c r="I198" s="359">
        <f>SUMIF(保客营销考核!E:E,A198,保客营销考核!J:J)</f>
        <v>0</v>
      </c>
      <c r="J198" s="361">
        <f>SUMIF(服装扣款!D:D,综合考核!A198,服装扣款!R:R)</f>
        <v>0</v>
      </c>
      <c r="K198" s="360">
        <f t="shared" si="55"/>
        <v>0</v>
      </c>
      <c r="L198" s="360">
        <f>SUMIF('-月满意度考核'!C:C,综合考核!A198,'-月满意度考核'!J:J)</f>
        <v>0</v>
      </c>
      <c r="M198" s="370">
        <f t="shared" si="56"/>
        <v>0</v>
      </c>
      <c r="N198" s="371">
        <f t="shared" ref="N198:N206" si="57">SUM(E198)</f>
        <v>0</v>
      </c>
      <c r="O198" s="372"/>
      <c r="Q198" s="373">
        <f t="shared" si="54"/>
        <v>0</v>
      </c>
    </row>
    <row r="199" spans="1:17" ht="22.65" customHeight="1">
      <c r="A199" s="357">
        <f>'05月提成-机场售后'!C61</f>
        <v>0</v>
      </c>
      <c r="B199" s="358">
        <f>SUMIF('6月配件'!K:K,综合考核!A199,'6月配件'!L:L)</f>
        <v>0</v>
      </c>
      <c r="C199" s="358">
        <f>SUMIF('6月配件'!K:K,A199,'6月配件'!M:M)</f>
        <v>0</v>
      </c>
      <c r="D199" s="358">
        <f>SUMIF('5月接送车'!D:D,综合考核!A199,'5月接送车'!E:E)+SUMIF('4月续保推荐事故'!I:I,A199,'4月续保推荐事故'!K:K)</f>
        <v>0</v>
      </c>
      <c r="E199" s="369">
        <f>SUMIF('转介绍+留修奖励（已发现金）'!F:F,综合考核!A199,'转介绍+留修奖励（已发现金）'!H:H)+SUMIF('转介绍+留修奖励（已发现金）'!L:L,综合考核!A199,'转介绍+留修奖励（已发现金）'!M:M)++SUMIF('转介绍+留修奖励（已发现金）'!B:B,综合考核!A199,'转介绍+留修奖励（已发现金）'!C:C)</f>
        <v>0</v>
      </c>
      <c r="F199" s="360">
        <f>SUMIF(工作车救急!A:A,A199,工作车救急!B:B)</f>
        <v>0</v>
      </c>
      <c r="G199" s="360">
        <f t="shared" si="51"/>
        <v>0</v>
      </c>
      <c r="H199" s="361"/>
      <c r="I199" s="359">
        <f>SUMIF(保客营销考核!E:E,A199,保客营销考核!J:J)</f>
        <v>0</v>
      </c>
      <c r="J199" s="361">
        <f>SUMIF(服装扣款!D:D,综合考核!A199,服装扣款!R:R)</f>
        <v>0</v>
      </c>
      <c r="K199" s="360">
        <f t="shared" si="55"/>
        <v>0</v>
      </c>
      <c r="L199" s="360">
        <f>SUMIF('-月满意度考核'!C:C,综合考核!A199,'-月满意度考核'!J:J)</f>
        <v>0</v>
      </c>
      <c r="M199" s="370">
        <f t="shared" si="56"/>
        <v>0</v>
      </c>
      <c r="N199" s="371">
        <f t="shared" si="57"/>
        <v>0</v>
      </c>
      <c r="O199" s="372"/>
      <c r="Q199" s="373">
        <f t="shared" si="54"/>
        <v>0</v>
      </c>
    </row>
    <row r="200" spans="1:17" ht="22.65" customHeight="1">
      <c r="A200" s="357">
        <f>'05月提成-机场售后'!C62</f>
        <v>0</v>
      </c>
      <c r="B200" s="358">
        <f>SUMIF('6月配件'!K:K,综合考核!A200,'6月配件'!L:L)</f>
        <v>0</v>
      </c>
      <c r="C200" s="358">
        <f>SUMIF('6月配件'!K:K,A200,'6月配件'!M:M)</f>
        <v>0</v>
      </c>
      <c r="D200" s="358">
        <f>SUMIF('5月接送车'!D:D,综合考核!A200,'5月接送车'!E:E)+SUMIF('4月续保推荐事故'!I:I,A200,'4月续保推荐事故'!K:K)</f>
        <v>0</v>
      </c>
      <c r="E200" s="369">
        <f>SUMIF('转介绍+留修奖励（已发现金）'!F:F,综合考核!A200,'转介绍+留修奖励（已发现金）'!H:H)+SUMIF('转介绍+留修奖励（已发现金）'!L:L,综合考核!A200,'转介绍+留修奖励（已发现金）'!M:M)++SUMIF('转介绍+留修奖励（已发现金）'!B:B,综合考核!A200,'转介绍+留修奖励（已发现金）'!C:C)</f>
        <v>0</v>
      </c>
      <c r="F200" s="360">
        <f>SUMIF(工作车救急!A:A,A200,工作车救急!B:B)</f>
        <v>0</v>
      </c>
      <c r="G200" s="360">
        <f t="shared" si="51"/>
        <v>0</v>
      </c>
      <c r="H200" s="361"/>
      <c r="I200" s="359">
        <f>SUMIF(保客营销考核!E:E,A200,保客营销考核!J:J)</f>
        <v>0</v>
      </c>
      <c r="J200" s="361">
        <f>SUMIF(服装扣款!D:D,综合考核!A200,服装扣款!R:R)</f>
        <v>0</v>
      </c>
      <c r="K200" s="360">
        <f t="shared" si="55"/>
        <v>0</v>
      </c>
      <c r="L200" s="360">
        <f>SUMIF('-月满意度考核'!C:C,综合考核!A200,'-月满意度考核'!J:J)</f>
        <v>0</v>
      </c>
      <c r="M200" s="370">
        <f t="shared" si="56"/>
        <v>0</v>
      </c>
      <c r="N200" s="371">
        <f t="shared" si="57"/>
        <v>0</v>
      </c>
      <c r="O200" s="372"/>
      <c r="Q200" s="373">
        <f t="shared" si="54"/>
        <v>0</v>
      </c>
    </row>
    <row r="201" spans="1:17" ht="22.65" customHeight="1">
      <c r="A201" s="357">
        <f>'05月提成-机场售后'!C63</f>
        <v>0</v>
      </c>
      <c r="B201" s="358">
        <f>SUMIF('6月配件'!K:K,综合考核!A201,'6月配件'!L:L)</f>
        <v>0</v>
      </c>
      <c r="C201" s="358">
        <f>SUMIF('6月配件'!K:K,A201,'6月配件'!M:M)</f>
        <v>0</v>
      </c>
      <c r="D201" s="358">
        <f>SUMIF('5月接送车'!D:D,综合考核!A201,'5月接送车'!E:E)+SUMIF('4月续保推荐事故'!I:I,A201,'4月续保推荐事故'!K:K)</f>
        <v>0</v>
      </c>
      <c r="E201" s="369">
        <f>SUMIF('转介绍+留修奖励（已发现金）'!F:F,综合考核!A201,'转介绍+留修奖励（已发现金）'!H:H)+SUMIF('转介绍+留修奖励（已发现金）'!L:L,综合考核!A201,'转介绍+留修奖励（已发现金）'!M:M)++SUMIF('转介绍+留修奖励（已发现金）'!B:B,综合考核!A201,'转介绍+留修奖励（已发现金）'!C:C)</f>
        <v>0</v>
      </c>
      <c r="F201" s="360">
        <f>SUMIF(工作车救急!A:A,A201,工作车救急!B:B)</f>
        <v>0</v>
      </c>
      <c r="G201" s="360">
        <f t="shared" si="51"/>
        <v>0</v>
      </c>
      <c r="H201" s="361"/>
      <c r="I201" s="359">
        <f>SUMIF(保客营销考核!E:E,A201,保客营销考核!J:J)</f>
        <v>0</v>
      </c>
      <c r="J201" s="361">
        <f>SUMIF(服装扣款!D:D,综合考核!A201,服装扣款!R:R)</f>
        <v>0</v>
      </c>
      <c r="K201" s="360">
        <f t="shared" si="55"/>
        <v>0</v>
      </c>
      <c r="L201" s="360">
        <f>SUMIF('-月满意度考核'!C:C,综合考核!A201,'-月满意度考核'!J:J)</f>
        <v>0</v>
      </c>
      <c r="M201" s="370">
        <f t="shared" si="56"/>
        <v>0</v>
      </c>
      <c r="N201" s="371">
        <f t="shared" si="57"/>
        <v>0</v>
      </c>
      <c r="O201" s="372"/>
      <c r="Q201" s="373">
        <f t="shared" si="54"/>
        <v>0</v>
      </c>
    </row>
    <row r="202" spans="1:17" ht="22.65" customHeight="1">
      <c r="A202" s="357">
        <f>'05月提成-机场售后'!C64</f>
        <v>0</v>
      </c>
      <c r="B202" s="358">
        <f>SUMIF('6月配件'!K:K,综合考核!A202,'6月配件'!L:L)</f>
        <v>0</v>
      </c>
      <c r="C202" s="358">
        <f>SUMIF('6月配件'!K:K,A202,'6月配件'!M:M)</f>
        <v>0</v>
      </c>
      <c r="D202" s="358">
        <f>SUMIF('5月接送车'!D:D,综合考核!A202,'5月接送车'!E:E)+SUMIF('4月续保推荐事故'!I:I,A202,'4月续保推荐事故'!K:K)</f>
        <v>0</v>
      </c>
      <c r="E202" s="369">
        <f>SUMIF('转介绍+留修奖励（已发现金）'!F:F,综合考核!A202,'转介绍+留修奖励（已发现金）'!H:H)+SUMIF('转介绍+留修奖励（已发现金）'!L:L,综合考核!A202,'转介绍+留修奖励（已发现金）'!M:M)++SUMIF('转介绍+留修奖励（已发现金）'!B:B,综合考核!A202,'转介绍+留修奖励（已发现金）'!C:C)</f>
        <v>0</v>
      </c>
      <c r="F202" s="360">
        <f>SUMIF(工作车救急!A:A,A202,工作车救急!B:B)</f>
        <v>0</v>
      </c>
      <c r="G202" s="360">
        <f t="shared" si="51"/>
        <v>0</v>
      </c>
      <c r="H202" s="361"/>
      <c r="I202" s="359">
        <f>SUMIF(保客营销考核!E:E,A202,保客营销考核!J:J)</f>
        <v>0</v>
      </c>
      <c r="J202" s="361">
        <f>SUMIF(服装扣款!D:D,综合考核!A202,服装扣款!R:R)</f>
        <v>0</v>
      </c>
      <c r="K202" s="360">
        <f t="shared" si="55"/>
        <v>0</v>
      </c>
      <c r="L202" s="360">
        <f>SUMIF('-月满意度考核'!C:C,综合考核!A202,'-月满意度考核'!J:J)</f>
        <v>0</v>
      </c>
      <c r="M202" s="370">
        <f t="shared" si="56"/>
        <v>0</v>
      </c>
      <c r="N202" s="371">
        <f t="shared" si="57"/>
        <v>0</v>
      </c>
      <c r="O202" s="372"/>
      <c r="Q202" s="373">
        <f t="shared" si="54"/>
        <v>0</v>
      </c>
    </row>
    <row r="203" spans="1:17" ht="22.65" customHeight="1">
      <c r="A203" s="357">
        <f>'05月提成-机场售后'!C65</f>
        <v>0</v>
      </c>
      <c r="B203" s="358">
        <f>SUMIF('6月配件'!K:K,综合考核!A203,'6月配件'!L:L)</f>
        <v>0</v>
      </c>
      <c r="C203" s="358">
        <f>SUMIF('6月配件'!K:K,A203,'6月配件'!M:M)</f>
        <v>0</v>
      </c>
      <c r="D203" s="358">
        <f>SUMIF('5月接送车'!D:D,综合考核!A203,'5月接送车'!E:E)+SUMIF('4月续保推荐事故'!I:I,A203,'4月续保推荐事故'!K:K)</f>
        <v>0</v>
      </c>
      <c r="E203" s="369">
        <f>SUMIF('转介绍+留修奖励（已发现金）'!F:F,综合考核!A203,'转介绍+留修奖励（已发现金）'!H:H)+SUMIF('转介绍+留修奖励（已发现金）'!L:L,综合考核!A203,'转介绍+留修奖励（已发现金）'!M:M)++SUMIF('转介绍+留修奖励（已发现金）'!B:B,综合考核!A203,'转介绍+留修奖励（已发现金）'!C:C)</f>
        <v>0</v>
      </c>
      <c r="F203" s="360">
        <f>SUMIF(工作车救急!A:A,A203,工作车救急!B:B)</f>
        <v>0</v>
      </c>
      <c r="G203" s="360">
        <f t="shared" si="51"/>
        <v>0</v>
      </c>
      <c r="H203" s="361"/>
      <c r="I203" s="359">
        <f>SUMIF(保客营销考核!E:E,A203,保客营销考核!J:J)</f>
        <v>0</v>
      </c>
      <c r="J203" s="361">
        <f>SUMIF(服装扣款!D:D,综合考核!A203,服装扣款!R:R)</f>
        <v>0</v>
      </c>
      <c r="K203" s="360">
        <f t="shared" si="55"/>
        <v>0</v>
      </c>
      <c r="L203" s="360">
        <f>SUMIF('-月满意度考核'!C:C,综合考核!A203,'-月满意度考核'!J:J)</f>
        <v>0</v>
      </c>
      <c r="M203" s="370">
        <f t="shared" si="56"/>
        <v>0</v>
      </c>
      <c r="N203" s="371">
        <f t="shared" si="57"/>
        <v>0</v>
      </c>
      <c r="O203" s="372"/>
      <c r="Q203" s="373">
        <f t="shared" si="54"/>
        <v>0</v>
      </c>
    </row>
    <row r="204" spans="1:17" ht="22.65" customHeight="1">
      <c r="A204" s="357">
        <f>'05月提成-机场售后'!C66</f>
        <v>0</v>
      </c>
      <c r="B204" s="358">
        <f>SUMIF('6月配件'!K:K,综合考核!A204,'6月配件'!L:L)</f>
        <v>0</v>
      </c>
      <c r="C204" s="358">
        <f>SUMIF('6月配件'!K:K,A204,'6月配件'!M:M)</f>
        <v>0</v>
      </c>
      <c r="D204" s="358">
        <f>SUMIF('5月接送车'!D:D,综合考核!A204,'5月接送车'!E:E)+SUMIF('4月续保推荐事故'!I:I,A204,'4月续保推荐事故'!K:K)</f>
        <v>0</v>
      </c>
      <c r="E204" s="369">
        <f>SUMIF('转介绍+留修奖励（已发现金）'!F:F,综合考核!A204,'转介绍+留修奖励（已发现金）'!H:H)+SUMIF('转介绍+留修奖励（已发现金）'!L:L,综合考核!A204,'转介绍+留修奖励（已发现金）'!M:M)++SUMIF('转介绍+留修奖励（已发现金）'!B:B,综合考核!A204,'转介绍+留修奖励（已发现金）'!C:C)</f>
        <v>0</v>
      </c>
      <c r="F204" s="360">
        <f>SUMIF(工作车救急!A:A,A204,工作车救急!B:B)</f>
        <v>0</v>
      </c>
      <c r="G204" s="360">
        <f t="shared" si="51"/>
        <v>0</v>
      </c>
      <c r="H204" s="361"/>
      <c r="I204" s="359">
        <f>SUMIF(保客营销考核!E:E,A204,保客营销考核!J:J)</f>
        <v>0</v>
      </c>
      <c r="J204" s="361">
        <f>SUMIF(服装扣款!D:D,综合考核!A204,服装扣款!R:R)</f>
        <v>0</v>
      </c>
      <c r="K204" s="360">
        <f t="shared" si="55"/>
        <v>0</v>
      </c>
      <c r="L204" s="360">
        <f>SUMIF('-月满意度考核'!C:C,综合考核!A204,'-月满意度考核'!J:J)</f>
        <v>0</v>
      </c>
      <c r="M204" s="370">
        <f t="shared" si="56"/>
        <v>0</v>
      </c>
      <c r="N204" s="371">
        <f t="shared" si="57"/>
        <v>0</v>
      </c>
      <c r="O204" s="372"/>
      <c r="Q204" s="373">
        <f t="shared" si="54"/>
        <v>0</v>
      </c>
    </row>
    <row r="205" spans="1:17" ht="22.65" customHeight="1">
      <c r="A205" s="357">
        <f>'05月提成-机场售后'!C67</f>
        <v>0</v>
      </c>
      <c r="B205" s="358">
        <f>SUMIF('6月配件'!K:K,综合考核!A205,'6月配件'!L:L)</f>
        <v>0</v>
      </c>
      <c r="C205" s="358">
        <f>SUMIF('6月配件'!K:K,A205,'6月配件'!M:M)</f>
        <v>0</v>
      </c>
      <c r="D205" s="358">
        <f>SUMIF('5月接送车'!D:D,综合考核!A205,'5月接送车'!E:E)+SUMIF('4月续保推荐事故'!I:I,A205,'4月续保推荐事故'!K:K)</f>
        <v>0</v>
      </c>
      <c r="E205" s="369">
        <f>SUMIF('转介绍+留修奖励（已发现金）'!F:F,综合考核!A205,'转介绍+留修奖励（已发现金）'!H:H)+SUMIF('转介绍+留修奖励（已发现金）'!L:L,综合考核!A205,'转介绍+留修奖励（已发现金）'!M:M)++SUMIF('转介绍+留修奖励（已发现金）'!B:B,综合考核!A205,'转介绍+留修奖励（已发现金）'!C:C)</f>
        <v>0</v>
      </c>
      <c r="F205" s="360">
        <f>SUMIF(工作车救急!A:A,A205,工作车救急!B:B)</f>
        <v>0</v>
      </c>
      <c r="G205" s="360">
        <f t="shared" si="51"/>
        <v>0</v>
      </c>
      <c r="H205" s="361"/>
      <c r="I205" s="359">
        <f>SUMIF(保客营销考核!E:E,A205,保客营销考核!J:J)</f>
        <v>0</v>
      </c>
      <c r="J205" s="361">
        <f>SUMIF(服装扣款!D:D,综合考核!A205,服装扣款!R:R)</f>
        <v>0</v>
      </c>
      <c r="K205" s="360">
        <f t="shared" si="55"/>
        <v>0</v>
      </c>
      <c r="L205" s="360">
        <f>SUMIF('-月满意度考核'!C:C,综合考核!A205,'-月满意度考核'!J:J)</f>
        <v>0</v>
      </c>
      <c r="M205" s="370">
        <f t="shared" si="56"/>
        <v>0</v>
      </c>
      <c r="N205" s="371">
        <f t="shared" si="57"/>
        <v>0</v>
      </c>
      <c r="O205" s="372"/>
      <c r="Q205" s="373">
        <f t="shared" si="54"/>
        <v>0</v>
      </c>
    </row>
    <row r="206" spans="1:17" ht="22.65" customHeight="1">
      <c r="A206" s="357">
        <f>'05月提成-机场售后'!C68</f>
        <v>0</v>
      </c>
      <c r="B206" s="358">
        <f>SUMIF('6月配件'!K:K,综合考核!A206,'6月配件'!L:L)</f>
        <v>0</v>
      </c>
      <c r="C206" s="358">
        <f>SUMIF('6月配件'!K:K,A206,'6月配件'!M:M)</f>
        <v>0</v>
      </c>
      <c r="D206" s="358">
        <f>SUMIF('5月接送车'!D:D,综合考核!A206,'5月接送车'!E:E)+SUMIF('4月续保推荐事故'!I:I,A206,'4月续保推荐事故'!K:K)</f>
        <v>0</v>
      </c>
      <c r="E206" s="369">
        <f>SUMIF('转介绍+留修奖励（已发现金）'!F:F,综合考核!A206,'转介绍+留修奖励（已发现金）'!H:H)+SUMIF('转介绍+留修奖励（已发现金）'!L:L,综合考核!A206,'转介绍+留修奖励（已发现金）'!M:M)++SUMIF('转介绍+留修奖励（已发现金）'!B:B,综合考核!A206,'转介绍+留修奖励（已发现金）'!C:C)</f>
        <v>0</v>
      </c>
      <c r="F206" s="360">
        <f>SUMIF(工作车救急!A:A,A206,工作车救急!B:B)</f>
        <v>0</v>
      </c>
      <c r="G206" s="360">
        <f t="shared" si="51"/>
        <v>0</v>
      </c>
      <c r="H206" s="361"/>
      <c r="I206" s="359">
        <f>SUMIF(保客营销考核!E:E,A206,保客营销考核!J:J)</f>
        <v>0</v>
      </c>
      <c r="J206" s="361">
        <f>SUMIF(服装扣款!D:D,综合考核!A206,服装扣款!R:R)</f>
        <v>0</v>
      </c>
      <c r="K206" s="360">
        <f t="shared" si="55"/>
        <v>0</v>
      </c>
      <c r="L206" s="360">
        <f>SUMIF('-月满意度考核'!C:C,综合考核!A206,'-月满意度考核'!J:J)</f>
        <v>0</v>
      </c>
      <c r="M206" s="370">
        <f t="shared" si="56"/>
        <v>0</v>
      </c>
      <c r="N206" s="371">
        <f t="shared" si="57"/>
        <v>0</v>
      </c>
      <c r="O206" s="372"/>
      <c r="Q206" s="373">
        <f t="shared" si="54"/>
        <v>0</v>
      </c>
    </row>
    <row r="207" spans="1:17" ht="22.65" customHeight="1">
      <c r="A207" s="357">
        <f>'05月提成-机场售后'!C69</f>
        <v>0</v>
      </c>
      <c r="B207" s="358">
        <f>SUMIF('6月配件'!K:K,综合考核!A207,'6月配件'!L:L)</f>
        <v>0</v>
      </c>
      <c r="C207" s="358">
        <f>SUMIF('6月配件'!K:K,A207,'6月配件'!M:M)</f>
        <v>0</v>
      </c>
      <c r="D207" s="358">
        <f>SUMIF('5月接送车'!D:D,综合考核!A207,'5月接送车'!E:E)+SUMIF('4月续保推荐事故'!I:I,A207,'4月续保推荐事故'!K:K)</f>
        <v>0</v>
      </c>
      <c r="E207" s="369">
        <f>SUMIF('转介绍+留修奖励（已发现金）'!F:F,综合考核!A207,'转介绍+留修奖励（已发现金）'!H:H)+SUMIF('转介绍+留修奖励（已发现金）'!L:L,综合考核!A207,'转介绍+留修奖励（已发现金）'!M:M)++SUMIF('转介绍+留修奖励（已发现金）'!B:B,综合考核!A207,'转介绍+留修奖励（已发现金）'!C:C)</f>
        <v>0</v>
      </c>
      <c r="F207" s="360">
        <f>SUMIF(工作车救急!A:A,A207,工作车救急!B:B)</f>
        <v>0</v>
      </c>
      <c r="G207" s="360">
        <f t="shared" si="51"/>
        <v>0</v>
      </c>
      <c r="H207" s="361"/>
      <c r="I207" s="359">
        <f>SUMIF(保客营销考核!E:E,A207,保客营销考核!J:J)</f>
        <v>0</v>
      </c>
      <c r="J207" s="361">
        <f>SUMIF(服装扣款!D:D,综合考核!A207,服装扣款!R:R)</f>
        <v>0</v>
      </c>
      <c r="K207" s="360">
        <f t="shared" ref="K207:K213" si="58">SUMIF(S:S,A207,Y:Y)</f>
        <v>0</v>
      </c>
      <c r="L207" s="360">
        <f>SUMIF('-月满意度考核'!C:C,综合考核!A207,'-月满意度考核'!J:J)</f>
        <v>0</v>
      </c>
      <c r="M207" s="370">
        <f t="shared" ref="M207:M213" si="59">SUM(B207:K207)-E207</f>
        <v>0</v>
      </c>
      <c r="N207" s="371">
        <f t="shared" ref="N207:N213" si="60">SUM(E207)</f>
        <v>0</v>
      </c>
      <c r="O207" s="372"/>
      <c r="Q207" s="373">
        <f t="shared" si="54"/>
        <v>0</v>
      </c>
    </row>
    <row r="208" spans="1:17" ht="22.65" customHeight="1">
      <c r="A208" s="357">
        <f>'05月提成-机场售后'!C70</f>
        <v>0</v>
      </c>
      <c r="B208" s="358">
        <f>SUMIF('6月配件'!K:K,综合考核!A208,'6月配件'!L:L)</f>
        <v>0</v>
      </c>
      <c r="C208" s="358">
        <f>SUMIF('6月配件'!K:K,A208,'6月配件'!M:M)</f>
        <v>0</v>
      </c>
      <c r="D208" s="358">
        <f>SUMIF('5月接送车'!D:D,综合考核!A208,'5月接送车'!E:E)+SUMIF('4月续保推荐事故'!I:I,A208,'4月续保推荐事故'!K:K)</f>
        <v>0</v>
      </c>
      <c r="E208" s="369">
        <f>SUMIF('转介绍+留修奖励（已发现金）'!F:F,综合考核!A208,'转介绍+留修奖励（已发现金）'!H:H)+SUMIF('转介绍+留修奖励（已发现金）'!L:L,综合考核!A208,'转介绍+留修奖励（已发现金）'!M:M)++SUMIF('转介绍+留修奖励（已发现金）'!B:B,综合考核!A208,'转介绍+留修奖励（已发现金）'!C:C)</f>
        <v>0</v>
      </c>
      <c r="F208" s="360">
        <f>SUMIF(工作车救急!A:A,A208,工作车救急!B:B)</f>
        <v>0</v>
      </c>
      <c r="G208" s="360">
        <f t="shared" si="51"/>
        <v>0</v>
      </c>
      <c r="H208" s="361"/>
      <c r="I208" s="359">
        <f>SUMIF(保客营销考核!E:E,A208,保客营销考核!J:J)</f>
        <v>0</v>
      </c>
      <c r="J208" s="361">
        <f>SUMIF(服装扣款!D:D,综合考核!A208,服装扣款!R:R)</f>
        <v>0</v>
      </c>
      <c r="K208" s="360">
        <f t="shared" si="58"/>
        <v>0</v>
      </c>
      <c r="L208" s="360">
        <f>SUMIF('-月满意度考核'!C:C,综合考核!A208,'-月满意度考核'!J:J)</f>
        <v>0</v>
      </c>
      <c r="M208" s="370">
        <f t="shared" si="59"/>
        <v>0</v>
      </c>
      <c r="N208" s="371">
        <f t="shared" si="60"/>
        <v>0</v>
      </c>
      <c r="O208" s="372"/>
      <c r="Q208" s="373">
        <f t="shared" si="54"/>
        <v>0</v>
      </c>
    </row>
    <row r="209" spans="1:17" ht="22.65" customHeight="1">
      <c r="A209" s="357">
        <f>'05月提成-机场售后'!C71</f>
        <v>0</v>
      </c>
      <c r="B209" s="358">
        <f>SUMIF('6月配件'!K:K,综合考核!A209,'6月配件'!L:L)</f>
        <v>0</v>
      </c>
      <c r="C209" s="358">
        <f>SUMIF('6月配件'!K:K,A209,'6月配件'!M:M)</f>
        <v>0</v>
      </c>
      <c r="D209" s="358">
        <f>SUMIF('5月接送车'!D:D,综合考核!A209,'5月接送车'!E:E)+SUMIF('4月续保推荐事故'!I:I,A209,'4月续保推荐事故'!K:K)</f>
        <v>0</v>
      </c>
      <c r="E209" s="369">
        <f>SUMIF('转介绍+留修奖励（已发现金）'!F:F,综合考核!A209,'转介绍+留修奖励（已发现金）'!H:H)+SUMIF('转介绍+留修奖励（已发现金）'!L:L,综合考核!A209,'转介绍+留修奖励（已发现金）'!M:M)++SUMIF('转介绍+留修奖励（已发现金）'!B:B,综合考核!A209,'转介绍+留修奖励（已发现金）'!C:C)</f>
        <v>0</v>
      </c>
      <c r="F209" s="360">
        <f>SUMIF(工作车救急!A:A,A209,工作车救急!B:B)</f>
        <v>0</v>
      </c>
      <c r="G209" s="360">
        <f t="shared" si="51"/>
        <v>0</v>
      </c>
      <c r="H209" s="361"/>
      <c r="I209" s="359">
        <f>SUMIF(保客营销考核!E:E,A209,保客营销考核!J:J)</f>
        <v>0</v>
      </c>
      <c r="J209" s="361">
        <f>SUMIF(服装扣款!D:D,综合考核!A209,服装扣款!R:R)</f>
        <v>0</v>
      </c>
      <c r="K209" s="360">
        <f t="shared" si="58"/>
        <v>0</v>
      </c>
      <c r="L209" s="360">
        <f>SUMIF('-月满意度考核'!C:C,综合考核!A209,'-月满意度考核'!J:J)</f>
        <v>0</v>
      </c>
      <c r="M209" s="370">
        <f t="shared" si="59"/>
        <v>0</v>
      </c>
      <c r="N209" s="371">
        <f t="shared" si="60"/>
        <v>0</v>
      </c>
      <c r="O209" s="372"/>
      <c r="Q209" s="373">
        <f t="shared" si="54"/>
        <v>0</v>
      </c>
    </row>
    <row r="210" spans="1:17" ht="22.65" customHeight="1">
      <c r="A210" s="357">
        <f>'05月提成-机场售后'!C72</f>
        <v>0</v>
      </c>
      <c r="B210" s="358">
        <f>SUMIF('6月配件'!K:K,综合考核!A210,'6月配件'!L:L)</f>
        <v>0</v>
      </c>
      <c r="C210" s="358">
        <f>SUMIF('6月配件'!K:K,A210,'6月配件'!M:M)</f>
        <v>0</v>
      </c>
      <c r="D210" s="358">
        <f>SUMIF('5月接送车'!D:D,综合考核!A210,'5月接送车'!E:E)+SUMIF('4月续保推荐事故'!I:I,A210,'4月续保推荐事故'!K:K)</f>
        <v>0</v>
      </c>
      <c r="E210" s="369">
        <f>SUMIF('转介绍+留修奖励（已发现金）'!F:F,综合考核!A210,'转介绍+留修奖励（已发现金）'!H:H)+SUMIF('转介绍+留修奖励（已发现金）'!L:L,综合考核!A210,'转介绍+留修奖励（已发现金）'!M:M)++SUMIF('转介绍+留修奖励（已发现金）'!B:B,综合考核!A210,'转介绍+留修奖励（已发现金）'!C:C)</f>
        <v>0</v>
      </c>
      <c r="F210" s="360">
        <f>SUMIF(工作车救急!A:A,A210,工作车救急!B:B)</f>
        <v>0</v>
      </c>
      <c r="G210" s="360">
        <f t="shared" si="51"/>
        <v>0</v>
      </c>
      <c r="H210" s="361"/>
      <c r="I210" s="359">
        <f>SUMIF(保客营销考核!E:E,A210,保客营销考核!J:J)</f>
        <v>0</v>
      </c>
      <c r="J210" s="361">
        <f>SUMIF(服装扣款!D:D,综合考核!A210,服装扣款!R:R)</f>
        <v>0</v>
      </c>
      <c r="K210" s="360">
        <f t="shared" si="58"/>
        <v>0</v>
      </c>
      <c r="L210" s="360">
        <f>SUMIF('-月满意度考核'!C:C,综合考核!A210,'-月满意度考核'!J:J)</f>
        <v>0</v>
      </c>
      <c r="M210" s="370">
        <f t="shared" si="59"/>
        <v>0</v>
      </c>
      <c r="N210" s="371">
        <f t="shared" si="60"/>
        <v>0</v>
      </c>
      <c r="O210" s="372"/>
      <c r="Q210" s="373">
        <f t="shared" si="54"/>
        <v>0</v>
      </c>
    </row>
    <row r="211" spans="1:17" ht="22.65" customHeight="1">
      <c r="A211" s="357">
        <f>'05月提成-机场售后'!C73</f>
        <v>0</v>
      </c>
      <c r="B211" s="358">
        <f>SUMIF('6月配件'!K:K,综合考核!A211,'6月配件'!L:L)</f>
        <v>0</v>
      </c>
      <c r="C211" s="358">
        <f>SUMIF('6月配件'!K:K,A211,'6月配件'!M:M)</f>
        <v>0</v>
      </c>
      <c r="D211" s="358">
        <f>SUMIF('5月接送车'!D:D,综合考核!A211,'5月接送车'!E:E)+SUMIF('4月续保推荐事故'!I:I,A211,'4月续保推荐事故'!K:K)</f>
        <v>0</v>
      </c>
      <c r="E211" s="369">
        <f>SUMIF('转介绍+留修奖励（已发现金）'!F:F,综合考核!A211,'转介绍+留修奖励（已发现金）'!H:H)+SUMIF('转介绍+留修奖励（已发现金）'!L:L,综合考核!A211,'转介绍+留修奖励（已发现金）'!M:M)++SUMIF('转介绍+留修奖励（已发现金）'!B:B,综合考核!A211,'转介绍+留修奖励（已发现金）'!C:C)</f>
        <v>0</v>
      </c>
      <c r="F211" s="360">
        <f>SUMIF(工作车救急!A:A,A211,工作车救急!B:B)</f>
        <v>0</v>
      </c>
      <c r="G211" s="360">
        <f t="shared" si="51"/>
        <v>0</v>
      </c>
      <c r="H211" s="361"/>
      <c r="I211" s="359">
        <f>SUMIF(保客营销考核!E:E,A211,保客营销考核!J:J)</f>
        <v>0</v>
      </c>
      <c r="J211" s="361">
        <f>SUMIF(服装扣款!D:D,综合考核!A211,服装扣款!R:R)</f>
        <v>0</v>
      </c>
      <c r="K211" s="360">
        <f t="shared" si="58"/>
        <v>0</v>
      </c>
      <c r="L211" s="360">
        <f>SUMIF('-月满意度考核'!C:C,综合考核!A211,'-月满意度考核'!J:J)</f>
        <v>0</v>
      </c>
      <c r="M211" s="370">
        <f t="shared" si="59"/>
        <v>0</v>
      </c>
      <c r="N211" s="371">
        <f t="shared" si="60"/>
        <v>0</v>
      </c>
      <c r="O211" s="372"/>
      <c r="Q211" s="373">
        <f t="shared" si="54"/>
        <v>0</v>
      </c>
    </row>
    <row r="212" spans="1:17" ht="22.65" customHeight="1">
      <c r="A212" s="357">
        <f>'05月提成-机场售后'!C74</f>
        <v>0</v>
      </c>
      <c r="B212" s="358">
        <f>SUMIF('6月配件'!K:K,综合考核!A212,'6月配件'!L:L)</f>
        <v>0</v>
      </c>
      <c r="C212" s="358">
        <f>SUMIF('6月配件'!K:K,A212,'6月配件'!M:M)</f>
        <v>0</v>
      </c>
      <c r="D212" s="358">
        <f>SUMIF('5月接送车'!D:D,综合考核!A212,'5月接送车'!E:E)+SUMIF('4月续保推荐事故'!I:I,A212,'4月续保推荐事故'!K:K)</f>
        <v>0</v>
      </c>
      <c r="E212" s="369">
        <f>SUMIF('转介绍+留修奖励（已发现金）'!F:F,综合考核!A212,'转介绍+留修奖励（已发现金）'!H:H)+SUMIF('转介绍+留修奖励（已发现金）'!L:L,综合考核!A212,'转介绍+留修奖励（已发现金）'!M:M)++SUMIF('转介绍+留修奖励（已发现金）'!B:B,综合考核!A212,'转介绍+留修奖励（已发现金）'!C:C)</f>
        <v>0</v>
      </c>
      <c r="F212" s="360">
        <f>SUMIF(工作车救急!A:A,A212,工作车救急!B:B)</f>
        <v>0</v>
      </c>
      <c r="G212" s="360">
        <f t="shared" si="51"/>
        <v>0</v>
      </c>
      <c r="H212" s="361"/>
      <c r="I212" s="359">
        <f>SUMIF(保客营销考核!E:E,A212,保客营销考核!J:J)</f>
        <v>0</v>
      </c>
      <c r="J212" s="361">
        <f>SUMIF(服装扣款!D:D,综合考核!A212,服装扣款!R:R)</f>
        <v>0</v>
      </c>
      <c r="K212" s="360">
        <f t="shared" si="58"/>
        <v>0</v>
      </c>
      <c r="L212" s="360">
        <f>SUMIF('-月满意度考核'!C:C,综合考核!A212,'-月满意度考核'!J:J)</f>
        <v>0</v>
      </c>
      <c r="M212" s="370">
        <f t="shared" si="59"/>
        <v>0</v>
      </c>
      <c r="N212" s="371">
        <f t="shared" si="60"/>
        <v>0</v>
      </c>
      <c r="O212" s="372"/>
      <c r="Q212" s="373">
        <f t="shared" si="54"/>
        <v>0</v>
      </c>
    </row>
    <row r="213" spans="1:17" ht="22.65" customHeight="1">
      <c r="A213" s="357"/>
      <c r="B213" s="358">
        <f>SUMIF('6月配件'!K:K,综合考核!A213,'6月配件'!L:L)</f>
        <v>0</v>
      </c>
      <c r="C213" s="358">
        <f>SUMIF('6月配件'!K:K,A213,'6月配件'!M:M)</f>
        <v>0</v>
      </c>
      <c r="D213" s="358">
        <f>SUMIF('5月接送车'!D:D,综合考核!A213,'5月接送车'!E:E)+SUMIF('4月续保推荐事故'!I:I,A213,'4月续保推荐事故'!K:K)</f>
        <v>0</v>
      </c>
      <c r="E213" s="369">
        <f>SUMIF('转介绍+留修奖励（已发现金）'!F:F,综合考核!A213,'转介绍+留修奖励（已发现金）'!H:H)+SUMIF('转介绍+留修奖励（已发现金）'!L:L,综合考核!A213,'转介绍+留修奖励（已发现金）'!M:M)++SUMIF('转介绍+留修奖励（已发现金）'!B:B,综合考核!A213,'转介绍+留修奖励（已发现金）'!C:C)</f>
        <v>0</v>
      </c>
      <c r="F213" s="360">
        <f>SUMIF(工作车救急!A:A,A213,工作车救急!B:B)</f>
        <v>0</v>
      </c>
      <c r="G213" s="360">
        <f t="shared" si="51"/>
        <v>0</v>
      </c>
      <c r="H213" s="361"/>
      <c r="I213" s="361"/>
      <c r="J213" s="361">
        <f>SUMIF(服装扣款!D:D,综合考核!A213,服装扣款!R:R)</f>
        <v>0</v>
      </c>
      <c r="K213" s="360">
        <f t="shared" si="58"/>
        <v>0</v>
      </c>
      <c r="L213" s="360">
        <f>SUMIF('-月满意度考核'!C:C,综合考核!A213,'-月满意度考核'!J:J)</f>
        <v>0</v>
      </c>
      <c r="M213" s="370">
        <f t="shared" si="59"/>
        <v>0</v>
      </c>
      <c r="N213" s="371">
        <f t="shared" si="60"/>
        <v>0</v>
      </c>
      <c r="O213" s="372"/>
      <c r="Q213" s="373">
        <f t="shared" si="54"/>
        <v>0</v>
      </c>
    </row>
    <row r="214" spans="1:17" ht="22.65" customHeight="1">
      <c r="A214" s="433"/>
      <c r="B214" s="433">
        <f t="shared" ref="B214:N214" si="61">SUM(B4:B213)</f>
        <v>0</v>
      </c>
      <c r="C214" s="433">
        <f t="shared" si="61"/>
        <v>0</v>
      </c>
      <c r="D214" s="433">
        <f t="shared" si="61"/>
        <v>1950</v>
      </c>
      <c r="E214" s="434">
        <f t="shared" si="61"/>
        <v>300</v>
      </c>
      <c r="F214" s="433">
        <f t="shared" si="61"/>
        <v>0</v>
      </c>
      <c r="G214" s="434">
        <f t="shared" si="61"/>
        <v>0</v>
      </c>
      <c r="H214" s="433">
        <f t="shared" si="61"/>
        <v>0</v>
      </c>
      <c r="I214" s="433">
        <f t="shared" si="61"/>
        <v>0</v>
      </c>
      <c r="J214" s="433">
        <f t="shared" si="61"/>
        <v>0</v>
      </c>
      <c r="K214" s="433">
        <f t="shared" si="61"/>
        <v>0</v>
      </c>
      <c r="L214" s="433">
        <f t="shared" si="61"/>
        <v>0</v>
      </c>
      <c r="M214" s="433">
        <f t="shared" si="61"/>
        <v>1950</v>
      </c>
      <c r="N214" s="433">
        <f t="shared" si="61"/>
        <v>300</v>
      </c>
      <c r="O214" s="433"/>
      <c r="Q214" s="373">
        <f t="shared" ref="Q214" si="62">M214-P214</f>
        <v>1950</v>
      </c>
    </row>
    <row r="215" spans="1:17" ht="20.399999999999999" customHeight="1">
      <c r="D215" s="351">
        <f>'5月接送车'!E18</f>
        <v>1950</v>
      </c>
      <c r="E215" s="232">
        <f>'转介绍+留修奖励（已发现金）'!H1+'转介绍+留修奖励（已发现金）'!M1+'转介绍+留修奖励（已发现金）'!C1</f>
        <v>300</v>
      </c>
      <c r="F215" s="352">
        <f>工作车救急!B17</f>
        <v>0</v>
      </c>
      <c r="G215" s="353">
        <f>AV1</f>
        <v>0</v>
      </c>
      <c r="K215" s="353">
        <f>Y22</f>
        <v>0</v>
      </c>
      <c r="M215" s="428"/>
      <c r="N215" s="371"/>
      <c r="P215" s="42">
        <f>SUMIF('05月提成-武侯售后'!C:C,综合考核!A215,'05月提成-武侯售后'!L:L)</f>
        <v>0</v>
      </c>
    </row>
    <row r="216" spans="1:17">
      <c r="A216" s="232" t="s">
        <v>4530</v>
      </c>
      <c r="B216" s="351">
        <f>'6月配件'!L14</f>
        <v>0</v>
      </c>
      <c r="C216" s="351">
        <f>'6月配件'!M14</f>
        <v>0</v>
      </c>
      <c r="D216" s="351">
        <f>D214-D215</f>
        <v>0</v>
      </c>
      <c r="E216" s="232">
        <f>E214-E215</f>
        <v>0</v>
      </c>
      <c r="F216" s="352">
        <f>F214-F215</f>
        <v>0</v>
      </c>
      <c r="G216" s="353">
        <f>G214-G215</f>
        <v>0</v>
      </c>
      <c r="K216" s="353">
        <f>K214-K215</f>
        <v>0</v>
      </c>
      <c r="P216" s="42">
        <f>SUMIF('05月提成-武侯售后'!C:C,综合考核!A216,'05月提成-武侯售后'!L:L)</f>
        <v>0</v>
      </c>
    </row>
    <row r="218" spans="1:17">
      <c r="A218" s="232" t="s">
        <v>332</v>
      </c>
      <c r="B218" s="351">
        <f>B214-B216</f>
        <v>0</v>
      </c>
      <c r="C218" s="351">
        <f>C214-C216</f>
        <v>0</v>
      </c>
      <c r="E218" s="351"/>
      <c r="F218" s="351"/>
      <c r="G218" s="351"/>
      <c r="H218" s="351"/>
      <c r="I218" s="351"/>
      <c r="J218" s="351"/>
      <c r="K218" s="351"/>
      <c r="L218" s="351"/>
      <c r="M218" s="351"/>
      <c r="O218" s="351"/>
    </row>
    <row r="219" spans="1:17">
      <c r="D219" s="435"/>
    </row>
  </sheetData>
  <autoFilter ref="A3:AD216" xr:uid="{00000000-0009-0000-0000-000012000000}"/>
  <mergeCells count="75">
    <mergeCell ref="AX4:AX25"/>
    <mergeCell ref="AX2:BE3"/>
    <mergeCell ref="AI43:AO43"/>
    <mergeCell ref="AI44:AO44"/>
    <mergeCell ref="AT46:AV46"/>
    <mergeCell ref="AT47:AU47"/>
    <mergeCell ref="A2:A3"/>
    <mergeCell ref="J2:J3"/>
    <mergeCell ref="K2:K3"/>
    <mergeCell ref="L2:L3"/>
    <mergeCell ref="M2:M3"/>
    <mergeCell ref="N2:N3"/>
    <mergeCell ref="O2:O3"/>
    <mergeCell ref="AI9:AI10"/>
    <mergeCell ref="AI25:AI26"/>
    <mergeCell ref="AJ9:AJ10"/>
    <mergeCell ref="AK9:AK10"/>
    <mergeCell ref="AL9:AL10"/>
    <mergeCell ref="AM40:AN40"/>
    <mergeCell ref="AO40:AP40"/>
    <mergeCell ref="AQ40:AS40"/>
    <mergeCell ref="AI42:AJ42"/>
    <mergeCell ref="AM42:AN42"/>
    <mergeCell ref="AO42:AP42"/>
    <mergeCell ref="AQ42:AS42"/>
    <mergeCell ref="AM38:AN38"/>
    <mergeCell ref="AO38:AP38"/>
    <mergeCell ref="AQ38:AS38"/>
    <mergeCell ref="AM39:AN39"/>
    <mergeCell ref="AO39:AP39"/>
    <mergeCell ref="AQ39:AS39"/>
    <mergeCell ref="AM36:AN36"/>
    <mergeCell ref="AO36:AP36"/>
    <mergeCell ref="AQ36:AS36"/>
    <mergeCell ref="AM37:AN37"/>
    <mergeCell ref="AO37:AP37"/>
    <mergeCell ref="AQ37:AS37"/>
    <mergeCell ref="AM34:AN34"/>
    <mergeCell ref="AO34:AP34"/>
    <mergeCell ref="AQ34:AS34"/>
    <mergeCell ref="AM35:AN35"/>
    <mergeCell ref="AO35:AP35"/>
    <mergeCell ref="AQ35:AS35"/>
    <mergeCell ref="AM32:AN32"/>
    <mergeCell ref="AO32:AP32"/>
    <mergeCell ref="AQ32:AS32"/>
    <mergeCell ref="AM33:AN33"/>
    <mergeCell ref="AO33:AP33"/>
    <mergeCell ref="AQ33:AS33"/>
    <mergeCell ref="AM30:AN30"/>
    <mergeCell ref="AO30:AP30"/>
    <mergeCell ref="AQ30:AS30"/>
    <mergeCell ref="AM31:AN31"/>
    <mergeCell ref="AO31:AP31"/>
    <mergeCell ref="AQ31:AS31"/>
    <mergeCell ref="AM28:AN28"/>
    <mergeCell ref="AO28:AP28"/>
    <mergeCell ref="AQ28:AS28"/>
    <mergeCell ref="AM29:AN29"/>
    <mergeCell ref="AO29:AP29"/>
    <mergeCell ref="AQ29:AS29"/>
    <mergeCell ref="AI5:AV5"/>
    <mergeCell ref="AI6:AV6"/>
    <mergeCell ref="AI23:AJ23"/>
    <mergeCell ref="AM27:AN27"/>
    <mergeCell ref="AO27:AP27"/>
    <mergeCell ref="AQ27:AS27"/>
    <mergeCell ref="AT9:AT10"/>
    <mergeCell ref="AU9:AU10"/>
    <mergeCell ref="AV9:AV10"/>
    <mergeCell ref="A1:O1"/>
    <mergeCell ref="B2:C2"/>
    <mergeCell ref="F2:I2"/>
    <mergeCell ref="R2:AB2"/>
    <mergeCell ref="AI4:AU4"/>
  </mergeCells>
  <phoneticPr fontId="5" type="noConversion"/>
  <conditionalFormatting sqref="A4:A213 A215:A322">
    <cfRule type="duplicateValues" dxfId="86" priority="46"/>
  </conditionalFormatting>
  <conditionalFormatting sqref="AJ27:AJ41">
    <cfRule type="duplicateValues" dxfId="85" priority="7"/>
  </conditionalFormatting>
  <conditionalFormatting sqref="AY26">
    <cfRule type="duplicateValues" dxfId="84" priority="14"/>
  </conditionalFormatting>
  <pageMargins left="0.69930555555555596" right="0.69930555555555596" top="0.75" bottom="0.75" header="0.3" footer="0.3"/>
  <pageSetup paperSize="9" orientation="portrait"/>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rgb="FFFF0000"/>
  </sheetPr>
  <dimension ref="A2:N41"/>
  <sheetViews>
    <sheetView workbookViewId="0">
      <pane xSplit="1" ySplit="1" topLeftCell="B2" activePane="bottomRight" state="frozen"/>
      <selection pane="topRight"/>
      <selection pane="bottomLeft"/>
      <selection pane="bottomRight" activeCell="I10" sqref="I10"/>
    </sheetView>
  </sheetViews>
  <sheetFormatPr defaultColWidth="9" defaultRowHeight="14.4"/>
  <cols>
    <col min="1" max="1" width="24.109375" style="30" customWidth="1"/>
    <col min="2" max="3" width="11.77734375" style="30" customWidth="1"/>
    <col min="4" max="4" width="20.6640625" style="30" customWidth="1"/>
    <col min="5" max="5" width="13.109375" style="30" customWidth="1"/>
    <col min="6" max="6" width="11.21875" style="30" customWidth="1"/>
    <col min="7" max="7" width="10.33203125" style="30" customWidth="1"/>
    <col min="8" max="8" width="8.33203125" style="30" customWidth="1"/>
    <col min="9" max="9" width="17.44140625" style="30" customWidth="1"/>
    <col min="10" max="10" width="8.33203125" style="30" customWidth="1"/>
    <col min="11" max="16384" width="9" style="30"/>
  </cols>
  <sheetData>
    <row r="2" spans="1:7" ht="19.2" customHeight="1">
      <c r="A2" s="2073" t="s">
        <v>1024</v>
      </c>
      <c r="B2" s="2073"/>
      <c r="C2" s="2073"/>
      <c r="D2" s="2073"/>
      <c r="E2" s="2073"/>
      <c r="F2" s="2073"/>
      <c r="G2" s="320"/>
    </row>
    <row r="3" spans="1:7" ht="23.25" customHeight="1">
      <c r="A3" s="2073" t="s">
        <v>1031</v>
      </c>
      <c r="B3" s="2073" t="s">
        <v>1032</v>
      </c>
      <c r="C3" s="2073"/>
      <c r="D3" s="321">
        <f>50-5</f>
        <v>45</v>
      </c>
      <c r="E3" s="321">
        <f>90-5</f>
        <v>85</v>
      </c>
      <c r="F3" s="321">
        <f>100-5</f>
        <v>95</v>
      </c>
      <c r="G3" s="322"/>
    </row>
    <row r="4" spans="1:7" ht="23.25" customHeight="1">
      <c r="A4" s="2073"/>
      <c r="B4" s="2073" t="s">
        <v>1038</v>
      </c>
      <c r="C4" s="2073"/>
      <c r="D4" s="319" t="s">
        <v>1051</v>
      </c>
      <c r="E4" s="319" t="s">
        <v>4531</v>
      </c>
      <c r="F4" s="319" t="s">
        <v>4532</v>
      </c>
      <c r="G4" s="323"/>
    </row>
    <row r="5" spans="1:7" ht="23.25" customHeight="1">
      <c r="A5" s="2073" t="s">
        <v>993</v>
      </c>
      <c r="B5" s="2073" t="s">
        <v>1032</v>
      </c>
      <c r="C5" s="2073"/>
      <c r="D5" s="321">
        <f>40-5</f>
        <v>35</v>
      </c>
      <c r="E5" s="321">
        <f>60-5</f>
        <v>55</v>
      </c>
      <c r="F5" s="321">
        <f>80-5</f>
        <v>75</v>
      </c>
      <c r="G5" s="322"/>
    </row>
    <row r="6" spans="1:7" ht="23.25" customHeight="1">
      <c r="A6" s="2073"/>
      <c r="B6" s="2073" t="s">
        <v>1050</v>
      </c>
      <c r="C6" s="2073"/>
      <c r="D6" s="319" t="s">
        <v>1051</v>
      </c>
      <c r="E6" s="319" t="s">
        <v>4533</v>
      </c>
      <c r="F6" s="319" t="s">
        <v>1053</v>
      </c>
      <c r="G6" s="323"/>
    </row>
    <row r="7" spans="1:7" ht="23.25" customHeight="1">
      <c r="A7" s="2073" t="s">
        <v>1059</v>
      </c>
      <c r="B7" s="2073" t="s">
        <v>1032</v>
      </c>
      <c r="C7" s="2073"/>
      <c r="D7" s="321">
        <f>80-5</f>
        <v>75</v>
      </c>
      <c r="E7" s="321">
        <f>100-5</f>
        <v>95</v>
      </c>
      <c r="F7" s="321">
        <f>120-5</f>
        <v>115</v>
      </c>
      <c r="G7" s="322"/>
    </row>
    <row r="8" spans="1:7" ht="23.25" customHeight="1">
      <c r="A8" s="2073"/>
      <c r="B8" s="2073" t="s">
        <v>1050</v>
      </c>
      <c r="C8" s="2073"/>
      <c r="D8" s="319" t="s">
        <v>1064</v>
      </c>
      <c r="E8" s="319" t="s">
        <v>4534</v>
      </c>
      <c r="F8" s="319" t="s">
        <v>1066</v>
      </c>
      <c r="G8" s="324"/>
    </row>
    <row r="9" spans="1:7" ht="23.25" customHeight="1">
      <c r="A9" s="319" t="s">
        <v>995</v>
      </c>
      <c r="B9" s="2073" t="s">
        <v>1032</v>
      </c>
      <c r="C9" s="2073"/>
      <c r="D9" s="2074">
        <v>10</v>
      </c>
      <c r="E9" s="2074"/>
      <c r="F9" s="2074"/>
      <c r="G9" s="322"/>
    </row>
    <row r="10" spans="1:7" ht="23.25" customHeight="1">
      <c r="A10" s="319" t="s">
        <v>4535</v>
      </c>
      <c r="B10" s="2073" t="s">
        <v>1032</v>
      </c>
      <c r="C10" s="2073"/>
      <c r="D10" s="2074">
        <v>20</v>
      </c>
      <c r="E10" s="2074"/>
      <c r="F10" s="2074"/>
      <c r="G10" s="324"/>
    </row>
    <row r="17" spans="1:14">
      <c r="A17" s="325" t="s">
        <v>4536</v>
      </c>
      <c r="B17" s="325"/>
      <c r="C17" s="325"/>
      <c r="D17" s="325"/>
      <c r="E17" s="325"/>
      <c r="F17" s="325"/>
      <c r="G17" s="325"/>
      <c r="H17" s="325"/>
      <c r="I17" s="325"/>
      <c r="N17" s="30" t="s">
        <v>4537</v>
      </c>
    </row>
    <row r="18" spans="1:14">
      <c r="A18" s="2075" t="s">
        <v>1024</v>
      </c>
      <c r="B18" s="2076"/>
      <c r="C18" s="2076"/>
      <c r="D18" s="2076"/>
      <c r="E18" s="2076"/>
      <c r="F18" s="2076"/>
      <c r="G18" s="2076"/>
      <c r="H18" s="325"/>
      <c r="I18" s="325"/>
    </row>
    <row r="19" spans="1:14" ht="28.8">
      <c r="A19" s="2075" t="s">
        <v>4538</v>
      </c>
      <c r="B19" s="2076" t="s">
        <v>4539</v>
      </c>
      <c r="C19" s="2076"/>
      <c r="D19" s="326" t="s">
        <v>4540</v>
      </c>
      <c r="E19" s="326" t="s">
        <v>4541</v>
      </c>
      <c r="F19" s="326" t="s">
        <v>4542</v>
      </c>
      <c r="G19" s="326" t="s">
        <v>4543</v>
      </c>
      <c r="H19" s="325"/>
      <c r="I19" s="325"/>
    </row>
    <row r="20" spans="1:14">
      <c r="A20" s="2075"/>
      <c r="B20" s="2076" t="s">
        <v>4544</v>
      </c>
      <c r="C20" s="2076"/>
      <c r="D20" s="327">
        <v>5</v>
      </c>
      <c r="E20" s="327">
        <v>4.5</v>
      </c>
      <c r="F20" s="327">
        <v>3.5</v>
      </c>
      <c r="G20" s="327">
        <v>3</v>
      </c>
      <c r="H20" s="325"/>
      <c r="I20" s="325"/>
    </row>
    <row r="21" spans="1:14">
      <c r="A21" s="2075" t="s">
        <v>4545</v>
      </c>
      <c r="B21" s="2076" t="s">
        <v>4546</v>
      </c>
      <c r="C21" s="2076"/>
      <c r="D21" s="328">
        <v>0.8</v>
      </c>
      <c r="E21" s="328">
        <v>0.9</v>
      </c>
      <c r="F21" s="328">
        <v>1</v>
      </c>
      <c r="G21" s="329"/>
      <c r="H21" s="325"/>
      <c r="I21" s="325"/>
    </row>
    <row r="22" spans="1:14">
      <c r="A22" s="2075"/>
      <c r="B22" s="2076"/>
      <c r="C22" s="2076"/>
      <c r="D22" s="330">
        <v>3.5</v>
      </c>
      <c r="E22" s="330">
        <v>4</v>
      </c>
      <c r="F22" s="330">
        <v>5</v>
      </c>
      <c r="G22" s="331"/>
      <c r="H22" s="325"/>
      <c r="I22" s="325"/>
      <c r="J22" s="332"/>
    </row>
    <row r="23" spans="1:14">
      <c r="A23" s="333" t="s">
        <v>4547</v>
      </c>
      <c r="B23" s="2076" t="s">
        <v>4548</v>
      </c>
      <c r="C23" s="2076"/>
      <c r="D23" s="326">
        <v>12</v>
      </c>
      <c r="E23" s="326"/>
      <c r="F23" s="326"/>
      <c r="G23" s="326"/>
      <c r="H23" s="325"/>
      <c r="I23" s="325"/>
    </row>
    <row r="24" spans="1:14">
      <c r="A24" s="333" t="s">
        <v>4549</v>
      </c>
      <c r="B24" s="2076" t="s">
        <v>4550</v>
      </c>
      <c r="C24" s="2076"/>
      <c r="D24" s="334">
        <v>10</v>
      </c>
      <c r="E24" s="326"/>
      <c r="F24" s="326"/>
      <c r="G24" s="326"/>
      <c r="H24" s="325"/>
      <c r="I24" s="325"/>
    </row>
    <row r="25" spans="1:14">
      <c r="A25" s="333" t="s">
        <v>4551</v>
      </c>
      <c r="B25" s="2076" t="s">
        <v>4552</v>
      </c>
      <c r="C25" s="2076"/>
      <c r="D25" s="334">
        <v>8</v>
      </c>
      <c r="E25" s="326"/>
      <c r="F25" s="326"/>
      <c r="G25" s="326" t="s">
        <v>4553</v>
      </c>
      <c r="H25" s="325"/>
      <c r="I25" s="325"/>
    </row>
    <row r="26" spans="1:14">
      <c r="A26" s="335"/>
      <c r="B26" s="2077"/>
      <c r="C26" s="2077"/>
      <c r="D26" s="336"/>
      <c r="E26" s="336"/>
      <c r="F26" s="336"/>
      <c r="G26" s="336"/>
      <c r="H26" s="325"/>
      <c r="I26" s="325"/>
    </row>
    <row r="27" spans="1:14">
      <c r="A27" s="337"/>
      <c r="B27" s="2077"/>
      <c r="C27" s="2077"/>
      <c r="D27" s="2077"/>
      <c r="E27" s="2077"/>
      <c r="F27" s="2077"/>
      <c r="G27" s="2077"/>
      <c r="H27" s="325"/>
      <c r="I27" s="325"/>
    </row>
    <row r="28" spans="1:14">
      <c r="A28" s="325"/>
      <c r="B28" s="325"/>
      <c r="C28" s="325"/>
      <c r="D28" s="325"/>
      <c r="E28" s="325"/>
      <c r="F28" s="325"/>
      <c r="G28" s="325"/>
      <c r="H28" s="325"/>
      <c r="I28" s="325"/>
    </row>
    <row r="29" spans="1:14" s="42" customFormat="1" ht="30">
      <c r="A29" s="2076" t="s">
        <v>1024</v>
      </c>
      <c r="B29" s="2076"/>
      <c r="C29" s="2076"/>
      <c r="D29" s="326" t="s">
        <v>4554</v>
      </c>
      <c r="E29" s="338" t="s">
        <v>4555</v>
      </c>
      <c r="F29" s="326" t="s">
        <v>4556</v>
      </c>
      <c r="G29" s="326" t="s">
        <v>4557</v>
      </c>
      <c r="H29" s="339" t="s">
        <v>955</v>
      </c>
      <c r="I29" s="339" t="s">
        <v>984</v>
      </c>
    </row>
    <row r="30" spans="1:14" ht="15">
      <c r="A30" s="2075" t="s">
        <v>4538</v>
      </c>
      <c r="B30" s="2076" t="s">
        <v>4539</v>
      </c>
      <c r="C30" s="2076"/>
      <c r="D30" s="334"/>
      <c r="E30" s="340"/>
      <c r="F30" s="341"/>
      <c r="G30" s="342"/>
      <c r="H30" s="339"/>
      <c r="I30" s="343"/>
    </row>
    <row r="31" spans="1:14">
      <c r="A31" s="2075"/>
      <c r="B31" s="2076" t="s">
        <v>4544</v>
      </c>
      <c r="C31" s="2076"/>
      <c r="D31" s="327"/>
      <c r="E31" s="327"/>
      <c r="F31" s="327"/>
      <c r="G31" s="344"/>
      <c r="H31" s="339"/>
      <c r="I31" s="343"/>
    </row>
    <row r="32" spans="1:14">
      <c r="A32" s="2075" t="s">
        <v>4545</v>
      </c>
      <c r="B32" s="2076" t="s">
        <v>4558</v>
      </c>
      <c r="C32" s="2076"/>
      <c r="D32" s="345"/>
      <c r="E32" s="345"/>
      <c r="F32" s="345"/>
      <c r="G32" s="328"/>
      <c r="H32" s="339"/>
      <c r="I32" s="343"/>
    </row>
    <row r="33" spans="1:9">
      <c r="A33" s="2075"/>
      <c r="B33" s="2076" t="s">
        <v>4559</v>
      </c>
      <c r="C33" s="2076"/>
      <c r="D33" s="327"/>
      <c r="E33" s="327"/>
      <c r="F33" s="327"/>
      <c r="G33" s="344"/>
      <c r="H33" s="339"/>
      <c r="I33" s="343"/>
    </row>
    <row r="34" spans="1:9" ht="15">
      <c r="A34" s="333" t="s">
        <v>4547</v>
      </c>
      <c r="B34" s="2076" t="s">
        <v>4548</v>
      </c>
      <c r="C34" s="2076"/>
      <c r="D34" s="334"/>
      <c r="E34" s="340">
        <v>247.42500000000001</v>
      </c>
      <c r="F34" s="341">
        <v>173</v>
      </c>
      <c r="G34" s="342">
        <v>0.69920177831666197</v>
      </c>
      <c r="H34" s="346">
        <v>15</v>
      </c>
      <c r="I34" s="343">
        <f>F34*H34</f>
        <v>2595</v>
      </c>
    </row>
    <row r="35" spans="1:9" ht="15">
      <c r="A35" s="333" t="s">
        <v>4549</v>
      </c>
      <c r="B35" s="2076" t="s">
        <v>4550</v>
      </c>
      <c r="C35" s="2076"/>
      <c r="D35" s="334"/>
      <c r="E35" s="340">
        <v>434.49</v>
      </c>
      <c r="F35" s="341">
        <v>451</v>
      </c>
      <c r="G35" s="342">
        <v>1.0379985730396599</v>
      </c>
      <c r="H35" s="339">
        <v>15</v>
      </c>
      <c r="I35" s="343">
        <f>F35*H35</f>
        <v>6765</v>
      </c>
    </row>
    <row r="36" spans="1:9" ht="15">
      <c r="A36" s="333" t="s">
        <v>4551</v>
      </c>
      <c r="B36" s="2076" t="s">
        <v>4552</v>
      </c>
      <c r="C36" s="2076"/>
      <c r="D36" s="334"/>
      <c r="E36" s="340">
        <v>68.86</v>
      </c>
      <c r="F36" s="341">
        <v>25</v>
      </c>
      <c r="G36" s="342">
        <v>0.36305547487656098</v>
      </c>
      <c r="H36" s="339">
        <v>15</v>
      </c>
      <c r="I36" s="343">
        <f>F36*H36</f>
        <v>375</v>
      </c>
    </row>
    <row r="37" spans="1:9">
      <c r="A37" s="2080" t="s">
        <v>4560</v>
      </c>
      <c r="B37" s="2078" t="s">
        <v>994</v>
      </c>
      <c r="C37" s="2079"/>
      <c r="D37" s="334"/>
      <c r="E37" s="334"/>
      <c r="F37" s="334">
        <v>9</v>
      </c>
      <c r="G37" s="326"/>
      <c r="H37" s="339">
        <v>15</v>
      </c>
      <c r="I37" s="343">
        <f>F37*H37</f>
        <v>135</v>
      </c>
    </row>
    <row r="38" spans="1:9">
      <c r="A38" s="2081"/>
      <c r="B38" s="2078" t="s">
        <v>9</v>
      </c>
      <c r="C38" s="2079"/>
      <c r="D38" s="334"/>
      <c r="E38" s="334"/>
      <c r="F38" s="334"/>
      <c r="G38" s="326"/>
      <c r="H38" s="339"/>
      <c r="I38" s="347">
        <f>'05保明细'!U108</f>
        <v>0</v>
      </c>
    </row>
    <row r="39" spans="1:9">
      <c r="A39" s="339" t="s">
        <v>311</v>
      </c>
      <c r="B39" s="339"/>
      <c r="C39" s="339"/>
      <c r="D39" s="339"/>
      <c r="E39" s="339"/>
      <c r="F39" s="339">
        <f>SUM(F34:F38)</f>
        <v>658</v>
      </c>
      <c r="G39" s="339"/>
      <c r="H39" s="339"/>
      <c r="I39" s="343">
        <f>SUM(I30:I38)*1</f>
        <v>9870</v>
      </c>
    </row>
    <row r="40" spans="1:9">
      <c r="A40" s="325"/>
      <c r="B40" s="325"/>
      <c r="C40" s="325"/>
      <c r="D40" s="325"/>
      <c r="E40" s="325"/>
      <c r="F40" s="325"/>
      <c r="G40" s="325"/>
      <c r="H40" s="325"/>
      <c r="I40" s="325"/>
    </row>
    <row r="41" spans="1:9">
      <c r="A41" s="348" t="s">
        <v>4561</v>
      </c>
    </row>
  </sheetData>
  <mergeCells count="41">
    <mergeCell ref="B37:C37"/>
    <mergeCell ref="B38:C38"/>
    <mergeCell ref="A3:A4"/>
    <mergeCell ref="A5:A6"/>
    <mergeCell ref="A7:A8"/>
    <mergeCell ref="A19:A20"/>
    <mergeCell ref="A21:A22"/>
    <mergeCell ref="A30:A31"/>
    <mergeCell ref="A32:A33"/>
    <mergeCell ref="A37:A38"/>
    <mergeCell ref="B32:C32"/>
    <mergeCell ref="B33:C33"/>
    <mergeCell ref="B34:C34"/>
    <mergeCell ref="B35:C35"/>
    <mergeCell ref="B36:C36"/>
    <mergeCell ref="B27:C27"/>
    <mergeCell ref="D27:G27"/>
    <mergeCell ref="A29:C29"/>
    <mergeCell ref="B30:C30"/>
    <mergeCell ref="B31:C31"/>
    <mergeCell ref="B22:C22"/>
    <mergeCell ref="B23:C23"/>
    <mergeCell ref="B24:C24"/>
    <mergeCell ref="B25:C25"/>
    <mergeCell ref="B26:C26"/>
    <mergeCell ref="A18:C18"/>
    <mergeCell ref="D18:G18"/>
    <mergeCell ref="B19:C19"/>
    <mergeCell ref="B20:C20"/>
    <mergeCell ref="B21:C21"/>
    <mergeCell ref="B7:C7"/>
    <mergeCell ref="B8:C8"/>
    <mergeCell ref="B9:C9"/>
    <mergeCell ref="D9:F9"/>
    <mergeCell ref="B10:C10"/>
    <mergeCell ref="D10:F10"/>
    <mergeCell ref="A2:F2"/>
    <mergeCell ref="B3:C3"/>
    <mergeCell ref="B4:C4"/>
    <mergeCell ref="B5:C5"/>
    <mergeCell ref="B6:C6"/>
  </mergeCells>
  <phoneticPr fontId="5" type="noConversion"/>
  <pageMargins left="0.69930555555555596" right="0.69930555555555596"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tabColor rgb="FF0070C0"/>
  </sheetPr>
  <dimension ref="A1:U239"/>
  <sheetViews>
    <sheetView workbookViewId="0">
      <selection activeCell="F12" sqref="F12"/>
    </sheetView>
  </sheetViews>
  <sheetFormatPr defaultColWidth="8.77734375" defaultRowHeight="15.6"/>
  <cols>
    <col min="1" max="1" width="6.77734375" style="301" customWidth="1"/>
    <col min="2" max="3" width="11.44140625" style="301" customWidth="1"/>
    <col min="4" max="4" width="12.6640625" style="301" customWidth="1"/>
    <col min="5" max="5" width="11.44140625" style="301" customWidth="1"/>
    <col min="6" max="10" width="8.77734375" style="302"/>
    <col min="11" max="11" width="10.88671875" style="303" customWidth="1"/>
    <col min="12" max="12" width="10.21875" style="302" customWidth="1"/>
    <col min="13" max="13" width="12.21875" style="302" customWidth="1"/>
    <col min="14" max="14" width="14.21875" style="302" customWidth="1"/>
    <col min="15" max="15" width="10" style="304" customWidth="1"/>
    <col min="16" max="16" width="11.88671875" style="304" customWidth="1"/>
    <col min="17" max="17" width="10" style="304" customWidth="1"/>
    <col min="18" max="18" width="21.6640625" style="302" customWidth="1"/>
    <col min="19" max="16384" width="8.77734375" style="302"/>
  </cols>
  <sheetData>
    <row r="1" spans="1:20" ht="18" customHeight="1">
      <c r="A1" s="2082" t="s">
        <v>4562</v>
      </c>
      <c r="B1" s="2083"/>
      <c r="C1" s="2083"/>
      <c r="D1" s="2083"/>
      <c r="E1" s="2083"/>
    </row>
    <row r="2" spans="1:20" s="300" customFormat="1" ht="24.45" customHeight="1">
      <c r="A2" s="305" t="s">
        <v>315</v>
      </c>
      <c r="B2" s="305" t="s">
        <v>4563</v>
      </c>
      <c r="C2" s="305" t="s">
        <v>4564</v>
      </c>
      <c r="D2" s="305" t="s">
        <v>4565</v>
      </c>
      <c r="E2" s="305" t="s">
        <v>183</v>
      </c>
      <c r="K2" s="217" t="s">
        <v>4566</v>
      </c>
      <c r="L2" s="217" t="s">
        <v>4567</v>
      </c>
      <c r="M2" s="217" t="s">
        <v>4568</v>
      </c>
      <c r="N2" s="217" t="s">
        <v>4569</v>
      </c>
      <c r="O2" s="217" t="s">
        <v>4570</v>
      </c>
      <c r="P2" s="217" t="s">
        <v>4571</v>
      </c>
      <c r="Q2" s="217" t="s">
        <v>4572</v>
      </c>
      <c r="R2" s="217" t="s">
        <v>4563</v>
      </c>
      <c r="S2" s="306" t="s">
        <v>4499</v>
      </c>
    </row>
    <row r="3" spans="1:20" s="300" customFormat="1" ht="24.45" customHeight="1">
      <c r="A3" s="305">
        <v>1</v>
      </c>
      <c r="B3" s="305" t="s">
        <v>75</v>
      </c>
      <c r="C3" s="305">
        <f>SUMIF(R:R,B3,O:O)</f>
        <v>3080</v>
      </c>
      <c r="D3" s="305">
        <f>SUMIF(R:R,B3,Q:Q)</f>
        <v>9075</v>
      </c>
      <c r="E3" s="305">
        <f>SUM(C3:D3)</f>
        <v>12155</v>
      </c>
      <c r="K3" s="307">
        <v>46143</v>
      </c>
      <c r="L3" s="308" t="s">
        <v>4573</v>
      </c>
      <c r="M3" s="308" t="s">
        <v>4574</v>
      </c>
      <c r="N3" s="308" t="s">
        <v>4575</v>
      </c>
      <c r="O3" s="308">
        <v>40</v>
      </c>
      <c r="P3" s="308">
        <v>6572</v>
      </c>
      <c r="Q3" s="308">
        <v>150</v>
      </c>
      <c r="R3" s="308" t="s">
        <v>75</v>
      </c>
      <c r="S3" s="309"/>
      <c r="T3" s="309"/>
    </row>
    <row r="4" spans="1:20" s="300" customFormat="1" ht="24.45" customHeight="1">
      <c r="A4" s="305">
        <v>1</v>
      </c>
      <c r="B4" s="305" t="s">
        <v>76</v>
      </c>
      <c r="C4" s="305">
        <f>SUMIF(R:R,B4,O:O)</f>
        <v>3080</v>
      </c>
      <c r="D4" s="305">
        <f>SUMIF(R:R,B4,Q:Q)</f>
        <v>9075</v>
      </c>
      <c r="E4" s="305">
        <f>SUM(C4:D4)</f>
        <v>12155</v>
      </c>
      <c r="K4" s="307">
        <v>46143</v>
      </c>
      <c r="L4" s="308" t="s">
        <v>4576</v>
      </c>
      <c r="M4" s="308" t="s">
        <v>4574</v>
      </c>
      <c r="N4" s="308" t="s">
        <v>4577</v>
      </c>
      <c r="O4" s="308">
        <v>40</v>
      </c>
      <c r="P4" s="308">
        <v>1410</v>
      </c>
      <c r="Q4" s="308">
        <v>100</v>
      </c>
      <c r="R4" s="308" t="s">
        <v>76</v>
      </c>
      <c r="S4" s="309"/>
      <c r="T4" s="309"/>
    </row>
    <row r="5" spans="1:20" s="300" customFormat="1" ht="24.45" customHeight="1">
      <c r="A5" s="305">
        <v>2</v>
      </c>
      <c r="B5" s="217" t="s">
        <v>514</v>
      </c>
      <c r="C5" s="305">
        <f>SUMIF(R:R,B5,O:O)</f>
        <v>0</v>
      </c>
      <c r="D5" s="305">
        <f>SUMIF(R:R,B5,Q:Q)</f>
        <v>0</v>
      </c>
      <c r="E5" s="305">
        <f>SUM(C5:D5)</f>
        <v>0</v>
      </c>
      <c r="K5" s="307">
        <v>46143</v>
      </c>
      <c r="L5" s="308" t="s">
        <v>4578</v>
      </c>
      <c r="M5" s="308" t="s">
        <v>4579</v>
      </c>
      <c r="N5" s="308" t="s">
        <v>4577</v>
      </c>
      <c r="O5" s="308">
        <v>70</v>
      </c>
      <c r="P5" s="308">
        <v>50000</v>
      </c>
      <c r="Q5" s="308">
        <v>200</v>
      </c>
      <c r="R5" s="308" t="s">
        <v>76</v>
      </c>
      <c r="S5" s="309"/>
      <c r="T5" s="309"/>
    </row>
    <row r="6" spans="1:20" s="300" customFormat="1" ht="24.45" customHeight="1">
      <c r="A6" s="305">
        <v>3</v>
      </c>
      <c r="B6" s="217" t="s">
        <v>208</v>
      </c>
      <c r="C6" s="305">
        <f>SUMIF(R:R,B6,O:O)</f>
        <v>2100</v>
      </c>
      <c r="D6" s="305">
        <f>SUMIF(R:R,B6,Q:Q)</f>
        <v>5850</v>
      </c>
      <c r="E6" s="305">
        <f>SUM(C6:D6)</f>
        <v>7950</v>
      </c>
      <c r="K6" s="307">
        <v>46143</v>
      </c>
      <c r="L6" s="308" t="s">
        <v>4580</v>
      </c>
      <c r="M6" s="308" t="s">
        <v>4574</v>
      </c>
      <c r="N6" s="308" t="s">
        <v>4575</v>
      </c>
      <c r="O6" s="308">
        <v>40</v>
      </c>
      <c r="P6" s="308">
        <v>1600</v>
      </c>
      <c r="Q6" s="308">
        <v>100</v>
      </c>
      <c r="R6" s="308" t="s">
        <v>75</v>
      </c>
      <c r="S6" s="309"/>
      <c r="T6" s="309"/>
    </row>
    <row r="7" spans="1:20" s="300" customFormat="1" ht="24.45" customHeight="1">
      <c r="A7" s="305">
        <v>3</v>
      </c>
      <c r="B7" s="217"/>
      <c r="C7" s="305">
        <f>SUMIF(L:L,B7,O:O)</f>
        <v>0</v>
      </c>
      <c r="D7" s="305">
        <f>SUMIF(L:L,B7,Q:Q)</f>
        <v>0</v>
      </c>
      <c r="E7" s="305">
        <f>SUM(C7:D7)</f>
        <v>0</v>
      </c>
      <c r="K7" s="307">
        <v>46143</v>
      </c>
      <c r="L7" s="308" t="s">
        <v>4581</v>
      </c>
      <c r="M7" s="308" t="s">
        <v>4574</v>
      </c>
      <c r="N7" s="308" t="s">
        <v>4577</v>
      </c>
      <c r="O7" s="308">
        <v>40</v>
      </c>
      <c r="P7" s="308">
        <v>23330</v>
      </c>
      <c r="Q7" s="308">
        <v>200</v>
      </c>
      <c r="R7" s="308" t="s">
        <v>76</v>
      </c>
      <c r="S7" s="309"/>
      <c r="T7" s="309"/>
    </row>
    <row r="8" spans="1:20" s="300" customFormat="1" ht="24.45" customHeight="1">
      <c r="A8" s="2084" t="s">
        <v>311</v>
      </c>
      <c r="B8" s="2084"/>
      <c r="C8" s="305">
        <f>SUM(C3:C7)</f>
        <v>8260</v>
      </c>
      <c r="D8" s="305">
        <f>SUM(D3:D7)</f>
        <v>24000</v>
      </c>
      <c r="E8" s="305">
        <f>SUM(E3:E7)</f>
        <v>32260</v>
      </c>
      <c r="K8" s="307">
        <v>46144</v>
      </c>
      <c r="L8" s="308" t="s">
        <v>4582</v>
      </c>
      <c r="M8" s="308" t="s">
        <v>4574</v>
      </c>
      <c r="N8" s="308" t="s">
        <v>4575</v>
      </c>
      <c r="O8" s="308">
        <v>40</v>
      </c>
      <c r="P8" s="308">
        <v>10684</v>
      </c>
      <c r="Q8" s="308">
        <v>150</v>
      </c>
      <c r="R8" s="308" t="s">
        <v>76</v>
      </c>
      <c r="S8" s="309"/>
      <c r="T8" s="309"/>
    </row>
    <row r="9" spans="1:20" s="300" customFormat="1" ht="24.45" customHeight="1">
      <c r="A9" s="310"/>
      <c r="B9" s="310"/>
      <c r="C9" s="311"/>
      <c r="D9" s="311"/>
      <c r="E9" s="310"/>
      <c r="K9" s="307">
        <v>46144</v>
      </c>
      <c r="L9" s="308" t="s">
        <v>4583</v>
      </c>
      <c r="M9" s="308" t="s">
        <v>4574</v>
      </c>
      <c r="N9" s="308" t="s">
        <v>4577</v>
      </c>
      <c r="O9" s="308">
        <v>40</v>
      </c>
      <c r="P9" s="308">
        <v>13351</v>
      </c>
      <c r="Q9" s="308">
        <v>150</v>
      </c>
      <c r="R9" s="308" t="s">
        <v>76</v>
      </c>
      <c r="S9" s="309"/>
      <c r="T9" s="309"/>
    </row>
    <row r="10" spans="1:20" s="300" customFormat="1" ht="24.45" customHeight="1">
      <c r="A10" s="310"/>
      <c r="B10" s="310" t="s">
        <v>313</v>
      </c>
      <c r="C10" s="311">
        <f>C8-SUM(O:O)</f>
        <v>0</v>
      </c>
      <c r="D10" s="311">
        <f>D8-SUM(Q:Q)</f>
        <v>0</v>
      </c>
      <c r="E10" s="310"/>
      <c r="K10" s="307">
        <v>46144</v>
      </c>
      <c r="L10" s="308" t="s">
        <v>4584</v>
      </c>
      <c r="M10" s="308" t="s">
        <v>4574</v>
      </c>
      <c r="N10" s="308" t="s">
        <v>4577</v>
      </c>
      <c r="O10" s="308">
        <v>40</v>
      </c>
      <c r="P10" s="308">
        <v>2400</v>
      </c>
      <c r="Q10" s="308">
        <v>100</v>
      </c>
      <c r="R10" s="308" t="s">
        <v>75</v>
      </c>
      <c r="S10" s="309"/>
      <c r="T10" s="309"/>
    </row>
    <row r="11" spans="1:20" s="300" customFormat="1" ht="24.45" customHeight="1">
      <c r="A11" s="310"/>
      <c r="B11" s="310"/>
      <c r="C11" s="310"/>
      <c r="D11" s="310"/>
      <c r="E11" s="310"/>
      <c r="K11" s="307">
        <v>46145</v>
      </c>
      <c r="L11" s="308" t="s">
        <v>4585</v>
      </c>
      <c r="M11" s="308" t="s">
        <v>4574</v>
      </c>
      <c r="N11" s="308" t="s">
        <v>4575</v>
      </c>
      <c r="O11" s="308">
        <v>40</v>
      </c>
      <c r="P11" s="308">
        <v>1400</v>
      </c>
      <c r="Q11" s="308">
        <v>100</v>
      </c>
      <c r="R11" s="308" t="s">
        <v>75</v>
      </c>
      <c r="S11" s="309"/>
      <c r="T11" s="309"/>
    </row>
    <row r="12" spans="1:20" s="300" customFormat="1" ht="24.45" customHeight="1">
      <c r="A12" s="310"/>
      <c r="B12" s="310"/>
      <c r="C12" s="310"/>
      <c r="D12" s="311"/>
      <c r="E12" s="310"/>
      <c r="K12" s="307">
        <v>46145</v>
      </c>
      <c r="L12" s="308" t="s">
        <v>4586</v>
      </c>
      <c r="M12" s="308" t="s">
        <v>4587</v>
      </c>
      <c r="N12" s="308" t="s">
        <v>4575</v>
      </c>
      <c r="O12" s="308">
        <v>70</v>
      </c>
      <c r="P12" s="308">
        <v>6549</v>
      </c>
      <c r="Q12" s="308">
        <v>150</v>
      </c>
      <c r="R12" s="308" t="s">
        <v>75</v>
      </c>
      <c r="S12" s="308"/>
      <c r="T12" s="309"/>
    </row>
    <row r="13" spans="1:20" s="300" customFormat="1" ht="24.45" customHeight="1">
      <c r="A13" s="310"/>
      <c r="B13" s="310"/>
      <c r="C13" s="310"/>
      <c r="D13" s="310"/>
      <c r="E13" s="310"/>
      <c r="K13" s="307">
        <v>46145</v>
      </c>
      <c r="L13" s="308" t="s">
        <v>4588</v>
      </c>
      <c r="M13" s="308" t="s">
        <v>4574</v>
      </c>
      <c r="N13" s="308" t="s">
        <v>4577</v>
      </c>
      <c r="O13" s="308">
        <v>40</v>
      </c>
      <c r="P13" s="308">
        <v>1479</v>
      </c>
      <c r="Q13" s="308">
        <v>100</v>
      </c>
      <c r="R13" s="308" t="s">
        <v>75</v>
      </c>
      <c r="S13" s="309"/>
      <c r="T13" s="309"/>
    </row>
    <row r="14" spans="1:20" s="300" customFormat="1" ht="24.45" customHeight="1">
      <c r="A14" s="310"/>
      <c r="B14" s="310"/>
      <c r="C14" s="310"/>
      <c r="D14" s="310"/>
      <c r="E14" s="310"/>
      <c r="K14" s="307">
        <v>46145</v>
      </c>
      <c r="L14" s="308" t="s">
        <v>4589</v>
      </c>
      <c r="M14" s="308" t="s">
        <v>4574</v>
      </c>
      <c r="N14" s="308" t="s">
        <v>4577</v>
      </c>
      <c r="O14" s="308">
        <v>40</v>
      </c>
      <c r="P14" s="308">
        <v>5350</v>
      </c>
      <c r="Q14" s="308">
        <v>150</v>
      </c>
      <c r="R14" s="308" t="s">
        <v>75</v>
      </c>
      <c r="S14" s="309"/>
      <c r="T14" s="309"/>
    </row>
    <row r="15" spans="1:20" s="300" customFormat="1" ht="24.45" customHeight="1">
      <c r="A15" s="310"/>
      <c r="B15" s="310"/>
      <c r="C15" s="310"/>
      <c r="D15" s="310"/>
      <c r="E15" s="310"/>
      <c r="K15" s="307">
        <v>46145</v>
      </c>
      <c r="L15" s="308" t="s">
        <v>4590</v>
      </c>
      <c r="M15" s="308" t="s">
        <v>4574</v>
      </c>
      <c r="N15" s="308" t="s">
        <v>4575</v>
      </c>
      <c r="O15" s="308">
        <v>40</v>
      </c>
      <c r="P15" s="308">
        <v>9850</v>
      </c>
      <c r="Q15" s="308">
        <v>150</v>
      </c>
      <c r="R15" s="308" t="s">
        <v>75</v>
      </c>
      <c r="S15" s="309"/>
      <c r="T15" s="309"/>
    </row>
    <row r="16" spans="1:20" s="300" customFormat="1" ht="24.45" customHeight="1">
      <c r="A16" s="310"/>
      <c r="B16" s="310"/>
      <c r="C16" s="310"/>
      <c r="D16" s="310"/>
      <c r="E16" s="310"/>
      <c r="K16" s="307">
        <v>46146</v>
      </c>
      <c r="L16" s="308" t="s">
        <v>4591</v>
      </c>
      <c r="M16" s="308" t="s">
        <v>4574</v>
      </c>
      <c r="N16" s="308" t="s">
        <v>4577</v>
      </c>
      <c r="O16" s="308">
        <v>40</v>
      </c>
      <c r="P16" s="308">
        <v>4483</v>
      </c>
      <c r="Q16" s="308">
        <v>100</v>
      </c>
      <c r="R16" s="308" t="s">
        <v>76</v>
      </c>
      <c r="S16" s="309"/>
      <c r="T16" s="309"/>
    </row>
    <row r="17" spans="1:20" s="300" customFormat="1" ht="24.45" customHeight="1">
      <c r="A17" s="310"/>
      <c r="B17" s="310"/>
      <c r="C17" s="310"/>
      <c r="D17" s="310"/>
      <c r="E17" s="310"/>
      <c r="K17" s="307">
        <v>46146</v>
      </c>
      <c r="L17" s="312" t="s">
        <v>4592</v>
      </c>
      <c r="M17" s="308" t="s">
        <v>4574</v>
      </c>
      <c r="N17" s="308" t="s">
        <v>4577</v>
      </c>
      <c r="O17" s="308">
        <v>40</v>
      </c>
      <c r="P17" s="308">
        <v>9350</v>
      </c>
      <c r="Q17" s="308">
        <v>150</v>
      </c>
      <c r="R17" s="308" t="s">
        <v>76</v>
      </c>
      <c r="S17" s="309"/>
      <c r="T17" s="309"/>
    </row>
    <row r="18" spans="1:20" s="300" customFormat="1" ht="24.45" customHeight="1">
      <c r="A18" s="310"/>
      <c r="B18" s="310"/>
      <c r="C18" s="310"/>
      <c r="D18" s="310"/>
      <c r="E18" s="310"/>
      <c r="K18" s="307">
        <v>46146</v>
      </c>
      <c r="L18" s="308" t="s">
        <v>4593</v>
      </c>
      <c r="M18" s="308" t="s">
        <v>4594</v>
      </c>
      <c r="N18" s="308" t="s">
        <v>4575</v>
      </c>
      <c r="O18" s="308">
        <v>70</v>
      </c>
      <c r="P18" s="308">
        <v>12313</v>
      </c>
      <c r="Q18" s="308">
        <v>150</v>
      </c>
      <c r="R18" s="308" t="s">
        <v>75</v>
      </c>
      <c r="S18" s="309"/>
      <c r="T18" s="309"/>
    </row>
    <row r="19" spans="1:20" s="300" customFormat="1" ht="24.45" customHeight="1">
      <c r="A19" s="310"/>
      <c r="B19" s="310"/>
      <c r="C19" s="310"/>
      <c r="D19" s="310"/>
      <c r="E19" s="310"/>
      <c r="K19" s="307">
        <v>46146</v>
      </c>
      <c r="L19" s="308" t="s">
        <v>4595</v>
      </c>
      <c r="M19" s="308" t="s">
        <v>4596</v>
      </c>
      <c r="N19" s="308" t="s">
        <v>4575</v>
      </c>
      <c r="O19" s="308">
        <v>70</v>
      </c>
      <c r="P19" s="308">
        <v>8450</v>
      </c>
      <c r="Q19" s="308">
        <v>150</v>
      </c>
      <c r="R19" s="308" t="s">
        <v>76</v>
      </c>
      <c r="S19" s="309"/>
      <c r="T19" s="309"/>
    </row>
    <row r="20" spans="1:20" s="300" customFormat="1" ht="24.45" customHeight="1">
      <c r="A20" s="310"/>
      <c r="B20" s="310"/>
      <c r="C20" s="310"/>
      <c r="D20" s="310"/>
      <c r="E20" s="310"/>
      <c r="K20" s="307">
        <v>46146</v>
      </c>
      <c r="L20" s="308" t="s">
        <v>4597</v>
      </c>
      <c r="M20" s="308" t="s">
        <v>4574</v>
      </c>
      <c r="N20" s="308" t="s">
        <v>4575</v>
      </c>
      <c r="O20" s="308">
        <v>40</v>
      </c>
      <c r="P20" s="308">
        <v>4740</v>
      </c>
      <c r="Q20" s="308">
        <v>100</v>
      </c>
      <c r="R20" s="308" t="s">
        <v>76</v>
      </c>
      <c r="S20" s="309"/>
      <c r="T20" s="309"/>
    </row>
    <row r="21" spans="1:20" s="300" customFormat="1" ht="24.45" customHeight="1">
      <c r="A21" s="310"/>
      <c r="B21" s="310"/>
      <c r="C21" s="310"/>
      <c r="D21" s="310"/>
      <c r="E21" s="310"/>
      <c r="K21" s="307">
        <v>46146</v>
      </c>
      <c r="L21" s="308" t="s">
        <v>4598</v>
      </c>
      <c r="M21" s="308" t="s">
        <v>4574</v>
      </c>
      <c r="N21" s="308" t="s">
        <v>4577</v>
      </c>
      <c r="O21" s="308">
        <v>40</v>
      </c>
      <c r="P21" s="308">
        <v>5770</v>
      </c>
      <c r="Q21" s="308">
        <v>150</v>
      </c>
      <c r="R21" s="308" t="s">
        <v>76</v>
      </c>
      <c r="S21" s="309"/>
      <c r="T21" s="309"/>
    </row>
    <row r="22" spans="1:20" s="300" customFormat="1" ht="24.45" customHeight="1">
      <c r="A22" s="310"/>
      <c r="B22" s="310"/>
      <c r="C22" s="310"/>
      <c r="D22" s="310"/>
      <c r="E22" s="310"/>
      <c r="K22" s="307">
        <v>46147</v>
      </c>
      <c r="L22" s="308" t="s">
        <v>1823</v>
      </c>
      <c r="M22" s="308" t="s">
        <v>4574</v>
      </c>
      <c r="N22" s="308" t="s">
        <v>4577</v>
      </c>
      <c r="O22" s="308">
        <v>40</v>
      </c>
      <c r="P22" s="308">
        <v>6780</v>
      </c>
      <c r="Q22" s="308">
        <v>150</v>
      </c>
      <c r="R22" s="308" t="s">
        <v>76</v>
      </c>
      <c r="S22" s="309"/>
      <c r="T22" s="309"/>
    </row>
    <row r="23" spans="1:20" s="300" customFormat="1" ht="24.45" customHeight="1">
      <c r="A23" s="310"/>
      <c r="B23" s="310"/>
      <c r="C23" s="310"/>
      <c r="D23" s="310"/>
      <c r="E23" s="310"/>
      <c r="K23" s="307">
        <v>46147</v>
      </c>
      <c r="L23" s="308" t="s">
        <v>4599</v>
      </c>
      <c r="M23" s="308" t="s">
        <v>4574</v>
      </c>
      <c r="N23" s="308" t="s">
        <v>4577</v>
      </c>
      <c r="O23" s="308">
        <v>40</v>
      </c>
      <c r="P23" s="308">
        <v>11100</v>
      </c>
      <c r="Q23" s="308">
        <v>150</v>
      </c>
      <c r="R23" s="308" t="s">
        <v>76</v>
      </c>
      <c r="S23" s="309"/>
      <c r="T23" s="309"/>
    </row>
    <row r="24" spans="1:20" s="300" customFormat="1" ht="24.45" customHeight="1">
      <c r="A24" s="310"/>
      <c r="B24" s="310"/>
      <c r="C24" s="310"/>
      <c r="D24" s="310"/>
      <c r="E24" s="310"/>
      <c r="K24" s="307">
        <v>46147</v>
      </c>
      <c r="L24" s="308" t="s">
        <v>4600</v>
      </c>
      <c r="M24" s="308" t="s">
        <v>4574</v>
      </c>
      <c r="N24" s="308" t="s">
        <v>4577</v>
      </c>
      <c r="O24" s="308">
        <v>40</v>
      </c>
      <c r="P24" s="308">
        <v>7646</v>
      </c>
      <c r="Q24" s="308">
        <v>150</v>
      </c>
      <c r="R24" s="308" t="s">
        <v>76</v>
      </c>
      <c r="S24" s="309"/>
      <c r="T24" s="309"/>
    </row>
    <row r="25" spans="1:20" s="300" customFormat="1" ht="24.45" customHeight="1">
      <c r="A25" s="310"/>
      <c r="B25" s="310"/>
      <c r="C25" s="310"/>
      <c r="D25" s="310"/>
      <c r="E25" s="310"/>
      <c r="K25" s="307">
        <v>46147</v>
      </c>
      <c r="L25" s="307" t="s">
        <v>4601</v>
      </c>
      <c r="M25" s="308" t="s">
        <v>4574</v>
      </c>
      <c r="N25" s="308" t="s">
        <v>4575</v>
      </c>
      <c r="O25" s="308">
        <v>40</v>
      </c>
      <c r="P25" s="308">
        <v>1400</v>
      </c>
      <c r="Q25" s="308">
        <v>100</v>
      </c>
      <c r="R25" s="308" t="s">
        <v>75</v>
      </c>
      <c r="S25" s="309"/>
      <c r="T25" s="309"/>
    </row>
    <row r="26" spans="1:20" s="300" customFormat="1" ht="24.45" customHeight="1">
      <c r="A26" s="310"/>
      <c r="B26" s="310"/>
      <c r="C26" s="310"/>
      <c r="D26" s="310"/>
      <c r="E26" s="310"/>
      <c r="K26" s="307">
        <v>46147</v>
      </c>
      <c r="L26" s="308" t="s">
        <v>4602</v>
      </c>
      <c r="M26" s="308" t="s">
        <v>4574</v>
      </c>
      <c r="N26" s="308" t="s">
        <v>4577</v>
      </c>
      <c r="O26" s="308">
        <v>40</v>
      </c>
      <c r="P26" s="308">
        <v>9624</v>
      </c>
      <c r="Q26" s="308">
        <v>150</v>
      </c>
      <c r="R26" s="308" t="s">
        <v>76</v>
      </c>
      <c r="S26" s="309"/>
      <c r="T26" s="309"/>
    </row>
    <row r="27" spans="1:20" s="300" customFormat="1" ht="24.45" customHeight="1">
      <c r="A27" s="310"/>
      <c r="B27" s="310"/>
      <c r="C27" s="310"/>
      <c r="D27" s="310"/>
      <c r="E27" s="310"/>
      <c r="K27" s="307">
        <v>46147</v>
      </c>
      <c r="L27" s="308" t="s">
        <v>4603</v>
      </c>
      <c r="M27" s="308" t="s">
        <v>4574</v>
      </c>
      <c r="N27" s="308" t="s">
        <v>4575</v>
      </c>
      <c r="O27" s="308">
        <v>70</v>
      </c>
      <c r="P27" s="308">
        <v>14314</v>
      </c>
      <c r="Q27" s="308">
        <v>150</v>
      </c>
      <c r="R27" s="308" t="s">
        <v>75</v>
      </c>
      <c r="S27" s="309"/>
      <c r="T27" s="309"/>
    </row>
    <row r="28" spans="1:20" s="300" customFormat="1" ht="24.45" customHeight="1">
      <c r="A28" s="310"/>
      <c r="B28" s="310"/>
      <c r="C28" s="310"/>
      <c r="D28" s="310"/>
      <c r="E28" s="310"/>
      <c r="K28" s="307">
        <v>46147</v>
      </c>
      <c r="L28" s="308" t="s">
        <v>4604</v>
      </c>
      <c r="M28" s="308" t="s">
        <v>4574</v>
      </c>
      <c r="N28" s="308" t="s">
        <v>4575</v>
      </c>
      <c r="O28" s="308">
        <v>40</v>
      </c>
      <c r="P28" s="308">
        <v>3678</v>
      </c>
      <c r="Q28" s="308">
        <v>100</v>
      </c>
      <c r="R28" s="308" t="s">
        <v>76</v>
      </c>
      <c r="S28" s="309"/>
      <c r="T28" s="309"/>
    </row>
    <row r="29" spans="1:20" s="300" customFormat="1" ht="24.45" customHeight="1">
      <c r="A29" s="310"/>
      <c r="B29" s="310"/>
      <c r="C29" s="310"/>
      <c r="D29" s="310"/>
      <c r="E29" s="310"/>
      <c r="K29" s="307">
        <v>46148</v>
      </c>
      <c r="L29" s="308" t="s">
        <v>4605</v>
      </c>
      <c r="M29" s="308" t="s">
        <v>4574</v>
      </c>
      <c r="N29" s="308" t="s">
        <v>4577</v>
      </c>
      <c r="O29" s="308">
        <v>40</v>
      </c>
      <c r="P29" s="308">
        <v>16400</v>
      </c>
      <c r="Q29" s="308">
        <v>200</v>
      </c>
      <c r="R29" s="308" t="s">
        <v>76</v>
      </c>
      <c r="S29" s="309"/>
      <c r="T29" s="309"/>
    </row>
    <row r="30" spans="1:20" s="300" customFormat="1" ht="24.45" customHeight="1">
      <c r="A30" s="310"/>
      <c r="B30" s="310"/>
      <c r="C30" s="310"/>
      <c r="D30" s="310"/>
      <c r="E30" s="310"/>
      <c r="K30" s="307">
        <v>46148</v>
      </c>
      <c r="L30" s="313" t="s">
        <v>4606</v>
      </c>
      <c r="M30" s="308" t="s">
        <v>4574</v>
      </c>
      <c r="N30" s="308" t="s">
        <v>4577</v>
      </c>
      <c r="O30" s="308">
        <v>40</v>
      </c>
      <c r="P30" s="308">
        <v>12450</v>
      </c>
      <c r="Q30" s="308">
        <v>150</v>
      </c>
      <c r="R30" s="308" t="s">
        <v>75</v>
      </c>
      <c r="S30" s="309"/>
      <c r="T30" s="309"/>
    </row>
    <row r="31" spans="1:20" s="300" customFormat="1" ht="24.45" customHeight="1">
      <c r="A31" s="310"/>
      <c r="B31" s="310"/>
      <c r="C31" s="310"/>
      <c r="D31" s="310"/>
      <c r="E31" s="310"/>
      <c r="K31" s="307">
        <v>46148</v>
      </c>
      <c r="L31" s="308" t="s">
        <v>4607</v>
      </c>
      <c r="M31" s="308" t="s">
        <v>4574</v>
      </c>
      <c r="N31" s="308" t="s">
        <v>4575</v>
      </c>
      <c r="O31" s="308">
        <v>40</v>
      </c>
      <c r="P31" s="308">
        <v>16200</v>
      </c>
      <c r="Q31" s="308">
        <v>200</v>
      </c>
      <c r="R31" s="308" t="s">
        <v>75</v>
      </c>
      <c r="S31" s="309"/>
      <c r="T31" s="309"/>
    </row>
    <row r="32" spans="1:20" s="300" customFormat="1" ht="24.45" customHeight="1">
      <c r="A32" s="310"/>
      <c r="B32" s="310"/>
      <c r="C32" s="310"/>
      <c r="D32" s="310"/>
      <c r="E32" s="310"/>
      <c r="K32" s="307">
        <v>46148</v>
      </c>
      <c r="L32" s="308" t="s">
        <v>4608</v>
      </c>
      <c r="M32" s="308" t="s">
        <v>4574</v>
      </c>
      <c r="N32" s="308" t="s">
        <v>4575</v>
      </c>
      <c r="O32" s="308">
        <v>40</v>
      </c>
      <c r="P32" s="308">
        <v>15292</v>
      </c>
      <c r="Q32" s="308">
        <v>200</v>
      </c>
      <c r="R32" s="308" t="s">
        <v>75</v>
      </c>
      <c r="S32" s="309"/>
      <c r="T32" s="309"/>
    </row>
    <row r="33" spans="1:20" s="300" customFormat="1" ht="24.45" customHeight="1">
      <c r="A33" s="310"/>
      <c r="B33" s="310"/>
      <c r="C33" s="310"/>
      <c r="D33" s="310"/>
      <c r="E33" s="310"/>
      <c r="K33" s="307">
        <v>46148</v>
      </c>
      <c r="L33" s="308" t="s">
        <v>4609</v>
      </c>
      <c r="M33" s="308" t="s">
        <v>4574</v>
      </c>
      <c r="N33" s="308" t="s">
        <v>4577</v>
      </c>
      <c r="O33" s="308">
        <v>40</v>
      </c>
      <c r="P33" s="308">
        <v>1335</v>
      </c>
      <c r="Q33" s="308">
        <v>100</v>
      </c>
      <c r="R33" s="308" t="s">
        <v>76</v>
      </c>
      <c r="S33" s="309"/>
      <c r="T33" s="309"/>
    </row>
    <row r="34" spans="1:20" s="300" customFormat="1" ht="24.45" customHeight="1">
      <c r="A34" s="310"/>
      <c r="B34" s="310"/>
      <c r="C34" s="310"/>
      <c r="D34" s="310"/>
      <c r="E34" s="310"/>
      <c r="K34" s="307">
        <v>46148</v>
      </c>
      <c r="L34" s="308" t="s">
        <v>4610</v>
      </c>
      <c r="M34" s="308" t="s">
        <v>4574</v>
      </c>
      <c r="N34" s="308" t="s">
        <v>4575</v>
      </c>
      <c r="O34" s="308">
        <v>40</v>
      </c>
      <c r="P34" s="308">
        <v>700</v>
      </c>
      <c r="Q34" s="308">
        <v>100</v>
      </c>
      <c r="R34" s="308" t="s">
        <v>75</v>
      </c>
      <c r="S34" s="309"/>
      <c r="T34" s="309"/>
    </row>
    <row r="35" spans="1:20" s="300" customFormat="1" ht="24.45" customHeight="1">
      <c r="A35" s="310"/>
      <c r="B35" s="310"/>
      <c r="C35" s="310"/>
      <c r="D35" s="310"/>
      <c r="E35" s="310"/>
      <c r="K35" s="307">
        <v>46149</v>
      </c>
      <c r="L35" s="308" t="s">
        <v>4611</v>
      </c>
      <c r="M35" s="308" t="s">
        <v>4612</v>
      </c>
      <c r="N35" s="308" t="s">
        <v>4575</v>
      </c>
      <c r="O35" s="308">
        <v>70</v>
      </c>
      <c r="P35" s="308">
        <v>10300</v>
      </c>
      <c r="Q35" s="308">
        <v>150</v>
      </c>
      <c r="R35" s="308" t="s">
        <v>75</v>
      </c>
      <c r="S35" s="309"/>
      <c r="T35" s="309"/>
    </row>
    <row r="36" spans="1:20" s="300" customFormat="1" ht="24.45" customHeight="1">
      <c r="A36" s="310"/>
      <c r="B36" s="310"/>
      <c r="C36" s="310"/>
      <c r="D36" s="310"/>
      <c r="E36" s="310"/>
      <c r="K36" s="307">
        <v>46149</v>
      </c>
      <c r="L36" s="308" t="s">
        <v>4613</v>
      </c>
      <c r="M36" s="308" t="s">
        <v>4574</v>
      </c>
      <c r="N36" s="308" t="s">
        <v>4577</v>
      </c>
      <c r="O36" s="308">
        <v>40</v>
      </c>
      <c r="P36" s="308">
        <v>1250</v>
      </c>
      <c r="Q36" s="308">
        <v>100</v>
      </c>
      <c r="R36" s="308" t="s">
        <v>76</v>
      </c>
      <c r="S36" s="309"/>
      <c r="T36" s="309"/>
    </row>
    <row r="37" spans="1:20" s="300" customFormat="1" ht="24.45" customHeight="1">
      <c r="A37" s="310"/>
      <c r="B37" s="310"/>
      <c r="C37" s="310"/>
      <c r="D37" s="310"/>
      <c r="E37" s="310"/>
      <c r="K37" s="307">
        <v>46149</v>
      </c>
      <c r="L37" s="308" t="s">
        <v>4614</v>
      </c>
      <c r="M37" s="308" t="s">
        <v>4574</v>
      </c>
      <c r="N37" s="308" t="s">
        <v>4575</v>
      </c>
      <c r="O37" s="308">
        <v>40</v>
      </c>
      <c r="P37" s="308">
        <v>1846</v>
      </c>
      <c r="Q37" s="308">
        <v>100</v>
      </c>
      <c r="R37" s="308" t="s">
        <v>76</v>
      </c>
      <c r="S37" s="309"/>
      <c r="T37" s="309"/>
    </row>
    <row r="38" spans="1:20" s="300" customFormat="1" ht="24.45" customHeight="1">
      <c r="A38" s="310"/>
      <c r="B38" s="310"/>
      <c r="C38" s="310"/>
      <c r="D38" s="310"/>
      <c r="E38" s="310"/>
      <c r="K38" s="307">
        <v>46149</v>
      </c>
      <c r="L38" s="308" t="s">
        <v>4615</v>
      </c>
      <c r="M38" s="308" t="s">
        <v>4574</v>
      </c>
      <c r="N38" s="308" t="s">
        <v>4575</v>
      </c>
      <c r="O38" s="308">
        <v>40</v>
      </c>
      <c r="P38" s="308">
        <v>7700</v>
      </c>
      <c r="Q38" s="308">
        <v>150</v>
      </c>
      <c r="R38" s="308" t="s">
        <v>76</v>
      </c>
      <c r="S38" s="309"/>
      <c r="T38" s="309"/>
    </row>
    <row r="39" spans="1:20" s="300" customFormat="1" ht="24.45" customHeight="1">
      <c r="A39" s="310"/>
      <c r="B39" s="310"/>
      <c r="C39" s="310"/>
      <c r="D39" s="310"/>
      <c r="E39" s="310"/>
      <c r="K39" s="307">
        <v>46150</v>
      </c>
      <c r="L39" s="308" t="s">
        <v>4616</v>
      </c>
      <c r="M39" s="308" t="s">
        <v>4574</v>
      </c>
      <c r="N39" s="308" t="s">
        <v>4577</v>
      </c>
      <c r="O39" s="308">
        <v>40</v>
      </c>
      <c r="P39" s="308">
        <v>2300</v>
      </c>
      <c r="Q39" s="308">
        <v>100</v>
      </c>
      <c r="R39" s="308" t="s">
        <v>76</v>
      </c>
      <c r="S39" s="309"/>
      <c r="T39" s="309"/>
    </row>
    <row r="40" spans="1:20" s="300" customFormat="1" ht="24.45" customHeight="1">
      <c r="A40" s="310"/>
      <c r="B40" s="310"/>
      <c r="C40" s="310"/>
      <c r="D40" s="310"/>
      <c r="E40" s="310"/>
      <c r="K40" s="307">
        <v>46150</v>
      </c>
      <c r="L40" s="308" t="s">
        <v>4617</v>
      </c>
      <c r="M40" s="308" t="s">
        <v>4574</v>
      </c>
      <c r="N40" s="308" t="s">
        <v>4577</v>
      </c>
      <c r="O40" s="308">
        <v>40</v>
      </c>
      <c r="P40" s="308">
        <v>11900</v>
      </c>
      <c r="Q40" s="308">
        <v>150</v>
      </c>
      <c r="R40" s="308" t="s">
        <v>75</v>
      </c>
      <c r="S40" s="309"/>
      <c r="T40" s="309"/>
    </row>
    <row r="41" spans="1:20" s="300" customFormat="1" ht="24.45" customHeight="1">
      <c r="A41" s="310"/>
      <c r="B41" s="310"/>
      <c r="C41" s="310"/>
      <c r="D41" s="310"/>
      <c r="E41" s="310"/>
      <c r="K41" s="307">
        <v>46150</v>
      </c>
      <c r="L41" s="308" t="s">
        <v>4618</v>
      </c>
      <c r="M41" s="308" t="s">
        <v>4574</v>
      </c>
      <c r="N41" s="308" t="s">
        <v>4575</v>
      </c>
      <c r="O41" s="308">
        <v>40</v>
      </c>
      <c r="P41" s="308">
        <v>9080</v>
      </c>
      <c r="Q41" s="308">
        <v>150</v>
      </c>
      <c r="R41" s="308" t="s">
        <v>76</v>
      </c>
      <c r="S41" s="309"/>
      <c r="T41" s="309"/>
    </row>
    <row r="42" spans="1:20" s="300" customFormat="1" ht="24.45" customHeight="1">
      <c r="A42" s="310"/>
      <c r="B42" s="310"/>
      <c r="C42" s="310"/>
      <c r="D42" s="310"/>
      <c r="E42" s="310"/>
      <c r="K42" s="307">
        <v>46150</v>
      </c>
      <c r="L42" s="308" t="s">
        <v>4619</v>
      </c>
      <c r="M42" s="308" t="s">
        <v>4574</v>
      </c>
      <c r="N42" s="308" t="s">
        <v>4577</v>
      </c>
      <c r="O42" s="308">
        <v>40</v>
      </c>
      <c r="P42" s="308">
        <v>8740</v>
      </c>
      <c r="Q42" s="308">
        <v>150</v>
      </c>
      <c r="R42" s="308" t="s">
        <v>75</v>
      </c>
      <c r="S42" s="309"/>
      <c r="T42" s="309"/>
    </row>
    <row r="43" spans="1:20" s="300" customFormat="1" ht="24.45" customHeight="1">
      <c r="A43" s="310"/>
      <c r="B43" s="310"/>
      <c r="C43" s="310"/>
      <c r="D43" s="310"/>
      <c r="E43" s="310"/>
      <c r="K43" s="307">
        <v>46150</v>
      </c>
      <c r="L43" s="308" t="s">
        <v>4620</v>
      </c>
      <c r="M43" s="308" t="s">
        <v>4574</v>
      </c>
      <c r="N43" s="308" t="s">
        <v>4577</v>
      </c>
      <c r="O43" s="308">
        <v>40</v>
      </c>
      <c r="P43" s="308">
        <v>13680</v>
      </c>
      <c r="Q43" s="308">
        <v>150</v>
      </c>
      <c r="R43" s="308" t="s">
        <v>75</v>
      </c>
      <c r="S43" s="309"/>
      <c r="T43" s="309"/>
    </row>
    <row r="44" spans="1:20" s="300" customFormat="1" ht="24.45" customHeight="1">
      <c r="A44" s="310"/>
      <c r="B44" s="310"/>
      <c r="C44" s="310"/>
      <c r="D44" s="310"/>
      <c r="E44" s="310"/>
      <c r="K44" s="307">
        <v>46150</v>
      </c>
      <c r="L44" s="308" t="s">
        <v>4621</v>
      </c>
      <c r="M44" s="308" t="s">
        <v>4574</v>
      </c>
      <c r="N44" s="308" t="s">
        <v>4575</v>
      </c>
      <c r="O44" s="308">
        <v>40</v>
      </c>
      <c r="P44" s="308">
        <v>700</v>
      </c>
      <c r="Q44" s="308">
        <v>100</v>
      </c>
      <c r="R44" s="308" t="s">
        <v>75</v>
      </c>
      <c r="S44" s="309"/>
      <c r="T44" s="309"/>
    </row>
    <row r="45" spans="1:20" s="300" customFormat="1" ht="24.45" customHeight="1">
      <c r="A45" s="310"/>
      <c r="B45" s="310"/>
      <c r="C45" s="310"/>
      <c r="D45" s="310"/>
      <c r="E45" s="310"/>
      <c r="K45" s="307">
        <v>46150</v>
      </c>
      <c r="L45" s="308" t="s">
        <v>4622</v>
      </c>
      <c r="M45" s="308" t="s">
        <v>4623</v>
      </c>
      <c r="N45" s="308" t="s">
        <v>4577</v>
      </c>
      <c r="O45" s="308">
        <v>70</v>
      </c>
      <c r="P45" s="308">
        <v>1500</v>
      </c>
      <c r="Q45" s="308">
        <v>100</v>
      </c>
      <c r="R45" s="308" t="s">
        <v>75</v>
      </c>
      <c r="S45" s="309"/>
      <c r="T45" s="309"/>
    </row>
    <row r="46" spans="1:20" s="300" customFormat="1" ht="24.45" customHeight="1">
      <c r="A46" s="310"/>
      <c r="B46" s="310"/>
      <c r="C46" s="310"/>
      <c r="D46" s="310"/>
      <c r="E46" s="310"/>
      <c r="K46" s="307">
        <v>46150</v>
      </c>
      <c r="L46" s="308" t="s">
        <v>4624</v>
      </c>
      <c r="M46" s="308" t="s">
        <v>4623</v>
      </c>
      <c r="N46" s="308" t="s">
        <v>4577</v>
      </c>
      <c r="O46" s="308">
        <v>70</v>
      </c>
      <c r="P46" s="308">
        <v>3600</v>
      </c>
      <c r="Q46" s="308">
        <v>100</v>
      </c>
      <c r="R46" s="308" t="s">
        <v>75</v>
      </c>
      <c r="S46" s="309"/>
      <c r="T46" s="309"/>
    </row>
    <row r="47" spans="1:20" s="300" customFormat="1" ht="24.45" customHeight="1">
      <c r="A47" s="310"/>
      <c r="B47" s="310"/>
      <c r="C47" s="310"/>
      <c r="D47" s="310"/>
      <c r="E47" s="310"/>
      <c r="K47" s="307">
        <v>46150</v>
      </c>
      <c r="L47" s="308" t="s">
        <v>4625</v>
      </c>
      <c r="M47" s="308" t="s">
        <v>4574</v>
      </c>
      <c r="N47" s="308" t="s">
        <v>4575</v>
      </c>
      <c r="O47" s="308">
        <v>40</v>
      </c>
      <c r="P47" s="308">
        <v>9822</v>
      </c>
      <c r="Q47" s="308">
        <v>150</v>
      </c>
      <c r="R47" s="308" t="s">
        <v>75</v>
      </c>
      <c r="S47" s="309"/>
      <c r="T47" s="309"/>
    </row>
    <row r="48" spans="1:20" s="300" customFormat="1" ht="24.45" customHeight="1">
      <c r="A48" s="310"/>
      <c r="B48" s="310"/>
      <c r="C48" s="310"/>
      <c r="D48" s="310"/>
      <c r="E48" s="310"/>
      <c r="K48" s="307">
        <v>46151</v>
      </c>
      <c r="L48" s="308" t="s">
        <v>4626</v>
      </c>
      <c r="M48" s="308" t="s">
        <v>4574</v>
      </c>
      <c r="N48" s="308" t="s">
        <v>4575</v>
      </c>
      <c r="O48" s="308">
        <v>40</v>
      </c>
      <c r="P48" s="308">
        <v>2265</v>
      </c>
      <c r="Q48" s="308">
        <v>100</v>
      </c>
      <c r="R48" s="308" t="s">
        <v>76</v>
      </c>
      <c r="S48" s="309"/>
      <c r="T48" s="309"/>
    </row>
    <row r="49" spans="1:20" s="300" customFormat="1" ht="24.45" customHeight="1">
      <c r="A49" s="310"/>
      <c r="B49" s="310"/>
      <c r="C49" s="310"/>
      <c r="D49" s="310"/>
      <c r="E49" s="310"/>
      <c r="K49" s="307">
        <v>46151</v>
      </c>
      <c r="L49" s="308" t="s">
        <v>4627</v>
      </c>
      <c r="M49" s="308" t="s">
        <v>4574</v>
      </c>
      <c r="N49" s="308" t="s">
        <v>4577</v>
      </c>
      <c r="O49" s="308">
        <v>40</v>
      </c>
      <c r="P49" s="308">
        <v>7750</v>
      </c>
      <c r="Q49" s="308">
        <v>150</v>
      </c>
      <c r="R49" s="308" t="s">
        <v>75</v>
      </c>
      <c r="S49" s="309"/>
      <c r="T49" s="309"/>
    </row>
    <row r="50" spans="1:20">
      <c r="K50" s="307">
        <v>46151</v>
      </c>
      <c r="L50" s="313" t="s">
        <v>4628</v>
      </c>
      <c r="M50" s="308" t="s">
        <v>4574</v>
      </c>
      <c r="N50" s="308" t="s">
        <v>4575</v>
      </c>
      <c r="O50" s="308">
        <v>40</v>
      </c>
      <c r="P50" s="308">
        <v>6300</v>
      </c>
      <c r="Q50" s="308">
        <v>150</v>
      </c>
      <c r="R50" s="308" t="s">
        <v>76</v>
      </c>
      <c r="S50" s="309"/>
      <c r="T50" s="309"/>
    </row>
    <row r="51" spans="1:20">
      <c r="K51" s="307">
        <v>46151</v>
      </c>
      <c r="L51" s="307" t="s">
        <v>4629</v>
      </c>
      <c r="M51" s="308" t="s">
        <v>4574</v>
      </c>
      <c r="N51" s="308" t="s">
        <v>4575</v>
      </c>
      <c r="O51" s="308">
        <v>40</v>
      </c>
      <c r="P51" s="308">
        <v>7690</v>
      </c>
      <c r="Q51" s="308">
        <v>150</v>
      </c>
      <c r="R51" s="308" t="s">
        <v>76</v>
      </c>
      <c r="S51" s="309"/>
      <c r="T51" s="309"/>
    </row>
    <row r="52" spans="1:20">
      <c r="K52" s="307">
        <v>46151</v>
      </c>
      <c r="L52" s="308" t="s">
        <v>4630</v>
      </c>
      <c r="M52" s="308" t="s">
        <v>4574</v>
      </c>
      <c r="N52" s="308" t="s">
        <v>4575</v>
      </c>
      <c r="O52" s="308">
        <v>40</v>
      </c>
      <c r="P52" s="308">
        <v>6125</v>
      </c>
      <c r="Q52" s="308">
        <v>150</v>
      </c>
      <c r="R52" s="308" t="s">
        <v>76</v>
      </c>
      <c r="S52" s="309"/>
      <c r="T52" s="309"/>
    </row>
    <row r="53" spans="1:20">
      <c r="K53" s="307">
        <v>46151</v>
      </c>
      <c r="L53" s="308" t="s">
        <v>4631</v>
      </c>
      <c r="M53" s="308" t="s">
        <v>4623</v>
      </c>
      <c r="N53" s="308" t="s">
        <v>4577</v>
      </c>
      <c r="O53" s="308">
        <v>70</v>
      </c>
      <c r="P53" s="308">
        <v>3750</v>
      </c>
      <c r="Q53" s="308">
        <v>100</v>
      </c>
      <c r="R53" s="308" t="s">
        <v>76</v>
      </c>
      <c r="S53" s="309"/>
      <c r="T53" s="309"/>
    </row>
    <row r="54" spans="1:20">
      <c r="K54" s="307">
        <v>46151</v>
      </c>
      <c r="L54" s="308" t="s">
        <v>4632</v>
      </c>
      <c r="M54" s="308" t="s">
        <v>4633</v>
      </c>
      <c r="N54" s="308" t="s">
        <v>4575</v>
      </c>
      <c r="O54" s="308">
        <v>70</v>
      </c>
      <c r="P54" s="308">
        <v>1750</v>
      </c>
      <c r="Q54" s="308">
        <v>100</v>
      </c>
      <c r="R54" s="308" t="s">
        <v>76</v>
      </c>
      <c r="S54" s="309"/>
      <c r="T54" s="309"/>
    </row>
    <row r="55" spans="1:20">
      <c r="K55" s="307">
        <v>46151</v>
      </c>
      <c r="L55" s="308" t="s">
        <v>4634</v>
      </c>
      <c r="M55" s="308" t="s">
        <v>4574</v>
      </c>
      <c r="N55" s="308" t="s">
        <v>4577</v>
      </c>
      <c r="O55" s="308">
        <v>40</v>
      </c>
      <c r="P55" s="308">
        <v>1677</v>
      </c>
      <c r="Q55" s="308">
        <v>100</v>
      </c>
      <c r="R55" s="308" t="s">
        <v>76</v>
      </c>
      <c r="S55" s="309"/>
      <c r="T55" s="309"/>
    </row>
    <row r="56" spans="1:20">
      <c r="K56" s="307">
        <v>46151</v>
      </c>
      <c r="L56" s="308" t="s">
        <v>4635</v>
      </c>
      <c r="M56" s="308" t="s">
        <v>4633</v>
      </c>
      <c r="N56" s="308" t="s">
        <v>4577</v>
      </c>
      <c r="O56" s="308">
        <v>70</v>
      </c>
      <c r="P56" s="308">
        <v>2420</v>
      </c>
      <c r="Q56" s="308">
        <v>100</v>
      </c>
      <c r="R56" s="308" t="s">
        <v>76</v>
      </c>
      <c r="S56" s="309"/>
      <c r="T56" s="309"/>
    </row>
    <row r="57" spans="1:20">
      <c r="K57" s="307">
        <v>46152</v>
      </c>
      <c r="L57" s="308" t="s">
        <v>4636</v>
      </c>
      <c r="M57" s="308" t="s">
        <v>4574</v>
      </c>
      <c r="N57" s="308" t="s">
        <v>4575</v>
      </c>
      <c r="O57" s="308">
        <v>40</v>
      </c>
      <c r="P57" s="308">
        <v>7897</v>
      </c>
      <c r="Q57" s="308">
        <v>150</v>
      </c>
      <c r="R57" s="308" t="s">
        <v>75</v>
      </c>
      <c r="S57" s="309"/>
      <c r="T57" s="309"/>
    </row>
    <row r="58" spans="1:20">
      <c r="K58" s="307">
        <v>46152</v>
      </c>
      <c r="L58" s="308" t="s">
        <v>4637</v>
      </c>
      <c r="M58" s="308" t="s">
        <v>4574</v>
      </c>
      <c r="N58" s="308" t="s">
        <v>4577</v>
      </c>
      <c r="O58" s="308">
        <v>40</v>
      </c>
      <c r="P58" s="308">
        <v>15563</v>
      </c>
      <c r="Q58" s="308">
        <v>200</v>
      </c>
      <c r="R58" s="308" t="s">
        <v>75</v>
      </c>
      <c r="S58" s="309"/>
      <c r="T58" s="309"/>
    </row>
    <row r="59" spans="1:20">
      <c r="K59" s="307">
        <v>46152</v>
      </c>
      <c r="L59" s="308" t="s">
        <v>4638</v>
      </c>
      <c r="M59" s="308" t="s">
        <v>4574</v>
      </c>
      <c r="N59" s="308" t="s">
        <v>4575</v>
      </c>
      <c r="O59" s="308">
        <v>40</v>
      </c>
      <c r="P59" s="308">
        <v>8270</v>
      </c>
      <c r="Q59" s="308">
        <v>150</v>
      </c>
      <c r="R59" s="308" t="s">
        <v>75</v>
      </c>
      <c r="S59" s="309"/>
      <c r="T59" s="309"/>
    </row>
    <row r="60" spans="1:20">
      <c r="K60" s="307">
        <v>46152</v>
      </c>
      <c r="L60" s="308" t="s">
        <v>4639</v>
      </c>
      <c r="M60" s="308" t="s">
        <v>4574</v>
      </c>
      <c r="N60" s="308" t="s">
        <v>4575</v>
      </c>
      <c r="O60" s="308">
        <v>40</v>
      </c>
      <c r="P60" s="308">
        <v>15968</v>
      </c>
      <c r="Q60" s="308">
        <v>200</v>
      </c>
      <c r="R60" s="308" t="s">
        <v>75</v>
      </c>
      <c r="S60" s="309"/>
      <c r="T60" s="309"/>
    </row>
    <row r="61" spans="1:20">
      <c r="K61" s="307">
        <v>46152</v>
      </c>
      <c r="L61" s="308" t="s">
        <v>4640</v>
      </c>
      <c r="M61" s="308" t="s">
        <v>4574</v>
      </c>
      <c r="N61" s="308" t="s">
        <v>4577</v>
      </c>
      <c r="O61" s="308">
        <v>50</v>
      </c>
      <c r="P61" s="308">
        <v>7000</v>
      </c>
      <c r="Q61" s="308">
        <v>150</v>
      </c>
      <c r="R61" s="308" t="s">
        <v>75</v>
      </c>
      <c r="S61" s="309"/>
      <c r="T61" s="309"/>
    </row>
    <row r="62" spans="1:20">
      <c r="K62" s="307">
        <v>46153</v>
      </c>
      <c r="L62" s="308" t="s">
        <v>4641</v>
      </c>
      <c r="M62" s="308" t="s">
        <v>4642</v>
      </c>
      <c r="N62" s="308" t="s">
        <v>4577</v>
      </c>
      <c r="O62" s="308">
        <v>70</v>
      </c>
      <c r="P62" s="308">
        <v>10144</v>
      </c>
      <c r="Q62" s="308">
        <v>150</v>
      </c>
      <c r="R62" s="308" t="s">
        <v>76</v>
      </c>
      <c r="S62" s="309"/>
      <c r="T62" s="309"/>
    </row>
    <row r="63" spans="1:20">
      <c r="K63" s="307">
        <v>46153</v>
      </c>
      <c r="L63" s="308" t="s">
        <v>4643</v>
      </c>
      <c r="M63" s="308" t="s">
        <v>4633</v>
      </c>
      <c r="N63" s="308" t="s">
        <v>4575</v>
      </c>
      <c r="O63" s="308">
        <v>70</v>
      </c>
      <c r="P63" s="308">
        <v>6150</v>
      </c>
      <c r="Q63" s="308">
        <v>150</v>
      </c>
      <c r="R63" s="308" t="s">
        <v>75</v>
      </c>
      <c r="S63" s="309"/>
      <c r="T63" s="309"/>
    </row>
    <row r="64" spans="1:20">
      <c r="K64" s="307">
        <v>46153</v>
      </c>
      <c r="L64" s="308" t="s">
        <v>4644</v>
      </c>
      <c r="M64" s="308" t="s">
        <v>4574</v>
      </c>
      <c r="N64" s="308" t="s">
        <v>4577</v>
      </c>
      <c r="O64" s="308">
        <v>40</v>
      </c>
      <c r="P64" s="308">
        <v>1400</v>
      </c>
      <c r="Q64" s="308">
        <v>100</v>
      </c>
      <c r="R64" s="308" t="s">
        <v>76</v>
      </c>
      <c r="S64" s="309"/>
      <c r="T64" s="309"/>
    </row>
    <row r="65" spans="11:21">
      <c r="K65" s="307">
        <v>46153</v>
      </c>
      <c r="L65" s="308" t="s">
        <v>4645</v>
      </c>
      <c r="M65" s="308" t="s">
        <v>4574</v>
      </c>
      <c r="N65" s="308" t="s">
        <v>4575</v>
      </c>
      <c r="O65" s="308">
        <v>40</v>
      </c>
      <c r="P65" s="308">
        <v>2330</v>
      </c>
      <c r="Q65" s="308">
        <v>100</v>
      </c>
      <c r="R65" s="308" t="s">
        <v>75</v>
      </c>
      <c r="S65" s="309"/>
      <c r="T65" s="309"/>
    </row>
    <row r="66" spans="11:21">
      <c r="K66" s="307">
        <v>46153</v>
      </c>
      <c r="L66" s="308" t="s">
        <v>4646</v>
      </c>
      <c r="M66" s="308" t="s">
        <v>4574</v>
      </c>
      <c r="N66" s="308" t="s">
        <v>4577</v>
      </c>
      <c r="O66" s="308">
        <v>40</v>
      </c>
      <c r="P66" s="308">
        <v>13300</v>
      </c>
      <c r="Q66" s="308">
        <v>150</v>
      </c>
      <c r="R66" s="308" t="s">
        <v>75</v>
      </c>
      <c r="S66" s="309"/>
      <c r="T66" s="309"/>
    </row>
    <row r="67" spans="11:21">
      <c r="K67" s="307">
        <v>46153</v>
      </c>
      <c r="L67" s="308" t="s">
        <v>4647</v>
      </c>
      <c r="M67" s="308" t="s">
        <v>4574</v>
      </c>
      <c r="N67" s="308" t="s">
        <v>4577</v>
      </c>
      <c r="O67" s="308">
        <v>40</v>
      </c>
      <c r="P67" s="308">
        <v>550</v>
      </c>
      <c r="Q67" s="308">
        <v>100</v>
      </c>
      <c r="R67" s="308" t="s">
        <v>75</v>
      </c>
      <c r="S67" s="309"/>
      <c r="T67" s="309"/>
    </row>
    <row r="68" spans="11:21">
      <c r="K68" s="307">
        <v>46154</v>
      </c>
      <c r="L68" s="308" t="s">
        <v>4648</v>
      </c>
      <c r="M68" s="308" t="s">
        <v>4574</v>
      </c>
      <c r="N68" s="308" t="s">
        <v>4577</v>
      </c>
      <c r="O68" s="308">
        <v>40</v>
      </c>
      <c r="P68" s="308">
        <v>4264</v>
      </c>
      <c r="Q68" s="308">
        <v>100</v>
      </c>
      <c r="R68" s="308" t="s">
        <v>75</v>
      </c>
      <c r="S68" s="309"/>
      <c r="T68" s="309"/>
    </row>
    <row r="69" spans="11:21">
      <c r="K69" s="307">
        <v>46154</v>
      </c>
      <c r="L69" s="308" t="s">
        <v>4649</v>
      </c>
      <c r="M69" s="308" t="s">
        <v>4574</v>
      </c>
      <c r="N69" s="308" t="s">
        <v>4575</v>
      </c>
      <c r="O69" s="308">
        <v>40</v>
      </c>
      <c r="P69" s="308">
        <v>13450</v>
      </c>
      <c r="Q69" s="308">
        <v>150</v>
      </c>
      <c r="R69" s="308" t="s">
        <v>76</v>
      </c>
      <c r="S69" s="309"/>
      <c r="T69" s="309"/>
    </row>
    <row r="70" spans="11:21">
      <c r="K70" s="307">
        <v>46155</v>
      </c>
      <c r="L70" s="308" t="s">
        <v>4650</v>
      </c>
      <c r="M70" s="308" t="s">
        <v>4574</v>
      </c>
      <c r="N70" s="308" t="s">
        <v>4577</v>
      </c>
      <c r="O70" s="308">
        <v>40</v>
      </c>
      <c r="P70" s="308">
        <v>9000</v>
      </c>
      <c r="Q70" s="308">
        <v>150</v>
      </c>
      <c r="R70" s="308" t="s">
        <v>76</v>
      </c>
      <c r="S70" s="309"/>
      <c r="T70" s="309"/>
    </row>
    <row r="71" spans="11:21">
      <c r="K71" s="307">
        <v>46155</v>
      </c>
      <c r="L71" s="308" t="s">
        <v>4651</v>
      </c>
      <c r="M71" s="308" t="s">
        <v>4574</v>
      </c>
      <c r="N71" s="308" t="s">
        <v>4577</v>
      </c>
      <c r="O71" s="308">
        <v>40</v>
      </c>
      <c r="P71" s="308">
        <v>900</v>
      </c>
      <c r="Q71" s="308">
        <v>100</v>
      </c>
      <c r="R71" s="308" t="s">
        <v>75</v>
      </c>
      <c r="S71" s="309"/>
      <c r="T71" s="309"/>
    </row>
    <row r="72" spans="11:21">
      <c r="K72" s="307">
        <v>46156</v>
      </c>
      <c r="L72" s="308" t="s">
        <v>4652</v>
      </c>
      <c r="M72" s="308" t="s">
        <v>4574</v>
      </c>
      <c r="N72" s="308" t="s">
        <v>4575</v>
      </c>
      <c r="O72" s="308">
        <v>40</v>
      </c>
      <c r="P72" s="308">
        <v>6790</v>
      </c>
      <c r="Q72" s="308">
        <v>150</v>
      </c>
      <c r="R72" s="308" t="s">
        <v>75</v>
      </c>
      <c r="S72" s="309"/>
      <c r="T72" s="309"/>
    </row>
    <row r="73" spans="11:21">
      <c r="K73" s="307">
        <v>46156</v>
      </c>
      <c r="L73" s="308" t="s">
        <v>4653</v>
      </c>
      <c r="M73" s="308" t="s">
        <v>4654</v>
      </c>
      <c r="N73" s="308" t="s">
        <v>4577</v>
      </c>
      <c r="O73" s="308">
        <v>70</v>
      </c>
      <c r="P73" s="308">
        <v>9691</v>
      </c>
      <c r="Q73" s="308">
        <v>150</v>
      </c>
      <c r="R73" s="308" t="s">
        <v>75</v>
      </c>
      <c r="S73" s="309"/>
      <c r="T73" s="309"/>
      <c r="U73" s="309"/>
    </row>
    <row r="74" spans="11:21">
      <c r="K74" s="307">
        <v>46156</v>
      </c>
      <c r="L74" s="308" t="s">
        <v>4655</v>
      </c>
      <c r="M74" s="308" t="s">
        <v>4574</v>
      </c>
      <c r="N74" s="308" t="s">
        <v>4577</v>
      </c>
      <c r="O74" s="308">
        <v>40</v>
      </c>
      <c r="P74" s="308">
        <v>7587</v>
      </c>
      <c r="Q74" s="308">
        <v>150</v>
      </c>
      <c r="R74" s="308" t="s">
        <v>76</v>
      </c>
      <c r="S74" s="309"/>
      <c r="T74" s="309"/>
      <c r="U74" s="309"/>
    </row>
    <row r="75" spans="11:21">
      <c r="K75" s="307">
        <v>46156</v>
      </c>
      <c r="L75" s="308" t="s">
        <v>4656</v>
      </c>
      <c r="M75" s="308" t="s">
        <v>4657</v>
      </c>
      <c r="N75" s="308" t="s">
        <v>4575</v>
      </c>
      <c r="O75" s="308">
        <v>40</v>
      </c>
      <c r="P75" s="308">
        <v>1000</v>
      </c>
      <c r="Q75" s="308">
        <v>100</v>
      </c>
      <c r="R75" s="308" t="s">
        <v>75</v>
      </c>
      <c r="S75" s="309"/>
      <c r="T75" s="309"/>
      <c r="U75" s="309"/>
    </row>
    <row r="76" spans="11:21">
      <c r="K76" s="307">
        <v>46157</v>
      </c>
      <c r="L76" s="308" t="s">
        <v>4658</v>
      </c>
      <c r="M76" s="308" t="s">
        <v>4659</v>
      </c>
      <c r="N76" s="308" t="s">
        <v>4575</v>
      </c>
      <c r="O76" s="308">
        <v>70</v>
      </c>
      <c r="P76" s="308">
        <v>45000</v>
      </c>
      <c r="Q76" s="308">
        <v>200</v>
      </c>
      <c r="R76" s="308" t="s">
        <v>76</v>
      </c>
      <c r="S76" s="309"/>
      <c r="T76" s="309"/>
      <c r="U76" s="309"/>
    </row>
    <row r="77" spans="11:21">
      <c r="K77" s="307">
        <v>46157</v>
      </c>
      <c r="L77" s="308" t="s">
        <v>4660</v>
      </c>
      <c r="M77" s="308" t="s">
        <v>4661</v>
      </c>
      <c r="N77" s="308" t="s">
        <v>4575</v>
      </c>
      <c r="O77" s="308">
        <v>70</v>
      </c>
      <c r="P77" s="308">
        <v>13348</v>
      </c>
      <c r="Q77" s="308">
        <v>150</v>
      </c>
      <c r="R77" s="308" t="s">
        <v>75</v>
      </c>
      <c r="S77" s="314"/>
      <c r="T77" s="309"/>
      <c r="U77" s="309"/>
    </row>
    <row r="78" spans="11:21">
      <c r="K78" s="307">
        <v>46158</v>
      </c>
      <c r="L78" s="308" t="s">
        <v>4662</v>
      </c>
      <c r="M78" s="308" t="s">
        <v>4574</v>
      </c>
      <c r="N78" s="308" t="s">
        <v>4575</v>
      </c>
      <c r="O78" s="308">
        <v>40</v>
      </c>
      <c r="P78" s="308">
        <v>2160</v>
      </c>
      <c r="Q78" s="308">
        <v>100</v>
      </c>
      <c r="R78" s="308" t="s">
        <v>75</v>
      </c>
      <c r="S78" s="309"/>
      <c r="T78" s="309"/>
    </row>
    <row r="79" spans="11:21">
      <c r="K79" s="307">
        <v>46158</v>
      </c>
      <c r="L79" s="308" t="s">
        <v>4663</v>
      </c>
      <c r="M79" s="308" t="s">
        <v>4574</v>
      </c>
      <c r="N79" s="308" t="s">
        <v>4577</v>
      </c>
      <c r="O79" s="308">
        <v>40</v>
      </c>
      <c r="P79" s="308">
        <v>4100</v>
      </c>
      <c r="Q79" s="308">
        <v>100</v>
      </c>
      <c r="R79" s="308" t="s">
        <v>75</v>
      </c>
      <c r="S79" s="309"/>
      <c r="T79" s="309"/>
    </row>
    <row r="80" spans="11:21">
      <c r="K80" s="307">
        <v>46158</v>
      </c>
      <c r="L80" s="308" t="s">
        <v>4664</v>
      </c>
      <c r="M80" s="308" t="s">
        <v>4574</v>
      </c>
      <c r="N80" s="308" t="s">
        <v>4577</v>
      </c>
      <c r="O80" s="308">
        <v>40</v>
      </c>
      <c r="P80" s="308">
        <v>16900</v>
      </c>
      <c r="Q80" s="308">
        <v>200</v>
      </c>
      <c r="R80" s="308" t="s">
        <v>76</v>
      </c>
      <c r="S80" s="309"/>
      <c r="T80" s="309"/>
    </row>
    <row r="81" spans="11:20">
      <c r="K81" s="307">
        <v>46159</v>
      </c>
      <c r="L81" s="308" t="s">
        <v>4665</v>
      </c>
      <c r="M81" s="308" t="s">
        <v>4574</v>
      </c>
      <c r="N81" s="308" t="s">
        <v>4577</v>
      </c>
      <c r="O81" s="308">
        <v>40</v>
      </c>
      <c r="P81" s="308">
        <v>5900</v>
      </c>
      <c r="Q81" s="308">
        <v>150</v>
      </c>
      <c r="R81" s="308" t="s">
        <v>75</v>
      </c>
      <c r="S81" s="309"/>
      <c r="T81" s="309"/>
    </row>
    <row r="82" spans="11:20">
      <c r="K82" s="307">
        <v>46159</v>
      </c>
      <c r="L82" s="308" t="s">
        <v>4666</v>
      </c>
      <c r="M82" s="308" t="s">
        <v>4574</v>
      </c>
      <c r="N82" s="308" t="s">
        <v>4575</v>
      </c>
      <c r="O82" s="308">
        <v>40</v>
      </c>
      <c r="P82" s="308">
        <v>6590</v>
      </c>
      <c r="Q82" s="308">
        <v>150</v>
      </c>
      <c r="R82" s="308" t="s">
        <v>75</v>
      </c>
      <c r="S82" s="309"/>
      <c r="T82" s="309"/>
    </row>
    <row r="83" spans="11:20">
      <c r="K83" s="307">
        <v>46159</v>
      </c>
      <c r="L83" s="308" t="s">
        <v>4667</v>
      </c>
      <c r="M83" s="308" t="s">
        <v>4574</v>
      </c>
      <c r="N83" s="308" t="s">
        <v>4575</v>
      </c>
      <c r="O83" s="308">
        <v>40</v>
      </c>
      <c r="P83" s="308">
        <v>6550</v>
      </c>
      <c r="Q83" s="308">
        <v>150</v>
      </c>
      <c r="R83" s="308" t="s">
        <v>75</v>
      </c>
      <c r="S83" s="309"/>
      <c r="T83" s="309"/>
    </row>
    <row r="84" spans="11:20">
      <c r="K84" s="307">
        <v>46159</v>
      </c>
      <c r="L84" s="308" t="s">
        <v>4668</v>
      </c>
      <c r="M84" s="308" t="s">
        <v>4574</v>
      </c>
      <c r="N84" s="308" t="s">
        <v>4575</v>
      </c>
      <c r="O84" s="308">
        <v>40</v>
      </c>
      <c r="P84" s="308">
        <v>6063</v>
      </c>
      <c r="Q84" s="308">
        <v>150</v>
      </c>
      <c r="R84" s="308" t="s">
        <v>75</v>
      </c>
      <c r="S84" s="309"/>
      <c r="T84" s="309"/>
    </row>
    <row r="85" spans="11:20">
      <c r="K85" s="307">
        <v>46159</v>
      </c>
      <c r="L85" s="308" t="s">
        <v>4669</v>
      </c>
      <c r="M85" s="308" t="s">
        <v>4574</v>
      </c>
      <c r="N85" s="308" t="s">
        <v>4577</v>
      </c>
      <c r="O85" s="308">
        <v>40</v>
      </c>
      <c r="P85" s="308">
        <v>8100</v>
      </c>
      <c r="Q85" s="308">
        <v>150</v>
      </c>
      <c r="R85" s="308" t="s">
        <v>75</v>
      </c>
      <c r="S85" s="309"/>
      <c r="T85" s="309"/>
    </row>
    <row r="86" spans="11:20">
      <c r="K86" s="307">
        <v>46159</v>
      </c>
      <c r="L86" s="308" t="s">
        <v>4670</v>
      </c>
      <c r="M86" s="308" t="s">
        <v>4574</v>
      </c>
      <c r="N86" s="308" t="s">
        <v>4575</v>
      </c>
      <c r="O86" s="308">
        <v>40</v>
      </c>
      <c r="P86" s="308">
        <v>1224</v>
      </c>
      <c r="Q86" s="308">
        <v>100</v>
      </c>
      <c r="R86" s="308" t="s">
        <v>75</v>
      </c>
      <c r="S86" s="309"/>
    </row>
    <row r="87" spans="11:20">
      <c r="K87" s="307">
        <v>46159</v>
      </c>
      <c r="L87" s="308" t="s">
        <v>4671</v>
      </c>
      <c r="M87" s="308" t="s">
        <v>4579</v>
      </c>
      <c r="N87" s="308" t="s">
        <v>4575</v>
      </c>
      <c r="O87" s="308">
        <v>70</v>
      </c>
      <c r="P87" s="308">
        <v>13800</v>
      </c>
      <c r="Q87" s="308">
        <v>150</v>
      </c>
      <c r="R87" s="308" t="s">
        <v>75</v>
      </c>
      <c r="S87" s="309"/>
    </row>
    <row r="88" spans="11:20">
      <c r="K88" s="307">
        <v>46159</v>
      </c>
      <c r="L88" s="308" t="s">
        <v>4672</v>
      </c>
      <c r="M88" s="308" t="s">
        <v>4574</v>
      </c>
      <c r="N88" s="308" t="s">
        <v>4575</v>
      </c>
      <c r="O88" s="308">
        <v>50</v>
      </c>
      <c r="P88" s="308">
        <v>46000</v>
      </c>
      <c r="Q88" s="308">
        <v>200</v>
      </c>
      <c r="R88" s="308" t="s">
        <v>76</v>
      </c>
      <c r="S88" s="309"/>
    </row>
    <row r="89" spans="11:20">
      <c r="K89" s="307">
        <v>46160</v>
      </c>
      <c r="L89" s="308" t="s">
        <v>4673</v>
      </c>
      <c r="M89" s="308" t="s">
        <v>4574</v>
      </c>
      <c r="N89" s="308" t="s">
        <v>4575</v>
      </c>
      <c r="O89" s="308">
        <v>40</v>
      </c>
      <c r="P89" s="308">
        <v>5000</v>
      </c>
      <c r="Q89" s="308">
        <v>150</v>
      </c>
      <c r="R89" s="308" t="s">
        <v>75</v>
      </c>
      <c r="S89" s="309"/>
    </row>
    <row r="90" spans="11:20">
      <c r="K90" s="307">
        <v>46160</v>
      </c>
      <c r="L90" s="308" t="s">
        <v>4674</v>
      </c>
      <c r="M90" s="308" t="s">
        <v>4574</v>
      </c>
      <c r="N90" s="308" t="s">
        <v>4575</v>
      </c>
      <c r="O90" s="308">
        <v>40</v>
      </c>
      <c r="P90" s="308">
        <v>7916</v>
      </c>
      <c r="Q90" s="308">
        <v>150</v>
      </c>
      <c r="R90" s="308" t="s">
        <v>75</v>
      </c>
      <c r="S90" s="309"/>
    </row>
    <row r="91" spans="11:20">
      <c r="K91" s="307">
        <v>46160</v>
      </c>
      <c r="L91" s="308" t="s">
        <v>4675</v>
      </c>
      <c r="M91" s="308" t="s">
        <v>4574</v>
      </c>
      <c r="N91" s="308" t="s">
        <v>4577</v>
      </c>
      <c r="O91" s="309">
        <v>40</v>
      </c>
      <c r="P91" s="308">
        <v>27000</v>
      </c>
      <c r="Q91" s="309">
        <v>200</v>
      </c>
      <c r="R91" s="308" t="s">
        <v>75</v>
      </c>
      <c r="S91" s="309"/>
    </row>
    <row r="92" spans="11:20">
      <c r="K92" s="307">
        <v>46160</v>
      </c>
      <c r="L92" s="308" t="s">
        <v>4676</v>
      </c>
      <c r="M92" s="308" t="s">
        <v>4574</v>
      </c>
      <c r="N92" s="308" t="s">
        <v>4575</v>
      </c>
      <c r="O92" s="308">
        <v>40</v>
      </c>
      <c r="P92" s="308">
        <v>950</v>
      </c>
      <c r="Q92" s="308">
        <v>100</v>
      </c>
      <c r="R92" s="308" t="s">
        <v>75</v>
      </c>
      <c r="S92" s="309"/>
    </row>
    <row r="93" spans="11:20">
      <c r="K93" s="307">
        <v>46161</v>
      </c>
      <c r="L93" s="308" t="s">
        <v>4677</v>
      </c>
      <c r="M93" s="308" t="s">
        <v>4574</v>
      </c>
      <c r="N93" s="308" t="s">
        <v>711</v>
      </c>
      <c r="O93" s="308">
        <v>40</v>
      </c>
      <c r="P93" s="308"/>
      <c r="Q93" s="308"/>
      <c r="R93" s="308" t="s">
        <v>76</v>
      </c>
      <c r="S93" s="309"/>
    </row>
    <row r="94" spans="11:20">
      <c r="K94" s="307">
        <v>46161</v>
      </c>
      <c r="L94" s="308" t="s">
        <v>1857</v>
      </c>
      <c r="M94" s="308" t="s">
        <v>4574</v>
      </c>
      <c r="N94" s="308" t="s">
        <v>4575</v>
      </c>
      <c r="O94" s="308">
        <v>40</v>
      </c>
      <c r="P94" s="308">
        <v>5760</v>
      </c>
      <c r="Q94" s="308">
        <v>150</v>
      </c>
      <c r="R94" s="308" t="s">
        <v>76</v>
      </c>
      <c r="S94" s="309"/>
    </row>
    <row r="95" spans="11:20">
      <c r="K95" s="307">
        <v>46161</v>
      </c>
      <c r="L95" s="308" t="s">
        <v>4678</v>
      </c>
      <c r="M95" s="308" t="s">
        <v>4574</v>
      </c>
      <c r="N95" s="308" t="s">
        <v>4575</v>
      </c>
      <c r="O95" s="308">
        <v>40</v>
      </c>
      <c r="P95" s="308">
        <v>5775</v>
      </c>
      <c r="Q95" s="308">
        <v>150</v>
      </c>
      <c r="R95" s="308" t="s">
        <v>76</v>
      </c>
      <c r="S95" s="309"/>
    </row>
    <row r="96" spans="11:20">
      <c r="K96" s="307">
        <v>46161</v>
      </c>
      <c r="L96" s="308" t="s">
        <v>4679</v>
      </c>
      <c r="M96" s="308" t="s">
        <v>4574</v>
      </c>
      <c r="N96" s="308" t="s">
        <v>4575</v>
      </c>
      <c r="O96" s="309">
        <v>40</v>
      </c>
      <c r="P96" s="308">
        <v>4850</v>
      </c>
      <c r="Q96" s="309">
        <v>100</v>
      </c>
      <c r="R96" s="308" t="s">
        <v>75</v>
      </c>
      <c r="S96" s="309"/>
    </row>
    <row r="97" spans="11:20">
      <c r="K97" s="307">
        <v>46161</v>
      </c>
      <c r="L97" s="308" t="s">
        <v>4680</v>
      </c>
      <c r="M97" s="308" t="s">
        <v>4574</v>
      </c>
      <c r="N97" s="308" t="s">
        <v>711</v>
      </c>
      <c r="O97" s="308">
        <v>40</v>
      </c>
      <c r="P97" s="308">
        <v>32000</v>
      </c>
      <c r="Q97" s="308">
        <v>200</v>
      </c>
      <c r="R97" s="308" t="s">
        <v>75</v>
      </c>
      <c r="S97" s="309"/>
    </row>
    <row r="98" spans="11:20">
      <c r="K98" s="307">
        <v>46162</v>
      </c>
      <c r="L98" s="217" t="s">
        <v>4681</v>
      </c>
      <c r="M98" s="308" t="s">
        <v>4574</v>
      </c>
      <c r="N98" s="308" t="s">
        <v>4577</v>
      </c>
      <c r="O98" s="308">
        <v>40</v>
      </c>
      <c r="P98" s="308">
        <v>1500</v>
      </c>
      <c r="Q98" s="308">
        <v>100</v>
      </c>
      <c r="R98" s="308" t="s">
        <v>75</v>
      </c>
      <c r="S98" s="309"/>
    </row>
    <row r="99" spans="11:20">
      <c r="K99" s="307">
        <v>46162</v>
      </c>
      <c r="L99" s="217" t="s">
        <v>4682</v>
      </c>
      <c r="M99" s="308" t="s">
        <v>4587</v>
      </c>
      <c r="N99" s="308" t="s">
        <v>4577</v>
      </c>
      <c r="O99" s="308">
        <v>70</v>
      </c>
      <c r="P99" s="308">
        <v>1000</v>
      </c>
      <c r="Q99" s="308">
        <v>100</v>
      </c>
      <c r="R99" s="308" t="s">
        <v>76</v>
      </c>
      <c r="S99" s="309"/>
    </row>
    <row r="100" spans="11:20">
      <c r="K100" s="307">
        <v>46162</v>
      </c>
      <c r="L100" s="308" t="s">
        <v>4683</v>
      </c>
      <c r="M100" s="308" t="s">
        <v>4574</v>
      </c>
      <c r="N100" s="308" t="s">
        <v>4577</v>
      </c>
      <c r="O100" s="308">
        <v>40</v>
      </c>
      <c r="P100" s="308">
        <v>6994</v>
      </c>
      <c r="Q100" s="308">
        <v>150</v>
      </c>
      <c r="R100" s="308" t="s">
        <v>76</v>
      </c>
      <c r="S100" s="309"/>
    </row>
    <row r="101" spans="11:20">
      <c r="K101" s="307">
        <v>46163</v>
      </c>
      <c r="L101" s="308" t="s">
        <v>4684</v>
      </c>
      <c r="M101" s="308" t="s">
        <v>4574</v>
      </c>
      <c r="N101" s="308" t="s">
        <v>4577</v>
      </c>
      <c r="O101" s="309">
        <v>40</v>
      </c>
      <c r="P101" s="308">
        <v>9740</v>
      </c>
      <c r="Q101" s="309">
        <v>150</v>
      </c>
      <c r="R101" s="308" t="s">
        <v>75</v>
      </c>
      <c r="S101" s="309"/>
    </row>
    <row r="102" spans="11:20">
      <c r="K102" s="307">
        <v>46163</v>
      </c>
      <c r="L102" s="308" t="s">
        <v>4685</v>
      </c>
      <c r="M102" s="308" t="s">
        <v>4574</v>
      </c>
      <c r="N102" s="308" t="s">
        <v>4577</v>
      </c>
      <c r="O102" s="309">
        <v>40</v>
      </c>
      <c r="P102" s="308">
        <v>3350</v>
      </c>
      <c r="Q102" s="309">
        <v>100</v>
      </c>
      <c r="R102" s="308" t="s">
        <v>76</v>
      </c>
      <c r="S102" s="309"/>
      <c r="T102" s="309"/>
    </row>
    <row r="103" spans="11:20">
      <c r="K103" s="307">
        <v>46163</v>
      </c>
      <c r="L103" s="308" t="s">
        <v>4686</v>
      </c>
      <c r="M103" s="308" t="s">
        <v>4574</v>
      </c>
      <c r="N103" s="308" t="s">
        <v>4577</v>
      </c>
      <c r="O103" s="315">
        <v>40</v>
      </c>
      <c r="P103" s="308">
        <v>10000</v>
      </c>
      <c r="Q103" s="315">
        <v>150</v>
      </c>
      <c r="R103" s="308" t="s">
        <v>76</v>
      </c>
      <c r="S103" s="309"/>
      <c r="T103" s="309"/>
    </row>
    <row r="104" spans="11:20">
      <c r="K104" s="307">
        <v>46163</v>
      </c>
      <c r="L104" s="308" t="s">
        <v>4687</v>
      </c>
      <c r="M104" s="308" t="s">
        <v>4574</v>
      </c>
      <c r="N104" s="308" t="s">
        <v>4577</v>
      </c>
      <c r="O104" s="315">
        <v>40</v>
      </c>
      <c r="P104" s="308">
        <v>8965</v>
      </c>
      <c r="Q104" s="315">
        <v>150</v>
      </c>
      <c r="R104" s="308" t="s">
        <v>76</v>
      </c>
      <c r="S104" s="309"/>
      <c r="T104" s="309"/>
    </row>
    <row r="105" spans="11:20">
      <c r="K105" s="307">
        <v>46164</v>
      </c>
      <c r="L105" s="308" t="s">
        <v>4688</v>
      </c>
      <c r="M105" s="308" t="s">
        <v>4574</v>
      </c>
      <c r="N105" s="308" t="s">
        <v>4575</v>
      </c>
      <c r="O105" s="308">
        <v>40</v>
      </c>
      <c r="P105" s="316">
        <v>2644</v>
      </c>
      <c r="Q105" s="308">
        <v>100</v>
      </c>
      <c r="R105" s="308" t="s">
        <v>76</v>
      </c>
      <c r="S105" s="314"/>
    </row>
    <row r="106" spans="11:20">
      <c r="K106" s="307">
        <v>46164</v>
      </c>
      <c r="L106" s="308" t="s">
        <v>4637</v>
      </c>
      <c r="M106" s="308" t="s">
        <v>4574</v>
      </c>
      <c r="N106" s="308" t="s">
        <v>4577</v>
      </c>
      <c r="O106" s="308">
        <v>40</v>
      </c>
      <c r="P106" s="316">
        <v>4250</v>
      </c>
      <c r="Q106" s="308">
        <v>100</v>
      </c>
      <c r="R106" s="308" t="s">
        <v>75</v>
      </c>
      <c r="S106" s="314"/>
    </row>
    <row r="107" spans="11:20">
      <c r="K107" s="307">
        <v>46165</v>
      </c>
      <c r="L107" s="308" t="s">
        <v>4689</v>
      </c>
      <c r="M107" s="308" t="s">
        <v>4574</v>
      </c>
      <c r="N107" s="308" t="s">
        <v>4575</v>
      </c>
      <c r="O107" s="308">
        <v>40</v>
      </c>
      <c r="P107" s="316">
        <v>1500</v>
      </c>
      <c r="Q107" s="308">
        <v>100</v>
      </c>
      <c r="R107" s="308" t="s">
        <v>75</v>
      </c>
      <c r="S107" s="314"/>
    </row>
    <row r="108" spans="11:20">
      <c r="K108" s="307">
        <v>46165</v>
      </c>
      <c r="L108" s="217" t="s">
        <v>4690</v>
      </c>
      <c r="M108" s="308" t="s">
        <v>4574</v>
      </c>
      <c r="N108" s="308" t="s">
        <v>4575</v>
      </c>
      <c r="O108" s="308">
        <v>40</v>
      </c>
      <c r="P108" s="316">
        <v>760</v>
      </c>
      <c r="Q108" s="308">
        <v>100</v>
      </c>
      <c r="R108" s="308" t="s">
        <v>75</v>
      </c>
      <c r="S108" s="314"/>
    </row>
    <row r="109" spans="11:20">
      <c r="K109" s="307">
        <v>46165</v>
      </c>
      <c r="L109" s="308" t="s">
        <v>4691</v>
      </c>
      <c r="M109" s="308" t="s">
        <v>4574</v>
      </c>
      <c r="N109" s="308" t="s">
        <v>4575</v>
      </c>
      <c r="O109" s="308">
        <v>40</v>
      </c>
      <c r="P109" s="316">
        <v>1200</v>
      </c>
      <c r="Q109" s="308">
        <v>100</v>
      </c>
      <c r="R109" s="308" t="s">
        <v>75</v>
      </c>
      <c r="S109" s="314"/>
    </row>
    <row r="110" spans="11:20">
      <c r="K110" s="307">
        <v>46166</v>
      </c>
      <c r="L110" s="308" t="s">
        <v>4692</v>
      </c>
      <c r="M110" s="308" t="s">
        <v>4633</v>
      </c>
      <c r="N110" s="308" t="s">
        <v>4577</v>
      </c>
      <c r="O110" s="308">
        <v>70</v>
      </c>
      <c r="P110" s="316">
        <v>5000</v>
      </c>
      <c r="Q110" s="308">
        <v>150</v>
      </c>
      <c r="R110" s="308" t="s">
        <v>76</v>
      </c>
      <c r="S110" s="314"/>
    </row>
    <row r="111" spans="11:20">
      <c r="K111" s="307">
        <v>46167</v>
      </c>
      <c r="L111" s="308" t="s">
        <v>4693</v>
      </c>
      <c r="M111" s="308" t="s">
        <v>4574</v>
      </c>
      <c r="N111" s="308" t="s">
        <v>4577</v>
      </c>
      <c r="O111" s="308">
        <v>40</v>
      </c>
      <c r="P111" s="316">
        <v>8140</v>
      </c>
      <c r="Q111" s="308">
        <v>150</v>
      </c>
      <c r="R111" s="308" t="s">
        <v>76</v>
      </c>
      <c r="S111" s="314"/>
    </row>
    <row r="112" spans="11:20">
      <c r="K112" s="307">
        <v>46167</v>
      </c>
      <c r="L112" s="308" t="s">
        <v>4694</v>
      </c>
      <c r="M112" s="308" t="s">
        <v>4574</v>
      </c>
      <c r="N112" s="308" t="s">
        <v>4575</v>
      </c>
      <c r="O112" s="308">
        <v>40</v>
      </c>
      <c r="P112" s="316">
        <v>10000</v>
      </c>
      <c r="Q112" s="308">
        <v>150</v>
      </c>
      <c r="R112" s="308" t="s">
        <v>76</v>
      </c>
      <c r="S112" s="314"/>
    </row>
    <row r="113" spans="11:19">
      <c r="K113" s="307">
        <v>46167</v>
      </c>
      <c r="L113" s="308" t="s">
        <v>4695</v>
      </c>
      <c r="M113" s="308" t="s">
        <v>4574</v>
      </c>
      <c r="N113" s="308" t="s">
        <v>4577</v>
      </c>
      <c r="O113" s="308">
        <v>40</v>
      </c>
      <c r="P113" s="316">
        <v>9000</v>
      </c>
      <c r="Q113" s="308">
        <v>150</v>
      </c>
      <c r="R113" s="308" t="s">
        <v>76</v>
      </c>
      <c r="S113" s="314"/>
    </row>
    <row r="114" spans="11:19">
      <c r="K114" s="307">
        <v>46167</v>
      </c>
      <c r="L114" s="308" t="s">
        <v>4696</v>
      </c>
      <c r="M114" s="308" t="s">
        <v>4574</v>
      </c>
      <c r="N114" s="308" t="s">
        <v>4577</v>
      </c>
      <c r="O114" s="308">
        <v>40</v>
      </c>
      <c r="P114" s="316">
        <v>5300</v>
      </c>
      <c r="Q114" s="308">
        <v>150</v>
      </c>
      <c r="R114" s="308" t="s">
        <v>76</v>
      </c>
      <c r="S114" s="314"/>
    </row>
    <row r="115" spans="11:19">
      <c r="K115" s="307">
        <v>46168</v>
      </c>
      <c r="L115" s="308" t="s">
        <v>4697</v>
      </c>
      <c r="M115" s="308" t="s">
        <v>4574</v>
      </c>
      <c r="N115" s="308" t="s">
        <v>4577</v>
      </c>
      <c r="O115" s="308">
        <v>40</v>
      </c>
      <c r="P115" s="316">
        <v>5967</v>
      </c>
      <c r="Q115" s="308">
        <v>150</v>
      </c>
      <c r="R115" s="308" t="s">
        <v>76</v>
      </c>
      <c r="S115" s="314"/>
    </row>
    <row r="116" spans="11:19">
      <c r="K116" s="307">
        <v>46168</v>
      </c>
      <c r="L116" s="317" t="s">
        <v>4698</v>
      </c>
      <c r="M116" s="308" t="s">
        <v>4574</v>
      </c>
      <c r="N116" s="308" t="s">
        <v>4575</v>
      </c>
      <c r="O116" s="308">
        <v>40</v>
      </c>
      <c r="P116" s="316">
        <v>500</v>
      </c>
      <c r="Q116" s="308">
        <v>100</v>
      </c>
      <c r="R116" s="308" t="s">
        <v>75</v>
      </c>
      <c r="S116" s="314"/>
    </row>
    <row r="117" spans="11:19">
      <c r="K117" s="307">
        <v>46168</v>
      </c>
      <c r="L117" s="308" t="s">
        <v>4699</v>
      </c>
      <c r="M117" s="308" t="s">
        <v>4574</v>
      </c>
      <c r="N117" s="308" t="s">
        <v>4577</v>
      </c>
      <c r="O117" s="308">
        <v>40</v>
      </c>
      <c r="P117" s="316">
        <v>5215</v>
      </c>
      <c r="Q117" s="308">
        <v>150</v>
      </c>
      <c r="R117" s="308" t="s">
        <v>76</v>
      </c>
      <c r="S117" s="314"/>
    </row>
    <row r="118" spans="11:19">
      <c r="K118" s="307">
        <v>46169</v>
      </c>
      <c r="L118" s="308" t="s">
        <v>4700</v>
      </c>
      <c r="M118" s="308" t="s">
        <v>4642</v>
      </c>
      <c r="N118" s="308" t="s">
        <v>4575</v>
      </c>
      <c r="O118" s="308">
        <v>70</v>
      </c>
      <c r="P118" s="316">
        <v>6237</v>
      </c>
      <c r="Q118" s="308">
        <v>150</v>
      </c>
      <c r="R118" s="308" t="s">
        <v>76</v>
      </c>
      <c r="S118" s="314"/>
    </row>
    <row r="119" spans="11:19">
      <c r="K119" s="307">
        <v>46169</v>
      </c>
      <c r="L119" s="308" t="s">
        <v>4701</v>
      </c>
      <c r="M119" s="308" t="s">
        <v>4574</v>
      </c>
      <c r="N119" s="308" t="s">
        <v>4575</v>
      </c>
      <c r="O119" s="308">
        <v>40</v>
      </c>
      <c r="P119" s="316">
        <v>3000</v>
      </c>
      <c r="Q119" s="308">
        <v>100</v>
      </c>
      <c r="R119" s="308" t="s">
        <v>75</v>
      </c>
      <c r="S119" s="314"/>
    </row>
    <row r="120" spans="11:19">
      <c r="K120" s="307">
        <v>46170</v>
      </c>
      <c r="L120" s="308" t="s">
        <v>4702</v>
      </c>
      <c r="M120" s="308" t="s">
        <v>4574</v>
      </c>
      <c r="N120" s="308" t="s">
        <v>4577</v>
      </c>
      <c r="O120" s="308">
        <v>40</v>
      </c>
      <c r="P120" s="316">
        <v>2150</v>
      </c>
      <c r="Q120" s="308">
        <v>100</v>
      </c>
      <c r="R120" s="308" t="s">
        <v>76</v>
      </c>
      <c r="S120" s="314"/>
    </row>
    <row r="121" spans="11:19">
      <c r="K121" s="307">
        <v>46170</v>
      </c>
      <c r="L121" s="318" t="s">
        <v>4703</v>
      </c>
      <c r="M121" s="308" t="s">
        <v>4574</v>
      </c>
      <c r="N121" s="308" t="s">
        <v>4577</v>
      </c>
      <c r="O121" s="308">
        <v>40</v>
      </c>
      <c r="P121" s="316">
        <v>1000</v>
      </c>
      <c r="Q121" s="308">
        <v>100</v>
      </c>
      <c r="R121" s="308" t="s">
        <v>76</v>
      </c>
      <c r="S121" s="314"/>
    </row>
    <row r="122" spans="11:19">
      <c r="K122" s="307">
        <v>46170</v>
      </c>
      <c r="L122" s="308" t="s">
        <v>4704</v>
      </c>
      <c r="M122" s="308" t="s">
        <v>4574</v>
      </c>
      <c r="N122" s="308" t="s">
        <v>4577</v>
      </c>
      <c r="O122" s="308">
        <v>40</v>
      </c>
      <c r="P122" s="316">
        <v>650</v>
      </c>
      <c r="Q122" s="308">
        <v>100</v>
      </c>
      <c r="R122" s="308" t="s">
        <v>76</v>
      </c>
      <c r="S122" s="314"/>
    </row>
    <row r="123" spans="11:19">
      <c r="K123" s="307">
        <v>46170</v>
      </c>
      <c r="L123" s="308" t="s">
        <v>4705</v>
      </c>
      <c r="M123" s="308" t="s">
        <v>4574</v>
      </c>
      <c r="N123" s="308" t="s">
        <v>4577</v>
      </c>
      <c r="O123" s="308">
        <v>40</v>
      </c>
      <c r="P123" s="316">
        <v>2000</v>
      </c>
      <c r="Q123" s="308">
        <v>100</v>
      </c>
      <c r="R123" s="308" t="s">
        <v>76</v>
      </c>
      <c r="S123" s="314"/>
    </row>
    <row r="124" spans="11:19">
      <c r="K124" s="307">
        <v>46171</v>
      </c>
      <c r="L124" s="317" t="s">
        <v>4706</v>
      </c>
      <c r="M124" s="308" t="s">
        <v>4574</v>
      </c>
      <c r="N124" s="308" t="s">
        <v>4575</v>
      </c>
      <c r="O124" s="308">
        <v>40</v>
      </c>
      <c r="P124" s="316">
        <v>3500</v>
      </c>
      <c r="Q124" s="308">
        <v>100</v>
      </c>
      <c r="R124" s="308" t="s">
        <v>76</v>
      </c>
      <c r="S124" s="314"/>
    </row>
    <row r="125" spans="11:19">
      <c r="K125" s="307">
        <v>46171</v>
      </c>
      <c r="L125" s="307" t="s">
        <v>4707</v>
      </c>
      <c r="M125" s="308" t="s">
        <v>4708</v>
      </c>
      <c r="N125" s="308" t="s">
        <v>4575</v>
      </c>
      <c r="O125" s="308">
        <v>70</v>
      </c>
      <c r="P125" s="316">
        <v>6221</v>
      </c>
      <c r="Q125" s="308">
        <v>150</v>
      </c>
      <c r="R125" s="308" t="s">
        <v>76</v>
      </c>
      <c r="S125" s="314"/>
    </row>
    <row r="126" spans="11:19">
      <c r="K126" s="307">
        <v>46171</v>
      </c>
      <c r="L126" s="308" t="s">
        <v>4709</v>
      </c>
      <c r="M126" s="308" t="s">
        <v>4574</v>
      </c>
      <c r="N126" s="308" t="s">
        <v>4575</v>
      </c>
      <c r="O126" s="308">
        <v>40</v>
      </c>
      <c r="P126" s="316">
        <v>6000</v>
      </c>
      <c r="Q126" s="308">
        <v>150</v>
      </c>
      <c r="R126" s="308" t="s">
        <v>76</v>
      </c>
      <c r="S126" s="314"/>
    </row>
    <row r="127" spans="11:19">
      <c r="K127" s="307">
        <v>46172</v>
      </c>
      <c r="L127" s="308" t="s">
        <v>4710</v>
      </c>
      <c r="M127" s="308" t="s">
        <v>4574</v>
      </c>
      <c r="N127" s="308" t="s">
        <v>4577</v>
      </c>
      <c r="O127" s="308">
        <v>40</v>
      </c>
      <c r="P127" s="316">
        <v>3000</v>
      </c>
      <c r="Q127" s="308">
        <v>100</v>
      </c>
      <c r="R127" s="308" t="s">
        <v>76</v>
      </c>
      <c r="S127" s="314"/>
    </row>
    <row r="128" spans="11:19">
      <c r="K128" s="307">
        <v>46172</v>
      </c>
      <c r="L128" s="308" t="s">
        <v>4711</v>
      </c>
      <c r="M128" s="308" t="s">
        <v>4574</v>
      </c>
      <c r="N128" s="308" t="s">
        <v>4575</v>
      </c>
      <c r="O128" s="308">
        <v>40</v>
      </c>
      <c r="P128" s="316">
        <v>1600</v>
      </c>
      <c r="Q128" s="308">
        <v>100</v>
      </c>
      <c r="R128" s="308" t="s">
        <v>76</v>
      </c>
      <c r="S128" s="314"/>
    </row>
    <row r="129" spans="11:19">
      <c r="K129" s="307">
        <v>46172</v>
      </c>
      <c r="L129" s="308" t="s">
        <v>4712</v>
      </c>
      <c r="M129" s="308" t="s">
        <v>4574</v>
      </c>
      <c r="N129" s="308" t="s">
        <v>4577</v>
      </c>
      <c r="O129" s="308">
        <v>40</v>
      </c>
      <c r="P129" s="316">
        <v>5000</v>
      </c>
      <c r="Q129" s="308">
        <v>150</v>
      </c>
      <c r="R129" s="308" t="s">
        <v>76</v>
      </c>
      <c r="S129" s="314"/>
    </row>
    <row r="130" spans="11:19">
      <c r="K130" s="307">
        <v>46172</v>
      </c>
      <c r="L130" s="308" t="s">
        <v>4713</v>
      </c>
      <c r="M130" s="308" t="s">
        <v>4574</v>
      </c>
      <c r="N130" s="308" t="s">
        <v>4577</v>
      </c>
      <c r="O130" s="308">
        <v>40</v>
      </c>
      <c r="P130" s="316">
        <v>800</v>
      </c>
      <c r="Q130" s="308">
        <v>100</v>
      </c>
      <c r="R130" s="308" t="s">
        <v>76</v>
      </c>
      <c r="S130" s="314"/>
    </row>
    <row r="131" spans="11:19">
      <c r="K131" s="307">
        <v>46172</v>
      </c>
      <c r="L131" s="308" t="s">
        <v>4714</v>
      </c>
      <c r="M131" s="308" t="s">
        <v>4574</v>
      </c>
      <c r="N131" s="308" t="s">
        <v>4577</v>
      </c>
      <c r="O131" s="308">
        <v>40</v>
      </c>
      <c r="P131" s="316"/>
      <c r="Q131" s="308"/>
      <c r="R131" s="308" t="s">
        <v>75</v>
      </c>
      <c r="S131" s="314"/>
    </row>
    <row r="132" spans="11:19">
      <c r="K132" s="307">
        <v>46172</v>
      </c>
      <c r="L132" s="308" t="s">
        <v>4715</v>
      </c>
      <c r="M132" s="308" t="s">
        <v>4574</v>
      </c>
      <c r="N132" s="308" t="s">
        <v>4577</v>
      </c>
      <c r="O132" s="308">
        <v>40</v>
      </c>
      <c r="P132" s="316">
        <v>1000</v>
      </c>
      <c r="Q132" s="308">
        <v>100</v>
      </c>
      <c r="R132" s="308" t="s">
        <v>76</v>
      </c>
      <c r="S132" s="314"/>
    </row>
    <row r="133" spans="11:19">
      <c r="K133" s="307">
        <v>46172</v>
      </c>
      <c r="L133" s="308" t="s">
        <v>4716</v>
      </c>
      <c r="M133" s="308" t="s">
        <v>4574</v>
      </c>
      <c r="N133" s="308" t="s">
        <v>4577</v>
      </c>
      <c r="O133" s="308">
        <v>20</v>
      </c>
      <c r="P133" s="316">
        <v>5000</v>
      </c>
      <c r="Q133" s="308">
        <v>75</v>
      </c>
      <c r="R133" s="308" t="s">
        <v>76</v>
      </c>
      <c r="S133" s="314"/>
    </row>
    <row r="134" spans="11:19">
      <c r="K134" s="307">
        <v>46173</v>
      </c>
      <c r="L134" s="308" t="s">
        <v>4717</v>
      </c>
      <c r="M134" s="308" t="s">
        <v>4574</v>
      </c>
      <c r="N134" s="308" t="s">
        <v>4575</v>
      </c>
      <c r="O134" s="308">
        <v>40</v>
      </c>
      <c r="P134" s="316">
        <v>5000</v>
      </c>
      <c r="Q134" s="308">
        <v>150</v>
      </c>
      <c r="R134" s="308" t="s">
        <v>75</v>
      </c>
      <c r="S134" s="314"/>
    </row>
    <row r="135" spans="11:19">
      <c r="K135" s="307">
        <v>46173</v>
      </c>
      <c r="L135" s="308" t="s">
        <v>4607</v>
      </c>
      <c r="M135" s="308" t="s">
        <v>4574</v>
      </c>
      <c r="N135" s="308" t="s">
        <v>4575</v>
      </c>
      <c r="O135" s="308">
        <v>40</v>
      </c>
      <c r="P135" s="316">
        <v>850</v>
      </c>
      <c r="Q135" s="308">
        <v>100</v>
      </c>
      <c r="R135" s="308" t="s">
        <v>76</v>
      </c>
      <c r="S135" s="314"/>
    </row>
    <row r="136" spans="11:19">
      <c r="K136" s="307">
        <v>46173</v>
      </c>
      <c r="L136" s="308" t="s">
        <v>4718</v>
      </c>
      <c r="M136" s="308" t="s">
        <v>4574</v>
      </c>
      <c r="N136" s="308" t="s">
        <v>4577</v>
      </c>
      <c r="O136" s="308">
        <v>40</v>
      </c>
      <c r="P136" s="316">
        <v>5000</v>
      </c>
      <c r="Q136" s="308">
        <v>150</v>
      </c>
      <c r="R136" s="308" t="s">
        <v>75</v>
      </c>
      <c r="S136" s="314"/>
    </row>
    <row r="137" spans="11:19">
      <c r="K137" s="307">
        <v>46173</v>
      </c>
      <c r="L137" s="308" t="s">
        <v>4719</v>
      </c>
      <c r="M137" s="308" t="s">
        <v>4720</v>
      </c>
      <c r="N137" s="308" t="s">
        <v>4577</v>
      </c>
      <c r="O137" s="308">
        <v>70</v>
      </c>
      <c r="P137" s="316">
        <v>5000</v>
      </c>
      <c r="Q137" s="308">
        <v>150</v>
      </c>
      <c r="R137" s="308" t="s">
        <v>75</v>
      </c>
      <c r="S137" s="314"/>
    </row>
    <row r="138" spans="11:19">
      <c r="K138" s="307">
        <v>46173</v>
      </c>
      <c r="L138" s="308" t="s">
        <v>4721</v>
      </c>
      <c r="M138" s="308" t="s">
        <v>4574</v>
      </c>
      <c r="N138" s="308" t="s">
        <v>4575</v>
      </c>
      <c r="O138" s="308">
        <v>40</v>
      </c>
      <c r="P138" s="316">
        <v>1200</v>
      </c>
      <c r="Q138" s="308">
        <v>100</v>
      </c>
      <c r="R138" s="308" t="s">
        <v>75</v>
      </c>
      <c r="S138" s="314"/>
    </row>
    <row r="139" spans="11:19">
      <c r="K139" s="307">
        <v>46173</v>
      </c>
      <c r="L139" s="308" t="s">
        <v>4722</v>
      </c>
      <c r="M139" s="308" t="s">
        <v>4574</v>
      </c>
      <c r="N139" s="308" t="s">
        <v>4575</v>
      </c>
      <c r="O139" s="308">
        <v>40</v>
      </c>
      <c r="P139" s="316">
        <v>5000</v>
      </c>
      <c r="Q139" s="308">
        <v>150</v>
      </c>
      <c r="R139" s="308" t="s">
        <v>75</v>
      </c>
      <c r="S139" s="314"/>
    </row>
    <row r="140" spans="11:19">
      <c r="K140" s="307">
        <v>46172</v>
      </c>
      <c r="L140" s="308" t="s">
        <v>4716</v>
      </c>
      <c r="M140" s="308" t="s">
        <v>4574</v>
      </c>
      <c r="N140" s="308" t="s">
        <v>4577</v>
      </c>
      <c r="O140" s="308">
        <v>20</v>
      </c>
      <c r="P140" s="316">
        <v>5000</v>
      </c>
      <c r="Q140" s="308">
        <v>75</v>
      </c>
      <c r="R140" s="308" t="s">
        <v>75</v>
      </c>
      <c r="S140" s="314"/>
    </row>
    <row r="141" spans="11:19">
      <c r="K141" s="307"/>
      <c r="L141" s="308"/>
      <c r="M141" s="308"/>
      <c r="N141" s="308"/>
      <c r="O141" s="308"/>
      <c r="P141" s="316"/>
      <c r="Q141" s="308"/>
      <c r="R141" s="308"/>
      <c r="S141" s="314"/>
    </row>
    <row r="142" spans="11:19">
      <c r="K142" s="307"/>
      <c r="L142" s="308"/>
      <c r="M142" s="308"/>
      <c r="N142" s="308"/>
      <c r="O142" s="308"/>
      <c r="P142" s="316"/>
      <c r="Q142" s="308"/>
      <c r="R142" s="308"/>
      <c r="S142" s="314"/>
    </row>
    <row r="143" spans="11:19">
      <c r="K143" s="307"/>
      <c r="L143" s="308"/>
      <c r="M143" s="308"/>
      <c r="N143" s="308"/>
      <c r="O143" s="308"/>
      <c r="P143" s="316"/>
      <c r="Q143" s="308"/>
      <c r="R143" s="308"/>
      <c r="S143" s="314"/>
    </row>
    <row r="144" spans="11:19">
      <c r="K144" s="307"/>
      <c r="L144" s="308"/>
      <c r="M144" s="308"/>
      <c r="N144" s="308"/>
      <c r="O144" s="308"/>
      <c r="P144" s="316"/>
      <c r="Q144" s="308"/>
      <c r="R144" s="308"/>
      <c r="S144" s="314"/>
    </row>
    <row r="145" spans="11:19">
      <c r="K145" s="307"/>
      <c r="L145" s="308"/>
      <c r="M145" s="308"/>
      <c r="N145" s="308"/>
      <c r="O145" s="308"/>
      <c r="P145" s="316"/>
      <c r="Q145" s="308"/>
      <c r="R145" s="308"/>
      <c r="S145" s="314"/>
    </row>
    <row r="146" spans="11:19">
      <c r="K146" s="307"/>
      <c r="L146" s="308"/>
      <c r="M146" s="308"/>
      <c r="N146" s="308"/>
      <c r="O146" s="308"/>
      <c r="P146" s="316"/>
      <c r="Q146" s="308"/>
      <c r="R146" s="308"/>
      <c r="S146" s="314"/>
    </row>
    <row r="147" spans="11:19">
      <c r="K147" s="307"/>
      <c r="L147" s="308"/>
      <c r="M147" s="308"/>
      <c r="N147" s="308"/>
      <c r="O147" s="308"/>
      <c r="P147" s="308"/>
      <c r="Q147" s="308"/>
      <c r="R147" s="308"/>
      <c r="S147" s="314"/>
    </row>
    <row r="148" spans="11:19">
      <c r="K148" s="307"/>
      <c r="L148" s="308"/>
      <c r="M148" s="308"/>
      <c r="N148" s="308"/>
      <c r="O148" s="308"/>
      <c r="P148" s="316"/>
      <c r="Q148" s="308"/>
      <c r="R148" s="308"/>
      <c r="S148" s="314"/>
    </row>
    <row r="149" spans="11:19">
      <c r="K149" s="307"/>
      <c r="L149" s="308"/>
      <c r="M149" s="308"/>
      <c r="N149" s="308"/>
      <c r="O149" s="308"/>
      <c r="P149" s="316"/>
      <c r="Q149" s="308"/>
      <c r="R149" s="308"/>
      <c r="S149" s="314"/>
    </row>
    <row r="150" spans="11:19">
      <c r="K150" s="307"/>
      <c r="L150" s="308"/>
      <c r="M150" s="308"/>
      <c r="N150" s="308"/>
      <c r="O150" s="308"/>
      <c r="P150" s="316"/>
      <c r="Q150" s="308"/>
      <c r="R150" s="308"/>
      <c r="S150" s="314"/>
    </row>
    <row r="151" spans="11:19">
      <c r="K151" s="307"/>
      <c r="L151" s="308"/>
      <c r="M151" s="308"/>
      <c r="N151" s="308"/>
      <c r="O151" s="308"/>
      <c r="P151" s="316"/>
      <c r="Q151" s="308"/>
      <c r="R151" s="308"/>
      <c r="S151" s="314"/>
    </row>
    <row r="152" spans="11:19">
      <c r="K152" s="307"/>
      <c r="L152" s="308"/>
      <c r="M152" s="308"/>
      <c r="N152" s="308"/>
      <c r="O152" s="308"/>
      <c r="P152" s="316"/>
      <c r="Q152" s="308"/>
      <c r="R152" s="308"/>
      <c r="S152" s="314"/>
    </row>
    <row r="153" spans="11:19">
      <c r="K153" s="307"/>
      <c r="L153" s="217"/>
      <c r="M153" s="308"/>
      <c r="N153" s="308"/>
      <c r="O153" s="308"/>
      <c r="P153" s="316"/>
      <c r="Q153" s="308"/>
      <c r="R153" s="308"/>
      <c r="S153" s="314"/>
    </row>
    <row r="154" spans="11:19">
      <c r="K154" s="307"/>
      <c r="L154" s="308"/>
      <c r="M154" s="308"/>
      <c r="N154" s="308"/>
      <c r="O154" s="308"/>
      <c r="P154" s="316"/>
      <c r="Q154" s="308"/>
      <c r="R154" s="308"/>
      <c r="S154" s="314"/>
    </row>
    <row r="155" spans="11:19">
      <c r="K155" s="307"/>
      <c r="L155" s="308"/>
      <c r="M155" s="308"/>
      <c r="N155" s="308"/>
      <c r="O155" s="308"/>
      <c r="P155" s="316"/>
      <c r="Q155" s="308"/>
      <c r="R155" s="308"/>
      <c r="S155" s="314"/>
    </row>
    <row r="156" spans="11:19">
      <c r="K156" s="307"/>
      <c r="L156" s="308"/>
      <c r="M156" s="308"/>
      <c r="N156" s="308"/>
      <c r="O156" s="308"/>
      <c r="P156" s="316"/>
      <c r="Q156" s="308"/>
      <c r="R156" s="308"/>
      <c r="S156" s="314"/>
    </row>
    <row r="157" spans="11:19">
      <c r="K157" s="307"/>
      <c r="L157" s="308"/>
      <c r="M157" s="308"/>
      <c r="N157" s="308"/>
      <c r="O157" s="308"/>
      <c r="P157" s="316"/>
      <c r="Q157" s="308"/>
      <c r="R157" s="308"/>
      <c r="S157" s="314"/>
    </row>
    <row r="158" spans="11:19">
      <c r="K158" s="307"/>
      <c r="L158" s="308"/>
      <c r="M158" s="308"/>
      <c r="N158" s="308"/>
      <c r="O158" s="308"/>
      <c r="P158" s="316"/>
      <c r="Q158" s="308"/>
      <c r="R158" s="308"/>
      <c r="S158" s="314"/>
    </row>
    <row r="159" spans="11:19">
      <c r="K159" s="307"/>
      <c r="L159" s="308"/>
      <c r="M159" s="308"/>
      <c r="N159" s="308"/>
      <c r="O159" s="308"/>
      <c r="P159" s="316"/>
      <c r="Q159" s="308"/>
      <c r="R159" s="308"/>
      <c r="S159" s="314"/>
    </row>
    <row r="160" spans="11:19">
      <c r="K160" s="307"/>
      <c r="L160" s="308"/>
      <c r="M160" s="308"/>
      <c r="N160" s="308"/>
      <c r="O160" s="308"/>
      <c r="P160" s="316"/>
      <c r="Q160" s="308"/>
      <c r="R160" s="308"/>
      <c r="S160" s="314"/>
    </row>
    <row r="161" spans="11:20">
      <c r="K161" s="307" t="s">
        <v>4566</v>
      </c>
      <c r="L161" s="308" t="s">
        <v>4567</v>
      </c>
      <c r="M161" s="308" t="s">
        <v>4723</v>
      </c>
      <c r="N161" s="308" t="s">
        <v>4569</v>
      </c>
      <c r="O161" s="308" t="s">
        <v>4570</v>
      </c>
      <c r="P161" s="316" t="s">
        <v>4571</v>
      </c>
      <c r="Q161" s="308" t="s">
        <v>4572</v>
      </c>
      <c r="R161" s="308" t="s">
        <v>4563</v>
      </c>
      <c r="S161" s="314" t="s">
        <v>4499</v>
      </c>
    </row>
    <row r="162" spans="11:20">
      <c r="K162" s="307">
        <v>46159</v>
      </c>
      <c r="L162" s="308" t="s">
        <v>4724</v>
      </c>
      <c r="M162" s="308" t="s">
        <v>4574</v>
      </c>
      <c r="N162" s="308" t="s">
        <v>4575</v>
      </c>
      <c r="O162" s="308">
        <v>40</v>
      </c>
      <c r="P162" s="316">
        <v>1150</v>
      </c>
      <c r="Q162" s="308">
        <v>100</v>
      </c>
      <c r="R162" s="308" t="s">
        <v>208</v>
      </c>
      <c r="S162" s="314" t="s">
        <v>211</v>
      </c>
      <c r="T162" s="302" t="s">
        <v>4725</v>
      </c>
    </row>
    <row r="163" spans="11:20">
      <c r="K163" s="307">
        <v>46171</v>
      </c>
      <c r="L163" s="308" t="s">
        <v>4726</v>
      </c>
      <c r="M163" s="308" t="s">
        <v>4574</v>
      </c>
      <c r="N163" s="308" t="s">
        <v>4575</v>
      </c>
      <c r="O163" s="308">
        <v>40</v>
      </c>
      <c r="P163" s="316">
        <v>1337</v>
      </c>
      <c r="Q163" s="308">
        <v>100</v>
      </c>
      <c r="R163" s="308" t="s">
        <v>208</v>
      </c>
      <c r="S163" s="314" t="s">
        <v>209</v>
      </c>
      <c r="T163" s="302" t="s">
        <v>4727</v>
      </c>
    </row>
    <row r="164" spans="11:20">
      <c r="K164" s="307">
        <v>46159</v>
      </c>
      <c r="L164" s="308" t="s">
        <v>4728</v>
      </c>
      <c r="M164" s="308" t="s">
        <v>4612</v>
      </c>
      <c r="N164" s="308" t="s">
        <v>4577</v>
      </c>
      <c r="O164" s="308">
        <v>40</v>
      </c>
      <c r="P164" s="316">
        <v>1599</v>
      </c>
      <c r="Q164" s="308">
        <v>100</v>
      </c>
      <c r="R164" s="308" t="s">
        <v>208</v>
      </c>
      <c r="S164" s="314" t="s">
        <v>211</v>
      </c>
      <c r="T164" s="302" t="s">
        <v>4729</v>
      </c>
    </row>
    <row r="165" spans="11:20">
      <c r="K165" s="307">
        <v>46160</v>
      </c>
      <c r="L165" s="308" t="s">
        <v>4730</v>
      </c>
      <c r="M165" s="308" t="s">
        <v>4574</v>
      </c>
      <c r="N165" s="308" t="s">
        <v>4575</v>
      </c>
      <c r="O165" s="308">
        <v>40</v>
      </c>
      <c r="P165" s="316">
        <v>1600</v>
      </c>
      <c r="Q165" s="308">
        <v>100</v>
      </c>
      <c r="R165" s="308" t="s">
        <v>208</v>
      </c>
      <c r="S165" s="314" t="s">
        <v>211</v>
      </c>
      <c r="T165" s="302" t="s">
        <v>4731</v>
      </c>
    </row>
    <row r="166" spans="11:20">
      <c r="K166" s="307">
        <v>46145</v>
      </c>
      <c r="L166" s="308" t="s">
        <v>4732</v>
      </c>
      <c r="M166" s="308" t="s">
        <v>4574</v>
      </c>
      <c r="N166" s="308" t="s">
        <v>4577</v>
      </c>
      <c r="O166" s="308">
        <v>40</v>
      </c>
      <c r="P166" s="316">
        <v>1650</v>
      </c>
      <c r="Q166" s="308">
        <v>100</v>
      </c>
      <c r="R166" s="308" t="s">
        <v>208</v>
      </c>
      <c r="S166" s="314" t="s">
        <v>211</v>
      </c>
      <c r="T166" s="302" t="s">
        <v>4733</v>
      </c>
    </row>
    <row r="167" spans="11:20">
      <c r="K167" s="307">
        <v>46147</v>
      </c>
      <c r="L167" s="308" t="s">
        <v>4734</v>
      </c>
      <c r="M167" s="308" t="s">
        <v>4574</v>
      </c>
      <c r="N167" s="308" t="s">
        <v>4577</v>
      </c>
      <c r="O167" s="308">
        <v>40</v>
      </c>
      <c r="P167" s="316">
        <v>1787</v>
      </c>
      <c r="Q167" s="308">
        <v>100</v>
      </c>
      <c r="R167" s="308" t="s">
        <v>208</v>
      </c>
      <c r="S167" s="314" t="s">
        <v>209</v>
      </c>
      <c r="T167" s="302" t="s">
        <v>4735</v>
      </c>
    </row>
    <row r="168" spans="11:20">
      <c r="K168" s="307">
        <v>46150</v>
      </c>
      <c r="L168" s="308" t="s">
        <v>4736</v>
      </c>
      <c r="M168" s="308" t="s">
        <v>4574</v>
      </c>
      <c r="N168" s="308" t="s">
        <v>4577</v>
      </c>
      <c r="O168" s="308">
        <v>40</v>
      </c>
      <c r="P168" s="316">
        <v>1987</v>
      </c>
      <c r="Q168" s="308">
        <v>100</v>
      </c>
      <c r="R168" s="308" t="s">
        <v>208</v>
      </c>
      <c r="S168" s="314" t="s">
        <v>209</v>
      </c>
      <c r="T168" s="302" t="s">
        <v>4737</v>
      </c>
    </row>
    <row r="169" spans="11:20">
      <c r="K169" s="307">
        <v>46171</v>
      </c>
      <c r="L169" s="308" t="s">
        <v>4738</v>
      </c>
      <c r="M169" s="308" t="s">
        <v>4574</v>
      </c>
      <c r="N169" s="308" t="s">
        <v>4577</v>
      </c>
      <c r="O169" s="308">
        <v>40</v>
      </c>
      <c r="P169" s="316">
        <v>2000</v>
      </c>
      <c r="Q169" s="308">
        <v>100</v>
      </c>
      <c r="R169" s="308" t="s">
        <v>208</v>
      </c>
      <c r="S169" s="314" t="s">
        <v>211</v>
      </c>
      <c r="T169" s="302" t="s">
        <v>4739</v>
      </c>
    </row>
    <row r="170" spans="11:20">
      <c r="K170" s="307">
        <v>46163</v>
      </c>
      <c r="L170" s="308" t="s">
        <v>4740</v>
      </c>
      <c r="M170" s="308" t="s">
        <v>4574</v>
      </c>
      <c r="N170" s="308" t="s">
        <v>4575</v>
      </c>
      <c r="O170" s="308">
        <v>40</v>
      </c>
      <c r="P170" s="316">
        <v>2420</v>
      </c>
      <c r="Q170" s="308">
        <v>100</v>
      </c>
      <c r="R170" s="308" t="s">
        <v>208</v>
      </c>
      <c r="S170" s="314" t="s">
        <v>211</v>
      </c>
      <c r="T170" s="302" t="s">
        <v>4741</v>
      </c>
    </row>
    <row r="171" spans="11:20">
      <c r="K171" s="307">
        <v>46172</v>
      </c>
      <c r="L171" s="308" t="s">
        <v>4742</v>
      </c>
      <c r="M171" s="308" t="s">
        <v>4574</v>
      </c>
      <c r="N171" s="308" t="s">
        <v>4575</v>
      </c>
      <c r="O171" s="308">
        <v>40</v>
      </c>
      <c r="P171" s="316">
        <v>2530</v>
      </c>
      <c r="Q171" s="308">
        <v>100</v>
      </c>
      <c r="R171" s="308" t="s">
        <v>208</v>
      </c>
      <c r="S171" s="314" t="s">
        <v>211</v>
      </c>
      <c r="T171" s="302" t="s">
        <v>4743</v>
      </c>
    </row>
    <row r="172" spans="11:20">
      <c r="K172" s="307">
        <v>46163</v>
      </c>
      <c r="L172" s="308" t="s">
        <v>4744</v>
      </c>
      <c r="M172" s="308" t="s">
        <v>4574</v>
      </c>
      <c r="N172" s="308" t="s">
        <v>4575</v>
      </c>
      <c r="O172" s="308">
        <v>40</v>
      </c>
      <c r="P172" s="316">
        <v>2570</v>
      </c>
      <c r="Q172" s="308">
        <v>100</v>
      </c>
      <c r="R172" s="308" t="s">
        <v>208</v>
      </c>
      <c r="S172" s="314" t="s">
        <v>209</v>
      </c>
      <c r="T172" s="302" t="s">
        <v>4745</v>
      </c>
    </row>
    <row r="173" spans="11:20">
      <c r="K173" s="307">
        <v>46160</v>
      </c>
      <c r="L173" s="308" t="s">
        <v>4746</v>
      </c>
      <c r="M173" s="308" t="s">
        <v>4574</v>
      </c>
      <c r="N173" s="308" t="s">
        <v>4575</v>
      </c>
      <c r="O173" s="308">
        <v>40</v>
      </c>
      <c r="P173" s="316">
        <v>4386</v>
      </c>
      <c r="Q173" s="308">
        <v>100</v>
      </c>
      <c r="R173" s="308" t="s">
        <v>208</v>
      </c>
      <c r="S173" s="314" t="s">
        <v>211</v>
      </c>
      <c r="T173" s="302" t="s">
        <v>4747</v>
      </c>
    </row>
    <row r="174" spans="11:20">
      <c r="K174" s="307">
        <v>46165</v>
      </c>
      <c r="L174" s="308" t="s">
        <v>4748</v>
      </c>
      <c r="M174" s="308" t="s">
        <v>4574</v>
      </c>
      <c r="N174" s="308" t="s">
        <v>4575</v>
      </c>
      <c r="O174" s="308">
        <v>40</v>
      </c>
      <c r="P174" s="316">
        <v>4471</v>
      </c>
      <c r="Q174" s="308">
        <v>100</v>
      </c>
      <c r="R174" s="308" t="s">
        <v>208</v>
      </c>
      <c r="S174" s="314" t="s">
        <v>211</v>
      </c>
      <c r="T174" s="302" t="s">
        <v>4749</v>
      </c>
    </row>
    <row r="175" spans="11:20">
      <c r="K175" s="307">
        <v>46159</v>
      </c>
      <c r="L175" s="308" t="s">
        <v>4750</v>
      </c>
      <c r="M175" s="308" t="s">
        <v>4574</v>
      </c>
      <c r="N175" s="308" t="s">
        <v>4577</v>
      </c>
      <c r="O175" s="308">
        <v>50</v>
      </c>
      <c r="P175" s="316">
        <v>4756</v>
      </c>
      <c r="Q175" s="308">
        <v>100</v>
      </c>
      <c r="R175" s="308" t="s">
        <v>208</v>
      </c>
      <c r="S175" s="314" t="s">
        <v>211</v>
      </c>
      <c r="T175" s="302" t="s">
        <v>4751</v>
      </c>
    </row>
    <row r="176" spans="11:20">
      <c r="K176" s="307">
        <v>46147</v>
      </c>
      <c r="L176" s="308" t="s">
        <v>4752</v>
      </c>
      <c r="M176" s="308" t="s">
        <v>4574</v>
      </c>
      <c r="N176" s="308" t="s">
        <v>4575</v>
      </c>
      <c r="O176" s="308">
        <v>40</v>
      </c>
      <c r="P176" s="316">
        <v>4900</v>
      </c>
      <c r="Q176" s="308">
        <v>100</v>
      </c>
      <c r="R176" s="308" t="s">
        <v>208</v>
      </c>
      <c r="S176" s="314" t="s">
        <v>209</v>
      </c>
      <c r="T176" s="302" t="s">
        <v>4753</v>
      </c>
    </row>
    <row r="177" spans="11:20">
      <c r="K177" s="307">
        <v>46164</v>
      </c>
      <c r="L177" s="308" t="s">
        <v>4754</v>
      </c>
      <c r="M177" s="308" t="s">
        <v>4574</v>
      </c>
      <c r="N177" s="308" t="s">
        <v>4577</v>
      </c>
      <c r="O177" s="308">
        <v>40</v>
      </c>
      <c r="P177" s="316">
        <v>4901</v>
      </c>
      <c r="Q177" s="308">
        <v>100</v>
      </c>
      <c r="R177" s="308" t="s">
        <v>208</v>
      </c>
      <c r="S177" s="314" t="s">
        <v>209</v>
      </c>
      <c r="T177" s="302" t="s">
        <v>4755</v>
      </c>
    </row>
    <row r="178" spans="11:20">
      <c r="K178" s="307">
        <v>46145</v>
      </c>
      <c r="L178" s="308" t="s">
        <v>4756</v>
      </c>
      <c r="M178" s="308" t="s">
        <v>4574</v>
      </c>
      <c r="N178" s="308" t="s">
        <v>4577</v>
      </c>
      <c r="O178" s="308">
        <v>40</v>
      </c>
      <c r="P178" s="316">
        <v>4945</v>
      </c>
      <c r="Q178" s="308">
        <v>100</v>
      </c>
      <c r="R178" s="308" t="s">
        <v>208</v>
      </c>
      <c r="S178" s="314" t="s">
        <v>209</v>
      </c>
      <c r="T178" s="302" t="s">
        <v>4757</v>
      </c>
    </row>
    <row r="179" spans="11:20">
      <c r="K179" s="307">
        <v>46163</v>
      </c>
      <c r="L179" s="308" t="s">
        <v>4758</v>
      </c>
      <c r="M179" s="308" t="s">
        <v>4574</v>
      </c>
      <c r="N179" s="308" t="s">
        <v>4577</v>
      </c>
      <c r="O179" s="308">
        <v>40</v>
      </c>
      <c r="P179" s="316">
        <v>5170</v>
      </c>
      <c r="Q179" s="308">
        <v>150</v>
      </c>
      <c r="R179" s="308" t="s">
        <v>208</v>
      </c>
      <c r="S179" s="314" t="s">
        <v>211</v>
      </c>
      <c r="T179" s="302" t="s">
        <v>4759</v>
      </c>
    </row>
    <row r="180" spans="11:20">
      <c r="K180" s="307">
        <v>46155</v>
      </c>
      <c r="L180" s="308" t="s">
        <v>4760</v>
      </c>
      <c r="M180" s="308" t="s">
        <v>4574</v>
      </c>
      <c r="N180" s="308" t="s">
        <v>4575</v>
      </c>
      <c r="O180" s="308">
        <v>40</v>
      </c>
      <c r="P180" s="316">
        <v>5320</v>
      </c>
      <c r="Q180" s="308">
        <v>150</v>
      </c>
      <c r="R180" s="308" t="s">
        <v>208</v>
      </c>
      <c r="S180" s="314" t="s">
        <v>209</v>
      </c>
      <c r="T180" s="302" t="s">
        <v>4761</v>
      </c>
    </row>
    <row r="181" spans="11:20">
      <c r="K181" s="307">
        <v>46148</v>
      </c>
      <c r="L181" s="308" t="s">
        <v>4762</v>
      </c>
      <c r="M181" s="308" t="s">
        <v>4574</v>
      </c>
      <c r="N181" s="308" t="s">
        <v>4577</v>
      </c>
      <c r="O181" s="308">
        <v>40</v>
      </c>
      <c r="P181" s="316">
        <v>5630</v>
      </c>
      <c r="Q181" s="308">
        <v>150</v>
      </c>
      <c r="R181" s="308" t="s">
        <v>208</v>
      </c>
      <c r="S181" s="314" t="s">
        <v>209</v>
      </c>
      <c r="T181" s="302" t="s">
        <v>4763</v>
      </c>
    </row>
    <row r="182" spans="11:20">
      <c r="K182" s="307">
        <v>46153</v>
      </c>
      <c r="L182" s="308" t="s">
        <v>4764</v>
      </c>
      <c r="M182" s="308" t="s">
        <v>4574</v>
      </c>
      <c r="N182" s="308" t="s">
        <v>4575</v>
      </c>
      <c r="O182" s="308">
        <v>40</v>
      </c>
      <c r="P182" s="316">
        <v>5736</v>
      </c>
      <c r="Q182" s="308">
        <v>150</v>
      </c>
      <c r="R182" s="308" t="s">
        <v>208</v>
      </c>
      <c r="S182" s="314" t="s">
        <v>211</v>
      </c>
      <c r="T182" s="302" t="s">
        <v>4765</v>
      </c>
    </row>
    <row r="183" spans="11:20">
      <c r="K183" s="307">
        <v>46169</v>
      </c>
      <c r="L183" s="308" t="s">
        <v>4766</v>
      </c>
      <c r="M183" s="308" t="s">
        <v>4574</v>
      </c>
      <c r="N183" s="308" t="s">
        <v>4575</v>
      </c>
      <c r="O183" s="308">
        <v>40</v>
      </c>
      <c r="P183" s="316">
        <v>6510</v>
      </c>
      <c r="Q183" s="308">
        <v>150</v>
      </c>
      <c r="R183" s="308" t="s">
        <v>208</v>
      </c>
      <c r="S183" s="314" t="s">
        <v>211</v>
      </c>
      <c r="T183" s="302" t="s">
        <v>4767</v>
      </c>
    </row>
    <row r="184" spans="11:20">
      <c r="K184" s="307">
        <v>46157</v>
      </c>
      <c r="L184" s="308" t="s">
        <v>4768</v>
      </c>
      <c r="M184" s="308" t="s">
        <v>4623</v>
      </c>
      <c r="N184" s="308" t="s">
        <v>4577</v>
      </c>
      <c r="O184" s="308">
        <v>70</v>
      </c>
      <c r="P184" s="316">
        <v>7134</v>
      </c>
      <c r="Q184" s="308">
        <v>150</v>
      </c>
      <c r="R184" s="308" t="s">
        <v>208</v>
      </c>
      <c r="S184" s="314" t="s">
        <v>209</v>
      </c>
      <c r="T184" s="302" t="s">
        <v>4769</v>
      </c>
    </row>
    <row r="185" spans="11:20">
      <c r="K185" s="307">
        <v>46164</v>
      </c>
      <c r="L185" s="308" t="s">
        <v>4770</v>
      </c>
      <c r="M185" s="308" t="s">
        <v>4574</v>
      </c>
      <c r="N185" s="308" t="s">
        <v>4577</v>
      </c>
      <c r="O185" s="308">
        <v>40</v>
      </c>
      <c r="P185" s="316">
        <v>7558</v>
      </c>
      <c r="Q185" s="308">
        <v>150</v>
      </c>
      <c r="R185" s="308" t="s">
        <v>208</v>
      </c>
      <c r="S185" s="314" t="s">
        <v>211</v>
      </c>
      <c r="T185" s="302" t="s">
        <v>4771</v>
      </c>
    </row>
    <row r="186" spans="11:20">
      <c r="K186" s="307">
        <v>46157</v>
      </c>
      <c r="L186" s="308" t="s">
        <v>4772</v>
      </c>
      <c r="M186" s="308" t="s">
        <v>4574</v>
      </c>
      <c r="N186" s="308" t="s">
        <v>4577</v>
      </c>
      <c r="O186" s="308">
        <v>40</v>
      </c>
      <c r="P186" s="316">
        <v>7575.9</v>
      </c>
      <c r="Q186" s="308">
        <v>150</v>
      </c>
      <c r="R186" s="308" t="s">
        <v>208</v>
      </c>
      <c r="S186" s="314" t="s">
        <v>209</v>
      </c>
      <c r="T186" s="302" t="s">
        <v>4773</v>
      </c>
    </row>
    <row r="187" spans="11:20">
      <c r="K187" s="307">
        <v>46157</v>
      </c>
      <c r="L187" s="308" t="s">
        <v>4774</v>
      </c>
      <c r="M187" s="308" t="s">
        <v>4574</v>
      </c>
      <c r="N187" s="308" t="s">
        <v>4577</v>
      </c>
      <c r="O187" s="308">
        <v>40</v>
      </c>
      <c r="P187" s="316">
        <v>8195</v>
      </c>
      <c r="Q187" s="308">
        <v>150</v>
      </c>
      <c r="R187" s="308" t="s">
        <v>208</v>
      </c>
      <c r="S187" s="314" t="s">
        <v>211</v>
      </c>
      <c r="T187" s="302" t="s">
        <v>4775</v>
      </c>
    </row>
    <row r="188" spans="11:20">
      <c r="K188" s="307">
        <v>46161</v>
      </c>
      <c r="L188" s="308" t="s">
        <v>4776</v>
      </c>
      <c r="M188" s="308" t="s">
        <v>4777</v>
      </c>
      <c r="N188" s="308" t="s">
        <v>4575</v>
      </c>
      <c r="O188" s="308">
        <v>40</v>
      </c>
      <c r="P188" s="316">
        <v>9692</v>
      </c>
      <c r="Q188" s="308">
        <v>150</v>
      </c>
      <c r="R188" s="308" t="s">
        <v>208</v>
      </c>
      <c r="S188" s="314" t="s">
        <v>211</v>
      </c>
      <c r="T188" s="302" t="s">
        <v>4778</v>
      </c>
    </row>
    <row r="189" spans="11:20">
      <c r="K189" s="307">
        <v>46146</v>
      </c>
      <c r="L189" s="308" t="s">
        <v>4779</v>
      </c>
      <c r="M189" s="308" t="s">
        <v>4574</v>
      </c>
      <c r="N189" s="308" t="s">
        <v>711</v>
      </c>
      <c r="O189" s="308">
        <v>40</v>
      </c>
      <c r="P189" s="316">
        <v>10238</v>
      </c>
      <c r="Q189" s="308">
        <v>150</v>
      </c>
      <c r="R189" s="308" t="s">
        <v>208</v>
      </c>
      <c r="S189" s="314" t="s">
        <v>71</v>
      </c>
      <c r="T189" s="302" t="s">
        <v>4780</v>
      </c>
    </row>
    <row r="190" spans="11:20">
      <c r="K190" s="307">
        <v>46167</v>
      </c>
      <c r="L190" s="308" t="s">
        <v>4781</v>
      </c>
      <c r="M190" s="308" t="s">
        <v>4782</v>
      </c>
      <c r="N190" s="308" t="s">
        <v>711</v>
      </c>
      <c r="O190" s="308">
        <v>70</v>
      </c>
      <c r="P190" s="316">
        <v>13408</v>
      </c>
      <c r="Q190" s="308">
        <v>150</v>
      </c>
      <c r="R190" s="308" t="s">
        <v>208</v>
      </c>
      <c r="S190" s="314" t="s">
        <v>209</v>
      </c>
      <c r="T190" s="302" t="s">
        <v>4783</v>
      </c>
    </row>
    <row r="191" spans="11:20">
      <c r="K191" s="307">
        <v>46171</v>
      </c>
      <c r="L191" s="308" t="s">
        <v>4784</v>
      </c>
      <c r="M191" s="308" t="s">
        <v>4657</v>
      </c>
      <c r="N191" s="308" t="s">
        <v>4577</v>
      </c>
      <c r="O191" s="308">
        <v>70</v>
      </c>
      <c r="P191" s="316">
        <v>31500</v>
      </c>
      <c r="Q191" s="308">
        <v>200</v>
      </c>
      <c r="R191" s="308" t="s">
        <v>208</v>
      </c>
      <c r="S191" s="314" t="s">
        <v>211</v>
      </c>
      <c r="T191" s="302" t="s">
        <v>4785</v>
      </c>
    </row>
    <row r="192" spans="11:20">
      <c r="K192" s="307">
        <v>46143</v>
      </c>
      <c r="L192" s="308" t="s">
        <v>4786</v>
      </c>
      <c r="M192" s="308" t="s">
        <v>4787</v>
      </c>
      <c r="N192" s="308" t="s">
        <v>4577</v>
      </c>
      <c r="O192" s="308">
        <v>70</v>
      </c>
      <c r="P192" s="316">
        <v>35143</v>
      </c>
      <c r="Q192" s="308">
        <v>200</v>
      </c>
      <c r="R192" s="308" t="s">
        <v>208</v>
      </c>
      <c r="S192" s="314" t="s">
        <v>211</v>
      </c>
      <c r="T192" s="302" t="s">
        <v>4788</v>
      </c>
    </row>
    <row r="193" spans="11:20">
      <c r="K193" s="307">
        <v>46172</v>
      </c>
      <c r="L193" s="308" t="s">
        <v>4789</v>
      </c>
      <c r="M193" s="308" t="s">
        <v>4574</v>
      </c>
      <c r="N193" s="308" t="s">
        <v>4577</v>
      </c>
      <c r="O193" s="308">
        <v>40</v>
      </c>
      <c r="P193" s="316" t="s">
        <v>4790</v>
      </c>
      <c r="Q193" s="308">
        <v>100</v>
      </c>
      <c r="R193" s="308" t="s">
        <v>208</v>
      </c>
      <c r="S193" s="314" t="s">
        <v>211</v>
      </c>
      <c r="T193" s="302" t="s">
        <v>4791</v>
      </c>
    </row>
    <row r="194" spans="11:20">
      <c r="K194" s="307">
        <v>46166</v>
      </c>
      <c r="L194" s="308" t="s">
        <v>4792</v>
      </c>
      <c r="M194" s="308" t="s">
        <v>4574</v>
      </c>
      <c r="N194" s="308" t="s">
        <v>4577</v>
      </c>
      <c r="O194" s="308">
        <v>40</v>
      </c>
      <c r="P194" s="316" t="s">
        <v>4793</v>
      </c>
      <c r="Q194" s="308">
        <v>100</v>
      </c>
      <c r="R194" s="308" t="s">
        <v>208</v>
      </c>
      <c r="S194" s="314" t="s">
        <v>211</v>
      </c>
      <c r="T194" s="302" t="s">
        <v>4794</v>
      </c>
    </row>
    <row r="195" spans="11:20">
      <c r="K195" s="307">
        <v>46169</v>
      </c>
      <c r="L195" s="308" t="s">
        <v>4795</v>
      </c>
      <c r="M195" s="308" t="s">
        <v>4574</v>
      </c>
      <c r="N195" s="308" t="s">
        <v>711</v>
      </c>
      <c r="O195" s="308">
        <v>40</v>
      </c>
      <c r="P195" s="316" t="s">
        <v>4796</v>
      </c>
      <c r="Q195" s="308">
        <v>200</v>
      </c>
      <c r="R195" s="308" t="s">
        <v>208</v>
      </c>
      <c r="S195" s="314" t="s">
        <v>73</v>
      </c>
      <c r="T195" s="302" t="s">
        <v>4797</v>
      </c>
    </row>
    <row r="196" spans="11:20">
      <c r="K196" s="307">
        <v>46165</v>
      </c>
      <c r="L196" s="308" t="s">
        <v>4798</v>
      </c>
      <c r="M196" s="308" t="s">
        <v>4799</v>
      </c>
      <c r="N196" s="308" t="s">
        <v>4575</v>
      </c>
      <c r="O196" s="308">
        <v>40</v>
      </c>
      <c r="P196" s="316" t="s">
        <v>4800</v>
      </c>
      <c r="Q196" s="308">
        <v>100</v>
      </c>
      <c r="R196" s="308" t="s">
        <v>208</v>
      </c>
      <c r="S196" s="314" t="s">
        <v>211</v>
      </c>
      <c r="T196" s="302" t="s">
        <v>4801</v>
      </c>
    </row>
    <row r="197" spans="11:20">
      <c r="K197" s="307">
        <v>46171</v>
      </c>
      <c r="L197" s="308" t="s">
        <v>4802</v>
      </c>
      <c r="M197" s="308" t="s">
        <v>4574</v>
      </c>
      <c r="N197" s="308" t="s">
        <v>4575</v>
      </c>
      <c r="O197" s="308">
        <v>40</v>
      </c>
      <c r="P197" s="316" t="s">
        <v>4800</v>
      </c>
      <c r="Q197" s="308">
        <v>100</v>
      </c>
      <c r="R197" s="308" t="s">
        <v>208</v>
      </c>
      <c r="S197" s="314" t="s">
        <v>71</v>
      </c>
      <c r="T197" s="302" t="s">
        <v>4803</v>
      </c>
    </row>
    <row r="198" spans="11:20">
      <c r="K198" s="307">
        <v>46161</v>
      </c>
      <c r="L198" s="308" t="s">
        <v>4804</v>
      </c>
      <c r="M198" s="308" t="s">
        <v>4777</v>
      </c>
      <c r="N198" s="308" t="s">
        <v>4575</v>
      </c>
      <c r="O198" s="308">
        <v>40</v>
      </c>
      <c r="P198" s="316" t="s">
        <v>4805</v>
      </c>
      <c r="Q198" s="308">
        <v>200</v>
      </c>
      <c r="R198" s="308" t="s">
        <v>208</v>
      </c>
      <c r="S198" s="314" t="s">
        <v>211</v>
      </c>
      <c r="T198" s="302" t="s">
        <v>4806</v>
      </c>
    </row>
    <row r="199" spans="11:20">
      <c r="K199" s="307">
        <v>46143</v>
      </c>
      <c r="L199" s="308" t="s">
        <v>4807</v>
      </c>
      <c r="M199" s="308" t="s">
        <v>4594</v>
      </c>
      <c r="N199" s="308" t="s">
        <v>711</v>
      </c>
      <c r="O199" s="308">
        <v>70</v>
      </c>
      <c r="P199" s="316" t="s">
        <v>4808</v>
      </c>
      <c r="Q199" s="308">
        <v>200</v>
      </c>
      <c r="R199" s="308" t="s">
        <v>208</v>
      </c>
      <c r="S199" s="314" t="s">
        <v>211</v>
      </c>
      <c r="T199" s="302" t="s">
        <v>4809</v>
      </c>
    </row>
    <row r="200" spans="11:20">
      <c r="K200" s="307">
        <v>46172</v>
      </c>
      <c r="L200" s="308" t="s">
        <v>4810</v>
      </c>
      <c r="M200" s="308" t="s">
        <v>4708</v>
      </c>
      <c r="N200" s="308" t="s">
        <v>4575</v>
      </c>
      <c r="O200" s="308">
        <v>70</v>
      </c>
      <c r="P200" s="316" t="s">
        <v>4808</v>
      </c>
      <c r="Q200" s="308">
        <v>200</v>
      </c>
      <c r="R200" s="308" t="s">
        <v>208</v>
      </c>
      <c r="S200" s="314" t="s">
        <v>67</v>
      </c>
      <c r="T200" s="302" t="s">
        <v>4811</v>
      </c>
    </row>
    <row r="201" spans="11:20">
      <c r="K201" s="307">
        <v>46157</v>
      </c>
      <c r="L201" s="308" t="s">
        <v>4812</v>
      </c>
      <c r="M201" s="308" t="s">
        <v>4574</v>
      </c>
      <c r="N201" s="308" t="s">
        <v>4577</v>
      </c>
      <c r="O201" s="308">
        <v>40</v>
      </c>
      <c r="P201" s="316" t="s">
        <v>4813</v>
      </c>
      <c r="Q201" s="308">
        <v>100</v>
      </c>
      <c r="R201" s="308" t="s">
        <v>208</v>
      </c>
      <c r="S201" s="314" t="s">
        <v>211</v>
      </c>
      <c r="T201" s="302" t="s">
        <v>4814</v>
      </c>
    </row>
    <row r="202" spans="11:20">
      <c r="K202" s="307">
        <v>46147</v>
      </c>
      <c r="L202" s="308" t="s">
        <v>4815</v>
      </c>
      <c r="M202" s="308" t="s">
        <v>4574</v>
      </c>
      <c r="N202" s="308" t="s">
        <v>4575</v>
      </c>
      <c r="O202" s="308">
        <v>40</v>
      </c>
      <c r="P202" s="316" t="s">
        <v>4816</v>
      </c>
      <c r="Q202" s="308">
        <v>200</v>
      </c>
      <c r="R202" s="308" t="s">
        <v>208</v>
      </c>
      <c r="S202" s="314" t="s">
        <v>71</v>
      </c>
      <c r="T202" s="302" t="s">
        <v>4817</v>
      </c>
    </row>
    <row r="203" spans="11:20">
      <c r="K203" s="307">
        <v>46171</v>
      </c>
      <c r="L203" s="308" t="s">
        <v>4818</v>
      </c>
      <c r="M203" s="308" t="s">
        <v>4574</v>
      </c>
      <c r="N203" s="308" t="s">
        <v>4575</v>
      </c>
      <c r="O203" s="308">
        <v>40</v>
      </c>
      <c r="P203" s="316" t="s">
        <v>4819</v>
      </c>
      <c r="Q203" s="308">
        <v>100</v>
      </c>
      <c r="R203" s="308" t="s">
        <v>208</v>
      </c>
      <c r="S203" s="314" t="s">
        <v>209</v>
      </c>
      <c r="T203" s="302" t="s">
        <v>4820</v>
      </c>
    </row>
    <row r="204" spans="11:20">
      <c r="K204" s="307">
        <v>46147</v>
      </c>
      <c r="L204" s="308" t="s">
        <v>4821</v>
      </c>
      <c r="M204" s="308" t="s">
        <v>4596</v>
      </c>
      <c r="N204" s="308" t="s">
        <v>4575</v>
      </c>
      <c r="O204" s="308">
        <v>70</v>
      </c>
      <c r="P204" s="316" t="s">
        <v>4822</v>
      </c>
      <c r="Q204" s="308">
        <v>200</v>
      </c>
      <c r="R204" s="308" t="s">
        <v>208</v>
      </c>
      <c r="S204" s="314" t="s">
        <v>71</v>
      </c>
      <c r="T204" s="302" t="s">
        <v>4823</v>
      </c>
    </row>
    <row r="205" spans="11:20">
      <c r="K205" s="307">
        <v>46168</v>
      </c>
      <c r="L205" s="308" t="s">
        <v>4824</v>
      </c>
      <c r="M205" s="308" t="s">
        <v>4574</v>
      </c>
      <c r="N205" s="308" t="s">
        <v>4575</v>
      </c>
      <c r="O205" s="308">
        <v>40</v>
      </c>
      <c r="P205" s="316" t="s">
        <v>4825</v>
      </c>
      <c r="Q205" s="308">
        <v>150</v>
      </c>
      <c r="R205" s="308" t="s">
        <v>208</v>
      </c>
      <c r="S205" s="314" t="s">
        <v>209</v>
      </c>
      <c r="T205" s="302" t="s">
        <v>4826</v>
      </c>
    </row>
    <row r="206" spans="11:20">
      <c r="K206" s="307">
        <v>46145</v>
      </c>
      <c r="L206" s="308" t="s">
        <v>4827</v>
      </c>
      <c r="M206" s="308" t="s">
        <v>4574</v>
      </c>
      <c r="N206" s="308" t="s">
        <v>711</v>
      </c>
      <c r="O206" s="308">
        <v>40</v>
      </c>
      <c r="P206" s="316"/>
      <c r="Q206" s="308"/>
      <c r="R206" s="308" t="s">
        <v>208</v>
      </c>
      <c r="S206" s="314"/>
    </row>
    <row r="207" spans="11:20">
      <c r="K207" s="307">
        <v>46158</v>
      </c>
      <c r="L207" s="308" t="s">
        <v>4828</v>
      </c>
      <c r="M207" s="308" t="s">
        <v>4574</v>
      </c>
      <c r="N207" s="308" t="s">
        <v>4575</v>
      </c>
      <c r="O207" s="308">
        <v>40</v>
      </c>
      <c r="P207" s="316"/>
      <c r="Q207" s="308"/>
      <c r="R207" s="308" t="s">
        <v>208</v>
      </c>
      <c r="S207" s="314"/>
    </row>
    <row r="208" spans="11:20">
      <c r="K208" s="307">
        <v>46173</v>
      </c>
      <c r="L208" s="308" t="s">
        <v>4829</v>
      </c>
      <c r="M208" s="308" t="s">
        <v>4574</v>
      </c>
      <c r="N208" s="308" t="s">
        <v>4575</v>
      </c>
      <c r="O208" s="308">
        <v>40</v>
      </c>
      <c r="P208" s="316"/>
      <c r="Q208" s="308"/>
      <c r="R208" s="308" t="s">
        <v>208</v>
      </c>
      <c r="S208" s="314"/>
    </row>
    <row r="209" spans="11:19">
      <c r="K209" s="307"/>
      <c r="L209" s="308"/>
      <c r="M209" s="308"/>
      <c r="N209" s="308"/>
      <c r="O209" s="308"/>
      <c r="P209" s="316"/>
      <c r="Q209" s="308"/>
      <c r="R209" s="308"/>
      <c r="S209" s="314"/>
    </row>
    <row r="210" spans="11:19">
      <c r="K210" s="307"/>
      <c r="L210" s="308"/>
      <c r="M210" s="308"/>
      <c r="N210" s="308"/>
      <c r="O210" s="308"/>
      <c r="P210" s="316"/>
      <c r="Q210" s="308"/>
      <c r="R210" s="308"/>
      <c r="S210" s="314"/>
    </row>
    <row r="211" spans="11:19">
      <c r="K211" s="307"/>
      <c r="L211" s="308"/>
      <c r="M211" s="308"/>
      <c r="N211" s="308"/>
      <c r="O211" s="308"/>
      <c r="P211" s="316"/>
      <c r="Q211" s="308"/>
      <c r="R211" s="308"/>
      <c r="S211" s="314"/>
    </row>
    <row r="212" spans="11:19">
      <c r="K212" s="307"/>
      <c r="L212" s="308"/>
      <c r="M212" s="308"/>
      <c r="N212" s="308"/>
      <c r="O212" s="308"/>
      <c r="P212" s="316"/>
      <c r="Q212" s="308"/>
      <c r="R212" s="308"/>
      <c r="S212" s="314"/>
    </row>
    <row r="213" spans="11:19">
      <c r="K213" s="307"/>
      <c r="L213" s="308"/>
      <c r="M213" s="308"/>
      <c r="N213" s="308"/>
      <c r="O213" s="308"/>
      <c r="P213" s="316"/>
      <c r="Q213" s="308"/>
      <c r="R213" s="308"/>
      <c r="S213" s="314"/>
    </row>
    <row r="214" spans="11:19">
      <c r="K214" s="307"/>
      <c r="L214" s="308"/>
      <c r="M214" s="308"/>
      <c r="N214" s="308"/>
      <c r="O214" s="308"/>
      <c r="P214" s="316"/>
      <c r="Q214" s="308"/>
      <c r="R214" s="308"/>
      <c r="S214" s="314"/>
    </row>
    <row r="215" spans="11:19">
      <c r="K215" s="307"/>
      <c r="L215" s="308"/>
      <c r="M215" s="308"/>
      <c r="N215" s="308"/>
      <c r="O215" s="308"/>
      <c r="P215" s="316"/>
      <c r="Q215" s="308"/>
      <c r="R215" s="308"/>
      <c r="S215" s="314"/>
    </row>
    <row r="216" spans="11:19">
      <c r="K216" s="307"/>
      <c r="L216" s="308"/>
      <c r="M216" s="308"/>
      <c r="N216" s="308"/>
      <c r="O216" s="308"/>
      <c r="P216" s="316"/>
      <c r="Q216" s="308"/>
      <c r="R216" s="308"/>
      <c r="S216" s="314"/>
    </row>
    <row r="217" spans="11:19">
      <c r="K217" s="307"/>
      <c r="L217" s="308"/>
      <c r="M217" s="308"/>
      <c r="N217" s="308"/>
      <c r="O217" s="308"/>
      <c r="P217" s="316"/>
      <c r="Q217" s="308"/>
      <c r="R217" s="308"/>
      <c r="S217" s="314"/>
    </row>
    <row r="218" spans="11:19">
      <c r="K218" s="307"/>
      <c r="L218" s="308"/>
      <c r="M218" s="308"/>
      <c r="N218" s="308"/>
      <c r="O218" s="308"/>
      <c r="P218" s="316"/>
      <c r="Q218" s="308"/>
      <c r="R218" s="308"/>
      <c r="S218" s="314"/>
    </row>
    <row r="219" spans="11:19">
      <c r="K219" s="307"/>
      <c r="L219" s="308"/>
      <c r="M219" s="308"/>
      <c r="N219" s="308"/>
      <c r="O219" s="308"/>
      <c r="P219" s="316"/>
      <c r="Q219" s="308"/>
      <c r="R219" s="308"/>
      <c r="S219" s="314"/>
    </row>
    <row r="220" spans="11:19">
      <c r="K220" s="307"/>
      <c r="L220" s="308"/>
      <c r="M220" s="308"/>
      <c r="N220" s="308"/>
      <c r="O220" s="308"/>
      <c r="P220" s="316"/>
      <c r="Q220" s="308"/>
      <c r="R220" s="308"/>
      <c r="S220" s="314"/>
    </row>
    <row r="221" spans="11:19">
      <c r="K221" s="307"/>
      <c r="L221" s="308"/>
      <c r="M221" s="308"/>
      <c r="N221" s="308"/>
      <c r="O221" s="308"/>
      <c r="P221" s="316"/>
      <c r="Q221" s="308"/>
      <c r="R221" s="308"/>
      <c r="S221" s="314"/>
    </row>
    <row r="222" spans="11:19">
      <c r="K222" s="307"/>
      <c r="L222" s="308"/>
      <c r="M222" s="308"/>
      <c r="N222" s="308"/>
      <c r="O222" s="308"/>
      <c r="P222" s="316"/>
      <c r="Q222" s="308"/>
      <c r="R222" s="308"/>
      <c r="S222" s="314"/>
    </row>
    <row r="223" spans="11:19">
      <c r="K223" s="307"/>
      <c r="L223" s="308"/>
      <c r="M223" s="308"/>
      <c r="N223" s="308"/>
      <c r="O223" s="308"/>
      <c r="P223" s="316"/>
      <c r="Q223" s="308"/>
      <c r="R223" s="308"/>
      <c r="S223" s="314"/>
    </row>
    <row r="224" spans="11:19">
      <c r="K224" s="307"/>
      <c r="L224" s="308"/>
      <c r="M224" s="308"/>
      <c r="N224" s="308"/>
      <c r="O224" s="308"/>
      <c r="P224" s="316"/>
      <c r="Q224" s="308"/>
      <c r="R224" s="308"/>
      <c r="S224" s="314"/>
    </row>
    <row r="225" spans="11:19">
      <c r="K225" s="307"/>
      <c r="L225" s="308"/>
      <c r="M225" s="308"/>
      <c r="N225" s="308"/>
      <c r="O225" s="308"/>
      <c r="P225" s="316"/>
      <c r="Q225" s="308"/>
      <c r="R225" s="308"/>
      <c r="S225" s="314"/>
    </row>
    <row r="226" spans="11:19">
      <c r="K226" s="307"/>
      <c r="L226" s="308"/>
      <c r="M226" s="308"/>
      <c r="N226" s="308"/>
      <c r="O226" s="308"/>
      <c r="P226" s="316"/>
      <c r="Q226" s="308"/>
      <c r="R226" s="308"/>
      <c r="S226" s="314"/>
    </row>
    <row r="227" spans="11:19">
      <c r="K227" s="307"/>
      <c r="L227" s="308"/>
      <c r="M227" s="308"/>
      <c r="N227" s="308"/>
      <c r="O227" s="308"/>
      <c r="P227" s="316"/>
      <c r="Q227" s="308"/>
      <c r="R227" s="308"/>
      <c r="S227" s="314"/>
    </row>
    <row r="228" spans="11:19">
      <c r="K228" s="307"/>
      <c r="L228" s="308"/>
      <c r="M228" s="308"/>
      <c r="N228" s="308"/>
      <c r="O228" s="308"/>
      <c r="P228" s="316"/>
      <c r="Q228" s="308"/>
      <c r="R228" s="308"/>
      <c r="S228" s="314"/>
    </row>
    <row r="229" spans="11:19">
      <c r="K229" s="307"/>
      <c r="L229" s="308"/>
      <c r="M229" s="308"/>
      <c r="N229" s="308"/>
      <c r="O229" s="308"/>
      <c r="P229" s="316"/>
      <c r="Q229" s="308"/>
      <c r="R229" s="308"/>
      <c r="S229" s="314"/>
    </row>
    <row r="230" spans="11:19">
      <c r="K230" s="307"/>
      <c r="L230" s="308"/>
      <c r="M230" s="308"/>
      <c r="N230" s="308"/>
      <c r="O230" s="308"/>
      <c r="P230" s="316"/>
      <c r="Q230" s="308"/>
      <c r="R230" s="308"/>
      <c r="S230" s="314"/>
    </row>
    <row r="231" spans="11:19">
      <c r="K231" s="307"/>
      <c r="L231" s="308"/>
      <c r="M231" s="308"/>
      <c r="N231" s="308"/>
      <c r="O231" s="308"/>
      <c r="P231" s="316"/>
      <c r="Q231" s="308"/>
      <c r="R231" s="308"/>
      <c r="S231" s="314"/>
    </row>
    <row r="232" spans="11:19">
      <c r="K232" s="307"/>
      <c r="L232" s="308"/>
      <c r="M232" s="308"/>
      <c r="N232" s="308"/>
      <c r="O232" s="308"/>
      <c r="P232" s="316"/>
      <c r="Q232" s="308"/>
      <c r="R232" s="308"/>
      <c r="S232" s="314"/>
    </row>
    <row r="233" spans="11:19">
      <c r="K233" s="307"/>
      <c r="L233" s="308"/>
      <c r="M233" s="308"/>
      <c r="N233" s="308"/>
      <c r="O233" s="308"/>
      <c r="P233" s="316"/>
      <c r="Q233" s="308"/>
      <c r="R233" s="308"/>
      <c r="S233" s="314"/>
    </row>
    <row r="234" spans="11:19">
      <c r="K234" s="307"/>
      <c r="L234" s="308"/>
      <c r="M234" s="308"/>
      <c r="N234" s="308"/>
      <c r="O234" s="308"/>
      <c r="P234" s="316"/>
      <c r="Q234" s="308"/>
      <c r="R234" s="308"/>
      <c r="S234" s="314"/>
    </row>
    <row r="235" spans="11:19">
      <c r="K235" s="307"/>
      <c r="L235" s="308"/>
      <c r="M235" s="308"/>
      <c r="N235" s="308"/>
      <c r="O235" s="308"/>
      <c r="P235" s="316"/>
      <c r="Q235" s="308"/>
      <c r="R235" s="308"/>
      <c r="S235" s="314"/>
    </row>
    <row r="236" spans="11:19">
      <c r="K236" s="307"/>
      <c r="L236" s="308"/>
      <c r="M236" s="308"/>
      <c r="N236" s="308"/>
      <c r="O236" s="308"/>
      <c r="P236" s="316"/>
      <c r="Q236" s="308"/>
      <c r="R236" s="308"/>
      <c r="S236" s="314"/>
    </row>
    <row r="237" spans="11:19">
      <c r="K237" s="307"/>
      <c r="L237" s="308"/>
      <c r="M237" s="308"/>
      <c r="N237" s="308"/>
      <c r="O237" s="308"/>
      <c r="P237" s="316"/>
      <c r="Q237" s="308"/>
      <c r="R237" s="308"/>
      <c r="S237" s="314"/>
    </row>
    <row r="238" spans="11:19">
      <c r="K238" s="307"/>
      <c r="L238" s="308"/>
      <c r="M238" s="308"/>
      <c r="N238" s="308"/>
      <c r="O238" s="308"/>
      <c r="P238" s="316"/>
      <c r="Q238" s="308"/>
      <c r="R238" s="308"/>
      <c r="S238" s="314"/>
    </row>
    <row r="239" spans="11:19">
      <c r="K239" s="307"/>
      <c r="L239" s="308"/>
      <c r="M239" s="308"/>
      <c r="N239" s="308"/>
      <c r="O239" s="308"/>
      <c r="P239" s="316"/>
      <c r="Q239" s="308"/>
      <c r="R239" s="308"/>
      <c r="S239" s="314"/>
    </row>
  </sheetData>
  <autoFilter ref="K2:R237" xr:uid="{00000000-0009-0000-0000-000014000000}"/>
  <mergeCells count="2">
    <mergeCell ref="A1:E1"/>
    <mergeCell ref="A8:B8"/>
  </mergeCells>
  <phoneticPr fontId="5" type="noConversion"/>
  <conditionalFormatting sqref="L2">
    <cfRule type="duplicateValues" dxfId="83" priority="66"/>
  </conditionalFormatting>
  <conditionalFormatting sqref="L3:L95">
    <cfRule type="duplicateValues" dxfId="82" priority="9"/>
  </conditionalFormatting>
  <conditionalFormatting sqref="L96">
    <cfRule type="duplicateValues" dxfId="81" priority="8"/>
  </conditionalFormatting>
  <conditionalFormatting sqref="L97:L102">
    <cfRule type="duplicateValues" dxfId="80" priority="11"/>
  </conditionalFormatting>
  <conditionalFormatting sqref="L103:L104">
    <cfRule type="duplicateValues" dxfId="79" priority="68"/>
  </conditionalFormatting>
  <conditionalFormatting sqref="L106">
    <cfRule type="duplicateValues" dxfId="78" priority="6"/>
  </conditionalFormatting>
  <conditionalFormatting sqref="L107">
    <cfRule type="duplicateValues" dxfId="77" priority="5"/>
  </conditionalFormatting>
  <conditionalFormatting sqref="L108:L110 L112:L115 L117:L157">
    <cfRule type="duplicateValues" dxfId="76" priority="7"/>
  </conditionalFormatting>
  <conditionalFormatting sqref="L111">
    <cfRule type="duplicateValues" dxfId="75" priority="4"/>
  </conditionalFormatting>
  <conditionalFormatting sqref="L158">
    <cfRule type="duplicateValues" dxfId="74" priority="3"/>
  </conditionalFormatting>
  <conditionalFormatting sqref="L159:L213">
    <cfRule type="duplicateValues" dxfId="73" priority="2"/>
  </conditionalFormatting>
  <conditionalFormatting sqref="L214:L239">
    <cfRule type="duplicateValues" dxfId="72" priority="1"/>
  </conditionalFormatting>
  <dataValidations count="6">
    <dataValidation type="list" allowBlank="1" showInputMessage="1" showErrorMessage="1" sqref="B5 B7" xr:uid="{00000000-0002-0000-1400-000000000000}">
      <formula1>"李超,辜小菲,何映林,叶漾"</formula1>
    </dataValidation>
    <dataValidation type="list" allowBlank="1" showInputMessage="1" showErrorMessage="1" sqref="B6" xr:uid="{00000000-0002-0000-1400-000001000000}">
      <formula1>"李超,辜小菲"</formula1>
    </dataValidation>
    <dataValidation type="list" allowBlank="1" showInputMessage="1" showErrorMessage="1" sqref="N3:N157" xr:uid="{00000000-0002-0000-1400-000002000000}">
      <formula1>"保单,非保单,外拓"</formula1>
    </dataValidation>
    <dataValidation type="list" allowBlank="1" showInputMessage="1" showErrorMessage="1" sqref="O3:O90 O92:O95 O103:O158" xr:uid="{00000000-0002-0000-1400-000003000000}">
      <formula1>"40,50,70"</formula1>
    </dataValidation>
    <dataValidation type="list" allowBlank="1" showInputMessage="1" showErrorMessage="1" sqref="R3:R102" xr:uid="{00000000-0002-0000-1400-000004000000}">
      <formula1>"李超,刘辉玺,辜小菲"</formula1>
    </dataValidation>
    <dataValidation type="list" allowBlank="1" showInputMessage="1" showErrorMessage="1" sqref="R103:R104" xr:uid="{00000000-0002-0000-1400-000005000000}">
      <formula1>"李超,叶漾"</formula1>
    </dataValidation>
  </dataValidation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0070C0"/>
  </sheetPr>
  <dimension ref="A1:AD189"/>
  <sheetViews>
    <sheetView topLeftCell="J1" workbookViewId="0">
      <pane ySplit="2" topLeftCell="A3" activePane="bottomLeft" state="frozen"/>
      <selection pane="bottomLeft" activeCell="O11" sqref="O11:AC14"/>
    </sheetView>
  </sheetViews>
  <sheetFormatPr defaultColWidth="9" defaultRowHeight="14.4"/>
  <cols>
    <col min="1" max="1" width="14.88671875" style="42" customWidth="1"/>
    <col min="2" max="2" width="13.77734375" style="232" customWidth="1"/>
    <col min="3" max="3" width="19.77734375" style="42" customWidth="1"/>
    <col min="4" max="4" width="13.77734375" style="232" customWidth="1"/>
    <col min="5" max="5" width="16" style="232" customWidth="1"/>
    <col min="6" max="7" width="14.33203125" style="232" customWidth="1"/>
    <col min="8" max="8" width="10.88671875" style="42" customWidth="1"/>
    <col min="9" max="9" width="13.6640625" style="42" customWidth="1"/>
    <col min="10" max="12" width="12.21875" style="42" customWidth="1"/>
    <col min="13" max="13" width="9.21875" style="232" customWidth="1"/>
    <col min="14" max="14" width="11.109375" style="42" customWidth="1"/>
    <col min="15" max="15" width="19.33203125" style="233" customWidth="1"/>
    <col min="16" max="16" width="13" style="234" customWidth="1"/>
    <col min="17" max="17" width="12.109375" style="232" customWidth="1"/>
    <col min="18" max="19" width="3.77734375" style="235" customWidth="1"/>
    <col min="20" max="20" width="10.21875" style="235" customWidth="1"/>
    <col min="21" max="21" width="12.88671875" style="232" customWidth="1"/>
    <col min="22" max="22" width="15" style="232" customWidth="1"/>
    <col min="23" max="23" width="17" style="232" customWidth="1"/>
    <col min="24" max="24" width="13" style="232" customWidth="1"/>
    <col min="25" max="25" width="11.109375" style="42" customWidth="1"/>
    <col min="26" max="26" width="8.44140625" style="42" customWidth="1"/>
    <col min="27" max="27" width="17.6640625" style="42" customWidth="1"/>
    <col min="28" max="28" width="11.6640625" style="232" customWidth="1"/>
    <col min="29" max="29" width="10.21875" style="232" customWidth="1"/>
    <col min="30" max="30" width="11.33203125" style="232" customWidth="1"/>
    <col min="31" max="16384" width="9" style="42"/>
  </cols>
  <sheetData>
    <row r="1" spans="1:30" ht="23.25" customHeight="1">
      <c r="A1" s="2085" t="s">
        <v>4830</v>
      </c>
      <c r="B1" s="2085"/>
      <c r="C1" s="2085"/>
      <c r="D1" s="2085"/>
      <c r="E1" s="2085"/>
      <c r="F1" s="2085"/>
      <c r="G1" s="2085"/>
      <c r="H1" s="2085"/>
      <c r="I1" s="236"/>
      <c r="J1" s="232"/>
      <c r="K1" s="232"/>
      <c r="L1" s="232"/>
      <c r="M1" s="2086" t="s">
        <v>4831</v>
      </c>
      <c r="N1" s="2087"/>
      <c r="O1" s="2087"/>
      <c r="P1" s="2087"/>
      <c r="Q1" s="2087"/>
      <c r="R1" s="2087"/>
      <c r="S1" s="2087"/>
      <c r="T1" s="2087"/>
      <c r="U1" s="2087"/>
      <c r="V1" s="2088"/>
      <c r="W1" s="2087"/>
      <c r="X1" s="2087"/>
      <c r="Y1" s="2087"/>
      <c r="Z1" s="2087"/>
      <c r="AA1" s="2087"/>
    </row>
    <row r="2" spans="1:30" s="231" customFormat="1" ht="36" customHeight="1">
      <c r="A2" s="2089" t="s">
        <v>4832</v>
      </c>
      <c r="B2" s="237" t="s">
        <v>4833</v>
      </c>
      <c r="C2" s="238" t="s">
        <v>4834</v>
      </c>
      <c r="D2" s="237" t="s">
        <v>4835</v>
      </c>
      <c r="E2" s="239" t="s">
        <v>4836</v>
      </c>
      <c r="F2" s="239" t="s">
        <v>272</v>
      </c>
      <c r="G2" s="42"/>
      <c r="H2" s="42"/>
      <c r="I2" s="240"/>
      <c r="J2" s="232"/>
      <c r="K2" s="42"/>
      <c r="L2" s="42"/>
      <c r="M2" s="241" t="s">
        <v>315</v>
      </c>
      <c r="N2" s="241" t="s">
        <v>1016</v>
      </c>
      <c r="O2" s="241" t="s">
        <v>1015</v>
      </c>
      <c r="P2" s="242" t="s">
        <v>4837</v>
      </c>
      <c r="Q2" s="241" t="s">
        <v>1012</v>
      </c>
      <c r="R2" s="241" t="s">
        <v>4838</v>
      </c>
      <c r="S2" s="241" t="s">
        <v>4839</v>
      </c>
      <c r="T2" s="243" t="s">
        <v>4840</v>
      </c>
      <c r="U2" s="244" t="s">
        <v>4841</v>
      </c>
      <c r="V2" s="245" t="s">
        <v>4842</v>
      </c>
      <c r="W2" s="245" t="s">
        <v>4843</v>
      </c>
      <c r="X2" s="246" t="s">
        <v>4844</v>
      </c>
      <c r="Y2" s="241" t="s">
        <v>4845</v>
      </c>
      <c r="Z2" s="247" t="s">
        <v>4846</v>
      </c>
      <c r="AA2" s="241" t="s">
        <v>4847</v>
      </c>
      <c r="AB2" s="248"/>
      <c r="AC2" s="248"/>
      <c r="AD2" s="248"/>
    </row>
    <row r="3" spans="1:30" s="62" customFormat="1" ht="15.6">
      <c r="A3" s="2090"/>
      <c r="B3" s="34" t="s">
        <v>76</v>
      </c>
      <c r="C3" s="249">
        <f>SUMIF(Y:Y,B3,U:U)</f>
        <v>709675</v>
      </c>
      <c r="D3" s="249">
        <f>SUMIF(Y:Y,B3,V:V)</f>
        <v>70952</v>
      </c>
      <c r="E3" s="249">
        <f>C3-D3</f>
        <v>638723</v>
      </c>
      <c r="F3" s="250">
        <v>1.6E-2</v>
      </c>
      <c r="G3" s="251"/>
      <c r="H3" s="42"/>
      <c r="I3" s="138"/>
      <c r="J3" s="42"/>
      <c r="K3" s="42"/>
      <c r="L3" s="42"/>
      <c r="M3" s="252">
        <v>1</v>
      </c>
      <c r="N3" s="252" t="s">
        <v>4848</v>
      </c>
      <c r="O3" s="252" t="s">
        <v>4849</v>
      </c>
      <c r="P3" s="253">
        <v>45928</v>
      </c>
      <c r="Q3" s="252" t="s">
        <v>4850</v>
      </c>
      <c r="R3" s="252">
        <v>1</v>
      </c>
      <c r="S3" s="252"/>
      <c r="T3" s="252">
        <v>9072</v>
      </c>
      <c r="U3" s="254">
        <v>9072</v>
      </c>
      <c r="V3" s="255">
        <v>907</v>
      </c>
      <c r="W3" s="255">
        <v>8165</v>
      </c>
      <c r="X3" s="256">
        <v>46142</v>
      </c>
      <c r="Y3" s="217" t="s">
        <v>76</v>
      </c>
      <c r="Z3" s="257">
        <v>816.3</v>
      </c>
      <c r="AA3" s="252" t="s">
        <v>4851</v>
      </c>
      <c r="AB3" s="258"/>
      <c r="AC3" s="259"/>
      <c r="AD3" s="259">
        <f>U3+V3-AB3-AC3</f>
        <v>9979</v>
      </c>
    </row>
    <row r="4" spans="1:30" s="62" customFormat="1" ht="15.6">
      <c r="A4" s="2090"/>
      <c r="B4" s="34" t="s">
        <v>514</v>
      </c>
      <c r="C4" s="249">
        <f>SUMIF(Y:Y,B4,U:U)</f>
        <v>0</v>
      </c>
      <c r="D4" s="249">
        <f>SUMIF(Y:Y,B4,V:V)</f>
        <v>0</v>
      </c>
      <c r="E4" s="249">
        <f>C4-D4</f>
        <v>0</v>
      </c>
      <c r="F4" s="250">
        <v>1.6E-2</v>
      </c>
      <c r="G4" s="251"/>
      <c r="H4" s="42"/>
      <c r="I4" s="138"/>
      <c r="J4" s="42"/>
      <c r="K4" s="42"/>
      <c r="L4" s="42"/>
      <c r="M4" s="252">
        <v>2</v>
      </c>
      <c r="N4" s="252" t="s">
        <v>4852</v>
      </c>
      <c r="O4" s="252" t="s">
        <v>4853</v>
      </c>
      <c r="P4" s="253">
        <v>46038</v>
      </c>
      <c r="Q4" s="252" t="s">
        <v>4854</v>
      </c>
      <c r="R4" s="252"/>
      <c r="S4" s="252">
        <v>1</v>
      </c>
      <c r="T4" s="252">
        <v>14005</v>
      </c>
      <c r="U4" s="254">
        <v>14005</v>
      </c>
      <c r="V4" s="255">
        <v>1400</v>
      </c>
      <c r="W4" s="255">
        <v>12605</v>
      </c>
      <c r="X4" s="256">
        <v>46157</v>
      </c>
      <c r="Y4" s="217" t="s">
        <v>76</v>
      </c>
      <c r="Z4" s="257">
        <v>1260</v>
      </c>
      <c r="AA4" s="252" t="s">
        <v>4855</v>
      </c>
      <c r="AB4" s="258"/>
      <c r="AC4" s="259"/>
      <c r="AD4" s="259">
        <f t="shared" ref="AD4:AD49" si="0">U4+V4-AB4-AC4</f>
        <v>15405</v>
      </c>
    </row>
    <row r="5" spans="1:30" s="62" customFormat="1" ht="15.6">
      <c r="A5" s="2090"/>
      <c r="B5" s="34" t="s">
        <v>75</v>
      </c>
      <c r="C5" s="249">
        <f>SUMIF(Y:Y,B5,U:U)</f>
        <v>87863</v>
      </c>
      <c r="D5" s="249">
        <f>SUMIF(Y:Y,B5,V:V)</f>
        <v>8786</v>
      </c>
      <c r="E5" s="249">
        <f t="shared" ref="E5:E6" si="1">C5-D5</f>
        <v>79077</v>
      </c>
      <c r="F5" s="250">
        <v>1.6E-2</v>
      </c>
      <c r="G5" s="251"/>
      <c r="H5" s="42"/>
      <c r="I5" s="138"/>
      <c r="J5" s="42"/>
      <c r="K5" s="42"/>
      <c r="L5" s="42"/>
      <c r="M5" s="252">
        <v>3</v>
      </c>
      <c r="N5" s="252" t="s">
        <v>4856</v>
      </c>
      <c r="O5" s="252" t="s">
        <v>4857</v>
      </c>
      <c r="P5" s="253">
        <v>46096</v>
      </c>
      <c r="Q5" s="252" t="s">
        <v>4858</v>
      </c>
      <c r="R5" s="252">
        <v>1</v>
      </c>
      <c r="S5" s="252"/>
      <c r="T5" s="252">
        <v>30243</v>
      </c>
      <c r="U5" s="254">
        <v>30243</v>
      </c>
      <c r="V5" s="255">
        <v>3024</v>
      </c>
      <c r="W5" s="255">
        <v>27219</v>
      </c>
      <c r="X5" s="256">
        <v>46155</v>
      </c>
      <c r="Y5" s="217" t="s">
        <v>76</v>
      </c>
      <c r="Z5" s="257">
        <v>2721.6</v>
      </c>
      <c r="AA5" s="252" t="s">
        <v>4859</v>
      </c>
      <c r="AB5" s="258"/>
      <c r="AC5" s="259"/>
      <c r="AD5" s="259">
        <f t="shared" si="0"/>
        <v>33267</v>
      </c>
    </row>
    <row r="6" spans="1:30" s="62" customFormat="1" ht="15.6">
      <c r="A6" s="2090"/>
      <c r="B6" s="252" t="s">
        <v>208</v>
      </c>
      <c r="C6" s="249">
        <f>SUMIF(Y:Y,B6,U:U)</f>
        <v>136368</v>
      </c>
      <c r="D6" s="249">
        <f>SUMIF(Y:Y,B6,V:V)</f>
        <v>13636.8</v>
      </c>
      <c r="E6" s="249">
        <f t="shared" si="1"/>
        <v>122731.2</v>
      </c>
      <c r="F6" s="250">
        <v>1.6E-2</v>
      </c>
      <c r="G6" s="251"/>
      <c r="H6" s="42"/>
      <c r="I6" s="138"/>
      <c r="J6" s="42"/>
      <c r="K6" s="42"/>
      <c r="L6" s="42"/>
      <c r="M6" s="252">
        <v>4</v>
      </c>
      <c r="N6" s="252" t="s">
        <v>4860</v>
      </c>
      <c r="O6" s="252" t="s">
        <v>4861</v>
      </c>
      <c r="P6" s="253">
        <v>46079</v>
      </c>
      <c r="Q6" s="252" t="s">
        <v>4862</v>
      </c>
      <c r="R6" s="252"/>
      <c r="S6" s="252">
        <v>1</v>
      </c>
      <c r="T6" s="252">
        <v>27271</v>
      </c>
      <c r="U6" s="254">
        <v>27271</v>
      </c>
      <c r="V6" s="255">
        <v>2727</v>
      </c>
      <c r="W6" s="255">
        <v>24544</v>
      </c>
      <c r="X6" s="256">
        <v>46143</v>
      </c>
      <c r="Y6" s="217" t="s">
        <v>76</v>
      </c>
      <c r="Z6" s="257">
        <v>2454.3000000000002</v>
      </c>
      <c r="AA6" s="252" t="s">
        <v>4863</v>
      </c>
      <c r="AB6" s="258"/>
      <c r="AC6" s="259"/>
      <c r="AD6" s="259">
        <f t="shared" si="0"/>
        <v>29998</v>
      </c>
    </row>
    <row r="7" spans="1:30" s="62" customFormat="1" ht="15.6">
      <c r="A7" s="2091"/>
      <c r="B7" s="260" t="s">
        <v>4864</v>
      </c>
      <c r="C7" s="261">
        <f>SUM(C3:C6)</f>
        <v>933906</v>
      </c>
      <c r="D7" s="261">
        <f>SUM(D3:D6)</f>
        <v>93374.8</v>
      </c>
      <c r="E7" s="261">
        <f>SUM(E3:E6)</f>
        <v>840531.2</v>
      </c>
      <c r="F7" s="262"/>
      <c r="G7" s="251"/>
      <c r="H7" s="42"/>
      <c r="I7" s="138"/>
      <c r="J7" s="42"/>
      <c r="K7" s="42"/>
      <c r="L7" s="42"/>
      <c r="M7" s="252">
        <v>5</v>
      </c>
      <c r="N7" s="252" t="s">
        <v>4865</v>
      </c>
      <c r="O7" s="252" t="s">
        <v>4866</v>
      </c>
      <c r="P7" s="253">
        <v>46086</v>
      </c>
      <c r="Q7" s="252" t="s">
        <v>4854</v>
      </c>
      <c r="R7" s="252"/>
      <c r="S7" s="252">
        <v>1</v>
      </c>
      <c r="T7" s="252">
        <v>9890</v>
      </c>
      <c r="U7" s="254">
        <v>9890</v>
      </c>
      <c r="V7" s="255">
        <v>989</v>
      </c>
      <c r="W7" s="255">
        <v>8901</v>
      </c>
      <c r="X7" s="256">
        <v>46162</v>
      </c>
      <c r="Y7" s="217" t="s">
        <v>76</v>
      </c>
      <c r="Z7" s="257">
        <v>890.1</v>
      </c>
      <c r="AA7" s="252" t="s">
        <v>4867</v>
      </c>
      <c r="AB7" s="258"/>
      <c r="AC7" s="259"/>
      <c r="AD7" s="259">
        <f t="shared" si="0"/>
        <v>10879</v>
      </c>
    </row>
    <row r="8" spans="1:30" s="62" customFormat="1" ht="19.5" customHeight="1">
      <c r="A8" s="263"/>
      <c r="B8" s="138" t="s">
        <v>313</v>
      </c>
      <c r="C8" s="264">
        <f>C7-SUM(U:U)</f>
        <v>0</v>
      </c>
      <c r="D8" s="264">
        <f>D7-SUM(V:V)</f>
        <v>0</v>
      </c>
      <c r="E8" s="265"/>
      <c r="F8" s="265"/>
      <c r="G8" s="138"/>
      <c r="H8" s="138"/>
      <c r="I8" s="138"/>
      <c r="J8" s="42"/>
      <c r="K8" s="42"/>
      <c r="L8" s="42"/>
      <c r="M8" s="252">
        <v>6</v>
      </c>
      <c r="N8" s="252" t="s">
        <v>4868</v>
      </c>
      <c r="O8" s="252" t="s">
        <v>4869</v>
      </c>
      <c r="P8" s="253">
        <v>46105</v>
      </c>
      <c r="Q8" s="252" t="s">
        <v>4870</v>
      </c>
      <c r="R8" s="252"/>
      <c r="S8" s="252">
        <v>1</v>
      </c>
      <c r="T8" s="252">
        <v>918</v>
      </c>
      <c r="U8" s="254">
        <v>918</v>
      </c>
      <c r="V8" s="255">
        <v>91</v>
      </c>
      <c r="W8" s="255">
        <v>827</v>
      </c>
      <c r="X8" s="256">
        <v>46141</v>
      </c>
      <c r="Y8" s="217" t="s">
        <v>76</v>
      </c>
      <c r="Z8" s="257">
        <v>81.900000000000006</v>
      </c>
      <c r="AA8" s="252" t="s">
        <v>4871</v>
      </c>
      <c r="AB8" s="258"/>
      <c r="AC8" s="259"/>
      <c r="AD8" s="259">
        <f t="shared" si="0"/>
        <v>1009</v>
      </c>
    </row>
    <row r="9" spans="1:30" s="62" customFormat="1" ht="15">
      <c r="A9" s="2092" t="s">
        <v>4872</v>
      </c>
      <c r="B9" s="266" t="s">
        <v>4873</v>
      </c>
      <c r="C9" s="266" t="s">
        <v>4874</v>
      </c>
      <c r="D9" s="266" t="s">
        <v>4875</v>
      </c>
      <c r="E9" s="252" t="s">
        <v>984</v>
      </c>
      <c r="F9" s="255" t="s">
        <v>4876</v>
      </c>
      <c r="G9" s="267"/>
      <c r="H9" s="42"/>
      <c r="J9" s="42"/>
      <c r="K9" s="42"/>
      <c r="L9" s="42"/>
      <c r="M9" s="252">
        <v>7</v>
      </c>
      <c r="N9" s="252" t="s">
        <v>4877</v>
      </c>
      <c r="O9" s="252" t="s">
        <v>4878</v>
      </c>
      <c r="P9" s="253">
        <v>46086</v>
      </c>
      <c r="Q9" s="252" t="s">
        <v>4879</v>
      </c>
      <c r="R9" s="252"/>
      <c r="S9" s="252">
        <v>1</v>
      </c>
      <c r="T9" s="252">
        <v>41969</v>
      </c>
      <c r="U9" s="254">
        <v>41969</v>
      </c>
      <c r="V9" s="255">
        <v>4196</v>
      </c>
      <c r="W9" s="255">
        <v>37773</v>
      </c>
      <c r="X9" s="256">
        <v>46143</v>
      </c>
      <c r="Y9" s="217" t="s">
        <v>76</v>
      </c>
      <c r="Z9" s="257">
        <v>3776.4</v>
      </c>
      <c r="AA9" s="252" t="s">
        <v>4863</v>
      </c>
      <c r="AB9" s="258"/>
      <c r="AC9" s="259"/>
      <c r="AD9" s="259">
        <f t="shared" si="0"/>
        <v>46165</v>
      </c>
    </row>
    <row r="10" spans="1:30" s="62" customFormat="1">
      <c r="A10" s="2093"/>
      <c r="B10" s="252" t="s">
        <v>76</v>
      </c>
      <c r="C10" s="254">
        <f>COUNTIF(协助明细!R:R,B10)</f>
        <v>69</v>
      </c>
      <c r="D10" s="254">
        <f>SUMIF(协助明细!R:R,B10,协助明细!O:O)</f>
        <v>3080</v>
      </c>
      <c r="E10" s="254">
        <f>SUMIF(协助明细!R:R,B10,协助明细!Q:Q)</f>
        <v>9075</v>
      </c>
      <c r="F10" s="254">
        <f>(E10+D10)</f>
        <v>12155</v>
      </c>
      <c r="G10" s="268"/>
      <c r="H10" s="269"/>
      <c r="J10" s="42"/>
      <c r="K10" s="42"/>
      <c r="L10" s="42"/>
      <c r="M10" s="252">
        <v>8</v>
      </c>
      <c r="N10" s="252" t="s">
        <v>4880</v>
      </c>
      <c r="O10" s="252" t="s">
        <v>4881</v>
      </c>
      <c r="P10" s="253">
        <v>46100</v>
      </c>
      <c r="Q10" s="252" t="s">
        <v>4882</v>
      </c>
      <c r="R10" s="252"/>
      <c r="S10" s="252">
        <v>1</v>
      </c>
      <c r="T10" s="252">
        <v>41500</v>
      </c>
      <c r="U10" s="254">
        <v>41500</v>
      </c>
      <c r="V10" s="255">
        <v>4150</v>
      </c>
      <c r="W10" s="255">
        <v>37350</v>
      </c>
      <c r="X10" s="256">
        <v>46157</v>
      </c>
      <c r="Y10" s="217" t="s">
        <v>76</v>
      </c>
      <c r="Z10" s="257">
        <v>3735</v>
      </c>
      <c r="AA10" s="252" t="s">
        <v>4883</v>
      </c>
      <c r="AB10" s="258"/>
      <c r="AC10" s="259"/>
      <c r="AD10" s="259">
        <f t="shared" si="0"/>
        <v>45650</v>
      </c>
    </row>
    <row r="11" spans="1:30" s="62" customFormat="1">
      <c r="A11" s="2093"/>
      <c r="B11" s="252" t="s">
        <v>514</v>
      </c>
      <c r="C11" s="254">
        <f>COUNTIF(协助明细!R:R,B11)</f>
        <v>0</v>
      </c>
      <c r="D11" s="254">
        <f>SUMIF(协助明细!R:R,B11,协助明细!O:O)</f>
        <v>0</v>
      </c>
      <c r="E11" s="254">
        <f>SUMIF(协助明细!R:R,B11,协助明细!Q:Q)</f>
        <v>0</v>
      </c>
      <c r="F11" s="254">
        <f>(E11+D11)</f>
        <v>0</v>
      </c>
      <c r="G11" s="268"/>
      <c r="H11" s="269"/>
      <c r="J11" s="42"/>
      <c r="K11" s="42"/>
      <c r="L11" s="42"/>
      <c r="M11" s="252">
        <v>9</v>
      </c>
      <c r="N11" s="252" t="s">
        <v>4884</v>
      </c>
      <c r="O11" s="252" t="s">
        <v>4885</v>
      </c>
      <c r="P11" s="253">
        <v>46124</v>
      </c>
      <c r="Q11" s="252" t="s">
        <v>4854</v>
      </c>
      <c r="R11" s="252"/>
      <c r="S11" s="252">
        <v>1</v>
      </c>
      <c r="T11" s="252">
        <v>33378</v>
      </c>
      <c r="U11" s="254">
        <v>33378</v>
      </c>
      <c r="V11" s="255">
        <v>3337</v>
      </c>
      <c r="W11" s="255">
        <v>30041</v>
      </c>
      <c r="X11" s="256">
        <v>46162</v>
      </c>
      <c r="Y11" s="217" t="s">
        <v>76</v>
      </c>
      <c r="Z11" s="257">
        <v>3003.3</v>
      </c>
      <c r="AA11" s="252" t="s">
        <v>4886</v>
      </c>
      <c r="AB11" s="258"/>
      <c r="AC11" s="259"/>
      <c r="AD11" s="259">
        <f t="shared" si="0"/>
        <v>36715</v>
      </c>
    </row>
    <row r="12" spans="1:30" s="62" customFormat="1">
      <c r="A12" s="2093"/>
      <c r="B12" s="252" t="s">
        <v>75</v>
      </c>
      <c r="C12" s="254">
        <f>COUNTIF(协助明细!R:R,B12)</f>
        <v>69</v>
      </c>
      <c r="D12" s="254">
        <f>SUMIF(协助明细!R:R,B12,协助明细!O:O)</f>
        <v>3080</v>
      </c>
      <c r="E12" s="254">
        <f>SUMIF(协助明细!R:R,B12,协助明细!Q:Q)</f>
        <v>9075</v>
      </c>
      <c r="F12" s="254">
        <f>(E12+D12)</f>
        <v>12155</v>
      </c>
      <c r="G12" s="268"/>
      <c r="H12" s="269"/>
      <c r="J12" s="42"/>
      <c r="K12" s="73"/>
      <c r="L12" s="73"/>
      <c r="M12" s="252">
        <v>10</v>
      </c>
      <c r="N12" s="252" t="s">
        <v>4887</v>
      </c>
      <c r="O12" s="252" t="s">
        <v>4888</v>
      </c>
      <c r="P12" s="253">
        <v>46113</v>
      </c>
      <c r="Q12" s="252" t="s">
        <v>4889</v>
      </c>
      <c r="R12" s="252"/>
      <c r="S12" s="252">
        <v>1</v>
      </c>
      <c r="T12" s="252">
        <v>30418</v>
      </c>
      <c r="U12" s="254">
        <v>30418</v>
      </c>
      <c r="V12" s="255">
        <v>3041</v>
      </c>
      <c r="W12" s="255">
        <v>27377</v>
      </c>
      <c r="X12" s="256">
        <v>46143</v>
      </c>
      <c r="Y12" s="217" t="s">
        <v>76</v>
      </c>
      <c r="Z12" s="257">
        <v>2736.9</v>
      </c>
      <c r="AA12" s="252" t="s">
        <v>4890</v>
      </c>
      <c r="AB12" s="258"/>
      <c r="AC12" s="259"/>
      <c r="AD12" s="259">
        <f t="shared" si="0"/>
        <v>33459</v>
      </c>
    </row>
    <row r="13" spans="1:30" s="62" customFormat="1">
      <c r="A13" s="2093"/>
      <c r="B13" s="252" t="s">
        <v>208</v>
      </c>
      <c r="C13" s="254">
        <f>COUNTIF(协助明细!R:R,B13)</f>
        <v>47</v>
      </c>
      <c r="D13" s="254">
        <f>SUMIF(协助明细!R:R,B13,协助明细!O:O)</f>
        <v>2100</v>
      </c>
      <c r="E13" s="254">
        <f>SUMIF(协助明细!R:R,B13,协助明细!Q:Q)</f>
        <v>5850</v>
      </c>
      <c r="F13" s="254">
        <f>(E13+D13)</f>
        <v>7950</v>
      </c>
      <c r="G13" s="268"/>
      <c r="H13" s="269"/>
      <c r="J13" s="73"/>
      <c r="K13" s="270"/>
      <c r="L13" s="270"/>
      <c r="M13" s="252">
        <v>11</v>
      </c>
      <c r="N13" s="252" t="s">
        <v>4891</v>
      </c>
      <c r="O13" s="252" t="s">
        <v>4892</v>
      </c>
      <c r="P13" s="253">
        <v>46123</v>
      </c>
      <c r="Q13" s="252" t="s">
        <v>4862</v>
      </c>
      <c r="R13" s="252"/>
      <c r="S13" s="252">
        <v>1</v>
      </c>
      <c r="T13" s="252">
        <v>33190</v>
      </c>
      <c r="U13" s="254">
        <v>33190</v>
      </c>
      <c r="V13" s="255">
        <v>3319</v>
      </c>
      <c r="W13" s="255">
        <v>29871</v>
      </c>
      <c r="X13" s="256">
        <v>46143</v>
      </c>
      <c r="Y13" s="217" t="s">
        <v>76</v>
      </c>
      <c r="Z13" s="257">
        <v>2987.1</v>
      </c>
      <c r="AA13" s="252" t="s">
        <v>4893</v>
      </c>
      <c r="AB13" s="258"/>
      <c r="AC13" s="259"/>
      <c r="AD13" s="259">
        <f t="shared" si="0"/>
        <v>36509</v>
      </c>
    </row>
    <row r="14" spans="1:30" s="62" customFormat="1">
      <c r="A14" s="2093"/>
      <c r="B14" s="252" t="s">
        <v>4864</v>
      </c>
      <c r="C14" s="254">
        <f>SUM(C10:C13)</f>
        <v>185</v>
      </c>
      <c r="D14" s="254">
        <f>SUM(D10:D13)</f>
        <v>8260</v>
      </c>
      <c r="E14" s="254">
        <f>SUM(E10:E13)</f>
        <v>24000</v>
      </c>
      <c r="F14" s="254">
        <f>SUM(F10:F13)</f>
        <v>32260</v>
      </c>
      <c r="G14" s="268"/>
      <c r="H14" s="269"/>
      <c r="J14" s="270"/>
      <c r="K14" s="73"/>
      <c r="L14" s="73"/>
      <c r="M14" s="252">
        <v>12</v>
      </c>
      <c r="N14" s="252" t="s">
        <v>4894</v>
      </c>
      <c r="O14" s="252" t="s">
        <v>4895</v>
      </c>
      <c r="P14" s="253">
        <v>46126</v>
      </c>
      <c r="Q14" s="252" t="s">
        <v>4858</v>
      </c>
      <c r="R14" s="252">
        <v>1</v>
      </c>
      <c r="S14" s="252"/>
      <c r="T14" s="252">
        <v>21100</v>
      </c>
      <c r="U14" s="254">
        <v>21100</v>
      </c>
      <c r="V14" s="255">
        <v>2110</v>
      </c>
      <c r="W14" s="255">
        <v>18990</v>
      </c>
      <c r="X14" s="256">
        <v>46143</v>
      </c>
      <c r="Y14" s="217" t="s">
        <v>76</v>
      </c>
      <c r="Z14" s="257">
        <v>1899</v>
      </c>
      <c r="AA14" s="252" t="s">
        <v>4896</v>
      </c>
      <c r="AB14" s="258"/>
      <c r="AC14" s="259"/>
      <c r="AD14" s="259">
        <f t="shared" si="0"/>
        <v>23210</v>
      </c>
    </row>
    <row r="15" spans="1:30" s="62" customFormat="1" ht="15.6">
      <c r="A15" s="42"/>
      <c r="B15" s="42"/>
      <c r="C15" s="42"/>
      <c r="E15" s="42"/>
      <c r="F15" s="138"/>
      <c r="G15" s="138"/>
      <c r="H15" s="42"/>
      <c r="I15" s="42"/>
      <c r="J15" s="42"/>
      <c r="K15" s="42"/>
      <c r="L15" s="42"/>
      <c r="M15" s="252">
        <v>13</v>
      </c>
      <c r="N15" s="252" t="s">
        <v>4897</v>
      </c>
      <c r="O15" s="252" t="s">
        <v>4898</v>
      </c>
      <c r="P15" s="253">
        <v>46126</v>
      </c>
      <c r="Q15" s="252" t="s">
        <v>4899</v>
      </c>
      <c r="R15" s="252"/>
      <c r="S15" s="252">
        <v>1</v>
      </c>
      <c r="T15" s="252">
        <v>6890</v>
      </c>
      <c r="U15" s="254">
        <v>6890</v>
      </c>
      <c r="V15" s="255">
        <v>689</v>
      </c>
      <c r="W15" s="255">
        <v>6201</v>
      </c>
      <c r="X15" s="256">
        <v>46162</v>
      </c>
      <c r="Y15" s="217" t="s">
        <v>76</v>
      </c>
      <c r="Z15" s="257">
        <v>620.1</v>
      </c>
      <c r="AA15" s="252" t="s">
        <v>4900</v>
      </c>
      <c r="AB15" s="258"/>
      <c r="AC15" s="259"/>
      <c r="AD15" s="259">
        <f t="shared" si="0"/>
        <v>7579</v>
      </c>
    </row>
    <row r="16" spans="1:30" s="62" customFormat="1" ht="15.6">
      <c r="B16" s="42"/>
      <c r="C16" s="271" t="s">
        <v>4901</v>
      </c>
      <c r="D16" s="272">
        <f>D14-协助明细!C8</f>
        <v>0</v>
      </c>
      <c r="E16" s="272">
        <f>E14-协助明细!D8</f>
        <v>0</v>
      </c>
      <c r="F16" s="138"/>
      <c r="G16" s="138"/>
      <c r="H16" s="42"/>
      <c r="I16" s="42"/>
      <c r="J16" s="42"/>
      <c r="K16" s="42"/>
      <c r="L16" s="42"/>
      <c r="M16" s="252">
        <v>14</v>
      </c>
      <c r="N16" s="252" t="s">
        <v>4902</v>
      </c>
      <c r="O16" s="252" t="s">
        <v>4903</v>
      </c>
      <c r="P16" s="253">
        <v>46134</v>
      </c>
      <c r="Q16" s="252" t="s">
        <v>4904</v>
      </c>
      <c r="R16" s="252">
        <v>1</v>
      </c>
      <c r="S16" s="252"/>
      <c r="T16" s="252">
        <v>75441</v>
      </c>
      <c r="U16" s="254">
        <v>75441</v>
      </c>
      <c r="V16" s="255">
        <v>7544</v>
      </c>
      <c r="W16" s="255">
        <v>67897</v>
      </c>
      <c r="X16" s="256">
        <v>46164</v>
      </c>
      <c r="Y16" s="217" t="s">
        <v>76</v>
      </c>
      <c r="Z16" s="257">
        <v>6789.6</v>
      </c>
      <c r="AA16" s="252" t="s">
        <v>4905</v>
      </c>
      <c r="AB16" s="258"/>
      <c r="AC16" s="259"/>
      <c r="AD16" s="259">
        <f t="shared" si="0"/>
        <v>82985</v>
      </c>
    </row>
    <row r="17" spans="1:30" s="62" customFormat="1">
      <c r="B17" s="30"/>
      <c r="C17" s="30"/>
      <c r="D17" s="30"/>
      <c r="E17" s="30"/>
      <c r="F17" s="42"/>
      <c r="G17" s="42"/>
      <c r="K17" s="42"/>
      <c r="L17" s="42"/>
      <c r="M17" s="252">
        <v>15</v>
      </c>
      <c r="N17" s="252" t="s">
        <v>4906</v>
      </c>
      <c r="O17" s="252" t="s">
        <v>4907</v>
      </c>
      <c r="P17" s="253">
        <v>46132</v>
      </c>
      <c r="Q17" s="252" t="s">
        <v>4854</v>
      </c>
      <c r="R17" s="252"/>
      <c r="S17" s="252">
        <v>1</v>
      </c>
      <c r="T17" s="252">
        <v>17256</v>
      </c>
      <c r="U17" s="254">
        <v>17256</v>
      </c>
      <c r="V17" s="255">
        <v>1725</v>
      </c>
      <c r="W17" s="255">
        <v>15531</v>
      </c>
      <c r="X17" s="256">
        <v>46153</v>
      </c>
      <c r="Y17" s="217" t="s">
        <v>76</v>
      </c>
      <c r="Z17" s="257">
        <v>1552.5</v>
      </c>
      <c r="AA17" s="252" t="s">
        <v>4896</v>
      </c>
      <c r="AB17" s="258"/>
      <c r="AC17" s="259"/>
      <c r="AD17" s="259">
        <f t="shared" si="0"/>
        <v>18981</v>
      </c>
    </row>
    <row r="18" spans="1:30" s="62" customFormat="1">
      <c r="A18" s="271" t="s">
        <v>4901</v>
      </c>
      <c r="B18" s="273">
        <f>SUM(B20:B23)-E7</f>
        <v>0</v>
      </c>
      <c r="C18" s="30"/>
      <c r="D18" s="42"/>
      <c r="E18" s="42"/>
      <c r="F18" s="42"/>
      <c r="G18" s="42"/>
      <c r="K18" s="42"/>
      <c r="L18" s="42"/>
      <c r="M18" s="252">
        <v>18</v>
      </c>
      <c r="N18" s="252" t="s">
        <v>4908</v>
      </c>
      <c r="O18" s="252" t="s">
        <v>4909</v>
      </c>
      <c r="P18" s="253">
        <v>46137</v>
      </c>
      <c r="Q18" s="252" t="s">
        <v>4858</v>
      </c>
      <c r="R18" s="252">
        <v>1</v>
      </c>
      <c r="S18" s="252"/>
      <c r="T18" s="252">
        <v>17200</v>
      </c>
      <c r="U18" s="254">
        <v>17200</v>
      </c>
      <c r="V18" s="255">
        <v>1720</v>
      </c>
      <c r="W18" s="255">
        <v>15480</v>
      </c>
      <c r="X18" s="256">
        <v>46169</v>
      </c>
      <c r="Y18" s="217" t="s">
        <v>76</v>
      </c>
      <c r="Z18" s="257">
        <v>1548</v>
      </c>
      <c r="AA18" s="252" t="s">
        <v>4910</v>
      </c>
      <c r="AB18" s="258"/>
      <c r="AC18" s="259"/>
      <c r="AD18" s="259">
        <f t="shared" si="0"/>
        <v>18920</v>
      </c>
    </row>
    <row r="19" spans="1:30" s="62" customFormat="1">
      <c r="A19" s="274" t="s">
        <v>33</v>
      </c>
      <c r="B19" s="274" t="s">
        <v>4911</v>
      </c>
      <c r="C19" s="274" t="s">
        <v>4912</v>
      </c>
      <c r="D19" s="274" t="s">
        <v>4875</v>
      </c>
      <c r="E19" s="274" t="s">
        <v>984</v>
      </c>
      <c r="F19" s="274" t="s">
        <v>311</v>
      </c>
      <c r="G19" s="274" t="s">
        <v>9</v>
      </c>
      <c r="H19" s="274" t="s">
        <v>4913</v>
      </c>
      <c r="I19" s="275" t="s">
        <v>4914</v>
      </c>
      <c r="J19" s="276" t="s">
        <v>4915</v>
      </c>
      <c r="K19" s="42"/>
      <c r="L19" s="42"/>
      <c r="M19" s="252">
        <v>19</v>
      </c>
      <c r="N19" s="252" t="s">
        <v>4916</v>
      </c>
      <c r="O19" s="252" t="s">
        <v>4917</v>
      </c>
      <c r="P19" s="253">
        <v>46139</v>
      </c>
      <c r="Q19" s="252" t="s">
        <v>4858</v>
      </c>
      <c r="R19" s="252">
        <v>1</v>
      </c>
      <c r="S19" s="252"/>
      <c r="T19" s="252">
        <v>8800</v>
      </c>
      <c r="U19" s="254">
        <v>8800</v>
      </c>
      <c r="V19" s="255">
        <v>880</v>
      </c>
      <c r="W19" s="255">
        <v>7920</v>
      </c>
      <c r="X19" s="256">
        <v>46150</v>
      </c>
      <c r="Y19" s="217" t="s">
        <v>76</v>
      </c>
      <c r="Z19" s="257">
        <v>792</v>
      </c>
      <c r="AA19" s="252" t="s">
        <v>4918</v>
      </c>
      <c r="AB19" s="258"/>
      <c r="AC19" s="259"/>
      <c r="AD19" s="259">
        <f t="shared" si="0"/>
        <v>9680</v>
      </c>
    </row>
    <row r="20" spans="1:30" s="62" customFormat="1">
      <c r="A20" s="34" t="s">
        <v>76</v>
      </c>
      <c r="B20" s="35">
        <f>E3</f>
        <v>638723</v>
      </c>
      <c r="C20" s="35">
        <f>B20*F3-C26*D26</f>
        <v>10219.567999999999</v>
      </c>
      <c r="D20" s="35">
        <f>D10</f>
        <v>3080</v>
      </c>
      <c r="E20" s="35">
        <f>E10</f>
        <v>9075</v>
      </c>
      <c r="F20" s="35">
        <f>SUM(C20:E20)</f>
        <v>22374.567999999999</v>
      </c>
      <c r="G20" s="35"/>
      <c r="H20" s="35">
        <f>VLOOKUP(A20,'05基本'!$C$1:$P$1018,14,0)</f>
        <v>900</v>
      </c>
      <c r="I20" s="277">
        <f>SUM(F20:F20)*0.95-H20</f>
        <v>20355.839599999999</v>
      </c>
      <c r="J20" s="278">
        <f>SUM(F20:F20)*0.05</f>
        <v>1118.7284</v>
      </c>
      <c r="K20" s="42"/>
      <c r="L20" s="42"/>
      <c r="M20" s="252">
        <v>21</v>
      </c>
      <c r="N20" s="252" t="s">
        <v>4919</v>
      </c>
      <c r="O20" s="252" t="s">
        <v>4920</v>
      </c>
      <c r="P20" s="253">
        <v>46140</v>
      </c>
      <c r="Q20" s="252" t="s">
        <v>4858</v>
      </c>
      <c r="R20" s="252">
        <v>1</v>
      </c>
      <c r="S20" s="252"/>
      <c r="T20" s="252">
        <v>9000</v>
      </c>
      <c r="U20" s="254">
        <v>9000</v>
      </c>
      <c r="V20" s="255">
        <v>900</v>
      </c>
      <c r="W20" s="255">
        <v>8100</v>
      </c>
      <c r="X20" s="256">
        <v>46151</v>
      </c>
      <c r="Y20" s="217" t="s">
        <v>76</v>
      </c>
      <c r="Z20" s="257">
        <v>810</v>
      </c>
      <c r="AA20" s="252" t="s">
        <v>4863</v>
      </c>
      <c r="AB20" s="258"/>
      <c r="AC20" s="259"/>
      <c r="AD20" s="259">
        <f t="shared" si="0"/>
        <v>9900</v>
      </c>
    </row>
    <row r="21" spans="1:30" s="62" customFormat="1">
      <c r="A21" s="34"/>
      <c r="B21" s="35"/>
      <c r="C21" s="35">
        <f>B21*F4-C27*D27</f>
        <v>0</v>
      </c>
      <c r="D21" s="35">
        <f t="shared" ref="D21:E22" si="2">D11</f>
        <v>0</v>
      </c>
      <c r="E21" s="35">
        <f t="shared" si="2"/>
        <v>0</v>
      </c>
      <c r="F21" s="35">
        <f>SUM(C21:E21)</f>
        <v>0</v>
      </c>
      <c r="G21" s="35"/>
      <c r="H21" s="35"/>
      <c r="I21" s="277">
        <f>SUM(F21:F21)*0.95-H21+G21</f>
        <v>0</v>
      </c>
      <c r="J21" s="278">
        <f>SUM(F21:F21)*0.05</f>
        <v>0</v>
      </c>
      <c r="K21" s="42"/>
      <c r="L21" s="42"/>
      <c r="M21" s="252">
        <v>22</v>
      </c>
      <c r="N21" s="252" t="s">
        <v>4921</v>
      </c>
      <c r="O21" s="252" t="s">
        <v>4922</v>
      </c>
      <c r="P21" s="253">
        <v>46148</v>
      </c>
      <c r="Q21" s="252" t="s">
        <v>4854</v>
      </c>
      <c r="R21" s="252"/>
      <c r="S21" s="252">
        <v>1</v>
      </c>
      <c r="T21" s="252">
        <v>1027</v>
      </c>
      <c r="U21" s="254">
        <v>1027</v>
      </c>
      <c r="V21" s="255">
        <v>102</v>
      </c>
      <c r="W21" s="255">
        <v>925</v>
      </c>
      <c r="X21" s="256">
        <v>46150</v>
      </c>
      <c r="Y21" s="217" t="s">
        <v>76</v>
      </c>
      <c r="Z21" s="257">
        <v>91.8</v>
      </c>
      <c r="AA21" s="252" t="s">
        <v>4923</v>
      </c>
      <c r="AB21" s="258"/>
      <c r="AC21" s="259"/>
      <c r="AD21" s="259">
        <f t="shared" si="0"/>
        <v>1129</v>
      </c>
    </row>
    <row r="22" spans="1:30" s="62" customFormat="1">
      <c r="A22" s="252" t="s">
        <v>75</v>
      </c>
      <c r="B22" s="35">
        <f>E5</f>
        <v>79077</v>
      </c>
      <c r="C22" s="35">
        <f>B22*F5-C28*D28</f>
        <v>1265.232</v>
      </c>
      <c r="D22" s="35">
        <f>D12</f>
        <v>3080</v>
      </c>
      <c r="E22" s="35">
        <f t="shared" si="2"/>
        <v>9075</v>
      </c>
      <c r="F22" s="35">
        <f>SUM(C22:E22)</f>
        <v>13420.232</v>
      </c>
      <c r="G22" s="35"/>
      <c r="H22" s="35">
        <f>VLOOKUP(A22,'05基本'!$C$1:$P$1018,14,0)</f>
        <v>825</v>
      </c>
      <c r="I22" s="277">
        <f>SUM(F22:F22)*0.95-H22</f>
        <v>11924.2204</v>
      </c>
      <c r="J22" s="278">
        <f>SUM(F22:F22)*0.05</f>
        <v>671.01160000000004</v>
      </c>
      <c r="K22" s="42"/>
      <c r="L22" s="42"/>
      <c r="M22" s="252">
        <v>24</v>
      </c>
      <c r="N22" s="252" t="s">
        <v>4924</v>
      </c>
      <c r="O22" s="252" t="s">
        <v>4925</v>
      </c>
      <c r="P22" s="253">
        <v>46147</v>
      </c>
      <c r="Q22" s="252" t="s">
        <v>4926</v>
      </c>
      <c r="R22" s="252"/>
      <c r="S22" s="252">
        <v>1</v>
      </c>
      <c r="T22" s="252">
        <v>14874</v>
      </c>
      <c r="U22" s="254">
        <v>14874</v>
      </c>
      <c r="V22" s="255">
        <v>1487</v>
      </c>
      <c r="W22" s="255">
        <v>13387</v>
      </c>
      <c r="X22" s="256">
        <v>46161</v>
      </c>
      <c r="Y22" s="217" t="s">
        <v>76</v>
      </c>
      <c r="Z22" s="257">
        <v>1338.3</v>
      </c>
      <c r="AA22" s="252" t="s">
        <v>4927</v>
      </c>
      <c r="AB22" s="258"/>
      <c r="AC22" s="259"/>
      <c r="AD22" s="259">
        <f t="shared" si="0"/>
        <v>16361</v>
      </c>
    </row>
    <row r="23" spans="1:30" s="62" customFormat="1">
      <c r="A23" s="252" t="s">
        <v>208</v>
      </c>
      <c r="B23" s="35">
        <f>E6</f>
        <v>122731.2</v>
      </c>
      <c r="C23" s="35">
        <f>B23*F6-C29*D29</f>
        <v>1963.6992</v>
      </c>
      <c r="D23" s="35">
        <f>D13</f>
        <v>2100</v>
      </c>
      <c r="E23" s="35">
        <f>E13</f>
        <v>5850</v>
      </c>
      <c r="F23" s="35">
        <f>SUM(C23:E23)</f>
        <v>9913.6991999999991</v>
      </c>
      <c r="G23" s="35"/>
      <c r="H23" s="35">
        <f>VLOOKUP(A23,'05基本'!$C$1:$P$1018,14,0)</f>
        <v>900</v>
      </c>
      <c r="I23" s="277">
        <f>SUM(F23:F23)*0.95-H23</f>
        <v>8518.0142400000004</v>
      </c>
      <c r="J23" s="278">
        <f>SUM(F23:F23)*0.05</f>
        <v>495.68495999999999</v>
      </c>
      <c r="K23" s="42"/>
      <c r="L23" s="42"/>
      <c r="M23" s="252">
        <v>25</v>
      </c>
      <c r="N23" s="252" t="s">
        <v>4928</v>
      </c>
      <c r="O23" s="252" t="s">
        <v>4929</v>
      </c>
      <c r="P23" s="253">
        <v>46144</v>
      </c>
      <c r="Q23" s="252" t="s">
        <v>4930</v>
      </c>
      <c r="R23" s="252">
        <v>1</v>
      </c>
      <c r="S23" s="252"/>
      <c r="T23" s="252">
        <v>12680</v>
      </c>
      <c r="U23" s="254">
        <v>12680</v>
      </c>
      <c r="V23" s="255">
        <v>1268</v>
      </c>
      <c r="W23" s="255">
        <v>11412</v>
      </c>
      <c r="X23" s="256">
        <v>46157</v>
      </c>
      <c r="Y23" s="217" t="s">
        <v>76</v>
      </c>
      <c r="Z23" s="257">
        <v>1141.2</v>
      </c>
      <c r="AA23" s="252" t="s">
        <v>4863</v>
      </c>
      <c r="AB23" s="258"/>
      <c r="AC23" s="259"/>
      <c r="AD23" s="259">
        <f t="shared" si="0"/>
        <v>13948</v>
      </c>
    </row>
    <row r="24" spans="1:30" s="62" customFormat="1">
      <c r="A24" s="42"/>
      <c r="B24" s="42"/>
      <c r="C24" s="42"/>
      <c r="D24" s="42"/>
      <c r="E24" s="42"/>
      <c r="F24" s="42"/>
      <c r="G24" s="42"/>
      <c r="H24" s="42"/>
      <c r="I24" s="42"/>
      <c r="J24" s="42"/>
      <c r="K24" s="232"/>
      <c r="L24" s="232"/>
      <c r="M24" s="252">
        <v>26</v>
      </c>
      <c r="N24" s="252" t="s">
        <v>4931</v>
      </c>
      <c r="O24" s="252" t="s">
        <v>4932</v>
      </c>
      <c r="P24" s="253">
        <v>46145</v>
      </c>
      <c r="Q24" s="252" t="s">
        <v>4854</v>
      </c>
      <c r="R24" s="252"/>
      <c r="S24" s="252">
        <v>1</v>
      </c>
      <c r="T24" s="252">
        <v>10397</v>
      </c>
      <c r="U24" s="254">
        <v>10397</v>
      </c>
      <c r="V24" s="255">
        <v>1039</v>
      </c>
      <c r="W24" s="255">
        <v>9358</v>
      </c>
      <c r="X24" s="256">
        <v>46164</v>
      </c>
      <c r="Y24" s="217" t="s">
        <v>76</v>
      </c>
      <c r="Z24" s="257">
        <v>935.1</v>
      </c>
      <c r="AA24" s="252" t="s">
        <v>4905</v>
      </c>
      <c r="AB24" s="258"/>
      <c r="AC24" s="259"/>
      <c r="AD24" s="259">
        <f t="shared" si="0"/>
        <v>11436</v>
      </c>
    </row>
    <row r="25" spans="1:30" s="62" customFormat="1">
      <c r="A25" s="279"/>
      <c r="B25" s="252" t="s">
        <v>4833</v>
      </c>
      <c r="C25" s="252" t="s">
        <v>4933</v>
      </c>
      <c r="D25" s="252" t="s">
        <v>272</v>
      </c>
      <c r="E25" s="42"/>
      <c r="F25" s="42"/>
      <c r="G25" s="42"/>
      <c r="H25" s="42"/>
      <c r="I25" s="42"/>
      <c r="J25" s="42"/>
      <c r="K25" s="42"/>
      <c r="L25" s="42"/>
      <c r="M25" s="252">
        <v>27</v>
      </c>
      <c r="N25" s="252" t="s">
        <v>4934</v>
      </c>
      <c r="O25" s="252" t="s">
        <v>4935</v>
      </c>
      <c r="P25" s="253">
        <v>46145</v>
      </c>
      <c r="Q25" s="252" t="s">
        <v>4850</v>
      </c>
      <c r="R25" s="252">
        <v>1</v>
      </c>
      <c r="S25" s="252"/>
      <c r="T25" s="252">
        <v>2083</v>
      </c>
      <c r="U25" s="254">
        <v>2083</v>
      </c>
      <c r="V25" s="255">
        <v>208</v>
      </c>
      <c r="W25" s="255">
        <v>1875</v>
      </c>
      <c r="X25" s="256">
        <v>46149</v>
      </c>
      <c r="Y25" s="217" t="s">
        <v>76</v>
      </c>
      <c r="Z25" s="257">
        <v>187.2</v>
      </c>
      <c r="AA25" s="252" t="s">
        <v>4936</v>
      </c>
      <c r="AB25" s="258"/>
      <c r="AC25" s="259"/>
      <c r="AD25" s="259">
        <f t="shared" si="0"/>
        <v>2291</v>
      </c>
    </row>
    <row r="26" spans="1:30" s="62" customFormat="1">
      <c r="A26" s="280"/>
      <c r="B26" s="217" t="s">
        <v>76</v>
      </c>
      <c r="C26" s="281">
        <v>0</v>
      </c>
      <c r="D26" s="282">
        <v>1.0999999999999999E-2</v>
      </c>
      <c r="E26" s="42"/>
      <c r="F26" s="42"/>
      <c r="G26" s="42"/>
      <c r="H26" s="42"/>
      <c r="I26" s="42"/>
      <c r="J26" s="42"/>
      <c r="K26" s="42"/>
      <c r="L26" s="42"/>
      <c r="M26" s="252">
        <v>28</v>
      </c>
      <c r="N26" s="252" t="s">
        <v>4937</v>
      </c>
      <c r="O26" s="252" t="s">
        <v>4938</v>
      </c>
      <c r="P26" s="253">
        <v>46149</v>
      </c>
      <c r="Q26" s="252" t="s">
        <v>4858</v>
      </c>
      <c r="R26" s="252">
        <v>1</v>
      </c>
      <c r="S26" s="252"/>
      <c r="T26" s="252">
        <v>3887</v>
      </c>
      <c r="U26" s="254">
        <v>3887</v>
      </c>
      <c r="V26" s="255">
        <v>388</v>
      </c>
      <c r="W26" s="255">
        <v>3499</v>
      </c>
      <c r="X26" s="256">
        <v>46154</v>
      </c>
      <c r="Y26" s="217" t="s">
        <v>76</v>
      </c>
      <c r="Z26" s="257">
        <v>349.2</v>
      </c>
      <c r="AA26" s="252" t="s">
        <v>4939</v>
      </c>
      <c r="AB26" s="258"/>
      <c r="AC26" s="259"/>
      <c r="AD26" s="259">
        <f t="shared" si="0"/>
        <v>4275</v>
      </c>
    </row>
    <row r="27" spans="1:30" s="62" customFormat="1">
      <c r="A27" s="280"/>
      <c r="B27" s="217" t="s">
        <v>514</v>
      </c>
      <c r="C27" s="281">
        <v>0</v>
      </c>
      <c r="D27" s="282">
        <v>1.0999999999999999E-2</v>
      </c>
      <c r="E27" s="42"/>
      <c r="F27" s="42"/>
      <c r="G27" s="42"/>
      <c r="H27" s="42"/>
      <c r="I27" s="42"/>
      <c r="J27" s="42"/>
      <c r="K27" s="42"/>
      <c r="L27" s="42"/>
      <c r="M27" s="252">
        <v>29</v>
      </c>
      <c r="N27" s="252" t="s">
        <v>4940</v>
      </c>
      <c r="O27" s="252" t="s">
        <v>4941</v>
      </c>
      <c r="P27" s="253">
        <v>46148</v>
      </c>
      <c r="Q27" s="252" t="s">
        <v>4854</v>
      </c>
      <c r="R27" s="252"/>
      <c r="S27" s="252">
        <v>1</v>
      </c>
      <c r="T27" s="252">
        <v>1732</v>
      </c>
      <c r="U27" s="254">
        <v>1732</v>
      </c>
      <c r="V27" s="255">
        <v>173</v>
      </c>
      <c r="W27" s="255">
        <v>1559</v>
      </c>
      <c r="X27" s="256">
        <v>46151</v>
      </c>
      <c r="Y27" s="217" t="s">
        <v>76</v>
      </c>
      <c r="Z27" s="257">
        <v>155.69999999999999</v>
      </c>
      <c r="AA27" s="252" t="s">
        <v>4893</v>
      </c>
      <c r="AB27" s="258"/>
      <c r="AC27" s="259"/>
      <c r="AD27" s="259">
        <f t="shared" si="0"/>
        <v>1905</v>
      </c>
    </row>
    <row r="28" spans="1:30" s="62" customFormat="1">
      <c r="A28" s="42"/>
      <c r="B28" s="252" t="s">
        <v>75</v>
      </c>
      <c r="C28" s="281">
        <v>0</v>
      </c>
      <c r="D28" s="282">
        <v>1.0999999999999999E-2</v>
      </c>
      <c r="E28" s="42"/>
      <c r="F28" s="42"/>
      <c r="G28" s="42"/>
      <c r="H28" s="42"/>
      <c r="I28" s="42"/>
      <c r="J28" s="42"/>
      <c r="K28" s="42"/>
      <c r="L28" s="42"/>
      <c r="M28" s="252">
        <v>30</v>
      </c>
      <c r="N28" s="252" t="s">
        <v>4942</v>
      </c>
      <c r="O28" s="252" t="s">
        <v>4943</v>
      </c>
      <c r="P28" s="253">
        <v>46149</v>
      </c>
      <c r="Q28" s="252" t="s">
        <v>4850</v>
      </c>
      <c r="R28" s="252">
        <v>1</v>
      </c>
      <c r="S28" s="252"/>
      <c r="T28" s="252">
        <v>12095</v>
      </c>
      <c r="U28" s="254">
        <v>12095</v>
      </c>
      <c r="V28" s="255">
        <v>1209</v>
      </c>
      <c r="W28" s="255">
        <v>10886</v>
      </c>
      <c r="X28" s="256">
        <v>46154</v>
      </c>
      <c r="Y28" s="217" t="s">
        <v>76</v>
      </c>
      <c r="Z28" s="257">
        <v>1088.0999999999999</v>
      </c>
      <c r="AA28" s="252" t="s">
        <v>4905</v>
      </c>
      <c r="AB28" s="258"/>
      <c r="AC28" s="259"/>
      <c r="AD28" s="259">
        <f t="shared" si="0"/>
        <v>13304</v>
      </c>
    </row>
    <row r="29" spans="1:30" s="62" customFormat="1">
      <c r="A29" s="42"/>
      <c r="B29" s="42"/>
      <c r="C29" s="42"/>
      <c r="D29" s="42"/>
      <c r="E29" s="42"/>
      <c r="F29" s="42"/>
      <c r="G29" s="42"/>
      <c r="H29" s="42"/>
      <c r="I29" s="42"/>
      <c r="J29" s="42"/>
      <c r="K29" s="42"/>
      <c r="L29" s="42"/>
      <c r="M29" s="252">
        <v>31</v>
      </c>
      <c r="N29" s="252" t="s">
        <v>4944</v>
      </c>
      <c r="O29" s="252" t="s">
        <v>4945</v>
      </c>
      <c r="P29" s="253">
        <v>46149</v>
      </c>
      <c r="Q29" s="252" t="s">
        <v>4946</v>
      </c>
      <c r="R29" s="252"/>
      <c r="S29" s="252">
        <v>1</v>
      </c>
      <c r="T29" s="252">
        <v>6464</v>
      </c>
      <c r="U29" s="254">
        <v>6464</v>
      </c>
      <c r="V29" s="255">
        <v>646</v>
      </c>
      <c r="W29" s="255">
        <v>5818</v>
      </c>
      <c r="X29" s="256">
        <v>46154</v>
      </c>
      <c r="Y29" s="217" t="s">
        <v>76</v>
      </c>
      <c r="Z29" s="257">
        <v>581.4</v>
      </c>
      <c r="AA29" s="252" t="s">
        <v>4863</v>
      </c>
      <c r="AB29" s="258"/>
      <c r="AC29" s="259"/>
      <c r="AD29" s="259">
        <f t="shared" si="0"/>
        <v>7110</v>
      </c>
    </row>
    <row r="30" spans="1:30" s="62" customFormat="1">
      <c r="A30" s="42"/>
      <c r="B30" s="42"/>
      <c r="C30" s="42"/>
      <c r="D30" s="42"/>
      <c r="E30" s="42"/>
      <c r="F30" s="42"/>
      <c r="G30" s="42"/>
      <c r="H30" s="42"/>
      <c r="I30" s="42"/>
      <c r="J30" s="42"/>
      <c r="K30" s="42"/>
      <c r="L30" s="42"/>
      <c r="M30" s="252">
        <v>32</v>
      </c>
      <c r="N30" s="252" t="s">
        <v>4947</v>
      </c>
      <c r="O30" s="252" t="s">
        <v>4948</v>
      </c>
      <c r="P30" s="253">
        <v>46149</v>
      </c>
      <c r="Q30" s="252" t="s">
        <v>4949</v>
      </c>
      <c r="R30" s="252"/>
      <c r="S30" s="252">
        <v>1</v>
      </c>
      <c r="T30" s="252">
        <v>6000</v>
      </c>
      <c r="U30" s="254">
        <v>6000</v>
      </c>
      <c r="V30" s="255">
        <v>600</v>
      </c>
      <c r="W30" s="255">
        <v>5400</v>
      </c>
      <c r="X30" s="256">
        <v>46161</v>
      </c>
      <c r="Y30" s="217" t="s">
        <v>76</v>
      </c>
      <c r="Z30" s="257">
        <v>540</v>
      </c>
      <c r="AA30" s="252" t="s">
        <v>4855</v>
      </c>
      <c r="AB30" s="258"/>
      <c r="AC30" s="259"/>
      <c r="AD30" s="259">
        <f t="shared" si="0"/>
        <v>6600</v>
      </c>
    </row>
    <row r="31" spans="1:30" s="62" customFormat="1">
      <c r="A31" s="42"/>
      <c r="B31" s="42"/>
      <c r="C31" s="42"/>
      <c r="D31" s="42"/>
      <c r="E31" s="42"/>
      <c r="F31" s="42"/>
      <c r="G31" s="42"/>
      <c r="H31" s="42"/>
      <c r="I31" s="42"/>
      <c r="J31" s="42"/>
      <c r="K31" s="42"/>
      <c r="L31" s="42"/>
      <c r="M31" s="252">
        <v>33</v>
      </c>
      <c r="N31" s="252" t="s">
        <v>4950</v>
      </c>
      <c r="O31" s="252" t="s">
        <v>4951</v>
      </c>
      <c r="P31" s="253">
        <v>46150</v>
      </c>
      <c r="Q31" s="252" t="s">
        <v>4949</v>
      </c>
      <c r="R31" s="252"/>
      <c r="S31" s="252">
        <v>1</v>
      </c>
      <c r="T31" s="252">
        <v>7834</v>
      </c>
      <c r="U31" s="254">
        <v>7834</v>
      </c>
      <c r="V31" s="255">
        <v>783</v>
      </c>
      <c r="W31" s="255">
        <v>7051</v>
      </c>
      <c r="X31" s="256">
        <v>46165</v>
      </c>
      <c r="Y31" s="217" t="s">
        <v>76</v>
      </c>
      <c r="Z31" s="257">
        <v>704.7</v>
      </c>
      <c r="AA31" s="252" t="s">
        <v>4863</v>
      </c>
      <c r="AB31" s="258"/>
      <c r="AC31" s="259"/>
      <c r="AD31" s="259">
        <f t="shared" si="0"/>
        <v>8617</v>
      </c>
    </row>
    <row r="32" spans="1:30" s="62" customFormat="1">
      <c r="A32" s="42"/>
      <c r="B32" s="42"/>
      <c r="C32" s="42"/>
      <c r="D32" s="42"/>
      <c r="E32" s="42"/>
      <c r="F32" s="42"/>
      <c r="G32" s="42"/>
      <c r="H32" s="42"/>
      <c r="I32" s="42"/>
      <c r="J32" s="42"/>
      <c r="K32" s="42"/>
      <c r="L32" s="42"/>
      <c r="M32" s="252">
        <v>34</v>
      </c>
      <c r="N32" s="252" t="s">
        <v>4952</v>
      </c>
      <c r="O32" s="252" t="s">
        <v>4953</v>
      </c>
      <c r="P32" s="253">
        <v>46151</v>
      </c>
      <c r="Q32" s="252" t="s">
        <v>4850</v>
      </c>
      <c r="R32" s="252">
        <v>1</v>
      </c>
      <c r="S32" s="252"/>
      <c r="T32" s="252">
        <v>2858</v>
      </c>
      <c r="U32" s="254">
        <v>2858</v>
      </c>
      <c r="V32" s="255">
        <v>285</v>
      </c>
      <c r="W32" s="255">
        <v>2573</v>
      </c>
      <c r="X32" s="256">
        <v>46154</v>
      </c>
      <c r="Y32" s="217" t="s">
        <v>76</v>
      </c>
      <c r="Z32" s="257">
        <v>256.5</v>
      </c>
      <c r="AA32" s="252" t="s">
        <v>889</v>
      </c>
      <c r="AB32" s="258"/>
      <c r="AC32" s="259"/>
      <c r="AD32" s="259">
        <f t="shared" si="0"/>
        <v>3143</v>
      </c>
    </row>
    <row r="33" spans="1:30" s="62" customFormat="1">
      <c r="A33" s="42"/>
      <c r="B33" s="42"/>
      <c r="C33" s="42"/>
      <c r="D33" s="42"/>
      <c r="E33" s="42"/>
      <c r="F33" s="42"/>
      <c r="G33" s="42"/>
      <c r="H33" s="42"/>
      <c r="I33" s="42"/>
      <c r="J33" s="42"/>
      <c r="K33" s="42"/>
      <c r="L33" s="42"/>
      <c r="M33" s="252">
        <v>35</v>
      </c>
      <c r="N33" s="252" t="s">
        <v>4954</v>
      </c>
      <c r="O33" s="252" t="s">
        <v>4955</v>
      </c>
      <c r="P33" s="253">
        <v>46156</v>
      </c>
      <c r="Q33" s="252" t="s">
        <v>4850</v>
      </c>
      <c r="R33" s="252">
        <v>1</v>
      </c>
      <c r="S33" s="252"/>
      <c r="T33" s="252">
        <v>2755</v>
      </c>
      <c r="U33" s="254">
        <v>2755</v>
      </c>
      <c r="V33" s="255">
        <v>275</v>
      </c>
      <c r="W33" s="255">
        <v>2480</v>
      </c>
      <c r="X33" s="256">
        <v>46168</v>
      </c>
      <c r="Y33" s="217" t="s">
        <v>76</v>
      </c>
      <c r="Z33" s="257">
        <v>247.5</v>
      </c>
      <c r="AA33" s="252" t="s">
        <v>4896</v>
      </c>
      <c r="AB33" s="258"/>
      <c r="AC33" s="259"/>
      <c r="AD33" s="259">
        <f t="shared" si="0"/>
        <v>3030</v>
      </c>
    </row>
    <row r="34" spans="1:30" s="62" customFormat="1">
      <c r="A34" s="42"/>
      <c r="B34" s="42"/>
      <c r="C34" s="42"/>
      <c r="D34" s="42"/>
      <c r="E34" s="42"/>
      <c r="F34" s="42"/>
      <c r="G34" s="42"/>
      <c r="H34" s="42"/>
      <c r="I34" s="42"/>
      <c r="J34" s="42"/>
      <c r="K34" s="42"/>
      <c r="L34" s="42"/>
      <c r="M34" s="252">
        <v>36</v>
      </c>
      <c r="N34" s="252" t="s">
        <v>4956</v>
      </c>
      <c r="O34" s="252" t="s">
        <v>4957</v>
      </c>
      <c r="P34" s="253">
        <v>46158</v>
      </c>
      <c r="Q34" s="252" t="s">
        <v>4850</v>
      </c>
      <c r="R34" s="252">
        <v>1</v>
      </c>
      <c r="S34" s="252"/>
      <c r="T34" s="252">
        <v>9648</v>
      </c>
      <c r="U34" s="254">
        <v>9648</v>
      </c>
      <c r="V34" s="255">
        <v>964</v>
      </c>
      <c r="W34" s="255">
        <v>8684</v>
      </c>
      <c r="X34" s="256">
        <v>46165</v>
      </c>
      <c r="Y34" s="217" t="s">
        <v>76</v>
      </c>
      <c r="Z34" s="257">
        <v>867.6</v>
      </c>
      <c r="AA34" s="252" t="s">
        <v>4958</v>
      </c>
      <c r="AB34" s="258"/>
      <c r="AC34" s="259"/>
      <c r="AD34" s="259">
        <f t="shared" si="0"/>
        <v>10612</v>
      </c>
    </row>
    <row r="35" spans="1:30" s="62" customFormat="1">
      <c r="A35" s="42"/>
      <c r="B35" s="42"/>
      <c r="C35" s="42"/>
      <c r="D35" s="42"/>
      <c r="E35" s="42"/>
      <c r="F35" s="42"/>
      <c r="G35" s="42"/>
      <c r="H35" s="42"/>
      <c r="I35" s="42"/>
      <c r="J35" s="42"/>
      <c r="K35" s="42"/>
      <c r="L35" s="42"/>
      <c r="M35" s="252">
        <v>37</v>
      </c>
      <c r="N35" s="252" t="s">
        <v>4959</v>
      </c>
      <c r="O35" s="252" t="s">
        <v>4960</v>
      </c>
      <c r="P35" s="253">
        <v>46160</v>
      </c>
      <c r="Q35" s="252" t="s">
        <v>4879</v>
      </c>
      <c r="R35" s="252"/>
      <c r="S35" s="252">
        <v>1</v>
      </c>
      <c r="T35" s="252">
        <v>8160</v>
      </c>
      <c r="U35" s="254">
        <v>8160</v>
      </c>
      <c r="V35" s="255">
        <v>816</v>
      </c>
      <c r="W35" s="255">
        <v>7344</v>
      </c>
      <c r="X35" s="256">
        <v>46165</v>
      </c>
      <c r="Y35" s="217" t="s">
        <v>76</v>
      </c>
      <c r="Z35" s="257">
        <v>734.4</v>
      </c>
      <c r="AA35" s="252" t="s">
        <v>4863</v>
      </c>
      <c r="AB35" s="258"/>
      <c r="AC35" s="259"/>
      <c r="AD35" s="259">
        <f t="shared" si="0"/>
        <v>8976</v>
      </c>
    </row>
    <row r="36" spans="1:30" s="62" customFormat="1">
      <c r="A36" s="42"/>
      <c r="B36" s="42"/>
      <c r="C36" s="42"/>
      <c r="D36" s="42"/>
      <c r="E36" s="42"/>
      <c r="F36" s="42"/>
      <c r="G36" s="42"/>
      <c r="H36" s="42"/>
      <c r="I36" s="42"/>
      <c r="J36" s="42"/>
      <c r="K36" s="42"/>
      <c r="L36" s="42"/>
      <c r="M36" s="252">
        <v>39</v>
      </c>
      <c r="N36" s="252" t="s">
        <v>4961</v>
      </c>
      <c r="O36" s="252" t="s">
        <v>4962</v>
      </c>
      <c r="P36" s="253">
        <v>46153</v>
      </c>
      <c r="Q36" s="252" t="s">
        <v>4854</v>
      </c>
      <c r="R36" s="252"/>
      <c r="S36" s="252">
        <v>1</v>
      </c>
      <c r="T36" s="252">
        <v>11806</v>
      </c>
      <c r="U36" s="254">
        <v>11806</v>
      </c>
      <c r="V36" s="255">
        <v>1180</v>
      </c>
      <c r="W36" s="255">
        <v>10626</v>
      </c>
      <c r="X36" s="256">
        <v>46162</v>
      </c>
      <c r="Y36" s="217" t="s">
        <v>76</v>
      </c>
      <c r="Z36" s="257">
        <v>1062</v>
      </c>
      <c r="AA36" s="252" t="s">
        <v>4863</v>
      </c>
      <c r="AB36" s="258"/>
      <c r="AC36" s="259"/>
      <c r="AD36" s="259">
        <f t="shared" si="0"/>
        <v>12986</v>
      </c>
    </row>
    <row r="37" spans="1:30" s="62" customFormat="1">
      <c r="A37" s="42"/>
      <c r="B37" s="42"/>
      <c r="C37" s="42"/>
      <c r="D37" s="42"/>
      <c r="E37" s="42"/>
      <c r="F37" s="42"/>
      <c r="G37" s="42"/>
      <c r="H37" s="42"/>
      <c r="I37" s="42"/>
      <c r="J37" s="42"/>
      <c r="K37" s="42"/>
      <c r="L37" s="42"/>
      <c r="M37" s="252">
        <v>40</v>
      </c>
      <c r="N37" s="252" t="s">
        <v>4963</v>
      </c>
      <c r="O37" s="252" t="s">
        <v>4964</v>
      </c>
      <c r="P37" s="253">
        <v>46140</v>
      </c>
      <c r="Q37" s="252" t="s">
        <v>4879</v>
      </c>
      <c r="R37" s="252"/>
      <c r="S37" s="252">
        <v>1</v>
      </c>
      <c r="T37" s="252">
        <v>6700</v>
      </c>
      <c r="U37" s="254">
        <v>6700</v>
      </c>
      <c r="V37" s="255">
        <v>670</v>
      </c>
      <c r="W37" s="255">
        <v>6030</v>
      </c>
      <c r="X37" s="256">
        <v>46149</v>
      </c>
      <c r="Y37" s="217" t="s">
        <v>76</v>
      </c>
      <c r="Z37" s="257">
        <v>603</v>
      </c>
      <c r="AA37" s="252" t="s">
        <v>4965</v>
      </c>
      <c r="AB37" s="258"/>
      <c r="AC37" s="259"/>
      <c r="AD37" s="259">
        <f t="shared" si="0"/>
        <v>7370</v>
      </c>
    </row>
    <row r="38" spans="1:30" s="62" customFormat="1">
      <c r="A38" s="42"/>
      <c r="B38" s="42"/>
      <c r="C38" s="42"/>
      <c r="D38" s="42"/>
      <c r="E38" s="42"/>
      <c r="F38" s="42"/>
      <c r="G38" s="42"/>
      <c r="H38" s="42"/>
      <c r="I38" s="42"/>
      <c r="J38" s="42"/>
      <c r="K38" s="42"/>
      <c r="L38" s="42"/>
      <c r="M38" s="252">
        <v>42</v>
      </c>
      <c r="N38" s="252" t="s">
        <v>4966</v>
      </c>
      <c r="O38" s="252" t="s">
        <v>4967</v>
      </c>
      <c r="P38" s="253">
        <v>46158</v>
      </c>
      <c r="Q38" s="252" t="s">
        <v>4850</v>
      </c>
      <c r="R38" s="252">
        <v>1</v>
      </c>
      <c r="S38" s="252"/>
      <c r="T38" s="252">
        <v>9583</v>
      </c>
      <c r="U38" s="254">
        <v>9583</v>
      </c>
      <c r="V38" s="255">
        <v>958</v>
      </c>
      <c r="W38" s="255">
        <v>8625</v>
      </c>
      <c r="X38" s="256">
        <v>46163</v>
      </c>
      <c r="Y38" s="217" t="s">
        <v>76</v>
      </c>
      <c r="Z38" s="257">
        <v>862.2</v>
      </c>
      <c r="AA38" s="252" t="s">
        <v>4968</v>
      </c>
      <c r="AB38" s="258"/>
      <c r="AC38" s="259"/>
      <c r="AD38" s="259">
        <f t="shared" si="0"/>
        <v>10541</v>
      </c>
    </row>
    <row r="39" spans="1:30">
      <c r="B39" s="42"/>
      <c r="D39" s="42"/>
      <c r="E39" s="42"/>
      <c r="F39" s="42"/>
      <c r="G39" s="42"/>
      <c r="M39" s="252">
        <v>43</v>
      </c>
      <c r="N39" s="252" t="s">
        <v>4969</v>
      </c>
      <c r="O39" s="252" t="s">
        <v>4970</v>
      </c>
      <c r="P39" s="253">
        <v>46144</v>
      </c>
      <c r="Q39" s="252" t="s">
        <v>4971</v>
      </c>
      <c r="R39" s="252"/>
      <c r="S39" s="252">
        <v>1</v>
      </c>
      <c r="T39" s="252">
        <v>9300</v>
      </c>
      <c r="U39" s="254">
        <v>9300</v>
      </c>
      <c r="V39" s="255">
        <v>930</v>
      </c>
      <c r="W39" s="255">
        <v>8370</v>
      </c>
      <c r="X39" s="256">
        <v>46162</v>
      </c>
      <c r="Y39" s="217" t="s">
        <v>76</v>
      </c>
      <c r="Z39" s="257">
        <v>837</v>
      </c>
      <c r="AA39" s="252" t="s">
        <v>4972</v>
      </c>
      <c r="AB39" s="258"/>
      <c r="AC39" s="259"/>
      <c r="AD39" s="259">
        <f t="shared" si="0"/>
        <v>10230</v>
      </c>
    </row>
    <row r="40" spans="1:30" ht="15.6">
      <c r="A40" s="283"/>
      <c r="B40" s="284"/>
      <c r="C40" s="284"/>
      <c r="D40" s="284"/>
      <c r="E40" s="284"/>
      <c r="F40" s="284"/>
      <c r="M40" s="252">
        <v>44</v>
      </c>
      <c r="N40" s="252" t="s">
        <v>4973</v>
      </c>
      <c r="O40" s="252" t="s">
        <v>4974</v>
      </c>
      <c r="P40" s="253">
        <v>46146</v>
      </c>
      <c r="Q40" s="252" t="s">
        <v>4858</v>
      </c>
      <c r="R40" s="252">
        <v>1</v>
      </c>
      <c r="S40" s="252"/>
      <c r="T40" s="252">
        <v>6550</v>
      </c>
      <c r="U40" s="254">
        <v>6550</v>
      </c>
      <c r="V40" s="255">
        <v>655</v>
      </c>
      <c r="W40" s="255">
        <v>5895</v>
      </c>
      <c r="X40" s="256">
        <v>46152</v>
      </c>
      <c r="Y40" s="217" t="s">
        <v>76</v>
      </c>
      <c r="Z40" s="257">
        <v>589.5</v>
      </c>
      <c r="AA40" s="252" t="s">
        <v>4863</v>
      </c>
      <c r="AB40" s="258"/>
      <c r="AC40" s="259"/>
      <c r="AD40" s="259">
        <f t="shared" si="0"/>
        <v>7205</v>
      </c>
    </row>
    <row r="41" spans="1:30" ht="13.65" customHeight="1">
      <c r="A41" s="2094" t="s">
        <v>4975</v>
      </c>
      <c r="B41" s="285" t="s">
        <v>4976</v>
      </c>
      <c r="C41" s="285" t="s">
        <v>487</v>
      </c>
      <c r="D41" s="286" t="s">
        <v>1004</v>
      </c>
      <c r="E41" s="287" t="s">
        <v>998</v>
      </c>
      <c r="F41" s="2096" t="s">
        <v>4977</v>
      </c>
      <c r="M41" s="252">
        <v>45</v>
      </c>
      <c r="N41" s="252" t="s">
        <v>4978</v>
      </c>
      <c r="O41" s="252" t="s">
        <v>4979</v>
      </c>
      <c r="P41" s="253">
        <v>46155</v>
      </c>
      <c r="Q41" s="252" t="s">
        <v>4850</v>
      </c>
      <c r="R41" s="252">
        <v>1</v>
      </c>
      <c r="S41" s="252"/>
      <c r="T41" s="252">
        <v>5419</v>
      </c>
      <c r="U41" s="254">
        <v>5419</v>
      </c>
      <c r="V41" s="255">
        <v>541</v>
      </c>
      <c r="W41" s="255">
        <v>4878</v>
      </c>
      <c r="X41" s="256">
        <v>46161</v>
      </c>
      <c r="Y41" s="217" t="s">
        <v>76</v>
      </c>
      <c r="Z41" s="257">
        <v>486.9</v>
      </c>
      <c r="AA41" s="252" t="s">
        <v>4896</v>
      </c>
      <c r="AB41" s="258"/>
      <c r="AC41" s="259"/>
      <c r="AD41" s="259">
        <f t="shared" si="0"/>
        <v>5960</v>
      </c>
    </row>
    <row r="42" spans="1:30" ht="13.65" customHeight="1">
      <c r="A42" s="2095"/>
      <c r="B42" s="289" t="s">
        <v>76</v>
      </c>
      <c r="C42" s="289">
        <v>0.7</v>
      </c>
      <c r="D42" s="289">
        <v>0.7</v>
      </c>
      <c r="E42" s="290" t="s">
        <v>4980</v>
      </c>
      <c r="F42" s="2097"/>
      <c r="M42" s="252">
        <v>46</v>
      </c>
      <c r="N42" s="252" t="s">
        <v>4981</v>
      </c>
      <c r="O42" s="252" t="s">
        <v>4982</v>
      </c>
      <c r="P42" s="253">
        <v>46107</v>
      </c>
      <c r="Q42" s="252" t="s">
        <v>4854</v>
      </c>
      <c r="R42" s="252"/>
      <c r="S42" s="252">
        <v>1</v>
      </c>
      <c r="T42" s="252">
        <v>11580</v>
      </c>
      <c r="U42" s="254">
        <v>11580</v>
      </c>
      <c r="V42" s="255">
        <v>1158</v>
      </c>
      <c r="W42" s="255">
        <v>10422</v>
      </c>
      <c r="X42" s="256">
        <v>46151</v>
      </c>
      <c r="Y42" s="217" t="s">
        <v>76</v>
      </c>
      <c r="Z42" s="257">
        <v>1042.2</v>
      </c>
      <c r="AA42" s="252"/>
      <c r="AB42" s="258"/>
      <c r="AC42" s="259"/>
      <c r="AD42" s="259">
        <f t="shared" si="0"/>
        <v>12738</v>
      </c>
    </row>
    <row r="43" spans="1:30" ht="13.65" customHeight="1">
      <c r="A43" s="2095"/>
      <c r="B43" s="289" t="s">
        <v>514</v>
      </c>
      <c r="C43" s="289">
        <v>0.7</v>
      </c>
      <c r="D43" s="289">
        <v>0.7</v>
      </c>
      <c r="E43" s="290" t="s">
        <v>4980</v>
      </c>
      <c r="F43" s="2097"/>
      <c r="M43" s="252">
        <v>47</v>
      </c>
      <c r="N43" s="252" t="s">
        <v>4983</v>
      </c>
      <c r="O43" s="252" t="s">
        <v>4984</v>
      </c>
      <c r="P43" s="253">
        <v>46130</v>
      </c>
      <c r="Q43" s="252" t="s">
        <v>4854</v>
      </c>
      <c r="R43" s="252"/>
      <c r="S43" s="252">
        <v>1</v>
      </c>
      <c r="T43" s="252">
        <v>8990</v>
      </c>
      <c r="U43" s="254">
        <v>8990</v>
      </c>
      <c r="V43" s="255">
        <v>899</v>
      </c>
      <c r="W43" s="255">
        <v>8091</v>
      </c>
      <c r="X43" s="256">
        <v>46138</v>
      </c>
      <c r="Y43" s="217" t="s">
        <v>76</v>
      </c>
      <c r="Z43" s="257">
        <v>809.1</v>
      </c>
      <c r="AA43" s="252"/>
      <c r="AB43" s="258"/>
      <c r="AC43" s="259"/>
      <c r="AD43" s="259">
        <f t="shared" si="0"/>
        <v>9889</v>
      </c>
    </row>
    <row r="44" spans="1:30">
      <c r="A44" s="2095"/>
      <c r="B44" s="252" t="s">
        <v>75</v>
      </c>
      <c r="C44" s="289">
        <v>0.7</v>
      </c>
      <c r="D44" s="289">
        <v>0.7</v>
      </c>
      <c r="E44" s="290" t="s">
        <v>4980</v>
      </c>
      <c r="F44" s="2097"/>
      <c r="M44" s="252">
        <v>48</v>
      </c>
      <c r="N44" s="252" t="s">
        <v>4985</v>
      </c>
      <c r="O44" s="252" t="s">
        <v>4986</v>
      </c>
      <c r="P44" s="253">
        <v>46130</v>
      </c>
      <c r="Q44" s="252" t="s">
        <v>4879</v>
      </c>
      <c r="R44" s="252"/>
      <c r="S44" s="252">
        <v>1</v>
      </c>
      <c r="T44" s="252">
        <v>7000</v>
      </c>
      <c r="U44" s="254">
        <v>7000</v>
      </c>
      <c r="V44" s="255">
        <v>700</v>
      </c>
      <c r="W44" s="255">
        <v>6300</v>
      </c>
      <c r="X44" s="256">
        <v>46138</v>
      </c>
      <c r="Y44" s="217" t="s">
        <v>76</v>
      </c>
      <c r="Z44" s="257">
        <v>630</v>
      </c>
      <c r="AA44" s="252"/>
      <c r="AB44" s="258"/>
      <c r="AC44" s="259"/>
      <c r="AD44" s="259">
        <f t="shared" si="0"/>
        <v>7700</v>
      </c>
    </row>
    <row r="45" spans="1:30">
      <c r="A45" s="291"/>
      <c r="B45" s="292"/>
      <c r="C45" s="292"/>
      <c r="D45" s="292"/>
      <c r="E45" s="292"/>
      <c r="F45" s="292"/>
      <c r="M45" s="252">
        <v>50</v>
      </c>
      <c r="N45" s="252" t="s">
        <v>4987</v>
      </c>
      <c r="O45" s="252" t="s">
        <v>4988</v>
      </c>
      <c r="P45" s="253">
        <v>46117</v>
      </c>
      <c r="Q45" s="252" t="s">
        <v>4858</v>
      </c>
      <c r="R45" s="252">
        <v>1</v>
      </c>
      <c r="S45" s="252"/>
      <c r="T45" s="252">
        <v>11700</v>
      </c>
      <c r="U45" s="254">
        <v>11700</v>
      </c>
      <c r="V45" s="255">
        <v>1170</v>
      </c>
      <c r="W45" s="255">
        <v>10530</v>
      </c>
      <c r="X45" s="256">
        <v>46140</v>
      </c>
      <c r="Y45" s="217" t="s">
        <v>76</v>
      </c>
      <c r="Z45" s="257">
        <v>1053</v>
      </c>
      <c r="AA45" s="252"/>
      <c r="AB45" s="258"/>
      <c r="AC45" s="259"/>
      <c r="AD45" s="259">
        <f t="shared" si="0"/>
        <v>12870</v>
      </c>
    </row>
    <row r="46" spans="1:30">
      <c r="A46" s="291"/>
      <c r="B46" s="292"/>
      <c r="C46" s="292"/>
      <c r="D46" s="292"/>
      <c r="E46" s="292"/>
      <c r="F46" s="292"/>
      <c r="M46" s="252">
        <v>54</v>
      </c>
      <c r="N46" s="252" t="s">
        <v>4989</v>
      </c>
      <c r="O46" s="252" t="s">
        <v>4990</v>
      </c>
      <c r="P46" s="253">
        <v>46097</v>
      </c>
      <c r="Q46" s="252" t="s">
        <v>4991</v>
      </c>
      <c r="R46" s="252">
        <v>1</v>
      </c>
      <c r="S46" s="252"/>
      <c r="T46" s="252">
        <v>11630</v>
      </c>
      <c r="U46" s="254">
        <v>11630</v>
      </c>
      <c r="V46" s="255">
        <v>1163</v>
      </c>
      <c r="W46" s="255">
        <v>10467</v>
      </c>
      <c r="X46" s="256">
        <v>46138</v>
      </c>
      <c r="Y46" s="217" t="s">
        <v>76</v>
      </c>
      <c r="Z46" s="257">
        <v>1046.7</v>
      </c>
      <c r="AA46" s="252"/>
      <c r="AB46" s="258"/>
      <c r="AC46" s="259"/>
      <c r="AD46" s="259">
        <f t="shared" si="0"/>
        <v>12793</v>
      </c>
    </row>
    <row r="47" spans="1:30">
      <c r="A47" s="291"/>
      <c r="B47" s="292"/>
      <c r="C47" s="292"/>
      <c r="D47" s="292"/>
      <c r="E47" s="292"/>
      <c r="F47" s="292"/>
      <c r="M47" s="252">
        <v>55</v>
      </c>
      <c r="N47" s="252" t="s">
        <v>4992</v>
      </c>
      <c r="O47" s="252" t="s">
        <v>4993</v>
      </c>
      <c r="P47" s="253">
        <v>46147</v>
      </c>
      <c r="Q47" s="252" t="s">
        <v>4994</v>
      </c>
      <c r="R47" s="252">
        <v>1</v>
      </c>
      <c r="S47" s="252">
        <v>1</v>
      </c>
      <c r="T47" s="252">
        <v>10554</v>
      </c>
      <c r="U47" s="254">
        <v>10554</v>
      </c>
      <c r="V47" s="255">
        <v>1055</v>
      </c>
      <c r="W47" s="255">
        <v>9499</v>
      </c>
      <c r="X47" s="256">
        <v>46156</v>
      </c>
      <c r="Y47" s="217" t="s">
        <v>76</v>
      </c>
      <c r="Z47" s="257">
        <v>949.5</v>
      </c>
      <c r="AA47" s="252"/>
      <c r="AB47" s="258"/>
      <c r="AC47" s="259"/>
      <c r="AD47" s="259">
        <f t="shared" si="0"/>
        <v>11609</v>
      </c>
    </row>
    <row r="48" spans="1:30">
      <c r="M48" s="252">
        <v>56</v>
      </c>
      <c r="N48" s="252" t="s">
        <v>4995</v>
      </c>
      <c r="O48" s="252" t="s">
        <v>4996</v>
      </c>
      <c r="P48" s="253">
        <v>46145</v>
      </c>
      <c r="Q48" s="252" t="s">
        <v>4997</v>
      </c>
      <c r="R48" s="252"/>
      <c r="S48" s="252">
        <v>1</v>
      </c>
      <c r="T48" s="252">
        <v>9800</v>
      </c>
      <c r="U48" s="254">
        <v>9800</v>
      </c>
      <c r="V48" s="255">
        <v>980</v>
      </c>
      <c r="W48" s="255">
        <v>8820</v>
      </c>
      <c r="X48" s="256">
        <v>46152</v>
      </c>
      <c r="Y48" s="217" t="s">
        <v>76</v>
      </c>
      <c r="Z48" s="257">
        <v>882</v>
      </c>
      <c r="AA48" s="252"/>
      <c r="AB48" s="258"/>
      <c r="AC48" s="259"/>
      <c r="AD48" s="259">
        <f t="shared" si="0"/>
        <v>10780</v>
      </c>
    </row>
    <row r="49" spans="13:30">
      <c r="M49" s="252">
        <v>57</v>
      </c>
      <c r="N49" s="252" t="s">
        <v>4998</v>
      </c>
      <c r="O49" s="252" t="s">
        <v>4999</v>
      </c>
      <c r="P49" s="253">
        <v>46135</v>
      </c>
      <c r="Q49" s="252" t="s">
        <v>4850</v>
      </c>
      <c r="R49" s="252">
        <v>1</v>
      </c>
      <c r="S49" s="252"/>
      <c r="T49" s="252">
        <v>9440</v>
      </c>
      <c r="U49" s="254">
        <v>9440</v>
      </c>
      <c r="V49" s="255">
        <v>944</v>
      </c>
      <c r="W49" s="255">
        <v>8496</v>
      </c>
      <c r="X49" s="256">
        <v>46143</v>
      </c>
      <c r="Y49" s="217" t="s">
        <v>76</v>
      </c>
      <c r="Z49" s="257">
        <v>849.6</v>
      </c>
      <c r="AA49" s="252"/>
      <c r="AB49" s="258"/>
      <c r="AC49" s="259"/>
      <c r="AD49" s="259">
        <f t="shared" si="0"/>
        <v>10384</v>
      </c>
    </row>
    <row r="50" spans="13:30">
      <c r="M50" s="252">
        <v>58</v>
      </c>
      <c r="N50" s="252" t="s">
        <v>5000</v>
      </c>
      <c r="O50" s="252" t="s">
        <v>5001</v>
      </c>
      <c r="P50" s="253">
        <v>46124</v>
      </c>
      <c r="Q50" s="252" t="s">
        <v>4858</v>
      </c>
      <c r="R50" s="252">
        <v>1</v>
      </c>
      <c r="S50" s="252"/>
      <c r="T50" s="252">
        <v>9050</v>
      </c>
      <c r="U50" s="254">
        <v>9050</v>
      </c>
      <c r="V50" s="255">
        <v>905</v>
      </c>
      <c r="W50" s="255">
        <v>8145</v>
      </c>
      <c r="X50" s="256">
        <v>46139</v>
      </c>
      <c r="Y50" s="217" t="s">
        <v>76</v>
      </c>
      <c r="Z50" s="257">
        <v>814.5</v>
      </c>
      <c r="AA50" s="252"/>
      <c r="AB50" s="258"/>
      <c r="AC50" s="259"/>
      <c r="AD50" s="259">
        <f t="shared" ref="AD50:AD89" si="3">U50+V50-AB50-AC50</f>
        <v>9955</v>
      </c>
    </row>
    <row r="51" spans="13:30">
      <c r="M51" s="252">
        <v>59</v>
      </c>
      <c r="N51" s="252" t="s">
        <v>5002</v>
      </c>
      <c r="O51" s="252" t="s">
        <v>5003</v>
      </c>
      <c r="P51" s="253">
        <v>46138</v>
      </c>
      <c r="Q51" s="252" t="s">
        <v>4858</v>
      </c>
      <c r="R51" s="252">
        <v>1</v>
      </c>
      <c r="S51" s="252"/>
      <c r="T51" s="252">
        <v>8500</v>
      </c>
      <c r="U51" s="254">
        <v>8500</v>
      </c>
      <c r="V51" s="255">
        <v>850</v>
      </c>
      <c r="W51" s="255">
        <v>7650</v>
      </c>
      <c r="X51" s="256">
        <v>46151</v>
      </c>
      <c r="Y51" s="217" t="s">
        <v>76</v>
      </c>
      <c r="Z51" s="257">
        <v>765</v>
      </c>
      <c r="AA51" s="252"/>
      <c r="AB51" s="258"/>
      <c r="AC51" s="259"/>
      <c r="AD51" s="259">
        <f t="shared" si="3"/>
        <v>9350</v>
      </c>
    </row>
    <row r="52" spans="13:30">
      <c r="M52" s="252">
        <v>60</v>
      </c>
      <c r="N52" s="252" t="s">
        <v>5004</v>
      </c>
      <c r="O52" s="252" t="s">
        <v>5005</v>
      </c>
      <c r="P52" s="253">
        <v>46140</v>
      </c>
      <c r="Q52" s="252" t="s">
        <v>4854</v>
      </c>
      <c r="R52" s="252"/>
      <c r="S52" s="252">
        <v>1</v>
      </c>
      <c r="T52" s="252">
        <v>8497</v>
      </c>
      <c r="U52" s="254">
        <v>8497</v>
      </c>
      <c r="V52" s="255">
        <v>849</v>
      </c>
      <c r="W52" s="255">
        <v>7648</v>
      </c>
      <c r="X52" s="256">
        <v>46151</v>
      </c>
      <c r="Y52" s="217" t="s">
        <v>76</v>
      </c>
      <c r="Z52" s="257">
        <v>764.1</v>
      </c>
      <c r="AA52" s="252"/>
      <c r="AB52" s="258"/>
      <c r="AC52" s="259"/>
      <c r="AD52" s="259">
        <f t="shared" si="3"/>
        <v>9346</v>
      </c>
    </row>
    <row r="53" spans="13:30">
      <c r="M53" s="252">
        <v>61</v>
      </c>
      <c r="N53" s="252" t="s">
        <v>5006</v>
      </c>
      <c r="O53" s="252" t="s">
        <v>5007</v>
      </c>
      <c r="P53" s="253">
        <v>46141</v>
      </c>
      <c r="Q53" s="252" t="s">
        <v>5008</v>
      </c>
      <c r="R53" s="252"/>
      <c r="S53" s="252">
        <v>1</v>
      </c>
      <c r="T53" s="252">
        <v>8450</v>
      </c>
      <c r="U53" s="254">
        <v>8450</v>
      </c>
      <c r="V53" s="255">
        <v>845</v>
      </c>
      <c r="W53" s="255">
        <v>7605</v>
      </c>
      <c r="X53" s="256">
        <v>46147</v>
      </c>
      <c r="Y53" s="217" t="s">
        <v>76</v>
      </c>
      <c r="Z53" s="257">
        <v>760.5</v>
      </c>
      <c r="AA53" s="252"/>
      <c r="AB53" s="258"/>
      <c r="AC53" s="259"/>
      <c r="AD53" s="259">
        <f t="shared" si="3"/>
        <v>9295</v>
      </c>
    </row>
    <row r="54" spans="13:30">
      <c r="M54" s="252">
        <v>62</v>
      </c>
      <c r="N54" s="252" t="s">
        <v>5009</v>
      </c>
      <c r="O54" s="252" t="s">
        <v>5010</v>
      </c>
      <c r="P54" s="253">
        <v>46159</v>
      </c>
      <c r="Q54" s="252" t="s">
        <v>4854</v>
      </c>
      <c r="R54" s="252"/>
      <c r="S54" s="252">
        <v>1</v>
      </c>
      <c r="T54" s="252">
        <v>7737</v>
      </c>
      <c r="U54" s="254">
        <v>7737</v>
      </c>
      <c r="V54" s="255">
        <v>773</v>
      </c>
      <c r="W54" s="255">
        <v>6964</v>
      </c>
      <c r="X54" s="256">
        <v>46165</v>
      </c>
      <c r="Y54" s="217" t="s">
        <v>76</v>
      </c>
      <c r="Z54" s="257">
        <v>695.7</v>
      </c>
      <c r="AA54" s="252"/>
      <c r="AB54" s="258"/>
      <c r="AC54" s="259"/>
      <c r="AD54" s="259">
        <f t="shared" si="3"/>
        <v>8510</v>
      </c>
    </row>
    <row r="55" spans="13:30">
      <c r="M55" s="252">
        <v>64</v>
      </c>
      <c r="N55" s="252" t="s">
        <v>5011</v>
      </c>
      <c r="O55" s="252" t="s">
        <v>5012</v>
      </c>
      <c r="P55" s="253">
        <v>46138</v>
      </c>
      <c r="Q55" s="252" t="s">
        <v>4850</v>
      </c>
      <c r="R55" s="252">
        <v>1</v>
      </c>
      <c r="S55" s="252"/>
      <c r="T55" s="252">
        <v>7354</v>
      </c>
      <c r="U55" s="254">
        <v>7354</v>
      </c>
      <c r="V55" s="255">
        <v>735</v>
      </c>
      <c r="W55" s="255">
        <v>6619</v>
      </c>
      <c r="X55" s="256">
        <v>46150</v>
      </c>
      <c r="Y55" s="217" t="s">
        <v>76</v>
      </c>
      <c r="Z55" s="257">
        <v>661.5</v>
      </c>
      <c r="AA55" s="252"/>
      <c r="AB55" s="258"/>
      <c r="AC55" s="259"/>
      <c r="AD55" s="259">
        <f t="shared" si="3"/>
        <v>8089</v>
      </c>
    </row>
    <row r="56" spans="13:30">
      <c r="M56" s="252"/>
      <c r="N56" s="252"/>
      <c r="O56" s="252"/>
      <c r="P56" s="253"/>
      <c r="Q56" s="252"/>
      <c r="R56" s="252"/>
      <c r="S56" s="252"/>
      <c r="T56" s="252"/>
      <c r="U56" s="254"/>
      <c r="V56" s="255"/>
      <c r="W56" s="255"/>
      <c r="X56" s="256"/>
      <c r="Y56" s="217"/>
      <c r="Z56" s="257"/>
      <c r="AA56" s="252"/>
      <c r="AB56" s="258"/>
      <c r="AC56" s="259"/>
      <c r="AD56" s="259">
        <f t="shared" si="3"/>
        <v>0</v>
      </c>
    </row>
    <row r="57" spans="13:30">
      <c r="M57" s="252">
        <v>3</v>
      </c>
      <c r="N57" s="252" t="s">
        <v>5013</v>
      </c>
      <c r="O57" s="252" t="s">
        <v>5014</v>
      </c>
      <c r="P57" s="253">
        <v>46144.513888888898</v>
      </c>
      <c r="Q57" s="252" t="s">
        <v>5015</v>
      </c>
      <c r="R57" s="252">
        <v>1</v>
      </c>
      <c r="S57" s="252"/>
      <c r="T57" s="252"/>
      <c r="U57" s="254">
        <v>4200</v>
      </c>
      <c r="V57" s="255">
        <v>420</v>
      </c>
      <c r="W57" s="255"/>
      <c r="X57" s="256">
        <v>46157.415972222203</v>
      </c>
      <c r="Y57" s="217" t="s">
        <v>75</v>
      </c>
      <c r="Z57" s="257" t="s">
        <v>5016</v>
      </c>
      <c r="AA57" s="252"/>
      <c r="AB57" s="258"/>
      <c r="AC57" s="259"/>
      <c r="AD57" s="259">
        <f t="shared" si="3"/>
        <v>4620</v>
      </c>
    </row>
    <row r="58" spans="13:30">
      <c r="M58" s="252"/>
      <c r="N58" s="252" t="s">
        <v>5017</v>
      </c>
      <c r="O58" s="252" t="s">
        <v>5018</v>
      </c>
      <c r="P58" s="253">
        <v>46061.688888888901</v>
      </c>
      <c r="Q58" s="252" t="s">
        <v>5019</v>
      </c>
      <c r="R58" s="252"/>
      <c r="S58" s="252">
        <v>1</v>
      </c>
      <c r="T58" s="252"/>
      <c r="U58" s="254">
        <v>17440</v>
      </c>
      <c r="V58" s="255">
        <v>1744</v>
      </c>
      <c r="W58" s="255"/>
      <c r="X58" s="256">
        <v>46143.363194444399</v>
      </c>
      <c r="Y58" s="217" t="s">
        <v>75</v>
      </c>
      <c r="Z58" s="257" t="s">
        <v>5016</v>
      </c>
      <c r="AA58" s="252"/>
      <c r="AB58" s="258"/>
      <c r="AC58" s="259"/>
      <c r="AD58" s="259">
        <f t="shared" si="3"/>
        <v>19184</v>
      </c>
    </row>
    <row r="59" spans="13:30">
      <c r="M59" s="252"/>
      <c r="N59" s="252" t="s">
        <v>5020</v>
      </c>
      <c r="O59" s="252" t="s">
        <v>5021</v>
      </c>
      <c r="P59" s="253">
        <v>46091.492361111101</v>
      </c>
      <c r="Q59" s="252" t="s">
        <v>5019</v>
      </c>
      <c r="R59" s="252">
        <v>1</v>
      </c>
      <c r="S59" s="252"/>
      <c r="T59" s="252"/>
      <c r="U59" s="254">
        <v>29452</v>
      </c>
      <c r="V59" s="255">
        <v>2945</v>
      </c>
      <c r="W59" s="255"/>
      <c r="X59" s="256">
        <v>46143.372222222199</v>
      </c>
      <c r="Y59" s="217" t="s">
        <v>75</v>
      </c>
      <c r="Z59" s="257" t="s">
        <v>5016</v>
      </c>
      <c r="AA59" s="252"/>
      <c r="AB59" s="258"/>
      <c r="AC59" s="259"/>
      <c r="AD59" s="259">
        <f t="shared" si="3"/>
        <v>32397</v>
      </c>
    </row>
    <row r="60" spans="13:30">
      <c r="M60" s="252"/>
      <c r="N60" s="252" t="s">
        <v>5022</v>
      </c>
      <c r="O60" s="252" t="s">
        <v>5023</v>
      </c>
      <c r="P60" s="253">
        <v>46091.653472222199</v>
      </c>
      <c r="Q60" s="252" t="s">
        <v>5019</v>
      </c>
      <c r="R60" s="252">
        <v>1</v>
      </c>
      <c r="S60" s="252"/>
      <c r="T60" s="252"/>
      <c r="U60" s="254">
        <v>36771</v>
      </c>
      <c r="V60" s="255">
        <v>3677</v>
      </c>
      <c r="W60" s="255"/>
      <c r="X60" s="256">
        <v>46164.751388888901</v>
      </c>
      <c r="Y60" s="217" t="s">
        <v>75</v>
      </c>
      <c r="Z60" s="257" t="s">
        <v>5016</v>
      </c>
      <c r="AA60" s="252"/>
      <c r="AB60" s="258"/>
      <c r="AC60" s="259"/>
      <c r="AD60" s="259">
        <f t="shared" si="3"/>
        <v>40448</v>
      </c>
    </row>
    <row r="61" spans="13:30">
      <c r="M61" s="252"/>
      <c r="N61" s="252"/>
      <c r="O61" s="252"/>
      <c r="P61" s="253"/>
      <c r="Q61" s="252"/>
      <c r="R61" s="252"/>
      <c r="S61" s="252"/>
      <c r="T61" s="252"/>
      <c r="U61" s="254"/>
      <c r="V61" s="255"/>
      <c r="W61" s="255"/>
      <c r="X61" s="256"/>
      <c r="Y61" s="217"/>
      <c r="Z61" s="257"/>
      <c r="AA61" s="252"/>
      <c r="AB61" s="258"/>
      <c r="AC61" s="259"/>
      <c r="AD61" s="259">
        <f t="shared" si="3"/>
        <v>0</v>
      </c>
    </row>
    <row r="62" spans="13:30">
      <c r="M62" s="252"/>
      <c r="N62" s="252"/>
      <c r="O62" s="252"/>
      <c r="P62" s="253"/>
      <c r="Q62" s="252"/>
      <c r="R62" s="252"/>
      <c r="S62" s="252"/>
      <c r="T62" s="252"/>
      <c r="U62" s="254"/>
      <c r="V62" s="255"/>
      <c r="W62" s="255"/>
      <c r="X62" s="256"/>
      <c r="Y62" s="217"/>
      <c r="Z62" s="257"/>
      <c r="AA62" s="252"/>
      <c r="AB62" s="258"/>
      <c r="AC62" s="259"/>
      <c r="AD62" s="259">
        <f t="shared" si="3"/>
        <v>0</v>
      </c>
    </row>
    <row r="63" spans="13:30">
      <c r="M63" s="252"/>
      <c r="N63" s="292"/>
      <c r="O63" s="252"/>
      <c r="P63" s="253"/>
      <c r="Q63" s="252"/>
      <c r="R63" s="252"/>
      <c r="S63" s="252"/>
      <c r="T63" s="252"/>
      <c r="U63" s="254"/>
      <c r="V63" s="255"/>
      <c r="W63" s="255"/>
      <c r="X63" s="256"/>
      <c r="Y63" s="217"/>
      <c r="Z63" s="257"/>
      <c r="AA63" s="252"/>
      <c r="AB63" s="258"/>
      <c r="AC63" s="259"/>
      <c r="AD63" s="259">
        <f t="shared" si="3"/>
        <v>0</v>
      </c>
    </row>
    <row r="64" spans="13:30">
      <c r="M64" s="252"/>
      <c r="N64" s="252"/>
      <c r="O64" s="252"/>
      <c r="P64" s="253"/>
      <c r="Q64" s="252"/>
      <c r="R64" s="252"/>
      <c r="S64" s="252"/>
      <c r="T64" s="252"/>
      <c r="U64" s="254"/>
      <c r="V64" s="255"/>
      <c r="W64" s="255"/>
      <c r="X64" s="256"/>
      <c r="Y64" s="217"/>
      <c r="Z64" s="257"/>
      <c r="AA64" s="252"/>
      <c r="AB64" s="258"/>
      <c r="AC64" s="259"/>
      <c r="AD64" s="259">
        <f t="shared" si="3"/>
        <v>0</v>
      </c>
    </row>
    <row r="65" spans="13:30">
      <c r="M65" s="252"/>
      <c r="N65" s="252"/>
      <c r="O65" s="252"/>
      <c r="P65" s="253"/>
      <c r="Q65" s="252"/>
      <c r="R65" s="252"/>
      <c r="S65" s="252"/>
      <c r="T65" s="252"/>
      <c r="U65" s="254"/>
      <c r="V65" s="255"/>
      <c r="W65" s="255"/>
      <c r="X65" s="256"/>
      <c r="Y65" s="217"/>
      <c r="Z65" s="257"/>
      <c r="AA65" s="252"/>
      <c r="AB65" s="258"/>
      <c r="AC65" s="259"/>
      <c r="AD65" s="259">
        <f t="shared" si="3"/>
        <v>0</v>
      </c>
    </row>
    <row r="66" spans="13:30">
      <c r="M66" s="252"/>
      <c r="N66" s="252"/>
      <c r="O66" s="252"/>
      <c r="P66" s="253"/>
      <c r="Q66" s="252"/>
      <c r="R66" s="252"/>
      <c r="S66" s="252"/>
      <c r="T66" s="252"/>
      <c r="U66" s="254"/>
      <c r="V66" s="255"/>
      <c r="W66" s="255"/>
      <c r="X66" s="256"/>
      <c r="Y66" s="217"/>
      <c r="Z66" s="257"/>
      <c r="AA66" s="252"/>
      <c r="AB66" s="258"/>
      <c r="AC66" s="259"/>
      <c r="AD66" s="259">
        <f t="shared" si="3"/>
        <v>0</v>
      </c>
    </row>
    <row r="67" spans="13:30">
      <c r="M67" s="252"/>
      <c r="N67" s="252"/>
      <c r="O67" s="252"/>
      <c r="P67" s="253"/>
      <c r="Q67" s="252"/>
      <c r="R67" s="252"/>
      <c r="S67" s="252"/>
      <c r="T67" s="252"/>
      <c r="U67" s="254"/>
      <c r="V67" s="255"/>
      <c r="W67" s="255"/>
      <c r="X67" s="256"/>
      <c r="Y67" s="217"/>
      <c r="Z67" s="257"/>
      <c r="AA67" s="252"/>
      <c r="AB67" s="258"/>
      <c r="AC67" s="259"/>
      <c r="AD67" s="259">
        <f t="shared" si="3"/>
        <v>0</v>
      </c>
    </row>
    <row r="68" spans="13:30">
      <c r="M68" s="252"/>
      <c r="N68" s="252"/>
      <c r="O68" s="252"/>
      <c r="P68" s="253"/>
      <c r="Q68" s="252"/>
      <c r="R68" s="252"/>
      <c r="S68" s="252"/>
      <c r="T68" s="252"/>
      <c r="U68" s="254"/>
      <c r="V68" s="255"/>
      <c r="W68" s="255"/>
      <c r="X68" s="256"/>
      <c r="Y68" s="217"/>
      <c r="Z68" s="257"/>
      <c r="AA68" s="252"/>
      <c r="AB68" s="258"/>
      <c r="AC68" s="259"/>
      <c r="AD68" s="259">
        <f t="shared" si="3"/>
        <v>0</v>
      </c>
    </row>
    <row r="69" spans="13:30">
      <c r="M69" s="252"/>
      <c r="N69" s="252"/>
      <c r="O69" s="252"/>
      <c r="P69" s="253"/>
      <c r="Q69" s="252"/>
      <c r="R69" s="252"/>
      <c r="S69" s="252"/>
      <c r="T69" s="252"/>
      <c r="U69" s="254"/>
      <c r="V69" s="255"/>
      <c r="W69" s="255"/>
      <c r="X69" s="256"/>
      <c r="Y69" s="217"/>
      <c r="Z69" s="257"/>
      <c r="AA69" s="252"/>
      <c r="AB69" s="258"/>
      <c r="AC69" s="259"/>
      <c r="AD69" s="259">
        <f t="shared" si="3"/>
        <v>0</v>
      </c>
    </row>
    <row r="70" spans="13:30">
      <c r="M70" s="252"/>
      <c r="N70" s="252"/>
      <c r="O70" s="252"/>
      <c r="P70" s="253"/>
      <c r="Q70" s="252"/>
      <c r="R70" s="252"/>
      <c r="S70" s="252"/>
      <c r="T70" s="252"/>
      <c r="U70" s="254"/>
      <c r="V70" s="255"/>
      <c r="W70" s="255"/>
      <c r="X70" s="256"/>
      <c r="Y70" s="217"/>
      <c r="Z70" s="257"/>
      <c r="AA70" s="252"/>
      <c r="AB70" s="258"/>
      <c r="AC70" s="259"/>
      <c r="AD70" s="259">
        <f t="shared" si="3"/>
        <v>0</v>
      </c>
    </row>
    <row r="71" spans="13:30">
      <c r="M71" s="252"/>
      <c r="N71" s="252"/>
      <c r="O71" s="252"/>
      <c r="P71" s="253"/>
      <c r="Q71" s="252"/>
      <c r="R71" s="252"/>
      <c r="S71" s="252"/>
      <c r="T71" s="252"/>
      <c r="U71" s="254"/>
      <c r="V71" s="255"/>
      <c r="W71" s="255"/>
      <c r="X71" s="256"/>
      <c r="Y71" s="217"/>
      <c r="Z71" s="257"/>
      <c r="AA71" s="252"/>
      <c r="AB71" s="258"/>
      <c r="AC71" s="259"/>
      <c r="AD71" s="259">
        <f t="shared" si="3"/>
        <v>0</v>
      </c>
    </row>
    <row r="72" spans="13:30">
      <c r="M72" s="252"/>
      <c r="N72" s="252"/>
      <c r="O72" s="252"/>
      <c r="P72" s="253"/>
      <c r="Q72" s="252"/>
      <c r="R72" s="252"/>
      <c r="S72" s="252"/>
      <c r="T72" s="252"/>
      <c r="U72" s="254"/>
      <c r="V72" s="255"/>
      <c r="W72" s="255"/>
      <c r="X72" s="256"/>
      <c r="Y72" s="217"/>
      <c r="Z72" s="257"/>
      <c r="AA72" s="252"/>
      <c r="AB72" s="258"/>
      <c r="AC72" s="259"/>
      <c r="AD72" s="259">
        <f t="shared" si="3"/>
        <v>0</v>
      </c>
    </row>
    <row r="73" spans="13:30">
      <c r="M73" s="252"/>
      <c r="N73" s="252"/>
      <c r="O73" s="252"/>
      <c r="P73" s="253"/>
      <c r="Q73" s="252"/>
      <c r="R73" s="252"/>
      <c r="S73" s="252"/>
      <c r="T73" s="252"/>
      <c r="U73" s="254"/>
      <c r="V73" s="255"/>
      <c r="W73" s="255"/>
      <c r="X73" s="256"/>
      <c r="Y73" s="217"/>
      <c r="Z73" s="257"/>
      <c r="AA73" s="252"/>
      <c r="AB73" s="258"/>
      <c r="AC73" s="259"/>
      <c r="AD73" s="259">
        <f t="shared" si="3"/>
        <v>0</v>
      </c>
    </row>
    <row r="74" spans="13:30">
      <c r="M74" s="252"/>
      <c r="N74" s="252"/>
      <c r="O74" s="252"/>
      <c r="P74" s="253"/>
      <c r="Q74" s="252"/>
      <c r="R74" s="252"/>
      <c r="S74" s="252"/>
      <c r="T74" s="252"/>
      <c r="U74" s="254"/>
      <c r="V74" s="255"/>
      <c r="W74" s="255"/>
      <c r="X74" s="256"/>
      <c r="Y74" s="217"/>
      <c r="Z74" s="257"/>
      <c r="AA74" s="252"/>
      <c r="AB74" s="258"/>
      <c r="AC74" s="259"/>
      <c r="AD74" s="259">
        <f t="shared" si="3"/>
        <v>0</v>
      </c>
    </row>
    <row r="75" spans="13:30">
      <c r="M75" s="252"/>
      <c r="N75" s="252"/>
      <c r="O75" s="252"/>
      <c r="P75" s="253"/>
      <c r="Q75" s="252"/>
      <c r="R75" s="252"/>
      <c r="S75" s="252"/>
      <c r="T75" s="252"/>
      <c r="U75" s="254"/>
      <c r="V75" s="255"/>
      <c r="W75" s="255"/>
      <c r="X75" s="256"/>
      <c r="Y75" s="217"/>
      <c r="Z75" s="257"/>
      <c r="AA75" s="252"/>
      <c r="AB75" s="258"/>
      <c r="AC75" s="259"/>
      <c r="AD75" s="259">
        <f t="shared" si="3"/>
        <v>0</v>
      </c>
    </row>
    <row r="76" spans="13:30">
      <c r="M76" s="252"/>
      <c r="N76" s="252"/>
      <c r="O76" s="252"/>
      <c r="P76" s="253"/>
      <c r="Q76" s="252"/>
      <c r="R76" s="252"/>
      <c r="S76" s="252"/>
      <c r="T76" s="252"/>
      <c r="U76" s="254"/>
      <c r="V76" s="255"/>
      <c r="W76" s="255"/>
      <c r="X76" s="256"/>
      <c r="Y76" s="217"/>
      <c r="Z76" s="257"/>
      <c r="AA76" s="252"/>
      <c r="AB76" s="258"/>
      <c r="AC76" s="259"/>
      <c r="AD76" s="259">
        <f t="shared" si="3"/>
        <v>0</v>
      </c>
    </row>
    <row r="77" spans="13:30">
      <c r="M77" s="252"/>
      <c r="N77" s="252"/>
      <c r="O77" s="252"/>
      <c r="P77" s="253"/>
      <c r="Q77" s="252"/>
      <c r="R77" s="252"/>
      <c r="S77" s="252"/>
      <c r="T77" s="252"/>
      <c r="U77" s="254"/>
      <c r="V77" s="255"/>
      <c r="W77" s="255"/>
      <c r="X77" s="256"/>
      <c r="Y77" s="217"/>
      <c r="Z77" s="257"/>
      <c r="AA77" s="252"/>
      <c r="AB77" s="258"/>
      <c r="AC77" s="259"/>
      <c r="AD77" s="259">
        <f t="shared" si="3"/>
        <v>0</v>
      </c>
    </row>
    <row r="78" spans="13:30">
      <c r="M78" s="252"/>
      <c r="N78" s="252"/>
      <c r="O78" s="252"/>
      <c r="P78" s="253"/>
      <c r="Q78" s="252"/>
      <c r="R78" s="252"/>
      <c r="S78" s="252"/>
      <c r="T78" s="252"/>
      <c r="U78" s="254"/>
      <c r="V78" s="255"/>
      <c r="W78" s="255"/>
      <c r="X78" s="256"/>
      <c r="Y78" s="217"/>
      <c r="Z78" s="257"/>
      <c r="AA78" s="252"/>
      <c r="AB78" s="258"/>
      <c r="AC78" s="259"/>
      <c r="AD78" s="259">
        <f t="shared" si="3"/>
        <v>0</v>
      </c>
    </row>
    <row r="79" spans="13:30">
      <c r="M79" s="252"/>
      <c r="N79" s="252"/>
      <c r="O79" s="252"/>
      <c r="P79" s="253"/>
      <c r="Q79" s="252"/>
      <c r="R79" s="252"/>
      <c r="S79" s="252"/>
      <c r="T79" s="252"/>
      <c r="U79" s="254"/>
      <c r="V79" s="255"/>
      <c r="W79" s="255"/>
      <c r="X79" s="256"/>
      <c r="Y79" s="217"/>
      <c r="Z79" s="257"/>
      <c r="AA79" s="252"/>
      <c r="AB79" s="258"/>
      <c r="AC79" s="259"/>
      <c r="AD79" s="259">
        <f t="shared" si="3"/>
        <v>0</v>
      </c>
    </row>
    <row r="80" spans="13:30">
      <c r="M80" s="252"/>
      <c r="N80" s="252"/>
      <c r="O80" s="252"/>
      <c r="P80" s="253"/>
      <c r="Q80" s="252"/>
      <c r="R80" s="252"/>
      <c r="S80" s="252"/>
      <c r="T80" s="252"/>
      <c r="U80" s="254"/>
      <c r="V80" s="255"/>
      <c r="W80" s="255"/>
      <c r="X80" s="256"/>
      <c r="Y80" s="217"/>
      <c r="Z80" s="257"/>
      <c r="AA80" s="252"/>
      <c r="AB80" s="258"/>
      <c r="AC80" s="259"/>
      <c r="AD80" s="259">
        <f t="shared" si="3"/>
        <v>0</v>
      </c>
    </row>
    <row r="81" spans="13:30">
      <c r="M81" s="252"/>
      <c r="N81" s="252"/>
      <c r="O81" s="252"/>
      <c r="P81" s="253"/>
      <c r="Q81" s="252"/>
      <c r="R81" s="252"/>
      <c r="S81" s="252"/>
      <c r="T81" s="252"/>
      <c r="U81" s="254"/>
      <c r="V81" s="255"/>
      <c r="W81" s="255"/>
      <c r="X81" s="256"/>
      <c r="Y81" s="217"/>
      <c r="Z81" s="257"/>
      <c r="AA81" s="252"/>
      <c r="AB81" s="258"/>
      <c r="AC81" s="259"/>
      <c r="AD81" s="259">
        <f t="shared" si="3"/>
        <v>0</v>
      </c>
    </row>
    <row r="82" spans="13:30">
      <c r="M82" s="252"/>
      <c r="N82" s="252"/>
      <c r="O82" s="252"/>
      <c r="P82" s="253"/>
      <c r="Q82" s="252"/>
      <c r="R82" s="252"/>
      <c r="S82" s="252"/>
      <c r="T82" s="252"/>
      <c r="U82" s="254"/>
      <c r="V82" s="255"/>
      <c r="W82" s="255"/>
      <c r="X82" s="256"/>
      <c r="Y82" s="217"/>
      <c r="Z82" s="257"/>
      <c r="AA82" s="252"/>
      <c r="AB82" s="258"/>
      <c r="AC82" s="259"/>
      <c r="AD82" s="259">
        <f t="shared" si="3"/>
        <v>0</v>
      </c>
    </row>
    <row r="83" spans="13:30">
      <c r="M83" s="252"/>
      <c r="N83" s="252"/>
      <c r="O83" s="252"/>
      <c r="P83" s="253"/>
      <c r="Q83" s="252"/>
      <c r="R83" s="252"/>
      <c r="S83" s="252"/>
      <c r="T83" s="252"/>
      <c r="U83" s="254"/>
      <c r="V83" s="255"/>
      <c r="W83" s="255"/>
      <c r="X83" s="256"/>
      <c r="Y83" s="217"/>
      <c r="Z83" s="257"/>
      <c r="AA83" s="252"/>
      <c r="AB83" s="258"/>
      <c r="AC83" s="259"/>
      <c r="AD83" s="259">
        <f t="shared" si="3"/>
        <v>0</v>
      </c>
    </row>
    <row r="84" spans="13:30">
      <c r="M84" s="252"/>
      <c r="N84" s="252"/>
      <c r="O84" s="252"/>
      <c r="P84" s="253"/>
      <c r="Q84" s="252"/>
      <c r="R84" s="252"/>
      <c r="S84" s="252"/>
      <c r="T84" s="252"/>
      <c r="U84" s="254"/>
      <c r="V84" s="255"/>
      <c r="W84" s="255"/>
      <c r="X84" s="256"/>
      <c r="Y84" s="217"/>
      <c r="Z84" s="257"/>
      <c r="AA84" s="252"/>
      <c r="AB84" s="258"/>
      <c r="AC84" s="259"/>
      <c r="AD84" s="259">
        <f t="shared" si="3"/>
        <v>0</v>
      </c>
    </row>
    <row r="85" spans="13:30">
      <c r="M85" s="252"/>
      <c r="N85" s="252"/>
      <c r="O85" s="252"/>
      <c r="P85" s="253"/>
      <c r="Q85" s="252"/>
      <c r="R85" s="252"/>
      <c r="S85" s="252"/>
      <c r="T85" s="252"/>
      <c r="U85" s="254"/>
      <c r="V85" s="255"/>
      <c r="W85" s="255"/>
      <c r="X85" s="256"/>
      <c r="Y85" s="217"/>
      <c r="Z85" s="257"/>
      <c r="AA85" s="252"/>
      <c r="AB85" s="258"/>
      <c r="AC85" s="259"/>
      <c r="AD85" s="259">
        <f t="shared" si="3"/>
        <v>0</v>
      </c>
    </row>
    <row r="86" spans="13:30">
      <c r="M86" s="252"/>
      <c r="N86" s="252"/>
      <c r="O86" s="252"/>
      <c r="P86" s="253"/>
      <c r="Q86" s="252"/>
      <c r="R86" s="252"/>
      <c r="S86" s="252"/>
      <c r="T86" s="252"/>
      <c r="U86" s="254"/>
      <c r="V86" s="255"/>
      <c r="W86" s="255"/>
      <c r="X86" s="256"/>
      <c r="Y86" s="217"/>
      <c r="Z86" s="257"/>
      <c r="AA86" s="252"/>
      <c r="AB86" s="258"/>
      <c r="AC86" s="259"/>
      <c r="AD86" s="259">
        <f t="shared" si="3"/>
        <v>0</v>
      </c>
    </row>
    <row r="87" spans="13:30">
      <c r="M87" s="252"/>
      <c r="N87" s="252"/>
      <c r="O87" s="252"/>
      <c r="P87" s="253"/>
      <c r="Q87" s="252"/>
      <c r="R87" s="252"/>
      <c r="S87" s="252"/>
      <c r="T87" s="252"/>
      <c r="U87" s="254"/>
      <c r="V87" s="255"/>
      <c r="W87" s="255"/>
      <c r="X87" s="256"/>
      <c r="Y87" s="217"/>
      <c r="Z87" s="257"/>
      <c r="AA87" s="252"/>
      <c r="AB87" s="258"/>
      <c r="AC87" s="259"/>
      <c r="AD87" s="259">
        <f t="shared" si="3"/>
        <v>0</v>
      </c>
    </row>
    <row r="88" spans="13:30">
      <c r="M88" s="252"/>
      <c r="N88" s="252"/>
      <c r="O88" s="252"/>
      <c r="P88" s="253"/>
      <c r="Q88" s="252"/>
      <c r="R88" s="252"/>
      <c r="S88" s="252"/>
      <c r="T88" s="252"/>
      <c r="U88" s="254"/>
      <c r="V88" s="255"/>
      <c r="W88" s="255"/>
      <c r="X88" s="256"/>
      <c r="Y88" s="217"/>
      <c r="Z88" s="257"/>
      <c r="AA88" s="252"/>
      <c r="AB88" s="258"/>
      <c r="AC88" s="259"/>
      <c r="AD88" s="259">
        <f t="shared" si="3"/>
        <v>0</v>
      </c>
    </row>
    <row r="89" spans="13:30">
      <c r="M89" s="252"/>
      <c r="N89" s="252"/>
      <c r="O89" s="252"/>
      <c r="P89" s="253"/>
      <c r="Q89" s="252"/>
      <c r="R89" s="252"/>
      <c r="S89" s="252"/>
      <c r="T89" s="252"/>
      <c r="U89" s="254"/>
      <c r="V89" s="255"/>
      <c r="W89" s="255"/>
      <c r="X89" s="256"/>
      <c r="Y89" s="217"/>
      <c r="Z89" s="257"/>
      <c r="AA89" s="252"/>
      <c r="AB89" s="258"/>
      <c r="AC89" s="259"/>
      <c r="AD89" s="259">
        <f t="shared" si="3"/>
        <v>0</v>
      </c>
    </row>
    <row r="90" spans="13:30">
      <c r="M90" s="252"/>
      <c r="N90" s="252"/>
      <c r="O90" s="252"/>
      <c r="P90" s="253"/>
      <c r="Q90" s="252"/>
      <c r="R90" s="252"/>
      <c r="S90" s="252"/>
      <c r="T90" s="252"/>
      <c r="U90" s="254"/>
      <c r="V90" s="255"/>
      <c r="W90" s="255"/>
      <c r="X90" s="256"/>
      <c r="Y90" s="217"/>
      <c r="Z90" s="257"/>
      <c r="AA90" s="252"/>
      <c r="AB90" s="258"/>
      <c r="AC90" s="259"/>
      <c r="AD90" s="259"/>
    </row>
    <row r="91" spans="13:30">
      <c r="M91" s="252"/>
      <c r="N91" s="252"/>
      <c r="O91" s="252"/>
      <c r="P91" s="253"/>
      <c r="Q91" s="252"/>
      <c r="R91" s="252"/>
      <c r="S91" s="252"/>
      <c r="T91" s="252"/>
      <c r="U91" s="254"/>
      <c r="V91" s="255"/>
      <c r="W91" s="255"/>
      <c r="X91" s="256"/>
      <c r="Y91" s="217"/>
      <c r="Z91" s="257"/>
      <c r="AA91" s="252"/>
      <c r="AB91" s="258"/>
      <c r="AC91" s="259"/>
      <c r="AD91" s="259"/>
    </row>
    <row r="92" spans="13:30">
      <c r="M92" s="252"/>
      <c r="N92" s="252"/>
      <c r="O92" s="252"/>
      <c r="P92" s="253"/>
      <c r="Q92" s="252"/>
      <c r="R92" s="252"/>
      <c r="S92" s="252"/>
      <c r="T92" s="252"/>
      <c r="U92" s="254"/>
      <c r="V92" s="255"/>
      <c r="W92" s="255"/>
      <c r="X92" s="256"/>
      <c r="Y92" s="217"/>
      <c r="Z92" s="257"/>
      <c r="AA92" s="252"/>
      <c r="AB92" s="258"/>
      <c r="AC92" s="259"/>
      <c r="AD92" s="259"/>
    </row>
    <row r="93" spans="13:30">
      <c r="M93" s="252"/>
      <c r="N93" s="252"/>
      <c r="O93" s="252"/>
      <c r="P93" s="253"/>
      <c r="Q93" s="252"/>
      <c r="R93" s="252"/>
      <c r="S93" s="252"/>
      <c r="T93" s="252"/>
      <c r="U93" s="254"/>
      <c r="V93" s="255"/>
      <c r="W93" s="255"/>
      <c r="X93" s="256"/>
      <c r="Y93" s="217"/>
      <c r="Z93" s="257"/>
      <c r="AA93" s="252"/>
      <c r="AB93" s="258"/>
      <c r="AC93" s="259"/>
      <c r="AD93" s="259"/>
    </row>
    <row r="94" spans="13:30">
      <c r="M94" s="252"/>
      <c r="N94" s="252"/>
      <c r="O94" s="252"/>
      <c r="P94" s="253"/>
      <c r="Q94" s="252"/>
      <c r="R94" s="252"/>
      <c r="S94" s="252"/>
      <c r="T94" s="252"/>
      <c r="U94" s="254"/>
      <c r="V94" s="255"/>
      <c r="W94" s="255"/>
      <c r="X94" s="256"/>
      <c r="Y94" s="217"/>
      <c r="Z94" s="257"/>
      <c r="AA94" s="252"/>
      <c r="AB94" s="258"/>
      <c r="AC94" s="259"/>
      <c r="AD94" s="259"/>
    </row>
    <row r="95" spans="13:30">
      <c r="M95" s="252"/>
      <c r="N95" s="252"/>
      <c r="O95" s="252"/>
      <c r="P95" s="253"/>
      <c r="Q95" s="252"/>
      <c r="R95" s="252"/>
      <c r="S95" s="252"/>
      <c r="T95" s="252"/>
      <c r="U95" s="254"/>
      <c r="V95" s="255"/>
      <c r="W95" s="255"/>
      <c r="X95" s="256"/>
      <c r="Y95" s="217"/>
      <c r="Z95" s="257"/>
      <c r="AA95" s="252"/>
      <c r="AB95" s="258"/>
      <c r="AC95" s="259"/>
      <c r="AD95" s="259"/>
    </row>
    <row r="96" spans="13:30">
      <c r="M96" s="252"/>
      <c r="N96" s="252"/>
      <c r="O96" s="252"/>
      <c r="P96" s="253"/>
      <c r="Q96" s="252"/>
      <c r="R96" s="252"/>
      <c r="S96" s="252"/>
      <c r="T96" s="252"/>
      <c r="U96" s="254"/>
      <c r="V96" s="255"/>
      <c r="W96" s="255"/>
      <c r="X96" s="256"/>
      <c r="Y96" s="217"/>
      <c r="Z96" s="257"/>
      <c r="AA96" s="252"/>
      <c r="AB96" s="258"/>
      <c r="AC96" s="259"/>
      <c r="AD96" s="259"/>
    </row>
    <row r="97" spans="13:30">
      <c r="M97" s="252"/>
      <c r="N97" s="252"/>
      <c r="O97" s="252"/>
      <c r="P97" s="253"/>
      <c r="Q97" s="252"/>
      <c r="R97" s="252"/>
      <c r="S97" s="252"/>
      <c r="T97" s="252"/>
      <c r="U97" s="254"/>
      <c r="V97" s="255"/>
      <c r="W97" s="255"/>
      <c r="X97" s="256"/>
      <c r="Y97" s="217"/>
      <c r="Z97" s="257"/>
      <c r="AA97" s="252"/>
      <c r="AB97" s="258"/>
      <c r="AC97" s="259"/>
      <c r="AD97" s="259"/>
    </row>
    <row r="98" spans="13:30">
      <c r="M98" s="252"/>
      <c r="N98" s="252"/>
      <c r="O98" s="252"/>
      <c r="P98" s="253"/>
      <c r="Q98" s="252"/>
      <c r="R98" s="252"/>
      <c r="S98" s="252"/>
      <c r="T98" s="252"/>
      <c r="U98" s="254"/>
      <c r="V98" s="255"/>
      <c r="W98" s="255"/>
      <c r="X98" s="256"/>
      <c r="Y98" s="217"/>
      <c r="Z98" s="257"/>
      <c r="AA98" s="252"/>
      <c r="AB98" s="258"/>
      <c r="AC98" s="259"/>
      <c r="AD98" s="259"/>
    </row>
    <row r="99" spans="13:30">
      <c r="M99" s="252"/>
      <c r="N99" s="252"/>
      <c r="O99" s="252"/>
      <c r="P99" s="253"/>
      <c r="Q99" s="252"/>
      <c r="R99" s="252"/>
      <c r="S99" s="252"/>
      <c r="T99" s="252"/>
      <c r="U99" s="254"/>
      <c r="V99" s="255"/>
      <c r="W99" s="255"/>
      <c r="X99" s="256"/>
      <c r="Y99" s="217"/>
      <c r="Z99" s="257"/>
      <c r="AA99" s="252"/>
      <c r="AB99" s="258"/>
      <c r="AC99" s="259"/>
      <c r="AD99" s="259"/>
    </row>
    <row r="100" spans="13:30">
      <c r="M100" s="252"/>
      <c r="N100" s="252"/>
      <c r="O100" s="252"/>
      <c r="P100" s="253"/>
      <c r="Q100" s="252"/>
      <c r="R100" s="252"/>
      <c r="S100" s="252"/>
      <c r="T100" s="252"/>
      <c r="U100" s="254"/>
      <c r="V100" s="255"/>
      <c r="W100" s="255"/>
      <c r="X100" s="256"/>
      <c r="Y100" s="217"/>
      <c r="Z100" s="257"/>
      <c r="AA100" s="252"/>
      <c r="AB100" s="258"/>
      <c r="AC100" s="259"/>
      <c r="AD100" s="259"/>
    </row>
    <row r="101" spans="13:30">
      <c r="M101" s="252"/>
      <c r="N101" s="252"/>
      <c r="O101" s="252"/>
      <c r="P101" s="253"/>
      <c r="Q101" s="252"/>
      <c r="R101" s="252"/>
      <c r="S101" s="252"/>
      <c r="T101" s="252"/>
      <c r="U101" s="254"/>
      <c r="V101" s="255"/>
      <c r="W101" s="255"/>
      <c r="X101" s="256"/>
      <c r="Y101" s="217"/>
      <c r="Z101" s="257"/>
      <c r="AA101" s="252"/>
      <c r="AB101" s="258"/>
      <c r="AC101" s="259"/>
      <c r="AD101" s="259"/>
    </row>
    <row r="102" spans="13:30">
      <c r="M102" s="252"/>
      <c r="N102" s="252"/>
      <c r="O102" s="252"/>
      <c r="P102" s="253"/>
      <c r="Q102" s="252"/>
      <c r="R102" s="252"/>
      <c r="S102" s="252"/>
      <c r="T102" s="252"/>
      <c r="U102" s="254"/>
      <c r="V102" s="255"/>
      <c r="W102" s="255"/>
      <c r="X102" s="256"/>
      <c r="Y102" s="217"/>
      <c r="Z102" s="257"/>
      <c r="AA102" s="252"/>
      <c r="AB102" s="258"/>
      <c r="AC102" s="259"/>
      <c r="AD102" s="259"/>
    </row>
    <row r="103" spans="13:30">
      <c r="M103" s="252"/>
      <c r="N103" s="252"/>
      <c r="O103" s="252"/>
      <c r="P103" s="253"/>
      <c r="Q103" s="252"/>
      <c r="R103" s="252"/>
      <c r="S103" s="252"/>
      <c r="T103" s="252"/>
      <c r="U103" s="254"/>
      <c r="V103" s="255"/>
      <c r="W103" s="255"/>
      <c r="X103" s="256"/>
      <c r="Y103" s="217"/>
      <c r="Z103" s="257"/>
      <c r="AA103" s="252"/>
      <c r="AB103" s="258"/>
      <c r="AC103" s="259"/>
      <c r="AD103" s="259"/>
    </row>
    <row r="104" spans="13:30">
      <c r="M104" s="252"/>
      <c r="N104" s="252"/>
      <c r="O104" s="252"/>
      <c r="P104" s="253"/>
      <c r="Q104" s="252"/>
      <c r="R104" s="252"/>
      <c r="S104" s="252"/>
      <c r="T104" s="252"/>
      <c r="U104" s="254"/>
      <c r="V104" s="255"/>
      <c r="W104" s="255"/>
      <c r="X104" s="256"/>
      <c r="Y104" s="217"/>
      <c r="Z104" s="257"/>
      <c r="AA104" s="252"/>
      <c r="AB104" s="258"/>
      <c r="AC104" s="259"/>
      <c r="AD104" s="259"/>
    </row>
    <row r="105" spans="13:30">
      <c r="M105" s="252"/>
      <c r="N105" s="252"/>
      <c r="O105" s="252"/>
      <c r="P105" s="253"/>
      <c r="Q105" s="252"/>
      <c r="R105" s="252"/>
      <c r="S105" s="252"/>
      <c r="T105" s="252"/>
      <c r="U105" s="254"/>
      <c r="V105" s="255"/>
      <c r="W105" s="255"/>
      <c r="X105" s="256"/>
      <c r="Y105" s="217"/>
      <c r="Z105" s="257"/>
      <c r="AA105" s="252"/>
      <c r="AB105" s="258"/>
      <c r="AC105" s="259"/>
      <c r="AD105" s="259"/>
    </row>
    <row r="106" spans="13:30">
      <c r="M106" s="252"/>
      <c r="N106" s="252"/>
      <c r="O106" s="252"/>
      <c r="P106" s="253"/>
      <c r="Q106" s="252"/>
      <c r="R106" s="252"/>
      <c r="S106" s="252"/>
      <c r="T106" s="252"/>
      <c r="U106" s="254"/>
      <c r="V106" s="255"/>
      <c r="W106" s="255"/>
      <c r="X106" s="256"/>
      <c r="Y106" s="217"/>
      <c r="Z106" s="257"/>
      <c r="AA106" s="252"/>
      <c r="AB106" s="258"/>
      <c r="AC106" s="259"/>
      <c r="AD106" s="259"/>
    </row>
    <row r="107" spans="13:30">
      <c r="M107" s="252"/>
      <c r="N107" s="252"/>
      <c r="O107" s="252"/>
      <c r="P107" s="253"/>
      <c r="Q107" s="252"/>
      <c r="R107" s="252"/>
      <c r="S107" s="252"/>
      <c r="T107" s="252"/>
      <c r="U107" s="254"/>
      <c r="V107" s="255"/>
      <c r="W107" s="255"/>
      <c r="X107" s="256"/>
      <c r="Y107" s="217"/>
      <c r="Z107" s="257"/>
      <c r="AA107" s="252"/>
      <c r="AB107" s="258"/>
      <c r="AC107" s="259"/>
      <c r="AD107" s="259"/>
    </row>
    <row r="108" spans="13:30">
      <c r="M108" s="252"/>
      <c r="N108" s="252"/>
      <c r="O108" s="252"/>
      <c r="P108" s="253"/>
      <c r="Q108" s="252"/>
      <c r="R108" s="252"/>
      <c r="S108" s="252"/>
      <c r="T108" s="252"/>
      <c r="U108" s="254"/>
      <c r="V108" s="255"/>
      <c r="W108" s="255"/>
      <c r="X108" s="256"/>
      <c r="Y108" s="217"/>
      <c r="Z108" s="257"/>
      <c r="AA108" s="252"/>
      <c r="AB108" s="258"/>
      <c r="AC108" s="259"/>
      <c r="AD108" s="259"/>
    </row>
    <row r="109" spans="13:30">
      <c r="M109" s="252"/>
      <c r="N109" s="252"/>
      <c r="O109" s="252"/>
      <c r="P109" s="253"/>
      <c r="Q109" s="252"/>
      <c r="R109" s="252"/>
      <c r="S109" s="252"/>
      <c r="T109" s="252"/>
      <c r="U109" s="254"/>
      <c r="V109" s="255"/>
      <c r="W109" s="255"/>
      <c r="X109" s="256"/>
      <c r="Y109" s="217"/>
      <c r="Z109" s="257"/>
      <c r="AA109" s="252"/>
      <c r="AB109" s="258"/>
      <c r="AC109" s="259"/>
      <c r="AD109" s="259"/>
    </row>
    <row r="110" spans="13:30">
      <c r="M110" s="252"/>
      <c r="N110" s="252"/>
      <c r="O110" s="252"/>
      <c r="P110" s="253"/>
      <c r="Q110" s="252"/>
      <c r="R110" s="252"/>
      <c r="S110" s="252"/>
      <c r="T110" s="252"/>
      <c r="U110" s="254"/>
      <c r="V110" s="255"/>
      <c r="W110" s="255"/>
      <c r="X110" s="256"/>
      <c r="Y110" s="217"/>
      <c r="Z110" s="257"/>
      <c r="AA110" s="252"/>
      <c r="AB110" s="258"/>
      <c r="AC110" s="259"/>
      <c r="AD110" s="259"/>
    </row>
    <row r="111" spans="13:30">
      <c r="M111" s="252"/>
      <c r="N111" s="252"/>
      <c r="O111" s="252"/>
      <c r="P111" s="253"/>
      <c r="Q111" s="252"/>
      <c r="R111" s="252"/>
      <c r="S111" s="252"/>
      <c r="T111" s="252"/>
      <c r="U111" s="254"/>
      <c r="V111" s="255"/>
      <c r="W111" s="255"/>
      <c r="X111" s="256"/>
      <c r="Y111" s="217"/>
      <c r="Z111" s="257"/>
      <c r="AA111" s="252"/>
      <c r="AB111" s="258"/>
      <c r="AC111" s="259"/>
      <c r="AD111" s="259"/>
    </row>
    <row r="112" spans="13:30">
      <c r="M112" s="252"/>
      <c r="N112" s="252"/>
      <c r="O112" s="252"/>
      <c r="P112" s="253"/>
      <c r="Q112" s="252"/>
      <c r="R112" s="252"/>
      <c r="S112" s="252"/>
      <c r="T112" s="252"/>
      <c r="U112" s="254"/>
      <c r="V112" s="255"/>
      <c r="W112" s="255"/>
      <c r="X112" s="256"/>
      <c r="Y112" s="217"/>
      <c r="Z112" s="257"/>
      <c r="AA112" s="252"/>
      <c r="AB112" s="258"/>
      <c r="AC112" s="259"/>
      <c r="AD112" s="259"/>
    </row>
    <row r="113" spans="13:30">
      <c r="M113" s="252"/>
      <c r="N113" s="252"/>
      <c r="O113" s="252"/>
      <c r="P113" s="253"/>
      <c r="Q113" s="252"/>
      <c r="R113" s="252"/>
      <c r="S113" s="252"/>
      <c r="T113" s="252"/>
      <c r="U113" s="254"/>
      <c r="V113" s="255"/>
      <c r="W113" s="255"/>
      <c r="X113" s="256"/>
      <c r="Y113" s="217"/>
      <c r="Z113" s="257"/>
      <c r="AA113" s="252"/>
      <c r="AB113" s="258"/>
      <c r="AC113" s="259"/>
      <c r="AD113" s="259"/>
    </row>
    <row r="114" spans="13:30">
      <c r="M114" s="252"/>
      <c r="N114" s="252"/>
      <c r="O114" s="252"/>
      <c r="P114" s="253"/>
      <c r="Q114" s="252"/>
      <c r="R114" s="252"/>
      <c r="S114" s="252"/>
      <c r="T114" s="252"/>
      <c r="U114" s="254"/>
      <c r="V114" s="255"/>
      <c r="W114" s="255"/>
      <c r="X114" s="256"/>
      <c r="Y114" s="217"/>
      <c r="Z114" s="257"/>
      <c r="AA114" s="252"/>
      <c r="AB114" s="258"/>
      <c r="AC114" s="259"/>
      <c r="AD114" s="259"/>
    </row>
    <row r="115" spans="13:30">
      <c r="M115" s="252"/>
      <c r="N115" s="252"/>
      <c r="O115" s="252"/>
      <c r="P115" s="253"/>
      <c r="Q115" s="252"/>
      <c r="R115" s="252"/>
      <c r="S115" s="252"/>
      <c r="T115" s="252"/>
      <c r="U115" s="254"/>
      <c r="V115" s="255"/>
      <c r="W115" s="255"/>
      <c r="X115" s="256"/>
      <c r="Y115" s="217"/>
      <c r="Z115" s="257"/>
      <c r="AA115" s="252"/>
      <c r="AB115" s="258"/>
      <c r="AC115" s="259"/>
      <c r="AD115" s="259"/>
    </row>
    <row r="116" spans="13:30">
      <c r="M116" s="252"/>
      <c r="N116" s="252"/>
      <c r="O116" s="252"/>
      <c r="P116" s="253"/>
      <c r="Q116" s="252"/>
      <c r="R116" s="252"/>
      <c r="S116" s="252"/>
      <c r="T116" s="252"/>
      <c r="U116" s="254"/>
      <c r="V116" s="255"/>
      <c r="W116" s="255"/>
      <c r="X116" s="256"/>
      <c r="Y116" s="217"/>
      <c r="Z116" s="257"/>
      <c r="AA116" s="252"/>
      <c r="AB116" s="258"/>
      <c r="AC116" s="259"/>
      <c r="AD116" s="259"/>
    </row>
    <row r="117" spans="13:30">
      <c r="M117" s="252"/>
      <c r="N117" s="252"/>
      <c r="O117" s="252"/>
      <c r="P117" s="253"/>
      <c r="Q117" s="252"/>
      <c r="R117" s="252"/>
      <c r="S117" s="252"/>
      <c r="T117" s="252"/>
      <c r="U117" s="254"/>
      <c r="V117" s="255"/>
      <c r="W117" s="255"/>
      <c r="X117" s="256"/>
      <c r="Y117" s="217"/>
      <c r="Z117" s="257"/>
      <c r="AA117" s="252"/>
      <c r="AB117" s="258"/>
      <c r="AC117" s="259"/>
      <c r="AD117" s="259"/>
    </row>
    <row r="118" spans="13:30">
      <c r="M118" s="252"/>
      <c r="N118" s="252"/>
      <c r="O118" s="252"/>
      <c r="P118" s="253"/>
      <c r="Q118" s="252"/>
      <c r="R118" s="252"/>
      <c r="S118" s="252"/>
      <c r="T118" s="252"/>
      <c r="U118" s="254"/>
      <c r="V118" s="255"/>
      <c r="W118" s="255"/>
      <c r="X118" s="256"/>
      <c r="Y118" s="217"/>
      <c r="Z118" s="257"/>
      <c r="AA118" s="252"/>
      <c r="AB118" s="258"/>
      <c r="AC118" s="259"/>
      <c r="AD118" s="259"/>
    </row>
    <row r="119" spans="13:30">
      <c r="M119" s="252"/>
      <c r="N119" s="252"/>
      <c r="O119" s="252"/>
      <c r="P119" s="253"/>
      <c r="Q119" s="252"/>
      <c r="R119" s="252"/>
      <c r="S119" s="252"/>
      <c r="T119" s="252"/>
      <c r="U119" s="254"/>
      <c r="V119" s="255"/>
      <c r="W119" s="255"/>
      <c r="X119" s="256"/>
      <c r="Y119" s="217"/>
      <c r="Z119" s="257"/>
      <c r="AA119" s="252"/>
      <c r="AB119" s="258"/>
      <c r="AC119" s="259"/>
      <c r="AD119" s="259"/>
    </row>
    <row r="120" spans="13:30">
      <c r="M120" s="252"/>
      <c r="N120" s="252"/>
      <c r="O120" s="252"/>
      <c r="P120" s="253"/>
      <c r="Q120" s="252"/>
      <c r="R120" s="252"/>
      <c r="S120" s="252"/>
      <c r="T120" s="252"/>
      <c r="U120" s="254"/>
      <c r="V120" s="255"/>
      <c r="W120" s="255"/>
      <c r="X120" s="256"/>
      <c r="Y120" s="217"/>
      <c r="Z120" s="257"/>
      <c r="AA120" s="252"/>
      <c r="AB120" s="258"/>
      <c r="AC120" s="259"/>
      <c r="AD120" s="259"/>
    </row>
    <row r="121" spans="13:30">
      <c r="M121" s="252"/>
      <c r="N121" s="252"/>
      <c r="O121" s="252"/>
      <c r="P121" s="253"/>
      <c r="Q121" s="252"/>
      <c r="R121" s="252"/>
      <c r="S121" s="252"/>
      <c r="T121" s="252"/>
      <c r="U121" s="254"/>
      <c r="V121" s="255"/>
      <c r="W121" s="255"/>
      <c r="X121" s="256"/>
      <c r="Y121" s="217"/>
      <c r="Z121" s="257"/>
      <c r="AA121" s="252"/>
      <c r="AB121" s="258"/>
      <c r="AC121" s="259"/>
      <c r="AD121" s="259"/>
    </row>
    <row r="122" spans="13:30">
      <c r="M122" s="252"/>
      <c r="N122" s="252"/>
      <c r="O122" s="252"/>
      <c r="P122" s="253"/>
      <c r="Q122" s="252"/>
      <c r="R122" s="252"/>
      <c r="S122" s="252"/>
      <c r="T122" s="252"/>
      <c r="U122" s="254"/>
      <c r="V122" s="255"/>
      <c r="W122" s="255"/>
      <c r="X122" s="256"/>
      <c r="Y122" s="217"/>
      <c r="Z122" s="257"/>
      <c r="AA122" s="252"/>
      <c r="AB122" s="258"/>
      <c r="AC122" s="259"/>
      <c r="AD122" s="259"/>
    </row>
    <row r="123" spans="13:30">
      <c r="M123" s="252"/>
      <c r="N123" s="252"/>
      <c r="O123" s="252"/>
      <c r="P123" s="253"/>
      <c r="Q123" s="252"/>
      <c r="R123" s="252"/>
      <c r="S123" s="252"/>
      <c r="T123" s="252"/>
      <c r="U123" s="254"/>
      <c r="V123" s="255"/>
      <c r="W123" s="255"/>
      <c r="X123" s="256"/>
      <c r="Y123" s="217"/>
      <c r="Z123" s="257"/>
      <c r="AA123" s="252"/>
      <c r="AB123" s="258"/>
      <c r="AC123" s="259"/>
      <c r="AD123" s="259"/>
    </row>
    <row r="124" spans="13:30">
      <c r="M124" s="252"/>
      <c r="N124" s="252"/>
      <c r="O124" s="252"/>
      <c r="P124" s="253"/>
      <c r="Q124" s="252"/>
      <c r="R124" s="252"/>
      <c r="S124" s="252"/>
      <c r="T124" s="252"/>
      <c r="U124" s="254"/>
      <c r="V124" s="255"/>
      <c r="W124" s="255"/>
      <c r="X124" s="256"/>
      <c r="Y124" s="217"/>
      <c r="Z124" s="257"/>
      <c r="AA124" s="252"/>
      <c r="AB124" s="258"/>
      <c r="AC124" s="259"/>
      <c r="AD124" s="259"/>
    </row>
    <row r="125" spans="13:30">
      <c r="M125" s="252"/>
      <c r="N125" s="252"/>
      <c r="O125" s="252"/>
      <c r="P125" s="253"/>
      <c r="Q125" s="252"/>
      <c r="R125" s="252"/>
      <c r="S125" s="252"/>
      <c r="T125" s="252"/>
      <c r="U125" s="254"/>
      <c r="V125" s="255"/>
      <c r="W125" s="255"/>
      <c r="X125" s="256"/>
      <c r="Y125" s="217"/>
      <c r="Z125" s="257"/>
      <c r="AA125" s="252"/>
      <c r="AB125" s="258"/>
      <c r="AC125" s="259"/>
      <c r="AD125" s="259"/>
    </row>
    <row r="126" spans="13:30">
      <c r="M126" s="252"/>
      <c r="N126" s="252"/>
      <c r="O126" s="252"/>
      <c r="P126" s="253"/>
      <c r="Q126" s="252"/>
      <c r="R126" s="252"/>
      <c r="S126" s="252"/>
      <c r="T126" s="252"/>
      <c r="U126" s="254"/>
      <c r="V126" s="255"/>
      <c r="W126" s="255"/>
      <c r="X126" s="256"/>
      <c r="Y126" s="217"/>
      <c r="Z126" s="257"/>
      <c r="AA126" s="252"/>
      <c r="AB126" s="258"/>
      <c r="AC126" s="259"/>
      <c r="AD126" s="259"/>
    </row>
    <row r="127" spans="13:30">
      <c r="M127" s="252"/>
      <c r="N127" s="252"/>
      <c r="O127" s="252"/>
      <c r="P127" s="253"/>
      <c r="Q127" s="252"/>
      <c r="R127" s="252"/>
      <c r="S127" s="252"/>
      <c r="T127" s="252"/>
      <c r="U127" s="254"/>
      <c r="V127" s="255"/>
      <c r="W127" s="255"/>
      <c r="X127" s="256"/>
      <c r="Y127" s="217"/>
      <c r="Z127" s="257"/>
      <c r="AA127" s="252"/>
      <c r="AB127" s="258"/>
      <c r="AC127" s="259"/>
      <c r="AD127" s="259"/>
    </row>
    <row r="128" spans="13:30">
      <c r="M128" s="252"/>
      <c r="N128" s="252"/>
      <c r="O128" s="252"/>
      <c r="P128" s="253"/>
      <c r="Q128" s="252"/>
      <c r="R128" s="252"/>
      <c r="S128" s="252"/>
      <c r="T128" s="252"/>
      <c r="U128" s="254"/>
      <c r="V128" s="255"/>
      <c r="W128" s="255"/>
      <c r="X128" s="256"/>
      <c r="Y128" s="217"/>
      <c r="Z128" s="257"/>
      <c r="AA128" s="252"/>
      <c r="AB128" s="258"/>
      <c r="AC128" s="259"/>
      <c r="AD128" s="259"/>
    </row>
    <row r="129" spans="13:30">
      <c r="M129" s="252"/>
      <c r="N129" s="252"/>
      <c r="O129" s="252"/>
      <c r="P129" s="253"/>
      <c r="Q129" s="252"/>
      <c r="R129" s="252"/>
      <c r="S129" s="252"/>
      <c r="T129" s="252"/>
      <c r="U129" s="254"/>
      <c r="V129" s="255"/>
      <c r="W129" s="255"/>
      <c r="X129" s="256"/>
      <c r="Y129" s="217"/>
      <c r="Z129" s="257"/>
      <c r="AA129" s="252"/>
      <c r="AB129" s="258"/>
      <c r="AC129" s="259"/>
      <c r="AD129" s="259"/>
    </row>
    <row r="130" spans="13:30">
      <c r="M130" s="252"/>
      <c r="N130" s="252"/>
      <c r="O130" s="252"/>
      <c r="P130" s="253"/>
      <c r="Q130" s="252"/>
      <c r="R130" s="252"/>
      <c r="S130" s="252"/>
      <c r="T130" s="252"/>
      <c r="U130" s="254"/>
      <c r="V130" s="255"/>
      <c r="W130" s="255"/>
      <c r="X130" s="256"/>
      <c r="Y130" s="217"/>
      <c r="Z130" s="257"/>
      <c r="AA130" s="252"/>
      <c r="AB130" s="258"/>
      <c r="AC130" s="259"/>
      <c r="AD130" s="259"/>
    </row>
    <row r="131" spans="13:30">
      <c r="M131" s="252"/>
      <c r="N131" s="252"/>
      <c r="O131" s="252"/>
      <c r="P131" s="253"/>
      <c r="Q131" s="252"/>
      <c r="R131" s="252"/>
      <c r="S131" s="252"/>
      <c r="T131" s="252"/>
      <c r="U131" s="254"/>
      <c r="V131" s="255"/>
      <c r="W131" s="255"/>
      <c r="X131" s="256"/>
      <c r="Y131" s="217"/>
      <c r="Z131" s="257"/>
      <c r="AA131" s="252"/>
      <c r="AB131" s="258"/>
      <c r="AC131" s="259"/>
      <c r="AD131" s="259"/>
    </row>
    <row r="132" spans="13:30">
      <c r="M132" s="252"/>
      <c r="N132" s="252"/>
      <c r="O132" s="252"/>
      <c r="P132" s="253"/>
      <c r="Q132" s="252"/>
      <c r="R132" s="252"/>
      <c r="S132" s="252"/>
      <c r="T132" s="252"/>
      <c r="U132" s="254"/>
      <c r="V132" s="255"/>
      <c r="W132" s="255"/>
      <c r="X132" s="256"/>
      <c r="Y132" s="217"/>
      <c r="Z132" s="257"/>
      <c r="AA132" s="252"/>
      <c r="AB132" s="258"/>
      <c r="AC132" s="259"/>
      <c r="AD132" s="259"/>
    </row>
    <row r="133" spans="13:30">
      <c r="M133" s="252" t="s">
        <v>315</v>
      </c>
      <c r="N133" s="252" t="s">
        <v>1016</v>
      </c>
      <c r="O133" s="252" t="s">
        <v>1015</v>
      </c>
      <c r="P133" s="253" t="s">
        <v>4837</v>
      </c>
      <c r="Q133" s="252" t="s">
        <v>1012</v>
      </c>
      <c r="R133" s="252" t="s">
        <v>4838</v>
      </c>
      <c r="S133" s="252" t="s">
        <v>4839</v>
      </c>
      <c r="T133" s="252" t="s">
        <v>4840</v>
      </c>
      <c r="U133" s="254" t="s">
        <v>4841</v>
      </c>
      <c r="V133" s="255" t="s">
        <v>4842</v>
      </c>
      <c r="W133" s="255" t="s">
        <v>4843</v>
      </c>
      <c r="X133" s="256" t="s">
        <v>4844</v>
      </c>
      <c r="Y133" s="217" t="s">
        <v>4845</v>
      </c>
      <c r="Z133" s="257"/>
      <c r="AA133" s="252"/>
      <c r="AB133" s="258"/>
      <c r="AC133" s="259"/>
      <c r="AD133" s="259"/>
    </row>
    <row r="134" spans="13:30">
      <c r="M134" s="217">
        <v>1</v>
      </c>
      <c r="N134" s="293" t="s">
        <v>5024</v>
      </c>
      <c r="O134" s="293" t="s">
        <v>5025</v>
      </c>
      <c r="P134" s="294">
        <v>46105.6875</v>
      </c>
      <c r="Q134" s="293" t="s">
        <v>5026</v>
      </c>
      <c r="R134" s="293">
        <v>1</v>
      </c>
      <c r="S134" s="293"/>
      <c r="T134" s="293">
        <v>9400</v>
      </c>
      <c r="U134" s="295">
        <v>9400</v>
      </c>
      <c r="V134" s="296">
        <v>940</v>
      </c>
      <c r="W134" s="296">
        <v>8460</v>
      </c>
      <c r="X134" s="294">
        <v>46164.404212963003</v>
      </c>
      <c r="Y134" s="217" t="s">
        <v>208</v>
      </c>
      <c r="Z134" s="257" t="s">
        <v>5016</v>
      </c>
      <c r="AA134" s="297"/>
      <c r="AB134" s="258"/>
      <c r="AC134" s="259"/>
      <c r="AD134" s="259"/>
    </row>
    <row r="135" spans="13:30">
      <c r="M135" s="217">
        <v>6</v>
      </c>
      <c r="N135" s="293" t="s">
        <v>5027</v>
      </c>
      <c r="O135" s="293" t="s">
        <v>5028</v>
      </c>
      <c r="P135" s="294">
        <v>46114.529166666704</v>
      </c>
      <c r="Q135" s="293" t="s">
        <v>5019</v>
      </c>
      <c r="R135" s="293">
        <v>1</v>
      </c>
      <c r="S135" s="293"/>
      <c r="T135" s="293">
        <v>21333</v>
      </c>
      <c r="U135" s="295">
        <v>21333</v>
      </c>
      <c r="V135" s="296">
        <v>2133.3000000000002</v>
      </c>
      <c r="W135" s="296">
        <v>19199.7</v>
      </c>
      <c r="X135" s="294">
        <v>46145.380173611098</v>
      </c>
      <c r="Y135" s="217" t="s">
        <v>208</v>
      </c>
      <c r="Z135" s="257" t="s">
        <v>5016</v>
      </c>
      <c r="AA135" s="297"/>
      <c r="AB135" s="258"/>
      <c r="AC135" s="259"/>
      <c r="AD135" s="259">
        <f t="shared" ref="AD135:AD172" si="4">U135+V135-AB135-AC135</f>
        <v>23466.3</v>
      </c>
    </row>
    <row r="136" spans="13:30">
      <c r="M136" s="217">
        <v>8</v>
      </c>
      <c r="N136" s="293" t="s">
        <v>5029</v>
      </c>
      <c r="O136" s="293" t="s">
        <v>5030</v>
      </c>
      <c r="P136" s="294">
        <v>46143.410416666702</v>
      </c>
      <c r="Q136" s="293" t="s">
        <v>5026</v>
      </c>
      <c r="R136" s="293">
        <v>1</v>
      </c>
      <c r="S136" s="293"/>
      <c r="T136" s="293">
        <v>8050</v>
      </c>
      <c r="U136" s="295">
        <v>8050</v>
      </c>
      <c r="V136" s="296">
        <v>805</v>
      </c>
      <c r="W136" s="296">
        <v>7245</v>
      </c>
      <c r="X136" s="294">
        <v>46156.398240740702</v>
      </c>
      <c r="Y136" s="217" t="s">
        <v>208</v>
      </c>
      <c r="Z136" s="257" t="s">
        <v>5016</v>
      </c>
      <c r="AA136" s="297"/>
      <c r="AB136" s="258"/>
      <c r="AC136" s="259"/>
      <c r="AD136" s="259">
        <f t="shared" si="4"/>
        <v>8855</v>
      </c>
    </row>
    <row r="137" spans="13:30">
      <c r="M137" s="217">
        <v>9</v>
      </c>
      <c r="N137" s="293" t="s">
        <v>5031</v>
      </c>
      <c r="O137" s="293" t="s">
        <v>5032</v>
      </c>
      <c r="P137" s="294">
        <v>46148.720138888901</v>
      </c>
      <c r="Q137" s="293" t="s">
        <v>5026</v>
      </c>
      <c r="R137" s="293"/>
      <c r="S137" s="293">
        <v>1</v>
      </c>
      <c r="T137" s="293">
        <v>4490</v>
      </c>
      <c r="U137" s="295">
        <v>4490</v>
      </c>
      <c r="V137" s="296">
        <v>449</v>
      </c>
      <c r="W137" s="296">
        <v>4041</v>
      </c>
      <c r="X137" s="294">
        <v>46162.432835648098</v>
      </c>
      <c r="Y137" s="217" t="s">
        <v>208</v>
      </c>
      <c r="Z137" s="257" t="s">
        <v>5016</v>
      </c>
      <c r="AA137" s="297"/>
      <c r="AB137" s="258"/>
      <c r="AC137" s="259"/>
      <c r="AD137" s="259">
        <f t="shared" si="4"/>
        <v>4939</v>
      </c>
    </row>
    <row r="138" spans="13:30">
      <c r="M138" s="217">
        <v>10</v>
      </c>
      <c r="N138" s="293" t="s">
        <v>5033</v>
      </c>
      <c r="O138" s="293" t="s">
        <v>5034</v>
      </c>
      <c r="P138" s="294">
        <v>46148.7368055556</v>
      </c>
      <c r="Q138" s="293" t="s">
        <v>4777</v>
      </c>
      <c r="R138" s="293"/>
      <c r="S138" s="293">
        <v>1</v>
      </c>
      <c r="T138" s="293">
        <v>3810</v>
      </c>
      <c r="U138" s="295">
        <v>3810</v>
      </c>
      <c r="V138" s="296">
        <v>381</v>
      </c>
      <c r="W138" s="296">
        <v>3429</v>
      </c>
      <c r="X138" s="294">
        <v>46155.734583333302</v>
      </c>
      <c r="Y138" s="217" t="s">
        <v>208</v>
      </c>
      <c r="Z138" s="257" t="s">
        <v>5016</v>
      </c>
      <c r="AA138" s="297"/>
      <c r="AB138" s="258"/>
      <c r="AC138" s="259"/>
      <c r="AD138" s="259">
        <f t="shared" si="4"/>
        <v>4191</v>
      </c>
    </row>
    <row r="139" spans="13:30">
      <c r="M139" s="217">
        <v>11</v>
      </c>
      <c r="N139" s="293" t="s">
        <v>5035</v>
      </c>
      <c r="O139" s="293" t="s">
        <v>5036</v>
      </c>
      <c r="P139" s="294">
        <v>46147.714583333298</v>
      </c>
      <c r="Q139" s="293" t="s">
        <v>5026</v>
      </c>
      <c r="R139" s="293">
        <v>1</v>
      </c>
      <c r="S139" s="293"/>
      <c r="T139" s="293">
        <v>6268</v>
      </c>
      <c r="U139" s="295">
        <v>6268</v>
      </c>
      <c r="V139" s="296">
        <v>626.79999999999995</v>
      </c>
      <c r="W139" s="296">
        <v>5641.2</v>
      </c>
      <c r="X139" s="294">
        <v>46158.418761574103</v>
      </c>
      <c r="Y139" s="217" t="s">
        <v>208</v>
      </c>
      <c r="Z139" s="257" t="s">
        <v>5016</v>
      </c>
      <c r="AA139" s="297"/>
      <c r="AB139" s="258"/>
      <c r="AC139" s="259"/>
      <c r="AD139" s="259">
        <f t="shared" si="4"/>
        <v>6894.8</v>
      </c>
    </row>
    <row r="140" spans="13:30">
      <c r="M140" s="217">
        <v>12</v>
      </c>
      <c r="N140" s="293" t="s">
        <v>5037</v>
      </c>
      <c r="O140" s="293" t="s">
        <v>5038</v>
      </c>
      <c r="P140" s="294">
        <v>46158.397916666698</v>
      </c>
      <c r="Q140" s="293"/>
      <c r="R140" s="293"/>
      <c r="S140" s="293"/>
      <c r="T140" s="293">
        <v>3329</v>
      </c>
      <c r="U140" s="295">
        <v>3329</v>
      </c>
      <c r="V140" s="296">
        <v>332.9</v>
      </c>
      <c r="W140" s="296">
        <v>2996.1</v>
      </c>
      <c r="X140" s="294">
        <v>46163.467777777798</v>
      </c>
      <c r="Y140" s="217" t="s">
        <v>208</v>
      </c>
      <c r="Z140" s="257" t="s">
        <v>5016</v>
      </c>
      <c r="AA140" s="297"/>
      <c r="AB140" s="258"/>
      <c r="AC140" s="259"/>
      <c r="AD140" s="259">
        <f t="shared" si="4"/>
        <v>3661.9</v>
      </c>
    </row>
    <row r="141" spans="13:30">
      <c r="M141" s="217">
        <v>14</v>
      </c>
      <c r="N141" s="293" t="s">
        <v>5039</v>
      </c>
      <c r="O141" s="293" t="s">
        <v>5040</v>
      </c>
      <c r="P141" s="294">
        <v>46110.381944444402</v>
      </c>
      <c r="Q141" s="293" t="s">
        <v>5026</v>
      </c>
      <c r="R141" s="293">
        <v>1</v>
      </c>
      <c r="S141" s="293"/>
      <c r="T141" s="293">
        <v>25250</v>
      </c>
      <c r="U141" s="295">
        <v>25250</v>
      </c>
      <c r="V141" s="296">
        <v>2525</v>
      </c>
      <c r="W141" s="296">
        <v>22725</v>
      </c>
      <c r="X141" s="294">
        <v>46144.562465277799</v>
      </c>
      <c r="Y141" s="217" t="s">
        <v>208</v>
      </c>
      <c r="Z141" s="257" t="s">
        <v>5016</v>
      </c>
      <c r="AA141" s="297"/>
      <c r="AB141" s="258"/>
      <c r="AC141" s="259"/>
      <c r="AD141" s="259">
        <f t="shared" si="4"/>
        <v>27775</v>
      </c>
    </row>
    <row r="142" spans="13:30">
      <c r="M142" s="217">
        <v>15</v>
      </c>
      <c r="N142" s="293" t="s">
        <v>5041</v>
      </c>
      <c r="O142" s="293" t="s">
        <v>5042</v>
      </c>
      <c r="P142" s="294">
        <v>46127.785416666702</v>
      </c>
      <c r="Q142" s="293" t="s">
        <v>5019</v>
      </c>
      <c r="R142" s="293"/>
      <c r="S142" s="293">
        <v>1</v>
      </c>
      <c r="T142" s="293">
        <v>25685</v>
      </c>
      <c r="U142" s="295">
        <v>25685</v>
      </c>
      <c r="V142" s="296">
        <v>2568.5</v>
      </c>
      <c r="W142" s="296">
        <v>23116.5</v>
      </c>
      <c r="X142" s="294">
        <v>46162.386307870402</v>
      </c>
      <c r="Y142" s="217" t="s">
        <v>208</v>
      </c>
      <c r="Z142" s="257" t="s">
        <v>5016</v>
      </c>
      <c r="AA142" s="297"/>
      <c r="AB142" s="258"/>
      <c r="AC142" s="259"/>
      <c r="AD142" s="259">
        <f t="shared" si="4"/>
        <v>28253.5</v>
      </c>
    </row>
    <row r="143" spans="13:30">
      <c r="M143" s="217">
        <v>17</v>
      </c>
      <c r="N143" s="293" t="s">
        <v>5043</v>
      </c>
      <c r="O143" s="293" t="s">
        <v>5044</v>
      </c>
      <c r="P143" s="294">
        <v>46139.418055555601</v>
      </c>
      <c r="Q143" s="293" t="s">
        <v>5019</v>
      </c>
      <c r="R143" s="293"/>
      <c r="S143" s="293">
        <v>1</v>
      </c>
      <c r="T143" s="293">
        <v>6307</v>
      </c>
      <c r="U143" s="295">
        <v>6307</v>
      </c>
      <c r="V143" s="296">
        <v>630.70000000000005</v>
      </c>
      <c r="W143" s="296">
        <v>5676.3</v>
      </c>
      <c r="X143" s="294">
        <v>46142.391423611101</v>
      </c>
      <c r="Y143" s="217" t="s">
        <v>208</v>
      </c>
      <c r="Z143" s="257" t="s">
        <v>5016</v>
      </c>
      <c r="AA143" s="297"/>
      <c r="AB143" s="258"/>
      <c r="AC143" s="259"/>
      <c r="AD143" s="259">
        <f t="shared" si="4"/>
        <v>6937.7</v>
      </c>
    </row>
    <row r="144" spans="13:30">
      <c r="M144" s="217">
        <v>18</v>
      </c>
      <c r="N144" s="293" t="s">
        <v>5045</v>
      </c>
      <c r="O144" s="293" t="s">
        <v>5046</v>
      </c>
      <c r="P144" s="294">
        <v>46152.6027777778</v>
      </c>
      <c r="Q144" s="293" t="s">
        <v>5026</v>
      </c>
      <c r="R144" s="293"/>
      <c r="S144" s="293">
        <v>1</v>
      </c>
      <c r="T144" s="293">
        <v>4710</v>
      </c>
      <c r="U144" s="295">
        <v>4710</v>
      </c>
      <c r="V144" s="296">
        <v>471</v>
      </c>
      <c r="W144" s="296">
        <v>4239</v>
      </c>
      <c r="X144" s="294">
        <v>46159.408888888902</v>
      </c>
      <c r="Y144" s="217" t="s">
        <v>208</v>
      </c>
      <c r="Z144" s="257" t="s">
        <v>5016</v>
      </c>
      <c r="AA144" s="297"/>
      <c r="AB144" s="258"/>
      <c r="AC144" s="259"/>
      <c r="AD144" s="259">
        <f t="shared" si="4"/>
        <v>5181</v>
      </c>
    </row>
    <row r="145" spans="13:30">
      <c r="M145" s="217">
        <v>19</v>
      </c>
      <c r="N145" s="293" t="s">
        <v>5047</v>
      </c>
      <c r="O145" s="293" t="s">
        <v>5048</v>
      </c>
      <c r="P145" s="294">
        <v>46151.445833333302</v>
      </c>
      <c r="Q145" s="293" t="s">
        <v>5019</v>
      </c>
      <c r="R145" s="293">
        <v>1</v>
      </c>
      <c r="S145" s="293"/>
      <c r="T145" s="293">
        <v>8350</v>
      </c>
      <c r="U145" s="295">
        <v>8350</v>
      </c>
      <c r="V145" s="296">
        <v>835</v>
      </c>
      <c r="W145" s="296">
        <v>7515</v>
      </c>
      <c r="X145" s="294">
        <v>46160.4921875</v>
      </c>
      <c r="Y145" s="217" t="s">
        <v>208</v>
      </c>
      <c r="Z145" s="257" t="s">
        <v>5016</v>
      </c>
      <c r="AA145" s="297"/>
      <c r="AB145" s="258"/>
      <c r="AC145" s="259"/>
      <c r="AD145" s="259">
        <f t="shared" si="4"/>
        <v>9185</v>
      </c>
    </row>
    <row r="146" spans="13:30">
      <c r="M146" s="217">
        <v>21</v>
      </c>
      <c r="N146" s="293" t="s">
        <v>5049</v>
      </c>
      <c r="O146" s="293" t="s">
        <v>5050</v>
      </c>
      <c r="P146" s="294">
        <v>46160.461805555598</v>
      </c>
      <c r="Q146" s="293" t="s">
        <v>5026</v>
      </c>
      <c r="R146" s="293"/>
      <c r="S146" s="293">
        <v>1</v>
      </c>
      <c r="T146" s="293">
        <v>1050</v>
      </c>
      <c r="U146" s="295">
        <v>1050</v>
      </c>
      <c r="V146" s="296">
        <v>105</v>
      </c>
      <c r="W146" s="296">
        <v>945</v>
      </c>
      <c r="X146" s="294">
        <v>46164.575671296298</v>
      </c>
      <c r="Y146" s="217" t="s">
        <v>208</v>
      </c>
      <c r="Z146" s="257" t="s">
        <v>5016</v>
      </c>
      <c r="AA146" s="297"/>
      <c r="AB146" s="258"/>
      <c r="AC146" s="259"/>
      <c r="AD146" s="259">
        <f t="shared" si="4"/>
        <v>1155</v>
      </c>
    </row>
    <row r="147" spans="13:30">
      <c r="M147" s="217">
        <v>22</v>
      </c>
      <c r="N147" s="293" t="s">
        <v>5051</v>
      </c>
      <c r="O147" s="293" t="s">
        <v>5052</v>
      </c>
      <c r="P147" s="294">
        <v>46157.554861111101</v>
      </c>
      <c r="Q147" s="293" t="s">
        <v>5019</v>
      </c>
      <c r="R147" s="293"/>
      <c r="S147" s="293">
        <v>1</v>
      </c>
      <c r="T147" s="293">
        <v>1486</v>
      </c>
      <c r="U147" s="295">
        <v>1486</v>
      </c>
      <c r="V147" s="296">
        <v>148.6</v>
      </c>
      <c r="W147" s="296">
        <v>1337.4</v>
      </c>
      <c r="X147" s="294">
        <v>46164.380011574103</v>
      </c>
      <c r="Y147" s="217" t="s">
        <v>208</v>
      </c>
      <c r="Z147" s="257" t="s">
        <v>5016</v>
      </c>
      <c r="AA147" s="297"/>
      <c r="AB147" s="258"/>
      <c r="AC147" s="259"/>
      <c r="AD147" s="259">
        <f t="shared" si="4"/>
        <v>1634.6</v>
      </c>
    </row>
    <row r="148" spans="13:30">
      <c r="M148" s="217">
        <v>23</v>
      </c>
      <c r="N148" s="293" t="s">
        <v>5053</v>
      </c>
      <c r="O148" s="293" t="s">
        <v>5054</v>
      </c>
      <c r="P148" s="294">
        <v>46158.593055555597</v>
      </c>
      <c r="Q148" s="293" t="s">
        <v>5055</v>
      </c>
      <c r="R148" s="293"/>
      <c r="S148" s="293">
        <v>1</v>
      </c>
      <c r="T148" s="293">
        <v>6850</v>
      </c>
      <c r="U148" s="295">
        <v>6850</v>
      </c>
      <c r="V148" s="296">
        <v>685</v>
      </c>
      <c r="W148" s="296">
        <v>6165</v>
      </c>
      <c r="X148" s="294">
        <v>46166.729224536997</v>
      </c>
      <c r="Y148" s="217" t="s">
        <v>208</v>
      </c>
      <c r="Z148" s="257" t="s">
        <v>5016</v>
      </c>
      <c r="AA148" s="297"/>
      <c r="AB148" s="258"/>
      <c r="AC148" s="259"/>
      <c r="AD148" s="259">
        <f t="shared" si="4"/>
        <v>7535</v>
      </c>
    </row>
    <row r="149" spans="13:30">
      <c r="M149" s="217"/>
      <c r="N149" s="293"/>
      <c r="O149" s="293"/>
      <c r="P149" s="294"/>
      <c r="Q149" s="293"/>
      <c r="R149" s="293"/>
      <c r="S149" s="293"/>
      <c r="T149" s="293"/>
      <c r="U149" s="295"/>
      <c r="V149" s="296"/>
      <c r="W149" s="296"/>
      <c r="X149" s="294"/>
      <c r="Y149" s="217"/>
      <c r="Z149" s="257"/>
      <c r="AA149" s="297"/>
      <c r="AB149" s="258"/>
      <c r="AC149" s="259"/>
      <c r="AD149" s="259">
        <f t="shared" si="4"/>
        <v>0</v>
      </c>
    </row>
    <row r="150" spans="13:30">
      <c r="M150" s="217"/>
      <c r="N150" s="293"/>
      <c r="O150" s="293"/>
      <c r="P150" s="294"/>
      <c r="Q150" s="293"/>
      <c r="R150" s="293"/>
      <c r="S150" s="293"/>
      <c r="T150" s="293"/>
      <c r="U150" s="295"/>
      <c r="V150" s="296"/>
      <c r="W150" s="296"/>
      <c r="X150" s="294"/>
      <c r="Y150" s="217"/>
      <c r="Z150" s="257"/>
      <c r="AA150" s="297"/>
      <c r="AB150" s="258"/>
      <c r="AC150" s="259"/>
      <c r="AD150" s="259">
        <f t="shared" si="4"/>
        <v>0</v>
      </c>
    </row>
    <row r="151" spans="13:30">
      <c r="M151" s="217"/>
      <c r="N151" s="293"/>
      <c r="O151" s="293"/>
      <c r="P151" s="294"/>
      <c r="Q151" s="293"/>
      <c r="R151" s="293"/>
      <c r="S151" s="293"/>
      <c r="T151" s="293"/>
      <c r="U151" s="295"/>
      <c r="V151" s="296"/>
      <c r="W151" s="296"/>
      <c r="X151" s="294"/>
      <c r="Y151" s="217"/>
      <c r="Z151" s="257"/>
      <c r="AA151" s="297"/>
      <c r="AB151" s="258"/>
      <c r="AC151" s="259"/>
      <c r="AD151" s="259">
        <f t="shared" si="4"/>
        <v>0</v>
      </c>
    </row>
    <row r="152" spans="13:30">
      <c r="M152" s="217"/>
      <c r="N152" s="293"/>
      <c r="O152" s="293"/>
      <c r="P152" s="294"/>
      <c r="Q152" s="293"/>
      <c r="R152" s="293"/>
      <c r="S152" s="293"/>
      <c r="T152" s="293"/>
      <c r="U152" s="295"/>
      <c r="V152" s="296"/>
      <c r="W152" s="296"/>
      <c r="X152" s="294"/>
      <c r="Y152" s="217"/>
      <c r="Z152" s="257"/>
      <c r="AA152" s="297"/>
      <c r="AB152" s="258"/>
      <c r="AC152" s="259"/>
      <c r="AD152" s="259">
        <f t="shared" si="4"/>
        <v>0</v>
      </c>
    </row>
    <row r="153" spans="13:30">
      <c r="M153" s="217"/>
      <c r="N153" s="293"/>
      <c r="O153" s="293"/>
      <c r="P153" s="294"/>
      <c r="Q153" s="293"/>
      <c r="R153" s="293"/>
      <c r="S153" s="293"/>
      <c r="T153" s="293"/>
      <c r="U153" s="295"/>
      <c r="V153" s="296"/>
      <c r="W153" s="296"/>
      <c r="X153" s="294"/>
      <c r="Y153" s="217"/>
      <c r="Z153" s="257"/>
      <c r="AA153" s="297"/>
      <c r="AB153" s="258"/>
      <c r="AC153" s="259"/>
      <c r="AD153" s="259">
        <f t="shared" si="4"/>
        <v>0</v>
      </c>
    </row>
    <row r="154" spans="13:30">
      <c r="M154" s="217"/>
      <c r="N154" s="293"/>
      <c r="O154" s="293"/>
      <c r="P154" s="294"/>
      <c r="Q154" s="293"/>
      <c r="R154" s="293"/>
      <c r="S154" s="293"/>
      <c r="T154" s="293"/>
      <c r="U154" s="295"/>
      <c r="V154" s="296"/>
      <c r="W154" s="296"/>
      <c r="X154" s="294"/>
      <c r="Y154" s="217"/>
      <c r="Z154" s="257"/>
      <c r="AA154" s="297"/>
      <c r="AB154" s="258"/>
      <c r="AC154" s="259"/>
      <c r="AD154" s="259">
        <f t="shared" si="4"/>
        <v>0</v>
      </c>
    </row>
    <row r="155" spans="13:30">
      <c r="M155" s="217"/>
      <c r="N155" s="293"/>
      <c r="O155" s="293"/>
      <c r="P155" s="294"/>
      <c r="Q155" s="293"/>
      <c r="R155" s="293"/>
      <c r="S155" s="293"/>
      <c r="T155" s="293"/>
      <c r="U155" s="295"/>
      <c r="V155" s="296"/>
      <c r="W155" s="296"/>
      <c r="X155" s="294"/>
      <c r="Y155" s="217"/>
      <c r="Z155" s="257"/>
      <c r="AA155" s="297"/>
      <c r="AB155" s="258"/>
      <c r="AC155" s="259"/>
      <c r="AD155" s="259">
        <f t="shared" si="4"/>
        <v>0</v>
      </c>
    </row>
    <row r="156" spans="13:30">
      <c r="M156" s="217"/>
      <c r="N156" s="293"/>
      <c r="O156" s="293"/>
      <c r="P156" s="294"/>
      <c r="Q156" s="293"/>
      <c r="R156" s="293"/>
      <c r="S156" s="293"/>
      <c r="T156" s="293"/>
      <c r="U156" s="295"/>
      <c r="V156" s="296"/>
      <c r="W156" s="296"/>
      <c r="X156" s="294"/>
      <c r="Y156" s="217"/>
      <c r="Z156" s="257"/>
      <c r="AA156" s="297"/>
      <c r="AB156" s="258"/>
      <c r="AC156" s="259"/>
      <c r="AD156" s="259">
        <f t="shared" si="4"/>
        <v>0</v>
      </c>
    </row>
    <row r="157" spans="13:30">
      <c r="M157" s="217"/>
      <c r="N157" s="293"/>
      <c r="O157" s="293"/>
      <c r="P157" s="294"/>
      <c r="Q157" s="293"/>
      <c r="R157" s="293"/>
      <c r="S157" s="293"/>
      <c r="T157" s="293"/>
      <c r="U157" s="295"/>
      <c r="V157" s="296"/>
      <c r="W157" s="296"/>
      <c r="X157" s="294"/>
      <c r="Y157" s="217"/>
      <c r="Z157" s="257"/>
      <c r="AA157" s="297"/>
      <c r="AB157" s="258"/>
      <c r="AC157" s="259"/>
      <c r="AD157" s="259">
        <f t="shared" si="4"/>
        <v>0</v>
      </c>
    </row>
    <row r="158" spans="13:30">
      <c r="M158" s="217"/>
      <c r="N158" s="293"/>
      <c r="O158" s="293"/>
      <c r="P158" s="294"/>
      <c r="Q158" s="293"/>
      <c r="R158" s="293"/>
      <c r="S158" s="293"/>
      <c r="T158" s="293"/>
      <c r="U158" s="295"/>
      <c r="V158" s="296"/>
      <c r="W158" s="296"/>
      <c r="X158" s="294"/>
      <c r="Y158" s="217"/>
      <c r="Z158" s="257"/>
      <c r="AA158" s="297"/>
      <c r="AB158" s="258"/>
      <c r="AC158" s="259"/>
      <c r="AD158" s="259">
        <f t="shared" si="4"/>
        <v>0</v>
      </c>
    </row>
    <row r="159" spans="13:30">
      <c r="M159" s="217"/>
      <c r="N159" s="293"/>
      <c r="O159" s="293"/>
      <c r="P159" s="294"/>
      <c r="Q159" s="293"/>
      <c r="R159" s="293"/>
      <c r="S159" s="293"/>
      <c r="T159" s="293"/>
      <c r="U159" s="295"/>
      <c r="V159" s="296"/>
      <c r="W159" s="296"/>
      <c r="X159" s="294"/>
      <c r="Y159" s="217"/>
      <c r="Z159" s="257"/>
      <c r="AA159" s="297"/>
      <c r="AB159" s="258"/>
      <c r="AC159" s="259"/>
      <c r="AD159" s="259"/>
    </row>
    <row r="160" spans="13:30">
      <c r="M160" s="217"/>
      <c r="N160" s="293"/>
      <c r="O160" s="293"/>
      <c r="P160" s="294"/>
      <c r="Q160" s="293"/>
      <c r="R160" s="293"/>
      <c r="S160" s="293"/>
      <c r="T160" s="293"/>
      <c r="U160" s="295"/>
      <c r="V160" s="296"/>
      <c r="W160" s="296"/>
      <c r="X160" s="294"/>
      <c r="Y160" s="217"/>
      <c r="Z160" s="257"/>
      <c r="AA160" s="297"/>
      <c r="AB160" s="258"/>
      <c r="AC160" s="259"/>
      <c r="AD160" s="259"/>
    </row>
    <row r="161" spans="13:30">
      <c r="M161" s="217"/>
      <c r="N161" s="293"/>
      <c r="O161" s="293"/>
      <c r="P161" s="294"/>
      <c r="Q161" s="293"/>
      <c r="R161" s="293"/>
      <c r="S161" s="293"/>
      <c r="T161" s="293"/>
      <c r="U161" s="295"/>
      <c r="V161" s="296"/>
      <c r="W161" s="296"/>
      <c r="X161" s="294"/>
      <c r="Y161" s="217"/>
      <c r="Z161" s="257"/>
      <c r="AA161" s="297"/>
      <c r="AB161" s="258"/>
      <c r="AC161" s="259"/>
      <c r="AD161" s="259"/>
    </row>
    <row r="162" spans="13:30">
      <c r="M162" s="217"/>
      <c r="N162" s="293"/>
      <c r="O162" s="293"/>
      <c r="P162" s="294"/>
      <c r="Q162" s="293"/>
      <c r="R162" s="293"/>
      <c r="S162" s="293"/>
      <c r="T162" s="293"/>
      <c r="U162" s="295"/>
      <c r="V162" s="296"/>
      <c r="W162" s="296"/>
      <c r="X162" s="294"/>
      <c r="Y162" s="217"/>
      <c r="Z162" s="257"/>
      <c r="AA162" s="297"/>
      <c r="AD162" s="259"/>
    </row>
    <row r="163" spans="13:30">
      <c r="M163" s="217"/>
      <c r="N163" s="293"/>
      <c r="O163" s="293"/>
      <c r="P163" s="294"/>
      <c r="Q163" s="293"/>
      <c r="R163" s="293"/>
      <c r="S163" s="293"/>
      <c r="T163" s="293"/>
      <c r="U163" s="295"/>
      <c r="V163" s="296"/>
      <c r="W163" s="296"/>
      <c r="X163" s="294"/>
      <c r="Y163" s="217"/>
      <c r="Z163" s="257"/>
      <c r="AA163" s="297"/>
      <c r="AD163" s="259"/>
    </row>
    <row r="164" spans="13:30">
      <c r="M164" s="217"/>
      <c r="N164" s="293"/>
      <c r="O164" s="293"/>
      <c r="P164" s="294"/>
      <c r="Q164" s="293"/>
      <c r="R164" s="293"/>
      <c r="S164" s="293"/>
      <c r="T164" s="293"/>
      <c r="U164" s="295"/>
      <c r="V164" s="296"/>
      <c r="W164" s="296"/>
      <c r="X164" s="294"/>
      <c r="Y164" s="217"/>
      <c r="Z164" s="257"/>
      <c r="AA164" s="297"/>
      <c r="AD164" s="259"/>
    </row>
    <row r="165" spans="13:30">
      <c r="M165" s="217"/>
      <c r="N165" s="293"/>
      <c r="O165" s="293"/>
      <c r="P165" s="294"/>
      <c r="Q165" s="293"/>
      <c r="R165" s="293"/>
      <c r="S165" s="293"/>
      <c r="T165" s="293"/>
      <c r="U165" s="295"/>
      <c r="V165" s="296"/>
      <c r="W165" s="296"/>
      <c r="X165" s="294"/>
      <c r="Y165" s="217"/>
      <c r="Z165" s="257"/>
      <c r="AA165" s="297"/>
      <c r="AD165" s="259">
        <f t="shared" si="4"/>
        <v>0</v>
      </c>
    </row>
    <row r="166" spans="13:30">
      <c r="M166" s="217"/>
      <c r="N166" s="293"/>
      <c r="O166" s="293"/>
      <c r="P166" s="294"/>
      <c r="Q166" s="293"/>
      <c r="R166" s="293"/>
      <c r="S166" s="293"/>
      <c r="T166" s="293"/>
      <c r="U166" s="295"/>
      <c r="V166" s="296"/>
      <c r="W166" s="296"/>
      <c r="X166" s="294"/>
      <c r="Y166" s="217"/>
      <c r="Z166" s="257"/>
      <c r="AA166" s="297"/>
      <c r="AD166" s="259">
        <f t="shared" si="4"/>
        <v>0</v>
      </c>
    </row>
    <row r="167" spans="13:30">
      <c r="M167" s="217"/>
      <c r="N167" s="293"/>
      <c r="O167" s="293"/>
      <c r="P167" s="294"/>
      <c r="Q167" s="293"/>
      <c r="R167" s="293"/>
      <c r="S167" s="293"/>
      <c r="T167" s="293"/>
      <c r="U167" s="295"/>
      <c r="V167" s="296"/>
      <c r="W167" s="296"/>
      <c r="X167" s="294"/>
      <c r="Y167" s="217"/>
      <c r="Z167" s="257"/>
      <c r="AA167" s="297"/>
      <c r="AD167" s="259">
        <f t="shared" si="4"/>
        <v>0</v>
      </c>
    </row>
    <row r="168" spans="13:30">
      <c r="M168" s="217"/>
      <c r="N168" s="293"/>
      <c r="O168" s="293"/>
      <c r="P168" s="294"/>
      <c r="Q168" s="293"/>
      <c r="R168" s="293"/>
      <c r="S168" s="293"/>
      <c r="T168" s="293"/>
      <c r="U168" s="295"/>
      <c r="V168" s="296"/>
      <c r="W168" s="296"/>
      <c r="X168" s="294"/>
      <c r="Y168" s="217"/>
      <c r="Z168" s="257"/>
      <c r="AA168" s="297"/>
      <c r="AD168" s="259">
        <f t="shared" si="4"/>
        <v>0</v>
      </c>
    </row>
    <row r="169" spans="13:30">
      <c r="M169" s="217"/>
      <c r="N169" s="293"/>
      <c r="O169" s="293"/>
      <c r="P169" s="294"/>
      <c r="Q169" s="293"/>
      <c r="R169" s="293"/>
      <c r="S169" s="293"/>
      <c r="T169" s="293"/>
      <c r="U169" s="295"/>
      <c r="V169" s="296"/>
      <c r="W169" s="296"/>
      <c r="X169" s="294"/>
      <c r="Y169" s="217"/>
      <c r="Z169" s="257"/>
      <c r="AA169" s="297"/>
      <c r="AD169" s="259">
        <f t="shared" si="4"/>
        <v>0</v>
      </c>
    </row>
    <row r="170" spans="13:30">
      <c r="M170" s="217"/>
      <c r="N170" s="293"/>
      <c r="O170" s="293"/>
      <c r="P170" s="294"/>
      <c r="Q170" s="293"/>
      <c r="R170" s="293"/>
      <c r="S170" s="293"/>
      <c r="T170" s="293"/>
      <c r="U170" s="295"/>
      <c r="V170" s="296"/>
      <c r="W170" s="296"/>
      <c r="X170" s="294"/>
      <c r="Y170" s="217"/>
      <c r="Z170" s="257"/>
      <c r="AA170" s="297"/>
      <c r="AD170" s="259">
        <f t="shared" si="4"/>
        <v>0</v>
      </c>
    </row>
    <row r="171" spans="13:30">
      <c r="M171" s="217"/>
      <c r="N171" s="293"/>
      <c r="O171" s="293"/>
      <c r="P171" s="294"/>
      <c r="Q171" s="293"/>
      <c r="R171" s="293"/>
      <c r="S171" s="293"/>
      <c r="T171" s="293"/>
      <c r="U171" s="295"/>
      <c r="V171" s="296"/>
      <c r="W171" s="296"/>
      <c r="X171" s="294"/>
      <c r="Y171" s="217"/>
      <c r="Z171" s="257"/>
      <c r="AA171" s="297"/>
      <c r="AD171" s="259">
        <f t="shared" si="4"/>
        <v>0</v>
      </c>
    </row>
    <row r="172" spans="13:30">
      <c r="M172" s="217"/>
      <c r="N172" s="293"/>
      <c r="O172" s="293"/>
      <c r="P172" s="294"/>
      <c r="Q172" s="293"/>
      <c r="R172" s="293"/>
      <c r="S172" s="293"/>
      <c r="T172" s="293"/>
      <c r="U172" s="295"/>
      <c r="V172" s="296"/>
      <c r="W172" s="296"/>
      <c r="X172" s="294"/>
      <c r="Y172" s="217"/>
      <c r="Z172" s="257"/>
      <c r="AA172" s="297"/>
      <c r="AD172" s="259">
        <f t="shared" si="4"/>
        <v>0</v>
      </c>
    </row>
    <row r="173" spans="13:30">
      <c r="M173" s="217"/>
      <c r="N173" s="293"/>
      <c r="O173" s="293"/>
      <c r="P173" s="294"/>
      <c r="Q173" s="293"/>
      <c r="R173" s="293"/>
      <c r="S173" s="293"/>
      <c r="T173" s="293"/>
      <c r="U173" s="295"/>
      <c r="V173" s="296"/>
      <c r="W173" s="296"/>
      <c r="X173" s="294"/>
      <c r="Y173" s="217"/>
      <c r="Z173" s="257"/>
      <c r="AA173" s="297"/>
    </row>
    <row r="174" spans="13:30">
      <c r="M174" s="217"/>
      <c r="N174" s="293"/>
      <c r="O174" s="293"/>
      <c r="P174" s="294"/>
      <c r="Q174" s="293"/>
      <c r="R174" s="293"/>
      <c r="S174" s="293"/>
      <c r="T174" s="293"/>
      <c r="U174" s="295"/>
      <c r="V174" s="296"/>
      <c r="W174" s="296"/>
      <c r="X174" s="294"/>
      <c r="Y174" s="217"/>
      <c r="Z174" s="257"/>
      <c r="AA174" s="297"/>
    </row>
    <row r="175" spans="13:30">
      <c r="M175" s="217"/>
      <c r="N175" s="293"/>
      <c r="O175" s="293"/>
      <c r="P175" s="294"/>
      <c r="Q175" s="293"/>
      <c r="R175" s="293"/>
      <c r="S175" s="293"/>
      <c r="T175" s="293"/>
      <c r="U175" s="295"/>
      <c r="V175" s="296"/>
      <c r="W175" s="296"/>
      <c r="X175" s="294"/>
      <c r="Y175" s="217"/>
      <c r="Z175" s="257"/>
      <c r="AA175" s="297"/>
    </row>
    <row r="176" spans="13:30">
      <c r="M176" s="217"/>
      <c r="N176" s="293"/>
      <c r="O176" s="293"/>
      <c r="P176" s="294"/>
      <c r="Q176" s="293"/>
      <c r="R176" s="293"/>
      <c r="S176" s="293"/>
      <c r="T176" s="293"/>
      <c r="U176" s="295"/>
      <c r="V176" s="296"/>
      <c r="W176" s="296"/>
      <c r="X176" s="294"/>
      <c r="Y176" s="217"/>
      <c r="Z176" s="257"/>
      <c r="AA176" s="297"/>
    </row>
    <row r="177" spans="13:27">
      <c r="M177" s="217"/>
      <c r="N177" s="293"/>
      <c r="O177" s="293"/>
      <c r="P177" s="293"/>
      <c r="Q177" s="293"/>
      <c r="R177" s="293"/>
      <c r="S177" s="293"/>
      <c r="T177" s="293"/>
      <c r="U177" s="295"/>
      <c r="V177" s="296"/>
      <c r="W177" s="296"/>
      <c r="X177" s="293"/>
      <c r="Y177" s="217"/>
      <c r="Z177" s="257"/>
      <c r="AA177" s="297"/>
    </row>
    <row r="178" spans="13:27">
      <c r="M178" s="217"/>
      <c r="N178" s="293"/>
      <c r="O178" s="293"/>
      <c r="P178" s="293"/>
      <c r="Q178" s="293"/>
      <c r="R178" s="293"/>
      <c r="S178" s="293"/>
      <c r="T178" s="293"/>
      <c r="U178" s="295"/>
      <c r="V178" s="296"/>
      <c r="W178" s="296"/>
      <c r="X178" s="293"/>
      <c r="Y178" s="217"/>
      <c r="Z178" s="257"/>
      <c r="AA178" s="298"/>
    </row>
    <row r="179" spans="13:27">
      <c r="M179" s="217"/>
      <c r="N179" s="293"/>
      <c r="O179" s="293"/>
      <c r="P179" s="293"/>
      <c r="Q179" s="293"/>
      <c r="R179" s="293"/>
      <c r="S179" s="293"/>
      <c r="T179" s="293"/>
      <c r="U179" s="295"/>
      <c r="V179" s="296"/>
      <c r="W179" s="296"/>
      <c r="X179" s="293"/>
      <c r="Y179" s="217"/>
      <c r="Z179" s="257"/>
      <c r="AA179" s="298"/>
    </row>
    <row r="180" spans="13:27">
      <c r="M180" s="217"/>
      <c r="N180" s="293"/>
      <c r="O180" s="293"/>
      <c r="P180" s="293"/>
      <c r="Q180" s="293"/>
      <c r="R180" s="293"/>
      <c r="S180" s="293"/>
      <c r="T180" s="293"/>
      <c r="U180" s="295"/>
      <c r="V180" s="296"/>
      <c r="W180" s="296"/>
      <c r="X180" s="293"/>
      <c r="Y180" s="217"/>
      <c r="Z180" s="257"/>
      <c r="AA180" s="298"/>
    </row>
    <row r="181" spans="13:27">
      <c r="M181" s="217"/>
      <c r="N181" s="293"/>
      <c r="O181" s="293"/>
      <c r="P181" s="293"/>
      <c r="Q181" s="293"/>
      <c r="R181" s="293"/>
      <c r="S181" s="293"/>
      <c r="T181" s="293"/>
      <c r="U181" s="295"/>
      <c r="V181" s="296"/>
      <c r="W181" s="296"/>
      <c r="X181" s="293"/>
      <c r="Y181" s="217"/>
      <c r="Z181" s="257"/>
      <c r="AA181" s="298"/>
    </row>
    <row r="182" spans="13:27">
      <c r="M182" s="217"/>
      <c r="N182" s="293"/>
      <c r="O182" s="293"/>
      <c r="P182" s="293"/>
      <c r="Q182" s="293"/>
      <c r="R182" s="293"/>
      <c r="S182" s="293"/>
      <c r="T182" s="293"/>
      <c r="U182" s="295"/>
      <c r="V182" s="299"/>
      <c r="W182" s="299"/>
      <c r="X182" s="293"/>
      <c r="Y182" s="217"/>
      <c r="Z182" s="257"/>
      <c r="AA182" s="298"/>
    </row>
    <row r="183" spans="13:27">
      <c r="M183" s="217"/>
      <c r="N183" s="293"/>
      <c r="O183" s="293"/>
      <c r="P183" s="293"/>
      <c r="Q183" s="293"/>
      <c r="R183" s="293"/>
      <c r="S183" s="293"/>
      <c r="T183" s="293"/>
      <c r="U183" s="295"/>
      <c r="V183" s="299"/>
      <c r="W183" s="299"/>
      <c r="X183" s="293"/>
      <c r="Y183" s="217"/>
      <c r="Z183" s="257"/>
      <c r="AA183" s="298"/>
    </row>
    <row r="184" spans="13:27">
      <c r="M184" s="217"/>
      <c r="N184" s="293"/>
      <c r="O184" s="293"/>
      <c r="P184" s="293"/>
      <c r="Q184" s="293"/>
      <c r="R184" s="293"/>
      <c r="S184" s="293"/>
      <c r="T184" s="293"/>
      <c r="U184" s="295"/>
      <c r="V184" s="299"/>
      <c r="W184" s="299"/>
      <c r="X184" s="293"/>
      <c r="Y184" s="217"/>
      <c r="Z184" s="257"/>
      <c r="AA184" s="298"/>
    </row>
    <row r="185" spans="13:27">
      <c r="M185" s="217"/>
      <c r="N185" s="293"/>
      <c r="O185" s="293"/>
      <c r="P185" s="293"/>
      <c r="Q185" s="293"/>
      <c r="R185" s="293"/>
      <c r="S185" s="293"/>
      <c r="T185" s="293"/>
      <c r="U185" s="295"/>
      <c r="V185" s="299"/>
      <c r="W185" s="299"/>
      <c r="X185" s="293"/>
      <c r="Y185" s="217"/>
      <c r="Z185" s="257"/>
      <c r="AA185" s="298"/>
    </row>
    <row r="186" spans="13:27">
      <c r="M186" s="217"/>
      <c r="N186" s="293"/>
      <c r="O186" s="293"/>
      <c r="P186" s="293"/>
      <c r="Q186" s="293"/>
      <c r="R186" s="293"/>
      <c r="S186" s="293"/>
      <c r="T186" s="293"/>
      <c r="U186" s="295"/>
      <c r="V186" s="299"/>
      <c r="W186" s="299"/>
      <c r="X186" s="293"/>
      <c r="Y186" s="217"/>
      <c r="Z186" s="257"/>
      <c r="AA186" s="298"/>
    </row>
    <row r="187" spans="13:27">
      <c r="M187" s="217"/>
      <c r="N187" s="293"/>
      <c r="O187" s="293"/>
      <c r="P187" s="293"/>
      <c r="Q187" s="293"/>
      <c r="R187" s="293"/>
      <c r="S187" s="293"/>
      <c r="T187" s="293"/>
      <c r="U187" s="295"/>
      <c r="V187" s="299"/>
      <c r="W187" s="299"/>
      <c r="X187" s="293"/>
      <c r="Y187" s="217"/>
      <c r="Z187" s="257"/>
      <c r="AA187" s="298"/>
    </row>
    <row r="188" spans="13:27">
      <c r="M188" s="217"/>
      <c r="N188" s="293"/>
      <c r="O188" s="293"/>
      <c r="P188" s="293"/>
      <c r="Q188" s="293"/>
      <c r="R188" s="293"/>
      <c r="S188" s="293"/>
      <c r="T188" s="293"/>
      <c r="U188" s="295"/>
      <c r="V188" s="299"/>
      <c r="W188" s="299"/>
      <c r="X188" s="293"/>
      <c r="Y188" s="217"/>
      <c r="Z188" s="257"/>
      <c r="AA188" s="298"/>
    </row>
    <row r="189" spans="13:27">
      <c r="M189" s="217"/>
      <c r="N189" s="293"/>
      <c r="O189" s="293"/>
      <c r="P189" s="293"/>
      <c r="Q189" s="293"/>
      <c r="R189" s="293"/>
      <c r="S189" s="293"/>
      <c r="T189" s="293"/>
      <c r="U189" s="295"/>
      <c r="V189" s="299"/>
      <c r="W189" s="299"/>
      <c r="X189" s="293"/>
      <c r="Y189" s="217"/>
      <c r="Z189" s="257"/>
      <c r="AA189" s="298"/>
    </row>
  </sheetData>
  <autoFilter ref="M133:AA189" xr:uid="{00000000-0009-0000-0000-000015000000}"/>
  <mergeCells count="6">
    <mergeCell ref="A1:H1"/>
    <mergeCell ref="M1:AA1"/>
    <mergeCell ref="A2:A7"/>
    <mergeCell ref="A9:A14"/>
    <mergeCell ref="A41:A44"/>
    <mergeCell ref="F41:F44"/>
  </mergeCells>
  <phoneticPr fontId="5" type="noConversion"/>
  <conditionalFormatting sqref="N2">
    <cfRule type="duplicateValues" dxfId="71" priority="9"/>
    <cfRule type="duplicateValues" dxfId="70" priority="11"/>
    <cfRule type="duplicateValues" dxfId="69" priority="13" stopIfTrue="1"/>
  </conditionalFormatting>
  <conditionalFormatting sqref="N3:N65">
    <cfRule type="duplicateValues" dxfId="68" priority="7"/>
  </conditionalFormatting>
  <conditionalFormatting sqref="N66:N71">
    <cfRule type="duplicateValues" dxfId="67" priority="3"/>
  </conditionalFormatting>
  <conditionalFormatting sqref="N72:N84">
    <cfRule type="duplicateValues" dxfId="66" priority="2"/>
  </conditionalFormatting>
  <conditionalFormatting sqref="N85:N117">
    <cfRule type="duplicateValues" dxfId="65" priority="1"/>
  </conditionalFormatting>
  <conditionalFormatting sqref="N118:N133">
    <cfRule type="duplicateValues" dxfId="64" priority="12883"/>
  </conditionalFormatting>
  <conditionalFormatting sqref="N2:O2">
    <cfRule type="duplicateValues" dxfId="63" priority="17"/>
  </conditionalFormatting>
  <pageMargins left="0.69930555555555596" right="0.69930555555555596" top="0.75" bottom="0.75" header="0.3" footer="0.3"/>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tabColor rgb="FF0070C0"/>
  </sheetPr>
  <dimension ref="A1:N99"/>
  <sheetViews>
    <sheetView topLeftCell="A31" workbookViewId="0">
      <selection activeCell="E5" sqref="E5"/>
    </sheetView>
  </sheetViews>
  <sheetFormatPr defaultColWidth="9" defaultRowHeight="14.4"/>
  <cols>
    <col min="1" max="1" width="8.109375" style="211" customWidth="1"/>
    <col min="2" max="2" width="18.77734375" style="211" customWidth="1"/>
    <col min="3" max="3" width="10.88671875" style="211" customWidth="1"/>
    <col min="4" max="4" width="20" style="211" customWidth="1"/>
    <col min="5" max="5" width="18.88671875" style="211" customWidth="1"/>
    <col min="6" max="8" width="9" style="211"/>
    <col min="9" max="9" width="10.88671875" style="211" customWidth="1"/>
    <col min="10" max="10" width="13.6640625" style="212" customWidth="1"/>
    <col min="11" max="11" width="10.21875" style="211" customWidth="1"/>
    <col min="12" max="12" width="14.77734375" style="211" customWidth="1"/>
    <col min="13" max="13" width="9.77734375" style="213" customWidth="1"/>
    <col min="14" max="16384" width="9" style="211"/>
  </cols>
  <sheetData>
    <row r="1" spans="1:14" ht="36" customHeight="1">
      <c r="A1" s="2098" t="s">
        <v>5056</v>
      </c>
      <c r="B1" s="2099"/>
      <c r="C1" s="2099"/>
      <c r="D1" s="2099"/>
      <c r="E1" s="2100"/>
      <c r="I1" s="2101" t="s">
        <v>5056</v>
      </c>
      <c r="J1" s="2101"/>
      <c r="K1" s="2101"/>
      <c r="L1" s="2101"/>
      <c r="M1" s="2101"/>
      <c r="N1" s="2101"/>
    </row>
    <row r="2" spans="1:14" s="210" customFormat="1" ht="18.75" customHeight="1">
      <c r="A2" s="214"/>
      <c r="B2" s="215"/>
      <c r="C2" s="215" t="s">
        <v>494</v>
      </c>
      <c r="D2" s="215" t="s">
        <v>4563</v>
      </c>
      <c r="E2" s="216" t="s">
        <v>984</v>
      </c>
      <c r="I2" s="217" t="s">
        <v>5057</v>
      </c>
      <c r="J2" s="217" t="s">
        <v>4567</v>
      </c>
      <c r="K2" s="217" t="s">
        <v>5058</v>
      </c>
      <c r="L2" s="217" t="s">
        <v>5059</v>
      </c>
      <c r="M2" s="217" t="s">
        <v>4570</v>
      </c>
      <c r="N2" s="217" t="s">
        <v>969</v>
      </c>
    </row>
    <row r="3" spans="1:14" s="210" customFormat="1" ht="18.75" customHeight="1">
      <c r="A3" s="218"/>
      <c r="B3" s="219"/>
      <c r="C3" s="220"/>
      <c r="D3" s="220"/>
      <c r="E3" s="221">
        <f t="shared" ref="E3:E17" si="0">SUMIF(L:L,D3,M:M)</f>
        <v>0</v>
      </c>
      <c r="I3" s="222">
        <v>46143</v>
      </c>
      <c r="J3" s="222" t="s">
        <v>4576</v>
      </c>
      <c r="K3" s="223" t="s">
        <v>4574</v>
      </c>
      <c r="L3" s="223" t="s">
        <v>67</v>
      </c>
      <c r="M3" s="223">
        <v>20</v>
      </c>
      <c r="N3" s="223"/>
    </row>
    <row r="4" spans="1:14" s="210" customFormat="1" ht="18.75" customHeight="1">
      <c r="A4" s="218"/>
      <c r="B4" s="219"/>
      <c r="C4" s="220"/>
      <c r="D4" s="220" t="s">
        <v>61</v>
      </c>
      <c r="E4" s="221">
        <f t="shared" si="0"/>
        <v>0</v>
      </c>
      <c r="I4" s="222">
        <v>46143</v>
      </c>
      <c r="J4" s="222" t="s">
        <v>4581</v>
      </c>
      <c r="K4" s="223" t="s">
        <v>4574</v>
      </c>
      <c r="L4" s="223" t="s">
        <v>73</v>
      </c>
      <c r="M4" s="223">
        <v>20</v>
      </c>
      <c r="N4" s="223"/>
    </row>
    <row r="5" spans="1:14" s="210" customFormat="1" ht="18.75" customHeight="1">
      <c r="A5" s="218"/>
      <c r="B5" s="219"/>
      <c r="C5" s="220"/>
      <c r="D5" s="220" t="s">
        <v>91</v>
      </c>
      <c r="E5" s="221">
        <f t="shared" si="0"/>
        <v>0</v>
      </c>
      <c r="I5" s="222">
        <v>46144</v>
      </c>
      <c r="J5" s="222" t="s">
        <v>5060</v>
      </c>
      <c r="K5" s="223" t="s">
        <v>4574</v>
      </c>
      <c r="L5" s="223" t="s">
        <v>70</v>
      </c>
      <c r="M5" s="223">
        <v>20</v>
      </c>
      <c r="N5" s="223"/>
    </row>
    <row r="6" spans="1:14" s="210" customFormat="1" ht="18.75" customHeight="1">
      <c r="A6" s="218"/>
      <c r="B6" s="219"/>
      <c r="C6" s="220"/>
      <c r="D6" s="220" t="s">
        <v>67</v>
      </c>
      <c r="E6" s="221">
        <f t="shared" si="0"/>
        <v>350</v>
      </c>
      <c r="I6" s="222">
        <v>46144</v>
      </c>
      <c r="J6" s="222" t="s">
        <v>5061</v>
      </c>
      <c r="K6" s="223" t="s">
        <v>4574</v>
      </c>
      <c r="L6" s="223" t="s">
        <v>72</v>
      </c>
      <c r="M6" s="223">
        <v>20</v>
      </c>
      <c r="N6" s="223"/>
    </row>
    <row r="7" spans="1:14" s="210" customFormat="1" ht="18.75" customHeight="1">
      <c r="A7" s="218"/>
      <c r="B7" s="219"/>
      <c r="C7" s="220"/>
      <c r="D7" s="220" t="s">
        <v>70</v>
      </c>
      <c r="E7" s="221">
        <f t="shared" si="0"/>
        <v>190</v>
      </c>
      <c r="I7" s="222">
        <v>46144</v>
      </c>
      <c r="J7" s="222" t="s">
        <v>4584</v>
      </c>
      <c r="K7" s="223" t="s">
        <v>4574</v>
      </c>
      <c r="L7" s="223" t="s">
        <v>72</v>
      </c>
      <c r="M7" s="223">
        <v>20</v>
      </c>
      <c r="N7" s="223"/>
    </row>
    <row r="8" spans="1:14" s="210" customFormat="1" ht="18.75" customHeight="1">
      <c r="A8" s="218"/>
      <c r="B8" s="219"/>
      <c r="C8" s="220"/>
      <c r="D8" s="220" t="s">
        <v>209</v>
      </c>
      <c r="E8" s="221">
        <f t="shared" si="0"/>
        <v>100</v>
      </c>
      <c r="I8" s="222">
        <v>46145</v>
      </c>
      <c r="J8" s="222" t="s">
        <v>4588</v>
      </c>
      <c r="K8" s="223" t="s">
        <v>4574</v>
      </c>
      <c r="L8" s="223" t="s">
        <v>71</v>
      </c>
      <c r="M8" s="223">
        <v>20</v>
      </c>
      <c r="N8" s="223"/>
    </row>
    <row r="9" spans="1:14" s="210" customFormat="1" ht="18.75" customHeight="1">
      <c r="A9" s="218"/>
      <c r="B9" s="219"/>
      <c r="C9" s="220"/>
      <c r="D9" s="220" t="s">
        <v>3918</v>
      </c>
      <c r="E9" s="221">
        <f t="shared" si="0"/>
        <v>0</v>
      </c>
      <c r="I9" s="222">
        <v>46145</v>
      </c>
      <c r="J9" s="222" t="s">
        <v>4589</v>
      </c>
      <c r="K9" s="223" t="s">
        <v>4574</v>
      </c>
      <c r="L9" s="223" t="s">
        <v>71</v>
      </c>
      <c r="M9" s="223">
        <v>30</v>
      </c>
      <c r="N9" s="223"/>
    </row>
    <row r="10" spans="1:14" s="210" customFormat="1" ht="18.75" customHeight="1">
      <c r="A10" s="218"/>
      <c r="B10" s="219"/>
      <c r="C10" s="220"/>
      <c r="D10" s="220" t="s">
        <v>73</v>
      </c>
      <c r="E10" s="221">
        <f t="shared" si="0"/>
        <v>270</v>
      </c>
      <c r="I10" s="222">
        <v>46146</v>
      </c>
      <c r="J10" s="222" t="s">
        <v>4593</v>
      </c>
      <c r="K10" s="223" t="s">
        <v>4574</v>
      </c>
      <c r="L10" s="223" t="s">
        <v>70</v>
      </c>
      <c r="M10" s="223">
        <v>30</v>
      </c>
      <c r="N10" s="223"/>
    </row>
    <row r="11" spans="1:14" s="210" customFormat="1" ht="18.75" customHeight="1">
      <c r="A11" s="218"/>
      <c r="B11" s="219"/>
      <c r="C11" s="220"/>
      <c r="D11" s="224" t="s">
        <v>72</v>
      </c>
      <c r="E11" s="221">
        <f t="shared" si="0"/>
        <v>270</v>
      </c>
      <c r="I11" s="222">
        <v>46146</v>
      </c>
      <c r="J11" s="222" t="s">
        <v>4595</v>
      </c>
      <c r="K11" s="223" t="s">
        <v>4574</v>
      </c>
      <c r="L11" s="223" t="s">
        <v>71</v>
      </c>
      <c r="M11" s="223">
        <v>20</v>
      </c>
      <c r="N11" s="223"/>
    </row>
    <row r="12" spans="1:14" s="210" customFormat="1" ht="18.75" customHeight="1">
      <c r="A12" s="218"/>
      <c r="B12" s="219"/>
      <c r="C12" s="220"/>
      <c r="D12" s="224" t="s">
        <v>211</v>
      </c>
      <c r="E12" s="221">
        <f t="shared" si="0"/>
        <v>240</v>
      </c>
      <c r="I12" s="222">
        <v>46146</v>
      </c>
      <c r="J12" s="222" t="s">
        <v>4779</v>
      </c>
      <c r="K12" s="223" t="s">
        <v>4574</v>
      </c>
      <c r="L12" s="223" t="s">
        <v>71</v>
      </c>
      <c r="M12" s="223">
        <v>20</v>
      </c>
      <c r="N12" s="223"/>
    </row>
    <row r="13" spans="1:14" s="210" customFormat="1" ht="18.75" customHeight="1">
      <c r="A13" s="218"/>
      <c r="B13" s="219"/>
      <c r="C13" s="220"/>
      <c r="D13" s="224" t="s">
        <v>71</v>
      </c>
      <c r="E13" s="221">
        <f t="shared" si="0"/>
        <v>290</v>
      </c>
      <c r="I13" s="222">
        <v>46146</v>
      </c>
      <c r="J13" s="222" t="s">
        <v>4821</v>
      </c>
      <c r="K13" s="223" t="s">
        <v>5062</v>
      </c>
      <c r="L13" s="223" t="s">
        <v>71</v>
      </c>
      <c r="M13" s="223">
        <v>30</v>
      </c>
      <c r="N13" s="223"/>
    </row>
    <row r="14" spans="1:14" s="210" customFormat="1" ht="18.75" customHeight="1">
      <c r="A14" s="218"/>
      <c r="B14" s="219"/>
      <c r="C14" s="220"/>
      <c r="D14" s="224" t="s">
        <v>63</v>
      </c>
      <c r="E14" s="221">
        <f t="shared" si="0"/>
        <v>220</v>
      </c>
      <c r="I14" s="222">
        <v>46147</v>
      </c>
      <c r="J14" s="222" t="s">
        <v>4598</v>
      </c>
      <c r="K14" s="223" t="s">
        <v>4574</v>
      </c>
      <c r="L14" s="223" t="s">
        <v>72</v>
      </c>
      <c r="M14" s="223">
        <v>20</v>
      </c>
      <c r="N14" s="223"/>
    </row>
    <row r="15" spans="1:14" s="210" customFormat="1" ht="18.75" customHeight="1">
      <c r="A15" s="218"/>
      <c r="B15" s="219"/>
      <c r="C15" s="220"/>
      <c r="D15" s="224" t="s">
        <v>136</v>
      </c>
      <c r="E15" s="221">
        <f t="shared" si="0"/>
        <v>0</v>
      </c>
      <c r="I15" s="222">
        <v>46147</v>
      </c>
      <c r="J15" s="222" t="s">
        <v>1823</v>
      </c>
      <c r="K15" s="223" t="s">
        <v>4574</v>
      </c>
      <c r="L15" s="223" t="s">
        <v>70</v>
      </c>
      <c r="M15" s="223">
        <v>20</v>
      </c>
      <c r="N15" s="223"/>
    </row>
    <row r="16" spans="1:14" s="210" customFormat="1" ht="18.75" customHeight="1">
      <c r="A16" s="225"/>
      <c r="B16" s="226"/>
      <c r="C16" s="227"/>
      <c r="D16" s="228" t="s">
        <v>101</v>
      </c>
      <c r="E16" s="229">
        <f t="shared" si="0"/>
        <v>0</v>
      </c>
      <c r="I16" s="222">
        <v>46147</v>
      </c>
      <c r="J16" s="222" t="s">
        <v>4599</v>
      </c>
      <c r="K16" s="223" t="s">
        <v>4574</v>
      </c>
      <c r="L16" s="223" t="s">
        <v>72</v>
      </c>
      <c r="M16" s="223">
        <v>20</v>
      </c>
      <c r="N16" s="223"/>
    </row>
    <row r="17" spans="1:14" s="210" customFormat="1" ht="18.75" customHeight="1">
      <c r="A17" s="225"/>
      <c r="B17" s="226"/>
      <c r="C17" s="227"/>
      <c r="D17" s="228" t="s">
        <v>222</v>
      </c>
      <c r="E17" s="229">
        <f t="shared" si="0"/>
        <v>20</v>
      </c>
      <c r="I17" s="222">
        <v>46147</v>
      </c>
      <c r="J17" s="222" t="s">
        <v>4815</v>
      </c>
      <c r="K17" s="223" t="s">
        <v>4574</v>
      </c>
      <c r="L17" s="223" t="s">
        <v>71</v>
      </c>
      <c r="M17" s="223">
        <v>20</v>
      </c>
      <c r="N17" s="223"/>
    </row>
    <row r="18" spans="1:14" ht="18" customHeight="1">
      <c r="A18" s="2102" t="s">
        <v>311</v>
      </c>
      <c r="B18" s="2103"/>
      <c r="C18" s="2103"/>
      <c r="D18" s="2103"/>
      <c r="E18" s="230">
        <f>SUM(E3:E17)</f>
        <v>1950</v>
      </c>
      <c r="I18" s="222">
        <v>46147</v>
      </c>
      <c r="J18" s="222" t="s">
        <v>4600</v>
      </c>
      <c r="K18" s="223" t="s">
        <v>4574</v>
      </c>
      <c r="L18" s="223" t="s">
        <v>63</v>
      </c>
      <c r="M18" s="223">
        <v>20</v>
      </c>
      <c r="N18" s="223"/>
    </row>
    <row r="19" spans="1:14" ht="18.75" customHeight="1">
      <c r="I19" s="222">
        <v>46147</v>
      </c>
      <c r="J19" s="222" t="s">
        <v>4601</v>
      </c>
      <c r="K19" s="223" t="s">
        <v>4574</v>
      </c>
      <c r="L19" s="223" t="s">
        <v>73</v>
      </c>
      <c r="M19" s="223">
        <v>20</v>
      </c>
      <c r="N19" s="223"/>
    </row>
    <row r="20" spans="1:14">
      <c r="I20" s="222">
        <v>46147</v>
      </c>
      <c r="J20" s="222" t="s">
        <v>4602</v>
      </c>
      <c r="K20" s="223" t="s">
        <v>4574</v>
      </c>
      <c r="L20" s="223" t="s">
        <v>63</v>
      </c>
      <c r="M20" s="223">
        <v>20</v>
      </c>
      <c r="N20" s="223"/>
    </row>
    <row r="21" spans="1:14">
      <c r="I21" s="222">
        <v>46147</v>
      </c>
      <c r="J21" s="222" t="s">
        <v>4603</v>
      </c>
      <c r="K21" s="223" t="s">
        <v>4574</v>
      </c>
      <c r="L21" s="223" t="s">
        <v>67</v>
      </c>
      <c r="M21" s="223">
        <v>20</v>
      </c>
      <c r="N21" s="223"/>
    </row>
    <row r="22" spans="1:14">
      <c r="I22" s="222">
        <v>46147</v>
      </c>
      <c r="J22" s="222" t="s">
        <v>4604</v>
      </c>
      <c r="K22" s="223" t="s">
        <v>4574</v>
      </c>
      <c r="L22" s="223" t="s">
        <v>70</v>
      </c>
      <c r="M22" s="223">
        <v>20</v>
      </c>
      <c r="N22" s="223"/>
    </row>
    <row r="23" spans="1:14">
      <c r="I23" s="222">
        <v>46147</v>
      </c>
      <c r="J23" s="222" t="s">
        <v>4815</v>
      </c>
      <c r="K23" s="223" t="s">
        <v>4574</v>
      </c>
      <c r="L23" s="223" t="s">
        <v>71</v>
      </c>
      <c r="M23" s="223">
        <v>20</v>
      </c>
      <c r="N23" s="223"/>
    </row>
    <row r="24" spans="1:14">
      <c r="I24" s="222">
        <v>46148</v>
      </c>
      <c r="J24" s="222" t="s">
        <v>4605</v>
      </c>
      <c r="K24" s="223" t="s">
        <v>4574</v>
      </c>
      <c r="L24" s="223" t="s">
        <v>71</v>
      </c>
      <c r="M24" s="223">
        <v>20</v>
      </c>
      <c r="N24" s="223"/>
    </row>
    <row r="25" spans="1:14">
      <c r="I25" s="222">
        <v>46148</v>
      </c>
      <c r="J25" s="222" t="s">
        <v>4609</v>
      </c>
      <c r="K25" s="223" t="s">
        <v>4574</v>
      </c>
      <c r="L25" s="223" t="s">
        <v>72</v>
      </c>
      <c r="M25" s="223">
        <v>20</v>
      </c>
      <c r="N25" s="223"/>
    </row>
    <row r="26" spans="1:14">
      <c r="I26" s="222">
        <v>46148</v>
      </c>
      <c r="J26" s="222" t="s">
        <v>4576</v>
      </c>
      <c r="K26" s="223" t="s">
        <v>4574</v>
      </c>
      <c r="L26" s="223" t="s">
        <v>67</v>
      </c>
      <c r="M26" s="223">
        <v>30</v>
      </c>
      <c r="N26" s="223"/>
    </row>
    <row r="27" spans="1:14">
      <c r="I27" s="222">
        <v>46149</v>
      </c>
      <c r="J27" s="223" t="s">
        <v>4611</v>
      </c>
      <c r="K27" s="223" t="s">
        <v>4574</v>
      </c>
      <c r="L27" s="223" t="s">
        <v>72</v>
      </c>
      <c r="M27" s="223">
        <v>20</v>
      </c>
      <c r="N27" s="223"/>
    </row>
    <row r="28" spans="1:14">
      <c r="I28" s="222">
        <v>46149</v>
      </c>
      <c r="J28" s="223" t="s">
        <v>4580</v>
      </c>
      <c r="K28" s="223" t="s">
        <v>4574</v>
      </c>
      <c r="L28" s="223" t="s">
        <v>67</v>
      </c>
      <c r="M28" s="223">
        <v>20</v>
      </c>
      <c r="N28" s="223"/>
    </row>
    <row r="29" spans="1:14">
      <c r="I29" s="222">
        <v>46149</v>
      </c>
      <c r="J29" s="223" t="s">
        <v>4614</v>
      </c>
      <c r="K29" s="223" t="s">
        <v>4574</v>
      </c>
      <c r="L29" s="223" t="s">
        <v>67</v>
      </c>
      <c r="M29" s="223">
        <v>20</v>
      </c>
      <c r="N29" s="223"/>
    </row>
    <row r="30" spans="1:14">
      <c r="I30" s="222">
        <v>46150</v>
      </c>
      <c r="J30" s="223" t="s">
        <v>4616</v>
      </c>
      <c r="K30" s="223" t="s">
        <v>4574</v>
      </c>
      <c r="L30" s="223" t="s">
        <v>67</v>
      </c>
      <c r="M30" s="223">
        <v>20</v>
      </c>
      <c r="N30" s="223"/>
    </row>
    <row r="31" spans="1:14">
      <c r="I31" s="222">
        <v>46150</v>
      </c>
      <c r="J31" s="223" t="s">
        <v>4619</v>
      </c>
      <c r="K31" s="223" t="s">
        <v>4574</v>
      </c>
      <c r="L31" s="223" t="s">
        <v>71</v>
      </c>
      <c r="M31" s="223">
        <v>20</v>
      </c>
      <c r="N31" s="223"/>
    </row>
    <row r="32" spans="1:14">
      <c r="I32" s="222">
        <v>46150</v>
      </c>
      <c r="J32" s="223" t="s">
        <v>4616</v>
      </c>
      <c r="K32" s="223" t="s">
        <v>4574</v>
      </c>
      <c r="L32" s="223" t="s">
        <v>67</v>
      </c>
      <c r="M32" s="223">
        <v>20</v>
      </c>
      <c r="N32" s="223"/>
    </row>
    <row r="33" spans="9:14">
      <c r="I33" s="222">
        <v>46151</v>
      </c>
      <c r="J33" s="223" t="s">
        <v>4629</v>
      </c>
      <c r="K33" s="223" t="s">
        <v>4574</v>
      </c>
      <c r="L33" s="223" t="s">
        <v>63</v>
      </c>
      <c r="M33" s="223">
        <v>20</v>
      </c>
      <c r="N33" s="223"/>
    </row>
    <row r="34" spans="9:14">
      <c r="I34" s="222">
        <v>46151</v>
      </c>
      <c r="J34" s="223" t="s">
        <v>4630</v>
      </c>
      <c r="K34" s="223" t="s">
        <v>4574</v>
      </c>
      <c r="L34" s="223" t="s">
        <v>73</v>
      </c>
      <c r="M34" s="223">
        <v>20</v>
      </c>
      <c r="N34" s="223"/>
    </row>
    <row r="35" spans="9:14">
      <c r="I35" s="222">
        <v>46151</v>
      </c>
      <c r="J35" s="223" t="s">
        <v>4600</v>
      </c>
      <c r="K35" s="223" t="s">
        <v>4574</v>
      </c>
      <c r="L35" s="223" t="s">
        <v>63</v>
      </c>
      <c r="M35" s="223">
        <v>20</v>
      </c>
      <c r="N35" s="223"/>
    </row>
    <row r="36" spans="9:14">
      <c r="I36" s="222">
        <v>46151</v>
      </c>
      <c r="J36" s="223" t="s">
        <v>4601</v>
      </c>
      <c r="K36" s="223" t="s">
        <v>4574</v>
      </c>
      <c r="L36" s="223" t="s">
        <v>73</v>
      </c>
      <c r="M36" s="223">
        <v>20</v>
      </c>
      <c r="N36" s="223"/>
    </row>
    <row r="37" spans="9:14">
      <c r="I37" s="222">
        <v>46151</v>
      </c>
      <c r="J37" s="223" t="s">
        <v>4632</v>
      </c>
      <c r="K37" s="223" t="s">
        <v>4574</v>
      </c>
      <c r="L37" s="223" t="s">
        <v>73</v>
      </c>
      <c r="M37" s="223">
        <v>20</v>
      </c>
      <c r="N37" s="223"/>
    </row>
    <row r="38" spans="9:14">
      <c r="I38" s="222">
        <v>46152</v>
      </c>
      <c r="J38" s="223" t="s">
        <v>4637</v>
      </c>
      <c r="K38" s="223" t="s">
        <v>4574</v>
      </c>
      <c r="L38" s="223" t="s">
        <v>73</v>
      </c>
      <c r="M38" s="223">
        <v>20</v>
      </c>
      <c r="N38" s="223"/>
    </row>
    <row r="39" spans="9:14">
      <c r="I39" s="222">
        <v>46152</v>
      </c>
      <c r="J39" s="223" t="s">
        <v>4613</v>
      </c>
      <c r="K39" s="223" t="s">
        <v>4574</v>
      </c>
      <c r="L39" s="223" t="s">
        <v>67</v>
      </c>
      <c r="M39" s="223">
        <v>20</v>
      </c>
      <c r="N39" s="223"/>
    </row>
    <row r="40" spans="9:14">
      <c r="I40" s="222">
        <v>46152</v>
      </c>
      <c r="J40" s="223" t="s">
        <v>4639</v>
      </c>
      <c r="K40" s="223" t="s">
        <v>4574</v>
      </c>
      <c r="L40" s="223" t="s">
        <v>73</v>
      </c>
      <c r="M40" s="223">
        <v>20</v>
      </c>
      <c r="N40" s="223"/>
    </row>
    <row r="41" spans="9:14">
      <c r="I41" s="222">
        <v>46153</v>
      </c>
      <c r="J41" s="223" t="s">
        <v>4581</v>
      </c>
      <c r="K41" s="223" t="s">
        <v>4574</v>
      </c>
      <c r="L41" s="223" t="s">
        <v>73</v>
      </c>
      <c r="M41" s="223">
        <v>20</v>
      </c>
      <c r="N41" s="223"/>
    </row>
    <row r="42" spans="9:14">
      <c r="I42" s="222">
        <v>46153</v>
      </c>
      <c r="J42" s="223" t="s">
        <v>4647</v>
      </c>
      <c r="K42" s="223" t="s">
        <v>4574</v>
      </c>
      <c r="L42" s="223" t="s">
        <v>73</v>
      </c>
      <c r="M42" s="223">
        <v>20</v>
      </c>
      <c r="N42" s="223"/>
    </row>
    <row r="43" spans="9:14">
      <c r="I43" s="222">
        <v>46153</v>
      </c>
      <c r="J43" s="223" t="s">
        <v>4598</v>
      </c>
      <c r="K43" s="223" t="s">
        <v>4574</v>
      </c>
      <c r="L43" s="223" t="s">
        <v>72</v>
      </c>
      <c r="M43" s="223">
        <v>30</v>
      </c>
      <c r="N43" s="223"/>
    </row>
    <row r="44" spans="9:14">
      <c r="I44" s="222">
        <v>46154</v>
      </c>
      <c r="J44" s="223" t="s">
        <v>4611</v>
      </c>
      <c r="K44" s="223" t="s">
        <v>4574</v>
      </c>
      <c r="L44" s="223" t="s">
        <v>73</v>
      </c>
      <c r="M44" s="223">
        <v>30</v>
      </c>
      <c r="N44" s="223"/>
    </row>
    <row r="45" spans="9:14">
      <c r="I45" s="222">
        <v>46156</v>
      </c>
      <c r="J45" s="223" t="s">
        <v>4590</v>
      </c>
      <c r="K45" s="223" t="s">
        <v>4574</v>
      </c>
      <c r="L45" s="223" t="s">
        <v>72</v>
      </c>
      <c r="M45" s="223">
        <v>20</v>
      </c>
      <c r="N45" s="223"/>
    </row>
    <row r="46" spans="9:14">
      <c r="I46" s="222">
        <v>46156</v>
      </c>
      <c r="J46" s="223" t="s">
        <v>4608</v>
      </c>
      <c r="K46" s="223" t="s">
        <v>4574</v>
      </c>
      <c r="L46" s="223" t="s">
        <v>63</v>
      </c>
      <c r="M46" s="223">
        <v>20</v>
      </c>
      <c r="N46" s="223"/>
    </row>
    <row r="47" spans="9:14">
      <c r="I47" s="222">
        <v>46156</v>
      </c>
      <c r="J47" s="223" t="s">
        <v>4655</v>
      </c>
      <c r="K47" s="223" t="s">
        <v>4574</v>
      </c>
      <c r="L47" s="223" t="s">
        <v>63</v>
      </c>
      <c r="M47" s="223">
        <v>20</v>
      </c>
      <c r="N47" s="223"/>
    </row>
    <row r="48" spans="9:14">
      <c r="I48" s="222">
        <v>46157</v>
      </c>
      <c r="J48" s="223" t="s">
        <v>4658</v>
      </c>
      <c r="K48" s="223" t="s">
        <v>4574</v>
      </c>
      <c r="L48" s="223" t="s">
        <v>73</v>
      </c>
      <c r="M48" s="223">
        <v>20</v>
      </c>
      <c r="N48" s="223"/>
    </row>
    <row r="49" spans="9:14">
      <c r="I49" s="222">
        <v>46158</v>
      </c>
      <c r="J49" s="223" t="s">
        <v>4662</v>
      </c>
      <c r="K49" s="223" t="s">
        <v>4574</v>
      </c>
      <c r="L49" s="223" t="s">
        <v>67</v>
      </c>
      <c r="M49" s="223">
        <v>20</v>
      </c>
      <c r="N49" s="223"/>
    </row>
    <row r="50" spans="9:14">
      <c r="I50" s="222">
        <v>46159</v>
      </c>
      <c r="J50" s="223" t="s">
        <v>4666</v>
      </c>
      <c r="K50" s="223" t="s">
        <v>4574</v>
      </c>
      <c r="L50" s="223" t="s">
        <v>73</v>
      </c>
      <c r="M50" s="223">
        <v>20</v>
      </c>
      <c r="N50" s="223"/>
    </row>
    <row r="51" spans="9:14">
      <c r="I51" s="222">
        <v>46159</v>
      </c>
      <c r="J51" s="223" t="s">
        <v>4668</v>
      </c>
      <c r="K51" s="223" t="s">
        <v>4574</v>
      </c>
      <c r="L51" s="223" t="s">
        <v>71</v>
      </c>
      <c r="M51" s="223">
        <v>20</v>
      </c>
      <c r="N51" s="223"/>
    </row>
    <row r="52" spans="9:14">
      <c r="I52" s="222">
        <v>46159</v>
      </c>
      <c r="J52" s="223" t="s">
        <v>4669</v>
      </c>
      <c r="K52" s="223" t="s">
        <v>4574</v>
      </c>
      <c r="L52" s="223" t="s">
        <v>71</v>
      </c>
      <c r="M52" s="223">
        <v>20</v>
      </c>
      <c r="N52" s="223"/>
    </row>
    <row r="53" spans="9:14">
      <c r="I53" s="222">
        <v>46159</v>
      </c>
      <c r="J53" s="223" t="s">
        <v>4670</v>
      </c>
      <c r="K53" s="223" t="s">
        <v>4574</v>
      </c>
      <c r="L53" s="223" t="s">
        <v>67</v>
      </c>
      <c r="M53" s="223">
        <v>20</v>
      </c>
      <c r="N53" s="223"/>
    </row>
    <row r="54" spans="9:14">
      <c r="I54" s="222">
        <v>46160</v>
      </c>
      <c r="J54" s="223" t="s">
        <v>4673</v>
      </c>
      <c r="K54" s="223" t="s">
        <v>4574</v>
      </c>
      <c r="L54" s="223" t="s">
        <v>67</v>
      </c>
      <c r="M54" s="223">
        <v>20</v>
      </c>
      <c r="N54" s="223"/>
    </row>
    <row r="55" spans="9:14">
      <c r="I55" s="222">
        <v>46160</v>
      </c>
      <c r="J55" s="223" t="s">
        <v>5063</v>
      </c>
      <c r="K55" s="223" t="s">
        <v>4574</v>
      </c>
      <c r="L55" s="223" t="s">
        <v>72</v>
      </c>
      <c r="M55" s="223">
        <v>20</v>
      </c>
      <c r="N55" s="223"/>
    </row>
    <row r="56" spans="9:14">
      <c r="I56" s="222">
        <v>46160</v>
      </c>
      <c r="J56" s="223" t="s">
        <v>4597</v>
      </c>
      <c r="K56" s="223" t="s">
        <v>4574</v>
      </c>
      <c r="L56" s="223" t="s">
        <v>70</v>
      </c>
      <c r="M56" s="223">
        <v>20</v>
      </c>
      <c r="N56" s="223"/>
    </row>
    <row r="57" spans="9:14">
      <c r="I57" s="222">
        <v>46160</v>
      </c>
      <c r="J57" s="223" t="s">
        <v>4676</v>
      </c>
      <c r="K57" s="223" t="s">
        <v>4574</v>
      </c>
      <c r="L57" s="223" t="s">
        <v>70</v>
      </c>
      <c r="M57" s="223">
        <v>20</v>
      </c>
      <c r="N57" s="223"/>
    </row>
    <row r="58" spans="9:14">
      <c r="I58" s="222">
        <v>46161</v>
      </c>
      <c r="J58" s="223" t="s">
        <v>1857</v>
      </c>
      <c r="K58" s="223" t="s">
        <v>4574</v>
      </c>
      <c r="L58" s="223" t="s">
        <v>63</v>
      </c>
      <c r="M58" s="223">
        <v>20</v>
      </c>
      <c r="N58" s="223"/>
    </row>
    <row r="59" spans="9:14">
      <c r="I59" s="222">
        <v>46161</v>
      </c>
      <c r="J59" s="223" t="s">
        <v>4678</v>
      </c>
      <c r="K59" s="223" t="s">
        <v>4574</v>
      </c>
      <c r="L59" s="223" t="s">
        <v>67</v>
      </c>
      <c r="M59" s="223">
        <v>20</v>
      </c>
      <c r="N59" s="223"/>
    </row>
    <row r="60" spans="9:14">
      <c r="I60" s="222">
        <v>46161</v>
      </c>
      <c r="J60" s="223" t="s">
        <v>4662</v>
      </c>
      <c r="K60" s="223" t="s">
        <v>4574</v>
      </c>
      <c r="L60" s="223" t="s">
        <v>67</v>
      </c>
      <c r="M60" s="223">
        <v>20</v>
      </c>
      <c r="N60" s="223"/>
    </row>
    <row r="61" spans="9:14">
      <c r="I61" s="222">
        <v>46161</v>
      </c>
      <c r="J61" s="223" t="s">
        <v>4679</v>
      </c>
      <c r="K61" s="223" t="s">
        <v>4574</v>
      </c>
      <c r="L61" s="223" t="s">
        <v>67</v>
      </c>
      <c r="M61" s="223">
        <v>20</v>
      </c>
      <c r="N61" s="223"/>
    </row>
    <row r="62" spans="9:14">
      <c r="I62" s="222">
        <v>46161</v>
      </c>
      <c r="J62" s="223" t="s">
        <v>4593</v>
      </c>
      <c r="K62" s="223" t="s">
        <v>4574</v>
      </c>
      <c r="L62" s="223" t="s">
        <v>70</v>
      </c>
      <c r="M62" s="223">
        <v>20</v>
      </c>
      <c r="N62" s="223"/>
    </row>
    <row r="63" spans="9:14">
      <c r="I63" s="222">
        <v>46161</v>
      </c>
      <c r="J63" s="223" t="s">
        <v>4625</v>
      </c>
      <c r="K63" s="223" t="s">
        <v>4574</v>
      </c>
      <c r="L63" s="223" t="s">
        <v>63</v>
      </c>
      <c r="M63" s="223">
        <v>20</v>
      </c>
      <c r="N63" s="223"/>
    </row>
    <row r="64" spans="9:14">
      <c r="I64" s="222">
        <v>46162</v>
      </c>
      <c r="J64" s="223" t="s">
        <v>4681</v>
      </c>
      <c r="K64" s="223" t="s">
        <v>4574</v>
      </c>
      <c r="L64" s="223" t="s">
        <v>72</v>
      </c>
      <c r="M64" s="223">
        <v>20</v>
      </c>
      <c r="N64" s="223"/>
    </row>
    <row r="65" spans="9:14">
      <c r="I65" s="222">
        <v>46162</v>
      </c>
      <c r="J65" s="223" t="s">
        <v>4683</v>
      </c>
      <c r="K65" s="223" t="s">
        <v>4574</v>
      </c>
      <c r="L65" s="223" t="s">
        <v>67</v>
      </c>
      <c r="M65" s="223">
        <v>20</v>
      </c>
      <c r="N65" s="223"/>
    </row>
    <row r="66" spans="9:14">
      <c r="I66" s="222">
        <v>46162</v>
      </c>
      <c r="J66" s="223" t="s">
        <v>4655</v>
      </c>
      <c r="K66" s="223" t="s">
        <v>4574</v>
      </c>
      <c r="L66" s="223" t="s">
        <v>63</v>
      </c>
      <c r="M66" s="223">
        <v>20</v>
      </c>
      <c r="N66" s="223"/>
    </row>
    <row r="67" spans="9:14">
      <c r="I67" s="222">
        <v>46163</v>
      </c>
      <c r="J67" s="223" t="s">
        <v>5064</v>
      </c>
      <c r="K67" s="223" t="s">
        <v>4574</v>
      </c>
      <c r="L67" s="223" t="s">
        <v>67</v>
      </c>
      <c r="M67" s="223">
        <v>20</v>
      </c>
      <c r="N67" s="223"/>
    </row>
    <row r="68" spans="9:14">
      <c r="I68" s="222">
        <v>46164</v>
      </c>
      <c r="J68" s="223" t="s">
        <v>4637</v>
      </c>
      <c r="K68" s="223" t="s">
        <v>4574</v>
      </c>
      <c r="L68" s="223" t="s">
        <v>73</v>
      </c>
      <c r="M68" s="223">
        <v>20</v>
      </c>
      <c r="N68" s="223"/>
    </row>
    <row r="69" spans="9:14">
      <c r="I69" s="222">
        <v>46165</v>
      </c>
      <c r="J69" s="223" t="s">
        <v>4691</v>
      </c>
      <c r="K69" s="223" t="s">
        <v>4574</v>
      </c>
      <c r="L69" s="223" t="s">
        <v>70</v>
      </c>
      <c r="M69" s="223">
        <v>20</v>
      </c>
      <c r="N69" s="223"/>
    </row>
    <row r="70" spans="9:14">
      <c r="I70" s="222">
        <v>46167</v>
      </c>
      <c r="J70" s="223" t="s">
        <v>4694</v>
      </c>
      <c r="K70" s="223" t="s">
        <v>4574</v>
      </c>
      <c r="L70" s="223" t="s">
        <v>70</v>
      </c>
      <c r="M70" s="223">
        <v>20</v>
      </c>
      <c r="N70" s="223"/>
    </row>
    <row r="71" spans="9:14">
      <c r="I71" s="222">
        <v>46169</v>
      </c>
      <c r="J71" s="223" t="s">
        <v>5065</v>
      </c>
      <c r="K71" s="223" t="s">
        <v>4574</v>
      </c>
      <c r="L71" s="223" t="s">
        <v>72</v>
      </c>
      <c r="M71" s="223">
        <v>20</v>
      </c>
      <c r="N71" s="223"/>
    </row>
    <row r="72" spans="9:14">
      <c r="I72" s="222">
        <v>46169</v>
      </c>
      <c r="J72" s="223" t="s">
        <v>4701</v>
      </c>
      <c r="K72" s="223" t="s">
        <v>4574</v>
      </c>
      <c r="L72" s="223" t="s">
        <v>72</v>
      </c>
      <c r="M72" s="223">
        <v>20</v>
      </c>
      <c r="N72" s="223"/>
    </row>
    <row r="73" spans="9:14">
      <c r="I73" s="222">
        <v>46171</v>
      </c>
      <c r="J73" s="223" t="s">
        <v>4709</v>
      </c>
      <c r="K73" s="223" t="s">
        <v>4574</v>
      </c>
      <c r="L73" s="223" t="s">
        <v>63</v>
      </c>
      <c r="M73" s="223">
        <v>20</v>
      </c>
      <c r="N73" s="223"/>
    </row>
    <row r="74" spans="9:14">
      <c r="I74" s="222">
        <v>46171</v>
      </c>
      <c r="J74" s="223" t="s">
        <v>4697</v>
      </c>
      <c r="K74" s="223" t="s">
        <v>4574</v>
      </c>
      <c r="L74" s="223" t="s">
        <v>71</v>
      </c>
      <c r="M74" s="223">
        <v>20</v>
      </c>
      <c r="N74" s="223"/>
    </row>
    <row r="75" spans="9:14">
      <c r="I75" s="222">
        <v>46171</v>
      </c>
      <c r="J75" s="223" t="s">
        <v>4710</v>
      </c>
      <c r="K75" s="223" t="s">
        <v>4574</v>
      </c>
      <c r="L75" s="223" t="s">
        <v>71</v>
      </c>
      <c r="M75" s="223">
        <v>30</v>
      </c>
      <c r="N75" s="223"/>
    </row>
    <row r="76" spans="9:14">
      <c r="I76" s="222">
        <v>46171</v>
      </c>
      <c r="J76" s="223" t="s">
        <v>4711</v>
      </c>
      <c r="K76" s="223" t="s">
        <v>4574</v>
      </c>
      <c r="L76" s="223" t="s">
        <v>63</v>
      </c>
      <c r="M76" s="223">
        <v>20</v>
      </c>
      <c r="N76" s="223"/>
    </row>
    <row r="77" spans="9:14">
      <c r="I77" s="222">
        <v>46172</v>
      </c>
      <c r="J77" s="223" t="s">
        <v>4679</v>
      </c>
      <c r="K77" s="223" t="s">
        <v>4574</v>
      </c>
      <c r="L77" s="223" t="s">
        <v>67</v>
      </c>
      <c r="M77" s="223">
        <v>20</v>
      </c>
      <c r="N77" s="223"/>
    </row>
    <row r="78" spans="9:14">
      <c r="I78" s="222">
        <v>46173</v>
      </c>
      <c r="J78" s="223" t="s">
        <v>4721</v>
      </c>
      <c r="K78" s="223" t="s">
        <v>4574</v>
      </c>
      <c r="L78" s="223" t="s">
        <v>72</v>
      </c>
      <c r="M78" s="223">
        <v>20</v>
      </c>
      <c r="N78" s="223"/>
    </row>
    <row r="79" spans="9:14">
      <c r="I79" s="222"/>
      <c r="J79" s="223"/>
      <c r="K79" s="223"/>
      <c r="L79" s="223"/>
      <c r="M79" s="223"/>
      <c r="N79" s="223"/>
    </row>
    <row r="80" spans="9:14">
      <c r="I80" s="222"/>
      <c r="J80" s="223"/>
      <c r="K80" s="223"/>
      <c r="L80" s="223"/>
      <c r="M80" s="223"/>
      <c r="N80" s="223"/>
    </row>
    <row r="81" spans="9:14">
      <c r="I81" s="222"/>
      <c r="J81" s="223"/>
      <c r="K81" s="223"/>
      <c r="L81" s="223"/>
      <c r="M81" s="223"/>
      <c r="N81" s="223"/>
    </row>
    <row r="82" spans="9:14">
      <c r="I82" s="222">
        <v>46149</v>
      </c>
      <c r="J82" s="223" t="s">
        <v>5066</v>
      </c>
      <c r="K82" s="223" t="s">
        <v>4574</v>
      </c>
      <c r="L82" s="223" t="s">
        <v>211</v>
      </c>
      <c r="M82" s="223">
        <v>20</v>
      </c>
      <c r="N82" s="223"/>
    </row>
    <row r="83" spans="9:14">
      <c r="I83" s="222">
        <v>46153</v>
      </c>
      <c r="J83" s="223" t="s">
        <v>4764</v>
      </c>
      <c r="K83" s="223" t="s">
        <v>4574</v>
      </c>
      <c r="L83" s="223" t="s">
        <v>211</v>
      </c>
      <c r="M83" s="223">
        <v>20</v>
      </c>
      <c r="N83" s="223"/>
    </row>
    <row r="84" spans="9:14">
      <c r="I84" s="222">
        <v>46157</v>
      </c>
      <c r="J84" s="223" t="s">
        <v>4768</v>
      </c>
      <c r="K84" s="223" t="s">
        <v>4574</v>
      </c>
      <c r="L84" s="223" t="s">
        <v>209</v>
      </c>
      <c r="M84" s="223">
        <v>20</v>
      </c>
      <c r="N84" s="223"/>
    </row>
    <row r="85" spans="9:14">
      <c r="I85" s="222">
        <v>46157</v>
      </c>
      <c r="J85" s="223" t="s">
        <v>4772</v>
      </c>
      <c r="K85" s="223" t="s">
        <v>4574</v>
      </c>
      <c r="L85" s="223" t="s">
        <v>209</v>
      </c>
      <c r="M85" s="223">
        <v>20</v>
      </c>
      <c r="N85" s="223"/>
    </row>
    <row r="86" spans="9:14">
      <c r="I86" s="222">
        <v>46157</v>
      </c>
      <c r="J86" s="223" t="s">
        <v>4812</v>
      </c>
      <c r="K86" s="223" t="s">
        <v>4574</v>
      </c>
      <c r="L86" s="223" t="s">
        <v>211</v>
      </c>
      <c r="M86" s="223">
        <v>20</v>
      </c>
      <c r="N86" s="223"/>
    </row>
    <row r="87" spans="9:14">
      <c r="I87" s="222">
        <v>46158</v>
      </c>
      <c r="J87" s="223" t="s">
        <v>4774</v>
      </c>
      <c r="K87" s="223" t="s">
        <v>4574</v>
      </c>
      <c r="L87" s="223" t="s">
        <v>211</v>
      </c>
      <c r="M87" s="223">
        <v>20</v>
      </c>
      <c r="N87" s="223"/>
    </row>
    <row r="88" spans="9:14">
      <c r="I88" s="222">
        <v>46159</v>
      </c>
      <c r="J88" s="223" t="s">
        <v>4728</v>
      </c>
      <c r="K88" s="223" t="s">
        <v>4574</v>
      </c>
      <c r="L88" s="223" t="s">
        <v>211</v>
      </c>
      <c r="M88" s="223">
        <v>20</v>
      </c>
      <c r="N88" s="223"/>
    </row>
    <row r="89" spans="9:14">
      <c r="I89" s="222">
        <v>46160</v>
      </c>
      <c r="J89" s="223" t="s">
        <v>4746</v>
      </c>
      <c r="K89" s="223" t="s">
        <v>4574</v>
      </c>
      <c r="L89" s="223" t="s">
        <v>211</v>
      </c>
      <c r="M89" s="223">
        <v>20</v>
      </c>
      <c r="N89" s="223"/>
    </row>
    <row r="90" spans="9:14">
      <c r="I90" s="222">
        <v>46161</v>
      </c>
      <c r="J90" s="223" t="s">
        <v>4804</v>
      </c>
      <c r="K90" s="223" t="s">
        <v>4777</v>
      </c>
      <c r="L90" s="223" t="s">
        <v>211</v>
      </c>
      <c r="M90" s="223">
        <v>20</v>
      </c>
      <c r="N90" s="223"/>
    </row>
    <row r="91" spans="9:14">
      <c r="I91" s="222">
        <v>46161</v>
      </c>
      <c r="J91" s="223" t="s">
        <v>4776</v>
      </c>
      <c r="K91" s="223" t="s">
        <v>4777</v>
      </c>
      <c r="L91" s="223" t="s">
        <v>222</v>
      </c>
      <c r="M91" s="223">
        <v>20</v>
      </c>
      <c r="N91" s="223"/>
    </row>
    <row r="92" spans="9:14">
      <c r="I92" s="222">
        <v>46164</v>
      </c>
      <c r="J92" s="223" t="s">
        <v>4754</v>
      </c>
      <c r="K92" s="223" t="s">
        <v>4574</v>
      </c>
      <c r="L92" s="223" t="s">
        <v>209</v>
      </c>
      <c r="M92" s="223">
        <v>20</v>
      </c>
      <c r="N92" s="223"/>
    </row>
    <row r="93" spans="9:14">
      <c r="I93" s="222">
        <v>46165</v>
      </c>
      <c r="J93" s="223" t="s">
        <v>4762</v>
      </c>
      <c r="K93" s="223" t="s">
        <v>4574</v>
      </c>
      <c r="L93" s="223" t="s">
        <v>209</v>
      </c>
      <c r="M93" s="223">
        <v>20</v>
      </c>
      <c r="N93" s="223"/>
    </row>
    <row r="94" spans="9:14">
      <c r="I94" s="222">
        <v>46168</v>
      </c>
      <c r="J94" s="223" t="s">
        <v>4824</v>
      </c>
      <c r="K94" s="223" t="s">
        <v>4574</v>
      </c>
      <c r="L94" s="223" t="s">
        <v>211</v>
      </c>
      <c r="M94" s="223">
        <v>20</v>
      </c>
      <c r="N94" s="223"/>
    </row>
    <row r="95" spans="9:14">
      <c r="I95" s="222">
        <v>46170</v>
      </c>
      <c r="J95" s="223" t="s">
        <v>4740</v>
      </c>
      <c r="K95" s="223" t="s">
        <v>4574</v>
      </c>
      <c r="L95" s="223" t="s">
        <v>211</v>
      </c>
      <c r="M95" s="223">
        <v>20</v>
      </c>
      <c r="N95" s="223"/>
    </row>
    <row r="96" spans="9:14">
      <c r="I96" s="222">
        <v>46171</v>
      </c>
      <c r="J96" s="223" t="s">
        <v>4802</v>
      </c>
      <c r="K96" s="223" t="s">
        <v>4574</v>
      </c>
      <c r="L96" s="223" t="s">
        <v>211</v>
      </c>
      <c r="M96" s="223">
        <v>20</v>
      </c>
      <c r="N96" s="223"/>
    </row>
    <row r="97" spans="9:14">
      <c r="I97" s="222">
        <v>46171</v>
      </c>
      <c r="J97" s="223" t="s">
        <v>4738</v>
      </c>
      <c r="K97" s="223" t="s">
        <v>4574</v>
      </c>
      <c r="L97" s="223" t="s">
        <v>211</v>
      </c>
      <c r="M97" s="223">
        <v>20</v>
      </c>
      <c r="N97" s="223"/>
    </row>
    <row r="98" spans="9:14">
      <c r="I98" s="222">
        <v>46172</v>
      </c>
      <c r="J98" s="223" t="s">
        <v>4742</v>
      </c>
      <c r="K98" s="223" t="s">
        <v>4574</v>
      </c>
      <c r="L98" s="223" t="s">
        <v>211</v>
      </c>
      <c r="M98" s="223">
        <v>20</v>
      </c>
      <c r="N98" s="223"/>
    </row>
    <row r="99" spans="9:14">
      <c r="I99" s="222">
        <v>46173</v>
      </c>
      <c r="J99" s="223" t="s">
        <v>5067</v>
      </c>
      <c r="K99" s="223" t="s">
        <v>4574</v>
      </c>
      <c r="L99" s="223" t="s">
        <v>209</v>
      </c>
      <c r="M99" s="223">
        <v>20</v>
      </c>
      <c r="N99" s="223"/>
    </row>
  </sheetData>
  <mergeCells count="3">
    <mergeCell ref="A1:E1"/>
    <mergeCell ref="I1:N1"/>
    <mergeCell ref="A18:D18"/>
  </mergeCells>
  <phoneticPr fontId="5" type="noConversion"/>
  <conditionalFormatting sqref="D1:D96 D100:D1048576">
    <cfRule type="duplicateValues" dxfId="62" priority="15" stopIfTrue="1"/>
  </conditionalFormatting>
  <conditionalFormatting sqref="D97:D99">
    <cfRule type="duplicateValues" dxfId="61" priority="1" stopIfTrue="1"/>
  </conditionalFormatting>
  <conditionalFormatting sqref="J4">
    <cfRule type="duplicateValues" dxfId="60" priority="2"/>
  </conditionalFormatting>
  <pageMargins left="0.69930555555555596" right="0.69930555555555596"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dimension ref="A1:W66"/>
  <sheetViews>
    <sheetView topLeftCell="A18" zoomScale="90" zoomScaleNormal="90" workbookViewId="0">
      <selection activeCell="L51" sqref="L51"/>
    </sheetView>
  </sheetViews>
  <sheetFormatPr defaultColWidth="9" defaultRowHeight="13.8"/>
  <cols>
    <col min="1" max="1" width="5" style="144" customWidth="1"/>
    <col min="2" max="2" width="12.44140625" style="145" customWidth="1"/>
    <col min="3" max="3" width="13" style="145" customWidth="1"/>
    <col min="4" max="4" width="12.6640625" style="145" customWidth="1"/>
    <col min="5" max="5" width="14.77734375" style="145" customWidth="1"/>
    <col min="6" max="6" width="11.44140625" style="146" customWidth="1"/>
    <col min="7" max="7" width="12.109375" style="146" customWidth="1"/>
    <col min="8" max="8" width="12.33203125" style="146" customWidth="1"/>
    <col min="9" max="9" width="12.109375" style="146" customWidth="1"/>
    <col min="10" max="10" width="12.88671875" style="146" customWidth="1"/>
    <col min="11" max="11" width="11.88671875" style="145" customWidth="1"/>
    <col min="12" max="12" width="10.21875" style="145" customWidth="1"/>
    <col min="13" max="13" width="9.109375" style="145" customWidth="1"/>
    <col min="14" max="14" width="11.88671875" style="145" customWidth="1"/>
    <col min="15" max="17" width="9.109375" style="145" customWidth="1"/>
    <col min="18" max="18" width="13.21875" style="145" customWidth="1"/>
    <col min="19" max="19" width="9.109375" style="145" customWidth="1"/>
    <col min="20" max="20" width="24" style="145" customWidth="1"/>
    <col min="21" max="21" width="13.109375" style="145" customWidth="1"/>
    <col min="22" max="16384" width="9" style="145"/>
  </cols>
  <sheetData>
    <row r="1" spans="1:23" s="140" customFormat="1" ht="30.15" customHeight="1">
      <c r="A1" s="147"/>
      <c r="B1" s="147"/>
      <c r="C1" s="147"/>
      <c r="D1" s="147"/>
      <c r="E1" s="147"/>
      <c r="F1" s="147"/>
      <c r="G1" s="147"/>
      <c r="H1" s="147"/>
      <c r="I1" s="147" t="s">
        <v>5068</v>
      </c>
      <c r="J1" s="147"/>
      <c r="K1" s="147"/>
      <c r="L1" s="147"/>
      <c r="M1" s="147"/>
      <c r="N1" s="147"/>
      <c r="O1" s="147"/>
      <c r="P1" s="147"/>
      <c r="Q1" s="147"/>
      <c r="R1" s="147"/>
      <c r="S1" s="147"/>
      <c r="T1" s="147"/>
      <c r="U1" s="147"/>
      <c r="V1" s="147"/>
      <c r="W1" s="147"/>
    </row>
    <row r="2" spans="1:23" s="141" customFormat="1" ht="18.75" customHeight="1">
      <c r="A2" s="2104" t="s">
        <v>315</v>
      </c>
      <c r="B2" s="2104" t="s">
        <v>1012</v>
      </c>
      <c r="C2" s="2104" t="s">
        <v>5069</v>
      </c>
      <c r="D2" s="2104"/>
      <c r="E2" s="2104"/>
      <c r="F2" s="2104"/>
      <c r="G2" s="2104"/>
      <c r="H2" s="2104"/>
      <c r="I2" s="2104"/>
      <c r="J2" s="2104"/>
      <c r="K2" s="2104"/>
      <c r="L2" s="2104"/>
      <c r="M2" s="2104"/>
      <c r="N2" s="2104"/>
      <c r="O2" s="2104"/>
      <c r="P2" s="2104"/>
      <c r="Q2" s="2104"/>
      <c r="R2" s="2104"/>
      <c r="S2" s="2104"/>
      <c r="T2" s="2104"/>
      <c r="U2" s="2105"/>
      <c r="V2" s="148"/>
      <c r="W2" s="148"/>
    </row>
    <row r="3" spans="1:23" s="142" customFormat="1" ht="43.5" customHeight="1">
      <c r="A3" s="2108"/>
      <c r="B3" s="2109"/>
      <c r="C3" s="149" t="s">
        <v>5070</v>
      </c>
      <c r="D3" s="150" t="s">
        <v>5071</v>
      </c>
      <c r="E3" s="150" t="s">
        <v>5072</v>
      </c>
      <c r="F3" s="150" t="s">
        <v>5073</v>
      </c>
      <c r="G3" s="150" t="s">
        <v>5074</v>
      </c>
      <c r="H3" s="150" t="s">
        <v>5075</v>
      </c>
      <c r="I3" s="151" t="s">
        <v>5076</v>
      </c>
      <c r="J3" s="150" t="s">
        <v>5077</v>
      </c>
      <c r="K3" s="152" t="s">
        <v>5078</v>
      </c>
      <c r="L3" s="152" t="s">
        <v>5079</v>
      </c>
      <c r="M3" s="152" t="s">
        <v>5080</v>
      </c>
      <c r="N3" s="152" t="s">
        <v>5081</v>
      </c>
      <c r="O3" s="152" t="s">
        <v>5073</v>
      </c>
      <c r="P3" s="152" t="s">
        <v>5074</v>
      </c>
      <c r="Q3" s="152" t="s">
        <v>5082</v>
      </c>
      <c r="R3" s="153" t="s">
        <v>5076</v>
      </c>
      <c r="S3" s="152" t="s">
        <v>5077</v>
      </c>
      <c r="T3" s="154" t="s">
        <v>5078</v>
      </c>
      <c r="U3" s="155" t="s">
        <v>5083</v>
      </c>
      <c r="V3" s="156" t="s">
        <v>5084</v>
      </c>
      <c r="W3" s="156" t="s">
        <v>5084</v>
      </c>
    </row>
    <row r="4" spans="1:23" s="143" customFormat="1" ht="21.15" customHeight="1">
      <c r="A4" s="157">
        <v>1</v>
      </c>
      <c r="B4" s="158" t="s">
        <v>5085</v>
      </c>
      <c r="C4" s="159">
        <f>[5]分析表1!C5</f>
        <v>60</v>
      </c>
      <c r="D4" s="160">
        <f>[5]分析表1!D5</f>
        <v>52</v>
      </c>
      <c r="E4" s="161">
        <f t="shared" ref="E4:E23" si="0">D4/C4</f>
        <v>0.86666666666666703</v>
      </c>
      <c r="F4" s="162">
        <f>COUNTIFS('[5]2026年5月'!C$1:C$65536,B4,'[5]2026年5月'!I$1:I$65536,"推修客户",'[5]2026年5月'!AD$1:AD$65536,"1")</f>
        <v>0</v>
      </c>
      <c r="G4" s="161">
        <f t="shared" ref="G4:G23" si="1">F4/C4</f>
        <v>0</v>
      </c>
      <c r="H4" s="161">
        <f t="shared" ref="H4:H23" si="2">D4/(C4-F4)</f>
        <v>0.86666666666666703</v>
      </c>
      <c r="I4" s="162">
        <f t="shared" ref="I4:I22" si="3">C4-F4-D4</f>
        <v>8</v>
      </c>
      <c r="J4" s="161">
        <f t="shared" ref="J4:J23" si="4">I4/(C4-F4)</f>
        <v>0.133333333333333</v>
      </c>
      <c r="K4" s="163"/>
      <c r="L4" s="163">
        <f>[5]分析表1!G5</f>
        <v>153</v>
      </c>
      <c r="M4" s="164">
        <f>[5]分析表1!H5</f>
        <v>95</v>
      </c>
      <c r="N4" s="165">
        <f t="shared" ref="N4:N23" si="5">M4/L4</f>
        <v>0.62091503267973902</v>
      </c>
      <c r="O4" s="163">
        <f>COUNTIFS('[5]2026年5月'!C$1:C$65536,B4,'[5]2026年5月'!I$1:I$65536,"保单客户",'[5]2026年5月'!AD$1:AD$65536,"1")</f>
        <v>24</v>
      </c>
      <c r="P4" s="165">
        <f t="shared" ref="P4:P23" si="6">O4/L4</f>
        <v>0.15686274509803899</v>
      </c>
      <c r="Q4" s="165">
        <f t="shared" ref="Q4:Q23" si="7">M4/(L4-O4)</f>
        <v>0.73643410852713198</v>
      </c>
      <c r="R4" s="163">
        <f t="shared" ref="R4:R22" si="8">L4-M4-O4</f>
        <v>34</v>
      </c>
      <c r="S4" s="165">
        <f t="shared" ref="S4:S23" si="9">R4/L4</f>
        <v>0.22222222222222199</v>
      </c>
      <c r="T4" s="166"/>
      <c r="U4" s="167"/>
      <c r="V4" s="163"/>
      <c r="W4" s="163"/>
    </row>
    <row r="5" spans="1:23" s="143" customFormat="1" ht="21.15" customHeight="1">
      <c r="A5" s="157">
        <v>2</v>
      </c>
      <c r="B5" s="168" t="s">
        <v>5086</v>
      </c>
      <c r="C5" s="159">
        <f>[5]分析表1!C6</f>
        <v>175</v>
      </c>
      <c r="D5" s="160">
        <f>[5]分析表1!D6</f>
        <v>32</v>
      </c>
      <c r="E5" s="161">
        <f t="shared" si="0"/>
        <v>0.182857142857143</v>
      </c>
      <c r="F5" s="162">
        <f>COUNTIFS('[5]2026年5月'!C$1:C$65536,B5,'[5]2026年5月'!I$1:I$65536,"推修客户",'[5]2026年5月'!AD$1:AD$65536,"1")</f>
        <v>44</v>
      </c>
      <c r="G5" s="161">
        <f t="shared" si="1"/>
        <v>0.251428571428571</v>
      </c>
      <c r="H5" s="161">
        <f t="shared" si="2"/>
        <v>0.244274809160305</v>
      </c>
      <c r="I5" s="162">
        <f t="shared" si="3"/>
        <v>99</v>
      </c>
      <c r="J5" s="161">
        <f t="shared" si="4"/>
        <v>0.75572519083969503</v>
      </c>
      <c r="K5" s="163"/>
      <c r="L5" s="163">
        <f>[5]分析表1!G6</f>
        <v>88</v>
      </c>
      <c r="M5" s="164">
        <f>[5]分析表1!H6</f>
        <v>48</v>
      </c>
      <c r="N5" s="165">
        <f t="shared" si="5"/>
        <v>0.54545454545454497</v>
      </c>
      <c r="O5" s="163">
        <f>COUNTIFS('[5]2026年5月'!C$1:C$65536,B5,'[5]2026年5月'!I$1:I$65536,"保单客户",'[5]2026年5月'!AD$1:AD$65536,"1")</f>
        <v>20</v>
      </c>
      <c r="P5" s="165">
        <f t="shared" si="6"/>
        <v>0.22727272727272699</v>
      </c>
      <c r="Q5" s="165">
        <f t="shared" si="7"/>
        <v>0.70588235294117696</v>
      </c>
      <c r="R5" s="163">
        <f t="shared" si="8"/>
        <v>20</v>
      </c>
      <c r="S5" s="165">
        <f t="shared" si="9"/>
        <v>0.22727272727272699</v>
      </c>
      <c r="T5" s="166"/>
      <c r="U5" s="167"/>
      <c r="V5" s="163"/>
      <c r="W5" s="163"/>
    </row>
    <row r="6" spans="1:23" s="143" customFormat="1" ht="21.15" customHeight="1">
      <c r="A6" s="157">
        <v>3</v>
      </c>
      <c r="B6" s="168" t="s">
        <v>1130</v>
      </c>
      <c r="C6" s="159">
        <f>[5]分析表1!C7</f>
        <v>4</v>
      </c>
      <c r="D6" s="160">
        <f>[5]分析表1!D7</f>
        <v>2</v>
      </c>
      <c r="E6" s="161">
        <f t="shared" si="0"/>
        <v>0.5</v>
      </c>
      <c r="F6" s="162">
        <f>COUNTIFS('[5]2026年5月'!C$1:C$65536,B6,'[5]2026年5月'!I$1:I$65536,"推修客户",'[5]2026年5月'!AD$1:AD$65536,"1")</f>
        <v>0</v>
      </c>
      <c r="G6" s="161">
        <f t="shared" si="1"/>
        <v>0</v>
      </c>
      <c r="H6" s="161">
        <f t="shared" si="2"/>
        <v>0.5</v>
      </c>
      <c r="I6" s="162">
        <f t="shared" si="3"/>
        <v>2</v>
      </c>
      <c r="J6" s="161">
        <f t="shared" si="4"/>
        <v>0.5</v>
      </c>
      <c r="K6" s="163"/>
      <c r="L6" s="163">
        <f>[5]分析表1!G7</f>
        <v>12</v>
      </c>
      <c r="M6" s="164">
        <f>[5]分析表1!H7</f>
        <v>5</v>
      </c>
      <c r="N6" s="165">
        <f t="shared" si="5"/>
        <v>0.41666666666666702</v>
      </c>
      <c r="O6" s="163">
        <f>COUNTIFS('[5]2026年5月'!C$1:C$65536,B6,'[5]2026年5月'!I$1:I$65536,"保单客户",'[5]2026年5月'!AD$1:AD$65536,"1")</f>
        <v>4</v>
      </c>
      <c r="P6" s="165">
        <f t="shared" si="6"/>
        <v>0.33333333333333298</v>
      </c>
      <c r="Q6" s="165">
        <f t="shared" si="7"/>
        <v>0.625</v>
      </c>
      <c r="R6" s="163">
        <f t="shared" si="8"/>
        <v>3</v>
      </c>
      <c r="S6" s="165">
        <f t="shared" si="9"/>
        <v>0.25</v>
      </c>
      <c r="T6" s="166"/>
      <c r="U6" s="167"/>
      <c r="V6" s="163"/>
      <c r="W6" s="163"/>
    </row>
    <row r="7" spans="1:23" s="143" customFormat="1" ht="21.15" customHeight="1">
      <c r="A7" s="157">
        <v>4</v>
      </c>
      <c r="B7" s="168" t="s">
        <v>5087</v>
      </c>
      <c r="C7" s="159">
        <f>[5]分析表1!C8</f>
        <v>20</v>
      </c>
      <c r="D7" s="160">
        <f>[5]分析表1!D8</f>
        <v>2</v>
      </c>
      <c r="E7" s="161">
        <f t="shared" si="0"/>
        <v>0.1</v>
      </c>
      <c r="F7" s="162">
        <f>COUNTIFS('[5]2026年5月'!C$1:C$65536,B7,'[5]2026年5月'!I$1:I$65536,"推修客户",'[5]2026年5月'!AD$1:AD$65536,"1")</f>
        <v>3</v>
      </c>
      <c r="G7" s="161">
        <f t="shared" si="1"/>
        <v>0.15</v>
      </c>
      <c r="H7" s="161">
        <f t="shared" si="2"/>
        <v>0.11764705882352899</v>
      </c>
      <c r="I7" s="162">
        <f t="shared" si="3"/>
        <v>15</v>
      </c>
      <c r="J7" s="161">
        <f t="shared" si="4"/>
        <v>0.88235294117647101</v>
      </c>
      <c r="K7" s="163"/>
      <c r="L7" s="163">
        <f>[5]分析表1!G8</f>
        <v>9</v>
      </c>
      <c r="M7" s="164">
        <f>[5]分析表1!H8</f>
        <v>8</v>
      </c>
      <c r="N7" s="165">
        <f t="shared" si="5"/>
        <v>0.88888888888888895</v>
      </c>
      <c r="O7" s="163">
        <f>COUNTIFS('[5]2026年5月'!C$1:C$65536,B7,'[5]2026年5月'!I$1:I$65536,"保单客户",'[5]2026年5月'!AD$1:AD$65536,"1")</f>
        <v>1</v>
      </c>
      <c r="P7" s="165">
        <f t="shared" si="6"/>
        <v>0.11111111111111099</v>
      </c>
      <c r="Q7" s="165">
        <f t="shared" si="7"/>
        <v>1</v>
      </c>
      <c r="R7" s="163">
        <f t="shared" si="8"/>
        <v>0</v>
      </c>
      <c r="S7" s="165">
        <f t="shared" si="9"/>
        <v>0</v>
      </c>
      <c r="T7" s="166"/>
      <c r="U7" s="167"/>
      <c r="V7" s="163"/>
      <c r="W7" s="163"/>
    </row>
    <row r="8" spans="1:23" s="143" customFormat="1" ht="21.15" customHeight="1">
      <c r="A8" s="157">
        <v>5</v>
      </c>
      <c r="B8" s="158" t="s">
        <v>5088</v>
      </c>
      <c r="C8" s="159">
        <f>[5]分析表1!C9</f>
        <v>4</v>
      </c>
      <c r="D8" s="160">
        <f>[5]分析表1!D9</f>
        <v>0</v>
      </c>
      <c r="E8" s="161">
        <f t="shared" si="0"/>
        <v>0</v>
      </c>
      <c r="F8" s="162">
        <f>COUNTIFS('[5]2026年5月'!C$1:C$65536,B8,'[5]2026年5月'!I$1:I$65536,"推修客户",'[5]2026年5月'!AD$1:AD$65536,"1")</f>
        <v>4</v>
      </c>
      <c r="G8" s="161">
        <f t="shared" si="1"/>
        <v>1</v>
      </c>
      <c r="H8" s="161" t="e">
        <f t="shared" si="2"/>
        <v>#DIV/0!</v>
      </c>
      <c r="I8" s="162">
        <f t="shared" si="3"/>
        <v>0</v>
      </c>
      <c r="J8" s="161" t="e">
        <f t="shared" si="4"/>
        <v>#DIV/0!</v>
      </c>
      <c r="K8" s="163"/>
      <c r="L8" s="163">
        <f>[5]分析表1!G9</f>
        <v>7</v>
      </c>
      <c r="M8" s="164">
        <f>[5]分析表1!H9</f>
        <v>6</v>
      </c>
      <c r="N8" s="165">
        <f t="shared" si="5"/>
        <v>0.85714285714285698</v>
      </c>
      <c r="O8" s="163">
        <f>COUNTIFS('[5]2026年5月'!C$1:C$65536,B8,'[5]2026年5月'!I$1:I$65536,"保单客户",'[5]2026年5月'!AD$1:AD$65536,"1")</f>
        <v>1</v>
      </c>
      <c r="P8" s="165">
        <f t="shared" si="6"/>
        <v>0.14285714285714299</v>
      </c>
      <c r="Q8" s="165">
        <f t="shared" si="7"/>
        <v>1</v>
      </c>
      <c r="R8" s="163">
        <f t="shared" si="8"/>
        <v>0</v>
      </c>
      <c r="S8" s="165">
        <f t="shared" si="9"/>
        <v>0</v>
      </c>
      <c r="T8" s="166"/>
      <c r="U8" s="167"/>
      <c r="V8" s="163"/>
      <c r="W8" s="163"/>
    </row>
    <row r="9" spans="1:23" s="143" customFormat="1" ht="21.15" customHeight="1">
      <c r="A9" s="157">
        <v>6</v>
      </c>
      <c r="B9" s="158" t="s">
        <v>5089</v>
      </c>
      <c r="C9" s="159">
        <f>[5]分析表1!C10</f>
        <v>1</v>
      </c>
      <c r="D9" s="160">
        <f>[5]分析表1!D10</f>
        <v>0</v>
      </c>
      <c r="E9" s="161">
        <f t="shared" si="0"/>
        <v>0</v>
      </c>
      <c r="F9" s="162">
        <f>COUNTIFS('[5]2026年5月'!C$1:C$65536,B9,'[5]2026年5月'!I$1:I$65536,"推修客户",'[5]2026年5月'!AD$1:AD$65536,"1")</f>
        <v>0</v>
      </c>
      <c r="G9" s="161">
        <f t="shared" si="1"/>
        <v>0</v>
      </c>
      <c r="H9" s="161">
        <f t="shared" si="2"/>
        <v>0</v>
      </c>
      <c r="I9" s="162">
        <f t="shared" si="3"/>
        <v>1</v>
      </c>
      <c r="J9" s="161">
        <f t="shared" si="4"/>
        <v>1</v>
      </c>
      <c r="K9" s="163"/>
      <c r="L9" s="163">
        <f>[5]分析表1!G10</f>
        <v>7</v>
      </c>
      <c r="M9" s="164">
        <f>[5]分析表1!H10</f>
        <v>4</v>
      </c>
      <c r="N9" s="165">
        <f t="shared" si="5"/>
        <v>0.57142857142857095</v>
      </c>
      <c r="O9" s="163">
        <f>COUNTIFS('[5]2026年5月'!C$1:C$65536,B9,'[5]2026年5月'!I$1:I$65536,"保单客户",'[5]2026年5月'!AD$1:AD$65536,"1")</f>
        <v>2</v>
      </c>
      <c r="P9" s="165">
        <f t="shared" si="6"/>
        <v>0.28571428571428598</v>
      </c>
      <c r="Q9" s="165">
        <f t="shared" si="7"/>
        <v>0.8</v>
      </c>
      <c r="R9" s="163">
        <f t="shared" si="8"/>
        <v>1</v>
      </c>
      <c r="S9" s="165">
        <f t="shared" si="9"/>
        <v>0.14285714285714299</v>
      </c>
      <c r="T9" s="166"/>
      <c r="U9" s="167"/>
      <c r="V9" s="163"/>
      <c r="W9" s="163"/>
    </row>
    <row r="10" spans="1:23" s="143" customFormat="1" ht="21.15" customHeight="1">
      <c r="A10" s="157">
        <v>7</v>
      </c>
      <c r="B10" s="158" t="s">
        <v>2816</v>
      </c>
      <c r="C10" s="159">
        <f>[5]分析表1!C11</f>
        <v>0</v>
      </c>
      <c r="D10" s="160">
        <f>[5]分析表1!D11</f>
        <v>0</v>
      </c>
      <c r="E10" s="161" t="e">
        <f t="shared" si="0"/>
        <v>#DIV/0!</v>
      </c>
      <c r="F10" s="162">
        <f>COUNTIFS('[5]2026年5月'!C$1:C$65536,B10,'[5]2026年5月'!I$1:I$65536,"推修客户",'[5]2026年5月'!AD$1:AD$65536,"1")</f>
        <v>0</v>
      </c>
      <c r="G10" s="161" t="e">
        <f t="shared" si="1"/>
        <v>#DIV/0!</v>
      </c>
      <c r="H10" s="161" t="e">
        <f t="shared" si="2"/>
        <v>#DIV/0!</v>
      </c>
      <c r="I10" s="162">
        <f t="shared" si="3"/>
        <v>0</v>
      </c>
      <c r="J10" s="161" t="e">
        <f t="shared" si="4"/>
        <v>#DIV/0!</v>
      </c>
      <c r="K10" s="163"/>
      <c r="L10" s="163">
        <f>[5]分析表1!G11</f>
        <v>1</v>
      </c>
      <c r="M10" s="164">
        <f>[5]分析表1!H11</f>
        <v>1</v>
      </c>
      <c r="N10" s="165">
        <f t="shared" si="5"/>
        <v>1</v>
      </c>
      <c r="O10" s="163">
        <f>COUNTIFS('[5]2026年5月'!C$1:C$65536,B10,'[5]2026年5月'!I$1:I$65536,"保单客户",'[5]2026年5月'!AD$1:AD$65536,"1")</f>
        <v>0</v>
      </c>
      <c r="P10" s="165">
        <f t="shared" si="6"/>
        <v>0</v>
      </c>
      <c r="Q10" s="165">
        <f t="shared" si="7"/>
        <v>1</v>
      </c>
      <c r="R10" s="163">
        <f t="shared" si="8"/>
        <v>0</v>
      </c>
      <c r="S10" s="165">
        <f t="shared" si="9"/>
        <v>0</v>
      </c>
      <c r="T10" s="166"/>
      <c r="U10" s="167"/>
      <c r="V10" s="163"/>
      <c r="W10" s="163"/>
    </row>
    <row r="11" spans="1:23" s="143" customFormat="1" ht="21.15" customHeight="1">
      <c r="A11" s="157">
        <v>8</v>
      </c>
      <c r="B11" s="168" t="s">
        <v>5090</v>
      </c>
      <c r="C11" s="159">
        <f>[5]分析表1!C12</f>
        <v>6</v>
      </c>
      <c r="D11" s="160">
        <f>[5]分析表1!D12</f>
        <v>1</v>
      </c>
      <c r="E11" s="161">
        <f t="shared" si="0"/>
        <v>0.16666666666666699</v>
      </c>
      <c r="F11" s="162">
        <f>COUNTIFS('[5]2026年5月'!C$1:C$65536,B11,'[5]2026年5月'!I$1:I$65536,"推修客户",'[5]2026年5月'!AD$1:AD$65536,"1")</f>
        <v>1</v>
      </c>
      <c r="G11" s="161">
        <f t="shared" si="1"/>
        <v>0.16666666666666699</v>
      </c>
      <c r="H11" s="161">
        <f t="shared" si="2"/>
        <v>0.2</v>
      </c>
      <c r="I11" s="162">
        <f t="shared" si="3"/>
        <v>4</v>
      </c>
      <c r="J11" s="161">
        <f t="shared" si="4"/>
        <v>0.8</v>
      </c>
      <c r="K11" s="163"/>
      <c r="L11" s="163">
        <f>[5]分析表1!G12</f>
        <v>1</v>
      </c>
      <c r="M11" s="164">
        <f>[5]分析表1!H12</f>
        <v>0</v>
      </c>
      <c r="N11" s="165">
        <f t="shared" si="5"/>
        <v>0</v>
      </c>
      <c r="O11" s="163">
        <f>COUNTIFS('[5]2026年5月'!C$1:C$65536,B11,'[5]2026年5月'!I$1:I$65536,"保单客户",'[5]2026年5月'!AD$1:AD$65536,"1")</f>
        <v>1</v>
      </c>
      <c r="P11" s="165">
        <f t="shared" si="6"/>
        <v>1</v>
      </c>
      <c r="Q11" s="165" t="e">
        <f t="shared" si="7"/>
        <v>#DIV/0!</v>
      </c>
      <c r="R11" s="163">
        <f t="shared" si="8"/>
        <v>0</v>
      </c>
      <c r="S11" s="165">
        <f t="shared" si="9"/>
        <v>0</v>
      </c>
      <c r="T11" s="166"/>
      <c r="U11" s="167"/>
      <c r="V11" s="163"/>
      <c r="W11" s="163"/>
    </row>
    <row r="12" spans="1:23" s="143" customFormat="1" ht="21.15" customHeight="1">
      <c r="A12" s="157">
        <v>9</v>
      </c>
      <c r="B12" s="168" t="s">
        <v>1077</v>
      </c>
      <c r="C12" s="159">
        <f>[5]分析表1!C13</f>
        <v>1</v>
      </c>
      <c r="D12" s="160">
        <f>[5]分析表1!D13</f>
        <v>0</v>
      </c>
      <c r="E12" s="161">
        <f t="shared" si="0"/>
        <v>0</v>
      </c>
      <c r="F12" s="162">
        <f>COUNTIFS('[5]2026年5月'!C$1:C$65536,B12,'[5]2026年5月'!I$1:I$65536,"推修客户",'[5]2026年5月'!AD$1:AD$65536,"1")</f>
        <v>0</v>
      </c>
      <c r="G12" s="161">
        <f t="shared" si="1"/>
        <v>0</v>
      </c>
      <c r="H12" s="161">
        <f t="shared" si="2"/>
        <v>0</v>
      </c>
      <c r="I12" s="162">
        <f t="shared" si="3"/>
        <v>1</v>
      </c>
      <c r="J12" s="161">
        <f t="shared" si="4"/>
        <v>1</v>
      </c>
      <c r="K12" s="163"/>
      <c r="L12" s="163">
        <f>[5]分析表1!G13</f>
        <v>3</v>
      </c>
      <c r="M12" s="164">
        <f>[5]分析表1!H13</f>
        <v>3</v>
      </c>
      <c r="N12" s="165">
        <f t="shared" si="5"/>
        <v>1</v>
      </c>
      <c r="O12" s="163">
        <f>COUNTIFS('[5]2026年5月'!C$1:C$65536,B12,'[5]2026年5月'!I$1:I$65536,"保单客户",'[5]2026年5月'!AD$1:AD$65536,"1")</f>
        <v>0</v>
      </c>
      <c r="P12" s="165">
        <f t="shared" si="6"/>
        <v>0</v>
      </c>
      <c r="Q12" s="165">
        <f t="shared" si="7"/>
        <v>1</v>
      </c>
      <c r="R12" s="163">
        <f t="shared" si="8"/>
        <v>0</v>
      </c>
      <c r="S12" s="165">
        <f t="shared" si="9"/>
        <v>0</v>
      </c>
      <c r="T12" s="166"/>
      <c r="U12" s="167"/>
      <c r="V12" s="163"/>
      <c r="W12" s="163"/>
    </row>
    <row r="13" spans="1:23" s="143" customFormat="1" ht="21.15" customHeight="1">
      <c r="A13" s="157">
        <v>10</v>
      </c>
      <c r="B13" s="158" t="s">
        <v>5091</v>
      </c>
      <c r="C13" s="159">
        <f>[5]分析表1!C14</f>
        <v>0</v>
      </c>
      <c r="D13" s="160">
        <f>[5]分析表1!D14</f>
        <v>0</v>
      </c>
      <c r="E13" s="161" t="e">
        <f t="shared" si="0"/>
        <v>#DIV/0!</v>
      </c>
      <c r="F13" s="162">
        <f>COUNTIFS('[5]2026年5月'!C$1:C$65536,B13,'[5]2026年5月'!I$1:I$65536,"推修客户",'[5]2026年5月'!AD$1:AD$65536,"1")</f>
        <v>0</v>
      </c>
      <c r="G13" s="161" t="e">
        <f t="shared" si="1"/>
        <v>#DIV/0!</v>
      </c>
      <c r="H13" s="161" t="e">
        <f t="shared" si="2"/>
        <v>#DIV/0!</v>
      </c>
      <c r="I13" s="162">
        <f t="shared" si="3"/>
        <v>0</v>
      </c>
      <c r="J13" s="161" t="e">
        <f t="shared" si="4"/>
        <v>#DIV/0!</v>
      </c>
      <c r="K13" s="163"/>
      <c r="L13" s="163">
        <f>[5]分析表1!G14</f>
        <v>0</v>
      </c>
      <c r="M13" s="164">
        <f>[5]分析表1!H14</f>
        <v>0</v>
      </c>
      <c r="N13" s="165" t="e">
        <f t="shared" si="5"/>
        <v>#DIV/0!</v>
      </c>
      <c r="O13" s="163">
        <f>COUNTIFS('[5]2026年5月'!C$1:C$65536,B13,'[5]2026年5月'!I$1:I$65536,"保单客户",'[5]2026年5月'!AD$1:AD$65536,"1")</f>
        <v>0</v>
      </c>
      <c r="P13" s="165" t="e">
        <f t="shared" si="6"/>
        <v>#DIV/0!</v>
      </c>
      <c r="Q13" s="165" t="e">
        <f t="shared" si="7"/>
        <v>#DIV/0!</v>
      </c>
      <c r="R13" s="163">
        <f t="shared" si="8"/>
        <v>0</v>
      </c>
      <c r="S13" s="165" t="e">
        <f t="shared" si="9"/>
        <v>#DIV/0!</v>
      </c>
      <c r="T13" s="166"/>
      <c r="U13" s="167"/>
      <c r="V13" s="163"/>
      <c r="W13" s="163"/>
    </row>
    <row r="14" spans="1:23" s="143" customFormat="1" ht="21.15" customHeight="1">
      <c r="A14" s="157">
        <v>11</v>
      </c>
      <c r="B14" s="158" t="s">
        <v>1102</v>
      </c>
      <c r="C14" s="159">
        <f>[5]分析表1!C15</f>
        <v>5</v>
      </c>
      <c r="D14" s="160">
        <f>[5]分析表1!D15</f>
        <v>0</v>
      </c>
      <c r="E14" s="161">
        <f t="shared" si="0"/>
        <v>0</v>
      </c>
      <c r="F14" s="162">
        <f>COUNTIFS('[5]2026年5月'!C$1:C$65536,B14,'[5]2026年5月'!I$1:I$65536,"推修客户",'[5]2026年5月'!AD$1:AD$65536,"1")</f>
        <v>1</v>
      </c>
      <c r="G14" s="161">
        <f t="shared" si="1"/>
        <v>0.2</v>
      </c>
      <c r="H14" s="161">
        <f t="shared" si="2"/>
        <v>0</v>
      </c>
      <c r="I14" s="162">
        <f t="shared" si="3"/>
        <v>4</v>
      </c>
      <c r="J14" s="161">
        <f t="shared" si="4"/>
        <v>1</v>
      </c>
      <c r="K14" s="163"/>
      <c r="L14" s="163">
        <f>[5]分析表1!G15</f>
        <v>4</v>
      </c>
      <c r="M14" s="164">
        <f>[5]分析表1!H15</f>
        <v>4</v>
      </c>
      <c r="N14" s="165">
        <f t="shared" si="5"/>
        <v>1</v>
      </c>
      <c r="O14" s="163">
        <f>COUNTIFS('[5]2026年5月'!C$1:C$65536,B14,'[5]2026年5月'!I$1:I$65536,"保单客户",'[5]2026年5月'!AD$1:AD$65536,"1")</f>
        <v>0</v>
      </c>
      <c r="P14" s="165">
        <f t="shared" si="6"/>
        <v>0</v>
      </c>
      <c r="Q14" s="165">
        <f t="shared" si="7"/>
        <v>1</v>
      </c>
      <c r="R14" s="163">
        <f t="shared" si="8"/>
        <v>0</v>
      </c>
      <c r="S14" s="165">
        <f t="shared" si="9"/>
        <v>0</v>
      </c>
      <c r="T14" s="166"/>
      <c r="U14" s="167"/>
      <c r="V14" s="163"/>
      <c r="W14" s="163"/>
    </row>
    <row r="15" spans="1:23" s="143" customFormat="1" ht="21.15" customHeight="1">
      <c r="A15" s="157">
        <v>12</v>
      </c>
      <c r="B15" s="168" t="s">
        <v>3130</v>
      </c>
      <c r="C15" s="159">
        <f>[5]分析表1!C16</f>
        <v>0</v>
      </c>
      <c r="D15" s="160">
        <f>[5]分析表1!D16</f>
        <v>0</v>
      </c>
      <c r="E15" s="161" t="e">
        <f t="shared" si="0"/>
        <v>#DIV/0!</v>
      </c>
      <c r="F15" s="162">
        <f>COUNTIFS('[5]2026年5月'!C$1:C$65536,B15,'[5]2026年5月'!I$1:I$65536,"推修客户",'[5]2026年5月'!AD$1:AD$65536,"1")</f>
        <v>0</v>
      </c>
      <c r="G15" s="161" t="e">
        <f t="shared" si="1"/>
        <v>#DIV/0!</v>
      </c>
      <c r="H15" s="161" t="e">
        <f t="shared" si="2"/>
        <v>#DIV/0!</v>
      </c>
      <c r="I15" s="162">
        <f t="shared" si="3"/>
        <v>0</v>
      </c>
      <c r="J15" s="161" t="e">
        <f t="shared" si="4"/>
        <v>#DIV/0!</v>
      </c>
      <c r="K15" s="163"/>
      <c r="L15" s="163">
        <f>[5]分析表1!G16</f>
        <v>0</v>
      </c>
      <c r="M15" s="164">
        <f>[5]分析表1!H16</f>
        <v>0</v>
      </c>
      <c r="N15" s="165" t="e">
        <f t="shared" si="5"/>
        <v>#DIV/0!</v>
      </c>
      <c r="O15" s="163">
        <f>COUNTIFS('[5]2026年5月'!C$1:C$65536,B15,'[5]2026年5月'!I$1:I$65536,"保单客户",'[5]2026年5月'!AD$1:AD$65536,"1")</f>
        <v>0</v>
      </c>
      <c r="P15" s="165" t="e">
        <f t="shared" si="6"/>
        <v>#DIV/0!</v>
      </c>
      <c r="Q15" s="165" t="e">
        <f t="shared" si="7"/>
        <v>#DIV/0!</v>
      </c>
      <c r="R15" s="163">
        <f t="shared" si="8"/>
        <v>0</v>
      </c>
      <c r="S15" s="165" t="e">
        <f t="shared" si="9"/>
        <v>#DIV/0!</v>
      </c>
      <c r="T15" s="166"/>
      <c r="U15" s="167"/>
      <c r="V15" s="163"/>
      <c r="W15" s="163"/>
    </row>
    <row r="16" spans="1:23" s="143" customFormat="1" ht="21.15" customHeight="1">
      <c r="A16" s="157">
        <v>13</v>
      </c>
      <c r="B16" s="168" t="s">
        <v>1224</v>
      </c>
      <c r="C16" s="159">
        <f>[5]分析表1!C17</f>
        <v>0</v>
      </c>
      <c r="D16" s="160">
        <f>[5]分析表1!D17</f>
        <v>0</v>
      </c>
      <c r="E16" s="161" t="e">
        <f t="shared" si="0"/>
        <v>#DIV/0!</v>
      </c>
      <c r="F16" s="162">
        <f>COUNTIFS('[5]2026年5月'!C$1:C$65536,B16,'[5]2026年5月'!I$1:I$65536,"推修客户",'[5]2026年5月'!AD$1:AD$65536,"1")</f>
        <v>0</v>
      </c>
      <c r="G16" s="161" t="e">
        <f t="shared" si="1"/>
        <v>#DIV/0!</v>
      </c>
      <c r="H16" s="161" t="e">
        <f t="shared" si="2"/>
        <v>#DIV/0!</v>
      </c>
      <c r="I16" s="162">
        <f t="shared" si="3"/>
        <v>0</v>
      </c>
      <c r="J16" s="161" t="e">
        <f t="shared" si="4"/>
        <v>#DIV/0!</v>
      </c>
      <c r="K16" s="163"/>
      <c r="L16" s="163">
        <f>[5]分析表1!G17</f>
        <v>9</v>
      </c>
      <c r="M16" s="164">
        <f>[5]分析表1!H17</f>
        <v>3</v>
      </c>
      <c r="N16" s="165">
        <f t="shared" si="5"/>
        <v>0.33333333333333298</v>
      </c>
      <c r="O16" s="163">
        <f>COUNTIFS('[5]2026年5月'!C$1:C$65536,B16,'[5]2026年5月'!I$1:I$65536,"保单客户",'[5]2026年5月'!AD$1:AD$65536,"1")</f>
        <v>2</v>
      </c>
      <c r="P16" s="165">
        <f t="shared" si="6"/>
        <v>0.22222222222222199</v>
      </c>
      <c r="Q16" s="165">
        <f t="shared" si="7"/>
        <v>0.42857142857142899</v>
      </c>
      <c r="R16" s="163">
        <f t="shared" si="8"/>
        <v>4</v>
      </c>
      <c r="S16" s="165">
        <f t="shared" si="9"/>
        <v>0.44444444444444398</v>
      </c>
      <c r="T16" s="166"/>
      <c r="U16" s="167"/>
      <c r="V16" s="163"/>
      <c r="W16" s="163"/>
    </row>
    <row r="17" spans="1:23" s="143" customFormat="1" ht="21.15" customHeight="1">
      <c r="A17" s="157">
        <v>14</v>
      </c>
      <c r="B17" s="169" t="s">
        <v>1213</v>
      </c>
      <c r="C17" s="159">
        <f>[5]分析表1!C18</f>
        <v>2</v>
      </c>
      <c r="D17" s="160">
        <f>[5]分析表1!D18</f>
        <v>1</v>
      </c>
      <c r="E17" s="161">
        <f t="shared" si="0"/>
        <v>0.5</v>
      </c>
      <c r="F17" s="162">
        <f>COUNTIFS('[5]2026年5月'!C$1:C$65536,B17,'[5]2026年5月'!I$1:I$65536,"推修客户",'[5]2026年5月'!AD$1:AD$65536,"1")</f>
        <v>0</v>
      </c>
      <c r="G17" s="161">
        <f t="shared" si="1"/>
        <v>0</v>
      </c>
      <c r="H17" s="161">
        <f t="shared" si="2"/>
        <v>0.5</v>
      </c>
      <c r="I17" s="162">
        <f t="shared" si="3"/>
        <v>1</v>
      </c>
      <c r="J17" s="161">
        <f t="shared" si="4"/>
        <v>0.5</v>
      </c>
      <c r="K17" s="163"/>
      <c r="L17" s="163">
        <f>[5]分析表1!G18</f>
        <v>0</v>
      </c>
      <c r="M17" s="164">
        <f>[5]分析表1!H18</f>
        <v>0</v>
      </c>
      <c r="N17" s="165" t="e">
        <f t="shared" si="5"/>
        <v>#DIV/0!</v>
      </c>
      <c r="O17" s="163">
        <f>COUNTIFS('[5]2026年5月'!C$1:C$65536,B17,'[5]2026年5月'!I$1:I$65536,"保单客户",'[5]2026年5月'!AD$1:AD$65536,"1")</f>
        <v>0</v>
      </c>
      <c r="P17" s="165" t="e">
        <f t="shared" si="6"/>
        <v>#DIV/0!</v>
      </c>
      <c r="Q17" s="165" t="e">
        <f t="shared" si="7"/>
        <v>#DIV/0!</v>
      </c>
      <c r="R17" s="163">
        <f t="shared" si="8"/>
        <v>0</v>
      </c>
      <c r="S17" s="165" t="e">
        <f t="shared" si="9"/>
        <v>#DIV/0!</v>
      </c>
      <c r="T17" s="166"/>
      <c r="U17" s="167"/>
      <c r="V17" s="163"/>
      <c r="W17" s="163"/>
    </row>
    <row r="18" spans="1:23" s="143" customFormat="1" ht="21.15" customHeight="1">
      <c r="A18" s="157">
        <v>15</v>
      </c>
      <c r="B18" s="170" t="s">
        <v>2334</v>
      </c>
      <c r="C18" s="159">
        <f>[5]分析表1!C19</f>
        <v>0</v>
      </c>
      <c r="D18" s="160">
        <f>[5]分析表1!D19</f>
        <v>0</v>
      </c>
      <c r="E18" s="161" t="e">
        <f t="shared" si="0"/>
        <v>#DIV/0!</v>
      </c>
      <c r="F18" s="162">
        <f>COUNTIFS('[5]2026年5月'!C$1:C$65536,B18,'[5]2026年5月'!I$1:I$65536,"推修客户",'[5]2026年5月'!AD$1:AD$65536,"1")</f>
        <v>0</v>
      </c>
      <c r="G18" s="161" t="e">
        <f t="shared" si="1"/>
        <v>#DIV/0!</v>
      </c>
      <c r="H18" s="161" t="e">
        <f t="shared" si="2"/>
        <v>#DIV/0!</v>
      </c>
      <c r="I18" s="162">
        <f t="shared" si="3"/>
        <v>0</v>
      </c>
      <c r="J18" s="161" t="e">
        <f t="shared" si="4"/>
        <v>#DIV/0!</v>
      </c>
      <c r="K18" s="163"/>
      <c r="L18" s="163">
        <f>[5]分析表1!G19</f>
        <v>1</v>
      </c>
      <c r="M18" s="164">
        <f>[5]分析表1!H19</f>
        <v>1</v>
      </c>
      <c r="N18" s="165">
        <f t="shared" si="5"/>
        <v>1</v>
      </c>
      <c r="O18" s="163">
        <f>COUNTIFS('[5]2026年5月'!C$1:C$65536,B18,'[5]2026年5月'!I$1:I$65536,"保单客户",'[5]2026年5月'!AD$1:AD$65536,"1")</f>
        <v>0</v>
      </c>
      <c r="P18" s="165">
        <f t="shared" si="6"/>
        <v>0</v>
      </c>
      <c r="Q18" s="165">
        <f t="shared" si="7"/>
        <v>1</v>
      </c>
      <c r="R18" s="163">
        <f t="shared" si="8"/>
        <v>0</v>
      </c>
      <c r="S18" s="165">
        <f t="shared" si="9"/>
        <v>0</v>
      </c>
      <c r="T18" s="166"/>
      <c r="U18" s="167"/>
      <c r="V18" s="163"/>
      <c r="W18" s="163"/>
    </row>
    <row r="19" spans="1:23" s="143" customFormat="1" ht="21.15" customHeight="1">
      <c r="A19" s="157">
        <v>16</v>
      </c>
      <c r="B19" s="171" t="s">
        <v>1067</v>
      </c>
      <c r="C19" s="159">
        <f>[5]分析表1!C20</f>
        <v>0</v>
      </c>
      <c r="D19" s="160">
        <f>[5]分析表1!D20</f>
        <v>0</v>
      </c>
      <c r="E19" s="161" t="e">
        <f t="shared" si="0"/>
        <v>#DIV/0!</v>
      </c>
      <c r="F19" s="162">
        <f>COUNTIFS('[5]2026年5月'!C$1:C$65536,B19,'[5]2026年5月'!I$1:I$65536,"推修客户",'[5]2026年5月'!AD$1:AD$65536,"1")</f>
        <v>0</v>
      </c>
      <c r="G19" s="161" t="e">
        <f t="shared" si="1"/>
        <v>#DIV/0!</v>
      </c>
      <c r="H19" s="161" t="e">
        <f t="shared" si="2"/>
        <v>#DIV/0!</v>
      </c>
      <c r="I19" s="162">
        <f t="shared" si="3"/>
        <v>0</v>
      </c>
      <c r="J19" s="161" t="e">
        <f t="shared" si="4"/>
        <v>#DIV/0!</v>
      </c>
      <c r="K19" s="163"/>
      <c r="L19" s="163">
        <f>[5]分析表1!G20</f>
        <v>0</v>
      </c>
      <c r="M19" s="164">
        <f>[5]分析表1!H20</f>
        <v>0</v>
      </c>
      <c r="N19" s="165" t="e">
        <f t="shared" si="5"/>
        <v>#DIV/0!</v>
      </c>
      <c r="O19" s="163">
        <f>COUNTIFS('[5]2026年5月'!C$1:C$65536,B19,'[5]2026年5月'!I$1:I$65536,"保单客户",'[5]2026年5月'!AD$1:AD$65536,"1")</f>
        <v>0</v>
      </c>
      <c r="P19" s="165" t="e">
        <f t="shared" si="6"/>
        <v>#DIV/0!</v>
      </c>
      <c r="Q19" s="165" t="e">
        <f t="shared" si="7"/>
        <v>#DIV/0!</v>
      </c>
      <c r="R19" s="163">
        <f t="shared" si="8"/>
        <v>0</v>
      </c>
      <c r="S19" s="165" t="e">
        <f t="shared" si="9"/>
        <v>#DIV/0!</v>
      </c>
      <c r="T19" s="172"/>
      <c r="U19" s="167"/>
      <c r="V19" s="163"/>
      <c r="W19" s="163"/>
    </row>
    <row r="20" spans="1:23" s="140" customFormat="1" ht="17.399999999999999">
      <c r="A20" s="157">
        <v>17</v>
      </c>
      <c r="B20" s="171" t="s">
        <v>1143</v>
      </c>
      <c r="C20" s="159">
        <f>[5]分析表1!C21</f>
        <v>2</v>
      </c>
      <c r="D20" s="160">
        <f>[5]分析表1!D21</f>
        <v>0</v>
      </c>
      <c r="E20" s="161">
        <f t="shared" si="0"/>
        <v>0</v>
      </c>
      <c r="F20" s="162">
        <f>COUNTIFS('[5]2026年5月'!C$1:C$65536,B20,'[5]2026年5月'!I$1:I$65536,"推修客户",'[5]2026年5月'!AD$1:AD$65536,"1")</f>
        <v>2</v>
      </c>
      <c r="G20" s="161">
        <f t="shared" si="1"/>
        <v>1</v>
      </c>
      <c r="H20" s="161" t="e">
        <f t="shared" si="2"/>
        <v>#DIV/0!</v>
      </c>
      <c r="I20" s="162">
        <f t="shared" si="3"/>
        <v>0</v>
      </c>
      <c r="J20" s="161" t="e">
        <f t="shared" si="4"/>
        <v>#DIV/0!</v>
      </c>
      <c r="K20" s="173"/>
      <c r="L20" s="163">
        <f>[5]分析表1!G21</f>
        <v>2</v>
      </c>
      <c r="M20" s="164">
        <f>[5]分析表1!H21</f>
        <v>2</v>
      </c>
      <c r="N20" s="165">
        <f t="shared" si="5"/>
        <v>1</v>
      </c>
      <c r="O20" s="163">
        <f>COUNTIFS('[5]2026年5月'!C$1:C$65536,B20,'[5]2026年5月'!I$1:I$65536,"保单客户",'[5]2026年5月'!AD$1:AD$65536,"1")</f>
        <v>0</v>
      </c>
      <c r="P20" s="165">
        <f t="shared" si="6"/>
        <v>0</v>
      </c>
      <c r="Q20" s="165">
        <f t="shared" si="7"/>
        <v>1</v>
      </c>
      <c r="R20" s="163">
        <f t="shared" si="8"/>
        <v>0</v>
      </c>
      <c r="S20" s="165">
        <f t="shared" si="9"/>
        <v>0</v>
      </c>
      <c r="T20" s="172"/>
      <c r="U20" s="167"/>
      <c r="V20" s="163"/>
      <c r="W20" s="163"/>
    </row>
    <row r="21" spans="1:23" s="140" customFormat="1" ht="18" customHeight="1">
      <c r="A21" s="157">
        <v>18</v>
      </c>
      <c r="B21" s="171" t="s">
        <v>1331</v>
      </c>
      <c r="C21" s="159">
        <f>[5]分析表1!C22</f>
        <v>17</v>
      </c>
      <c r="D21" s="160">
        <f>[5]分析表1!D22</f>
        <v>1</v>
      </c>
      <c r="E21" s="161">
        <f t="shared" si="0"/>
        <v>5.8823529411764698E-2</v>
      </c>
      <c r="F21" s="162">
        <f>COUNTIFS('[5]2026年5月'!C$1:C$65536,B21,'[5]2026年5月'!I$1:I$65536,"推修客户",'[5]2026年5月'!AD$1:AD$65536,"1")</f>
        <v>7</v>
      </c>
      <c r="G21" s="161">
        <f t="shared" si="1"/>
        <v>0.41176470588235298</v>
      </c>
      <c r="H21" s="161">
        <f t="shared" si="2"/>
        <v>0.1</v>
      </c>
      <c r="I21" s="162">
        <f t="shared" si="3"/>
        <v>9</v>
      </c>
      <c r="J21" s="161">
        <f t="shared" si="4"/>
        <v>0.9</v>
      </c>
      <c r="K21" s="173"/>
      <c r="L21" s="163">
        <f>[5]分析表1!G22</f>
        <v>9</v>
      </c>
      <c r="M21" s="164">
        <f>[5]分析表1!H22</f>
        <v>7</v>
      </c>
      <c r="N21" s="165">
        <f t="shared" si="5"/>
        <v>0.77777777777777801</v>
      </c>
      <c r="O21" s="163">
        <f>COUNTIFS('[5]2026年5月'!C$1:C$65536,B21,'[5]2026年5月'!I$1:I$65536,"保单客户",'[5]2026年5月'!AD$1:AD$65536,"1")</f>
        <v>2</v>
      </c>
      <c r="P21" s="165">
        <f t="shared" si="6"/>
        <v>0.22222222222222199</v>
      </c>
      <c r="Q21" s="165">
        <f t="shared" si="7"/>
        <v>1</v>
      </c>
      <c r="R21" s="163">
        <f t="shared" si="8"/>
        <v>0</v>
      </c>
      <c r="S21" s="165">
        <f t="shared" si="9"/>
        <v>0</v>
      </c>
      <c r="T21" s="172"/>
      <c r="U21" s="167"/>
      <c r="V21" s="163"/>
      <c r="W21" s="163"/>
    </row>
    <row r="22" spans="1:23" s="140" customFormat="1" ht="20.399999999999999">
      <c r="A22" s="157">
        <v>19</v>
      </c>
      <c r="B22" s="174" t="s">
        <v>5092</v>
      </c>
      <c r="C22" s="159">
        <f>[5]分析表1!C23</f>
        <v>0</v>
      </c>
      <c r="D22" s="160">
        <f>[5]分析表1!D23</f>
        <v>0</v>
      </c>
      <c r="E22" s="161" t="e">
        <f t="shared" si="0"/>
        <v>#DIV/0!</v>
      </c>
      <c r="F22" s="162">
        <f>COUNTIFS('[5]2026年5月'!C$1:C$65536,B22,'[5]2026年5月'!I$1:I$65536,"推修客户",'[5]2026年5月'!AD$1:AD$65536,"1")</f>
        <v>0</v>
      </c>
      <c r="G22" s="161" t="e">
        <f t="shared" si="1"/>
        <v>#DIV/0!</v>
      </c>
      <c r="H22" s="161" t="e">
        <f t="shared" si="2"/>
        <v>#DIV/0!</v>
      </c>
      <c r="I22" s="162">
        <f t="shared" si="3"/>
        <v>0</v>
      </c>
      <c r="J22" s="161" t="e">
        <f t="shared" si="4"/>
        <v>#DIV/0!</v>
      </c>
      <c r="K22" s="173"/>
      <c r="L22" s="163">
        <f>[5]分析表1!G23</f>
        <v>0</v>
      </c>
      <c r="M22" s="164">
        <f>[5]分析表1!H23</f>
        <v>0</v>
      </c>
      <c r="N22" s="165" t="e">
        <f t="shared" si="5"/>
        <v>#DIV/0!</v>
      </c>
      <c r="O22" s="163">
        <f>COUNTIFS('[5]2026年5月'!C$1:C$65536,B22,'[5]2026年5月'!I$1:I$65536,"保单客户",'[5]2026年5月'!AD$1:AD$65536,"1")</f>
        <v>0</v>
      </c>
      <c r="P22" s="165" t="e">
        <f t="shared" si="6"/>
        <v>#DIV/0!</v>
      </c>
      <c r="Q22" s="165" t="e">
        <f t="shared" si="7"/>
        <v>#DIV/0!</v>
      </c>
      <c r="R22" s="163">
        <f t="shared" si="8"/>
        <v>0</v>
      </c>
      <c r="S22" s="165" t="e">
        <f t="shared" si="9"/>
        <v>#DIV/0!</v>
      </c>
      <c r="T22" s="172"/>
      <c r="U22" s="167"/>
      <c r="V22" s="163"/>
      <c r="W22" s="163"/>
    </row>
    <row r="23" spans="1:23" s="140" customFormat="1" ht="17.399999999999999">
      <c r="A23" s="175"/>
      <c r="B23" s="176" t="s">
        <v>311</v>
      </c>
      <c r="C23" s="177">
        <f t="shared" ref="C23:F23" si="10">SUM(C4:C22)</f>
        <v>297</v>
      </c>
      <c r="D23" s="177">
        <f t="shared" si="10"/>
        <v>91</v>
      </c>
      <c r="E23" s="178">
        <f t="shared" si="0"/>
        <v>0.306397306397306</v>
      </c>
      <c r="F23" s="177">
        <f t="shared" si="10"/>
        <v>62</v>
      </c>
      <c r="G23" s="179">
        <f t="shared" si="1"/>
        <v>0.208754208754209</v>
      </c>
      <c r="H23" s="180">
        <f t="shared" si="2"/>
        <v>0.38723404255319099</v>
      </c>
      <c r="I23" s="177">
        <f t="shared" ref="I23:M23" si="11">SUM(I4:I22)</f>
        <v>144</v>
      </c>
      <c r="J23" s="179">
        <f t="shared" si="4"/>
        <v>0.61276595744680895</v>
      </c>
      <c r="K23" s="181"/>
      <c r="L23" s="181">
        <f t="shared" si="11"/>
        <v>306</v>
      </c>
      <c r="M23" s="181">
        <f t="shared" si="11"/>
        <v>187</v>
      </c>
      <c r="N23" s="179">
        <f t="shared" si="5"/>
        <v>0.61111111111111105</v>
      </c>
      <c r="O23" s="181">
        <f>SUM(O4:O22)</f>
        <v>57</v>
      </c>
      <c r="P23" s="179">
        <f t="shared" si="6"/>
        <v>0.18627450980392199</v>
      </c>
      <c r="Q23" s="180">
        <f t="shared" si="7"/>
        <v>0.75100401606425704</v>
      </c>
      <c r="R23" s="181">
        <f>SUM(R4:R22)</f>
        <v>62</v>
      </c>
      <c r="S23" s="179">
        <f t="shared" si="9"/>
        <v>0.20261437908496699</v>
      </c>
      <c r="T23" s="182"/>
      <c r="U23" s="183"/>
      <c r="V23" s="184"/>
      <c r="W23" s="184"/>
    </row>
    <row r="24" spans="1:23" s="140" customFormat="1" ht="17.399999999999999">
      <c r="A24" s="185"/>
      <c r="B24" s="185"/>
      <c r="C24" s="185"/>
      <c r="D24" s="186"/>
      <c r="E24" s="186"/>
      <c r="F24" s="185"/>
      <c r="G24" s="185"/>
      <c r="H24" s="185"/>
      <c r="I24" s="185"/>
      <c r="J24" s="185"/>
      <c r="K24" s="185"/>
      <c r="L24" s="185"/>
      <c r="M24" s="185"/>
      <c r="N24" s="185"/>
      <c r="O24" s="185"/>
      <c r="P24" s="185"/>
      <c r="Q24" s="185"/>
      <c r="R24" s="185"/>
      <c r="S24" s="185"/>
      <c r="T24" s="185"/>
      <c r="U24" s="185"/>
      <c r="V24" s="185"/>
      <c r="W24" s="185"/>
    </row>
    <row r="25" spans="1:23" ht="17.399999999999999">
      <c r="A25" s="185"/>
      <c r="B25" s="2106" t="s">
        <v>5093</v>
      </c>
      <c r="C25" s="2106"/>
      <c r="D25" s="185"/>
      <c r="E25" s="185"/>
      <c r="F25" s="185"/>
      <c r="G25" s="185"/>
      <c r="H25" s="185"/>
      <c r="I25" s="2106" t="s">
        <v>5094</v>
      </c>
      <c r="J25" s="2106"/>
      <c r="K25" s="2106"/>
      <c r="L25" s="185"/>
      <c r="M25" s="185"/>
      <c r="N25" s="185"/>
      <c r="O25" s="185"/>
      <c r="P25" s="185"/>
      <c r="Q25" s="185"/>
      <c r="R25" s="185"/>
      <c r="S25" s="185"/>
      <c r="T25" s="185"/>
      <c r="U25" s="185"/>
      <c r="V25" s="185"/>
      <c r="W25" s="185"/>
    </row>
    <row r="26" spans="1:23" ht="17.399999999999999">
      <c r="A26" s="185"/>
      <c r="B26" s="187"/>
      <c r="C26" s="187"/>
      <c r="D26" s="185"/>
      <c r="E26" s="185"/>
      <c r="F26" s="185"/>
      <c r="G26" s="185"/>
      <c r="H26" s="185"/>
      <c r="I26" s="187"/>
      <c r="J26" s="187"/>
      <c r="K26" s="187"/>
      <c r="L26" s="185"/>
      <c r="M26" s="185"/>
      <c r="N26" s="185"/>
      <c r="O26" s="185"/>
      <c r="P26" s="185"/>
      <c r="Q26" s="185"/>
      <c r="R26" s="185"/>
      <c r="S26" s="185"/>
      <c r="T26" s="185"/>
      <c r="U26" s="185"/>
      <c r="V26" s="185"/>
      <c r="W26" s="185"/>
    </row>
    <row r="27" spans="1:23" ht="17.399999999999999">
      <c r="A27" s="185"/>
      <c r="B27" s="2106" t="s">
        <v>5095</v>
      </c>
      <c r="C27" s="2106"/>
      <c r="D27" s="2106"/>
      <c r="E27" s="2106"/>
      <c r="F27" s="2106"/>
      <c r="G27" s="2106"/>
      <c r="H27" s="2106"/>
      <c r="I27" s="2106"/>
      <c r="J27" s="2106"/>
      <c r="K27" s="2106"/>
      <c r="L27" s="2106"/>
      <c r="M27" s="2106"/>
      <c r="N27" s="2106"/>
      <c r="O27" s="187"/>
      <c r="P27" s="187"/>
      <c r="Q27" s="187"/>
      <c r="R27" s="185"/>
      <c r="S27" s="185"/>
      <c r="T27" s="185"/>
      <c r="U27" s="185"/>
      <c r="V27" s="185"/>
      <c r="W27" s="185"/>
    </row>
    <row r="28" spans="1:23" ht="17.399999999999999">
      <c r="A28" s="185"/>
      <c r="B28" s="2106" t="s">
        <v>5096</v>
      </c>
      <c r="C28" s="2106"/>
      <c r="D28" s="2106"/>
      <c r="E28" s="2106"/>
      <c r="F28" s="2106"/>
      <c r="G28" s="2106"/>
      <c r="H28" s="2106"/>
      <c r="I28" s="2106"/>
      <c r="J28" s="2106"/>
      <c r="K28" s="2106"/>
      <c r="L28" s="2106"/>
      <c r="M28" s="2106"/>
      <c r="N28" s="2106"/>
      <c r="O28" s="187"/>
      <c r="P28" s="187"/>
      <c r="Q28" s="187"/>
      <c r="R28" s="185"/>
      <c r="S28" s="185"/>
      <c r="T28" s="185"/>
      <c r="U28" s="185"/>
      <c r="V28" s="185"/>
      <c r="W28" s="185"/>
    </row>
    <row r="29" spans="1:23">
      <c r="A29" s="188"/>
      <c r="B29" s="189"/>
      <c r="C29" s="189"/>
      <c r="D29" s="189"/>
      <c r="E29" s="189"/>
      <c r="F29" s="189"/>
      <c r="G29" s="189"/>
      <c r="H29" s="189"/>
      <c r="I29" s="189"/>
      <c r="J29" s="189"/>
      <c r="K29" s="189"/>
      <c r="L29" s="189"/>
      <c r="M29" s="189"/>
      <c r="N29" s="189"/>
      <c r="O29" s="189"/>
      <c r="P29" s="189"/>
      <c r="Q29" s="189"/>
      <c r="R29" s="190"/>
      <c r="S29" s="190"/>
      <c r="T29" s="190"/>
      <c r="U29" s="190"/>
      <c r="V29" s="190"/>
      <c r="W29" s="190"/>
    </row>
    <row r="30" spans="1:23">
      <c r="A30" s="188"/>
      <c r="B30" s="189"/>
      <c r="C30" s="189"/>
      <c r="D30" s="189"/>
      <c r="E30" s="189"/>
      <c r="F30" s="189"/>
      <c r="G30" s="189"/>
      <c r="H30" s="189"/>
      <c r="I30" s="189"/>
      <c r="J30" s="189"/>
      <c r="K30" s="189"/>
      <c r="L30" s="189"/>
      <c r="M30" s="189"/>
      <c r="N30" s="189"/>
      <c r="O30" s="189"/>
      <c r="P30" s="189"/>
      <c r="Q30" s="189"/>
      <c r="R30" s="190"/>
      <c r="S30" s="190"/>
      <c r="T30" s="190"/>
      <c r="U30" s="190"/>
      <c r="V30" s="190"/>
      <c r="W30" s="190"/>
    </row>
    <row r="31" spans="1:23">
      <c r="A31" s="188"/>
      <c r="B31" s="189"/>
      <c r="C31" s="189"/>
      <c r="D31" s="189"/>
      <c r="E31" s="189"/>
      <c r="F31" s="189"/>
      <c r="G31" s="189"/>
      <c r="H31" s="189"/>
      <c r="I31" s="189"/>
      <c r="J31" s="189"/>
      <c r="K31" s="189"/>
      <c r="L31" s="189"/>
      <c r="M31" s="189"/>
      <c r="N31" s="189"/>
      <c r="O31" s="189"/>
      <c r="P31" s="189"/>
      <c r="Q31" s="189"/>
      <c r="R31" s="190"/>
      <c r="S31" s="190"/>
      <c r="T31" s="190"/>
      <c r="U31" s="190"/>
      <c r="V31" s="190"/>
      <c r="W31" s="190"/>
    </row>
    <row r="32" spans="1:23">
      <c r="A32" s="188"/>
      <c r="B32" s="189"/>
      <c r="C32" s="189"/>
      <c r="D32" s="189"/>
      <c r="E32" s="189"/>
      <c r="F32" s="189"/>
      <c r="G32" s="189"/>
      <c r="H32" s="189"/>
      <c r="I32" s="189"/>
      <c r="J32" s="189"/>
      <c r="K32" s="189"/>
      <c r="L32" s="189"/>
      <c r="M32" s="189"/>
      <c r="N32" s="189"/>
      <c r="O32" s="189"/>
      <c r="P32" s="189"/>
      <c r="Q32" s="189"/>
      <c r="R32" s="190"/>
      <c r="S32" s="190"/>
      <c r="T32" s="190"/>
      <c r="U32" s="190"/>
      <c r="V32" s="190"/>
      <c r="W32" s="190"/>
    </row>
    <row r="33" spans="1:23">
      <c r="A33" s="188"/>
      <c r="B33" s="189"/>
      <c r="C33" s="189"/>
      <c r="D33" s="189"/>
      <c r="E33" s="189"/>
      <c r="F33" s="189"/>
      <c r="G33" s="189"/>
      <c r="H33" s="189"/>
      <c r="I33" s="189"/>
      <c r="J33" s="189"/>
      <c r="K33" s="189"/>
      <c r="L33" s="189"/>
      <c r="M33" s="189"/>
      <c r="N33" s="189"/>
      <c r="O33" s="189"/>
      <c r="P33" s="189"/>
      <c r="Q33" s="189"/>
      <c r="R33" s="190"/>
      <c r="S33" s="190"/>
      <c r="T33" s="190"/>
      <c r="U33" s="190"/>
      <c r="V33" s="190"/>
      <c r="W33" s="190"/>
    </row>
    <row r="34" spans="1:23">
      <c r="A34" s="188"/>
      <c r="B34" s="190"/>
      <c r="C34" s="190"/>
      <c r="D34" s="190"/>
      <c r="E34" s="190"/>
      <c r="F34" s="191"/>
      <c r="G34" s="191"/>
      <c r="H34" s="191"/>
      <c r="I34" s="191"/>
      <c r="J34" s="191"/>
      <c r="K34" s="190"/>
      <c r="L34" s="190"/>
      <c r="M34" s="190"/>
      <c r="N34" s="190"/>
      <c r="O34" s="190"/>
      <c r="P34" s="190"/>
      <c r="Q34" s="190"/>
      <c r="R34" s="190"/>
      <c r="S34" s="190"/>
      <c r="T34" s="190"/>
      <c r="U34" s="190"/>
      <c r="V34" s="190"/>
      <c r="W34" s="190"/>
    </row>
    <row r="35" spans="1:23" ht="15.6">
      <c r="B35" s="2107" t="s">
        <v>5097</v>
      </c>
      <c r="C35" s="2107"/>
      <c r="D35" s="2107"/>
      <c r="E35" s="2107"/>
      <c r="F35" s="2107"/>
      <c r="G35" s="2107"/>
      <c r="H35" s="2107"/>
      <c r="I35" s="2107"/>
      <c r="J35" s="2107"/>
    </row>
    <row r="36" spans="1:23" ht="25.5" customHeight="1">
      <c r="B36" s="192" t="s">
        <v>33</v>
      </c>
      <c r="C36" s="192" t="s">
        <v>5098</v>
      </c>
      <c r="D36" s="192" t="s">
        <v>5099</v>
      </c>
      <c r="E36" s="192" t="s">
        <v>5100</v>
      </c>
      <c r="F36" s="193" t="s">
        <v>5101</v>
      </c>
      <c r="G36" s="193" t="s">
        <v>272</v>
      </c>
      <c r="H36" s="193" t="s">
        <v>5102</v>
      </c>
      <c r="I36" s="193" t="s">
        <v>5103</v>
      </c>
      <c r="J36" s="193" t="s">
        <v>5104</v>
      </c>
      <c r="K36" s="194" t="s">
        <v>5105</v>
      </c>
      <c r="L36" s="194" t="s">
        <v>3141</v>
      </c>
      <c r="M36" s="194" t="s">
        <v>5106</v>
      </c>
    </row>
    <row r="37" spans="1:23" ht="33" customHeight="1">
      <c r="B37" s="192" t="s">
        <v>45</v>
      </c>
      <c r="C37" s="192">
        <v>0</v>
      </c>
      <c r="D37" s="192">
        <v>306</v>
      </c>
      <c r="E37" s="192">
        <v>297</v>
      </c>
      <c r="F37" s="195">
        <f>SUM(C37:E37)</f>
        <v>603</v>
      </c>
      <c r="G37" s="195">
        <v>8</v>
      </c>
      <c r="H37" s="195">
        <f>G37*F37</f>
        <v>4824</v>
      </c>
      <c r="I37" s="195">
        <v>800</v>
      </c>
      <c r="J37" s="195">
        <f>SUM(H37:I37)</f>
        <v>5624</v>
      </c>
      <c r="K37" s="196">
        <f>J37</f>
        <v>5624</v>
      </c>
      <c r="L37" s="197">
        <f>(H37+I37)*0.05</f>
        <v>281.2</v>
      </c>
      <c r="M37" s="197">
        <f>K37-L37</f>
        <v>5342.8</v>
      </c>
    </row>
    <row r="38" spans="1:23" ht="21.15" customHeight="1">
      <c r="B38" s="192" t="s">
        <v>213</v>
      </c>
      <c r="C38" s="196">
        <f>122+87</f>
        <v>209</v>
      </c>
      <c r="D38" s="196">
        <v>141</v>
      </c>
      <c r="E38" s="196">
        <v>429</v>
      </c>
      <c r="F38" s="195">
        <f>SUM(C38:E38)</f>
        <v>779</v>
      </c>
      <c r="G38" s="198">
        <v>8</v>
      </c>
      <c r="H38" s="195">
        <f>G38*F38</f>
        <v>6232</v>
      </c>
      <c r="I38" s="198"/>
      <c r="J38" s="195">
        <f>SUM(H38:I38)</f>
        <v>6232</v>
      </c>
      <c r="K38" s="196">
        <f>J38</f>
        <v>6232</v>
      </c>
      <c r="L38" s="197">
        <f>(H38+I38)*0.05</f>
        <v>311.60000000000002</v>
      </c>
      <c r="M38" s="197">
        <f>K38-L38</f>
        <v>5920.4</v>
      </c>
    </row>
    <row r="40" spans="1:23">
      <c r="B40" s="2110" t="s">
        <v>5107</v>
      </c>
      <c r="C40" s="199" t="s">
        <v>5108</v>
      </c>
      <c r="D40" s="199" t="s">
        <v>1001</v>
      </c>
      <c r="E40" s="200" t="s">
        <v>271</v>
      </c>
      <c r="F40" s="200" t="s">
        <v>491</v>
      </c>
    </row>
    <row r="41" spans="1:23" ht="15.6">
      <c r="B41" s="2111"/>
      <c r="C41" s="201" t="s">
        <v>5109</v>
      </c>
      <c r="D41" s="202">
        <v>0.7</v>
      </c>
      <c r="E41" s="203">
        <v>75</v>
      </c>
      <c r="F41" s="204" t="s">
        <v>5110</v>
      </c>
      <c r="H41" s="205"/>
    </row>
    <row r="42" spans="1:23" ht="15.6">
      <c r="B42" s="2111"/>
      <c r="C42" s="201" t="s">
        <v>5111</v>
      </c>
      <c r="D42" s="202">
        <v>0.35</v>
      </c>
      <c r="E42" s="206">
        <v>0.39</v>
      </c>
      <c r="F42" s="204" t="s">
        <v>5110</v>
      </c>
    </row>
    <row r="43" spans="1:23" ht="14.4">
      <c r="B43" s="207"/>
      <c r="C43" s="201"/>
      <c r="D43" s="208"/>
      <c r="E43" s="206"/>
      <c r="F43" s="209"/>
    </row>
    <row r="48" spans="1:23">
      <c r="B48" s="145" t="s">
        <v>1024</v>
      </c>
    </row>
    <row r="49" spans="2:20">
      <c r="B49" s="145" t="s">
        <v>1024</v>
      </c>
      <c r="C49" s="145" t="s">
        <v>5112</v>
      </c>
      <c r="D49" s="145" t="s">
        <v>5113</v>
      </c>
      <c r="E49" s="145" t="s">
        <v>5114</v>
      </c>
    </row>
    <row r="50" spans="2:20">
      <c r="C50" s="145" t="s">
        <v>5115</v>
      </c>
      <c r="D50" s="145" t="s">
        <v>5116</v>
      </c>
      <c r="E50" s="145" t="s">
        <v>5117</v>
      </c>
    </row>
    <row r="59" spans="2:20" ht="15.6">
      <c r="B59" s="96"/>
      <c r="C59" s="96"/>
      <c r="D59" s="96"/>
      <c r="E59" s="96"/>
      <c r="F59" s="96"/>
      <c r="G59" s="129"/>
      <c r="H59" s="96"/>
      <c r="I59" s="96"/>
      <c r="J59" s="96"/>
      <c r="K59" s="96"/>
      <c r="L59" s="96"/>
      <c r="M59" s="96"/>
      <c r="N59" s="96"/>
      <c r="O59" s="96"/>
      <c r="P59" s="96"/>
      <c r="Q59" s="96"/>
      <c r="R59" s="96"/>
      <c r="S59" s="96"/>
      <c r="T59" s="96"/>
    </row>
    <row r="60" spans="2:20" ht="15.6">
      <c r="B60" s="192"/>
      <c r="C60" s="192"/>
      <c r="D60" s="192"/>
      <c r="E60" s="192"/>
      <c r="F60" s="192"/>
      <c r="G60" s="192"/>
      <c r="H60" s="192"/>
      <c r="I60" s="192"/>
      <c r="J60" s="192"/>
      <c r="K60" s="192"/>
      <c r="L60" s="96"/>
      <c r="M60" s="96"/>
      <c r="N60" s="96"/>
      <c r="O60" s="96"/>
      <c r="P60" s="96"/>
      <c r="Q60" s="96"/>
      <c r="R60" s="96"/>
      <c r="S60" s="96"/>
      <c r="T60" s="96"/>
    </row>
    <row r="61" spans="2:20" ht="15.6">
      <c r="B61" s="96"/>
      <c r="C61" s="96"/>
      <c r="D61" s="96"/>
      <c r="E61" s="96"/>
      <c r="F61" s="96"/>
      <c r="G61" s="129"/>
      <c r="H61" s="96"/>
      <c r="I61" s="96"/>
      <c r="J61" s="96"/>
      <c r="K61" s="96"/>
      <c r="L61" s="96"/>
      <c r="M61" s="96"/>
      <c r="N61" s="96"/>
      <c r="O61" s="96"/>
      <c r="P61" s="96"/>
      <c r="Q61" s="96"/>
      <c r="R61" s="96"/>
      <c r="S61" s="96"/>
      <c r="T61" s="96"/>
    </row>
    <row r="62" spans="2:20" ht="15.6">
      <c r="B62" s="96"/>
      <c r="C62" s="96"/>
      <c r="D62" s="96"/>
      <c r="E62" s="96"/>
      <c r="F62" s="96"/>
      <c r="G62" s="129"/>
      <c r="H62" s="96"/>
      <c r="I62" s="96"/>
      <c r="J62" s="96"/>
      <c r="K62" s="96"/>
      <c r="L62" s="96"/>
      <c r="M62" s="96"/>
      <c r="N62" s="96"/>
      <c r="O62" s="96"/>
      <c r="P62" s="96"/>
      <c r="Q62" s="96"/>
      <c r="R62" s="96"/>
      <c r="S62" s="96"/>
      <c r="T62" s="96"/>
    </row>
    <row r="63" spans="2:20" ht="15.6">
      <c r="B63" s="96"/>
      <c r="C63" s="96"/>
      <c r="D63" s="96"/>
      <c r="E63" s="96"/>
      <c r="F63" s="96"/>
      <c r="G63" s="129"/>
      <c r="H63" s="96"/>
      <c r="I63" s="96"/>
      <c r="J63" s="96"/>
      <c r="K63" s="96"/>
      <c r="L63" s="96"/>
      <c r="M63" s="96"/>
      <c r="N63" s="96"/>
      <c r="O63" s="96"/>
      <c r="P63" s="96"/>
      <c r="Q63" s="96"/>
      <c r="R63" s="96"/>
      <c r="S63" s="96"/>
      <c r="T63" s="96"/>
    </row>
    <row r="64" spans="2:20" ht="15.6">
      <c r="B64" s="96"/>
      <c r="C64" s="96"/>
      <c r="D64" s="96"/>
      <c r="E64" s="96"/>
      <c r="F64" s="129"/>
      <c r="G64" s="96"/>
      <c r="H64" s="96"/>
      <c r="I64" s="96"/>
      <c r="J64" s="96"/>
      <c r="K64" s="96"/>
      <c r="L64" s="96"/>
      <c r="M64" s="96"/>
      <c r="N64" s="96"/>
    </row>
    <row r="65" spans="2:14" ht="15.6">
      <c r="B65" s="96"/>
      <c r="C65" s="96"/>
      <c r="D65" s="96"/>
      <c r="E65" s="96"/>
      <c r="F65" s="129"/>
      <c r="G65" s="96"/>
      <c r="H65" s="96"/>
      <c r="I65" s="96"/>
      <c r="J65" s="96"/>
      <c r="K65" s="96"/>
      <c r="L65" s="96"/>
      <c r="M65" s="96"/>
      <c r="N65" s="96"/>
    </row>
    <row r="66" spans="2:14" ht="15.6">
      <c r="B66" s="96"/>
      <c r="C66" s="96"/>
      <c r="D66" s="96"/>
      <c r="E66" s="96"/>
      <c r="F66" s="129"/>
      <c r="G66" s="96"/>
      <c r="H66" s="96"/>
      <c r="I66" s="96"/>
      <c r="J66" s="96"/>
      <c r="K66" s="96"/>
      <c r="L66" s="96"/>
      <c r="M66" s="96"/>
      <c r="N66" s="96"/>
    </row>
  </sheetData>
  <mergeCells count="9">
    <mergeCell ref="B35:J35"/>
    <mergeCell ref="A2:A3"/>
    <mergeCell ref="B2:B3"/>
    <mergeCell ref="B40:B42"/>
    <mergeCell ref="C2:U2"/>
    <mergeCell ref="B25:C25"/>
    <mergeCell ref="I25:K25"/>
    <mergeCell ref="B27:N27"/>
    <mergeCell ref="B28:N28"/>
  </mergeCells>
  <phoneticPr fontId="5" type="noConversion"/>
  <pageMargins left="0.75" right="0.75" top="1" bottom="1" header="0.5" footer="0.5"/>
  <pageSetup paperSize="9" orientation="portrait"/>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dimension ref="A1:Q80"/>
  <sheetViews>
    <sheetView workbookViewId="0">
      <selection activeCell="J13" sqref="J13"/>
    </sheetView>
  </sheetViews>
  <sheetFormatPr defaultColWidth="9" defaultRowHeight="15.6"/>
  <cols>
    <col min="1" max="2" width="11.77734375" style="42" customWidth="1"/>
    <col min="3" max="3" width="9" style="30"/>
    <col min="4" max="4" width="13.88671875" style="41" customWidth="1"/>
    <col min="5" max="5" width="9.33203125" style="41"/>
    <col min="6" max="8" width="9" style="41"/>
    <col min="9" max="9" width="13.33203125" style="41" customWidth="1"/>
    <col min="10" max="10" width="12.44140625" style="41" customWidth="1"/>
    <col min="11" max="16384" width="9" style="41"/>
  </cols>
  <sheetData>
    <row r="1" spans="1:17">
      <c r="A1" s="2112" t="s">
        <v>5118</v>
      </c>
      <c r="B1" s="2113"/>
      <c r="D1" s="2114"/>
      <c r="E1" s="2114"/>
      <c r="F1" s="2115"/>
      <c r="G1" s="2114"/>
      <c r="H1" s="2114"/>
      <c r="I1" s="2114"/>
      <c r="J1" s="2114"/>
      <c r="K1" s="2114"/>
      <c r="L1" s="2114"/>
      <c r="M1" s="96"/>
      <c r="N1" s="129"/>
      <c r="O1" s="129"/>
      <c r="P1" s="129"/>
      <c r="Q1" s="96"/>
    </row>
    <row r="2" spans="1:17">
      <c r="A2" s="34" t="s">
        <v>5119</v>
      </c>
      <c r="B2" s="34" t="s">
        <v>5120</v>
      </c>
      <c r="D2" s="2114" t="s">
        <v>5121</v>
      </c>
      <c r="E2" s="2114"/>
      <c r="F2" s="2115"/>
      <c r="G2" s="2114"/>
      <c r="H2" s="2114"/>
      <c r="I2" s="2114"/>
      <c r="J2" s="2114"/>
      <c r="K2" s="2114"/>
      <c r="L2" s="2114"/>
      <c r="M2" s="96"/>
      <c r="N2" s="2116" t="s">
        <v>5122</v>
      </c>
      <c r="O2" s="2116"/>
      <c r="P2" s="2116"/>
      <c r="Q2" s="2116"/>
    </row>
    <row r="3" spans="1:17">
      <c r="A3" s="130" t="s">
        <v>131</v>
      </c>
      <c r="B3" s="131">
        <f>SUMIF(K:K,A3,L:L)</f>
        <v>0</v>
      </c>
      <c r="D3" s="2116" t="s">
        <v>5123</v>
      </c>
      <c r="E3" s="132" t="s">
        <v>5124</v>
      </c>
      <c r="F3" s="133" t="s">
        <v>5125</v>
      </c>
      <c r="G3" s="118" t="s">
        <v>5126</v>
      </c>
      <c r="H3" s="118" t="s">
        <v>1016</v>
      </c>
      <c r="I3" s="118" t="s">
        <v>5127</v>
      </c>
      <c r="J3" s="118" t="s">
        <v>5128</v>
      </c>
      <c r="K3" s="118" t="s">
        <v>5119</v>
      </c>
      <c r="L3" s="118" t="s">
        <v>5120</v>
      </c>
      <c r="M3" s="96"/>
      <c r="N3" s="130" t="s">
        <v>5129</v>
      </c>
      <c r="O3" s="130" t="s">
        <v>5130</v>
      </c>
      <c r="P3" s="130" t="s">
        <v>5120</v>
      </c>
      <c r="Q3" s="118" t="s">
        <v>304</v>
      </c>
    </row>
    <row r="4" spans="1:17">
      <c r="A4" s="130" t="s">
        <v>117</v>
      </c>
      <c r="B4" s="131">
        <f>SUMIF(K:K,A4,L:L)</f>
        <v>0</v>
      </c>
      <c r="D4" s="2116"/>
      <c r="E4" s="132">
        <v>46062</v>
      </c>
      <c r="F4" s="133">
        <v>0.57916666666666705</v>
      </c>
      <c r="G4" s="134">
        <v>0.62361111111111101</v>
      </c>
      <c r="H4" s="118" t="s">
        <v>5131</v>
      </c>
      <c r="I4" s="118">
        <v>14780989133</v>
      </c>
      <c r="J4" s="118" t="s">
        <v>5132</v>
      </c>
      <c r="K4" s="118" t="s">
        <v>131</v>
      </c>
      <c r="L4" s="118"/>
      <c r="M4" s="96"/>
      <c r="N4" s="130" t="s">
        <v>131</v>
      </c>
      <c r="O4" s="130">
        <v>1</v>
      </c>
      <c r="P4" s="130"/>
      <c r="Q4" s="118"/>
    </row>
    <row r="5" spans="1:17">
      <c r="A5" s="130"/>
      <c r="B5" s="131"/>
      <c r="D5" s="130"/>
      <c r="E5" s="132">
        <v>46067</v>
      </c>
      <c r="F5" s="133">
        <v>0.60347222222222197</v>
      </c>
      <c r="G5" s="134">
        <v>0.625694444444444</v>
      </c>
      <c r="H5" s="118" t="s">
        <v>5133</v>
      </c>
      <c r="I5" s="118">
        <v>14781657324</v>
      </c>
      <c r="J5" s="118" t="s">
        <v>5134</v>
      </c>
      <c r="K5" s="118" t="s">
        <v>117</v>
      </c>
      <c r="L5" s="118"/>
      <c r="M5" s="96"/>
      <c r="N5" s="130" t="s">
        <v>117</v>
      </c>
      <c r="O5" s="130">
        <v>1</v>
      </c>
      <c r="P5" s="130"/>
      <c r="Q5" s="118"/>
    </row>
    <row r="6" spans="1:17">
      <c r="A6" s="130"/>
      <c r="B6" s="131">
        <f>SUMIF(K:K,A6,L:L)</f>
        <v>0</v>
      </c>
      <c r="D6" s="118" t="s">
        <v>311</v>
      </c>
      <c r="E6" s="132"/>
      <c r="F6" s="133"/>
      <c r="G6" s="118"/>
      <c r="H6" s="118"/>
      <c r="I6" s="118"/>
      <c r="J6" s="118"/>
      <c r="K6" s="118"/>
      <c r="L6" s="118"/>
      <c r="M6" s="96"/>
      <c r="N6" s="130"/>
      <c r="O6" s="130"/>
      <c r="P6" s="130"/>
      <c r="Q6" s="118"/>
    </row>
    <row r="7" spans="1:17">
      <c r="A7" s="130"/>
      <c r="B7" s="131">
        <f>SUMIF(K:K,A7,L:L)</f>
        <v>0</v>
      </c>
      <c r="D7" s="118"/>
      <c r="E7" s="132"/>
      <c r="F7" s="133"/>
      <c r="G7" s="118"/>
      <c r="H7" s="118"/>
      <c r="I7" s="118"/>
      <c r="J7" s="118"/>
      <c r="K7" s="118"/>
      <c r="L7" s="118"/>
      <c r="M7" s="96"/>
      <c r="N7" s="130" t="s">
        <v>311</v>
      </c>
      <c r="O7" s="130"/>
      <c r="P7" s="130"/>
      <c r="Q7" s="118"/>
    </row>
    <row r="8" spans="1:17">
      <c r="A8" s="130"/>
      <c r="B8" s="131"/>
      <c r="D8" s="118"/>
      <c r="E8" s="132"/>
      <c r="F8" s="133"/>
      <c r="G8" s="118"/>
      <c r="H8" s="118"/>
      <c r="I8" s="118"/>
      <c r="J8" s="118"/>
      <c r="K8" s="118"/>
      <c r="L8" s="118"/>
      <c r="M8" s="96"/>
      <c r="N8" s="130"/>
      <c r="O8" s="130"/>
      <c r="P8" s="130"/>
      <c r="Q8" s="118"/>
    </row>
    <row r="9" spans="1:17">
      <c r="A9" s="34"/>
      <c r="B9" s="131"/>
      <c r="D9" s="96"/>
      <c r="E9" s="135"/>
      <c r="F9" s="136"/>
      <c r="G9" s="96"/>
      <c r="H9" s="96"/>
      <c r="I9" s="96"/>
      <c r="J9" s="96"/>
      <c r="K9" s="96"/>
      <c r="L9" s="96"/>
      <c r="M9" s="96"/>
      <c r="N9" s="130"/>
      <c r="O9" s="130"/>
      <c r="P9" s="130"/>
      <c r="Q9" s="118"/>
    </row>
    <row r="10" spans="1:17">
      <c r="A10" s="34"/>
      <c r="B10" s="131"/>
      <c r="D10" s="96"/>
      <c r="E10" s="135"/>
      <c r="F10" s="136"/>
      <c r="G10" s="96"/>
      <c r="H10" s="96"/>
      <c r="I10" s="96"/>
      <c r="J10" s="96"/>
      <c r="K10" s="96"/>
      <c r="L10" s="96"/>
      <c r="M10" s="96"/>
      <c r="N10" s="129"/>
      <c r="O10" s="129"/>
      <c r="P10" s="129"/>
      <c r="Q10" s="96"/>
    </row>
    <row r="11" spans="1:17">
      <c r="A11" s="34"/>
      <c r="B11" s="131"/>
      <c r="D11" s="41" t="s">
        <v>311</v>
      </c>
    </row>
    <row r="12" spans="1:17">
      <c r="A12" s="34"/>
      <c r="B12" s="131"/>
    </row>
    <row r="13" spans="1:17">
      <c r="A13" s="34"/>
      <c r="B13" s="131"/>
      <c r="C13" s="41"/>
    </row>
    <row r="14" spans="1:17">
      <c r="A14" s="34"/>
      <c r="B14" s="34"/>
      <c r="C14" s="41"/>
    </row>
    <row r="15" spans="1:17">
      <c r="A15" s="34"/>
      <c r="B15" s="34"/>
      <c r="C15" s="41"/>
    </row>
    <row r="16" spans="1:17">
      <c r="A16" s="137"/>
      <c r="B16" s="137"/>
      <c r="C16" s="41"/>
    </row>
    <row r="17" spans="1:3">
      <c r="A17" s="137" t="s">
        <v>311</v>
      </c>
      <c r="B17" s="137">
        <f>SUM(B3:B14)</f>
        <v>0</v>
      </c>
      <c r="C17" s="41"/>
    </row>
    <row r="18" spans="1:3">
      <c r="A18" s="138"/>
      <c r="B18" s="138"/>
      <c r="C18" s="41"/>
    </row>
    <row r="19" spans="1:3">
      <c r="A19" s="138"/>
      <c r="B19" s="138"/>
      <c r="C19" s="41"/>
    </row>
    <row r="20" spans="1:3">
      <c r="A20" s="138"/>
      <c r="B20" s="138"/>
      <c r="C20" s="41"/>
    </row>
    <row r="21" spans="1:3">
      <c r="A21" s="138"/>
      <c r="B21" s="138"/>
      <c r="C21" s="41"/>
    </row>
    <row r="22" spans="1:3">
      <c r="A22" s="138"/>
      <c r="B22" s="138"/>
      <c r="C22" s="41"/>
    </row>
    <row r="23" spans="1:3">
      <c r="A23" s="138"/>
      <c r="B23" s="138"/>
      <c r="C23" s="41"/>
    </row>
    <row r="24" spans="1:3">
      <c r="A24" s="138"/>
      <c r="B24" s="138"/>
      <c r="C24" s="41"/>
    </row>
    <row r="25" spans="1:3">
      <c r="A25" s="138"/>
      <c r="B25" s="138"/>
      <c r="C25" s="41"/>
    </row>
    <row r="26" spans="1:3">
      <c r="A26" s="138"/>
      <c r="B26" s="138"/>
      <c r="C26" s="41"/>
    </row>
    <row r="27" spans="1:3">
      <c r="A27" s="138"/>
      <c r="B27" s="138"/>
      <c r="C27" s="41"/>
    </row>
    <row r="28" spans="1:3">
      <c r="A28" s="138"/>
      <c r="B28" s="138"/>
      <c r="C28" s="41"/>
    </row>
    <row r="29" spans="1:3">
      <c r="A29" s="138"/>
      <c r="B29" s="138"/>
      <c r="C29" s="41"/>
    </row>
    <row r="30" spans="1:3">
      <c r="A30" s="138"/>
      <c r="B30" s="138"/>
      <c r="C30" s="41"/>
    </row>
    <row r="31" spans="1:3">
      <c r="A31" s="138"/>
      <c r="B31" s="138"/>
      <c r="C31" s="41"/>
    </row>
    <row r="32" spans="1:3">
      <c r="A32" s="138"/>
      <c r="B32" s="138"/>
      <c r="C32" s="41"/>
    </row>
    <row r="33" spans="1:3">
      <c r="A33" s="138"/>
      <c r="B33" s="138"/>
      <c r="C33" s="41"/>
    </row>
    <row r="34" spans="1:3">
      <c r="A34" s="138"/>
      <c r="B34" s="138"/>
      <c r="C34" s="41"/>
    </row>
    <row r="35" spans="1:3">
      <c r="A35" s="138"/>
      <c r="B35" s="138"/>
      <c r="C35" s="41"/>
    </row>
    <row r="36" spans="1:3">
      <c r="A36" s="138"/>
      <c r="B36" s="138"/>
      <c r="C36" s="41"/>
    </row>
    <row r="37" spans="1:3">
      <c r="A37" s="138"/>
      <c r="B37" s="138"/>
      <c r="C37" s="41"/>
    </row>
    <row r="38" spans="1:3">
      <c r="A38" s="138"/>
      <c r="B38" s="138"/>
      <c r="C38" s="41"/>
    </row>
    <row r="39" spans="1:3">
      <c r="A39" s="138"/>
      <c r="B39" s="138"/>
      <c r="C39" s="41"/>
    </row>
    <row r="40" spans="1:3" s="61" customFormat="1" ht="12">
      <c r="A40" s="62"/>
      <c r="B40" s="62"/>
    </row>
    <row r="41" spans="1:3">
      <c r="A41" s="138"/>
      <c r="B41" s="138"/>
      <c r="C41" s="41"/>
    </row>
    <row r="42" spans="1:3">
      <c r="A42" s="138"/>
      <c r="B42" s="138"/>
      <c r="C42" s="41"/>
    </row>
    <row r="43" spans="1:3">
      <c r="A43" s="138"/>
      <c r="B43" s="138"/>
      <c r="C43" s="41"/>
    </row>
    <row r="44" spans="1:3">
      <c r="A44" s="138"/>
      <c r="B44" s="138"/>
      <c r="C44" s="41"/>
    </row>
    <row r="45" spans="1:3" s="128" customFormat="1">
      <c r="A45" s="139"/>
      <c r="B45" s="139"/>
    </row>
    <row r="46" spans="1:3">
      <c r="A46" s="138"/>
      <c r="B46" s="138"/>
      <c r="C46" s="41"/>
    </row>
    <row r="47" spans="1:3">
      <c r="A47" s="138"/>
      <c r="B47" s="138"/>
      <c r="C47" s="41"/>
    </row>
    <row r="48" spans="1:3">
      <c r="A48" s="138"/>
      <c r="B48" s="138"/>
      <c r="C48" s="41"/>
    </row>
    <row r="49" spans="1:2" s="41" customFormat="1">
      <c r="A49" s="138"/>
      <c r="B49" s="138"/>
    </row>
    <row r="50" spans="1:2" s="41" customFormat="1">
      <c r="A50" s="138"/>
      <c r="B50" s="138"/>
    </row>
    <row r="51" spans="1:2" s="41" customFormat="1">
      <c r="A51" s="138"/>
      <c r="B51" s="138"/>
    </row>
    <row r="52" spans="1:2" s="41" customFormat="1">
      <c r="A52" s="138"/>
      <c r="B52" s="138"/>
    </row>
    <row r="53" spans="1:2" s="41" customFormat="1">
      <c r="A53" s="138"/>
      <c r="B53" s="138"/>
    </row>
    <row r="54" spans="1:2" s="41" customFormat="1">
      <c r="A54" s="138"/>
      <c r="B54" s="138"/>
    </row>
    <row r="55" spans="1:2" s="41" customFormat="1">
      <c r="A55" s="138"/>
      <c r="B55" s="138"/>
    </row>
    <row r="56" spans="1:2" s="41" customFormat="1">
      <c r="A56" s="138"/>
      <c r="B56" s="138"/>
    </row>
    <row r="57" spans="1:2" s="41" customFormat="1">
      <c r="A57" s="138"/>
      <c r="B57" s="138"/>
    </row>
    <row r="58" spans="1:2" s="41" customFormat="1">
      <c r="A58" s="138"/>
      <c r="B58" s="138"/>
    </row>
    <row r="59" spans="1:2" s="41" customFormat="1">
      <c r="A59" s="138"/>
      <c r="B59" s="138"/>
    </row>
    <row r="60" spans="1:2" s="41" customFormat="1">
      <c r="A60" s="138"/>
      <c r="B60" s="138"/>
    </row>
    <row r="61" spans="1:2" s="41" customFormat="1">
      <c r="A61" s="138"/>
      <c r="B61" s="138"/>
    </row>
    <row r="62" spans="1:2" s="41" customFormat="1">
      <c r="A62" s="138"/>
      <c r="B62" s="138"/>
    </row>
    <row r="63" spans="1:2" s="41" customFormat="1">
      <c r="A63" s="138"/>
      <c r="B63" s="138"/>
    </row>
    <row r="64" spans="1:2" s="41" customFormat="1">
      <c r="A64" s="138"/>
      <c r="B64" s="138"/>
    </row>
    <row r="65" spans="1:2" s="41" customFormat="1">
      <c r="A65" s="138"/>
      <c r="B65" s="138"/>
    </row>
    <row r="66" spans="1:2" s="41" customFormat="1">
      <c r="A66" s="138"/>
      <c r="B66" s="138"/>
    </row>
    <row r="67" spans="1:2" s="41" customFormat="1">
      <c r="A67" s="138"/>
      <c r="B67" s="138"/>
    </row>
    <row r="68" spans="1:2" s="41" customFormat="1">
      <c r="A68" s="138"/>
      <c r="B68" s="138"/>
    </row>
    <row r="69" spans="1:2" s="128" customFormat="1">
      <c r="A69" s="139"/>
      <c r="B69" s="139"/>
    </row>
    <row r="70" spans="1:2" s="41" customFormat="1">
      <c r="A70" s="138"/>
      <c r="B70" s="138"/>
    </row>
    <row r="71" spans="1:2" s="41" customFormat="1">
      <c r="A71" s="138"/>
      <c r="B71" s="138"/>
    </row>
    <row r="72" spans="1:2" s="41" customFormat="1">
      <c r="A72" s="138"/>
      <c r="B72" s="138"/>
    </row>
    <row r="73" spans="1:2" s="41" customFormat="1">
      <c r="A73" s="138"/>
      <c r="B73" s="138"/>
    </row>
    <row r="74" spans="1:2" s="41" customFormat="1">
      <c r="A74" s="138"/>
      <c r="B74" s="138"/>
    </row>
    <row r="75" spans="1:2" s="41" customFormat="1">
      <c r="A75" s="138"/>
      <c r="B75" s="138"/>
    </row>
    <row r="76" spans="1:2" s="41" customFormat="1">
      <c r="A76" s="138"/>
      <c r="B76" s="138"/>
    </row>
    <row r="77" spans="1:2" s="41" customFormat="1">
      <c r="A77" s="138"/>
      <c r="B77" s="138"/>
    </row>
    <row r="78" spans="1:2" s="41" customFormat="1">
      <c r="A78" s="138"/>
      <c r="B78" s="138"/>
    </row>
    <row r="79" spans="1:2" s="41" customFormat="1">
      <c r="A79" s="138"/>
      <c r="B79" s="138"/>
    </row>
    <row r="80" spans="1:2" s="41" customFormat="1">
      <c r="A80" s="138"/>
      <c r="B80" s="138"/>
    </row>
  </sheetData>
  <mergeCells count="5">
    <mergeCell ref="A1:B1"/>
    <mergeCell ref="D1:L1"/>
    <mergeCell ref="D2:L2"/>
    <mergeCell ref="N2:Q2"/>
    <mergeCell ref="D3:D4"/>
  </mergeCells>
  <phoneticPr fontId="5" type="noConversion"/>
  <conditionalFormatting sqref="A1:A2 A9:A1048576">
    <cfRule type="duplicateValues" dxfId="59" priority="5"/>
  </conditionalFormatting>
  <pageMargins left="0.75" right="0.75" top="1" bottom="1" header="0.5" footer="0.5"/>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dimension ref="A1:L8"/>
  <sheetViews>
    <sheetView workbookViewId="0">
      <selection activeCell="J25" sqref="J25"/>
    </sheetView>
  </sheetViews>
  <sheetFormatPr defaultColWidth="9" defaultRowHeight="15.6"/>
  <cols>
    <col min="1" max="2" width="9" style="120"/>
    <col min="3" max="3" width="12.88671875" style="120" customWidth="1"/>
    <col min="4" max="4" width="14" style="120" customWidth="1"/>
    <col min="5" max="5" width="16.109375" style="120" customWidth="1"/>
    <col min="6" max="6" width="9" style="120"/>
    <col min="7" max="7" width="11" style="120" customWidth="1"/>
    <col min="8" max="16384" width="9" style="120"/>
  </cols>
  <sheetData>
    <row r="1" spans="1:12">
      <c r="A1" s="121" t="s">
        <v>315</v>
      </c>
      <c r="B1" s="121" t="s">
        <v>5135</v>
      </c>
      <c r="C1" s="122" t="s">
        <v>5136</v>
      </c>
      <c r="D1" s="121" t="s">
        <v>4567</v>
      </c>
      <c r="E1" s="123" t="s">
        <v>5137</v>
      </c>
      <c r="F1" s="124" t="s">
        <v>5138</v>
      </c>
      <c r="G1" s="122" t="s">
        <v>5139</v>
      </c>
      <c r="I1" s="125" t="s">
        <v>5140</v>
      </c>
      <c r="J1" s="125" t="s">
        <v>5141</v>
      </c>
      <c r="K1" s="125" t="s">
        <v>984</v>
      </c>
      <c r="L1" s="125" t="s">
        <v>4565</v>
      </c>
    </row>
    <row r="2" spans="1:12">
      <c r="A2" s="121">
        <v>1</v>
      </c>
      <c r="B2" s="126"/>
      <c r="C2" s="122"/>
      <c r="D2" s="126"/>
      <c r="E2" s="126"/>
      <c r="F2" s="121"/>
      <c r="G2" s="127"/>
      <c r="I2" s="125"/>
      <c r="J2" s="125"/>
      <c r="K2" s="125"/>
      <c r="L2" s="125"/>
    </row>
    <row r="3" spans="1:12">
      <c r="A3" s="121">
        <v>2</v>
      </c>
      <c r="B3" s="126"/>
      <c r="C3" s="122"/>
      <c r="D3" s="126"/>
      <c r="E3" s="126"/>
      <c r="F3" s="121"/>
      <c r="G3" s="127"/>
      <c r="I3" s="125"/>
      <c r="J3" s="125"/>
      <c r="K3" s="125"/>
      <c r="L3" s="125"/>
    </row>
    <row r="4" spans="1:12">
      <c r="A4" s="121">
        <v>3</v>
      </c>
      <c r="B4" s="126"/>
      <c r="C4" s="127"/>
      <c r="D4" s="126"/>
      <c r="E4" s="126"/>
      <c r="F4" s="126"/>
      <c r="G4" s="127"/>
      <c r="I4" s="125"/>
      <c r="J4" s="125"/>
      <c r="K4" s="125"/>
      <c r="L4" s="125"/>
    </row>
    <row r="5" spans="1:12">
      <c r="A5" s="121">
        <v>4</v>
      </c>
      <c r="B5" s="126"/>
      <c r="C5" s="127"/>
      <c r="D5" s="126"/>
      <c r="E5" s="126"/>
      <c r="F5" s="126"/>
      <c r="G5" s="127"/>
      <c r="I5" s="125"/>
      <c r="J5" s="125"/>
      <c r="K5" s="125"/>
      <c r="L5" s="125"/>
    </row>
    <row r="6" spans="1:12">
      <c r="A6" s="121">
        <v>5</v>
      </c>
      <c r="B6" s="126"/>
      <c r="C6" s="127"/>
      <c r="D6" s="126"/>
      <c r="E6" s="126"/>
      <c r="F6" s="126"/>
      <c r="G6" s="127"/>
      <c r="I6" s="125"/>
      <c r="J6" s="125"/>
      <c r="K6" s="125"/>
      <c r="L6" s="125"/>
    </row>
    <row r="7" spans="1:12">
      <c r="A7" s="121"/>
      <c r="B7" s="121"/>
      <c r="C7" s="122"/>
      <c r="D7" s="121"/>
      <c r="E7" s="123"/>
      <c r="F7" s="121"/>
      <c r="G7" s="122"/>
      <c r="I7" s="125" t="s">
        <v>4864</v>
      </c>
      <c r="J7" s="125">
        <f>SUM(J2:J6)</f>
        <v>0</v>
      </c>
      <c r="K7" s="125">
        <f>SUM(K2:K6)</f>
        <v>0</v>
      </c>
      <c r="L7" s="125"/>
    </row>
    <row r="8" spans="1:12">
      <c r="A8" s="121"/>
      <c r="B8" s="126"/>
      <c r="C8" s="127"/>
      <c r="D8" s="126"/>
      <c r="E8" s="126"/>
      <c r="F8" s="126"/>
      <c r="G8" s="127"/>
    </row>
  </sheetData>
  <phoneticPr fontId="5" type="noConversion"/>
  <conditionalFormatting sqref="D2:D3">
    <cfRule type="duplicateValues" dxfId="58" priority="1"/>
  </conditionalFormatting>
  <pageMargins left="0.75" right="0.75" top="1" bottom="1" header="0.51180555555555596" footer="0.51180555555555596"/>
  <pageSetup paperSize="9" orientation="portrait"/>
  <headerFooter scaleWithDoc="0"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tabColor theme="5" tint="-0.249977111117893"/>
  </sheetPr>
  <dimension ref="A1:O14"/>
  <sheetViews>
    <sheetView workbookViewId="0">
      <selection activeCell="F1" sqref="F1:F65536"/>
    </sheetView>
  </sheetViews>
  <sheetFormatPr defaultColWidth="9" defaultRowHeight="15.6"/>
  <cols>
    <col min="1" max="1" width="11" style="96" customWidth="1"/>
    <col min="2" max="2" width="10.6640625" style="96" customWidth="1"/>
    <col min="3" max="3" width="9" style="96"/>
    <col min="4" max="4" width="14.77734375" style="96" customWidth="1"/>
    <col min="5" max="5" width="10.77734375" style="97" customWidth="1"/>
    <col min="6" max="6" width="7.88671875" style="97" customWidth="1"/>
    <col min="7" max="7" width="10.88671875" style="97" customWidth="1"/>
    <col min="8" max="8" width="6.21875" style="97" customWidth="1"/>
    <col min="9" max="9" width="9" style="97" hidden="1" customWidth="1"/>
    <col min="10" max="14" width="9" style="97"/>
    <col min="15" max="16384" width="9" style="96"/>
  </cols>
  <sheetData>
    <row r="1" spans="1:15" s="94" customFormat="1" ht="25.5" customHeight="1">
      <c r="A1" s="98" t="s">
        <v>5142</v>
      </c>
      <c r="B1" s="99" t="s">
        <v>1016</v>
      </c>
      <c r="C1" s="100" t="s">
        <v>5143</v>
      </c>
      <c r="D1" s="99" t="s">
        <v>5144</v>
      </c>
      <c r="E1" s="99" t="s">
        <v>5145</v>
      </c>
      <c r="F1" s="101" t="s">
        <v>5146</v>
      </c>
      <c r="G1" s="99" t="s">
        <v>5147</v>
      </c>
      <c r="H1" s="99" t="s">
        <v>350</v>
      </c>
      <c r="I1" s="102"/>
      <c r="J1" s="102"/>
      <c r="K1" s="102"/>
      <c r="L1" s="102"/>
      <c r="M1" s="102"/>
      <c r="N1" s="102"/>
      <c r="O1"/>
    </row>
    <row r="2" spans="1:15" ht="24">
      <c r="A2" s="103">
        <v>44168</v>
      </c>
      <c r="B2" s="104" t="s">
        <v>5148</v>
      </c>
      <c r="C2" s="105" t="s">
        <v>5149</v>
      </c>
      <c r="D2" s="106" t="s">
        <v>5150</v>
      </c>
      <c r="E2" s="106">
        <v>1</v>
      </c>
      <c r="F2" s="106">
        <v>45</v>
      </c>
      <c r="G2" s="106" t="s">
        <v>200</v>
      </c>
      <c r="H2" s="106" t="s">
        <v>226</v>
      </c>
      <c r="I2" s="107" t="s">
        <v>136</v>
      </c>
      <c r="J2" s="102"/>
      <c r="K2" s="108" t="s">
        <v>33</v>
      </c>
      <c r="L2" s="108" t="s">
        <v>4456</v>
      </c>
      <c r="M2" s="108" t="s">
        <v>4457</v>
      </c>
      <c r="N2" s="108" t="s">
        <v>311</v>
      </c>
      <c r="O2" s="109" t="s">
        <v>423</v>
      </c>
    </row>
    <row r="3" spans="1:15" s="95" customFormat="1" ht="16.649999999999999" customHeight="1">
      <c r="A3" s="103">
        <v>44171</v>
      </c>
      <c r="B3" s="104" t="s">
        <v>5151</v>
      </c>
      <c r="C3" s="105" t="s">
        <v>5152</v>
      </c>
      <c r="D3" s="106" t="s">
        <v>5153</v>
      </c>
      <c r="E3" s="106">
        <v>1</v>
      </c>
      <c r="F3" s="106">
        <v>88</v>
      </c>
      <c r="G3" s="106" t="s">
        <v>5154</v>
      </c>
      <c r="H3" s="106" t="s">
        <v>5155</v>
      </c>
      <c r="I3" s="110" t="s">
        <v>5147</v>
      </c>
      <c r="J3" s="102"/>
      <c r="K3" s="111" t="s">
        <v>200</v>
      </c>
      <c r="L3" s="112"/>
      <c r="M3" s="112"/>
      <c r="N3" s="112">
        <f>L3+M3</f>
        <v>0</v>
      </c>
      <c r="O3" s="113"/>
    </row>
    <row r="4" spans="1:15" s="95" customFormat="1">
      <c r="A4" s="103">
        <v>44183</v>
      </c>
      <c r="B4" s="104" t="s">
        <v>5156</v>
      </c>
      <c r="C4" s="105" t="s">
        <v>5157</v>
      </c>
      <c r="D4" s="106" t="s">
        <v>5158</v>
      </c>
      <c r="E4" s="106">
        <v>2</v>
      </c>
      <c r="F4" s="106">
        <v>45</v>
      </c>
      <c r="G4" s="106" t="s">
        <v>5154</v>
      </c>
      <c r="H4" s="106" t="s">
        <v>143</v>
      </c>
      <c r="I4" s="110" t="s">
        <v>152</v>
      </c>
      <c r="J4" s="114"/>
      <c r="K4" s="111" t="s">
        <v>5154</v>
      </c>
      <c r="L4" s="112"/>
      <c r="M4" s="112"/>
      <c r="N4" s="112">
        <f>L4+M4</f>
        <v>0</v>
      </c>
      <c r="O4" s="113"/>
    </row>
    <row r="5" spans="1:15" s="95" customFormat="1">
      <c r="A5" s="115">
        <v>44209</v>
      </c>
      <c r="B5" s="104" t="s">
        <v>5159</v>
      </c>
      <c r="C5" s="105" t="s">
        <v>5160</v>
      </c>
      <c r="D5" s="106" t="s">
        <v>5161</v>
      </c>
      <c r="E5" s="106">
        <v>1</v>
      </c>
      <c r="F5" s="106">
        <v>40</v>
      </c>
      <c r="G5" s="106" t="s">
        <v>200</v>
      </c>
      <c r="H5" s="106" t="s">
        <v>143</v>
      </c>
      <c r="I5" s="116" t="s">
        <v>143</v>
      </c>
      <c r="J5" s="114"/>
      <c r="K5" s="117"/>
      <c r="L5" s="112"/>
      <c r="M5" s="112"/>
      <c r="N5" s="112">
        <f>L5+M5</f>
        <v>0</v>
      </c>
      <c r="O5" s="113"/>
    </row>
    <row r="6" spans="1:15" s="95" customFormat="1" ht="15">
      <c r="A6" s="115">
        <v>44211</v>
      </c>
      <c r="B6" s="104" t="s">
        <v>5162</v>
      </c>
      <c r="C6" s="105" t="s">
        <v>5163</v>
      </c>
      <c r="D6" s="106" t="s">
        <v>5164</v>
      </c>
      <c r="E6" s="106">
        <v>1</v>
      </c>
      <c r="F6" s="106">
        <v>61</v>
      </c>
      <c r="G6" s="106" t="s">
        <v>200</v>
      </c>
      <c r="H6" s="106" t="s">
        <v>5165</v>
      </c>
      <c r="I6" s="102"/>
      <c r="J6" s="102"/>
      <c r="K6" s="117"/>
      <c r="L6" s="112"/>
      <c r="M6" s="112"/>
      <c r="N6" s="112"/>
      <c r="O6" s="113"/>
    </row>
    <row r="7" spans="1:15" s="95" customFormat="1" ht="15">
      <c r="A7" s="115">
        <v>44224</v>
      </c>
      <c r="B7" s="104" t="s">
        <v>5166</v>
      </c>
      <c r="C7" s="105" t="s">
        <v>5167</v>
      </c>
      <c r="D7" s="106" t="s">
        <v>5168</v>
      </c>
      <c r="E7" s="106">
        <v>1</v>
      </c>
      <c r="F7" s="106">
        <v>50</v>
      </c>
      <c r="G7" s="106" t="s">
        <v>5154</v>
      </c>
      <c r="H7" s="106" t="s">
        <v>226</v>
      </c>
      <c r="I7" s="102"/>
      <c r="J7" s="102"/>
      <c r="K7" s="112"/>
      <c r="L7" s="112"/>
      <c r="M7" s="112"/>
      <c r="N7" s="112"/>
      <c r="O7" s="113"/>
    </row>
    <row r="8" spans="1:15" s="95" customFormat="1">
      <c r="A8" s="2117" t="s">
        <v>311</v>
      </c>
      <c r="B8" s="2117"/>
      <c r="C8" s="2118"/>
      <c r="D8" s="118"/>
      <c r="E8" s="118">
        <f>SUM(E2:E7)</f>
        <v>7</v>
      </c>
      <c r="F8" s="118">
        <f>SUM(F2:F7)</f>
        <v>329</v>
      </c>
      <c r="G8" s="118"/>
      <c r="H8" s="118"/>
      <c r="I8" s="102"/>
      <c r="J8" s="102"/>
      <c r="K8" s="112"/>
      <c r="L8" s="112"/>
      <c r="M8" s="112"/>
      <c r="N8" s="112"/>
      <c r="O8" s="113"/>
    </row>
    <row r="9" spans="1:15">
      <c r="A9"/>
      <c r="B9"/>
      <c r="C9"/>
      <c r="D9"/>
      <c r="E9" s="102"/>
      <c r="F9" s="102"/>
      <c r="G9" s="102"/>
      <c r="H9" s="102"/>
      <c r="I9" s="102"/>
      <c r="J9" s="102"/>
      <c r="K9" s="112"/>
      <c r="L9" s="112"/>
      <c r="M9" s="112"/>
      <c r="N9" s="112"/>
      <c r="O9" s="113"/>
    </row>
    <row r="10" spans="1:15" ht="16.649999999999999" customHeight="1">
      <c r="A10"/>
      <c r="B10"/>
      <c r="C10"/>
      <c r="D10"/>
      <c r="E10" s="102"/>
      <c r="F10" s="102"/>
      <c r="G10" s="102"/>
      <c r="H10" s="102"/>
      <c r="I10" s="102"/>
      <c r="J10" s="102"/>
      <c r="K10" s="119"/>
      <c r="L10" s="112"/>
      <c r="M10" s="112"/>
      <c r="N10" s="112"/>
      <c r="O10" s="113"/>
    </row>
    <row r="11" spans="1:15">
      <c r="A11"/>
      <c r="B11"/>
      <c r="C11"/>
      <c r="D11"/>
      <c r="E11" s="102"/>
      <c r="F11" s="102"/>
      <c r="G11" s="102"/>
      <c r="H11" s="102"/>
      <c r="I11" s="102"/>
      <c r="J11" s="102"/>
      <c r="K11" s="112"/>
      <c r="L11" s="112"/>
      <c r="M11" s="112"/>
      <c r="N11" s="112"/>
      <c r="O11" s="113"/>
    </row>
    <row r="12" spans="1:15">
      <c r="A12"/>
      <c r="B12"/>
      <c r="C12"/>
      <c r="D12"/>
      <c r="E12" s="102"/>
      <c r="F12" s="102"/>
      <c r="G12" s="102"/>
      <c r="H12" s="102"/>
      <c r="I12" s="102"/>
      <c r="J12" s="102"/>
      <c r="K12" s="112"/>
      <c r="L12" s="112"/>
      <c r="M12" s="112"/>
      <c r="N12" s="112"/>
      <c r="O12" s="113"/>
    </row>
    <row r="13" spans="1:15">
      <c r="A13"/>
      <c r="B13"/>
      <c r="C13"/>
      <c r="D13"/>
      <c r="E13" s="102"/>
      <c r="F13" s="102"/>
      <c r="G13" s="102"/>
      <c r="H13" s="102"/>
      <c r="I13" s="102"/>
      <c r="J13" s="102"/>
      <c r="K13" s="112"/>
      <c r="L13" s="112"/>
      <c r="M13" s="112"/>
      <c r="N13" s="112"/>
      <c r="O13" s="113"/>
    </row>
    <row r="14" spans="1:15">
      <c r="A14"/>
      <c r="B14"/>
      <c r="C14"/>
      <c r="D14"/>
      <c r="E14" s="102"/>
      <c r="F14" s="102"/>
      <c r="G14" s="102"/>
      <c r="H14" s="102"/>
      <c r="I14" s="102"/>
      <c r="J14" s="102"/>
      <c r="K14" s="112" t="s">
        <v>311</v>
      </c>
      <c r="L14" s="112">
        <f>SUM(L3:L13)</f>
        <v>0</v>
      </c>
      <c r="M14" s="112">
        <f>SUM(M3:M13)</f>
        <v>0</v>
      </c>
      <c r="N14" s="112">
        <f>SUM(N3:N13)</f>
        <v>0</v>
      </c>
      <c r="O14" s="113"/>
    </row>
  </sheetData>
  <mergeCells count="1">
    <mergeCell ref="A8:C8"/>
  </mergeCells>
  <phoneticPr fontId="5" type="noConversion"/>
  <pageMargins left="0.69930555555555596" right="0.69930555555555596"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1">
    <tabColor theme="5" tint="-0.249977111117893"/>
  </sheetPr>
  <dimension ref="A1:BF399"/>
  <sheetViews>
    <sheetView topLeftCell="A103" workbookViewId="0">
      <selection activeCell="L366" sqref="L366"/>
    </sheetView>
  </sheetViews>
  <sheetFormatPr defaultColWidth="8" defaultRowHeight="24.75" customHeight="1"/>
  <cols>
    <col min="1" max="3" width="8" style="85"/>
    <col min="4" max="4" width="14" style="85" customWidth="1"/>
    <col min="5" max="6" width="8" style="85"/>
    <col min="7" max="7" width="13.109375" style="85" customWidth="1"/>
    <col min="8" max="8" width="12.21875" style="85" customWidth="1"/>
    <col min="9" max="9" width="25.44140625" style="85" customWidth="1"/>
    <col min="10" max="12" width="8" style="85"/>
    <col min="13" max="13" width="8" style="86"/>
    <col min="14" max="14" width="8" style="87"/>
    <col min="15" max="15" width="15.109375" style="85" hidden="1" customWidth="1"/>
    <col min="16" max="16" width="9.88671875" style="85" hidden="1" customWidth="1"/>
    <col min="17" max="17" width="15" style="85" hidden="1" customWidth="1"/>
    <col min="18" max="18" width="15.77734375" style="85" hidden="1" customWidth="1"/>
    <col min="19" max="19" width="9.109375" style="85" hidden="1" customWidth="1"/>
    <col min="20" max="20" width="10.77734375" style="85" hidden="1" customWidth="1"/>
    <col min="21" max="21" width="9" style="85" hidden="1" customWidth="1"/>
    <col min="22" max="23" width="10.77734375" style="85" hidden="1" customWidth="1"/>
    <col min="24" max="16384" width="8" style="85"/>
  </cols>
  <sheetData>
    <row r="1" spans="1:58" ht="24.75" customHeight="1">
      <c r="A1" s="88" t="s">
        <v>5169</v>
      </c>
      <c r="B1" s="88" t="s">
        <v>5170</v>
      </c>
      <c r="C1" s="88" t="s">
        <v>1016</v>
      </c>
      <c r="D1" s="88" t="s">
        <v>5171</v>
      </c>
      <c r="E1" s="88" t="s">
        <v>5172</v>
      </c>
      <c r="F1" s="89"/>
      <c r="G1" s="88" t="s">
        <v>5173</v>
      </c>
      <c r="H1" s="88" t="s">
        <v>5174</v>
      </c>
      <c r="I1" s="88" t="s">
        <v>5175</v>
      </c>
      <c r="J1" s="88" t="s">
        <v>5176</v>
      </c>
      <c r="K1" s="88" t="s">
        <v>494</v>
      </c>
      <c r="L1" s="88" t="s">
        <v>5177</v>
      </c>
      <c r="M1" s="88" t="s">
        <v>5178</v>
      </c>
      <c r="N1" s="88" t="s">
        <v>5179</v>
      </c>
      <c r="O1" s="88" t="s">
        <v>5180</v>
      </c>
      <c r="P1" s="88" t="s">
        <v>5181</v>
      </c>
      <c r="Q1" s="88" t="s">
        <v>5182</v>
      </c>
      <c r="R1" s="88" t="s">
        <v>5183</v>
      </c>
      <c r="S1" s="88" t="s">
        <v>5184</v>
      </c>
      <c r="T1" s="88" t="s">
        <v>5185</v>
      </c>
      <c r="U1" s="88" t="s">
        <v>5186</v>
      </c>
      <c r="V1" s="88" t="s">
        <v>5187</v>
      </c>
      <c r="W1" s="88" t="s">
        <v>5188</v>
      </c>
      <c r="X1" s="88" t="s">
        <v>5189</v>
      </c>
      <c r="Y1" s="88" t="s">
        <v>4519</v>
      </c>
      <c r="Z1" s="88" t="s">
        <v>5147</v>
      </c>
      <c r="AA1" s="88" t="s">
        <v>5190</v>
      </c>
      <c r="AB1" s="88" t="s">
        <v>5191</v>
      </c>
      <c r="AC1" s="88" t="s">
        <v>5192</v>
      </c>
      <c r="AD1" s="88" t="s">
        <v>5193</v>
      </c>
      <c r="AE1" s="88" t="s">
        <v>5194</v>
      </c>
      <c r="AF1" s="88" t="s">
        <v>5195</v>
      </c>
      <c r="AG1" s="88" t="s">
        <v>5196</v>
      </c>
      <c r="AH1" s="88" t="s">
        <v>5197</v>
      </c>
      <c r="AI1" s="88" t="s">
        <v>5198</v>
      </c>
      <c r="AJ1" s="88" t="s">
        <v>5199</v>
      </c>
      <c r="AK1" s="88" t="s">
        <v>5192</v>
      </c>
      <c r="AL1" s="88" t="s">
        <v>5200</v>
      </c>
      <c r="AM1" s="88" t="s">
        <v>5201</v>
      </c>
      <c r="AN1" s="88" t="s">
        <v>5202</v>
      </c>
      <c r="AO1" s="88" t="s">
        <v>5203</v>
      </c>
      <c r="AP1" s="88" t="s">
        <v>5204</v>
      </c>
      <c r="AQ1" s="88" t="s">
        <v>5205</v>
      </c>
      <c r="AR1" s="88" t="s">
        <v>5206</v>
      </c>
      <c r="AS1" s="88" t="s">
        <v>5207</v>
      </c>
      <c r="AT1" s="88" t="s">
        <v>5208</v>
      </c>
      <c r="AU1" s="88" t="s">
        <v>5209</v>
      </c>
      <c r="AV1" s="88" t="s">
        <v>5210</v>
      </c>
      <c r="AW1" s="88" t="s">
        <v>5211</v>
      </c>
      <c r="AX1" s="88" t="s">
        <v>5212</v>
      </c>
      <c r="AY1" s="88" t="s">
        <v>5213</v>
      </c>
      <c r="AZ1" s="88" t="s">
        <v>5214</v>
      </c>
      <c r="BA1" s="88" t="s">
        <v>5215</v>
      </c>
      <c r="BB1" s="88" t="s">
        <v>5216</v>
      </c>
      <c r="BC1" s="88" t="s">
        <v>5217</v>
      </c>
      <c r="BD1" s="88" t="s">
        <v>5218</v>
      </c>
      <c r="BE1" s="88" t="s">
        <v>5219</v>
      </c>
      <c r="BF1" s="88" t="s">
        <v>5220</v>
      </c>
    </row>
    <row r="2" spans="1:58" ht="24.75" customHeight="1">
      <c r="A2" s="90" t="s">
        <v>5221</v>
      </c>
      <c r="B2" s="90"/>
      <c r="C2" s="90"/>
      <c r="D2" s="91">
        <v>45901.373564814799</v>
      </c>
      <c r="E2" s="90" t="s">
        <v>5222</v>
      </c>
      <c r="F2" s="92"/>
      <c r="G2" s="90" t="s">
        <v>5223</v>
      </c>
      <c r="H2" s="90" t="s">
        <v>5224</v>
      </c>
      <c r="I2" s="90" t="s">
        <v>5225</v>
      </c>
      <c r="J2" s="90"/>
      <c r="K2" s="93">
        <v>10</v>
      </c>
      <c r="L2" s="93">
        <v>379</v>
      </c>
      <c r="M2" s="93">
        <v>3790</v>
      </c>
      <c r="N2" s="93">
        <v>3790</v>
      </c>
      <c r="O2" s="90" t="s">
        <v>5226</v>
      </c>
      <c r="P2" s="90"/>
      <c r="Q2" s="90" t="s">
        <v>5227</v>
      </c>
      <c r="R2" s="90"/>
      <c r="S2" s="90"/>
      <c r="T2" s="90"/>
      <c r="U2" s="90"/>
      <c r="V2" s="90" t="s">
        <v>5228</v>
      </c>
      <c r="W2" s="90" t="s">
        <v>93</v>
      </c>
      <c r="X2" s="90" t="s">
        <v>162</v>
      </c>
      <c r="Y2" s="90" t="s">
        <v>408</v>
      </c>
      <c r="Z2" s="90"/>
      <c r="AA2" s="93">
        <v>3353.9823008849598</v>
      </c>
      <c r="AB2" s="93">
        <v>3353.9823008849598</v>
      </c>
      <c r="AC2" s="93">
        <v>13</v>
      </c>
      <c r="AD2" s="93">
        <v>436.01769911504402</v>
      </c>
      <c r="AE2" s="90"/>
      <c r="AF2" s="90"/>
      <c r="AG2" s="90"/>
      <c r="AH2" s="90"/>
      <c r="AI2" s="93">
        <v>0</v>
      </c>
      <c r="AJ2" s="93">
        <v>379</v>
      </c>
      <c r="AK2" s="93">
        <v>13</v>
      </c>
      <c r="AL2" s="93">
        <v>3353.9823000000001</v>
      </c>
      <c r="AM2" s="93">
        <v>436.01769999999999</v>
      </c>
      <c r="AN2" s="93">
        <v>3790</v>
      </c>
      <c r="AO2" s="93">
        <v>8.8495607997174396E-7</v>
      </c>
      <c r="AP2" s="90" t="s">
        <v>93</v>
      </c>
      <c r="AQ2" s="90" t="s">
        <v>5229</v>
      </c>
      <c r="AR2" s="90"/>
      <c r="AS2" s="90"/>
      <c r="AT2" s="90"/>
      <c r="AU2" s="90"/>
      <c r="AV2" s="90"/>
      <c r="AW2" s="90"/>
      <c r="AX2" s="90"/>
      <c r="AY2" s="90" t="s">
        <v>5230</v>
      </c>
      <c r="AZ2" s="90"/>
      <c r="BA2" s="90" t="s">
        <v>408</v>
      </c>
      <c r="BB2" s="91">
        <v>45836.789247685199</v>
      </c>
      <c r="BC2" s="90" t="s">
        <v>405</v>
      </c>
      <c r="BD2" s="90"/>
      <c r="BE2" s="90"/>
      <c r="BF2" s="90" t="s">
        <v>5231</v>
      </c>
    </row>
    <row r="3" spans="1:58" ht="24.75" customHeight="1">
      <c r="A3" s="90" t="s">
        <v>5232</v>
      </c>
      <c r="B3" s="90"/>
      <c r="C3" s="90"/>
      <c r="D3" s="91">
        <v>45901.628877314797</v>
      </c>
      <c r="E3" s="90" t="s">
        <v>5222</v>
      </c>
      <c r="F3" s="92"/>
      <c r="G3" s="90" t="s">
        <v>5233</v>
      </c>
      <c r="H3" s="90" t="s">
        <v>5234</v>
      </c>
      <c r="I3" s="90" t="s">
        <v>5235</v>
      </c>
      <c r="J3" s="90"/>
      <c r="K3" s="93">
        <v>2</v>
      </c>
      <c r="L3" s="93">
        <v>36</v>
      </c>
      <c r="M3" s="93">
        <v>72</v>
      </c>
      <c r="N3" s="93">
        <v>72</v>
      </c>
      <c r="O3" s="90" t="s">
        <v>5226</v>
      </c>
      <c r="P3" s="90"/>
      <c r="Q3" s="90" t="s">
        <v>5227</v>
      </c>
      <c r="R3" s="90"/>
      <c r="S3" s="90"/>
      <c r="T3" s="90"/>
      <c r="U3" s="90"/>
      <c r="V3" s="90" t="s">
        <v>5236</v>
      </c>
      <c r="W3" s="90" t="s">
        <v>99</v>
      </c>
      <c r="X3" s="90" t="s">
        <v>5237</v>
      </c>
      <c r="Y3" s="90" t="s">
        <v>5238</v>
      </c>
      <c r="Z3" s="90"/>
      <c r="AA3" s="93">
        <v>63.716814159291999</v>
      </c>
      <c r="AB3" s="93">
        <v>63.716814159291999</v>
      </c>
      <c r="AC3" s="93">
        <v>13</v>
      </c>
      <c r="AD3" s="93">
        <v>8.2831858407079597</v>
      </c>
      <c r="AE3" s="90"/>
      <c r="AF3" s="90"/>
      <c r="AG3" s="90"/>
      <c r="AH3" s="90"/>
      <c r="AI3" s="93">
        <v>0</v>
      </c>
      <c r="AJ3" s="93">
        <v>36</v>
      </c>
      <c r="AK3" s="93">
        <v>13</v>
      </c>
      <c r="AL3" s="93">
        <v>63.716813999999999</v>
      </c>
      <c r="AM3" s="93">
        <v>8.2831860000000006</v>
      </c>
      <c r="AN3" s="93">
        <v>72</v>
      </c>
      <c r="AO3" s="93">
        <v>1.59292042667403E-7</v>
      </c>
      <c r="AP3" s="90" t="s">
        <v>99</v>
      </c>
      <c r="AQ3" s="90" t="s">
        <v>5239</v>
      </c>
      <c r="AR3" s="90"/>
      <c r="AS3" s="90"/>
      <c r="AT3" s="90"/>
      <c r="AU3" s="90"/>
      <c r="AV3" s="90"/>
      <c r="AW3" s="90"/>
      <c r="AX3" s="90"/>
      <c r="AY3" s="90" t="s">
        <v>5240</v>
      </c>
      <c r="AZ3" s="90"/>
      <c r="BA3" s="90" t="s">
        <v>5238</v>
      </c>
      <c r="BB3" s="91">
        <v>45866.485509259299</v>
      </c>
      <c r="BC3" s="90" t="s">
        <v>405</v>
      </c>
      <c r="BD3" s="90" t="s">
        <v>5241</v>
      </c>
      <c r="BE3" s="90"/>
      <c r="BF3" s="90" t="s">
        <v>5242</v>
      </c>
    </row>
    <row r="4" spans="1:58" ht="24.75" customHeight="1">
      <c r="A4" s="90" t="s">
        <v>5232</v>
      </c>
      <c r="B4" s="90"/>
      <c r="C4" s="90"/>
      <c r="D4" s="91">
        <v>45901.628877314797</v>
      </c>
      <c r="E4" s="90" t="s">
        <v>5222</v>
      </c>
      <c r="F4" s="92"/>
      <c r="G4" s="90" t="s">
        <v>5233</v>
      </c>
      <c r="H4" s="90" t="s">
        <v>5243</v>
      </c>
      <c r="I4" s="90" t="s">
        <v>5244</v>
      </c>
      <c r="J4" s="90"/>
      <c r="K4" s="93">
        <v>4</v>
      </c>
      <c r="L4" s="93">
        <v>27.5</v>
      </c>
      <c r="M4" s="93">
        <v>110</v>
      </c>
      <c r="N4" s="93">
        <v>110</v>
      </c>
      <c r="O4" s="90" t="s">
        <v>5226</v>
      </c>
      <c r="P4" s="90"/>
      <c r="Q4" s="90" t="s">
        <v>5227</v>
      </c>
      <c r="R4" s="90"/>
      <c r="S4" s="90"/>
      <c r="T4" s="90"/>
      <c r="U4" s="90"/>
      <c r="V4" s="90" t="s">
        <v>5245</v>
      </c>
      <c r="W4" s="90" t="s">
        <v>99</v>
      </c>
      <c r="X4" s="90" t="s">
        <v>5237</v>
      </c>
      <c r="Y4" s="90" t="s">
        <v>5238</v>
      </c>
      <c r="Z4" s="90"/>
      <c r="AA4" s="93">
        <v>97.345132743362797</v>
      </c>
      <c r="AB4" s="93">
        <v>97.345132743362797</v>
      </c>
      <c r="AC4" s="93">
        <v>13</v>
      </c>
      <c r="AD4" s="93">
        <v>12.6548672566372</v>
      </c>
      <c r="AE4" s="90"/>
      <c r="AF4" s="90"/>
      <c r="AG4" s="90"/>
      <c r="AH4" s="90"/>
      <c r="AI4" s="93">
        <v>0</v>
      </c>
      <c r="AJ4" s="93">
        <v>27.5</v>
      </c>
      <c r="AK4" s="93">
        <v>13</v>
      </c>
      <c r="AL4" s="93">
        <v>97.345132000000007</v>
      </c>
      <c r="AM4" s="93">
        <v>12.654868</v>
      </c>
      <c r="AN4" s="93">
        <v>110</v>
      </c>
      <c r="AO4" s="93">
        <v>7.4336283262255197E-7</v>
      </c>
      <c r="AP4" s="90" t="s">
        <v>99</v>
      </c>
      <c r="AQ4" s="90" t="s">
        <v>5246</v>
      </c>
      <c r="AR4" s="90"/>
      <c r="AS4" s="90"/>
      <c r="AT4" s="90"/>
      <c r="AU4" s="90"/>
      <c r="AV4" s="90"/>
      <c r="AW4" s="90"/>
      <c r="AX4" s="90"/>
      <c r="AY4" s="90" t="s">
        <v>5230</v>
      </c>
      <c r="AZ4" s="90"/>
      <c r="BA4" s="90" t="s">
        <v>5238</v>
      </c>
      <c r="BB4" s="91">
        <v>45885.456469907404</v>
      </c>
      <c r="BC4" s="90" t="s">
        <v>405</v>
      </c>
      <c r="BD4" s="90" t="s">
        <v>5241</v>
      </c>
      <c r="BE4" s="90"/>
      <c r="BF4" s="90" t="s">
        <v>5242</v>
      </c>
    </row>
    <row r="5" spans="1:58" ht="24.75" customHeight="1">
      <c r="A5" s="90" t="s">
        <v>5247</v>
      </c>
      <c r="B5" s="90"/>
      <c r="C5" s="90"/>
      <c r="D5" s="91">
        <v>45902.490775462997</v>
      </c>
      <c r="E5" s="90" t="s">
        <v>5222</v>
      </c>
      <c r="F5" s="92"/>
      <c r="G5" s="90" t="s">
        <v>5248</v>
      </c>
      <c r="H5" s="90" t="s">
        <v>5249</v>
      </c>
      <c r="I5" s="90" t="s">
        <v>5250</v>
      </c>
      <c r="J5" s="90" t="s">
        <v>5251</v>
      </c>
      <c r="K5" s="93">
        <v>75</v>
      </c>
      <c r="L5" s="93">
        <v>3</v>
      </c>
      <c r="M5" s="93">
        <v>225</v>
      </c>
      <c r="N5" s="93">
        <v>225</v>
      </c>
      <c r="O5" s="90" t="s">
        <v>5226</v>
      </c>
      <c r="P5" s="90"/>
      <c r="Q5" s="90" t="s">
        <v>5227</v>
      </c>
      <c r="R5" s="90"/>
      <c r="S5" s="90"/>
      <c r="T5" s="90"/>
      <c r="U5" s="90"/>
      <c r="V5" s="90" t="s">
        <v>5252</v>
      </c>
      <c r="W5" s="90" t="s">
        <v>94</v>
      </c>
      <c r="X5" s="90" t="s">
        <v>143</v>
      </c>
      <c r="Y5" s="90" t="s">
        <v>5253</v>
      </c>
      <c r="Z5" s="90"/>
      <c r="AA5" s="93">
        <v>199.11504424778801</v>
      </c>
      <c r="AB5" s="93">
        <v>199.11504424778801</v>
      </c>
      <c r="AC5" s="93">
        <v>13</v>
      </c>
      <c r="AD5" s="93">
        <v>25.884955752212399</v>
      </c>
      <c r="AE5" s="90"/>
      <c r="AF5" s="90"/>
      <c r="AG5" s="90"/>
      <c r="AH5" s="90"/>
      <c r="AI5" s="93">
        <v>0</v>
      </c>
      <c r="AJ5" s="93">
        <v>3</v>
      </c>
      <c r="AK5" s="93">
        <v>13</v>
      </c>
      <c r="AL5" s="93">
        <v>199.115025</v>
      </c>
      <c r="AM5" s="93">
        <v>25.884975000000001</v>
      </c>
      <c r="AN5" s="93">
        <v>225</v>
      </c>
      <c r="AO5" s="93">
        <v>1.9247787633958099E-5</v>
      </c>
      <c r="AP5" s="90" t="s">
        <v>94</v>
      </c>
      <c r="AQ5" s="90" t="s">
        <v>5239</v>
      </c>
      <c r="AR5" s="90"/>
      <c r="AS5" s="90"/>
      <c r="AT5" s="90"/>
      <c r="AU5" s="90"/>
      <c r="AV5" s="90"/>
      <c r="AW5" s="90"/>
      <c r="AX5" s="90"/>
      <c r="AY5" s="90" t="s">
        <v>5230</v>
      </c>
      <c r="AZ5" s="90"/>
      <c r="BA5" s="90" t="s">
        <v>5253</v>
      </c>
      <c r="BB5" s="91">
        <v>45902.4897569444</v>
      </c>
      <c r="BC5" s="90" t="s">
        <v>402</v>
      </c>
      <c r="BD5" s="90"/>
      <c r="BE5" s="90"/>
      <c r="BF5" s="90" t="s">
        <v>5254</v>
      </c>
    </row>
    <row r="6" spans="1:58" ht="24.75" customHeight="1">
      <c r="A6" s="90" t="s">
        <v>5247</v>
      </c>
      <c r="B6" s="90"/>
      <c r="C6" s="90"/>
      <c r="D6" s="91">
        <v>45902.490775462997</v>
      </c>
      <c r="E6" s="90" t="s">
        <v>5222</v>
      </c>
      <c r="F6" s="92"/>
      <c r="G6" s="90" t="s">
        <v>5248</v>
      </c>
      <c r="H6" s="90" t="s">
        <v>5255</v>
      </c>
      <c r="I6" s="90" t="s">
        <v>5256</v>
      </c>
      <c r="J6" s="90"/>
      <c r="K6" s="93">
        <v>50</v>
      </c>
      <c r="L6" s="93">
        <v>3</v>
      </c>
      <c r="M6" s="93">
        <v>150</v>
      </c>
      <c r="N6" s="93">
        <v>150</v>
      </c>
      <c r="O6" s="90" t="s">
        <v>5226</v>
      </c>
      <c r="P6" s="90"/>
      <c r="Q6" s="90" t="s">
        <v>5227</v>
      </c>
      <c r="R6" s="90"/>
      <c r="S6" s="90"/>
      <c r="T6" s="90"/>
      <c r="U6" s="90"/>
      <c r="V6" s="90" t="s">
        <v>5252</v>
      </c>
      <c r="W6" s="90" t="s">
        <v>94</v>
      </c>
      <c r="X6" s="90" t="s">
        <v>143</v>
      </c>
      <c r="Y6" s="90" t="s">
        <v>5253</v>
      </c>
      <c r="Z6" s="90"/>
      <c r="AA6" s="93">
        <v>132.74336283185801</v>
      </c>
      <c r="AB6" s="93">
        <v>132.74336283185801</v>
      </c>
      <c r="AC6" s="93">
        <v>13</v>
      </c>
      <c r="AD6" s="93">
        <v>17.256637168141602</v>
      </c>
      <c r="AE6" s="90"/>
      <c r="AF6" s="90"/>
      <c r="AG6" s="90"/>
      <c r="AH6" s="90"/>
      <c r="AI6" s="93">
        <v>0</v>
      </c>
      <c r="AJ6" s="93">
        <v>3</v>
      </c>
      <c r="AK6" s="93">
        <v>13</v>
      </c>
      <c r="AL6" s="93">
        <v>132.74334999999999</v>
      </c>
      <c r="AM6" s="93">
        <v>17.25665</v>
      </c>
      <c r="AN6" s="93">
        <v>150</v>
      </c>
      <c r="AO6" s="93">
        <v>1.2831858413164799E-5</v>
      </c>
      <c r="AP6" s="90" t="s">
        <v>94</v>
      </c>
      <c r="AQ6" s="90" t="s">
        <v>5239</v>
      </c>
      <c r="AR6" s="90"/>
      <c r="AS6" s="90"/>
      <c r="AT6" s="90"/>
      <c r="AU6" s="90"/>
      <c r="AV6" s="90"/>
      <c r="AW6" s="90"/>
      <c r="AX6" s="90"/>
      <c r="AY6" s="90" t="s">
        <v>5230</v>
      </c>
      <c r="AZ6" s="90"/>
      <c r="BA6" s="90" t="s">
        <v>5253</v>
      </c>
      <c r="BB6" s="91">
        <v>45902.4897569444</v>
      </c>
      <c r="BC6" s="90" t="s">
        <v>402</v>
      </c>
      <c r="BD6" s="90"/>
      <c r="BE6" s="90"/>
      <c r="BF6" s="90" t="s">
        <v>5254</v>
      </c>
    </row>
    <row r="7" spans="1:58" ht="24.75" customHeight="1">
      <c r="A7" s="90" t="s">
        <v>5247</v>
      </c>
      <c r="B7" s="90"/>
      <c r="C7" s="90"/>
      <c r="D7" s="91">
        <v>45902.490775462997</v>
      </c>
      <c r="E7" s="90" t="s">
        <v>5222</v>
      </c>
      <c r="F7" s="92"/>
      <c r="G7" s="90" t="s">
        <v>5248</v>
      </c>
      <c r="H7" s="90" t="s">
        <v>5257</v>
      </c>
      <c r="I7" s="90" t="s">
        <v>5258</v>
      </c>
      <c r="J7" s="90" t="s">
        <v>5259</v>
      </c>
      <c r="K7" s="93">
        <v>1</v>
      </c>
      <c r="L7" s="93">
        <v>85</v>
      </c>
      <c r="M7" s="93">
        <v>85</v>
      </c>
      <c r="N7" s="93">
        <v>85</v>
      </c>
      <c r="O7" s="90" t="s">
        <v>5226</v>
      </c>
      <c r="P7" s="90"/>
      <c r="Q7" s="90" t="s">
        <v>5227</v>
      </c>
      <c r="R7" s="90"/>
      <c r="S7" s="90"/>
      <c r="T7" s="90"/>
      <c r="U7" s="90"/>
      <c r="V7" s="90" t="s">
        <v>5260</v>
      </c>
      <c r="W7" s="90" t="s">
        <v>94</v>
      </c>
      <c r="X7" s="90" t="s">
        <v>143</v>
      </c>
      <c r="Y7" s="90" t="s">
        <v>5253</v>
      </c>
      <c r="Z7" s="90"/>
      <c r="AA7" s="93">
        <v>75.221238938053105</v>
      </c>
      <c r="AB7" s="93">
        <v>75.221238938053105</v>
      </c>
      <c r="AC7" s="93">
        <v>13</v>
      </c>
      <c r="AD7" s="93">
        <v>9.7787610619469003</v>
      </c>
      <c r="AE7" s="90"/>
      <c r="AF7" s="90"/>
      <c r="AG7" s="90"/>
      <c r="AH7" s="90"/>
      <c r="AI7" s="93">
        <v>0</v>
      </c>
      <c r="AJ7" s="93">
        <v>85</v>
      </c>
      <c r="AK7" s="93">
        <v>13</v>
      </c>
      <c r="AL7" s="93">
        <v>75.221238999999997</v>
      </c>
      <c r="AM7" s="93">
        <v>9.7787609999999994</v>
      </c>
      <c r="AN7" s="93">
        <v>85</v>
      </c>
      <c r="AO7" s="93">
        <v>-6.1946892060404895E-8</v>
      </c>
      <c r="AP7" s="90" t="s">
        <v>94</v>
      </c>
      <c r="AQ7" s="90" t="s">
        <v>5239</v>
      </c>
      <c r="AR7" s="90"/>
      <c r="AS7" s="90"/>
      <c r="AT7" s="90"/>
      <c r="AU7" s="90"/>
      <c r="AV7" s="90"/>
      <c r="AW7" s="90"/>
      <c r="AX7" s="90"/>
      <c r="AY7" s="90" t="s">
        <v>5230</v>
      </c>
      <c r="AZ7" s="90"/>
      <c r="BA7" s="90" t="s">
        <v>5253</v>
      </c>
      <c r="BB7" s="91">
        <v>45902.4897569444</v>
      </c>
      <c r="BC7" s="90" t="s">
        <v>402</v>
      </c>
      <c r="BD7" s="90"/>
      <c r="BE7" s="90"/>
      <c r="BF7" s="90" t="s">
        <v>5254</v>
      </c>
    </row>
    <row r="8" spans="1:58" ht="24.75" customHeight="1">
      <c r="A8" s="90" t="s">
        <v>5247</v>
      </c>
      <c r="B8" s="90"/>
      <c r="C8" s="90"/>
      <c r="D8" s="91">
        <v>45902.490775462997</v>
      </c>
      <c r="E8" s="90" t="s">
        <v>5222</v>
      </c>
      <c r="F8" s="92"/>
      <c r="G8" s="90" t="s">
        <v>5248</v>
      </c>
      <c r="H8" s="90" t="s">
        <v>5261</v>
      </c>
      <c r="I8" s="90" t="s">
        <v>5262</v>
      </c>
      <c r="J8" s="90" t="s">
        <v>5263</v>
      </c>
      <c r="K8" s="93">
        <v>1</v>
      </c>
      <c r="L8" s="93">
        <v>190</v>
      </c>
      <c r="M8" s="93">
        <v>190</v>
      </c>
      <c r="N8" s="93">
        <v>190</v>
      </c>
      <c r="O8" s="90" t="s">
        <v>5226</v>
      </c>
      <c r="P8" s="90"/>
      <c r="Q8" s="90" t="s">
        <v>5227</v>
      </c>
      <c r="R8" s="90"/>
      <c r="S8" s="90"/>
      <c r="T8" s="90"/>
      <c r="U8" s="90"/>
      <c r="V8" s="90"/>
      <c r="W8" s="90" t="s">
        <v>94</v>
      </c>
      <c r="X8" s="90" t="s">
        <v>143</v>
      </c>
      <c r="Y8" s="90" t="s">
        <v>5253</v>
      </c>
      <c r="Z8" s="90"/>
      <c r="AA8" s="93">
        <v>168.14159292035399</v>
      </c>
      <c r="AB8" s="93">
        <v>168.14159292035399</v>
      </c>
      <c r="AC8" s="93">
        <v>13</v>
      </c>
      <c r="AD8" s="93">
        <v>21.858407079646</v>
      </c>
      <c r="AE8" s="90"/>
      <c r="AF8" s="90"/>
      <c r="AG8" s="90"/>
      <c r="AH8" s="90"/>
      <c r="AI8" s="93">
        <v>0</v>
      </c>
      <c r="AJ8" s="93">
        <v>190</v>
      </c>
      <c r="AK8" s="93">
        <v>13</v>
      </c>
      <c r="AL8" s="93">
        <v>168.141593</v>
      </c>
      <c r="AM8" s="93">
        <v>21.858407</v>
      </c>
      <c r="AN8" s="93">
        <v>190</v>
      </c>
      <c r="AO8" s="93">
        <v>-7.9646014228273998E-8</v>
      </c>
      <c r="AP8" s="90" t="s">
        <v>94</v>
      </c>
      <c r="AQ8" s="90" t="s">
        <v>5239</v>
      </c>
      <c r="AR8" s="90"/>
      <c r="AS8" s="90"/>
      <c r="AT8" s="90"/>
      <c r="AU8" s="90"/>
      <c r="AV8" s="90"/>
      <c r="AW8" s="90"/>
      <c r="AX8" s="90"/>
      <c r="AY8" s="90" t="s">
        <v>5230</v>
      </c>
      <c r="AZ8" s="90"/>
      <c r="BA8" s="90" t="s">
        <v>5253</v>
      </c>
      <c r="BB8" s="91">
        <v>45902.4897569444</v>
      </c>
      <c r="BC8" s="90" t="s">
        <v>402</v>
      </c>
      <c r="BD8" s="90"/>
      <c r="BE8" s="90"/>
      <c r="BF8" s="90" t="s">
        <v>5254</v>
      </c>
    </row>
    <row r="9" spans="1:58" ht="24.75" customHeight="1">
      <c r="A9" s="90" t="s">
        <v>5247</v>
      </c>
      <c r="B9" s="90"/>
      <c r="C9" s="90"/>
      <c r="D9" s="91">
        <v>45902.491076388898</v>
      </c>
      <c r="E9" s="90" t="s">
        <v>5222</v>
      </c>
      <c r="F9" s="92"/>
      <c r="G9" s="90" t="s">
        <v>5264</v>
      </c>
      <c r="H9" s="90" t="s">
        <v>5265</v>
      </c>
      <c r="I9" s="90" t="s">
        <v>5266</v>
      </c>
      <c r="J9" s="90" t="s">
        <v>5267</v>
      </c>
      <c r="K9" s="93">
        <v>12</v>
      </c>
      <c r="L9" s="93">
        <v>3.5</v>
      </c>
      <c r="M9" s="93">
        <v>42</v>
      </c>
      <c r="N9" s="93">
        <v>42</v>
      </c>
      <c r="O9" s="90" t="s">
        <v>5226</v>
      </c>
      <c r="P9" s="90"/>
      <c r="Q9" s="90" t="s">
        <v>5227</v>
      </c>
      <c r="R9" s="90"/>
      <c r="S9" s="90"/>
      <c r="T9" s="90"/>
      <c r="U9" s="90"/>
      <c r="V9" s="90"/>
      <c r="W9" s="90" t="s">
        <v>94</v>
      </c>
      <c r="X9" s="90" t="s">
        <v>101</v>
      </c>
      <c r="Y9" s="90" t="s">
        <v>5268</v>
      </c>
      <c r="Z9" s="90"/>
      <c r="AA9" s="93">
        <v>37.168141592920399</v>
      </c>
      <c r="AB9" s="93">
        <v>37.168141592920399</v>
      </c>
      <c r="AC9" s="93">
        <v>13</v>
      </c>
      <c r="AD9" s="93">
        <v>4.8318584070796398</v>
      </c>
      <c r="AE9" s="90"/>
      <c r="AF9" s="90"/>
      <c r="AG9" s="90"/>
      <c r="AH9" s="90"/>
      <c r="AI9" s="93">
        <v>0</v>
      </c>
      <c r="AJ9" s="93">
        <v>3.5</v>
      </c>
      <c r="AK9" s="93">
        <v>13</v>
      </c>
      <c r="AL9" s="93">
        <v>37.168140000000001</v>
      </c>
      <c r="AM9" s="93">
        <v>4.8318599999999998</v>
      </c>
      <c r="AN9" s="93">
        <v>42</v>
      </c>
      <c r="AO9" s="93">
        <v>1.59292036272518E-6</v>
      </c>
      <c r="AP9" s="90" t="s">
        <v>94</v>
      </c>
      <c r="AQ9" s="90" t="s">
        <v>5239</v>
      </c>
      <c r="AR9" s="90"/>
      <c r="AS9" s="90"/>
      <c r="AT9" s="90"/>
      <c r="AU9" s="90"/>
      <c r="AV9" s="90"/>
      <c r="AW9" s="90"/>
      <c r="AX9" s="90"/>
      <c r="AY9" s="90" t="s">
        <v>5230</v>
      </c>
      <c r="AZ9" s="90"/>
      <c r="BA9" s="90" t="s">
        <v>5268</v>
      </c>
      <c r="BB9" s="91">
        <v>45902.4897569444</v>
      </c>
      <c r="BC9" s="90" t="s">
        <v>402</v>
      </c>
      <c r="BD9" s="90"/>
      <c r="BE9" s="90"/>
      <c r="BF9" s="90" t="s">
        <v>5269</v>
      </c>
    </row>
    <row r="10" spans="1:58" ht="24.75" customHeight="1">
      <c r="A10" s="90" t="s">
        <v>5232</v>
      </c>
      <c r="B10" s="90"/>
      <c r="C10" s="90"/>
      <c r="D10" s="91">
        <v>45902.657847222203</v>
      </c>
      <c r="E10" s="90" t="s">
        <v>5222</v>
      </c>
      <c r="F10" s="92"/>
      <c r="G10" s="90" t="s">
        <v>5270</v>
      </c>
      <c r="H10" s="90" t="s">
        <v>5243</v>
      </c>
      <c r="I10" s="90" t="s">
        <v>5244</v>
      </c>
      <c r="J10" s="90"/>
      <c r="K10" s="93">
        <v>2</v>
      </c>
      <c r="L10" s="93">
        <v>27.5</v>
      </c>
      <c r="M10" s="93">
        <v>55</v>
      </c>
      <c r="N10" s="93">
        <v>55</v>
      </c>
      <c r="O10" s="90" t="s">
        <v>5226</v>
      </c>
      <c r="P10" s="90"/>
      <c r="Q10" s="90" t="s">
        <v>5227</v>
      </c>
      <c r="R10" s="90"/>
      <c r="S10" s="90"/>
      <c r="T10" s="90"/>
      <c r="U10" s="90"/>
      <c r="V10" s="90" t="s">
        <v>5245</v>
      </c>
      <c r="W10" s="90" t="s">
        <v>5271</v>
      </c>
      <c r="X10" s="90" t="s">
        <v>5237</v>
      </c>
      <c r="Y10" s="90" t="s">
        <v>5238</v>
      </c>
      <c r="Z10" s="90"/>
      <c r="AA10" s="93">
        <v>48.672566371681398</v>
      </c>
      <c r="AB10" s="93">
        <v>48.672566371681398</v>
      </c>
      <c r="AC10" s="93">
        <v>13</v>
      </c>
      <c r="AD10" s="93">
        <v>6.3274336283185804</v>
      </c>
      <c r="AE10" s="90"/>
      <c r="AF10" s="90"/>
      <c r="AG10" s="90"/>
      <c r="AH10" s="90"/>
      <c r="AI10" s="93">
        <v>0</v>
      </c>
      <c r="AJ10" s="93">
        <v>27.5</v>
      </c>
      <c r="AK10" s="93">
        <v>13</v>
      </c>
      <c r="AL10" s="93">
        <v>48.672566000000003</v>
      </c>
      <c r="AM10" s="93">
        <v>6.3274340000000002</v>
      </c>
      <c r="AN10" s="93">
        <v>55</v>
      </c>
      <c r="AO10" s="93">
        <v>3.7168141631127598E-7</v>
      </c>
      <c r="AP10" s="90" t="s">
        <v>5271</v>
      </c>
      <c r="AQ10" s="90" t="s">
        <v>5246</v>
      </c>
      <c r="AR10" s="90"/>
      <c r="AS10" s="90"/>
      <c r="AT10" s="90"/>
      <c r="AU10" s="90"/>
      <c r="AV10" s="90"/>
      <c r="AW10" s="90"/>
      <c r="AX10" s="90"/>
      <c r="AY10" s="90" t="s">
        <v>5230</v>
      </c>
      <c r="AZ10" s="90"/>
      <c r="BA10" s="90" t="s">
        <v>5238</v>
      </c>
      <c r="BB10" s="91">
        <v>45885.456469907404</v>
      </c>
      <c r="BC10" s="90" t="s">
        <v>405</v>
      </c>
      <c r="BD10" s="90"/>
      <c r="BE10" s="90"/>
      <c r="BF10" s="90" t="s">
        <v>5242</v>
      </c>
    </row>
    <row r="11" spans="1:58" ht="24.75" customHeight="1">
      <c r="A11" s="90" t="s">
        <v>5221</v>
      </c>
      <c r="B11" s="90"/>
      <c r="C11" s="90"/>
      <c r="D11" s="91">
        <v>45902.770324074103</v>
      </c>
      <c r="E11" s="90" t="s">
        <v>5222</v>
      </c>
      <c r="F11" s="92"/>
      <c r="G11" s="90" t="s">
        <v>5272</v>
      </c>
      <c r="H11" s="90" t="s">
        <v>5273</v>
      </c>
      <c r="I11" s="90" t="s">
        <v>5274</v>
      </c>
      <c r="J11" s="90"/>
      <c r="K11" s="93">
        <v>100</v>
      </c>
      <c r="L11" s="93">
        <v>1.5</v>
      </c>
      <c r="M11" s="93">
        <v>150</v>
      </c>
      <c r="N11" s="93">
        <v>150</v>
      </c>
      <c r="O11" s="90" t="s">
        <v>5226</v>
      </c>
      <c r="P11" s="90"/>
      <c r="Q11" s="90" t="s">
        <v>5227</v>
      </c>
      <c r="R11" s="90"/>
      <c r="S11" s="90"/>
      <c r="T11" s="90"/>
      <c r="U11" s="90"/>
      <c r="V11" s="90" t="s">
        <v>5275</v>
      </c>
      <c r="W11" s="90" t="s">
        <v>5271</v>
      </c>
      <c r="X11" s="90" t="s">
        <v>162</v>
      </c>
      <c r="Y11" s="90" t="s">
        <v>408</v>
      </c>
      <c r="Z11" s="90"/>
      <c r="AA11" s="93">
        <v>132.74336283185801</v>
      </c>
      <c r="AB11" s="93">
        <v>132.74336283185801</v>
      </c>
      <c r="AC11" s="93">
        <v>13</v>
      </c>
      <c r="AD11" s="93">
        <v>17.256637168141602</v>
      </c>
      <c r="AE11" s="90"/>
      <c r="AF11" s="90"/>
      <c r="AG11" s="90"/>
      <c r="AH11" s="90"/>
      <c r="AI11" s="93">
        <v>0</v>
      </c>
      <c r="AJ11" s="93">
        <v>1.5</v>
      </c>
      <c r="AK11" s="93">
        <v>13</v>
      </c>
      <c r="AL11" s="93">
        <v>132.74340000000001</v>
      </c>
      <c r="AM11" s="93">
        <v>17.256599999999999</v>
      </c>
      <c r="AN11" s="93">
        <v>150</v>
      </c>
      <c r="AO11" s="93">
        <v>-3.71681416027059E-5</v>
      </c>
      <c r="AP11" s="90" t="s">
        <v>5271</v>
      </c>
      <c r="AQ11" s="90" t="s">
        <v>5229</v>
      </c>
      <c r="AR11" s="90"/>
      <c r="AS11" s="90"/>
      <c r="AT11" s="90"/>
      <c r="AU11" s="90"/>
      <c r="AV11" s="90"/>
      <c r="AW11" s="90"/>
      <c r="AX11" s="90"/>
      <c r="AY11" s="90" t="s">
        <v>5230</v>
      </c>
      <c r="AZ11" s="90"/>
      <c r="BA11" s="90" t="s">
        <v>408</v>
      </c>
      <c r="BB11" s="91">
        <v>45801.837048611102</v>
      </c>
      <c r="BC11" s="90" t="s">
        <v>405</v>
      </c>
      <c r="BD11" s="90"/>
      <c r="BE11" s="90"/>
      <c r="BF11" s="90" t="s">
        <v>5231</v>
      </c>
    </row>
    <row r="12" spans="1:58" ht="24.75" customHeight="1">
      <c r="A12" s="90" t="s">
        <v>5221</v>
      </c>
      <c r="B12" s="90"/>
      <c r="C12" s="90"/>
      <c r="D12" s="91">
        <v>45902.770324074103</v>
      </c>
      <c r="E12" s="90" t="s">
        <v>5222</v>
      </c>
      <c r="F12" s="92"/>
      <c r="G12" s="90" t="s">
        <v>5272</v>
      </c>
      <c r="H12" s="90" t="s">
        <v>5273</v>
      </c>
      <c r="I12" s="90" t="s">
        <v>5274</v>
      </c>
      <c r="J12" s="90"/>
      <c r="K12" s="93">
        <v>100</v>
      </c>
      <c r="L12" s="93">
        <v>1.5</v>
      </c>
      <c r="M12" s="93">
        <v>150</v>
      </c>
      <c r="N12" s="93">
        <v>150</v>
      </c>
      <c r="O12" s="90" t="s">
        <v>5226</v>
      </c>
      <c r="P12" s="90"/>
      <c r="Q12" s="90" t="s">
        <v>5227</v>
      </c>
      <c r="R12" s="90"/>
      <c r="S12" s="90"/>
      <c r="T12" s="90"/>
      <c r="U12" s="90"/>
      <c r="V12" s="90" t="s">
        <v>5275</v>
      </c>
      <c r="W12" s="90" t="s">
        <v>5271</v>
      </c>
      <c r="X12" s="90" t="s">
        <v>162</v>
      </c>
      <c r="Y12" s="90" t="s">
        <v>408</v>
      </c>
      <c r="Z12" s="90"/>
      <c r="AA12" s="93">
        <v>132.74336283185801</v>
      </c>
      <c r="AB12" s="93">
        <v>132.74336283185801</v>
      </c>
      <c r="AC12" s="93">
        <v>13</v>
      </c>
      <c r="AD12" s="93">
        <v>17.256637168141602</v>
      </c>
      <c r="AE12" s="90"/>
      <c r="AF12" s="90"/>
      <c r="AG12" s="90"/>
      <c r="AH12" s="90"/>
      <c r="AI12" s="93">
        <v>0</v>
      </c>
      <c r="AJ12" s="93">
        <v>1.5</v>
      </c>
      <c r="AK12" s="93">
        <v>13</v>
      </c>
      <c r="AL12" s="93">
        <v>132.74340000000001</v>
      </c>
      <c r="AM12" s="93">
        <v>17.256599999999999</v>
      </c>
      <c r="AN12" s="93">
        <v>150</v>
      </c>
      <c r="AO12" s="93">
        <v>-3.71681416027059E-5</v>
      </c>
      <c r="AP12" s="90" t="s">
        <v>5271</v>
      </c>
      <c r="AQ12" s="90" t="s">
        <v>5229</v>
      </c>
      <c r="AR12" s="90"/>
      <c r="AS12" s="90"/>
      <c r="AT12" s="90"/>
      <c r="AU12" s="90"/>
      <c r="AV12" s="90"/>
      <c r="AW12" s="90"/>
      <c r="AX12" s="90"/>
      <c r="AY12" s="90" t="s">
        <v>5230</v>
      </c>
      <c r="AZ12" s="90"/>
      <c r="BA12" s="90" t="s">
        <v>408</v>
      </c>
      <c r="BB12" s="91">
        <v>45896.752638888902</v>
      </c>
      <c r="BC12" s="90" t="s">
        <v>405</v>
      </c>
      <c r="BD12" s="90"/>
      <c r="BE12" s="90"/>
      <c r="BF12" s="90" t="s">
        <v>5231</v>
      </c>
    </row>
    <row r="13" spans="1:58" ht="24.75" customHeight="1">
      <c r="A13" s="90" t="s">
        <v>5221</v>
      </c>
      <c r="B13" s="90"/>
      <c r="C13" s="90"/>
      <c r="D13" s="91">
        <v>45902.770324074103</v>
      </c>
      <c r="E13" s="90" t="s">
        <v>5222</v>
      </c>
      <c r="F13" s="92"/>
      <c r="G13" s="90" t="s">
        <v>5272</v>
      </c>
      <c r="H13" s="90" t="s">
        <v>5276</v>
      </c>
      <c r="I13" s="90" t="s">
        <v>5277</v>
      </c>
      <c r="J13" s="90"/>
      <c r="K13" s="93">
        <v>200</v>
      </c>
      <c r="L13" s="93">
        <v>1.5</v>
      </c>
      <c r="M13" s="93">
        <v>300</v>
      </c>
      <c r="N13" s="93">
        <v>300</v>
      </c>
      <c r="O13" s="90" t="s">
        <v>5226</v>
      </c>
      <c r="P13" s="90"/>
      <c r="Q13" s="90" t="s">
        <v>5227</v>
      </c>
      <c r="R13" s="90"/>
      <c r="S13" s="90"/>
      <c r="T13" s="90"/>
      <c r="U13" s="90"/>
      <c r="V13" s="90" t="s">
        <v>5275</v>
      </c>
      <c r="W13" s="90" t="s">
        <v>5271</v>
      </c>
      <c r="X13" s="90" t="s">
        <v>162</v>
      </c>
      <c r="Y13" s="90" t="s">
        <v>408</v>
      </c>
      <c r="Z13" s="90"/>
      <c r="AA13" s="93">
        <v>265.48672566371698</v>
      </c>
      <c r="AB13" s="93">
        <v>265.48672566371698</v>
      </c>
      <c r="AC13" s="93">
        <v>13</v>
      </c>
      <c r="AD13" s="93">
        <v>34.513274336283203</v>
      </c>
      <c r="AE13" s="90"/>
      <c r="AF13" s="90"/>
      <c r="AG13" s="90"/>
      <c r="AH13" s="90"/>
      <c r="AI13" s="93">
        <v>0</v>
      </c>
      <c r="AJ13" s="93">
        <v>1.5</v>
      </c>
      <c r="AK13" s="93">
        <v>13</v>
      </c>
      <c r="AL13" s="93">
        <v>265.48680000000002</v>
      </c>
      <c r="AM13" s="93">
        <v>34.513199999999998</v>
      </c>
      <c r="AN13" s="93">
        <v>300</v>
      </c>
      <c r="AO13" s="93">
        <v>-7.4336283205411706E-5</v>
      </c>
      <c r="AP13" s="90" t="s">
        <v>5271</v>
      </c>
      <c r="AQ13" s="90" t="s">
        <v>5229</v>
      </c>
      <c r="AR13" s="90"/>
      <c r="AS13" s="90"/>
      <c r="AT13" s="90"/>
      <c r="AU13" s="90"/>
      <c r="AV13" s="90"/>
      <c r="AW13" s="90"/>
      <c r="AX13" s="90"/>
      <c r="AY13" s="90" t="s">
        <v>5230</v>
      </c>
      <c r="AZ13" s="90"/>
      <c r="BA13" s="90" t="s">
        <v>408</v>
      </c>
      <c r="BB13" s="91">
        <v>45889.507627314801</v>
      </c>
      <c r="BC13" s="90" t="s">
        <v>405</v>
      </c>
      <c r="BD13" s="90"/>
      <c r="BE13" s="90"/>
      <c r="BF13" s="90" t="s">
        <v>5231</v>
      </c>
    </row>
    <row r="14" spans="1:58" ht="24.75" customHeight="1">
      <c r="A14" s="90" t="s">
        <v>5221</v>
      </c>
      <c r="B14" s="90"/>
      <c r="C14" s="90"/>
      <c r="D14" s="91">
        <v>45902.770324074103</v>
      </c>
      <c r="E14" s="90" t="s">
        <v>5222</v>
      </c>
      <c r="F14" s="92"/>
      <c r="G14" s="90" t="s">
        <v>5272</v>
      </c>
      <c r="H14" s="90" t="s">
        <v>5278</v>
      </c>
      <c r="I14" s="90" t="s">
        <v>5279</v>
      </c>
      <c r="J14" s="90" t="s">
        <v>5280</v>
      </c>
      <c r="K14" s="93">
        <v>6</v>
      </c>
      <c r="L14" s="93">
        <v>140</v>
      </c>
      <c r="M14" s="93">
        <v>840</v>
      </c>
      <c r="N14" s="93">
        <v>840</v>
      </c>
      <c r="O14" s="90" t="s">
        <v>5226</v>
      </c>
      <c r="P14" s="90"/>
      <c r="Q14" s="90" t="s">
        <v>5227</v>
      </c>
      <c r="R14" s="90"/>
      <c r="S14" s="90"/>
      <c r="T14" s="90"/>
      <c r="U14" s="90"/>
      <c r="V14" s="90" t="s">
        <v>5252</v>
      </c>
      <c r="W14" s="90" t="s">
        <v>5271</v>
      </c>
      <c r="X14" s="90" t="s">
        <v>162</v>
      </c>
      <c r="Y14" s="90" t="s">
        <v>408</v>
      </c>
      <c r="Z14" s="90"/>
      <c r="AA14" s="93">
        <v>743.36283185840705</v>
      </c>
      <c r="AB14" s="93">
        <v>743.36283185840705</v>
      </c>
      <c r="AC14" s="93">
        <v>13</v>
      </c>
      <c r="AD14" s="93">
        <v>96.637168141592895</v>
      </c>
      <c r="AE14" s="90"/>
      <c r="AF14" s="90"/>
      <c r="AG14" s="90"/>
      <c r="AH14" s="90"/>
      <c r="AI14" s="93">
        <v>0</v>
      </c>
      <c r="AJ14" s="93">
        <v>140</v>
      </c>
      <c r="AK14" s="93">
        <v>13</v>
      </c>
      <c r="AL14" s="93">
        <v>743.36283000000003</v>
      </c>
      <c r="AM14" s="93">
        <v>96.637169999999998</v>
      </c>
      <c r="AN14" s="93">
        <v>840</v>
      </c>
      <c r="AO14" s="93">
        <v>1.85840713129437E-6</v>
      </c>
      <c r="AP14" s="90" t="s">
        <v>5271</v>
      </c>
      <c r="AQ14" s="90" t="s">
        <v>5229</v>
      </c>
      <c r="AR14" s="90"/>
      <c r="AS14" s="90"/>
      <c r="AT14" s="90"/>
      <c r="AU14" s="90"/>
      <c r="AV14" s="90"/>
      <c r="AW14" s="90"/>
      <c r="AX14" s="90"/>
      <c r="AY14" s="90" t="s">
        <v>5230</v>
      </c>
      <c r="AZ14" s="90"/>
      <c r="BA14" s="90" t="s">
        <v>408</v>
      </c>
      <c r="BB14" s="91">
        <v>45890.426377314798</v>
      </c>
      <c r="BC14" s="90" t="s">
        <v>406</v>
      </c>
      <c r="BD14" s="90"/>
      <c r="BE14" s="90"/>
      <c r="BF14" s="90" t="s">
        <v>5231</v>
      </c>
    </row>
    <row r="15" spans="1:58" ht="24.75" customHeight="1">
      <c r="A15" s="90" t="s">
        <v>5247</v>
      </c>
      <c r="B15" s="90"/>
      <c r="C15" s="90"/>
      <c r="D15" s="91">
        <v>45903.730613425898</v>
      </c>
      <c r="E15" s="90" t="s">
        <v>5222</v>
      </c>
      <c r="F15" s="92"/>
      <c r="G15" s="90" t="s">
        <v>5281</v>
      </c>
      <c r="H15" s="90" t="s">
        <v>5282</v>
      </c>
      <c r="I15" s="90" t="s">
        <v>5283</v>
      </c>
      <c r="J15" s="90"/>
      <c r="K15" s="93">
        <v>50</v>
      </c>
      <c r="L15" s="93">
        <v>10</v>
      </c>
      <c r="M15" s="93">
        <v>500</v>
      </c>
      <c r="N15" s="93">
        <v>500</v>
      </c>
      <c r="O15" s="90" t="s">
        <v>5226</v>
      </c>
      <c r="P15" s="90"/>
      <c r="Q15" s="90" t="s">
        <v>5227</v>
      </c>
      <c r="R15" s="90"/>
      <c r="S15" s="90"/>
      <c r="T15" s="90"/>
      <c r="U15" s="90"/>
      <c r="V15" s="90" t="s">
        <v>5252</v>
      </c>
      <c r="W15" s="90" t="s">
        <v>93</v>
      </c>
      <c r="X15" s="90" t="s">
        <v>93</v>
      </c>
      <c r="Y15" s="90" t="s">
        <v>199</v>
      </c>
      <c r="Z15" s="90"/>
      <c r="AA15" s="93">
        <v>500</v>
      </c>
      <c r="AB15" s="93">
        <v>500</v>
      </c>
      <c r="AC15" s="93">
        <v>0</v>
      </c>
      <c r="AD15" s="93">
        <v>0</v>
      </c>
      <c r="AE15" s="90"/>
      <c r="AF15" s="90"/>
      <c r="AG15" s="90"/>
      <c r="AH15" s="90"/>
      <c r="AI15" s="93">
        <v>0</v>
      </c>
      <c r="AJ15" s="93">
        <v>10</v>
      </c>
      <c r="AK15" s="93">
        <v>0</v>
      </c>
      <c r="AL15" s="93">
        <v>500</v>
      </c>
      <c r="AM15" s="93">
        <v>0</v>
      </c>
      <c r="AN15" s="93">
        <v>500</v>
      </c>
      <c r="AO15" s="93">
        <v>0</v>
      </c>
      <c r="AP15" s="90" t="s">
        <v>93</v>
      </c>
      <c r="AQ15" s="90" t="s">
        <v>5239</v>
      </c>
      <c r="AR15" s="90"/>
      <c r="AS15" s="90"/>
      <c r="AT15" s="90"/>
      <c r="AU15" s="90"/>
      <c r="AV15" s="90"/>
      <c r="AW15" s="90"/>
      <c r="AX15" s="90"/>
      <c r="AY15" s="90" t="s">
        <v>5230</v>
      </c>
      <c r="AZ15" s="90"/>
      <c r="BA15" s="90" t="s">
        <v>199</v>
      </c>
      <c r="BB15" s="91">
        <v>45893.597094907404</v>
      </c>
      <c r="BC15" s="90" t="s">
        <v>404</v>
      </c>
      <c r="BD15" s="90"/>
      <c r="BE15" s="90"/>
      <c r="BF15" s="90" t="s">
        <v>5284</v>
      </c>
    </row>
    <row r="16" spans="1:58" ht="24.75" customHeight="1">
      <c r="A16" s="90" t="s">
        <v>5247</v>
      </c>
      <c r="B16" s="90"/>
      <c r="C16" s="90"/>
      <c r="D16" s="91">
        <v>45904.777638888903</v>
      </c>
      <c r="E16" s="90" t="s">
        <v>5222</v>
      </c>
      <c r="F16" s="92"/>
      <c r="G16" s="90" t="s">
        <v>5285</v>
      </c>
      <c r="H16" s="90" t="s">
        <v>5286</v>
      </c>
      <c r="I16" s="90" t="s">
        <v>5287</v>
      </c>
      <c r="J16" s="90"/>
      <c r="K16" s="93">
        <v>1</v>
      </c>
      <c r="L16" s="93">
        <v>65</v>
      </c>
      <c r="M16" s="93">
        <v>65</v>
      </c>
      <c r="N16" s="93">
        <v>65</v>
      </c>
      <c r="O16" s="90" t="s">
        <v>5226</v>
      </c>
      <c r="P16" s="90"/>
      <c r="Q16" s="90" t="s">
        <v>5227</v>
      </c>
      <c r="R16" s="90"/>
      <c r="S16" s="90"/>
      <c r="T16" s="90"/>
      <c r="U16" s="90"/>
      <c r="V16" s="90" t="s">
        <v>5252</v>
      </c>
      <c r="W16" s="90" t="s">
        <v>5271</v>
      </c>
      <c r="X16" s="90" t="s">
        <v>101</v>
      </c>
      <c r="Y16" s="90" t="s">
        <v>5268</v>
      </c>
      <c r="Z16" s="90"/>
      <c r="AA16" s="93">
        <v>57.522123893805301</v>
      </c>
      <c r="AB16" s="93">
        <v>57.522123893805301</v>
      </c>
      <c r="AC16" s="93">
        <v>13</v>
      </c>
      <c r="AD16" s="93">
        <v>7.4778761061946897</v>
      </c>
      <c r="AE16" s="90"/>
      <c r="AF16" s="90"/>
      <c r="AG16" s="90"/>
      <c r="AH16" s="90"/>
      <c r="AI16" s="93">
        <v>0</v>
      </c>
      <c r="AJ16" s="93">
        <v>65</v>
      </c>
      <c r="AK16" s="93">
        <v>13</v>
      </c>
      <c r="AL16" s="93">
        <v>57.522123999999998</v>
      </c>
      <c r="AM16" s="93">
        <v>7.4778760000000002</v>
      </c>
      <c r="AN16" s="93">
        <v>65</v>
      </c>
      <c r="AO16" s="93">
        <v>-1.06194683269223E-7</v>
      </c>
      <c r="AP16" s="90" t="s">
        <v>5271</v>
      </c>
      <c r="AQ16" s="90" t="s">
        <v>5239</v>
      </c>
      <c r="AR16" s="90"/>
      <c r="AS16" s="90"/>
      <c r="AT16" s="90"/>
      <c r="AU16" s="90"/>
      <c r="AV16" s="90"/>
      <c r="AW16" s="90"/>
      <c r="AX16" s="90"/>
      <c r="AY16" s="90" t="s">
        <v>5230</v>
      </c>
      <c r="AZ16" s="90"/>
      <c r="BA16" s="90" t="s">
        <v>5268</v>
      </c>
      <c r="BB16" s="91">
        <v>45772.464201388902</v>
      </c>
      <c r="BC16" s="90" t="s">
        <v>5288</v>
      </c>
      <c r="BD16" s="90"/>
      <c r="BE16" s="90"/>
      <c r="BF16" s="90" t="s">
        <v>5269</v>
      </c>
    </row>
    <row r="17" spans="1:58" ht="24.75" customHeight="1">
      <c r="A17" s="90" t="s">
        <v>5247</v>
      </c>
      <c r="B17" s="90"/>
      <c r="C17" s="90"/>
      <c r="D17" s="91">
        <v>45905.434791666703</v>
      </c>
      <c r="E17" s="90" t="s">
        <v>5222</v>
      </c>
      <c r="F17" s="92"/>
      <c r="G17" s="90" t="s">
        <v>5289</v>
      </c>
      <c r="H17" s="90" t="s">
        <v>5290</v>
      </c>
      <c r="I17" s="90" t="s">
        <v>5291</v>
      </c>
      <c r="J17" s="90"/>
      <c r="K17" s="93">
        <v>15</v>
      </c>
      <c r="L17" s="93">
        <v>12</v>
      </c>
      <c r="M17" s="93">
        <v>180</v>
      </c>
      <c r="N17" s="93">
        <v>180</v>
      </c>
      <c r="O17" s="90" t="s">
        <v>5226</v>
      </c>
      <c r="P17" s="90"/>
      <c r="Q17" s="90" t="s">
        <v>5227</v>
      </c>
      <c r="R17" s="90"/>
      <c r="S17" s="90"/>
      <c r="T17" s="90"/>
      <c r="U17" s="90"/>
      <c r="V17" s="90"/>
      <c r="W17" s="90" t="s">
        <v>94</v>
      </c>
      <c r="X17" s="90" t="s">
        <v>143</v>
      </c>
      <c r="Y17" s="90" t="s">
        <v>5253</v>
      </c>
      <c r="Z17" s="90"/>
      <c r="AA17" s="93">
        <v>159.29203539823001</v>
      </c>
      <c r="AB17" s="93">
        <v>159.29203539823001</v>
      </c>
      <c r="AC17" s="93">
        <v>13</v>
      </c>
      <c r="AD17" s="93">
        <v>20.707964601769898</v>
      </c>
      <c r="AE17" s="90"/>
      <c r="AF17" s="90"/>
      <c r="AG17" s="90"/>
      <c r="AH17" s="90"/>
      <c r="AI17" s="93">
        <v>0</v>
      </c>
      <c r="AJ17" s="93">
        <v>12</v>
      </c>
      <c r="AK17" s="93">
        <v>13</v>
      </c>
      <c r="AL17" s="93">
        <v>159.292035</v>
      </c>
      <c r="AM17" s="93">
        <v>20.707965000000002</v>
      </c>
      <c r="AN17" s="93">
        <v>180</v>
      </c>
      <c r="AO17" s="93">
        <v>3.98230099563079E-7</v>
      </c>
      <c r="AP17" s="90" t="s">
        <v>94</v>
      </c>
      <c r="AQ17" s="90" t="s">
        <v>5239</v>
      </c>
      <c r="AR17" s="90"/>
      <c r="AS17" s="90"/>
      <c r="AT17" s="90"/>
      <c r="AU17" s="90"/>
      <c r="AV17" s="90"/>
      <c r="AW17" s="90"/>
      <c r="AX17" s="90"/>
      <c r="AY17" s="90" t="s">
        <v>5230</v>
      </c>
      <c r="AZ17" s="90"/>
      <c r="BA17" s="90" t="s">
        <v>5253</v>
      </c>
      <c r="BB17" s="91">
        <v>45905.433981481503</v>
      </c>
      <c r="BC17" s="90" t="s">
        <v>402</v>
      </c>
      <c r="BD17" s="90"/>
      <c r="BE17" s="90"/>
      <c r="BF17" s="90" t="s">
        <v>5254</v>
      </c>
    </row>
    <row r="18" spans="1:58" ht="24.75" customHeight="1">
      <c r="A18" s="90" t="s">
        <v>5247</v>
      </c>
      <c r="B18" s="90"/>
      <c r="C18" s="90"/>
      <c r="D18" s="91">
        <v>45905.434791666703</v>
      </c>
      <c r="E18" s="90" t="s">
        <v>5222</v>
      </c>
      <c r="F18" s="92"/>
      <c r="G18" s="90" t="s">
        <v>5289</v>
      </c>
      <c r="H18" s="90" t="s">
        <v>5292</v>
      </c>
      <c r="I18" s="90" t="s">
        <v>5293</v>
      </c>
      <c r="J18" s="90"/>
      <c r="K18" s="93">
        <v>10</v>
      </c>
      <c r="L18" s="93">
        <v>9</v>
      </c>
      <c r="M18" s="93">
        <v>90</v>
      </c>
      <c r="N18" s="93">
        <v>90</v>
      </c>
      <c r="O18" s="90" t="s">
        <v>5226</v>
      </c>
      <c r="P18" s="90"/>
      <c r="Q18" s="90" t="s">
        <v>5227</v>
      </c>
      <c r="R18" s="90"/>
      <c r="S18" s="90"/>
      <c r="T18" s="90"/>
      <c r="U18" s="90"/>
      <c r="V18" s="90"/>
      <c r="W18" s="90" t="s">
        <v>94</v>
      </c>
      <c r="X18" s="90" t="s">
        <v>143</v>
      </c>
      <c r="Y18" s="90" t="s">
        <v>5253</v>
      </c>
      <c r="Z18" s="90"/>
      <c r="AA18" s="93">
        <v>79.646017699115006</v>
      </c>
      <c r="AB18" s="93">
        <v>79.646017699115006</v>
      </c>
      <c r="AC18" s="93">
        <v>13</v>
      </c>
      <c r="AD18" s="93">
        <v>10.353982300885001</v>
      </c>
      <c r="AE18" s="90"/>
      <c r="AF18" s="90"/>
      <c r="AG18" s="90"/>
      <c r="AH18" s="90"/>
      <c r="AI18" s="93">
        <v>0</v>
      </c>
      <c r="AJ18" s="93">
        <v>9</v>
      </c>
      <c r="AK18" s="93">
        <v>13</v>
      </c>
      <c r="AL18" s="93">
        <v>79.646019999999993</v>
      </c>
      <c r="AM18" s="93">
        <v>10.35398</v>
      </c>
      <c r="AN18" s="93">
        <v>90</v>
      </c>
      <c r="AO18" s="93">
        <v>-2.3008849581174201E-6</v>
      </c>
      <c r="AP18" s="90" t="s">
        <v>94</v>
      </c>
      <c r="AQ18" s="90" t="s">
        <v>5239</v>
      </c>
      <c r="AR18" s="90"/>
      <c r="AS18" s="90"/>
      <c r="AT18" s="90"/>
      <c r="AU18" s="90"/>
      <c r="AV18" s="90"/>
      <c r="AW18" s="90"/>
      <c r="AX18" s="90"/>
      <c r="AY18" s="90" t="s">
        <v>5230</v>
      </c>
      <c r="AZ18" s="90"/>
      <c r="BA18" s="90" t="s">
        <v>5253</v>
      </c>
      <c r="BB18" s="91">
        <v>45905.433981481503</v>
      </c>
      <c r="BC18" s="90" t="s">
        <v>402</v>
      </c>
      <c r="BD18" s="90"/>
      <c r="BE18" s="90"/>
      <c r="BF18" s="90" t="s">
        <v>5254</v>
      </c>
    </row>
    <row r="19" spans="1:58" ht="24.75" customHeight="1">
      <c r="A19" s="90" t="s">
        <v>5247</v>
      </c>
      <c r="B19" s="90"/>
      <c r="C19" s="90"/>
      <c r="D19" s="91">
        <v>45905.434791666703</v>
      </c>
      <c r="E19" s="90" t="s">
        <v>5222</v>
      </c>
      <c r="F19" s="92"/>
      <c r="G19" s="90" t="s">
        <v>5289</v>
      </c>
      <c r="H19" s="90" t="s">
        <v>5294</v>
      </c>
      <c r="I19" s="90" t="s">
        <v>5295</v>
      </c>
      <c r="J19" s="90" t="s">
        <v>5259</v>
      </c>
      <c r="K19" s="93">
        <v>5</v>
      </c>
      <c r="L19" s="93">
        <v>10</v>
      </c>
      <c r="M19" s="93">
        <v>50</v>
      </c>
      <c r="N19" s="93">
        <v>50</v>
      </c>
      <c r="O19" s="90" t="s">
        <v>5226</v>
      </c>
      <c r="P19" s="90"/>
      <c r="Q19" s="90" t="s">
        <v>5227</v>
      </c>
      <c r="R19" s="90"/>
      <c r="S19" s="90"/>
      <c r="T19" s="90"/>
      <c r="U19" s="90"/>
      <c r="V19" s="90"/>
      <c r="W19" s="90" t="s">
        <v>94</v>
      </c>
      <c r="X19" s="90" t="s">
        <v>143</v>
      </c>
      <c r="Y19" s="90" t="s">
        <v>5253</v>
      </c>
      <c r="Z19" s="90"/>
      <c r="AA19" s="93">
        <v>44.247787610619497</v>
      </c>
      <c r="AB19" s="93">
        <v>44.247787610619497</v>
      </c>
      <c r="AC19" s="93">
        <v>13</v>
      </c>
      <c r="AD19" s="93">
        <v>5.7522123893805297</v>
      </c>
      <c r="AE19" s="90"/>
      <c r="AF19" s="90"/>
      <c r="AG19" s="90"/>
      <c r="AH19" s="90"/>
      <c r="AI19" s="93">
        <v>0</v>
      </c>
      <c r="AJ19" s="93">
        <v>10</v>
      </c>
      <c r="AK19" s="93">
        <v>13</v>
      </c>
      <c r="AL19" s="93">
        <v>44.247790000000002</v>
      </c>
      <c r="AM19" s="93">
        <v>5.7522099999999998</v>
      </c>
      <c r="AN19" s="93">
        <v>50</v>
      </c>
      <c r="AO19" s="93">
        <v>-2.3893805263242E-6</v>
      </c>
      <c r="AP19" s="90" t="s">
        <v>94</v>
      </c>
      <c r="AQ19" s="90" t="s">
        <v>5239</v>
      </c>
      <c r="AR19" s="90"/>
      <c r="AS19" s="90"/>
      <c r="AT19" s="90"/>
      <c r="AU19" s="90"/>
      <c r="AV19" s="90"/>
      <c r="AW19" s="90"/>
      <c r="AX19" s="90"/>
      <c r="AY19" s="90" t="s">
        <v>5230</v>
      </c>
      <c r="AZ19" s="90"/>
      <c r="BA19" s="90" t="s">
        <v>5253</v>
      </c>
      <c r="BB19" s="91">
        <v>45905.433981481503</v>
      </c>
      <c r="BC19" s="90" t="s">
        <v>402</v>
      </c>
      <c r="BD19" s="90"/>
      <c r="BE19" s="90"/>
      <c r="BF19" s="90" t="s">
        <v>5254</v>
      </c>
    </row>
    <row r="20" spans="1:58" ht="24.75" customHeight="1">
      <c r="A20" s="90" t="s">
        <v>5247</v>
      </c>
      <c r="B20" s="90"/>
      <c r="C20" s="90"/>
      <c r="D20" s="91">
        <v>45905.434791666703</v>
      </c>
      <c r="E20" s="90" t="s">
        <v>5222</v>
      </c>
      <c r="F20" s="92"/>
      <c r="G20" s="90" t="s">
        <v>5289</v>
      </c>
      <c r="H20" s="90" t="s">
        <v>5296</v>
      </c>
      <c r="I20" s="90" t="s">
        <v>5297</v>
      </c>
      <c r="J20" s="90" t="s">
        <v>5267</v>
      </c>
      <c r="K20" s="93">
        <v>2</v>
      </c>
      <c r="L20" s="93">
        <v>55</v>
      </c>
      <c r="M20" s="93">
        <v>110</v>
      </c>
      <c r="N20" s="93">
        <v>110</v>
      </c>
      <c r="O20" s="90" t="s">
        <v>5226</v>
      </c>
      <c r="P20" s="90"/>
      <c r="Q20" s="90" t="s">
        <v>5227</v>
      </c>
      <c r="R20" s="90"/>
      <c r="S20" s="90"/>
      <c r="T20" s="90"/>
      <c r="U20" s="90"/>
      <c r="V20" s="90"/>
      <c r="W20" s="90" t="s">
        <v>94</v>
      </c>
      <c r="X20" s="90" t="s">
        <v>143</v>
      </c>
      <c r="Y20" s="90" t="s">
        <v>5253</v>
      </c>
      <c r="Z20" s="90"/>
      <c r="AA20" s="93">
        <v>97.345132743362797</v>
      </c>
      <c r="AB20" s="93">
        <v>97.345132743362797</v>
      </c>
      <c r="AC20" s="93">
        <v>13</v>
      </c>
      <c r="AD20" s="93">
        <v>12.6548672566372</v>
      </c>
      <c r="AE20" s="90"/>
      <c r="AF20" s="90"/>
      <c r="AG20" s="90"/>
      <c r="AH20" s="90"/>
      <c r="AI20" s="93">
        <v>0</v>
      </c>
      <c r="AJ20" s="93">
        <v>55</v>
      </c>
      <c r="AK20" s="93">
        <v>13</v>
      </c>
      <c r="AL20" s="93">
        <v>97.345132000000007</v>
      </c>
      <c r="AM20" s="93">
        <v>12.654868</v>
      </c>
      <c r="AN20" s="93">
        <v>110</v>
      </c>
      <c r="AO20" s="93">
        <v>7.4336283262255197E-7</v>
      </c>
      <c r="AP20" s="90" t="s">
        <v>94</v>
      </c>
      <c r="AQ20" s="90" t="s">
        <v>5239</v>
      </c>
      <c r="AR20" s="90"/>
      <c r="AS20" s="90"/>
      <c r="AT20" s="90"/>
      <c r="AU20" s="90"/>
      <c r="AV20" s="90"/>
      <c r="AW20" s="90"/>
      <c r="AX20" s="90"/>
      <c r="AY20" s="90" t="s">
        <v>5230</v>
      </c>
      <c r="AZ20" s="90"/>
      <c r="BA20" s="90" t="s">
        <v>5253</v>
      </c>
      <c r="BB20" s="91">
        <v>45905.433981481503</v>
      </c>
      <c r="BC20" s="90" t="s">
        <v>402</v>
      </c>
      <c r="BD20" s="90"/>
      <c r="BE20" s="90"/>
      <c r="BF20" s="90" t="s">
        <v>5254</v>
      </c>
    </row>
    <row r="21" spans="1:58" ht="24.75" customHeight="1">
      <c r="A21" s="90" t="s">
        <v>5232</v>
      </c>
      <c r="B21" s="90"/>
      <c r="C21" s="90"/>
      <c r="D21" s="91">
        <v>45906.449143518497</v>
      </c>
      <c r="E21" s="90" t="s">
        <v>5222</v>
      </c>
      <c r="F21" s="92"/>
      <c r="G21" s="90" t="s">
        <v>5298</v>
      </c>
      <c r="H21" s="90" t="s">
        <v>5234</v>
      </c>
      <c r="I21" s="90" t="s">
        <v>5235</v>
      </c>
      <c r="J21" s="90"/>
      <c r="K21" s="93">
        <v>2</v>
      </c>
      <c r="L21" s="93">
        <v>36</v>
      </c>
      <c r="M21" s="93">
        <v>72</v>
      </c>
      <c r="N21" s="93">
        <v>72</v>
      </c>
      <c r="O21" s="90" t="s">
        <v>5226</v>
      </c>
      <c r="P21" s="90"/>
      <c r="Q21" s="90" t="s">
        <v>5227</v>
      </c>
      <c r="R21" s="90"/>
      <c r="S21" s="90"/>
      <c r="T21" s="90"/>
      <c r="U21" s="90"/>
      <c r="V21" s="90" t="s">
        <v>5236</v>
      </c>
      <c r="W21" s="90" t="s">
        <v>99</v>
      </c>
      <c r="X21" s="90" t="s">
        <v>5237</v>
      </c>
      <c r="Y21" s="90" t="s">
        <v>5238</v>
      </c>
      <c r="Z21" s="90"/>
      <c r="AA21" s="93">
        <v>63.716814159291999</v>
      </c>
      <c r="AB21" s="93">
        <v>63.716814159291999</v>
      </c>
      <c r="AC21" s="93">
        <v>13</v>
      </c>
      <c r="AD21" s="93">
        <v>8.2831858407079597</v>
      </c>
      <c r="AE21" s="90"/>
      <c r="AF21" s="90"/>
      <c r="AG21" s="90"/>
      <c r="AH21" s="90"/>
      <c r="AI21" s="93">
        <v>0</v>
      </c>
      <c r="AJ21" s="93">
        <v>36</v>
      </c>
      <c r="AK21" s="93">
        <v>13</v>
      </c>
      <c r="AL21" s="93">
        <v>63.716813999999999</v>
      </c>
      <c r="AM21" s="93">
        <v>8.2831860000000006</v>
      </c>
      <c r="AN21" s="93">
        <v>72</v>
      </c>
      <c r="AO21" s="93">
        <v>1.59292042667403E-7</v>
      </c>
      <c r="AP21" s="90" t="s">
        <v>99</v>
      </c>
      <c r="AQ21" s="90" t="s">
        <v>5239</v>
      </c>
      <c r="AR21" s="90"/>
      <c r="AS21" s="90"/>
      <c r="AT21" s="90"/>
      <c r="AU21" s="90"/>
      <c r="AV21" s="90"/>
      <c r="AW21" s="90"/>
      <c r="AX21" s="90"/>
      <c r="AY21" s="90" t="s">
        <v>5240</v>
      </c>
      <c r="AZ21" s="90"/>
      <c r="BA21" s="90" t="s">
        <v>5238</v>
      </c>
      <c r="BB21" s="91">
        <v>45894.467685185198</v>
      </c>
      <c r="BC21" s="90" t="s">
        <v>405</v>
      </c>
      <c r="BD21" s="90" t="s">
        <v>5299</v>
      </c>
      <c r="BE21" s="90"/>
      <c r="BF21" s="90" t="s">
        <v>5242</v>
      </c>
    </row>
    <row r="22" spans="1:58" ht="24.75" customHeight="1">
      <c r="A22" s="90" t="s">
        <v>5232</v>
      </c>
      <c r="B22" s="90"/>
      <c r="C22" s="90"/>
      <c r="D22" s="91">
        <v>45906.449143518497</v>
      </c>
      <c r="E22" s="90" t="s">
        <v>5222</v>
      </c>
      <c r="F22" s="92"/>
      <c r="G22" s="90" t="s">
        <v>5298</v>
      </c>
      <c r="H22" s="90" t="s">
        <v>5243</v>
      </c>
      <c r="I22" s="90" t="s">
        <v>5244</v>
      </c>
      <c r="J22" s="90"/>
      <c r="K22" s="93">
        <v>2</v>
      </c>
      <c r="L22" s="93">
        <v>27.5</v>
      </c>
      <c r="M22" s="93">
        <v>55</v>
      </c>
      <c r="N22" s="93">
        <v>55</v>
      </c>
      <c r="O22" s="90" t="s">
        <v>5226</v>
      </c>
      <c r="P22" s="90"/>
      <c r="Q22" s="90" t="s">
        <v>5227</v>
      </c>
      <c r="R22" s="90"/>
      <c r="S22" s="90"/>
      <c r="T22" s="90"/>
      <c r="U22" s="90"/>
      <c r="V22" s="90" t="s">
        <v>5245</v>
      </c>
      <c r="W22" s="90" t="s">
        <v>99</v>
      </c>
      <c r="X22" s="90" t="s">
        <v>5237</v>
      </c>
      <c r="Y22" s="90" t="s">
        <v>5238</v>
      </c>
      <c r="Z22" s="90"/>
      <c r="AA22" s="93">
        <v>48.672566371681398</v>
      </c>
      <c r="AB22" s="93">
        <v>48.672566371681398</v>
      </c>
      <c r="AC22" s="93">
        <v>13</v>
      </c>
      <c r="AD22" s="93">
        <v>6.3274336283185804</v>
      </c>
      <c r="AE22" s="90"/>
      <c r="AF22" s="90"/>
      <c r="AG22" s="90"/>
      <c r="AH22" s="90"/>
      <c r="AI22" s="93">
        <v>0</v>
      </c>
      <c r="AJ22" s="93">
        <v>27.5</v>
      </c>
      <c r="AK22" s="93">
        <v>13</v>
      </c>
      <c r="AL22" s="93">
        <v>48.672566000000003</v>
      </c>
      <c r="AM22" s="93">
        <v>6.3274340000000002</v>
      </c>
      <c r="AN22" s="93">
        <v>55</v>
      </c>
      <c r="AO22" s="93">
        <v>3.7168141631127598E-7</v>
      </c>
      <c r="AP22" s="90" t="s">
        <v>99</v>
      </c>
      <c r="AQ22" s="90" t="s">
        <v>5246</v>
      </c>
      <c r="AR22" s="90"/>
      <c r="AS22" s="90"/>
      <c r="AT22" s="90"/>
      <c r="AU22" s="90"/>
      <c r="AV22" s="90"/>
      <c r="AW22" s="90"/>
      <c r="AX22" s="90"/>
      <c r="AY22" s="90" t="s">
        <v>5230</v>
      </c>
      <c r="AZ22" s="90"/>
      <c r="BA22" s="90" t="s">
        <v>5238</v>
      </c>
      <c r="BB22" s="91">
        <v>45885.456469907404</v>
      </c>
      <c r="BC22" s="90" t="s">
        <v>405</v>
      </c>
      <c r="BD22" s="90" t="s">
        <v>5299</v>
      </c>
      <c r="BE22" s="90"/>
      <c r="BF22" s="90" t="s">
        <v>5242</v>
      </c>
    </row>
    <row r="23" spans="1:58" ht="24.75" customHeight="1">
      <c r="A23" s="90" t="s">
        <v>5232</v>
      </c>
      <c r="B23" s="90"/>
      <c r="C23" s="90"/>
      <c r="D23" s="91">
        <v>45907.730648148201</v>
      </c>
      <c r="E23" s="90" t="s">
        <v>5222</v>
      </c>
      <c r="F23" s="92"/>
      <c r="G23" s="90" t="s">
        <v>5300</v>
      </c>
      <c r="H23" s="90" t="s">
        <v>5234</v>
      </c>
      <c r="I23" s="90" t="s">
        <v>5235</v>
      </c>
      <c r="J23" s="90"/>
      <c r="K23" s="93">
        <v>4</v>
      </c>
      <c r="L23" s="93">
        <v>36</v>
      </c>
      <c r="M23" s="93">
        <v>144</v>
      </c>
      <c r="N23" s="93">
        <v>144</v>
      </c>
      <c r="O23" s="90" t="s">
        <v>5226</v>
      </c>
      <c r="P23" s="90"/>
      <c r="Q23" s="90" t="s">
        <v>5227</v>
      </c>
      <c r="R23" s="90"/>
      <c r="S23" s="90"/>
      <c r="T23" s="90"/>
      <c r="U23" s="90"/>
      <c r="V23" s="90" t="s">
        <v>5236</v>
      </c>
      <c r="W23" s="90" t="s">
        <v>99</v>
      </c>
      <c r="X23" s="90" t="s">
        <v>5237</v>
      </c>
      <c r="Y23" s="90" t="s">
        <v>5238</v>
      </c>
      <c r="Z23" s="90"/>
      <c r="AA23" s="93">
        <v>127.433628318584</v>
      </c>
      <c r="AB23" s="93">
        <v>127.433628318584</v>
      </c>
      <c r="AC23" s="93">
        <v>13</v>
      </c>
      <c r="AD23" s="93">
        <v>16.566371681415902</v>
      </c>
      <c r="AE23" s="90"/>
      <c r="AF23" s="90"/>
      <c r="AG23" s="90"/>
      <c r="AH23" s="90"/>
      <c r="AI23" s="93">
        <v>0</v>
      </c>
      <c r="AJ23" s="93">
        <v>36</v>
      </c>
      <c r="AK23" s="93">
        <v>13</v>
      </c>
      <c r="AL23" s="93">
        <v>127.433628</v>
      </c>
      <c r="AM23" s="93">
        <v>16.566372000000001</v>
      </c>
      <c r="AN23" s="93">
        <v>144</v>
      </c>
      <c r="AO23" s="93">
        <v>3.18584085334805E-7</v>
      </c>
      <c r="AP23" s="90" t="s">
        <v>99</v>
      </c>
      <c r="AQ23" s="90" t="s">
        <v>5239</v>
      </c>
      <c r="AR23" s="90"/>
      <c r="AS23" s="90"/>
      <c r="AT23" s="90"/>
      <c r="AU23" s="90"/>
      <c r="AV23" s="90"/>
      <c r="AW23" s="90"/>
      <c r="AX23" s="90"/>
      <c r="AY23" s="90" t="s">
        <v>5240</v>
      </c>
      <c r="AZ23" s="90"/>
      <c r="BA23" s="90" t="s">
        <v>5238</v>
      </c>
      <c r="BB23" s="91">
        <v>45894.467685185198</v>
      </c>
      <c r="BC23" s="90" t="s">
        <v>405</v>
      </c>
      <c r="BD23" s="90" t="s">
        <v>5301</v>
      </c>
      <c r="BE23" s="90"/>
      <c r="BF23" s="90" t="s">
        <v>5242</v>
      </c>
    </row>
    <row r="24" spans="1:58" ht="24.75" customHeight="1">
      <c r="A24" s="90" t="s">
        <v>5232</v>
      </c>
      <c r="B24" s="90"/>
      <c r="C24" s="90"/>
      <c r="D24" s="91">
        <v>45907.730648148201</v>
      </c>
      <c r="E24" s="90" t="s">
        <v>5222</v>
      </c>
      <c r="F24" s="92"/>
      <c r="G24" s="90" t="s">
        <v>5300</v>
      </c>
      <c r="H24" s="90" t="s">
        <v>5243</v>
      </c>
      <c r="I24" s="90" t="s">
        <v>5244</v>
      </c>
      <c r="J24" s="90"/>
      <c r="K24" s="93">
        <v>4</v>
      </c>
      <c r="L24" s="93">
        <v>27.5</v>
      </c>
      <c r="M24" s="93">
        <v>110</v>
      </c>
      <c r="N24" s="93">
        <v>110</v>
      </c>
      <c r="O24" s="90" t="s">
        <v>5226</v>
      </c>
      <c r="P24" s="90"/>
      <c r="Q24" s="90" t="s">
        <v>5227</v>
      </c>
      <c r="R24" s="90"/>
      <c r="S24" s="90"/>
      <c r="T24" s="90"/>
      <c r="U24" s="90"/>
      <c r="V24" s="90" t="s">
        <v>5245</v>
      </c>
      <c r="W24" s="90" t="s">
        <v>99</v>
      </c>
      <c r="X24" s="90" t="s">
        <v>5237</v>
      </c>
      <c r="Y24" s="90" t="s">
        <v>5238</v>
      </c>
      <c r="Z24" s="90"/>
      <c r="AA24" s="93">
        <v>97.345132743362797</v>
      </c>
      <c r="AB24" s="93">
        <v>97.345132743362797</v>
      </c>
      <c r="AC24" s="93">
        <v>13</v>
      </c>
      <c r="AD24" s="93">
        <v>12.6548672566372</v>
      </c>
      <c r="AE24" s="90"/>
      <c r="AF24" s="90"/>
      <c r="AG24" s="90"/>
      <c r="AH24" s="90"/>
      <c r="AI24" s="93">
        <v>0</v>
      </c>
      <c r="AJ24" s="93">
        <v>27.5</v>
      </c>
      <c r="AK24" s="93">
        <v>13</v>
      </c>
      <c r="AL24" s="93">
        <v>97.345132000000007</v>
      </c>
      <c r="AM24" s="93">
        <v>12.654868</v>
      </c>
      <c r="AN24" s="93">
        <v>110</v>
      </c>
      <c r="AO24" s="93">
        <v>7.4336283262255197E-7</v>
      </c>
      <c r="AP24" s="90" t="s">
        <v>99</v>
      </c>
      <c r="AQ24" s="90" t="s">
        <v>5246</v>
      </c>
      <c r="AR24" s="90"/>
      <c r="AS24" s="90"/>
      <c r="AT24" s="90"/>
      <c r="AU24" s="90"/>
      <c r="AV24" s="90"/>
      <c r="AW24" s="90"/>
      <c r="AX24" s="90"/>
      <c r="AY24" s="90" t="s">
        <v>5230</v>
      </c>
      <c r="AZ24" s="90"/>
      <c r="BA24" s="90" t="s">
        <v>5238</v>
      </c>
      <c r="BB24" s="91">
        <v>45885.456469907404</v>
      </c>
      <c r="BC24" s="90" t="s">
        <v>405</v>
      </c>
      <c r="BD24" s="90" t="s">
        <v>5301</v>
      </c>
      <c r="BE24" s="90"/>
      <c r="BF24" s="90" t="s">
        <v>5242</v>
      </c>
    </row>
    <row r="25" spans="1:58" ht="24.75" customHeight="1">
      <c r="A25" s="90" t="s">
        <v>5221</v>
      </c>
      <c r="B25" s="90"/>
      <c r="C25" s="90"/>
      <c r="D25" s="91">
        <v>45909.482696759304</v>
      </c>
      <c r="E25" s="90" t="s">
        <v>5222</v>
      </c>
      <c r="F25" s="92"/>
      <c r="G25" s="90" t="s">
        <v>5302</v>
      </c>
      <c r="H25" s="90" t="s">
        <v>5303</v>
      </c>
      <c r="I25" s="90" t="s">
        <v>5304</v>
      </c>
      <c r="J25" s="90"/>
      <c r="K25" s="93">
        <v>24</v>
      </c>
      <c r="L25" s="93">
        <v>205</v>
      </c>
      <c r="M25" s="93">
        <v>4920</v>
      </c>
      <c r="N25" s="93">
        <v>4920</v>
      </c>
      <c r="O25" s="90" t="s">
        <v>5226</v>
      </c>
      <c r="P25" s="90"/>
      <c r="Q25" s="90" t="s">
        <v>5227</v>
      </c>
      <c r="R25" s="90"/>
      <c r="S25" s="90"/>
      <c r="T25" s="90"/>
      <c r="U25" s="90"/>
      <c r="V25" s="90" t="s">
        <v>5228</v>
      </c>
      <c r="W25" s="90" t="s">
        <v>5271</v>
      </c>
      <c r="X25" s="90" t="s">
        <v>162</v>
      </c>
      <c r="Y25" s="90" t="s">
        <v>408</v>
      </c>
      <c r="Z25" s="90"/>
      <c r="AA25" s="93">
        <v>4353.9823008849598</v>
      </c>
      <c r="AB25" s="93">
        <v>4353.9823008849598</v>
      </c>
      <c r="AC25" s="93">
        <v>13</v>
      </c>
      <c r="AD25" s="93">
        <v>566.01769911504402</v>
      </c>
      <c r="AE25" s="90"/>
      <c r="AF25" s="90"/>
      <c r="AG25" s="90"/>
      <c r="AH25" s="90"/>
      <c r="AI25" s="93">
        <v>0</v>
      </c>
      <c r="AJ25" s="93">
        <v>205</v>
      </c>
      <c r="AK25" s="93">
        <v>13</v>
      </c>
      <c r="AL25" s="93">
        <v>4353.9822960000001</v>
      </c>
      <c r="AM25" s="93">
        <v>566.01770399999998</v>
      </c>
      <c r="AN25" s="93">
        <v>4920</v>
      </c>
      <c r="AO25" s="93">
        <v>4.8849560698727103E-6</v>
      </c>
      <c r="AP25" s="90" t="s">
        <v>5271</v>
      </c>
      <c r="AQ25" s="90" t="s">
        <v>5229</v>
      </c>
      <c r="AR25" s="90"/>
      <c r="AS25" s="90"/>
      <c r="AT25" s="90"/>
      <c r="AU25" s="90"/>
      <c r="AV25" s="90"/>
      <c r="AW25" s="90"/>
      <c r="AX25" s="90"/>
      <c r="AY25" s="90" t="s">
        <v>5230</v>
      </c>
      <c r="AZ25" s="90"/>
      <c r="BA25" s="90" t="s">
        <v>408</v>
      </c>
      <c r="BB25" s="91">
        <v>45716.713703703703</v>
      </c>
      <c r="BC25" s="90" t="s">
        <v>405</v>
      </c>
      <c r="BD25" s="90"/>
      <c r="BE25" s="90"/>
      <c r="BF25" s="90" t="s">
        <v>5231</v>
      </c>
    </row>
    <row r="26" spans="1:58" ht="24.75" customHeight="1">
      <c r="A26" s="90" t="s">
        <v>5221</v>
      </c>
      <c r="B26" s="90"/>
      <c r="C26" s="90"/>
      <c r="D26" s="91">
        <v>45909.482696759304</v>
      </c>
      <c r="E26" s="90" t="s">
        <v>5222</v>
      </c>
      <c r="F26" s="92"/>
      <c r="G26" s="90" t="s">
        <v>5302</v>
      </c>
      <c r="H26" s="90" t="s">
        <v>5305</v>
      </c>
      <c r="I26" s="90" t="s">
        <v>5306</v>
      </c>
      <c r="J26" s="90"/>
      <c r="K26" s="93">
        <v>16</v>
      </c>
      <c r="L26" s="93">
        <v>139</v>
      </c>
      <c r="M26" s="93">
        <v>2224</v>
      </c>
      <c r="N26" s="93">
        <v>2224</v>
      </c>
      <c r="O26" s="90" t="s">
        <v>5226</v>
      </c>
      <c r="P26" s="90"/>
      <c r="Q26" s="90" t="s">
        <v>5227</v>
      </c>
      <c r="R26" s="90"/>
      <c r="S26" s="90"/>
      <c r="T26" s="90"/>
      <c r="U26" s="90"/>
      <c r="V26" s="90" t="s">
        <v>5228</v>
      </c>
      <c r="W26" s="90" t="s">
        <v>5271</v>
      </c>
      <c r="X26" s="90" t="s">
        <v>162</v>
      </c>
      <c r="Y26" s="90" t="s">
        <v>408</v>
      </c>
      <c r="Z26" s="90"/>
      <c r="AA26" s="93">
        <v>1968.1415929203499</v>
      </c>
      <c r="AB26" s="93">
        <v>1968.1415929203499</v>
      </c>
      <c r="AC26" s="93">
        <v>13</v>
      </c>
      <c r="AD26" s="93">
        <v>255.85840707964601</v>
      </c>
      <c r="AE26" s="90"/>
      <c r="AF26" s="90"/>
      <c r="AG26" s="90"/>
      <c r="AH26" s="90"/>
      <c r="AI26" s="93">
        <v>0</v>
      </c>
      <c r="AJ26" s="93">
        <v>139</v>
      </c>
      <c r="AK26" s="93">
        <v>13</v>
      </c>
      <c r="AL26" s="93">
        <v>1968.1415999999999</v>
      </c>
      <c r="AM26" s="93">
        <v>255.85839999999999</v>
      </c>
      <c r="AN26" s="93">
        <v>2224</v>
      </c>
      <c r="AO26" s="93">
        <v>-7.0796456839161701E-6</v>
      </c>
      <c r="AP26" s="90" t="s">
        <v>5271</v>
      </c>
      <c r="AQ26" s="90" t="s">
        <v>5229</v>
      </c>
      <c r="AR26" s="90"/>
      <c r="AS26" s="90"/>
      <c r="AT26" s="90"/>
      <c r="AU26" s="90"/>
      <c r="AV26" s="90"/>
      <c r="AW26" s="90"/>
      <c r="AX26" s="90"/>
      <c r="AY26" s="90" t="s">
        <v>5230</v>
      </c>
      <c r="AZ26" s="90"/>
      <c r="BA26" s="90" t="s">
        <v>408</v>
      </c>
      <c r="BB26" s="91">
        <v>45808.694120370397</v>
      </c>
      <c r="BC26" s="90" t="s">
        <v>405</v>
      </c>
      <c r="BD26" s="90"/>
      <c r="BE26" s="90"/>
      <c r="BF26" s="90" t="s">
        <v>5231</v>
      </c>
    </row>
    <row r="27" spans="1:58" ht="24.75" customHeight="1">
      <c r="A27" s="90" t="s">
        <v>5221</v>
      </c>
      <c r="B27" s="90"/>
      <c r="C27" s="90"/>
      <c r="D27" s="91">
        <v>45909.482696759304</v>
      </c>
      <c r="E27" s="90" t="s">
        <v>5222</v>
      </c>
      <c r="F27" s="92"/>
      <c r="G27" s="90" t="s">
        <v>5302</v>
      </c>
      <c r="H27" s="90" t="s">
        <v>5307</v>
      </c>
      <c r="I27" s="90" t="s">
        <v>5308</v>
      </c>
      <c r="J27" s="90" t="s">
        <v>5267</v>
      </c>
      <c r="K27" s="93">
        <v>12</v>
      </c>
      <c r="L27" s="93">
        <v>34</v>
      </c>
      <c r="M27" s="93">
        <v>408</v>
      </c>
      <c r="N27" s="93">
        <v>408</v>
      </c>
      <c r="O27" s="90" t="s">
        <v>5226</v>
      </c>
      <c r="P27" s="90"/>
      <c r="Q27" s="90" t="s">
        <v>5227</v>
      </c>
      <c r="R27" s="90"/>
      <c r="S27" s="90"/>
      <c r="T27" s="90"/>
      <c r="U27" s="90"/>
      <c r="V27" s="90"/>
      <c r="W27" s="90" t="s">
        <v>5271</v>
      </c>
      <c r="X27" s="90" t="s">
        <v>162</v>
      </c>
      <c r="Y27" s="90" t="s">
        <v>408</v>
      </c>
      <c r="Z27" s="90"/>
      <c r="AA27" s="93">
        <v>361.061946902655</v>
      </c>
      <c r="AB27" s="93">
        <v>361.061946902655</v>
      </c>
      <c r="AC27" s="93">
        <v>13</v>
      </c>
      <c r="AD27" s="93">
        <v>46.938053097345097</v>
      </c>
      <c r="AE27" s="90"/>
      <c r="AF27" s="90"/>
      <c r="AG27" s="90"/>
      <c r="AH27" s="90"/>
      <c r="AI27" s="93">
        <v>0</v>
      </c>
      <c r="AJ27" s="93">
        <v>34</v>
      </c>
      <c r="AK27" s="93">
        <v>13</v>
      </c>
      <c r="AL27" s="93">
        <v>361.06195200000002</v>
      </c>
      <c r="AM27" s="93">
        <v>46.938048000000002</v>
      </c>
      <c r="AN27" s="93">
        <v>408</v>
      </c>
      <c r="AO27" s="93">
        <v>-5.0973451379832096E-6</v>
      </c>
      <c r="AP27" s="90" t="s">
        <v>5271</v>
      </c>
      <c r="AQ27" s="90" t="s">
        <v>498</v>
      </c>
      <c r="AR27" s="90"/>
      <c r="AS27" s="90"/>
      <c r="AT27" s="90"/>
      <c r="AU27" s="90"/>
      <c r="AV27" s="90"/>
      <c r="AW27" s="90"/>
      <c r="AX27" s="90"/>
      <c r="AY27" s="90" t="s">
        <v>5230</v>
      </c>
      <c r="AZ27" s="90"/>
      <c r="BA27" s="90" t="s">
        <v>408</v>
      </c>
      <c r="BB27" s="91">
        <v>45900.826493055603</v>
      </c>
      <c r="BC27" s="90" t="s">
        <v>405</v>
      </c>
      <c r="BD27" s="90"/>
      <c r="BE27" s="90"/>
      <c r="BF27" s="90" t="s">
        <v>5231</v>
      </c>
    </row>
    <row r="28" spans="1:58" ht="24.75" customHeight="1">
      <c r="A28" s="90" t="s">
        <v>5221</v>
      </c>
      <c r="B28" s="90"/>
      <c r="C28" s="90"/>
      <c r="D28" s="91">
        <v>45909.482696759304</v>
      </c>
      <c r="E28" s="90" t="s">
        <v>5222</v>
      </c>
      <c r="F28" s="92"/>
      <c r="G28" s="90" t="s">
        <v>5302</v>
      </c>
      <c r="H28" s="90" t="s">
        <v>5309</v>
      </c>
      <c r="I28" s="90" t="s">
        <v>5310</v>
      </c>
      <c r="J28" s="90" t="s">
        <v>5267</v>
      </c>
      <c r="K28" s="93">
        <v>12</v>
      </c>
      <c r="L28" s="93">
        <v>31</v>
      </c>
      <c r="M28" s="93">
        <v>372</v>
      </c>
      <c r="N28" s="93">
        <v>372</v>
      </c>
      <c r="O28" s="90" t="s">
        <v>5226</v>
      </c>
      <c r="P28" s="90"/>
      <c r="Q28" s="90" t="s">
        <v>5227</v>
      </c>
      <c r="R28" s="90"/>
      <c r="S28" s="90"/>
      <c r="T28" s="90"/>
      <c r="U28" s="90"/>
      <c r="V28" s="90"/>
      <c r="W28" s="90" t="s">
        <v>5271</v>
      </c>
      <c r="X28" s="90" t="s">
        <v>162</v>
      </c>
      <c r="Y28" s="90" t="s">
        <v>408</v>
      </c>
      <c r="Z28" s="90"/>
      <c r="AA28" s="93">
        <v>329.20353982300901</v>
      </c>
      <c r="AB28" s="93">
        <v>329.20353982300901</v>
      </c>
      <c r="AC28" s="93">
        <v>13</v>
      </c>
      <c r="AD28" s="93">
        <v>42.796460176991097</v>
      </c>
      <c r="AE28" s="90"/>
      <c r="AF28" s="90"/>
      <c r="AG28" s="90"/>
      <c r="AH28" s="90"/>
      <c r="AI28" s="93">
        <v>0</v>
      </c>
      <c r="AJ28" s="93">
        <v>31</v>
      </c>
      <c r="AK28" s="93">
        <v>13</v>
      </c>
      <c r="AL28" s="93">
        <v>329.20353599999999</v>
      </c>
      <c r="AM28" s="93">
        <v>42.796464</v>
      </c>
      <c r="AN28" s="93">
        <v>372</v>
      </c>
      <c r="AO28" s="93">
        <v>3.8230089103308299E-6</v>
      </c>
      <c r="AP28" s="90" t="s">
        <v>5271</v>
      </c>
      <c r="AQ28" s="90" t="s">
        <v>498</v>
      </c>
      <c r="AR28" s="90"/>
      <c r="AS28" s="90"/>
      <c r="AT28" s="90"/>
      <c r="AU28" s="90"/>
      <c r="AV28" s="90"/>
      <c r="AW28" s="90"/>
      <c r="AX28" s="90"/>
      <c r="AY28" s="90" t="s">
        <v>5230</v>
      </c>
      <c r="AZ28" s="90"/>
      <c r="BA28" s="90" t="s">
        <v>408</v>
      </c>
      <c r="BB28" s="91">
        <v>45869.608229166697</v>
      </c>
      <c r="BC28" s="90" t="s">
        <v>405</v>
      </c>
      <c r="BD28" s="90"/>
      <c r="BE28" s="90"/>
      <c r="BF28" s="90" t="s">
        <v>5231</v>
      </c>
    </row>
    <row r="29" spans="1:58" ht="24.75" customHeight="1">
      <c r="A29" s="90" t="s">
        <v>5221</v>
      </c>
      <c r="B29" s="90"/>
      <c r="C29" s="90"/>
      <c r="D29" s="91">
        <v>45909.482696759304</v>
      </c>
      <c r="E29" s="90" t="s">
        <v>5222</v>
      </c>
      <c r="F29" s="92"/>
      <c r="G29" s="90" t="s">
        <v>5302</v>
      </c>
      <c r="H29" s="90" t="s">
        <v>5309</v>
      </c>
      <c r="I29" s="90" t="s">
        <v>5310</v>
      </c>
      <c r="J29" s="90" t="s">
        <v>5267</v>
      </c>
      <c r="K29" s="93">
        <v>4</v>
      </c>
      <c r="L29" s="93">
        <v>31</v>
      </c>
      <c r="M29" s="93">
        <v>124</v>
      </c>
      <c r="N29" s="93">
        <v>124</v>
      </c>
      <c r="O29" s="90" t="s">
        <v>5226</v>
      </c>
      <c r="P29" s="90"/>
      <c r="Q29" s="90" t="s">
        <v>5227</v>
      </c>
      <c r="R29" s="90"/>
      <c r="S29" s="90"/>
      <c r="T29" s="90"/>
      <c r="U29" s="90"/>
      <c r="V29" s="90"/>
      <c r="W29" s="90" t="s">
        <v>5271</v>
      </c>
      <c r="X29" s="90" t="s">
        <v>162</v>
      </c>
      <c r="Y29" s="90" t="s">
        <v>408</v>
      </c>
      <c r="Z29" s="90"/>
      <c r="AA29" s="93">
        <v>109.734513274336</v>
      </c>
      <c r="AB29" s="93">
        <v>109.734513274336</v>
      </c>
      <c r="AC29" s="93">
        <v>13</v>
      </c>
      <c r="AD29" s="93">
        <v>14.265486725663701</v>
      </c>
      <c r="AE29" s="90"/>
      <c r="AF29" s="90"/>
      <c r="AG29" s="90"/>
      <c r="AH29" s="90"/>
      <c r="AI29" s="93">
        <v>0</v>
      </c>
      <c r="AJ29" s="93">
        <v>31</v>
      </c>
      <c r="AK29" s="93">
        <v>13</v>
      </c>
      <c r="AL29" s="93">
        <v>109.734512</v>
      </c>
      <c r="AM29" s="93">
        <v>14.265488</v>
      </c>
      <c r="AN29" s="93">
        <v>124</v>
      </c>
      <c r="AO29" s="93">
        <v>1.2743362987066601E-6</v>
      </c>
      <c r="AP29" s="90" t="s">
        <v>5271</v>
      </c>
      <c r="AQ29" s="90" t="s">
        <v>498</v>
      </c>
      <c r="AR29" s="90"/>
      <c r="AS29" s="90"/>
      <c r="AT29" s="90"/>
      <c r="AU29" s="90"/>
      <c r="AV29" s="90"/>
      <c r="AW29" s="90"/>
      <c r="AX29" s="90"/>
      <c r="AY29" s="90" t="s">
        <v>5230</v>
      </c>
      <c r="AZ29" s="90"/>
      <c r="BA29" s="90" t="s">
        <v>408</v>
      </c>
      <c r="BB29" s="91">
        <v>45900.826493055603</v>
      </c>
      <c r="BC29" s="90" t="s">
        <v>405</v>
      </c>
      <c r="BD29" s="90"/>
      <c r="BE29" s="90"/>
      <c r="BF29" s="90" t="s">
        <v>5231</v>
      </c>
    </row>
    <row r="30" spans="1:58" ht="24.75" customHeight="1">
      <c r="A30" s="90" t="s">
        <v>5221</v>
      </c>
      <c r="B30" s="90"/>
      <c r="C30" s="90"/>
      <c r="D30" s="91">
        <v>45909.482696759304</v>
      </c>
      <c r="E30" s="90" t="s">
        <v>5222</v>
      </c>
      <c r="F30" s="92"/>
      <c r="G30" s="90" t="s">
        <v>5302</v>
      </c>
      <c r="H30" s="90" t="s">
        <v>5311</v>
      </c>
      <c r="I30" s="90" t="s">
        <v>5312</v>
      </c>
      <c r="J30" s="90"/>
      <c r="K30" s="93">
        <v>6</v>
      </c>
      <c r="L30" s="93">
        <v>120</v>
      </c>
      <c r="M30" s="93">
        <v>720</v>
      </c>
      <c r="N30" s="93">
        <v>720</v>
      </c>
      <c r="O30" s="90" t="s">
        <v>5226</v>
      </c>
      <c r="P30" s="90"/>
      <c r="Q30" s="90" t="s">
        <v>5227</v>
      </c>
      <c r="R30" s="90"/>
      <c r="S30" s="90"/>
      <c r="T30" s="90"/>
      <c r="U30" s="90"/>
      <c r="V30" s="90" t="s">
        <v>5275</v>
      </c>
      <c r="W30" s="90" t="s">
        <v>5271</v>
      </c>
      <c r="X30" s="90" t="s">
        <v>162</v>
      </c>
      <c r="Y30" s="90" t="s">
        <v>408</v>
      </c>
      <c r="Z30" s="90"/>
      <c r="AA30" s="93">
        <v>637.16814159292005</v>
      </c>
      <c r="AB30" s="93">
        <v>637.16814159292005</v>
      </c>
      <c r="AC30" s="93">
        <v>13</v>
      </c>
      <c r="AD30" s="93">
        <v>82.831858407079594</v>
      </c>
      <c r="AE30" s="90"/>
      <c r="AF30" s="90"/>
      <c r="AG30" s="90"/>
      <c r="AH30" s="90"/>
      <c r="AI30" s="93">
        <v>0</v>
      </c>
      <c r="AJ30" s="93">
        <v>120</v>
      </c>
      <c r="AK30" s="93">
        <v>13</v>
      </c>
      <c r="AL30" s="93">
        <v>637.16813999999999</v>
      </c>
      <c r="AM30" s="93">
        <v>82.831860000000006</v>
      </c>
      <c r="AN30" s="93">
        <v>720</v>
      </c>
      <c r="AO30" s="93">
        <v>1.59292039825232E-6</v>
      </c>
      <c r="AP30" s="90" t="s">
        <v>5271</v>
      </c>
      <c r="AQ30" s="90" t="s">
        <v>5229</v>
      </c>
      <c r="AR30" s="90"/>
      <c r="AS30" s="90"/>
      <c r="AT30" s="90"/>
      <c r="AU30" s="90"/>
      <c r="AV30" s="90"/>
      <c r="AW30" s="90"/>
      <c r="AX30" s="90"/>
      <c r="AY30" s="90" t="s">
        <v>5230</v>
      </c>
      <c r="AZ30" s="90"/>
      <c r="BA30" s="90" t="s">
        <v>408</v>
      </c>
      <c r="BB30" s="91">
        <v>45869.5789814815</v>
      </c>
      <c r="BC30" s="90" t="s">
        <v>405</v>
      </c>
      <c r="BD30" s="90"/>
      <c r="BE30" s="90"/>
      <c r="BF30" s="90" t="s">
        <v>5231</v>
      </c>
    </row>
    <row r="31" spans="1:58" ht="24.75" customHeight="1">
      <c r="A31" s="90" t="s">
        <v>5221</v>
      </c>
      <c r="B31" s="90"/>
      <c r="C31" s="90"/>
      <c r="D31" s="91">
        <v>45909.482696759304</v>
      </c>
      <c r="E31" s="90" t="s">
        <v>5222</v>
      </c>
      <c r="F31" s="92"/>
      <c r="G31" s="90" t="s">
        <v>5302</v>
      </c>
      <c r="H31" s="90" t="s">
        <v>5278</v>
      </c>
      <c r="I31" s="90" t="s">
        <v>5279</v>
      </c>
      <c r="J31" s="90" t="s">
        <v>5280</v>
      </c>
      <c r="K31" s="93">
        <v>6</v>
      </c>
      <c r="L31" s="93">
        <v>140</v>
      </c>
      <c r="M31" s="93">
        <v>840</v>
      </c>
      <c r="N31" s="93">
        <v>840</v>
      </c>
      <c r="O31" s="90" t="s">
        <v>5226</v>
      </c>
      <c r="P31" s="90"/>
      <c r="Q31" s="90" t="s">
        <v>5227</v>
      </c>
      <c r="R31" s="90"/>
      <c r="S31" s="90"/>
      <c r="T31" s="90"/>
      <c r="U31" s="90"/>
      <c r="V31" s="90" t="s">
        <v>5252</v>
      </c>
      <c r="W31" s="90" t="s">
        <v>5271</v>
      </c>
      <c r="X31" s="90" t="s">
        <v>162</v>
      </c>
      <c r="Y31" s="90" t="s">
        <v>408</v>
      </c>
      <c r="Z31" s="90"/>
      <c r="AA31" s="93">
        <v>743.36283185840705</v>
      </c>
      <c r="AB31" s="93">
        <v>743.36283185840705</v>
      </c>
      <c r="AC31" s="93">
        <v>13</v>
      </c>
      <c r="AD31" s="93">
        <v>96.637168141592895</v>
      </c>
      <c r="AE31" s="90"/>
      <c r="AF31" s="90"/>
      <c r="AG31" s="90"/>
      <c r="AH31" s="90"/>
      <c r="AI31" s="93">
        <v>0</v>
      </c>
      <c r="AJ31" s="93">
        <v>140</v>
      </c>
      <c r="AK31" s="93">
        <v>13</v>
      </c>
      <c r="AL31" s="93">
        <v>743.36283000000003</v>
      </c>
      <c r="AM31" s="93">
        <v>96.637169999999998</v>
      </c>
      <c r="AN31" s="93">
        <v>840</v>
      </c>
      <c r="AO31" s="93">
        <v>1.85840713129437E-6</v>
      </c>
      <c r="AP31" s="90" t="s">
        <v>5271</v>
      </c>
      <c r="AQ31" s="90" t="s">
        <v>5229</v>
      </c>
      <c r="AR31" s="90"/>
      <c r="AS31" s="90"/>
      <c r="AT31" s="90"/>
      <c r="AU31" s="90"/>
      <c r="AV31" s="90"/>
      <c r="AW31" s="90"/>
      <c r="AX31" s="90"/>
      <c r="AY31" s="90" t="s">
        <v>5230</v>
      </c>
      <c r="AZ31" s="90"/>
      <c r="BA31" s="90" t="s">
        <v>408</v>
      </c>
      <c r="BB31" s="91">
        <v>45890.426377314798</v>
      </c>
      <c r="BC31" s="90" t="s">
        <v>406</v>
      </c>
      <c r="BD31" s="90"/>
      <c r="BE31" s="90"/>
      <c r="BF31" s="90" t="s">
        <v>5231</v>
      </c>
    </row>
    <row r="32" spans="1:58" ht="24.75" customHeight="1">
      <c r="A32" s="90" t="s">
        <v>5221</v>
      </c>
      <c r="B32" s="90"/>
      <c r="C32" s="90"/>
      <c r="D32" s="91">
        <v>45909.482696759304</v>
      </c>
      <c r="E32" s="90" t="s">
        <v>5222</v>
      </c>
      <c r="F32" s="92"/>
      <c r="G32" s="90" t="s">
        <v>5302</v>
      </c>
      <c r="H32" s="90" t="s">
        <v>5224</v>
      </c>
      <c r="I32" s="90" t="s">
        <v>5225</v>
      </c>
      <c r="J32" s="90"/>
      <c r="K32" s="93">
        <v>4</v>
      </c>
      <c r="L32" s="93">
        <v>379</v>
      </c>
      <c r="M32" s="93">
        <v>1516</v>
      </c>
      <c r="N32" s="93">
        <v>1516</v>
      </c>
      <c r="O32" s="90" t="s">
        <v>5226</v>
      </c>
      <c r="P32" s="90"/>
      <c r="Q32" s="90" t="s">
        <v>5227</v>
      </c>
      <c r="R32" s="90"/>
      <c r="S32" s="90"/>
      <c r="T32" s="90"/>
      <c r="U32" s="90"/>
      <c r="V32" s="90" t="s">
        <v>5228</v>
      </c>
      <c r="W32" s="90" t="s">
        <v>5271</v>
      </c>
      <c r="X32" s="90" t="s">
        <v>162</v>
      </c>
      <c r="Y32" s="90" t="s">
        <v>408</v>
      </c>
      <c r="Z32" s="90"/>
      <c r="AA32" s="93">
        <v>1341.5929203539799</v>
      </c>
      <c r="AB32" s="93">
        <v>1341.5929203539799</v>
      </c>
      <c r="AC32" s="93">
        <v>13</v>
      </c>
      <c r="AD32" s="93">
        <v>174.40707964601799</v>
      </c>
      <c r="AE32" s="90"/>
      <c r="AF32" s="90"/>
      <c r="AG32" s="90"/>
      <c r="AH32" s="90"/>
      <c r="AI32" s="93">
        <v>0</v>
      </c>
      <c r="AJ32" s="93">
        <v>379</v>
      </c>
      <c r="AK32" s="93">
        <v>13</v>
      </c>
      <c r="AL32" s="93">
        <v>1341.59292</v>
      </c>
      <c r="AM32" s="93">
        <v>174.40708000000001</v>
      </c>
      <c r="AN32" s="93">
        <v>1516</v>
      </c>
      <c r="AO32" s="93">
        <v>3.5398238651396199E-7</v>
      </c>
      <c r="AP32" s="90" t="s">
        <v>5271</v>
      </c>
      <c r="AQ32" s="90" t="s">
        <v>5229</v>
      </c>
      <c r="AR32" s="90"/>
      <c r="AS32" s="90"/>
      <c r="AT32" s="90"/>
      <c r="AU32" s="90"/>
      <c r="AV32" s="90"/>
      <c r="AW32" s="90"/>
      <c r="AX32" s="90"/>
      <c r="AY32" s="90" t="s">
        <v>5230</v>
      </c>
      <c r="AZ32" s="90"/>
      <c r="BA32" s="90" t="s">
        <v>408</v>
      </c>
      <c r="BB32" s="91">
        <v>45836.789247685199</v>
      </c>
      <c r="BC32" s="90" t="s">
        <v>405</v>
      </c>
      <c r="BD32" s="90"/>
      <c r="BE32" s="90"/>
      <c r="BF32" s="90" t="s">
        <v>5231</v>
      </c>
    </row>
    <row r="33" spans="1:58" ht="24.75" customHeight="1">
      <c r="A33" s="90" t="s">
        <v>5221</v>
      </c>
      <c r="B33" s="90"/>
      <c r="C33" s="90"/>
      <c r="D33" s="91">
        <v>45909.482696759304</v>
      </c>
      <c r="E33" s="90" t="s">
        <v>5222</v>
      </c>
      <c r="F33" s="92"/>
      <c r="G33" s="90" t="s">
        <v>5302</v>
      </c>
      <c r="H33" s="90" t="s">
        <v>5224</v>
      </c>
      <c r="I33" s="90" t="s">
        <v>5225</v>
      </c>
      <c r="J33" s="90"/>
      <c r="K33" s="93">
        <v>12</v>
      </c>
      <c r="L33" s="93">
        <v>190</v>
      </c>
      <c r="M33" s="93">
        <v>2280</v>
      </c>
      <c r="N33" s="93">
        <v>2280</v>
      </c>
      <c r="O33" s="90" t="s">
        <v>5226</v>
      </c>
      <c r="P33" s="90"/>
      <c r="Q33" s="90" t="s">
        <v>5227</v>
      </c>
      <c r="R33" s="90"/>
      <c r="S33" s="90"/>
      <c r="T33" s="90"/>
      <c r="U33" s="90"/>
      <c r="V33" s="90" t="s">
        <v>5228</v>
      </c>
      <c r="W33" s="90" t="s">
        <v>5271</v>
      </c>
      <c r="X33" s="90" t="s">
        <v>162</v>
      </c>
      <c r="Y33" s="90" t="s">
        <v>408</v>
      </c>
      <c r="Z33" s="90"/>
      <c r="AA33" s="93">
        <v>2017.69911504425</v>
      </c>
      <c r="AB33" s="93">
        <v>2017.69911504425</v>
      </c>
      <c r="AC33" s="93">
        <v>13</v>
      </c>
      <c r="AD33" s="93">
        <v>262.300884955752</v>
      </c>
      <c r="AE33" s="90"/>
      <c r="AF33" s="90"/>
      <c r="AG33" s="90"/>
      <c r="AH33" s="90"/>
      <c r="AI33" s="93">
        <v>0</v>
      </c>
      <c r="AJ33" s="93">
        <v>190</v>
      </c>
      <c r="AK33" s="93">
        <v>13</v>
      </c>
      <c r="AL33" s="93">
        <v>2017.699116</v>
      </c>
      <c r="AM33" s="93">
        <v>262.300884</v>
      </c>
      <c r="AN33" s="93">
        <v>2280</v>
      </c>
      <c r="AO33" s="93">
        <v>-9.5575205705245004E-7</v>
      </c>
      <c r="AP33" s="90" t="s">
        <v>5271</v>
      </c>
      <c r="AQ33" s="90" t="s">
        <v>5229</v>
      </c>
      <c r="AR33" s="90"/>
      <c r="AS33" s="90"/>
      <c r="AT33" s="90"/>
      <c r="AU33" s="90"/>
      <c r="AV33" s="90"/>
      <c r="AW33" s="90"/>
      <c r="AX33" s="90"/>
      <c r="AY33" s="90" t="s">
        <v>5230</v>
      </c>
      <c r="AZ33" s="90"/>
      <c r="BA33" s="90" t="s">
        <v>408</v>
      </c>
      <c r="BB33" s="91">
        <v>45869.608229166697</v>
      </c>
      <c r="BC33" s="90" t="s">
        <v>405</v>
      </c>
      <c r="BD33" s="90"/>
      <c r="BE33" s="90"/>
      <c r="BF33" s="90" t="s">
        <v>5231</v>
      </c>
    </row>
    <row r="34" spans="1:58" ht="24.75" customHeight="1">
      <c r="A34" s="90" t="s">
        <v>5232</v>
      </c>
      <c r="B34" s="90"/>
      <c r="C34" s="90"/>
      <c r="D34" s="91">
        <v>45909.589733796303</v>
      </c>
      <c r="E34" s="90" t="s">
        <v>5222</v>
      </c>
      <c r="F34" s="92"/>
      <c r="G34" s="90" t="s">
        <v>5313</v>
      </c>
      <c r="H34" s="90" t="s">
        <v>5243</v>
      </c>
      <c r="I34" s="90" t="s">
        <v>5244</v>
      </c>
      <c r="J34" s="90"/>
      <c r="K34" s="93">
        <v>2</v>
      </c>
      <c r="L34" s="93">
        <v>27.5</v>
      </c>
      <c r="M34" s="93">
        <v>55</v>
      </c>
      <c r="N34" s="93">
        <v>55</v>
      </c>
      <c r="O34" s="90" t="s">
        <v>5226</v>
      </c>
      <c r="P34" s="90"/>
      <c r="Q34" s="90" t="s">
        <v>5227</v>
      </c>
      <c r="R34" s="90"/>
      <c r="S34" s="90"/>
      <c r="T34" s="90"/>
      <c r="U34" s="90"/>
      <c r="V34" s="90" t="s">
        <v>5245</v>
      </c>
      <c r="W34" s="90" t="s">
        <v>5271</v>
      </c>
      <c r="X34" s="90" t="s">
        <v>5237</v>
      </c>
      <c r="Y34" s="90" t="s">
        <v>5238</v>
      </c>
      <c r="Z34" s="90"/>
      <c r="AA34" s="93">
        <v>48.672566371681398</v>
      </c>
      <c r="AB34" s="93">
        <v>48.672566371681398</v>
      </c>
      <c r="AC34" s="93">
        <v>13</v>
      </c>
      <c r="AD34" s="93">
        <v>6.3274336283185804</v>
      </c>
      <c r="AE34" s="90"/>
      <c r="AF34" s="90"/>
      <c r="AG34" s="90"/>
      <c r="AH34" s="90"/>
      <c r="AI34" s="93">
        <v>0</v>
      </c>
      <c r="AJ34" s="93">
        <v>27.5</v>
      </c>
      <c r="AK34" s="93">
        <v>13</v>
      </c>
      <c r="AL34" s="93">
        <v>48.672566000000003</v>
      </c>
      <c r="AM34" s="93">
        <v>6.3274340000000002</v>
      </c>
      <c r="AN34" s="93">
        <v>55</v>
      </c>
      <c r="AO34" s="93">
        <v>3.7168141631127598E-7</v>
      </c>
      <c r="AP34" s="90" t="s">
        <v>5271</v>
      </c>
      <c r="AQ34" s="90" t="s">
        <v>5246</v>
      </c>
      <c r="AR34" s="90"/>
      <c r="AS34" s="90"/>
      <c r="AT34" s="90"/>
      <c r="AU34" s="90"/>
      <c r="AV34" s="90"/>
      <c r="AW34" s="90"/>
      <c r="AX34" s="90"/>
      <c r="AY34" s="90" t="s">
        <v>5230</v>
      </c>
      <c r="AZ34" s="90"/>
      <c r="BA34" s="90" t="s">
        <v>5238</v>
      </c>
      <c r="BB34" s="91">
        <v>45885.456469907404</v>
      </c>
      <c r="BC34" s="90" t="s">
        <v>405</v>
      </c>
      <c r="BD34" s="90" t="s">
        <v>5314</v>
      </c>
      <c r="BE34" s="90"/>
      <c r="BF34" s="90" t="s">
        <v>5242</v>
      </c>
    </row>
    <row r="35" spans="1:58" ht="24.75" customHeight="1">
      <c r="A35" s="90" t="s">
        <v>5221</v>
      </c>
      <c r="B35" s="90"/>
      <c r="C35" s="90"/>
      <c r="D35" s="91">
        <v>45909.785370370402</v>
      </c>
      <c r="E35" s="90" t="s">
        <v>5222</v>
      </c>
      <c r="F35" s="92"/>
      <c r="G35" s="90" t="s">
        <v>5315</v>
      </c>
      <c r="H35" s="90" t="s">
        <v>5316</v>
      </c>
      <c r="I35" s="90" t="s">
        <v>5317</v>
      </c>
      <c r="J35" s="90"/>
      <c r="K35" s="93">
        <v>4</v>
      </c>
      <c r="L35" s="93">
        <v>202</v>
      </c>
      <c r="M35" s="93">
        <v>808</v>
      </c>
      <c r="N35" s="93">
        <v>808</v>
      </c>
      <c r="O35" s="90" t="s">
        <v>5226</v>
      </c>
      <c r="P35" s="90"/>
      <c r="Q35" s="90" t="s">
        <v>5227</v>
      </c>
      <c r="R35" s="90"/>
      <c r="S35" s="90"/>
      <c r="T35" s="90"/>
      <c r="U35" s="90"/>
      <c r="V35" s="90" t="s">
        <v>5228</v>
      </c>
      <c r="W35" s="90" t="s">
        <v>5271</v>
      </c>
      <c r="X35" s="90" t="s">
        <v>162</v>
      </c>
      <c r="Y35" s="90" t="s">
        <v>408</v>
      </c>
      <c r="Z35" s="90"/>
      <c r="AA35" s="93">
        <v>715.04424778761097</v>
      </c>
      <c r="AB35" s="93">
        <v>715.04424778761097</v>
      </c>
      <c r="AC35" s="93">
        <v>13</v>
      </c>
      <c r="AD35" s="93">
        <v>92.955752212389299</v>
      </c>
      <c r="AE35" s="90"/>
      <c r="AF35" s="90"/>
      <c r="AG35" s="90"/>
      <c r="AH35" s="90"/>
      <c r="AI35" s="93">
        <v>0</v>
      </c>
      <c r="AJ35" s="93">
        <v>202</v>
      </c>
      <c r="AK35" s="93">
        <v>13</v>
      </c>
      <c r="AL35" s="93">
        <v>715.04424800000004</v>
      </c>
      <c r="AM35" s="93">
        <v>92.955752000000004</v>
      </c>
      <c r="AN35" s="93">
        <v>808</v>
      </c>
      <c r="AO35" s="93">
        <v>-2.12389295484172E-7</v>
      </c>
      <c r="AP35" s="90" t="s">
        <v>5271</v>
      </c>
      <c r="AQ35" s="90" t="s">
        <v>5229</v>
      </c>
      <c r="AR35" s="90"/>
      <c r="AS35" s="90"/>
      <c r="AT35" s="90"/>
      <c r="AU35" s="90"/>
      <c r="AV35" s="90"/>
      <c r="AW35" s="90"/>
      <c r="AX35" s="90"/>
      <c r="AY35" s="90" t="s">
        <v>5230</v>
      </c>
      <c r="AZ35" s="90"/>
      <c r="BA35" s="90" t="s">
        <v>408</v>
      </c>
      <c r="BB35" s="91">
        <v>45642.799988425897</v>
      </c>
      <c r="BC35" s="90" t="s">
        <v>405</v>
      </c>
      <c r="BD35" s="90"/>
      <c r="BE35" s="90"/>
      <c r="BF35" s="90" t="s">
        <v>5231</v>
      </c>
    </row>
    <row r="36" spans="1:58" ht="24.75" customHeight="1">
      <c r="A36" s="90" t="s">
        <v>5221</v>
      </c>
      <c r="B36" s="90"/>
      <c r="C36" s="90"/>
      <c r="D36" s="91">
        <v>45909.785370370402</v>
      </c>
      <c r="E36" s="90" t="s">
        <v>5222</v>
      </c>
      <c r="F36" s="92"/>
      <c r="G36" s="90" t="s">
        <v>5315</v>
      </c>
      <c r="H36" s="90" t="s">
        <v>5318</v>
      </c>
      <c r="I36" s="90" t="s">
        <v>5319</v>
      </c>
      <c r="J36" s="90" t="s">
        <v>5267</v>
      </c>
      <c r="K36" s="93">
        <v>8</v>
      </c>
      <c r="L36" s="93">
        <v>179.4</v>
      </c>
      <c r="M36" s="93">
        <v>1435.2</v>
      </c>
      <c r="N36" s="93">
        <v>1435.2</v>
      </c>
      <c r="O36" s="90" t="s">
        <v>5226</v>
      </c>
      <c r="P36" s="90"/>
      <c r="Q36" s="90" t="s">
        <v>5227</v>
      </c>
      <c r="R36" s="90"/>
      <c r="S36" s="90"/>
      <c r="T36" s="90"/>
      <c r="U36" s="90"/>
      <c r="V36" s="90" t="s">
        <v>5228</v>
      </c>
      <c r="W36" s="90" t="s">
        <v>5271</v>
      </c>
      <c r="X36" s="90" t="s">
        <v>162</v>
      </c>
      <c r="Y36" s="90" t="s">
        <v>408</v>
      </c>
      <c r="Z36" s="90"/>
      <c r="AA36" s="93">
        <v>1270.0884955752199</v>
      </c>
      <c r="AB36" s="93">
        <v>1270.0884955752199</v>
      </c>
      <c r="AC36" s="93">
        <v>13</v>
      </c>
      <c r="AD36" s="93">
        <v>165.11150442477901</v>
      </c>
      <c r="AE36" s="90"/>
      <c r="AF36" s="90"/>
      <c r="AG36" s="90"/>
      <c r="AH36" s="90"/>
      <c r="AI36" s="93">
        <v>0</v>
      </c>
      <c r="AJ36" s="93">
        <v>179.4</v>
      </c>
      <c r="AK36" s="93">
        <v>13</v>
      </c>
      <c r="AL36" s="93">
        <v>1270.0884960000001</v>
      </c>
      <c r="AM36" s="93">
        <v>165.111504</v>
      </c>
      <c r="AN36" s="93">
        <v>1435.2</v>
      </c>
      <c r="AO36" s="93">
        <v>-4.2477859096834399E-7</v>
      </c>
      <c r="AP36" s="90" t="s">
        <v>5271</v>
      </c>
      <c r="AQ36" s="90" t="s">
        <v>5229</v>
      </c>
      <c r="AR36" s="90"/>
      <c r="AS36" s="90"/>
      <c r="AT36" s="90"/>
      <c r="AU36" s="90"/>
      <c r="AV36" s="90"/>
      <c r="AW36" s="90"/>
      <c r="AX36" s="90"/>
      <c r="AY36" s="90" t="s">
        <v>5230</v>
      </c>
      <c r="AZ36" s="90"/>
      <c r="BA36" s="90" t="s">
        <v>408</v>
      </c>
      <c r="BB36" s="91">
        <v>45803.6719675926</v>
      </c>
      <c r="BC36" s="90" t="s">
        <v>405</v>
      </c>
      <c r="BD36" s="90"/>
      <c r="BE36" s="90"/>
      <c r="BF36" s="90" t="s">
        <v>5231</v>
      </c>
    </row>
    <row r="37" spans="1:58" ht="24.75" customHeight="1">
      <c r="A37" s="90" t="s">
        <v>5247</v>
      </c>
      <c r="B37" s="90"/>
      <c r="C37" s="90"/>
      <c r="D37" s="91">
        <v>45911.320833333302</v>
      </c>
      <c r="E37" s="90" t="s">
        <v>5222</v>
      </c>
      <c r="F37" s="92"/>
      <c r="G37" s="90" t="s">
        <v>5320</v>
      </c>
      <c r="H37" s="90" t="s">
        <v>5321</v>
      </c>
      <c r="I37" s="90" t="s">
        <v>5322</v>
      </c>
      <c r="J37" s="90" t="s">
        <v>5323</v>
      </c>
      <c r="K37" s="93">
        <v>20</v>
      </c>
      <c r="L37" s="93">
        <v>25</v>
      </c>
      <c r="M37" s="93">
        <v>500</v>
      </c>
      <c r="N37" s="93">
        <v>500</v>
      </c>
      <c r="O37" s="90" t="s">
        <v>5226</v>
      </c>
      <c r="P37" s="90"/>
      <c r="Q37" s="90" t="s">
        <v>5227</v>
      </c>
      <c r="R37" s="90"/>
      <c r="S37" s="90"/>
      <c r="T37" s="90"/>
      <c r="U37" s="90"/>
      <c r="V37" s="90" t="s">
        <v>5260</v>
      </c>
      <c r="W37" s="90" t="s">
        <v>94</v>
      </c>
      <c r="X37" s="90" t="s">
        <v>143</v>
      </c>
      <c r="Y37" s="90" t="s">
        <v>5253</v>
      </c>
      <c r="Z37" s="90"/>
      <c r="AA37" s="93">
        <v>442.47787610619503</v>
      </c>
      <c r="AB37" s="93">
        <v>442.47787610619503</v>
      </c>
      <c r="AC37" s="93">
        <v>13</v>
      </c>
      <c r="AD37" s="93">
        <v>57.522123893805301</v>
      </c>
      <c r="AE37" s="90"/>
      <c r="AF37" s="90"/>
      <c r="AG37" s="90"/>
      <c r="AH37" s="90"/>
      <c r="AI37" s="93">
        <v>0</v>
      </c>
      <c r="AJ37" s="93">
        <v>25</v>
      </c>
      <c r="AK37" s="93">
        <v>13</v>
      </c>
      <c r="AL37" s="93">
        <v>442.47788000000003</v>
      </c>
      <c r="AM37" s="93">
        <v>57.522120000000001</v>
      </c>
      <c r="AN37" s="93">
        <v>500</v>
      </c>
      <c r="AO37" s="93">
        <v>-3.8938052853154701E-6</v>
      </c>
      <c r="AP37" s="90" t="s">
        <v>94</v>
      </c>
      <c r="AQ37" s="90" t="s">
        <v>5239</v>
      </c>
      <c r="AR37" s="90"/>
      <c r="AS37" s="90"/>
      <c r="AT37" s="90"/>
      <c r="AU37" s="90"/>
      <c r="AV37" s="90"/>
      <c r="AW37" s="90"/>
      <c r="AX37" s="90"/>
      <c r="AY37" s="90" t="s">
        <v>5230</v>
      </c>
      <c r="AZ37" s="90"/>
      <c r="BA37" s="90" t="s">
        <v>5253</v>
      </c>
      <c r="BB37" s="91">
        <v>45911.320416666698</v>
      </c>
      <c r="BC37" s="90" t="s">
        <v>402</v>
      </c>
      <c r="BD37" s="90"/>
      <c r="BE37" s="90"/>
      <c r="BF37" s="90" t="s">
        <v>5254</v>
      </c>
    </row>
    <row r="38" spans="1:58" ht="24.75" customHeight="1">
      <c r="A38" s="90" t="s">
        <v>5247</v>
      </c>
      <c r="B38" s="90"/>
      <c r="C38" s="90"/>
      <c r="D38" s="91">
        <v>45911.320833333302</v>
      </c>
      <c r="E38" s="90" t="s">
        <v>5222</v>
      </c>
      <c r="F38" s="92"/>
      <c r="G38" s="90" t="s">
        <v>5320</v>
      </c>
      <c r="H38" s="90" t="s">
        <v>5324</v>
      </c>
      <c r="I38" s="90" t="s">
        <v>5325</v>
      </c>
      <c r="J38" s="90" t="s">
        <v>5326</v>
      </c>
      <c r="K38" s="93">
        <v>1</v>
      </c>
      <c r="L38" s="93">
        <v>28</v>
      </c>
      <c r="M38" s="93">
        <v>28</v>
      </c>
      <c r="N38" s="93">
        <v>28</v>
      </c>
      <c r="O38" s="90" t="s">
        <v>5226</v>
      </c>
      <c r="P38" s="90"/>
      <c r="Q38" s="90" t="s">
        <v>5227</v>
      </c>
      <c r="R38" s="90"/>
      <c r="S38" s="90"/>
      <c r="T38" s="90"/>
      <c r="U38" s="90"/>
      <c r="V38" s="90" t="s">
        <v>5252</v>
      </c>
      <c r="W38" s="90" t="s">
        <v>94</v>
      </c>
      <c r="X38" s="90" t="s">
        <v>143</v>
      </c>
      <c r="Y38" s="90" t="s">
        <v>5253</v>
      </c>
      <c r="Z38" s="90"/>
      <c r="AA38" s="93">
        <v>24.778761061946899</v>
      </c>
      <c r="AB38" s="93">
        <v>24.778761061946899</v>
      </c>
      <c r="AC38" s="93">
        <v>13</v>
      </c>
      <c r="AD38" s="93">
        <v>3.2212389380531001</v>
      </c>
      <c r="AE38" s="90"/>
      <c r="AF38" s="90"/>
      <c r="AG38" s="90"/>
      <c r="AH38" s="90"/>
      <c r="AI38" s="93">
        <v>0</v>
      </c>
      <c r="AJ38" s="93">
        <v>28</v>
      </c>
      <c r="AK38" s="93">
        <v>13</v>
      </c>
      <c r="AL38" s="93">
        <v>24.778760999999999</v>
      </c>
      <c r="AM38" s="93">
        <v>3.2212390000000002</v>
      </c>
      <c r="AN38" s="93">
        <v>28</v>
      </c>
      <c r="AO38" s="93">
        <v>6.1946906271259597E-8</v>
      </c>
      <c r="AP38" s="90" t="s">
        <v>94</v>
      </c>
      <c r="AQ38" s="90" t="s">
        <v>5239</v>
      </c>
      <c r="AR38" s="90"/>
      <c r="AS38" s="90"/>
      <c r="AT38" s="90"/>
      <c r="AU38" s="90"/>
      <c r="AV38" s="90"/>
      <c r="AW38" s="90"/>
      <c r="AX38" s="90"/>
      <c r="AY38" s="90" t="s">
        <v>5230</v>
      </c>
      <c r="AZ38" s="90"/>
      <c r="BA38" s="90" t="s">
        <v>5253</v>
      </c>
      <c r="BB38" s="91">
        <v>45902.4897569444</v>
      </c>
      <c r="BC38" s="90" t="s">
        <v>402</v>
      </c>
      <c r="BD38" s="90"/>
      <c r="BE38" s="90"/>
      <c r="BF38" s="90" t="s">
        <v>5254</v>
      </c>
    </row>
    <row r="39" spans="1:58" ht="24.75" customHeight="1">
      <c r="A39" s="90" t="s">
        <v>5221</v>
      </c>
      <c r="B39" s="90"/>
      <c r="C39" s="90"/>
      <c r="D39" s="91">
        <v>45911.614733796298</v>
      </c>
      <c r="E39" s="90" t="s">
        <v>5222</v>
      </c>
      <c r="F39" s="92"/>
      <c r="G39" s="90" t="s">
        <v>5327</v>
      </c>
      <c r="H39" s="90" t="s">
        <v>5276</v>
      </c>
      <c r="I39" s="90" t="s">
        <v>5277</v>
      </c>
      <c r="J39" s="90"/>
      <c r="K39" s="93">
        <v>300</v>
      </c>
      <c r="L39" s="93">
        <v>1.5</v>
      </c>
      <c r="M39" s="93">
        <v>450</v>
      </c>
      <c r="N39" s="93">
        <v>450</v>
      </c>
      <c r="O39" s="90" t="s">
        <v>5226</v>
      </c>
      <c r="P39" s="90"/>
      <c r="Q39" s="90" t="s">
        <v>5227</v>
      </c>
      <c r="R39" s="90"/>
      <c r="S39" s="90"/>
      <c r="T39" s="90"/>
      <c r="U39" s="90"/>
      <c r="V39" s="90" t="s">
        <v>5275</v>
      </c>
      <c r="W39" s="90" t="s">
        <v>5271</v>
      </c>
      <c r="X39" s="90" t="s">
        <v>162</v>
      </c>
      <c r="Y39" s="90" t="s">
        <v>408</v>
      </c>
      <c r="Z39" s="90"/>
      <c r="AA39" s="93">
        <v>398.23008849557499</v>
      </c>
      <c r="AB39" s="93">
        <v>398.23008849557499</v>
      </c>
      <c r="AC39" s="93">
        <v>13</v>
      </c>
      <c r="AD39" s="93">
        <v>51.769911504424797</v>
      </c>
      <c r="AE39" s="90"/>
      <c r="AF39" s="90"/>
      <c r="AG39" s="90"/>
      <c r="AH39" s="90"/>
      <c r="AI39" s="93">
        <v>0</v>
      </c>
      <c r="AJ39" s="93">
        <v>1.5</v>
      </c>
      <c r="AK39" s="93">
        <v>13</v>
      </c>
      <c r="AL39" s="93">
        <v>398.23020000000002</v>
      </c>
      <c r="AM39" s="93">
        <v>51.769799999999996</v>
      </c>
      <c r="AN39" s="93">
        <v>450</v>
      </c>
      <c r="AO39" s="93">
        <v>-1.11504424751274E-4</v>
      </c>
      <c r="AP39" s="90" t="s">
        <v>5271</v>
      </c>
      <c r="AQ39" s="90" t="s">
        <v>5229</v>
      </c>
      <c r="AR39" s="90"/>
      <c r="AS39" s="90"/>
      <c r="AT39" s="90"/>
      <c r="AU39" s="90"/>
      <c r="AV39" s="90"/>
      <c r="AW39" s="90"/>
      <c r="AX39" s="90"/>
      <c r="AY39" s="90" t="s">
        <v>5230</v>
      </c>
      <c r="AZ39" s="90"/>
      <c r="BA39" s="90" t="s">
        <v>408</v>
      </c>
      <c r="BB39" s="91">
        <v>45889.507627314801</v>
      </c>
      <c r="BC39" s="90" t="s">
        <v>405</v>
      </c>
      <c r="BD39" s="90"/>
      <c r="BE39" s="90"/>
      <c r="BF39" s="90" t="s">
        <v>5231</v>
      </c>
    </row>
    <row r="40" spans="1:58" ht="24.75" customHeight="1">
      <c r="A40" s="90" t="s">
        <v>5221</v>
      </c>
      <c r="B40" s="90"/>
      <c r="C40" s="90"/>
      <c r="D40" s="91">
        <v>45911.614733796298</v>
      </c>
      <c r="E40" s="90" t="s">
        <v>5222</v>
      </c>
      <c r="F40" s="92"/>
      <c r="G40" s="90" t="s">
        <v>5327</v>
      </c>
      <c r="H40" s="90" t="s">
        <v>5276</v>
      </c>
      <c r="I40" s="90" t="s">
        <v>5277</v>
      </c>
      <c r="J40" s="90"/>
      <c r="K40" s="93">
        <v>100</v>
      </c>
      <c r="L40" s="93">
        <v>1.5</v>
      </c>
      <c r="M40" s="93">
        <v>150</v>
      </c>
      <c r="N40" s="93">
        <v>150</v>
      </c>
      <c r="O40" s="90" t="s">
        <v>5226</v>
      </c>
      <c r="P40" s="90"/>
      <c r="Q40" s="90" t="s">
        <v>5227</v>
      </c>
      <c r="R40" s="90"/>
      <c r="S40" s="90"/>
      <c r="T40" s="90"/>
      <c r="U40" s="90"/>
      <c r="V40" s="90" t="s">
        <v>5275</v>
      </c>
      <c r="W40" s="90" t="s">
        <v>5271</v>
      </c>
      <c r="X40" s="90" t="s">
        <v>162</v>
      </c>
      <c r="Y40" s="90" t="s">
        <v>408</v>
      </c>
      <c r="Z40" s="90"/>
      <c r="AA40" s="93">
        <v>132.74336283185801</v>
      </c>
      <c r="AB40" s="93">
        <v>132.74336283185801</v>
      </c>
      <c r="AC40" s="93">
        <v>13</v>
      </c>
      <c r="AD40" s="93">
        <v>17.256637168141602</v>
      </c>
      <c r="AE40" s="90"/>
      <c r="AF40" s="90"/>
      <c r="AG40" s="90"/>
      <c r="AH40" s="90"/>
      <c r="AI40" s="93">
        <v>0</v>
      </c>
      <c r="AJ40" s="93">
        <v>1.5</v>
      </c>
      <c r="AK40" s="93">
        <v>13</v>
      </c>
      <c r="AL40" s="93">
        <v>132.74340000000001</v>
      </c>
      <c r="AM40" s="93">
        <v>17.256599999999999</v>
      </c>
      <c r="AN40" s="93">
        <v>150</v>
      </c>
      <c r="AO40" s="93">
        <v>-3.71681416027059E-5</v>
      </c>
      <c r="AP40" s="90" t="s">
        <v>5271</v>
      </c>
      <c r="AQ40" s="90" t="s">
        <v>5229</v>
      </c>
      <c r="AR40" s="90"/>
      <c r="AS40" s="90"/>
      <c r="AT40" s="90"/>
      <c r="AU40" s="90"/>
      <c r="AV40" s="90"/>
      <c r="AW40" s="90"/>
      <c r="AX40" s="90"/>
      <c r="AY40" s="90" t="s">
        <v>5230</v>
      </c>
      <c r="AZ40" s="90"/>
      <c r="BA40" s="90" t="s">
        <v>408</v>
      </c>
      <c r="BB40" s="91">
        <v>45896.752638888902</v>
      </c>
      <c r="BC40" s="90" t="s">
        <v>405</v>
      </c>
      <c r="BD40" s="90"/>
      <c r="BE40" s="90"/>
      <c r="BF40" s="90" t="s">
        <v>5231</v>
      </c>
    </row>
    <row r="41" spans="1:58" ht="24.75" customHeight="1">
      <c r="A41" s="90" t="s">
        <v>5221</v>
      </c>
      <c r="B41" s="90"/>
      <c r="C41" s="90"/>
      <c r="D41" s="91">
        <v>45911.614733796298</v>
      </c>
      <c r="E41" s="90" t="s">
        <v>5222</v>
      </c>
      <c r="F41" s="92"/>
      <c r="G41" s="90" t="s">
        <v>5327</v>
      </c>
      <c r="H41" s="90" t="s">
        <v>5328</v>
      </c>
      <c r="I41" s="90" t="s">
        <v>5329</v>
      </c>
      <c r="J41" s="90"/>
      <c r="K41" s="93">
        <v>300</v>
      </c>
      <c r="L41" s="93">
        <v>1.5</v>
      </c>
      <c r="M41" s="93">
        <v>450</v>
      </c>
      <c r="N41" s="93">
        <v>450</v>
      </c>
      <c r="O41" s="90" t="s">
        <v>5226</v>
      </c>
      <c r="P41" s="90"/>
      <c r="Q41" s="90" t="s">
        <v>5227</v>
      </c>
      <c r="R41" s="90"/>
      <c r="S41" s="90"/>
      <c r="T41" s="90"/>
      <c r="U41" s="90"/>
      <c r="V41" s="90" t="s">
        <v>5275</v>
      </c>
      <c r="W41" s="90" t="s">
        <v>5271</v>
      </c>
      <c r="X41" s="90" t="s">
        <v>162</v>
      </c>
      <c r="Y41" s="90" t="s">
        <v>408</v>
      </c>
      <c r="Z41" s="90"/>
      <c r="AA41" s="93">
        <v>398.23008849557499</v>
      </c>
      <c r="AB41" s="93">
        <v>398.23008849557499</v>
      </c>
      <c r="AC41" s="93">
        <v>13</v>
      </c>
      <c r="AD41" s="93">
        <v>51.769911504424797</v>
      </c>
      <c r="AE41" s="90"/>
      <c r="AF41" s="90"/>
      <c r="AG41" s="90"/>
      <c r="AH41" s="90"/>
      <c r="AI41" s="93">
        <v>0</v>
      </c>
      <c r="AJ41" s="93">
        <v>1.5</v>
      </c>
      <c r="AK41" s="93">
        <v>13</v>
      </c>
      <c r="AL41" s="93">
        <v>398.23020000000002</v>
      </c>
      <c r="AM41" s="93">
        <v>51.769799999999996</v>
      </c>
      <c r="AN41" s="93">
        <v>450</v>
      </c>
      <c r="AO41" s="93">
        <v>-1.11504424751274E-4</v>
      </c>
      <c r="AP41" s="90" t="s">
        <v>5271</v>
      </c>
      <c r="AQ41" s="90" t="s">
        <v>5229</v>
      </c>
      <c r="AR41" s="90"/>
      <c r="AS41" s="90"/>
      <c r="AT41" s="90"/>
      <c r="AU41" s="90"/>
      <c r="AV41" s="90"/>
      <c r="AW41" s="90"/>
      <c r="AX41" s="90"/>
      <c r="AY41" s="90" t="s">
        <v>5230</v>
      </c>
      <c r="AZ41" s="90"/>
      <c r="BA41" s="90" t="s">
        <v>408</v>
      </c>
      <c r="BB41" s="91">
        <v>45889.507627314801</v>
      </c>
      <c r="BC41" s="90" t="s">
        <v>405</v>
      </c>
      <c r="BD41" s="90"/>
      <c r="BE41" s="90"/>
      <c r="BF41" s="90" t="s">
        <v>5231</v>
      </c>
    </row>
    <row r="42" spans="1:58" ht="24.75" customHeight="1">
      <c r="A42" s="90" t="s">
        <v>5221</v>
      </c>
      <c r="B42" s="90"/>
      <c r="C42" s="90"/>
      <c r="D42" s="91">
        <v>45911.614733796298</v>
      </c>
      <c r="E42" s="90" t="s">
        <v>5222</v>
      </c>
      <c r="F42" s="92"/>
      <c r="G42" s="90" t="s">
        <v>5327</v>
      </c>
      <c r="H42" s="90" t="s">
        <v>5328</v>
      </c>
      <c r="I42" s="90" t="s">
        <v>5329</v>
      </c>
      <c r="J42" s="90"/>
      <c r="K42" s="93">
        <v>100</v>
      </c>
      <c r="L42" s="93">
        <v>1.5</v>
      </c>
      <c r="M42" s="93">
        <v>150</v>
      </c>
      <c r="N42" s="93">
        <v>150</v>
      </c>
      <c r="O42" s="90" t="s">
        <v>5226</v>
      </c>
      <c r="P42" s="90"/>
      <c r="Q42" s="90" t="s">
        <v>5227</v>
      </c>
      <c r="R42" s="90"/>
      <c r="S42" s="90"/>
      <c r="T42" s="90"/>
      <c r="U42" s="90"/>
      <c r="V42" s="90" t="s">
        <v>5275</v>
      </c>
      <c r="W42" s="90" t="s">
        <v>5271</v>
      </c>
      <c r="X42" s="90" t="s">
        <v>162</v>
      </c>
      <c r="Y42" s="90" t="s">
        <v>408</v>
      </c>
      <c r="Z42" s="90"/>
      <c r="AA42" s="93">
        <v>132.74336283185801</v>
      </c>
      <c r="AB42" s="93">
        <v>132.74336283185801</v>
      </c>
      <c r="AC42" s="93">
        <v>13</v>
      </c>
      <c r="AD42" s="93">
        <v>17.256637168141602</v>
      </c>
      <c r="AE42" s="90"/>
      <c r="AF42" s="90"/>
      <c r="AG42" s="90"/>
      <c r="AH42" s="90"/>
      <c r="AI42" s="93">
        <v>0</v>
      </c>
      <c r="AJ42" s="93">
        <v>1.5</v>
      </c>
      <c r="AK42" s="93">
        <v>13</v>
      </c>
      <c r="AL42" s="93">
        <v>132.74340000000001</v>
      </c>
      <c r="AM42" s="93">
        <v>17.256599999999999</v>
      </c>
      <c r="AN42" s="93">
        <v>150</v>
      </c>
      <c r="AO42" s="93">
        <v>-3.71681416027059E-5</v>
      </c>
      <c r="AP42" s="90" t="s">
        <v>5271</v>
      </c>
      <c r="AQ42" s="90" t="s">
        <v>5229</v>
      </c>
      <c r="AR42" s="90"/>
      <c r="AS42" s="90"/>
      <c r="AT42" s="90"/>
      <c r="AU42" s="90"/>
      <c r="AV42" s="90"/>
      <c r="AW42" s="90"/>
      <c r="AX42" s="90"/>
      <c r="AY42" s="90" t="s">
        <v>5230</v>
      </c>
      <c r="AZ42" s="90"/>
      <c r="BA42" s="90" t="s">
        <v>408</v>
      </c>
      <c r="BB42" s="91">
        <v>45896.752638888902</v>
      </c>
      <c r="BC42" s="90" t="s">
        <v>405</v>
      </c>
      <c r="BD42" s="90"/>
      <c r="BE42" s="90"/>
      <c r="BF42" s="90" t="s">
        <v>5231</v>
      </c>
    </row>
    <row r="43" spans="1:58" ht="24.75" customHeight="1">
      <c r="A43" s="90" t="s">
        <v>5221</v>
      </c>
      <c r="B43" s="90"/>
      <c r="C43" s="90"/>
      <c r="D43" s="91">
        <v>45911.614733796298</v>
      </c>
      <c r="E43" s="90" t="s">
        <v>5222</v>
      </c>
      <c r="F43" s="92"/>
      <c r="G43" s="90" t="s">
        <v>5327</v>
      </c>
      <c r="H43" s="90" t="s">
        <v>5273</v>
      </c>
      <c r="I43" s="90" t="s">
        <v>5274</v>
      </c>
      <c r="J43" s="90"/>
      <c r="K43" s="93">
        <v>200</v>
      </c>
      <c r="L43" s="93">
        <v>1.5</v>
      </c>
      <c r="M43" s="93">
        <v>300</v>
      </c>
      <c r="N43" s="93">
        <v>300</v>
      </c>
      <c r="O43" s="90" t="s">
        <v>5226</v>
      </c>
      <c r="P43" s="90"/>
      <c r="Q43" s="90" t="s">
        <v>5227</v>
      </c>
      <c r="R43" s="90"/>
      <c r="S43" s="90"/>
      <c r="T43" s="90"/>
      <c r="U43" s="90"/>
      <c r="V43" s="90" t="s">
        <v>5275</v>
      </c>
      <c r="W43" s="90" t="s">
        <v>5271</v>
      </c>
      <c r="X43" s="90" t="s">
        <v>162</v>
      </c>
      <c r="Y43" s="90" t="s">
        <v>408</v>
      </c>
      <c r="Z43" s="90"/>
      <c r="AA43" s="93">
        <v>265.48672566371698</v>
      </c>
      <c r="AB43" s="93">
        <v>265.48672566371698</v>
      </c>
      <c r="AC43" s="93">
        <v>13</v>
      </c>
      <c r="AD43" s="93">
        <v>34.513274336283203</v>
      </c>
      <c r="AE43" s="90"/>
      <c r="AF43" s="90"/>
      <c r="AG43" s="90"/>
      <c r="AH43" s="90"/>
      <c r="AI43" s="93">
        <v>0</v>
      </c>
      <c r="AJ43" s="93">
        <v>1.5</v>
      </c>
      <c r="AK43" s="93">
        <v>13</v>
      </c>
      <c r="AL43" s="93">
        <v>265.48680000000002</v>
      </c>
      <c r="AM43" s="93">
        <v>34.513199999999998</v>
      </c>
      <c r="AN43" s="93">
        <v>300</v>
      </c>
      <c r="AO43" s="93">
        <v>-7.4336283205411706E-5</v>
      </c>
      <c r="AP43" s="90" t="s">
        <v>5271</v>
      </c>
      <c r="AQ43" s="90" t="s">
        <v>5229</v>
      </c>
      <c r="AR43" s="90"/>
      <c r="AS43" s="90"/>
      <c r="AT43" s="90"/>
      <c r="AU43" s="90"/>
      <c r="AV43" s="90"/>
      <c r="AW43" s="90"/>
      <c r="AX43" s="90"/>
      <c r="AY43" s="90" t="s">
        <v>5230</v>
      </c>
      <c r="AZ43" s="90"/>
      <c r="BA43" s="90" t="s">
        <v>408</v>
      </c>
      <c r="BB43" s="91">
        <v>45896.752638888902</v>
      </c>
      <c r="BC43" s="90" t="s">
        <v>405</v>
      </c>
      <c r="BD43" s="90"/>
      <c r="BE43" s="90"/>
      <c r="BF43" s="90" t="s">
        <v>5231</v>
      </c>
    </row>
    <row r="44" spans="1:58" ht="24.75" customHeight="1">
      <c r="A44" s="90" t="s">
        <v>5221</v>
      </c>
      <c r="B44" s="90"/>
      <c r="C44" s="90"/>
      <c r="D44" s="91">
        <v>45911.614733796298</v>
      </c>
      <c r="E44" s="90" t="s">
        <v>5222</v>
      </c>
      <c r="F44" s="92"/>
      <c r="G44" s="90" t="s">
        <v>5327</v>
      </c>
      <c r="H44" s="90" t="s">
        <v>5330</v>
      </c>
      <c r="I44" s="90" t="s">
        <v>5331</v>
      </c>
      <c r="J44" s="90"/>
      <c r="K44" s="93">
        <v>200</v>
      </c>
      <c r="L44" s="93">
        <v>1.5</v>
      </c>
      <c r="M44" s="93">
        <v>300</v>
      </c>
      <c r="N44" s="93">
        <v>300</v>
      </c>
      <c r="O44" s="90" t="s">
        <v>5226</v>
      </c>
      <c r="P44" s="90"/>
      <c r="Q44" s="90" t="s">
        <v>5227</v>
      </c>
      <c r="R44" s="90"/>
      <c r="S44" s="90"/>
      <c r="T44" s="90"/>
      <c r="U44" s="90"/>
      <c r="V44" s="90" t="s">
        <v>5275</v>
      </c>
      <c r="W44" s="90" t="s">
        <v>5271</v>
      </c>
      <c r="X44" s="90" t="s">
        <v>162</v>
      </c>
      <c r="Y44" s="90" t="s">
        <v>408</v>
      </c>
      <c r="Z44" s="90"/>
      <c r="AA44" s="93">
        <v>265.48672566371698</v>
      </c>
      <c r="AB44" s="93">
        <v>265.48672566371698</v>
      </c>
      <c r="AC44" s="93">
        <v>13</v>
      </c>
      <c r="AD44" s="93">
        <v>34.513274336283203</v>
      </c>
      <c r="AE44" s="90"/>
      <c r="AF44" s="90"/>
      <c r="AG44" s="90"/>
      <c r="AH44" s="90"/>
      <c r="AI44" s="93">
        <v>0</v>
      </c>
      <c r="AJ44" s="93">
        <v>1.5</v>
      </c>
      <c r="AK44" s="93">
        <v>13</v>
      </c>
      <c r="AL44" s="93">
        <v>265.48680000000002</v>
      </c>
      <c r="AM44" s="93">
        <v>34.513199999999998</v>
      </c>
      <c r="AN44" s="93">
        <v>300</v>
      </c>
      <c r="AO44" s="93">
        <v>-7.4336283205411706E-5</v>
      </c>
      <c r="AP44" s="90" t="s">
        <v>5271</v>
      </c>
      <c r="AQ44" s="90" t="s">
        <v>5229</v>
      </c>
      <c r="AR44" s="90"/>
      <c r="AS44" s="90"/>
      <c r="AT44" s="90"/>
      <c r="AU44" s="90"/>
      <c r="AV44" s="90"/>
      <c r="AW44" s="90"/>
      <c r="AX44" s="90"/>
      <c r="AY44" s="90" t="s">
        <v>5230</v>
      </c>
      <c r="AZ44" s="90"/>
      <c r="BA44" s="90" t="s">
        <v>408</v>
      </c>
      <c r="BB44" s="91">
        <v>45801.837048611102</v>
      </c>
      <c r="BC44" s="90" t="s">
        <v>405</v>
      </c>
      <c r="BD44" s="90"/>
      <c r="BE44" s="90"/>
      <c r="BF44" s="90" t="s">
        <v>5231</v>
      </c>
    </row>
    <row r="45" spans="1:58" ht="24.75" customHeight="1">
      <c r="A45" s="90" t="s">
        <v>5247</v>
      </c>
      <c r="B45" s="90"/>
      <c r="C45" s="90"/>
      <c r="D45" s="91">
        <v>45912.432222222204</v>
      </c>
      <c r="E45" s="90" t="s">
        <v>5222</v>
      </c>
      <c r="F45" s="92"/>
      <c r="G45" s="90" t="s">
        <v>5332</v>
      </c>
      <c r="H45" s="90" t="s">
        <v>5333</v>
      </c>
      <c r="I45" s="90" t="s">
        <v>5334</v>
      </c>
      <c r="J45" s="90"/>
      <c r="K45" s="93">
        <v>1</v>
      </c>
      <c r="L45" s="93">
        <v>10</v>
      </c>
      <c r="M45" s="93">
        <v>10</v>
      </c>
      <c r="N45" s="93">
        <v>10</v>
      </c>
      <c r="O45" s="90" t="s">
        <v>5226</v>
      </c>
      <c r="P45" s="90"/>
      <c r="Q45" s="90" t="s">
        <v>5227</v>
      </c>
      <c r="R45" s="90"/>
      <c r="S45" s="90"/>
      <c r="T45" s="90"/>
      <c r="U45" s="90"/>
      <c r="V45" s="90"/>
      <c r="W45" s="90" t="s">
        <v>94</v>
      </c>
      <c r="X45" s="90" t="s">
        <v>101</v>
      </c>
      <c r="Y45" s="90" t="s">
        <v>5268</v>
      </c>
      <c r="Z45" s="90"/>
      <c r="AA45" s="93">
        <v>8.8495575221239005</v>
      </c>
      <c r="AB45" s="93">
        <v>8.8495575221239005</v>
      </c>
      <c r="AC45" s="93">
        <v>13</v>
      </c>
      <c r="AD45" s="93">
        <v>1.15044247787611</v>
      </c>
      <c r="AE45" s="90"/>
      <c r="AF45" s="90"/>
      <c r="AG45" s="90"/>
      <c r="AH45" s="90"/>
      <c r="AI45" s="93">
        <v>0</v>
      </c>
      <c r="AJ45" s="93">
        <v>10</v>
      </c>
      <c r="AK45" s="93">
        <v>13</v>
      </c>
      <c r="AL45" s="93">
        <v>8.849558</v>
      </c>
      <c r="AM45" s="93">
        <v>1.150442</v>
      </c>
      <c r="AN45" s="93">
        <v>10</v>
      </c>
      <c r="AO45" s="93">
        <v>-4.7787610490956901E-7</v>
      </c>
      <c r="AP45" s="90" t="s">
        <v>94</v>
      </c>
      <c r="AQ45" s="90" t="s">
        <v>498</v>
      </c>
      <c r="AR45" s="90"/>
      <c r="AS45" s="90"/>
      <c r="AT45" s="90"/>
      <c r="AU45" s="90"/>
      <c r="AV45" s="90"/>
      <c r="AW45" s="90"/>
      <c r="AX45" s="90"/>
      <c r="AY45" s="90" t="s">
        <v>5230</v>
      </c>
      <c r="AZ45" s="90"/>
      <c r="BA45" s="90" t="s">
        <v>5268</v>
      </c>
      <c r="BB45" s="91">
        <v>45912.431817129604</v>
      </c>
      <c r="BC45" s="90" t="s">
        <v>402</v>
      </c>
      <c r="BD45" s="90"/>
      <c r="BE45" s="90"/>
      <c r="BF45" s="90" t="s">
        <v>5269</v>
      </c>
    </row>
    <row r="46" spans="1:58" ht="24.75" customHeight="1">
      <c r="A46" s="90" t="s">
        <v>5247</v>
      </c>
      <c r="B46" s="90"/>
      <c r="C46" s="90"/>
      <c r="D46" s="91">
        <v>45912.432222222204</v>
      </c>
      <c r="E46" s="90" t="s">
        <v>5222</v>
      </c>
      <c r="F46" s="92"/>
      <c r="G46" s="90" t="s">
        <v>5332</v>
      </c>
      <c r="H46" s="90" t="s">
        <v>5335</v>
      </c>
      <c r="I46" s="90" t="s">
        <v>5336</v>
      </c>
      <c r="J46" s="90"/>
      <c r="K46" s="93">
        <v>1</v>
      </c>
      <c r="L46" s="93">
        <v>35</v>
      </c>
      <c r="M46" s="93">
        <v>35</v>
      </c>
      <c r="N46" s="93">
        <v>35</v>
      </c>
      <c r="O46" s="90" t="s">
        <v>5226</v>
      </c>
      <c r="P46" s="90"/>
      <c r="Q46" s="90" t="s">
        <v>5227</v>
      </c>
      <c r="R46" s="90"/>
      <c r="S46" s="90"/>
      <c r="T46" s="90"/>
      <c r="U46" s="90"/>
      <c r="V46" s="90"/>
      <c r="W46" s="90" t="s">
        <v>94</v>
      </c>
      <c r="X46" s="90" t="s">
        <v>101</v>
      </c>
      <c r="Y46" s="90" t="s">
        <v>5268</v>
      </c>
      <c r="Z46" s="90"/>
      <c r="AA46" s="93">
        <v>30.973451327433601</v>
      </c>
      <c r="AB46" s="93">
        <v>30.973451327433601</v>
      </c>
      <c r="AC46" s="93">
        <v>13</v>
      </c>
      <c r="AD46" s="93">
        <v>4.0265486725663697</v>
      </c>
      <c r="AE46" s="90"/>
      <c r="AF46" s="90"/>
      <c r="AG46" s="90"/>
      <c r="AH46" s="90"/>
      <c r="AI46" s="93">
        <v>0</v>
      </c>
      <c r="AJ46" s="93">
        <v>35</v>
      </c>
      <c r="AK46" s="93">
        <v>13</v>
      </c>
      <c r="AL46" s="93">
        <v>30.973451000000001</v>
      </c>
      <c r="AM46" s="93">
        <v>4.0265490000000002</v>
      </c>
      <c r="AN46" s="93">
        <v>35</v>
      </c>
      <c r="AO46" s="93">
        <v>3.2743363220788497E-7</v>
      </c>
      <c r="AP46" s="90" t="s">
        <v>94</v>
      </c>
      <c r="AQ46" s="90" t="s">
        <v>5239</v>
      </c>
      <c r="AR46" s="90"/>
      <c r="AS46" s="90"/>
      <c r="AT46" s="90"/>
      <c r="AU46" s="90"/>
      <c r="AV46" s="90"/>
      <c r="AW46" s="90"/>
      <c r="AX46" s="90"/>
      <c r="AY46" s="90" t="s">
        <v>5230</v>
      </c>
      <c r="AZ46" s="90"/>
      <c r="BA46" s="90" t="s">
        <v>5268</v>
      </c>
      <c r="BB46" s="91">
        <v>45912.431817129604</v>
      </c>
      <c r="BC46" s="90" t="s">
        <v>402</v>
      </c>
      <c r="BD46" s="90"/>
      <c r="BE46" s="90"/>
      <c r="BF46" s="90" t="s">
        <v>5269</v>
      </c>
    </row>
    <row r="47" spans="1:58" ht="24.75" customHeight="1">
      <c r="A47" s="90" t="s">
        <v>5232</v>
      </c>
      <c r="B47" s="90"/>
      <c r="C47" s="90"/>
      <c r="D47" s="91">
        <v>45913.660624999997</v>
      </c>
      <c r="E47" s="90" t="s">
        <v>5222</v>
      </c>
      <c r="F47" s="92"/>
      <c r="G47" s="90" t="s">
        <v>5337</v>
      </c>
      <c r="H47" s="90" t="s">
        <v>5243</v>
      </c>
      <c r="I47" s="90" t="s">
        <v>5244</v>
      </c>
      <c r="J47" s="90"/>
      <c r="K47" s="93">
        <v>4</v>
      </c>
      <c r="L47" s="93">
        <v>27.5</v>
      </c>
      <c r="M47" s="93">
        <v>110</v>
      </c>
      <c r="N47" s="93">
        <v>110</v>
      </c>
      <c r="O47" s="90" t="s">
        <v>5226</v>
      </c>
      <c r="P47" s="90"/>
      <c r="Q47" s="90" t="s">
        <v>5227</v>
      </c>
      <c r="R47" s="90"/>
      <c r="S47" s="90"/>
      <c r="T47" s="90"/>
      <c r="U47" s="90"/>
      <c r="V47" s="90" t="s">
        <v>5245</v>
      </c>
      <c r="W47" s="90" t="s">
        <v>99</v>
      </c>
      <c r="X47" s="90" t="s">
        <v>5237</v>
      </c>
      <c r="Y47" s="90" t="s">
        <v>5238</v>
      </c>
      <c r="Z47" s="90"/>
      <c r="AA47" s="93">
        <v>97.345132743362797</v>
      </c>
      <c r="AB47" s="93">
        <v>97.345132743362797</v>
      </c>
      <c r="AC47" s="93">
        <v>13</v>
      </c>
      <c r="AD47" s="93">
        <v>12.6548672566372</v>
      </c>
      <c r="AE47" s="90"/>
      <c r="AF47" s="90"/>
      <c r="AG47" s="90"/>
      <c r="AH47" s="90"/>
      <c r="AI47" s="93">
        <v>0</v>
      </c>
      <c r="AJ47" s="93">
        <v>27.5</v>
      </c>
      <c r="AK47" s="93">
        <v>13</v>
      </c>
      <c r="AL47" s="93">
        <v>97.345132000000007</v>
      </c>
      <c r="AM47" s="93">
        <v>12.654868</v>
      </c>
      <c r="AN47" s="93">
        <v>110</v>
      </c>
      <c r="AO47" s="93">
        <v>7.4336283262255197E-7</v>
      </c>
      <c r="AP47" s="90" t="s">
        <v>99</v>
      </c>
      <c r="AQ47" s="90" t="s">
        <v>5246</v>
      </c>
      <c r="AR47" s="90"/>
      <c r="AS47" s="90"/>
      <c r="AT47" s="90"/>
      <c r="AU47" s="90"/>
      <c r="AV47" s="90"/>
      <c r="AW47" s="90"/>
      <c r="AX47" s="90"/>
      <c r="AY47" s="90" t="s">
        <v>5230</v>
      </c>
      <c r="AZ47" s="90"/>
      <c r="BA47" s="90" t="s">
        <v>5238</v>
      </c>
      <c r="BB47" s="91">
        <v>45885.456469907404</v>
      </c>
      <c r="BC47" s="90" t="s">
        <v>405</v>
      </c>
      <c r="BD47" s="90" t="s">
        <v>5338</v>
      </c>
      <c r="BE47" s="90"/>
      <c r="BF47" s="90" t="s">
        <v>5242</v>
      </c>
    </row>
    <row r="48" spans="1:58" ht="24.75" customHeight="1">
      <c r="A48" s="90" t="s">
        <v>5232</v>
      </c>
      <c r="B48" s="90"/>
      <c r="C48" s="90"/>
      <c r="D48" s="91">
        <v>45913.660624999997</v>
      </c>
      <c r="E48" s="90" t="s">
        <v>5222</v>
      </c>
      <c r="F48" s="92"/>
      <c r="G48" s="90" t="s">
        <v>5337</v>
      </c>
      <c r="H48" s="90" t="s">
        <v>5234</v>
      </c>
      <c r="I48" s="90" t="s">
        <v>5339</v>
      </c>
      <c r="J48" s="90"/>
      <c r="K48" s="93">
        <v>2</v>
      </c>
      <c r="L48" s="93">
        <v>36</v>
      </c>
      <c r="M48" s="93">
        <v>72</v>
      </c>
      <c r="N48" s="93">
        <v>72</v>
      </c>
      <c r="O48" s="90" t="s">
        <v>5226</v>
      </c>
      <c r="P48" s="90"/>
      <c r="Q48" s="90" t="s">
        <v>5227</v>
      </c>
      <c r="R48" s="90"/>
      <c r="S48" s="90"/>
      <c r="T48" s="90"/>
      <c r="U48" s="90"/>
      <c r="V48" s="90" t="s">
        <v>5236</v>
      </c>
      <c r="W48" s="90" t="s">
        <v>99</v>
      </c>
      <c r="X48" s="90" t="s">
        <v>5237</v>
      </c>
      <c r="Y48" s="90" t="s">
        <v>5238</v>
      </c>
      <c r="Z48" s="90"/>
      <c r="AA48" s="93">
        <v>63.716814159291999</v>
      </c>
      <c r="AB48" s="93">
        <v>63.716814159291999</v>
      </c>
      <c r="AC48" s="93">
        <v>13</v>
      </c>
      <c r="AD48" s="93">
        <v>8.2831858407079597</v>
      </c>
      <c r="AE48" s="90"/>
      <c r="AF48" s="90"/>
      <c r="AG48" s="90"/>
      <c r="AH48" s="90"/>
      <c r="AI48" s="93">
        <v>0</v>
      </c>
      <c r="AJ48" s="93">
        <v>36</v>
      </c>
      <c r="AK48" s="93">
        <v>13</v>
      </c>
      <c r="AL48" s="93">
        <v>63.716813999999999</v>
      </c>
      <c r="AM48" s="93">
        <v>8.2831860000000006</v>
      </c>
      <c r="AN48" s="93">
        <v>72</v>
      </c>
      <c r="AO48" s="93">
        <v>1.59292042667403E-7</v>
      </c>
      <c r="AP48" s="90" t="s">
        <v>99</v>
      </c>
      <c r="AQ48" s="90" t="s">
        <v>5239</v>
      </c>
      <c r="AR48" s="90"/>
      <c r="AS48" s="90"/>
      <c r="AT48" s="90"/>
      <c r="AU48" s="90"/>
      <c r="AV48" s="90"/>
      <c r="AW48" s="90"/>
      <c r="AX48" s="90"/>
      <c r="AY48" s="90" t="s">
        <v>5240</v>
      </c>
      <c r="AZ48" s="90"/>
      <c r="BA48" s="90" t="s">
        <v>5238</v>
      </c>
      <c r="BB48" s="91">
        <v>45894.467685185198</v>
      </c>
      <c r="BC48" s="90" t="s">
        <v>405</v>
      </c>
      <c r="BD48" s="90" t="s">
        <v>5338</v>
      </c>
      <c r="BE48" s="90"/>
      <c r="BF48" s="90" t="s">
        <v>5242</v>
      </c>
    </row>
    <row r="49" spans="1:58" ht="24.75" customHeight="1">
      <c r="A49" s="90" t="s">
        <v>5232</v>
      </c>
      <c r="B49" s="90"/>
      <c r="C49" s="90"/>
      <c r="D49" s="91">
        <v>45916.580960648098</v>
      </c>
      <c r="E49" s="90" t="s">
        <v>5222</v>
      </c>
      <c r="F49" s="92"/>
      <c r="G49" s="90" t="s">
        <v>5340</v>
      </c>
      <c r="H49" s="90" t="s">
        <v>5234</v>
      </c>
      <c r="I49" s="90" t="s">
        <v>5339</v>
      </c>
      <c r="J49" s="90"/>
      <c r="K49" s="93">
        <v>1</v>
      </c>
      <c r="L49" s="93">
        <v>36</v>
      </c>
      <c r="M49" s="93">
        <v>36</v>
      </c>
      <c r="N49" s="93">
        <v>36</v>
      </c>
      <c r="O49" s="90" t="s">
        <v>5226</v>
      </c>
      <c r="P49" s="90"/>
      <c r="Q49" s="90" t="s">
        <v>5227</v>
      </c>
      <c r="R49" s="90"/>
      <c r="S49" s="90"/>
      <c r="T49" s="90"/>
      <c r="U49" s="90"/>
      <c r="V49" s="90" t="s">
        <v>5236</v>
      </c>
      <c r="W49" s="90" t="s">
        <v>94</v>
      </c>
      <c r="X49" s="90" t="s">
        <v>5237</v>
      </c>
      <c r="Y49" s="90" t="s">
        <v>5238</v>
      </c>
      <c r="Z49" s="90"/>
      <c r="AA49" s="93">
        <v>31.858407079646</v>
      </c>
      <c r="AB49" s="93">
        <v>31.858407079646</v>
      </c>
      <c r="AC49" s="93">
        <v>13</v>
      </c>
      <c r="AD49" s="93">
        <v>4.1415929203539799</v>
      </c>
      <c r="AE49" s="90"/>
      <c r="AF49" s="90"/>
      <c r="AG49" s="90"/>
      <c r="AH49" s="90"/>
      <c r="AI49" s="93">
        <v>0</v>
      </c>
      <c r="AJ49" s="93">
        <v>36</v>
      </c>
      <c r="AK49" s="93">
        <v>13</v>
      </c>
      <c r="AL49" s="93">
        <v>31.858407</v>
      </c>
      <c r="AM49" s="93">
        <v>4.1415930000000003</v>
      </c>
      <c r="AN49" s="93">
        <v>36</v>
      </c>
      <c r="AO49" s="93">
        <v>7.9646021333701395E-8</v>
      </c>
      <c r="AP49" s="90" t="s">
        <v>94</v>
      </c>
      <c r="AQ49" s="90" t="s">
        <v>5239</v>
      </c>
      <c r="AR49" s="90"/>
      <c r="AS49" s="90"/>
      <c r="AT49" s="90"/>
      <c r="AU49" s="90"/>
      <c r="AV49" s="90"/>
      <c r="AW49" s="90"/>
      <c r="AX49" s="90"/>
      <c r="AY49" s="90" t="s">
        <v>5240</v>
      </c>
      <c r="AZ49" s="90"/>
      <c r="BA49" s="90" t="s">
        <v>5238</v>
      </c>
      <c r="BB49" s="91">
        <v>45894.467685185198</v>
      </c>
      <c r="BC49" s="90" t="s">
        <v>405</v>
      </c>
      <c r="BD49" s="90"/>
      <c r="BE49" s="90"/>
      <c r="BF49" s="90" t="s">
        <v>5242</v>
      </c>
    </row>
    <row r="50" spans="1:58" ht="24.75" customHeight="1">
      <c r="A50" s="90" t="s">
        <v>5221</v>
      </c>
      <c r="B50" s="90"/>
      <c r="C50" s="90"/>
      <c r="D50" s="91">
        <v>45916.799097222203</v>
      </c>
      <c r="E50" s="90" t="s">
        <v>5222</v>
      </c>
      <c r="F50" s="92"/>
      <c r="G50" s="90" t="s">
        <v>5341</v>
      </c>
      <c r="H50" s="90" t="s">
        <v>5278</v>
      </c>
      <c r="I50" s="90" t="s">
        <v>5279</v>
      </c>
      <c r="J50" s="90" t="s">
        <v>5280</v>
      </c>
      <c r="K50" s="93">
        <v>6</v>
      </c>
      <c r="L50" s="93">
        <v>140</v>
      </c>
      <c r="M50" s="93">
        <v>840</v>
      </c>
      <c r="N50" s="93">
        <v>840</v>
      </c>
      <c r="O50" s="90" t="s">
        <v>5226</v>
      </c>
      <c r="P50" s="90"/>
      <c r="Q50" s="90" t="s">
        <v>5227</v>
      </c>
      <c r="R50" s="90"/>
      <c r="S50" s="90"/>
      <c r="T50" s="90"/>
      <c r="U50" s="90"/>
      <c r="V50" s="90" t="s">
        <v>5252</v>
      </c>
      <c r="W50" s="90" t="s">
        <v>5271</v>
      </c>
      <c r="X50" s="90" t="s">
        <v>162</v>
      </c>
      <c r="Y50" s="90" t="s">
        <v>408</v>
      </c>
      <c r="Z50" s="90"/>
      <c r="AA50" s="93">
        <v>743.36283185840705</v>
      </c>
      <c r="AB50" s="93">
        <v>743.36283185840705</v>
      </c>
      <c r="AC50" s="93">
        <v>13</v>
      </c>
      <c r="AD50" s="93">
        <v>96.637168141592895</v>
      </c>
      <c r="AE50" s="90"/>
      <c r="AF50" s="90"/>
      <c r="AG50" s="90"/>
      <c r="AH50" s="90"/>
      <c r="AI50" s="93">
        <v>0</v>
      </c>
      <c r="AJ50" s="93">
        <v>140</v>
      </c>
      <c r="AK50" s="93">
        <v>13</v>
      </c>
      <c r="AL50" s="93">
        <v>743.36283000000003</v>
      </c>
      <c r="AM50" s="93">
        <v>96.637169999999998</v>
      </c>
      <c r="AN50" s="93">
        <v>840</v>
      </c>
      <c r="AO50" s="93">
        <v>1.85840713129437E-6</v>
      </c>
      <c r="AP50" s="90" t="s">
        <v>5271</v>
      </c>
      <c r="AQ50" s="90" t="s">
        <v>5229</v>
      </c>
      <c r="AR50" s="90"/>
      <c r="AS50" s="90"/>
      <c r="AT50" s="90"/>
      <c r="AU50" s="90"/>
      <c r="AV50" s="90"/>
      <c r="AW50" s="90"/>
      <c r="AX50" s="90"/>
      <c r="AY50" s="90" t="s">
        <v>5230</v>
      </c>
      <c r="AZ50" s="90"/>
      <c r="BA50" s="90" t="s">
        <v>408</v>
      </c>
      <c r="BB50" s="91">
        <v>45890.426377314798</v>
      </c>
      <c r="BC50" s="90" t="s">
        <v>406</v>
      </c>
      <c r="BD50" s="90"/>
      <c r="BE50" s="90"/>
      <c r="BF50" s="90" t="s">
        <v>5231</v>
      </c>
    </row>
    <row r="51" spans="1:58" ht="24.75" customHeight="1">
      <c r="A51" s="90" t="s">
        <v>5221</v>
      </c>
      <c r="B51" s="90"/>
      <c r="C51" s="90"/>
      <c r="D51" s="91">
        <v>45916.799097222203</v>
      </c>
      <c r="E51" s="90" t="s">
        <v>5222</v>
      </c>
      <c r="F51" s="92"/>
      <c r="G51" s="90" t="s">
        <v>5341</v>
      </c>
      <c r="H51" s="90" t="s">
        <v>5342</v>
      </c>
      <c r="I51" s="90" t="s">
        <v>5343</v>
      </c>
      <c r="J51" s="90"/>
      <c r="K51" s="93">
        <v>10</v>
      </c>
      <c r="L51" s="93">
        <v>100</v>
      </c>
      <c r="M51" s="93">
        <v>1000</v>
      </c>
      <c r="N51" s="93">
        <v>1000</v>
      </c>
      <c r="O51" s="90" t="s">
        <v>5226</v>
      </c>
      <c r="P51" s="90"/>
      <c r="Q51" s="90" t="s">
        <v>5227</v>
      </c>
      <c r="R51" s="90"/>
      <c r="S51" s="90"/>
      <c r="T51" s="90"/>
      <c r="U51" s="90"/>
      <c r="V51" s="90" t="s">
        <v>5275</v>
      </c>
      <c r="W51" s="90" t="s">
        <v>5271</v>
      </c>
      <c r="X51" s="90" t="s">
        <v>162</v>
      </c>
      <c r="Y51" s="90" t="s">
        <v>408</v>
      </c>
      <c r="Z51" s="90"/>
      <c r="AA51" s="93">
        <v>884.95575221238903</v>
      </c>
      <c r="AB51" s="93">
        <v>884.95575221238903</v>
      </c>
      <c r="AC51" s="93">
        <v>13</v>
      </c>
      <c r="AD51" s="93">
        <v>115.044247787611</v>
      </c>
      <c r="AE51" s="90"/>
      <c r="AF51" s="90"/>
      <c r="AG51" s="90"/>
      <c r="AH51" s="90"/>
      <c r="AI51" s="93">
        <v>0</v>
      </c>
      <c r="AJ51" s="93">
        <v>100</v>
      </c>
      <c r="AK51" s="93">
        <v>13</v>
      </c>
      <c r="AL51" s="93">
        <v>884.95574999999997</v>
      </c>
      <c r="AM51" s="93">
        <v>115.04425000000001</v>
      </c>
      <c r="AN51" s="93">
        <v>1000</v>
      </c>
      <c r="AO51" s="93">
        <v>2.2123894041215E-6</v>
      </c>
      <c r="AP51" s="90" t="s">
        <v>5271</v>
      </c>
      <c r="AQ51" s="90" t="s">
        <v>5229</v>
      </c>
      <c r="AR51" s="90"/>
      <c r="AS51" s="90"/>
      <c r="AT51" s="90"/>
      <c r="AU51" s="90"/>
      <c r="AV51" s="90"/>
      <c r="AW51" s="90"/>
      <c r="AX51" s="90"/>
      <c r="AY51" s="90" t="s">
        <v>5230</v>
      </c>
      <c r="AZ51" s="90"/>
      <c r="BA51" s="90" t="s">
        <v>408</v>
      </c>
      <c r="BB51" s="91">
        <v>45837.404340277797</v>
      </c>
      <c r="BC51" s="90" t="s">
        <v>405</v>
      </c>
      <c r="BD51" s="90"/>
      <c r="BE51" s="90"/>
      <c r="BF51" s="90" t="s">
        <v>5231</v>
      </c>
    </row>
    <row r="52" spans="1:58" ht="24.75" customHeight="1">
      <c r="A52" s="90" t="s">
        <v>5221</v>
      </c>
      <c r="B52" s="90"/>
      <c r="C52" s="90"/>
      <c r="D52" s="91">
        <v>45916.799097222203</v>
      </c>
      <c r="E52" s="90" t="s">
        <v>5222</v>
      </c>
      <c r="F52" s="92"/>
      <c r="G52" s="90" t="s">
        <v>5341</v>
      </c>
      <c r="H52" s="90" t="s">
        <v>5344</v>
      </c>
      <c r="I52" s="90" t="s">
        <v>5345</v>
      </c>
      <c r="J52" s="90"/>
      <c r="K52" s="93">
        <v>96</v>
      </c>
      <c r="L52" s="93">
        <v>7</v>
      </c>
      <c r="M52" s="93">
        <v>672</v>
      </c>
      <c r="N52" s="93">
        <v>672</v>
      </c>
      <c r="O52" s="90" t="s">
        <v>5226</v>
      </c>
      <c r="P52" s="90"/>
      <c r="Q52" s="90" t="s">
        <v>5227</v>
      </c>
      <c r="R52" s="90"/>
      <c r="S52" s="90"/>
      <c r="T52" s="90"/>
      <c r="U52" s="90"/>
      <c r="V52" s="90" t="s">
        <v>5275</v>
      </c>
      <c r="W52" s="90" t="s">
        <v>5271</v>
      </c>
      <c r="X52" s="90" t="s">
        <v>162</v>
      </c>
      <c r="Y52" s="90" t="s">
        <v>408</v>
      </c>
      <c r="Z52" s="90"/>
      <c r="AA52" s="93">
        <v>594.69026548672605</v>
      </c>
      <c r="AB52" s="93">
        <v>594.69026548672605</v>
      </c>
      <c r="AC52" s="93">
        <v>13</v>
      </c>
      <c r="AD52" s="93">
        <v>77.309734513274293</v>
      </c>
      <c r="AE52" s="90"/>
      <c r="AF52" s="90"/>
      <c r="AG52" s="90"/>
      <c r="AH52" s="90"/>
      <c r="AI52" s="93">
        <v>0</v>
      </c>
      <c r="AJ52" s="93">
        <v>7</v>
      </c>
      <c r="AK52" s="93">
        <v>13</v>
      </c>
      <c r="AL52" s="93">
        <v>594.69024000000002</v>
      </c>
      <c r="AM52" s="93">
        <v>77.309759999999997</v>
      </c>
      <c r="AN52" s="93">
        <v>672</v>
      </c>
      <c r="AO52" s="93">
        <v>2.5486725803602901E-5</v>
      </c>
      <c r="AP52" s="90" t="s">
        <v>5271</v>
      </c>
      <c r="AQ52" s="90" t="s">
        <v>5229</v>
      </c>
      <c r="AR52" s="90"/>
      <c r="AS52" s="90"/>
      <c r="AT52" s="90"/>
      <c r="AU52" s="90"/>
      <c r="AV52" s="90"/>
      <c r="AW52" s="90"/>
      <c r="AX52" s="90"/>
      <c r="AY52" s="90" t="s">
        <v>5230</v>
      </c>
      <c r="AZ52" s="90"/>
      <c r="BA52" s="90" t="s">
        <v>408</v>
      </c>
      <c r="BB52" s="91">
        <v>45896.752638888902</v>
      </c>
      <c r="BC52" s="90" t="s">
        <v>405</v>
      </c>
      <c r="BD52" s="90"/>
      <c r="BE52" s="90"/>
      <c r="BF52" s="90" t="s">
        <v>5231</v>
      </c>
    </row>
    <row r="53" spans="1:58" ht="24.75" customHeight="1">
      <c r="A53" s="90" t="s">
        <v>5221</v>
      </c>
      <c r="B53" s="90"/>
      <c r="C53" s="90"/>
      <c r="D53" s="91">
        <v>45916.799097222203</v>
      </c>
      <c r="E53" s="90" t="s">
        <v>5222</v>
      </c>
      <c r="F53" s="92"/>
      <c r="G53" s="90" t="s">
        <v>5341</v>
      </c>
      <c r="H53" s="90" t="s">
        <v>5311</v>
      </c>
      <c r="I53" s="90" t="s">
        <v>5312</v>
      </c>
      <c r="J53" s="90"/>
      <c r="K53" s="93">
        <v>6</v>
      </c>
      <c r="L53" s="93">
        <v>120</v>
      </c>
      <c r="M53" s="93">
        <v>720</v>
      </c>
      <c r="N53" s="93">
        <v>720</v>
      </c>
      <c r="O53" s="90" t="s">
        <v>5226</v>
      </c>
      <c r="P53" s="90"/>
      <c r="Q53" s="90" t="s">
        <v>5227</v>
      </c>
      <c r="R53" s="90"/>
      <c r="S53" s="90"/>
      <c r="T53" s="90"/>
      <c r="U53" s="90"/>
      <c r="V53" s="90" t="s">
        <v>5275</v>
      </c>
      <c r="W53" s="90" t="s">
        <v>5271</v>
      </c>
      <c r="X53" s="90" t="s">
        <v>162</v>
      </c>
      <c r="Y53" s="90" t="s">
        <v>408</v>
      </c>
      <c r="Z53" s="90"/>
      <c r="AA53" s="93">
        <v>637.16814159292005</v>
      </c>
      <c r="AB53" s="93">
        <v>637.16814159292005</v>
      </c>
      <c r="AC53" s="93">
        <v>13</v>
      </c>
      <c r="AD53" s="93">
        <v>82.831858407079594</v>
      </c>
      <c r="AE53" s="90"/>
      <c r="AF53" s="90"/>
      <c r="AG53" s="90"/>
      <c r="AH53" s="90"/>
      <c r="AI53" s="93">
        <v>0</v>
      </c>
      <c r="AJ53" s="93">
        <v>120</v>
      </c>
      <c r="AK53" s="93">
        <v>13</v>
      </c>
      <c r="AL53" s="93">
        <v>637.16813999999999</v>
      </c>
      <c r="AM53" s="93">
        <v>82.831860000000006</v>
      </c>
      <c r="AN53" s="93">
        <v>720</v>
      </c>
      <c r="AO53" s="93">
        <v>1.59292039825232E-6</v>
      </c>
      <c r="AP53" s="90" t="s">
        <v>5271</v>
      </c>
      <c r="AQ53" s="90" t="s">
        <v>5229</v>
      </c>
      <c r="AR53" s="90"/>
      <c r="AS53" s="90"/>
      <c r="AT53" s="90"/>
      <c r="AU53" s="90"/>
      <c r="AV53" s="90"/>
      <c r="AW53" s="90"/>
      <c r="AX53" s="90"/>
      <c r="AY53" s="90" t="s">
        <v>5230</v>
      </c>
      <c r="AZ53" s="90"/>
      <c r="BA53" s="90" t="s">
        <v>408</v>
      </c>
      <c r="BB53" s="91">
        <v>45869.5789814815</v>
      </c>
      <c r="BC53" s="90" t="s">
        <v>405</v>
      </c>
      <c r="BD53" s="90"/>
      <c r="BE53" s="90"/>
      <c r="BF53" s="90" t="s">
        <v>5231</v>
      </c>
    </row>
    <row r="54" spans="1:58" ht="24.75" customHeight="1">
      <c r="A54" s="90" t="s">
        <v>5221</v>
      </c>
      <c r="B54" s="90"/>
      <c r="C54" s="90"/>
      <c r="D54" s="91">
        <v>45916.799097222203</v>
      </c>
      <c r="E54" s="90" t="s">
        <v>5222</v>
      </c>
      <c r="F54" s="92"/>
      <c r="G54" s="90" t="s">
        <v>5341</v>
      </c>
      <c r="H54" s="90" t="s">
        <v>5346</v>
      </c>
      <c r="I54" s="90" t="s">
        <v>5347</v>
      </c>
      <c r="J54" s="90"/>
      <c r="K54" s="93">
        <v>4</v>
      </c>
      <c r="L54" s="93">
        <v>139</v>
      </c>
      <c r="M54" s="93">
        <v>556</v>
      </c>
      <c r="N54" s="93">
        <v>556</v>
      </c>
      <c r="O54" s="90" t="s">
        <v>5226</v>
      </c>
      <c r="P54" s="90"/>
      <c r="Q54" s="90" t="s">
        <v>5227</v>
      </c>
      <c r="R54" s="90"/>
      <c r="S54" s="90"/>
      <c r="T54" s="90"/>
      <c r="U54" s="90"/>
      <c r="V54" s="90"/>
      <c r="W54" s="90" t="s">
        <v>5271</v>
      </c>
      <c r="X54" s="90" t="s">
        <v>162</v>
      </c>
      <c r="Y54" s="90" t="s">
        <v>408</v>
      </c>
      <c r="Z54" s="90"/>
      <c r="AA54" s="93">
        <v>492.03539823008902</v>
      </c>
      <c r="AB54" s="93">
        <v>492.03539823008902</v>
      </c>
      <c r="AC54" s="93">
        <v>13</v>
      </c>
      <c r="AD54" s="93">
        <v>63.964601769911503</v>
      </c>
      <c r="AE54" s="90"/>
      <c r="AF54" s="90"/>
      <c r="AG54" s="90"/>
      <c r="AH54" s="90"/>
      <c r="AI54" s="93">
        <v>0</v>
      </c>
      <c r="AJ54" s="93">
        <v>139</v>
      </c>
      <c r="AK54" s="93">
        <v>13</v>
      </c>
      <c r="AL54" s="93">
        <v>492.03539999999998</v>
      </c>
      <c r="AM54" s="93">
        <v>63.964599999999997</v>
      </c>
      <c r="AN54" s="93">
        <v>556</v>
      </c>
      <c r="AO54" s="93">
        <v>-1.76991142097904E-6</v>
      </c>
      <c r="AP54" s="90" t="s">
        <v>5271</v>
      </c>
      <c r="AQ54" s="90" t="s">
        <v>5229</v>
      </c>
      <c r="AR54" s="90"/>
      <c r="AS54" s="90"/>
      <c r="AT54" s="90"/>
      <c r="AU54" s="90"/>
      <c r="AV54" s="90"/>
      <c r="AW54" s="90"/>
      <c r="AX54" s="90"/>
      <c r="AY54" s="90" t="s">
        <v>5230</v>
      </c>
      <c r="AZ54" s="90"/>
      <c r="BA54" s="90" t="s">
        <v>408</v>
      </c>
      <c r="BB54" s="91">
        <v>45836.789247685199</v>
      </c>
      <c r="BC54" s="90" t="s">
        <v>405</v>
      </c>
      <c r="BD54" s="90"/>
      <c r="BE54" s="90"/>
      <c r="BF54" s="90" t="s">
        <v>5231</v>
      </c>
    </row>
    <row r="55" spans="1:58" ht="24.75" customHeight="1">
      <c r="A55" s="90" t="s">
        <v>5221</v>
      </c>
      <c r="B55" s="90"/>
      <c r="C55" s="90"/>
      <c r="D55" s="91">
        <v>45917.419456018499</v>
      </c>
      <c r="E55" s="90" t="s">
        <v>5222</v>
      </c>
      <c r="F55" s="92"/>
      <c r="G55" s="90" t="s">
        <v>5348</v>
      </c>
      <c r="H55" s="90" t="s">
        <v>5349</v>
      </c>
      <c r="I55" s="90" t="s">
        <v>5350</v>
      </c>
      <c r="J55" s="90" t="s">
        <v>5351</v>
      </c>
      <c r="K55" s="93">
        <v>1</v>
      </c>
      <c r="L55" s="93">
        <v>60</v>
      </c>
      <c r="M55" s="93">
        <v>60</v>
      </c>
      <c r="N55" s="93">
        <v>60</v>
      </c>
      <c r="O55" s="90" t="s">
        <v>5226</v>
      </c>
      <c r="P55" s="90"/>
      <c r="Q55" s="90" t="s">
        <v>5227</v>
      </c>
      <c r="R55" s="90"/>
      <c r="S55" s="90"/>
      <c r="T55" s="90"/>
      <c r="U55" s="90"/>
      <c r="V55" s="90"/>
      <c r="W55" s="90" t="s">
        <v>5271</v>
      </c>
      <c r="X55" s="90" t="s">
        <v>162</v>
      </c>
      <c r="Y55" s="90" t="s">
        <v>408</v>
      </c>
      <c r="Z55" s="90"/>
      <c r="AA55" s="93">
        <v>53.097345132743399</v>
      </c>
      <c r="AB55" s="93">
        <v>53.097345132743399</v>
      </c>
      <c r="AC55" s="93">
        <v>13</v>
      </c>
      <c r="AD55" s="93">
        <v>6.9026548672566301</v>
      </c>
      <c r="AE55" s="90"/>
      <c r="AF55" s="90"/>
      <c r="AG55" s="90"/>
      <c r="AH55" s="90"/>
      <c r="AI55" s="93">
        <v>0</v>
      </c>
      <c r="AJ55" s="93">
        <v>60</v>
      </c>
      <c r="AK55" s="93">
        <v>13</v>
      </c>
      <c r="AL55" s="93">
        <v>53.097344999999997</v>
      </c>
      <c r="AM55" s="93">
        <v>6.9026550000000002</v>
      </c>
      <c r="AN55" s="93">
        <v>60</v>
      </c>
      <c r="AO55" s="93">
        <v>1.3274337362645399E-7</v>
      </c>
      <c r="AP55" s="90" t="s">
        <v>5271</v>
      </c>
      <c r="AQ55" s="90" t="s">
        <v>5239</v>
      </c>
      <c r="AR55" s="90"/>
      <c r="AS55" s="90"/>
      <c r="AT55" s="90"/>
      <c r="AU55" s="90"/>
      <c r="AV55" s="90"/>
      <c r="AW55" s="90"/>
      <c r="AX55" s="90"/>
      <c r="AY55" s="90" t="s">
        <v>5230</v>
      </c>
      <c r="AZ55" s="90"/>
      <c r="BA55" s="90" t="s">
        <v>408</v>
      </c>
      <c r="BB55" s="91">
        <v>45917.4191319444</v>
      </c>
      <c r="BC55" s="90" t="s">
        <v>401</v>
      </c>
      <c r="BD55" s="90"/>
      <c r="BE55" s="90"/>
      <c r="BF55" s="90" t="s">
        <v>5231</v>
      </c>
    </row>
    <row r="56" spans="1:58" ht="24.75" customHeight="1">
      <c r="A56" s="90" t="s">
        <v>5221</v>
      </c>
      <c r="B56" s="90"/>
      <c r="C56" s="90"/>
      <c r="D56" s="91">
        <v>45917.419456018499</v>
      </c>
      <c r="E56" s="90" t="s">
        <v>5222</v>
      </c>
      <c r="F56" s="92"/>
      <c r="G56" s="90" t="s">
        <v>5348</v>
      </c>
      <c r="H56" s="90" t="s">
        <v>5352</v>
      </c>
      <c r="I56" s="90" t="s">
        <v>5353</v>
      </c>
      <c r="J56" s="90" t="s">
        <v>5267</v>
      </c>
      <c r="K56" s="93">
        <v>10</v>
      </c>
      <c r="L56" s="93">
        <v>12</v>
      </c>
      <c r="M56" s="93">
        <v>120</v>
      </c>
      <c r="N56" s="93">
        <v>120</v>
      </c>
      <c r="O56" s="90" t="s">
        <v>5226</v>
      </c>
      <c r="P56" s="90"/>
      <c r="Q56" s="90" t="s">
        <v>5227</v>
      </c>
      <c r="R56" s="90"/>
      <c r="S56" s="90"/>
      <c r="T56" s="90"/>
      <c r="U56" s="90"/>
      <c r="V56" s="90"/>
      <c r="W56" s="90" t="s">
        <v>5271</v>
      </c>
      <c r="X56" s="90" t="s">
        <v>162</v>
      </c>
      <c r="Y56" s="90" t="s">
        <v>408</v>
      </c>
      <c r="Z56" s="90"/>
      <c r="AA56" s="93">
        <v>106.194690265487</v>
      </c>
      <c r="AB56" s="93">
        <v>106.194690265487</v>
      </c>
      <c r="AC56" s="93">
        <v>13</v>
      </c>
      <c r="AD56" s="93">
        <v>13.805309734513299</v>
      </c>
      <c r="AE56" s="90"/>
      <c r="AF56" s="90"/>
      <c r="AG56" s="90"/>
      <c r="AH56" s="90"/>
      <c r="AI56" s="93">
        <v>0</v>
      </c>
      <c r="AJ56" s="93">
        <v>12</v>
      </c>
      <c r="AK56" s="93">
        <v>13</v>
      </c>
      <c r="AL56" s="93">
        <v>106.19468999999999</v>
      </c>
      <c r="AM56" s="93">
        <v>13.80531</v>
      </c>
      <c r="AN56" s="93">
        <v>120</v>
      </c>
      <c r="AO56" s="93">
        <v>2.65486733042053E-7</v>
      </c>
      <c r="AP56" s="90" t="s">
        <v>5271</v>
      </c>
      <c r="AQ56" s="90" t="s">
        <v>5239</v>
      </c>
      <c r="AR56" s="90"/>
      <c r="AS56" s="90"/>
      <c r="AT56" s="90"/>
      <c r="AU56" s="90"/>
      <c r="AV56" s="90"/>
      <c r="AW56" s="90"/>
      <c r="AX56" s="90"/>
      <c r="AY56" s="90" t="s">
        <v>5230</v>
      </c>
      <c r="AZ56" s="90"/>
      <c r="BA56" s="90" t="s">
        <v>408</v>
      </c>
      <c r="BB56" s="91">
        <v>45917.4191319444</v>
      </c>
      <c r="BC56" s="90" t="s">
        <v>401</v>
      </c>
      <c r="BD56" s="90"/>
      <c r="BE56" s="90"/>
      <c r="BF56" s="90" t="s">
        <v>5231</v>
      </c>
    </row>
    <row r="57" spans="1:58" ht="24.75" customHeight="1">
      <c r="A57" s="90" t="s">
        <v>5221</v>
      </c>
      <c r="B57" s="90"/>
      <c r="C57" s="90"/>
      <c r="D57" s="91">
        <v>45917.419456018499</v>
      </c>
      <c r="E57" s="90" t="s">
        <v>5222</v>
      </c>
      <c r="F57" s="92"/>
      <c r="G57" s="90" t="s">
        <v>5348</v>
      </c>
      <c r="H57" s="90" t="s">
        <v>5354</v>
      </c>
      <c r="I57" s="90" t="s">
        <v>5355</v>
      </c>
      <c r="J57" s="90" t="s">
        <v>5356</v>
      </c>
      <c r="K57" s="93">
        <v>1</v>
      </c>
      <c r="L57" s="93">
        <v>180</v>
      </c>
      <c r="M57" s="93">
        <v>180</v>
      </c>
      <c r="N57" s="93">
        <v>180</v>
      </c>
      <c r="O57" s="90" t="s">
        <v>5226</v>
      </c>
      <c r="P57" s="90"/>
      <c r="Q57" s="90" t="s">
        <v>5227</v>
      </c>
      <c r="R57" s="90"/>
      <c r="S57" s="90"/>
      <c r="T57" s="90"/>
      <c r="U57" s="90"/>
      <c r="V57" s="90"/>
      <c r="W57" s="90" t="s">
        <v>5271</v>
      </c>
      <c r="X57" s="90" t="s">
        <v>162</v>
      </c>
      <c r="Y57" s="90" t="s">
        <v>408</v>
      </c>
      <c r="Z57" s="90"/>
      <c r="AA57" s="93">
        <v>159.29203539823001</v>
      </c>
      <c r="AB57" s="93">
        <v>159.29203539823001</v>
      </c>
      <c r="AC57" s="93">
        <v>13</v>
      </c>
      <c r="AD57" s="93">
        <v>20.707964601769898</v>
      </c>
      <c r="AE57" s="90"/>
      <c r="AF57" s="90"/>
      <c r="AG57" s="90"/>
      <c r="AH57" s="90"/>
      <c r="AI57" s="93">
        <v>0</v>
      </c>
      <c r="AJ57" s="93">
        <v>180</v>
      </c>
      <c r="AK57" s="93">
        <v>13</v>
      </c>
      <c r="AL57" s="93">
        <v>159.292035</v>
      </c>
      <c r="AM57" s="93">
        <v>20.707965000000002</v>
      </c>
      <c r="AN57" s="93">
        <v>180</v>
      </c>
      <c r="AO57" s="93">
        <v>3.98230099563079E-7</v>
      </c>
      <c r="AP57" s="90" t="s">
        <v>5271</v>
      </c>
      <c r="AQ57" s="90" t="s">
        <v>5229</v>
      </c>
      <c r="AR57" s="90"/>
      <c r="AS57" s="90"/>
      <c r="AT57" s="90"/>
      <c r="AU57" s="90"/>
      <c r="AV57" s="90"/>
      <c r="AW57" s="90"/>
      <c r="AX57" s="90"/>
      <c r="AY57" s="90" t="s">
        <v>5230</v>
      </c>
      <c r="AZ57" s="90"/>
      <c r="BA57" s="90" t="s">
        <v>408</v>
      </c>
      <c r="BB57" s="91">
        <v>45917.4191319444</v>
      </c>
      <c r="BC57" s="90" t="s">
        <v>401</v>
      </c>
      <c r="BD57" s="90"/>
      <c r="BE57" s="90"/>
      <c r="BF57" s="90" t="s">
        <v>5231</v>
      </c>
    </row>
    <row r="58" spans="1:58" ht="24.75" customHeight="1">
      <c r="A58" s="90" t="s">
        <v>5221</v>
      </c>
      <c r="B58" s="90"/>
      <c r="C58" s="90"/>
      <c r="D58" s="91">
        <v>45917.419456018499</v>
      </c>
      <c r="E58" s="90" t="s">
        <v>5222</v>
      </c>
      <c r="F58" s="92"/>
      <c r="G58" s="90" t="s">
        <v>5348</v>
      </c>
      <c r="H58" s="90" t="s">
        <v>5357</v>
      </c>
      <c r="I58" s="90" t="s">
        <v>5358</v>
      </c>
      <c r="J58" s="90" t="s">
        <v>5351</v>
      </c>
      <c r="K58" s="93">
        <v>9</v>
      </c>
      <c r="L58" s="93">
        <v>40</v>
      </c>
      <c r="M58" s="93">
        <v>360</v>
      </c>
      <c r="N58" s="93">
        <v>360</v>
      </c>
      <c r="O58" s="90" t="s">
        <v>5226</v>
      </c>
      <c r="P58" s="90"/>
      <c r="Q58" s="90" t="s">
        <v>5227</v>
      </c>
      <c r="R58" s="90"/>
      <c r="S58" s="90"/>
      <c r="T58" s="90"/>
      <c r="U58" s="90"/>
      <c r="V58" s="90"/>
      <c r="W58" s="90" t="s">
        <v>5271</v>
      </c>
      <c r="X58" s="90" t="s">
        <v>162</v>
      </c>
      <c r="Y58" s="90" t="s">
        <v>408</v>
      </c>
      <c r="Z58" s="90"/>
      <c r="AA58" s="93">
        <v>318.58407079646003</v>
      </c>
      <c r="AB58" s="93">
        <v>318.58407079646003</v>
      </c>
      <c r="AC58" s="93">
        <v>13</v>
      </c>
      <c r="AD58" s="93">
        <v>41.415929203539797</v>
      </c>
      <c r="AE58" s="90"/>
      <c r="AF58" s="90"/>
      <c r="AG58" s="90"/>
      <c r="AH58" s="90"/>
      <c r="AI58" s="93">
        <v>0</v>
      </c>
      <c r="AJ58" s="93">
        <v>40</v>
      </c>
      <c r="AK58" s="93">
        <v>13</v>
      </c>
      <c r="AL58" s="93">
        <v>318.58407</v>
      </c>
      <c r="AM58" s="93">
        <v>41.415930000000003</v>
      </c>
      <c r="AN58" s="93">
        <v>360</v>
      </c>
      <c r="AO58" s="93">
        <v>7.9646019912615905E-7</v>
      </c>
      <c r="AP58" s="90" t="s">
        <v>5271</v>
      </c>
      <c r="AQ58" s="90" t="s">
        <v>5239</v>
      </c>
      <c r="AR58" s="90"/>
      <c r="AS58" s="90"/>
      <c r="AT58" s="90"/>
      <c r="AU58" s="90"/>
      <c r="AV58" s="90"/>
      <c r="AW58" s="90"/>
      <c r="AX58" s="90"/>
      <c r="AY58" s="90" t="s">
        <v>5230</v>
      </c>
      <c r="AZ58" s="90"/>
      <c r="BA58" s="90" t="s">
        <v>408</v>
      </c>
      <c r="BB58" s="91">
        <v>45917.4191319444</v>
      </c>
      <c r="BC58" s="90" t="s">
        <v>401</v>
      </c>
      <c r="BD58" s="90"/>
      <c r="BE58" s="90"/>
      <c r="BF58" s="90" t="s">
        <v>5231</v>
      </c>
    </row>
    <row r="59" spans="1:58" ht="24.75" customHeight="1">
      <c r="A59" s="90" t="s">
        <v>5221</v>
      </c>
      <c r="B59" s="90"/>
      <c r="C59" s="90"/>
      <c r="D59" s="91">
        <v>45917.419456018499</v>
      </c>
      <c r="E59" s="90" t="s">
        <v>5222</v>
      </c>
      <c r="F59" s="92"/>
      <c r="G59" s="90" t="s">
        <v>5348</v>
      </c>
      <c r="H59" s="90" t="s">
        <v>5359</v>
      </c>
      <c r="I59" s="90" t="s">
        <v>5360</v>
      </c>
      <c r="J59" s="90" t="s">
        <v>5356</v>
      </c>
      <c r="K59" s="93">
        <v>12</v>
      </c>
      <c r="L59" s="93">
        <v>60</v>
      </c>
      <c r="M59" s="93">
        <v>720</v>
      </c>
      <c r="N59" s="93">
        <v>720</v>
      </c>
      <c r="O59" s="90" t="s">
        <v>5226</v>
      </c>
      <c r="P59" s="90"/>
      <c r="Q59" s="90" t="s">
        <v>5227</v>
      </c>
      <c r="R59" s="90"/>
      <c r="S59" s="90"/>
      <c r="T59" s="90"/>
      <c r="U59" s="90"/>
      <c r="V59" s="90"/>
      <c r="W59" s="90" t="s">
        <v>5271</v>
      </c>
      <c r="X59" s="90" t="s">
        <v>162</v>
      </c>
      <c r="Y59" s="90" t="s">
        <v>408</v>
      </c>
      <c r="Z59" s="90"/>
      <c r="AA59" s="93">
        <v>637.16814159292005</v>
      </c>
      <c r="AB59" s="93">
        <v>637.16814159292005</v>
      </c>
      <c r="AC59" s="93">
        <v>13</v>
      </c>
      <c r="AD59" s="93">
        <v>82.831858407079594</v>
      </c>
      <c r="AE59" s="90"/>
      <c r="AF59" s="90"/>
      <c r="AG59" s="90"/>
      <c r="AH59" s="90"/>
      <c r="AI59" s="93">
        <v>0</v>
      </c>
      <c r="AJ59" s="93">
        <v>60</v>
      </c>
      <c r="AK59" s="93">
        <v>13</v>
      </c>
      <c r="AL59" s="93">
        <v>637.16813999999999</v>
      </c>
      <c r="AM59" s="93">
        <v>82.831860000000006</v>
      </c>
      <c r="AN59" s="93">
        <v>720</v>
      </c>
      <c r="AO59" s="93">
        <v>1.59292039825232E-6</v>
      </c>
      <c r="AP59" s="90" t="s">
        <v>5271</v>
      </c>
      <c r="AQ59" s="90" t="s">
        <v>498</v>
      </c>
      <c r="AR59" s="90"/>
      <c r="AS59" s="90"/>
      <c r="AT59" s="90"/>
      <c r="AU59" s="90"/>
      <c r="AV59" s="90"/>
      <c r="AW59" s="90"/>
      <c r="AX59" s="90"/>
      <c r="AY59" s="90" t="s">
        <v>5230</v>
      </c>
      <c r="AZ59" s="90"/>
      <c r="BA59" s="90" t="s">
        <v>408</v>
      </c>
      <c r="BB59" s="91">
        <v>45917.4191319444</v>
      </c>
      <c r="BC59" s="90" t="s">
        <v>401</v>
      </c>
      <c r="BD59" s="90"/>
      <c r="BE59" s="90"/>
      <c r="BF59" s="90" t="s">
        <v>5231</v>
      </c>
    </row>
    <row r="60" spans="1:58" ht="24.75" customHeight="1">
      <c r="A60" s="90" t="s">
        <v>5221</v>
      </c>
      <c r="B60" s="90"/>
      <c r="C60" s="90"/>
      <c r="D60" s="91">
        <v>45917.419456018499</v>
      </c>
      <c r="E60" s="90" t="s">
        <v>5222</v>
      </c>
      <c r="F60" s="92"/>
      <c r="G60" s="90" t="s">
        <v>5348</v>
      </c>
      <c r="H60" s="90" t="s">
        <v>5361</v>
      </c>
      <c r="I60" s="90" t="s">
        <v>5362</v>
      </c>
      <c r="J60" s="90" t="s">
        <v>5251</v>
      </c>
      <c r="K60" s="93">
        <v>200</v>
      </c>
      <c r="L60" s="93">
        <v>3</v>
      </c>
      <c r="M60" s="93">
        <v>600</v>
      </c>
      <c r="N60" s="93">
        <v>600</v>
      </c>
      <c r="O60" s="90" t="s">
        <v>5226</v>
      </c>
      <c r="P60" s="90"/>
      <c r="Q60" s="90" t="s">
        <v>5227</v>
      </c>
      <c r="R60" s="90"/>
      <c r="S60" s="90"/>
      <c r="T60" s="90"/>
      <c r="U60" s="90"/>
      <c r="V60" s="90"/>
      <c r="W60" s="90" t="s">
        <v>5271</v>
      </c>
      <c r="X60" s="90" t="s">
        <v>162</v>
      </c>
      <c r="Y60" s="90" t="s">
        <v>408</v>
      </c>
      <c r="Z60" s="90"/>
      <c r="AA60" s="93">
        <v>530.97345132743396</v>
      </c>
      <c r="AB60" s="93">
        <v>530.97345132743396</v>
      </c>
      <c r="AC60" s="93">
        <v>13</v>
      </c>
      <c r="AD60" s="93">
        <v>69.026548672566307</v>
      </c>
      <c r="AE60" s="90"/>
      <c r="AF60" s="90"/>
      <c r="AG60" s="90"/>
      <c r="AH60" s="90"/>
      <c r="AI60" s="93">
        <v>0</v>
      </c>
      <c r="AJ60" s="93">
        <v>3</v>
      </c>
      <c r="AK60" s="93">
        <v>13</v>
      </c>
      <c r="AL60" s="93">
        <v>530.97339999999997</v>
      </c>
      <c r="AM60" s="93">
        <v>69.026600000000002</v>
      </c>
      <c r="AN60" s="93">
        <v>600</v>
      </c>
      <c r="AO60" s="93">
        <v>5.1327433652659197E-5</v>
      </c>
      <c r="AP60" s="90" t="s">
        <v>5271</v>
      </c>
      <c r="AQ60" s="90" t="s">
        <v>5229</v>
      </c>
      <c r="AR60" s="90"/>
      <c r="AS60" s="90"/>
      <c r="AT60" s="90"/>
      <c r="AU60" s="90"/>
      <c r="AV60" s="90"/>
      <c r="AW60" s="90"/>
      <c r="AX60" s="90"/>
      <c r="AY60" s="90" t="s">
        <v>5230</v>
      </c>
      <c r="AZ60" s="90"/>
      <c r="BA60" s="90" t="s">
        <v>408</v>
      </c>
      <c r="BB60" s="91">
        <v>45917.4191319444</v>
      </c>
      <c r="BC60" s="90" t="s">
        <v>401</v>
      </c>
      <c r="BD60" s="90"/>
      <c r="BE60" s="90"/>
      <c r="BF60" s="90" t="s">
        <v>5231</v>
      </c>
    </row>
    <row r="61" spans="1:58" ht="24.75" customHeight="1">
      <c r="A61" s="90" t="s">
        <v>5221</v>
      </c>
      <c r="B61" s="90"/>
      <c r="C61" s="90"/>
      <c r="D61" s="91">
        <v>45917.419456018499</v>
      </c>
      <c r="E61" s="90" t="s">
        <v>5222</v>
      </c>
      <c r="F61" s="92"/>
      <c r="G61" s="90" t="s">
        <v>5348</v>
      </c>
      <c r="H61" s="90" t="s">
        <v>5363</v>
      </c>
      <c r="I61" s="90" t="s">
        <v>5364</v>
      </c>
      <c r="J61" s="90" t="s">
        <v>5267</v>
      </c>
      <c r="K61" s="93">
        <v>2</v>
      </c>
      <c r="L61" s="93">
        <v>220</v>
      </c>
      <c r="M61" s="93">
        <v>440</v>
      </c>
      <c r="N61" s="93">
        <v>440</v>
      </c>
      <c r="O61" s="90" t="s">
        <v>5226</v>
      </c>
      <c r="P61" s="90"/>
      <c r="Q61" s="90" t="s">
        <v>5227</v>
      </c>
      <c r="R61" s="90"/>
      <c r="S61" s="90"/>
      <c r="T61" s="90"/>
      <c r="U61" s="90"/>
      <c r="V61" s="90"/>
      <c r="W61" s="90" t="s">
        <v>5271</v>
      </c>
      <c r="X61" s="90" t="s">
        <v>162</v>
      </c>
      <c r="Y61" s="90" t="s">
        <v>408</v>
      </c>
      <c r="Z61" s="90"/>
      <c r="AA61" s="93">
        <v>389.38053097345102</v>
      </c>
      <c r="AB61" s="93">
        <v>389.38053097345102</v>
      </c>
      <c r="AC61" s="93">
        <v>13</v>
      </c>
      <c r="AD61" s="93">
        <v>50.6194690265487</v>
      </c>
      <c r="AE61" s="90"/>
      <c r="AF61" s="90"/>
      <c r="AG61" s="90"/>
      <c r="AH61" s="90"/>
      <c r="AI61" s="93">
        <v>0</v>
      </c>
      <c r="AJ61" s="93">
        <v>220</v>
      </c>
      <c r="AK61" s="93">
        <v>13</v>
      </c>
      <c r="AL61" s="93">
        <v>389.38053000000002</v>
      </c>
      <c r="AM61" s="93">
        <v>50.61947</v>
      </c>
      <c r="AN61" s="93">
        <v>440</v>
      </c>
      <c r="AO61" s="93">
        <v>9.7345133553972097E-7</v>
      </c>
      <c r="AP61" s="90" t="s">
        <v>5271</v>
      </c>
      <c r="AQ61" s="90" t="s">
        <v>5239</v>
      </c>
      <c r="AR61" s="90"/>
      <c r="AS61" s="90"/>
      <c r="AT61" s="90"/>
      <c r="AU61" s="90"/>
      <c r="AV61" s="90"/>
      <c r="AW61" s="90"/>
      <c r="AX61" s="90"/>
      <c r="AY61" s="90" t="s">
        <v>5230</v>
      </c>
      <c r="AZ61" s="90"/>
      <c r="BA61" s="90" t="s">
        <v>408</v>
      </c>
      <c r="BB61" s="91">
        <v>45917.4191319444</v>
      </c>
      <c r="BC61" s="90" t="s">
        <v>401</v>
      </c>
      <c r="BD61" s="90"/>
      <c r="BE61" s="90"/>
      <c r="BF61" s="90" t="s">
        <v>5231</v>
      </c>
    </row>
    <row r="62" spans="1:58" ht="24.75" customHeight="1">
      <c r="A62" s="90" t="s">
        <v>5221</v>
      </c>
      <c r="B62" s="90"/>
      <c r="C62" s="90"/>
      <c r="D62" s="91">
        <v>45917.435231481497</v>
      </c>
      <c r="E62" s="90" t="s">
        <v>5222</v>
      </c>
      <c r="F62" s="92"/>
      <c r="G62" s="90" t="s">
        <v>5365</v>
      </c>
      <c r="H62" s="90" t="s">
        <v>5354</v>
      </c>
      <c r="I62" s="90" t="s">
        <v>5355</v>
      </c>
      <c r="J62" s="90" t="s">
        <v>5356</v>
      </c>
      <c r="K62" s="93">
        <v>1</v>
      </c>
      <c r="L62" s="93">
        <v>180</v>
      </c>
      <c r="M62" s="93">
        <v>180</v>
      </c>
      <c r="N62" s="93">
        <v>180</v>
      </c>
      <c r="O62" s="90" t="s">
        <v>5226</v>
      </c>
      <c r="P62" s="90"/>
      <c r="Q62" s="90" t="s">
        <v>5227</v>
      </c>
      <c r="R62" s="90"/>
      <c r="S62" s="90"/>
      <c r="T62" s="90"/>
      <c r="U62" s="90"/>
      <c r="V62" s="90"/>
      <c r="W62" s="90" t="s">
        <v>5271</v>
      </c>
      <c r="X62" s="90" t="s">
        <v>162</v>
      </c>
      <c r="Y62" s="90" t="s">
        <v>408</v>
      </c>
      <c r="Z62" s="90"/>
      <c r="AA62" s="93">
        <v>159.29203539823001</v>
      </c>
      <c r="AB62" s="93">
        <v>159.29203539823001</v>
      </c>
      <c r="AC62" s="93">
        <v>13</v>
      </c>
      <c r="AD62" s="93">
        <v>20.707964601769898</v>
      </c>
      <c r="AE62" s="90"/>
      <c r="AF62" s="90"/>
      <c r="AG62" s="90"/>
      <c r="AH62" s="90"/>
      <c r="AI62" s="93">
        <v>0</v>
      </c>
      <c r="AJ62" s="93">
        <v>180</v>
      </c>
      <c r="AK62" s="93">
        <v>13</v>
      </c>
      <c r="AL62" s="93">
        <v>159.292035</v>
      </c>
      <c r="AM62" s="93">
        <v>20.707965000000002</v>
      </c>
      <c r="AN62" s="93">
        <v>180</v>
      </c>
      <c r="AO62" s="93">
        <v>3.98230099563079E-7</v>
      </c>
      <c r="AP62" s="90" t="s">
        <v>5271</v>
      </c>
      <c r="AQ62" s="90" t="s">
        <v>5229</v>
      </c>
      <c r="AR62" s="90"/>
      <c r="AS62" s="90"/>
      <c r="AT62" s="90"/>
      <c r="AU62" s="90"/>
      <c r="AV62" s="90"/>
      <c r="AW62" s="90"/>
      <c r="AX62" s="90"/>
      <c r="AY62" s="90" t="s">
        <v>5230</v>
      </c>
      <c r="AZ62" s="90"/>
      <c r="BA62" s="90" t="s">
        <v>408</v>
      </c>
      <c r="BB62" s="91">
        <v>45917.422245370399</v>
      </c>
      <c r="BC62" s="90" t="s">
        <v>401</v>
      </c>
      <c r="BD62" s="90"/>
      <c r="BE62" s="90"/>
      <c r="BF62" s="90" t="s">
        <v>5231</v>
      </c>
    </row>
    <row r="63" spans="1:58" ht="24.75" customHeight="1">
      <c r="A63" s="90" t="s">
        <v>5221</v>
      </c>
      <c r="B63" s="90"/>
      <c r="C63" s="90"/>
      <c r="D63" s="91">
        <v>45917.435231481497</v>
      </c>
      <c r="E63" s="90" t="s">
        <v>5222</v>
      </c>
      <c r="F63" s="92"/>
      <c r="G63" s="90" t="s">
        <v>5365</v>
      </c>
      <c r="H63" s="90" t="s">
        <v>5366</v>
      </c>
      <c r="I63" s="90" t="s">
        <v>5367</v>
      </c>
      <c r="J63" s="90" t="s">
        <v>5251</v>
      </c>
      <c r="K63" s="93">
        <v>60</v>
      </c>
      <c r="L63" s="93">
        <v>2</v>
      </c>
      <c r="M63" s="93">
        <v>120</v>
      </c>
      <c r="N63" s="93">
        <v>120</v>
      </c>
      <c r="O63" s="90" t="s">
        <v>5226</v>
      </c>
      <c r="P63" s="90"/>
      <c r="Q63" s="90" t="s">
        <v>5227</v>
      </c>
      <c r="R63" s="90"/>
      <c r="S63" s="90"/>
      <c r="T63" s="90"/>
      <c r="U63" s="90"/>
      <c r="V63" s="90"/>
      <c r="W63" s="90" t="s">
        <v>5271</v>
      </c>
      <c r="X63" s="90" t="s">
        <v>162</v>
      </c>
      <c r="Y63" s="90" t="s">
        <v>408</v>
      </c>
      <c r="Z63" s="90"/>
      <c r="AA63" s="93">
        <v>106.194690265487</v>
      </c>
      <c r="AB63" s="93">
        <v>106.194690265487</v>
      </c>
      <c r="AC63" s="93">
        <v>13</v>
      </c>
      <c r="AD63" s="93">
        <v>13.805309734513299</v>
      </c>
      <c r="AE63" s="90"/>
      <c r="AF63" s="90"/>
      <c r="AG63" s="90"/>
      <c r="AH63" s="90"/>
      <c r="AI63" s="93">
        <v>0</v>
      </c>
      <c r="AJ63" s="93">
        <v>2</v>
      </c>
      <c r="AK63" s="93">
        <v>13</v>
      </c>
      <c r="AL63" s="93">
        <v>106.19472</v>
      </c>
      <c r="AM63" s="93">
        <v>13.80528</v>
      </c>
      <c r="AN63" s="93">
        <v>120</v>
      </c>
      <c r="AO63" s="93">
        <v>-2.97345132480586E-5</v>
      </c>
      <c r="AP63" s="90" t="s">
        <v>5271</v>
      </c>
      <c r="AQ63" s="90" t="s">
        <v>5229</v>
      </c>
      <c r="AR63" s="90"/>
      <c r="AS63" s="90"/>
      <c r="AT63" s="90"/>
      <c r="AU63" s="90"/>
      <c r="AV63" s="90"/>
      <c r="AW63" s="90"/>
      <c r="AX63" s="90"/>
      <c r="AY63" s="90" t="s">
        <v>5230</v>
      </c>
      <c r="AZ63" s="90"/>
      <c r="BA63" s="90" t="s">
        <v>408</v>
      </c>
      <c r="BB63" s="91">
        <v>45917.422245370399</v>
      </c>
      <c r="BC63" s="90" t="s">
        <v>401</v>
      </c>
      <c r="BD63" s="90"/>
      <c r="BE63" s="90"/>
      <c r="BF63" s="90" t="s">
        <v>5231</v>
      </c>
    </row>
    <row r="64" spans="1:58" ht="24.75" customHeight="1">
      <c r="A64" s="90" t="s">
        <v>5221</v>
      </c>
      <c r="B64" s="90"/>
      <c r="C64" s="90"/>
      <c r="D64" s="91">
        <v>45917.435231481497</v>
      </c>
      <c r="E64" s="90" t="s">
        <v>5222</v>
      </c>
      <c r="F64" s="92"/>
      <c r="G64" s="90" t="s">
        <v>5365</v>
      </c>
      <c r="H64" s="90" t="s">
        <v>5368</v>
      </c>
      <c r="I64" s="90" t="s">
        <v>5369</v>
      </c>
      <c r="J64" s="90" t="s">
        <v>5370</v>
      </c>
      <c r="K64" s="93">
        <v>1</v>
      </c>
      <c r="L64" s="93">
        <v>120</v>
      </c>
      <c r="M64" s="93">
        <v>120</v>
      </c>
      <c r="N64" s="93">
        <v>120</v>
      </c>
      <c r="O64" s="90" t="s">
        <v>5226</v>
      </c>
      <c r="P64" s="90"/>
      <c r="Q64" s="90" t="s">
        <v>5227</v>
      </c>
      <c r="R64" s="90"/>
      <c r="S64" s="90"/>
      <c r="T64" s="90"/>
      <c r="U64" s="90"/>
      <c r="V64" s="90"/>
      <c r="W64" s="90" t="s">
        <v>5271</v>
      </c>
      <c r="X64" s="90" t="s">
        <v>162</v>
      </c>
      <c r="Y64" s="90" t="s">
        <v>408</v>
      </c>
      <c r="Z64" s="90"/>
      <c r="AA64" s="93">
        <v>106.194690265487</v>
      </c>
      <c r="AB64" s="93">
        <v>106.194690265487</v>
      </c>
      <c r="AC64" s="93">
        <v>13</v>
      </c>
      <c r="AD64" s="93">
        <v>13.805309734513299</v>
      </c>
      <c r="AE64" s="90"/>
      <c r="AF64" s="90"/>
      <c r="AG64" s="90"/>
      <c r="AH64" s="90"/>
      <c r="AI64" s="93">
        <v>0</v>
      </c>
      <c r="AJ64" s="93">
        <v>120</v>
      </c>
      <c r="AK64" s="93">
        <v>13</v>
      </c>
      <c r="AL64" s="93">
        <v>106.19468999999999</v>
      </c>
      <c r="AM64" s="93">
        <v>13.80531</v>
      </c>
      <c r="AN64" s="93">
        <v>120</v>
      </c>
      <c r="AO64" s="93">
        <v>2.6548674725290798E-7</v>
      </c>
      <c r="AP64" s="90" t="s">
        <v>5271</v>
      </c>
      <c r="AQ64" s="90" t="s">
        <v>5229</v>
      </c>
      <c r="AR64" s="90"/>
      <c r="AS64" s="90"/>
      <c r="AT64" s="90"/>
      <c r="AU64" s="90"/>
      <c r="AV64" s="90"/>
      <c r="AW64" s="90"/>
      <c r="AX64" s="90"/>
      <c r="AY64" s="90" t="s">
        <v>5230</v>
      </c>
      <c r="AZ64" s="90"/>
      <c r="BA64" s="90" t="s">
        <v>408</v>
      </c>
      <c r="BB64" s="91">
        <v>45917.422245370399</v>
      </c>
      <c r="BC64" s="90" t="s">
        <v>401</v>
      </c>
      <c r="BD64" s="90"/>
      <c r="BE64" s="90"/>
      <c r="BF64" s="90" t="s">
        <v>5231</v>
      </c>
    </row>
    <row r="65" spans="1:58" ht="24.75" customHeight="1">
      <c r="A65" s="90" t="s">
        <v>5221</v>
      </c>
      <c r="B65" s="90"/>
      <c r="C65" s="90"/>
      <c r="D65" s="91">
        <v>45917.4668171296</v>
      </c>
      <c r="E65" s="90" t="s">
        <v>5222</v>
      </c>
      <c r="F65" s="92"/>
      <c r="G65" s="90" t="s">
        <v>5371</v>
      </c>
      <c r="H65" s="90" t="s">
        <v>5372</v>
      </c>
      <c r="I65" s="90" t="s">
        <v>5373</v>
      </c>
      <c r="J65" s="90" t="s">
        <v>5374</v>
      </c>
      <c r="K65" s="93">
        <v>2</v>
      </c>
      <c r="L65" s="93">
        <v>430</v>
      </c>
      <c r="M65" s="93">
        <v>860</v>
      </c>
      <c r="N65" s="93">
        <v>860</v>
      </c>
      <c r="O65" s="90" t="s">
        <v>5226</v>
      </c>
      <c r="P65" s="90"/>
      <c r="Q65" s="90" t="s">
        <v>5227</v>
      </c>
      <c r="R65" s="90"/>
      <c r="S65" s="90"/>
      <c r="T65" s="90"/>
      <c r="U65" s="90"/>
      <c r="V65" s="90"/>
      <c r="W65" s="90" t="s">
        <v>5271</v>
      </c>
      <c r="X65" s="90" t="s">
        <v>162</v>
      </c>
      <c r="Y65" s="90" t="s">
        <v>408</v>
      </c>
      <c r="Z65" s="90"/>
      <c r="AA65" s="93">
        <v>761.061946902655</v>
      </c>
      <c r="AB65" s="93">
        <v>761.061946902655</v>
      </c>
      <c r="AC65" s="93">
        <v>13</v>
      </c>
      <c r="AD65" s="93">
        <v>98.938053097345104</v>
      </c>
      <c r="AE65" s="90"/>
      <c r="AF65" s="90"/>
      <c r="AG65" s="90"/>
      <c r="AH65" s="90"/>
      <c r="AI65" s="93">
        <v>0</v>
      </c>
      <c r="AJ65" s="93">
        <v>430</v>
      </c>
      <c r="AK65" s="93">
        <v>13</v>
      </c>
      <c r="AL65" s="93">
        <v>761.06194600000003</v>
      </c>
      <c r="AM65" s="93">
        <v>98.938053999999994</v>
      </c>
      <c r="AN65" s="93">
        <v>860</v>
      </c>
      <c r="AO65" s="93">
        <v>9.0265496055508297E-7</v>
      </c>
      <c r="AP65" s="90" t="s">
        <v>5271</v>
      </c>
      <c r="AQ65" s="90" t="s">
        <v>498</v>
      </c>
      <c r="AR65" s="90"/>
      <c r="AS65" s="90"/>
      <c r="AT65" s="90"/>
      <c r="AU65" s="90"/>
      <c r="AV65" s="90"/>
      <c r="AW65" s="90"/>
      <c r="AX65" s="90"/>
      <c r="AY65" s="90" t="s">
        <v>5230</v>
      </c>
      <c r="AZ65" s="90"/>
      <c r="BA65" s="90" t="s">
        <v>408</v>
      </c>
      <c r="BB65" s="91">
        <v>45917.466203703698</v>
      </c>
      <c r="BC65" s="90" t="s">
        <v>401</v>
      </c>
      <c r="BD65" s="90"/>
      <c r="BE65" s="90"/>
      <c r="BF65" s="90" t="s">
        <v>5231</v>
      </c>
    </row>
    <row r="66" spans="1:58" ht="24.75" customHeight="1">
      <c r="A66" s="90" t="s">
        <v>5221</v>
      </c>
      <c r="B66" s="90"/>
      <c r="C66" s="90"/>
      <c r="D66" s="91">
        <v>45917.4668171296</v>
      </c>
      <c r="E66" s="90" t="s">
        <v>5222</v>
      </c>
      <c r="F66" s="92"/>
      <c r="G66" s="90" t="s">
        <v>5371</v>
      </c>
      <c r="H66" s="90" t="s">
        <v>5352</v>
      </c>
      <c r="I66" s="90" t="s">
        <v>5353</v>
      </c>
      <c r="J66" s="90" t="s">
        <v>5267</v>
      </c>
      <c r="K66" s="93">
        <v>10</v>
      </c>
      <c r="L66" s="93">
        <v>12</v>
      </c>
      <c r="M66" s="93">
        <v>120</v>
      </c>
      <c r="N66" s="93">
        <v>120</v>
      </c>
      <c r="O66" s="90" t="s">
        <v>5226</v>
      </c>
      <c r="P66" s="90"/>
      <c r="Q66" s="90" t="s">
        <v>5227</v>
      </c>
      <c r="R66" s="90"/>
      <c r="S66" s="90"/>
      <c r="T66" s="90"/>
      <c r="U66" s="90"/>
      <c r="V66" s="90"/>
      <c r="W66" s="90" t="s">
        <v>5271</v>
      </c>
      <c r="X66" s="90" t="s">
        <v>162</v>
      </c>
      <c r="Y66" s="90" t="s">
        <v>408</v>
      </c>
      <c r="Z66" s="90"/>
      <c r="AA66" s="93">
        <v>106.194690265487</v>
      </c>
      <c r="AB66" s="93">
        <v>106.194690265487</v>
      </c>
      <c r="AC66" s="93">
        <v>13</v>
      </c>
      <c r="AD66" s="93">
        <v>13.805309734513299</v>
      </c>
      <c r="AE66" s="90"/>
      <c r="AF66" s="90"/>
      <c r="AG66" s="90"/>
      <c r="AH66" s="90"/>
      <c r="AI66" s="93">
        <v>0</v>
      </c>
      <c r="AJ66" s="93">
        <v>12</v>
      </c>
      <c r="AK66" s="93">
        <v>13</v>
      </c>
      <c r="AL66" s="93">
        <v>106.19468999999999</v>
      </c>
      <c r="AM66" s="93">
        <v>13.80531</v>
      </c>
      <c r="AN66" s="93">
        <v>120</v>
      </c>
      <c r="AO66" s="93">
        <v>2.65486733042053E-7</v>
      </c>
      <c r="AP66" s="90" t="s">
        <v>5271</v>
      </c>
      <c r="AQ66" s="90" t="s">
        <v>5239</v>
      </c>
      <c r="AR66" s="90"/>
      <c r="AS66" s="90"/>
      <c r="AT66" s="90"/>
      <c r="AU66" s="90"/>
      <c r="AV66" s="90"/>
      <c r="AW66" s="90"/>
      <c r="AX66" s="90"/>
      <c r="AY66" s="90" t="s">
        <v>5230</v>
      </c>
      <c r="AZ66" s="90"/>
      <c r="BA66" s="90" t="s">
        <v>408</v>
      </c>
      <c r="BB66" s="91">
        <v>45917.466203703698</v>
      </c>
      <c r="BC66" s="90" t="s">
        <v>401</v>
      </c>
      <c r="BD66" s="90"/>
      <c r="BE66" s="90"/>
      <c r="BF66" s="90" t="s">
        <v>5231</v>
      </c>
    </row>
    <row r="67" spans="1:58" ht="24.75" customHeight="1">
      <c r="A67" s="90" t="s">
        <v>5221</v>
      </c>
      <c r="B67" s="90"/>
      <c r="C67" s="90"/>
      <c r="D67" s="91">
        <v>45917.4668171296</v>
      </c>
      <c r="E67" s="90" t="s">
        <v>5222</v>
      </c>
      <c r="F67" s="92"/>
      <c r="G67" s="90" t="s">
        <v>5371</v>
      </c>
      <c r="H67" s="90" t="s">
        <v>5375</v>
      </c>
      <c r="I67" s="90" t="s">
        <v>5376</v>
      </c>
      <c r="J67" s="90" t="s">
        <v>5377</v>
      </c>
      <c r="K67" s="93">
        <v>1</v>
      </c>
      <c r="L67" s="93">
        <v>25</v>
      </c>
      <c r="M67" s="93">
        <v>25</v>
      </c>
      <c r="N67" s="93">
        <v>25</v>
      </c>
      <c r="O67" s="90" t="s">
        <v>5226</v>
      </c>
      <c r="P67" s="90"/>
      <c r="Q67" s="90" t="s">
        <v>5227</v>
      </c>
      <c r="R67" s="90"/>
      <c r="S67" s="90"/>
      <c r="T67" s="90"/>
      <c r="U67" s="90"/>
      <c r="V67" s="90"/>
      <c r="W67" s="90" t="s">
        <v>5271</v>
      </c>
      <c r="X67" s="90" t="s">
        <v>162</v>
      </c>
      <c r="Y67" s="90" t="s">
        <v>408</v>
      </c>
      <c r="Z67" s="90"/>
      <c r="AA67" s="93">
        <v>22.123893805309699</v>
      </c>
      <c r="AB67" s="93">
        <v>22.123893805309699</v>
      </c>
      <c r="AC67" s="93">
        <v>13</v>
      </c>
      <c r="AD67" s="93">
        <v>2.87610619469026</v>
      </c>
      <c r="AE67" s="90"/>
      <c r="AF67" s="90"/>
      <c r="AG67" s="90"/>
      <c r="AH67" s="90"/>
      <c r="AI67" s="93">
        <v>0</v>
      </c>
      <c r="AJ67" s="93">
        <v>25</v>
      </c>
      <c r="AK67" s="93">
        <v>13</v>
      </c>
      <c r="AL67" s="93">
        <v>22.123894</v>
      </c>
      <c r="AM67" s="93">
        <v>2.8761060000000001</v>
      </c>
      <c r="AN67" s="93">
        <v>25</v>
      </c>
      <c r="AO67" s="93">
        <v>-1.9469026213414501E-7</v>
      </c>
      <c r="AP67" s="90" t="s">
        <v>5271</v>
      </c>
      <c r="AQ67" s="90" t="s">
        <v>5239</v>
      </c>
      <c r="AR67" s="90"/>
      <c r="AS67" s="90"/>
      <c r="AT67" s="90"/>
      <c r="AU67" s="90"/>
      <c r="AV67" s="90"/>
      <c r="AW67" s="90"/>
      <c r="AX67" s="90"/>
      <c r="AY67" s="90" t="s">
        <v>5230</v>
      </c>
      <c r="AZ67" s="90"/>
      <c r="BA67" s="90" t="s">
        <v>408</v>
      </c>
      <c r="BB67" s="91">
        <v>45917.466203703698</v>
      </c>
      <c r="BC67" s="90" t="s">
        <v>401</v>
      </c>
      <c r="BD67" s="90"/>
      <c r="BE67" s="90"/>
      <c r="BF67" s="90" t="s">
        <v>5231</v>
      </c>
    </row>
    <row r="68" spans="1:58" ht="24.75" customHeight="1">
      <c r="A68" s="90" t="s">
        <v>5221</v>
      </c>
      <c r="B68" s="90"/>
      <c r="C68" s="90"/>
      <c r="D68" s="91">
        <v>45917.4668171296</v>
      </c>
      <c r="E68" s="90" t="s">
        <v>5222</v>
      </c>
      <c r="F68" s="92"/>
      <c r="G68" s="90" t="s">
        <v>5371</v>
      </c>
      <c r="H68" s="90" t="s">
        <v>5349</v>
      </c>
      <c r="I68" s="90" t="s">
        <v>5350</v>
      </c>
      <c r="J68" s="90" t="s">
        <v>5351</v>
      </c>
      <c r="K68" s="93">
        <v>1</v>
      </c>
      <c r="L68" s="93">
        <v>60</v>
      </c>
      <c r="M68" s="93">
        <v>60</v>
      </c>
      <c r="N68" s="93">
        <v>60</v>
      </c>
      <c r="O68" s="90" t="s">
        <v>5226</v>
      </c>
      <c r="P68" s="90"/>
      <c r="Q68" s="90" t="s">
        <v>5227</v>
      </c>
      <c r="R68" s="90"/>
      <c r="S68" s="90"/>
      <c r="T68" s="90"/>
      <c r="U68" s="90"/>
      <c r="V68" s="90"/>
      <c r="W68" s="90" t="s">
        <v>5271</v>
      </c>
      <c r="X68" s="90" t="s">
        <v>162</v>
      </c>
      <c r="Y68" s="90" t="s">
        <v>408</v>
      </c>
      <c r="Z68" s="90"/>
      <c r="AA68" s="93">
        <v>53.097345132743399</v>
      </c>
      <c r="AB68" s="93">
        <v>53.097345132743399</v>
      </c>
      <c r="AC68" s="93">
        <v>13</v>
      </c>
      <c r="AD68" s="93">
        <v>6.9026548672566301</v>
      </c>
      <c r="AE68" s="90"/>
      <c r="AF68" s="90"/>
      <c r="AG68" s="90"/>
      <c r="AH68" s="90"/>
      <c r="AI68" s="93">
        <v>0</v>
      </c>
      <c r="AJ68" s="93">
        <v>60</v>
      </c>
      <c r="AK68" s="93">
        <v>13</v>
      </c>
      <c r="AL68" s="93">
        <v>53.097344999999997</v>
      </c>
      <c r="AM68" s="93">
        <v>6.9026550000000002</v>
      </c>
      <c r="AN68" s="93">
        <v>60</v>
      </c>
      <c r="AO68" s="93">
        <v>1.3274337362645399E-7</v>
      </c>
      <c r="AP68" s="90" t="s">
        <v>5271</v>
      </c>
      <c r="AQ68" s="90" t="s">
        <v>5239</v>
      </c>
      <c r="AR68" s="90"/>
      <c r="AS68" s="90"/>
      <c r="AT68" s="90"/>
      <c r="AU68" s="90"/>
      <c r="AV68" s="90"/>
      <c r="AW68" s="90"/>
      <c r="AX68" s="90"/>
      <c r="AY68" s="90" t="s">
        <v>5230</v>
      </c>
      <c r="AZ68" s="90"/>
      <c r="BA68" s="90" t="s">
        <v>408</v>
      </c>
      <c r="BB68" s="91">
        <v>45917.466203703698</v>
      </c>
      <c r="BC68" s="90" t="s">
        <v>401</v>
      </c>
      <c r="BD68" s="90"/>
      <c r="BE68" s="90"/>
      <c r="BF68" s="90" t="s">
        <v>5231</v>
      </c>
    </row>
    <row r="69" spans="1:58" ht="24.75" customHeight="1">
      <c r="A69" s="90" t="s">
        <v>5221</v>
      </c>
      <c r="B69" s="90"/>
      <c r="C69" s="90"/>
      <c r="D69" s="91">
        <v>45917.4668171296</v>
      </c>
      <c r="E69" s="90" t="s">
        <v>5222</v>
      </c>
      <c r="F69" s="92"/>
      <c r="G69" s="90" t="s">
        <v>5371</v>
      </c>
      <c r="H69" s="90" t="s">
        <v>5366</v>
      </c>
      <c r="I69" s="90" t="s">
        <v>5367</v>
      </c>
      <c r="J69" s="90" t="s">
        <v>5251</v>
      </c>
      <c r="K69" s="93">
        <v>60</v>
      </c>
      <c r="L69" s="93">
        <v>2</v>
      </c>
      <c r="M69" s="93">
        <v>120</v>
      </c>
      <c r="N69" s="93">
        <v>120</v>
      </c>
      <c r="O69" s="90" t="s">
        <v>5226</v>
      </c>
      <c r="P69" s="90"/>
      <c r="Q69" s="90" t="s">
        <v>5227</v>
      </c>
      <c r="R69" s="90"/>
      <c r="S69" s="90"/>
      <c r="T69" s="90"/>
      <c r="U69" s="90"/>
      <c r="V69" s="90"/>
      <c r="W69" s="90" t="s">
        <v>5271</v>
      </c>
      <c r="X69" s="90" t="s">
        <v>162</v>
      </c>
      <c r="Y69" s="90" t="s">
        <v>408</v>
      </c>
      <c r="Z69" s="90"/>
      <c r="AA69" s="93">
        <v>106.194690265487</v>
      </c>
      <c r="AB69" s="93">
        <v>106.194690265487</v>
      </c>
      <c r="AC69" s="93">
        <v>13</v>
      </c>
      <c r="AD69" s="93">
        <v>13.805309734513299</v>
      </c>
      <c r="AE69" s="90"/>
      <c r="AF69" s="90"/>
      <c r="AG69" s="90"/>
      <c r="AH69" s="90"/>
      <c r="AI69" s="93">
        <v>0</v>
      </c>
      <c r="AJ69" s="93">
        <v>2</v>
      </c>
      <c r="AK69" s="93">
        <v>13</v>
      </c>
      <c r="AL69" s="93">
        <v>106.19472</v>
      </c>
      <c r="AM69" s="93">
        <v>13.80528</v>
      </c>
      <c r="AN69" s="93">
        <v>120</v>
      </c>
      <c r="AO69" s="93">
        <v>-2.97345132480586E-5</v>
      </c>
      <c r="AP69" s="90" t="s">
        <v>5271</v>
      </c>
      <c r="AQ69" s="90" t="s">
        <v>5229</v>
      </c>
      <c r="AR69" s="90"/>
      <c r="AS69" s="90"/>
      <c r="AT69" s="90"/>
      <c r="AU69" s="90"/>
      <c r="AV69" s="90"/>
      <c r="AW69" s="90"/>
      <c r="AX69" s="90"/>
      <c r="AY69" s="90" t="s">
        <v>5230</v>
      </c>
      <c r="AZ69" s="90"/>
      <c r="BA69" s="90" t="s">
        <v>408</v>
      </c>
      <c r="BB69" s="91">
        <v>45917.466203703698</v>
      </c>
      <c r="BC69" s="90" t="s">
        <v>401</v>
      </c>
      <c r="BD69" s="90"/>
      <c r="BE69" s="90"/>
      <c r="BF69" s="90" t="s">
        <v>5231</v>
      </c>
    </row>
    <row r="70" spans="1:58" ht="24.75" customHeight="1">
      <c r="A70" s="90" t="s">
        <v>5221</v>
      </c>
      <c r="B70" s="90"/>
      <c r="C70" s="90"/>
      <c r="D70" s="91">
        <v>45917.4843287037</v>
      </c>
      <c r="E70" s="90" t="s">
        <v>5222</v>
      </c>
      <c r="F70" s="92"/>
      <c r="G70" s="90" t="s">
        <v>5378</v>
      </c>
      <c r="H70" s="90" t="s">
        <v>5366</v>
      </c>
      <c r="I70" s="90" t="s">
        <v>5367</v>
      </c>
      <c r="J70" s="90" t="s">
        <v>5251</v>
      </c>
      <c r="K70" s="93">
        <v>60</v>
      </c>
      <c r="L70" s="93">
        <v>2</v>
      </c>
      <c r="M70" s="93">
        <v>120</v>
      </c>
      <c r="N70" s="93">
        <v>120</v>
      </c>
      <c r="O70" s="90" t="s">
        <v>5226</v>
      </c>
      <c r="P70" s="90"/>
      <c r="Q70" s="90" t="s">
        <v>5227</v>
      </c>
      <c r="R70" s="90"/>
      <c r="S70" s="90"/>
      <c r="T70" s="90"/>
      <c r="U70" s="90"/>
      <c r="V70" s="90"/>
      <c r="W70" s="90" t="s">
        <v>5271</v>
      </c>
      <c r="X70" s="90" t="s">
        <v>162</v>
      </c>
      <c r="Y70" s="90" t="s">
        <v>408</v>
      </c>
      <c r="Z70" s="90"/>
      <c r="AA70" s="93">
        <v>106.194690265487</v>
      </c>
      <c r="AB70" s="93">
        <v>106.194690265487</v>
      </c>
      <c r="AC70" s="93">
        <v>13</v>
      </c>
      <c r="AD70" s="93">
        <v>13.805309734513299</v>
      </c>
      <c r="AE70" s="90"/>
      <c r="AF70" s="90"/>
      <c r="AG70" s="90"/>
      <c r="AH70" s="90"/>
      <c r="AI70" s="93">
        <v>0</v>
      </c>
      <c r="AJ70" s="93">
        <v>2</v>
      </c>
      <c r="AK70" s="93">
        <v>13</v>
      </c>
      <c r="AL70" s="93">
        <v>106.19472</v>
      </c>
      <c r="AM70" s="93">
        <v>13.80528</v>
      </c>
      <c r="AN70" s="93">
        <v>120</v>
      </c>
      <c r="AO70" s="93">
        <v>-2.97345132480586E-5</v>
      </c>
      <c r="AP70" s="90" t="s">
        <v>5271</v>
      </c>
      <c r="AQ70" s="90" t="s">
        <v>5229</v>
      </c>
      <c r="AR70" s="90"/>
      <c r="AS70" s="90"/>
      <c r="AT70" s="90"/>
      <c r="AU70" s="90"/>
      <c r="AV70" s="90"/>
      <c r="AW70" s="90"/>
      <c r="AX70" s="90"/>
      <c r="AY70" s="90" t="s">
        <v>5230</v>
      </c>
      <c r="AZ70" s="90"/>
      <c r="BA70" s="90" t="s">
        <v>408</v>
      </c>
      <c r="BB70" s="91">
        <v>45917.4840625</v>
      </c>
      <c r="BC70" s="90" t="s">
        <v>401</v>
      </c>
      <c r="BD70" s="90"/>
      <c r="BE70" s="90"/>
      <c r="BF70" s="90" t="s">
        <v>5231</v>
      </c>
    </row>
    <row r="71" spans="1:58" ht="24.75" customHeight="1">
      <c r="A71" s="90" t="s">
        <v>5221</v>
      </c>
      <c r="B71" s="90"/>
      <c r="C71" s="90"/>
      <c r="D71" s="91">
        <v>45917.4843287037</v>
      </c>
      <c r="E71" s="90" t="s">
        <v>5222</v>
      </c>
      <c r="F71" s="92"/>
      <c r="G71" s="90" t="s">
        <v>5378</v>
      </c>
      <c r="H71" s="90" t="s">
        <v>5349</v>
      </c>
      <c r="I71" s="90" t="s">
        <v>5350</v>
      </c>
      <c r="J71" s="90" t="s">
        <v>5351</v>
      </c>
      <c r="K71" s="93">
        <v>1</v>
      </c>
      <c r="L71" s="93">
        <v>60</v>
      </c>
      <c r="M71" s="93">
        <v>60</v>
      </c>
      <c r="N71" s="93">
        <v>60</v>
      </c>
      <c r="O71" s="90" t="s">
        <v>5226</v>
      </c>
      <c r="P71" s="90"/>
      <c r="Q71" s="90" t="s">
        <v>5227</v>
      </c>
      <c r="R71" s="90"/>
      <c r="S71" s="90"/>
      <c r="T71" s="90"/>
      <c r="U71" s="90"/>
      <c r="V71" s="90"/>
      <c r="W71" s="90" t="s">
        <v>5271</v>
      </c>
      <c r="X71" s="90" t="s">
        <v>162</v>
      </c>
      <c r="Y71" s="90" t="s">
        <v>408</v>
      </c>
      <c r="Z71" s="90"/>
      <c r="AA71" s="93">
        <v>53.097345132743399</v>
      </c>
      <c r="AB71" s="93">
        <v>53.097345132743399</v>
      </c>
      <c r="AC71" s="93">
        <v>13</v>
      </c>
      <c r="AD71" s="93">
        <v>6.9026548672566301</v>
      </c>
      <c r="AE71" s="90"/>
      <c r="AF71" s="90"/>
      <c r="AG71" s="90"/>
      <c r="AH71" s="90"/>
      <c r="AI71" s="93">
        <v>0</v>
      </c>
      <c r="AJ71" s="93">
        <v>60</v>
      </c>
      <c r="AK71" s="93">
        <v>13</v>
      </c>
      <c r="AL71" s="93">
        <v>53.097344999999997</v>
      </c>
      <c r="AM71" s="93">
        <v>6.9026550000000002</v>
      </c>
      <c r="AN71" s="93">
        <v>60</v>
      </c>
      <c r="AO71" s="93">
        <v>1.3274337362645399E-7</v>
      </c>
      <c r="AP71" s="90" t="s">
        <v>5271</v>
      </c>
      <c r="AQ71" s="90" t="s">
        <v>5239</v>
      </c>
      <c r="AR71" s="90"/>
      <c r="AS71" s="90"/>
      <c r="AT71" s="90"/>
      <c r="AU71" s="90"/>
      <c r="AV71" s="90"/>
      <c r="AW71" s="90"/>
      <c r="AX71" s="90"/>
      <c r="AY71" s="90" t="s">
        <v>5230</v>
      </c>
      <c r="AZ71" s="90"/>
      <c r="BA71" s="90" t="s">
        <v>408</v>
      </c>
      <c r="BB71" s="91">
        <v>45917.4840625</v>
      </c>
      <c r="BC71" s="90" t="s">
        <v>401</v>
      </c>
      <c r="BD71" s="90"/>
      <c r="BE71" s="90"/>
      <c r="BF71" s="90" t="s">
        <v>5231</v>
      </c>
    </row>
    <row r="72" spans="1:58" ht="24.75" customHeight="1">
      <c r="A72" s="90" t="s">
        <v>5221</v>
      </c>
      <c r="B72" s="90"/>
      <c r="C72" s="90"/>
      <c r="D72" s="91">
        <v>45917.4843287037</v>
      </c>
      <c r="E72" s="90" t="s">
        <v>5222</v>
      </c>
      <c r="F72" s="92"/>
      <c r="G72" s="90" t="s">
        <v>5378</v>
      </c>
      <c r="H72" s="90" t="s">
        <v>5363</v>
      </c>
      <c r="I72" s="90" t="s">
        <v>5364</v>
      </c>
      <c r="J72" s="90" t="s">
        <v>5267</v>
      </c>
      <c r="K72" s="93">
        <v>1</v>
      </c>
      <c r="L72" s="93">
        <v>220</v>
      </c>
      <c r="M72" s="93">
        <v>220</v>
      </c>
      <c r="N72" s="93">
        <v>220</v>
      </c>
      <c r="O72" s="90" t="s">
        <v>5226</v>
      </c>
      <c r="P72" s="90"/>
      <c r="Q72" s="90" t="s">
        <v>5227</v>
      </c>
      <c r="R72" s="90"/>
      <c r="S72" s="90"/>
      <c r="T72" s="90"/>
      <c r="U72" s="90"/>
      <c r="V72" s="90"/>
      <c r="W72" s="90" t="s">
        <v>5271</v>
      </c>
      <c r="X72" s="90" t="s">
        <v>162</v>
      </c>
      <c r="Y72" s="90" t="s">
        <v>408</v>
      </c>
      <c r="Z72" s="90"/>
      <c r="AA72" s="93">
        <v>194.69026548672599</v>
      </c>
      <c r="AB72" s="93">
        <v>194.69026548672599</v>
      </c>
      <c r="AC72" s="93">
        <v>13</v>
      </c>
      <c r="AD72" s="93">
        <v>25.3097345132743</v>
      </c>
      <c r="AE72" s="90"/>
      <c r="AF72" s="90"/>
      <c r="AG72" s="90"/>
      <c r="AH72" s="90"/>
      <c r="AI72" s="93">
        <v>0</v>
      </c>
      <c r="AJ72" s="93">
        <v>220</v>
      </c>
      <c r="AK72" s="93">
        <v>13</v>
      </c>
      <c r="AL72" s="93">
        <v>194.69026500000001</v>
      </c>
      <c r="AM72" s="93">
        <v>25.309735</v>
      </c>
      <c r="AN72" s="93">
        <v>220</v>
      </c>
      <c r="AO72" s="93">
        <v>4.8672566776986102E-7</v>
      </c>
      <c r="AP72" s="90" t="s">
        <v>5271</v>
      </c>
      <c r="AQ72" s="90" t="s">
        <v>5239</v>
      </c>
      <c r="AR72" s="90"/>
      <c r="AS72" s="90"/>
      <c r="AT72" s="90"/>
      <c r="AU72" s="90"/>
      <c r="AV72" s="90"/>
      <c r="AW72" s="90"/>
      <c r="AX72" s="90"/>
      <c r="AY72" s="90" t="s">
        <v>5230</v>
      </c>
      <c r="AZ72" s="90"/>
      <c r="BA72" s="90" t="s">
        <v>408</v>
      </c>
      <c r="BB72" s="91">
        <v>45917.4840625</v>
      </c>
      <c r="BC72" s="90" t="s">
        <v>401</v>
      </c>
      <c r="BD72" s="90"/>
      <c r="BE72" s="90"/>
      <c r="BF72" s="90" t="s">
        <v>5231</v>
      </c>
    </row>
    <row r="73" spans="1:58" ht="24.75" customHeight="1">
      <c r="A73" s="90" t="s">
        <v>5221</v>
      </c>
      <c r="B73" s="90"/>
      <c r="C73" s="90"/>
      <c r="D73" s="91">
        <v>45917.4843287037</v>
      </c>
      <c r="E73" s="90" t="s">
        <v>5222</v>
      </c>
      <c r="F73" s="92"/>
      <c r="G73" s="90" t="s">
        <v>5378</v>
      </c>
      <c r="H73" s="90" t="s">
        <v>5354</v>
      </c>
      <c r="I73" s="90" t="s">
        <v>5355</v>
      </c>
      <c r="J73" s="90" t="s">
        <v>5356</v>
      </c>
      <c r="K73" s="93">
        <v>1</v>
      </c>
      <c r="L73" s="93">
        <v>180</v>
      </c>
      <c r="M73" s="93">
        <v>180</v>
      </c>
      <c r="N73" s="93">
        <v>180</v>
      </c>
      <c r="O73" s="90" t="s">
        <v>5226</v>
      </c>
      <c r="P73" s="90"/>
      <c r="Q73" s="90" t="s">
        <v>5227</v>
      </c>
      <c r="R73" s="90"/>
      <c r="S73" s="90"/>
      <c r="T73" s="90"/>
      <c r="U73" s="90"/>
      <c r="V73" s="90"/>
      <c r="W73" s="90" t="s">
        <v>5271</v>
      </c>
      <c r="X73" s="90" t="s">
        <v>162</v>
      </c>
      <c r="Y73" s="90" t="s">
        <v>408</v>
      </c>
      <c r="Z73" s="90"/>
      <c r="AA73" s="93">
        <v>159.29203539823001</v>
      </c>
      <c r="AB73" s="93">
        <v>159.29203539823001</v>
      </c>
      <c r="AC73" s="93">
        <v>13</v>
      </c>
      <c r="AD73" s="93">
        <v>20.707964601769898</v>
      </c>
      <c r="AE73" s="90"/>
      <c r="AF73" s="90"/>
      <c r="AG73" s="90"/>
      <c r="AH73" s="90"/>
      <c r="AI73" s="93">
        <v>0</v>
      </c>
      <c r="AJ73" s="93">
        <v>180</v>
      </c>
      <c r="AK73" s="93">
        <v>13</v>
      </c>
      <c r="AL73" s="93">
        <v>159.292035</v>
      </c>
      <c r="AM73" s="93">
        <v>20.707965000000002</v>
      </c>
      <c r="AN73" s="93">
        <v>180</v>
      </c>
      <c r="AO73" s="93">
        <v>3.98230099563079E-7</v>
      </c>
      <c r="AP73" s="90" t="s">
        <v>5271</v>
      </c>
      <c r="AQ73" s="90" t="s">
        <v>5229</v>
      </c>
      <c r="AR73" s="90"/>
      <c r="AS73" s="90"/>
      <c r="AT73" s="90"/>
      <c r="AU73" s="90"/>
      <c r="AV73" s="90"/>
      <c r="AW73" s="90"/>
      <c r="AX73" s="90"/>
      <c r="AY73" s="90" t="s">
        <v>5230</v>
      </c>
      <c r="AZ73" s="90"/>
      <c r="BA73" s="90" t="s">
        <v>408</v>
      </c>
      <c r="BB73" s="91">
        <v>45917.4840625</v>
      </c>
      <c r="BC73" s="90" t="s">
        <v>401</v>
      </c>
      <c r="BD73" s="90"/>
      <c r="BE73" s="90"/>
      <c r="BF73" s="90" t="s">
        <v>5231</v>
      </c>
    </row>
    <row r="74" spans="1:58" ht="24.75" customHeight="1">
      <c r="A74" s="90" t="s">
        <v>5221</v>
      </c>
      <c r="B74" s="90"/>
      <c r="C74" s="90"/>
      <c r="D74" s="91">
        <v>45917.4843287037</v>
      </c>
      <c r="E74" s="90" t="s">
        <v>5222</v>
      </c>
      <c r="F74" s="92"/>
      <c r="G74" s="90" t="s">
        <v>5378</v>
      </c>
      <c r="H74" s="90" t="s">
        <v>5359</v>
      </c>
      <c r="I74" s="90" t="s">
        <v>5360</v>
      </c>
      <c r="J74" s="90" t="s">
        <v>5356</v>
      </c>
      <c r="K74" s="93">
        <v>12</v>
      </c>
      <c r="L74" s="93">
        <v>60</v>
      </c>
      <c r="M74" s="93">
        <v>720</v>
      </c>
      <c r="N74" s="93">
        <v>720</v>
      </c>
      <c r="O74" s="90" t="s">
        <v>5226</v>
      </c>
      <c r="P74" s="90"/>
      <c r="Q74" s="90" t="s">
        <v>5227</v>
      </c>
      <c r="R74" s="90"/>
      <c r="S74" s="90"/>
      <c r="T74" s="90"/>
      <c r="U74" s="90"/>
      <c r="V74" s="90"/>
      <c r="W74" s="90" t="s">
        <v>5271</v>
      </c>
      <c r="X74" s="90" t="s">
        <v>162</v>
      </c>
      <c r="Y74" s="90" t="s">
        <v>408</v>
      </c>
      <c r="Z74" s="90"/>
      <c r="AA74" s="93">
        <v>637.16814159292005</v>
      </c>
      <c r="AB74" s="93">
        <v>637.16814159292005</v>
      </c>
      <c r="AC74" s="93">
        <v>13</v>
      </c>
      <c r="AD74" s="93">
        <v>82.831858407079594</v>
      </c>
      <c r="AE74" s="90"/>
      <c r="AF74" s="90"/>
      <c r="AG74" s="90"/>
      <c r="AH74" s="90"/>
      <c r="AI74" s="93">
        <v>0</v>
      </c>
      <c r="AJ74" s="93">
        <v>60</v>
      </c>
      <c r="AK74" s="93">
        <v>13</v>
      </c>
      <c r="AL74" s="93">
        <v>637.16813999999999</v>
      </c>
      <c r="AM74" s="93">
        <v>82.831860000000006</v>
      </c>
      <c r="AN74" s="93">
        <v>720</v>
      </c>
      <c r="AO74" s="93">
        <v>1.59292039825232E-6</v>
      </c>
      <c r="AP74" s="90" t="s">
        <v>5271</v>
      </c>
      <c r="AQ74" s="90" t="s">
        <v>498</v>
      </c>
      <c r="AR74" s="90"/>
      <c r="AS74" s="90"/>
      <c r="AT74" s="90"/>
      <c r="AU74" s="90"/>
      <c r="AV74" s="90"/>
      <c r="AW74" s="90"/>
      <c r="AX74" s="90"/>
      <c r="AY74" s="90" t="s">
        <v>5230</v>
      </c>
      <c r="AZ74" s="90"/>
      <c r="BA74" s="90" t="s">
        <v>408</v>
      </c>
      <c r="BB74" s="91">
        <v>45917.4840625</v>
      </c>
      <c r="BC74" s="90" t="s">
        <v>401</v>
      </c>
      <c r="BD74" s="90"/>
      <c r="BE74" s="90"/>
      <c r="BF74" s="90" t="s">
        <v>5231</v>
      </c>
    </row>
    <row r="75" spans="1:58" ht="24.75" customHeight="1">
      <c r="A75" s="90" t="s">
        <v>5221</v>
      </c>
      <c r="B75" s="90"/>
      <c r="C75" s="90"/>
      <c r="D75" s="91">
        <v>45917.4843287037</v>
      </c>
      <c r="E75" s="90" t="s">
        <v>5222</v>
      </c>
      <c r="F75" s="92"/>
      <c r="G75" s="90" t="s">
        <v>5378</v>
      </c>
      <c r="H75" s="90" t="s">
        <v>5372</v>
      </c>
      <c r="I75" s="90" t="s">
        <v>5373</v>
      </c>
      <c r="J75" s="90" t="s">
        <v>5374</v>
      </c>
      <c r="K75" s="93">
        <v>1</v>
      </c>
      <c r="L75" s="93">
        <v>430</v>
      </c>
      <c r="M75" s="93">
        <v>430</v>
      </c>
      <c r="N75" s="93">
        <v>430</v>
      </c>
      <c r="O75" s="90" t="s">
        <v>5226</v>
      </c>
      <c r="P75" s="90"/>
      <c r="Q75" s="90" t="s">
        <v>5227</v>
      </c>
      <c r="R75" s="90"/>
      <c r="S75" s="90"/>
      <c r="T75" s="90"/>
      <c r="U75" s="90"/>
      <c r="V75" s="90"/>
      <c r="W75" s="90" t="s">
        <v>5271</v>
      </c>
      <c r="X75" s="90" t="s">
        <v>162</v>
      </c>
      <c r="Y75" s="90" t="s">
        <v>408</v>
      </c>
      <c r="Z75" s="90"/>
      <c r="AA75" s="93">
        <v>380.53097345132699</v>
      </c>
      <c r="AB75" s="93">
        <v>380.53097345132699</v>
      </c>
      <c r="AC75" s="93">
        <v>13</v>
      </c>
      <c r="AD75" s="93">
        <v>49.469026548672502</v>
      </c>
      <c r="AE75" s="90"/>
      <c r="AF75" s="90"/>
      <c r="AG75" s="90"/>
      <c r="AH75" s="90"/>
      <c r="AI75" s="93">
        <v>0</v>
      </c>
      <c r="AJ75" s="93">
        <v>430</v>
      </c>
      <c r="AK75" s="93">
        <v>13</v>
      </c>
      <c r="AL75" s="93">
        <v>380.53097300000002</v>
      </c>
      <c r="AM75" s="93">
        <v>49.469026999999997</v>
      </c>
      <c r="AN75" s="93">
        <v>430</v>
      </c>
      <c r="AO75" s="93">
        <v>4.5132748027754101E-7</v>
      </c>
      <c r="AP75" s="90" t="s">
        <v>5271</v>
      </c>
      <c r="AQ75" s="90" t="s">
        <v>498</v>
      </c>
      <c r="AR75" s="90"/>
      <c r="AS75" s="90"/>
      <c r="AT75" s="90"/>
      <c r="AU75" s="90"/>
      <c r="AV75" s="90"/>
      <c r="AW75" s="90"/>
      <c r="AX75" s="90"/>
      <c r="AY75" s="90" t="s">
        <v>5230</v>
      </c>
      <c r="AZ75" s="90"/>
      <c r="BA75" s="90" t="s">
        <v>408</v>
      </c>
      <c r="BB75" s="91">
        <v>45917.4840625</v>
      </c>
      <c r="BC75" s="90" t="s">
        <v>401</v>
      </c>
      <c r="BD75" s="90"/>
      <c r="BE75" s="90"/>
      <c r="BF75" s="90" t="s">
        <v>5231</v>
      </c>
    </row>
    <row r="76" spans="1:58" ht="24.75" customHeight="1">
      <c r="A76" s="90" t="s">
        <v>5221</v>
      </c>
      <c r="B76" s="90"/>
      <c r="C76" s="90"/>
      <c r="D76" s="91">
        <v>45917.631435185198</v>
      </c>
      <c r="E76" s="90" t="s">
        <v>5222</v>
      </c>
      <c r="F76" s="92"/>
      <c r="G76" s="90" t="s">
        <v>5379</v>
      </c>
      <c r="H76" s="90" t="s">
        <v>5380</v>
      </c>
      <c r="I76" s="90" t="s">
        <v>5381</v>
      </c>
      <c r="J76" s="90" t="s">
        <v>5351</v>
      </c>
      <c r="K76" s="93">
        <v>2</v>
      </c>
      <c r="L76" s="93">
        <v>120</v>
      </c>
      <c r="M76" s="93">
        <v>240</v>
      </c>
      <c r="N76" s="93">
        <v>240</v>
      </c>
      <c r="O76" s="90" t="s">
        <v>5226</v>
      </c>
      <c r="P76" s="90"/>
      <c r="Q76" s="90" t="s">
        <v>5227</v>
      </c>
      <c r="R76" s="90"/>
      <c r="S76" s="90"/>
      <c r="T76" s="90"/>
      <c r="U76" s="90"/>
      <c r="V76" s="90"/>
      <c r="W76" s="90" t="s">
        <v>5271</v>
      </c>
      <c r="X76" s="90" t="s">
        <v>162</v>
      </c>
      <c r="Y76" s="90" t="s">
        <v>408</v>
      </c>
      <c r="Z76" s="90"/>
      <c r="AA76" s="93">
        <v>212.389380530973</v>
      </c>
      <c r="AB76" s="93">
        <v>212.389380530973</v>
      </c>
      <c r="AC76" s="93">
        <v>13</v>
      </c>
      <c r="AD76" s="93">
        <v>27.610619469026499</v>
      </c>
      <c r="AE76" s="90"/>
      <c r="AF76" s="90"/>
      <c r="AG76" s="90"/>
      <c r="AH76" s="90"/>
      <c r="AI76" s="93">
        <v>0</v>
      </c>
      <c r="AJ76" s="93">
        <v>120</v>
      </c>
      <c r="AK76" s="93">
        <v>13</v>
      </c>
      <c r="AL76" s="93">
        <v>212.38937999999999</v>
      </c>
      <c r="AM76" s="93">
        <v>27.610620000000001</v>
      </c>
      <c r="AN76" s="93">
        <v>240</v>
      </c>
      <c r="AO76" s="93">
        <v>5.3097349450581501E-7</v>
      </c>
      <c r="AP76" s="90" t="s">
        <v>5271</v>
      </c>
      <c r="AQ76" s="90" t="s">
        <v>5239</v>
      </c>
      <c r="AR76" s="90"/>
      <c r="AS76" s="90"/>
      <c r="AT76" s="90"/>
      <c r="AU76" s="90"/>
      <c r="AV76" s="90"/>
      <c r="AW76" s="90"/>
      <c r="AX76" s="90"/>
      <c r="AY76" s="90" t="s">
        <v>5230</v>
      </c>
      <c r="AZ76" s="90"/>
      <c r="BA76" s="90" t="s">
        <v>408</v>
      </c>
      <c r="BB76" s="91">
        <v>45917.485289351898</v>
      </c>
      <c r="BC76" s="90" t="s">
        <v>401</v>
      </c>
      <c r="BD76" s="90"/>
      <c r="BE76" s="90"/>
      <c r="BF76" s="90" t="s">
        <v>5231</v>
      </c>
    </row>
    <row r="77" spans="1:58" ht="24.75" customHeight="1">
      <c r="A77" s="90" t="s">
        <v>5221</v>
      </c>
      <c r="B77" s="90"/>
      <c r="C77" s="90"/>
      <c r="D77" s="91">
        <v>45917.634571759299</v>
      </c>
      <c r="E77" s="90" t="s">
        <v>5222</v>
      </c>
      <c r="F77" s="92"/>
      <c r="G77" s="90" t="s">
        <v>5382</v>
      </c>
      <c r="H77" s="90" t="s">
        <v>5380</v>
      </c>
      <c r="I77" s="90" t="s">
        <v>5381</v>
      </c>
      <c r="J77" s="90" t="s">
        <v>5351</v>
      </c>
      <c r="K77" s="93">
        <v>0.3</v>
      </c>
      <c r="L77" s="93">
        <v>120</v>
      </c>
      <c r="M77" s="93">
        <v>36</v>
      </c>
      <c r="N77" s="93">
        <v>36</v>
      </c>
      <c r="O77" s="90" t="s">
        <v>5226</v>
      </c>
      <c r="P77" s="90"/>
      <c r="Q77" s="90" t="s">
        <v>5227</v>
      </c>
      <c r="R77" s="90"/>
      <c r="S77" s="90"/>
      <c r="T77" s="90"/>
      <c r="U77" s="90"/>
      <c r="V77" s="90"/>
      <c r="W77" s="90" t="s">
        <v>5271</v>
      </c>
      <c r="X77" s="90" t="s">
        <v>162</v>
      </c>
      <c r="Y77" s="90" t="s">
        <v>408</v>
      </c>
      <c r="Z77" s="90"/>
      <c r="AA77" s="93">
        <v>31.858407079646</v>
      </c>
      <c r="AB77" s="93">
        <v>31.858407079646</v>
      </c>
      <c r="AC77" s="93">
        <v>13</v>
      </c>
      <c r="AD77" s="93">
        <v>4.1415929203539799</v>
      </c>
      <c r="AE77" s="90"/>
      <c r="AF77" s="90"/>
      <c r="AG77" s="90"/>
      <c r="AH77" s="90"/>
      <c r="AI77" s="93">
        <v>0</v>
      </c>
      <c r="AJ77" s="93">
        <v>120</v>
      </c>
      <c r="AK77" s="93">
        <v>13</v>
      </c>
      <c r="AL77" s="93">
        <v>31.858407</v>
      </c>
      <c r="AM77" s="93">
        <v>4.1415930000000003</v>
      </c>
      <c r="AN77" s="93">
        <v>36</v>
      </c>
      <c r="AO77" s="93">
        <v>7.9646024886414995E-8</v>
      </c>
      <c r="AP77" s="90" t="s">
        <v>5271</v>
      </c>
      <c r="AQ77" s="90" t="s">
        <v>5239</v>
      </c>
      <c r="AR77" s="90"/>
      <c r="AS77" s="90"/>
      <c r="AT77" s="90"/>
      <c r="AU77" s="90"/>
      <c r="AV77" s="90"/>
      <c r="AW77" s="90"/>
      <c r="AX77" s="90"/>
      <c r="AY77" s="90" t="s">
        <v>5230</v>
      </c>
      <c r="AZ77" s="90"/>
      <c r="BA77" s="90" t="s">
        <v>408</v>
      </c>
      <c r="BB77" s="91">
        <v>45917.634305555599</v>
      </c>
      <c r="BC77" s="90" t="s">
        <v>401</v>
      </c>
      <c r="BD77" s="90"/>
      <c r="BE77" s="90"/>
      <c r="BF77" s="90" t="s">
        <v>5231</v>
      </c>
    </row>
    <row r="78" spans="1:58" ht="24.75" customHeight="1">
      <c r="A78" s="90" t="s">
        <v>5221</v>
      </c>
      <c r="B78" s="90"/>
      <c r="C78" s="90"/>
      <c r="D78" s="91">
        <v>45917.634571759299</v>
      </c>
      <c r="E78" s="90" t="s">
        <v>5222</v>
      </c>
      <c r="F78" s="92"/>
      <c r="G78" s="90" t="s">
        <v>5382</v>
      </c>
      <c r="H78" s="90" t="s">
        <v>5383</v>
      </c>
      <c r="I78" s="90" t="s">
        <v>5384</v>
      </c>
      <c r="J78" s="90" t="s">
        <v>5351</v>
      </c>
      <c r="K78" s="93">
        <v>2.9</v>
      </c>
      <c r="L78" s="93">
        <v>130</v>
      </c>
      <c r="M78" s="93">
        <v>377</v>
      </c>
      <c r="N78" s="93">
        <v>377</v>
      </c>
      <c r="O78" s="90" t="s">
        <v>5226</v>
      </c>
      <c r="P78" s="90"/>
      <c r="Q78" s="90" t="s">
        <v>5227</v>
      </c>
      <c r="R78" s="90"/>
      <c r="S78" s="90"/>
      <c r="T78" s="90"/>
      <c r="U78" s="90"/>
      <c r="V78" s="90" t="s">
        <v>5385</v>
      </c>
      <c r="W78" s="90" t="s">
        <v>5271</v>
      </c>
      <c r="X78" s="90" t="s">
        <v>162</v>
      </c>
      <c r="Y78" s="90" t="s">
        <v>408</v>
      </c>
      <c r="Z78" s="90"/>
      <c r="AA78" s="93">
        <v>333.628318584071</v>
      </c>
      <c r="AB78" s="93">
        <v>333.628318584071</v>
      </c>
      <c r="AC78" s="93">
        <v>13</v>
      </c>
      <c r="AD78" s="93">
        <v>43.371681415929203</v>
      </c>
      <c r="AE78" s="90"/>
      <c r="AF78" s="90"/>
      <c r="AG78" s="90"/>
      <c r="AH78" s="90"/>
      <c r="AI78" s="93">
        <v>0</v>
      </c>
      <c r="AJ78" s="93">
        <v>130</v>
      </c>
      <c r="AK78" s="93">
        <v>13</v>
      </c>
      <c r="AL78" s="93">
        <v>333.62831920000002</v>
      </c>
      <c r="AM78" s="93">
        <v>43.3716808</v>
      </c>
      <c r="AN78" s="93">
        <v>377</v>
      </c>
      <c r="AO78" s="93">
        <v>-6.1592913880304E-7</v>
      </c>
      <c r="AP78" s="90" t="s">
        <v>5271</v>
      </c>
      <c r="AQ78" s="90" t="s">
        <v>5229</v>
      </c>
      <c r="AR78" s="90"/>
      <c r="AS78" s="90"/>
      <c r="AT78" s="90"/>
      <c r="AU78" s="90"/>
      <c r="AV78" s="90"/>
      <c r="AW78" s="90"/>
      <c r="AX78" s="90"/>
      <c r="AY78" s="90" t="s">
        <v>5230</v>
      </c>
      <c r="AZ78" s="90"/>
      <c r="BA78" s="90" t="s">
        <v>408</v>
      </c>
      <c r="BB78" s="91">
        <v>45917.634305555599</v>
      </c>
      <c r="BC78" s="90" t="s">
        <v>401</v>
      </c>
      <c r="BD78" s="90"/>
      <c r="BE78" s="90"/>
      <c r="BF78" s="90" t="s">
        <v>5231</v>
      </c>
    </row>
    <row r="79" spans="1:58" ht="24.75" customHeight="1">
      <c r="A79" s="90" t="s">
        <v>5221</v>
      </c>
      <c r="B79" s="90"/>
      <c r="C79" s="90"/>
      <c r="D79" s="91">
        <v>45917.637349536999</v>
      </c>
      <c r="E79" s="90" t="s">
        <v>5222</v>
      </c>
      <c r="F79" s="92"/>
      <c r="G79" s="90" t="s">
        <v>5386</v>
      </c>
      <c r="H79" s="90" t="s">
        <v>5380</v>
      </c>
      <c r="I79" s="90" t="s">
        <v>5381</v>
      </c>
      <c r="J79" s="90" t="s">
        <v>5351</v>
      </c>
      <c r="K79" s="93">
        <v>4</v>
      </c>
      <c r="L79" s="93">
        <v>120</v>
      </c>
      <c r="M79" s="93">
        <v>480</v>
      </c>
      <c r="N79" s="93">
        <v>480</v>
      </c>
      <c r="O79" s="90" t="s">
        <v>5226</v>
      </c>
      <c r="P79" s="90"/>
      <c r="Q79" s="90" t="s">
        <v>5227</v>
      </c>
      <c r="R79" s="90"/>
      <c r="S79" s="90"/>
      <c r="T79" s="90"/>
      <c r="U79" s="90"/>
      <c r="V79" s="90"/>
      <c r="W79" s="90" t="s">
        <v>5271</v>
      </c>
      <c r="X79" s="90" t="s">
        <v>162</v>
      </c>
      <c r="Y79" s="90" t="s">
        <v>408</v>
      </c>
      <c r="Z79" s="90"/>
      <c r="AA79" s="93">
        <v>424.77876106194702</v>
      </c>
      <c r="AB79" s="93">
        <v>424.77876106194702</v>
      </c>
      <c r="AC79" s="93">
        <v>13</v>
      </c>
      <c r="AD79" s="93">
        <v>55.221238938053098</v>
      </c>
      <c r="AE79" s="90"/>
      <c r="AF79" s="90"/>
      <c r="AG79" s="90"/>
      <c r="AH79" s="90"/>
      <c r="AI79" s="93">
        <v>0</v>
      </c>
      <c r="AJ79" s="93">
        <v>120</v>
      </c>
      <c r="AK79" s="93">
        <v>13</v>
      </c>
      <c r="AL79" s="93">
        <v>424.77875999999998</v>
      </c>
      <c r="AM79" s="93">
        <v>55.221240000000002</v>
      </c>
      <c r="AN79" s="93">
        <v>480</v>
      </c>
      <c r="AO79" s="93">
        <v>1.06194698901163E-6</v>
      </c>
      <c r="AP79" s="90" t="s">
        <v>5271</v>
      </c>
      <c r="AQ79" s="90" t="s">
        <v>5239</v>
      </c>
      <c r="AR79" s="90"/>
      <c r="AS79" s="90"/>
      <c r="AT79" s="90"/>
      <c r="AU79" s="90"/>
      <c r="AV79" s="90"/>
      <c r="AW79" s="90"/>
      <c r="AX79" s="90"/>
      <c r="AY79" s="90" t="s">
        <v>5230</v>
      </c>
      <c r="AZ79" s="90"/>
      <c r="BA79" s="90" t="s">
        <v>408</v>
      </c>
      <c r="BB79" s="91">
        <v>45917.637083333299</v>
      </c>
      <c r="BC79" s="90" t="s">
        <v>401</v>
      </c>
      <c r="BD79" s="90"/>
      <c r="BE79" s="90"/>
      <c r="BF79" s="90" t="s">
        <v>5231</v>
      </c>
    </row>
    <row r="80" spans="1:58" ht="24.75" customHeight="1">
      <c r="A80" s="90" t="s">
        <v>5221</v>
      </c>
      <c r="B80" s="90"/>
      <c r="C80" s="90"/>
      <c r="D80" s="91">
        <v>45917.637349536999</v>
      </c>
      <c r="E80" s="90" t="s">
        <v>5222</v>
      </c>
      <c r="F80" s="92"/>
      <c r="G80" s="90" t="s">
        <v>5386</v>
      </c>
      <c r="H80" s="90" t="s">
        <v>5383</v>
      </c>
      <c r="I80" s="90" t="s">
        <v>5384</v>
      </c>
      <c r="J80" s="90" t="s">
        <v>5351</v>
      </c>
      <c r="K80" s="93">
        <v>0.6</v>
      </c>
      <c r="L80" s="93">
        <v>130</v>
      </c>
      <c r="M80" s="93">
        <v>78</v>
      </c>
      <c r="N80" s="93">
        <v>78</v>
      </c>
      <c r="O80" s="90" t="s">
        <v>5226</v>
      </c>
      <c r="P80" s="90"/>
      <c r="Q80" s="90" t="s">
        <v>5227</v>
      </c>
      <c r="R80" s="90"/>
      <c r="S80" s="90"/>
      <c r="T80" s="90"/>
      <c r="U80" s="90"/>
      <c r="V80" s="90" t="s">
        <v>5385</v>
      </c>
      <c r="W80" s="90" t="s">
        <v>5271</v>
      </c>
      <c r="X80" s="90" t="s">
        <v>162</v>
      </c>
      <c r="Y80" s="90" t="s">
        <v>408</v>
      </c>
      <c r="Z80" s="90"/>
      <c r="AA80" s="93">
        <v>69.026548672566406</v>
      </c>
      <c r="AB80" s="93">
        <v>69.026548672566406</v>
      </c>
      <c r="AC80" s="93">
        <v>13</v>
      </c>
      <c r="AD80" s="93">
        <v>8.9734513274336205</v>
      </c>
      <c r="AE80" s="90"/>
      <c r="AF80" s="90"/>
      <c r="AG80" s="90"/>
      <c r="AH80" s="90"/>
      <c r="AI80" s="93">
        <v>0</v>
      </c>
      <c r="AJ80" s="93">
        <v>130</v>
      </c>
      <c r="AK80" s="93">
        <v>13</v>
      </c>
      <c r="AL80" s="93">
        <v>69.0265488</v>
      </c>
      <c r="AM80" s="93">
        <v>8.9734511999999995</v>
      </c>
      <c r="AN80" s="93">
        <v>78</v>
      </c>
      <c r="AO80" s="93">
        <v>-1.27433622765238E-7</v>
      </c>
      <c r="AP80" s="90" t="s">
        <v>5271</v>
      </c>
      <c r="AQ80" s="90" t="s">
        <v>5229</v>
      </c>
      <c r="AR80" s="90"/>
      <c r="AS80" s="90"/>
      <c r="AT80" s="90"/>
      <c r="AU80" s="90"/>
      <c r="AV80" s="90"/>
      <c r="AW80" s="90"/>
      <c r="AX80" s="90"/>
      <c r="AY80" s="90" t="s">
        <v>5230</v>
      </c>
      <c r="AZ80" s="90"/>
      <c r="BA80" s="90" t="s">
        <v>408</v>
      </c>
      <c r="BB80" s="91">
        <v>45917.637083333299</v>
      </c>
      <c r="BC80" s="90" t="s">
        <v>401</v>
      </c>
      <c r="BD80" s="90"/>
      <c r="BE80" s="90"/>
      <c r="BF80" s="90" t="s">
        <v>5231</v>
      </c>
    </row>
    <row r="81" spans="1:58" ht="24.75" customHeight="1">
      <c r="A81" s="90" t="s">
        <v>5221</v>
      </c>
      <c r="B81" s="90"/>
      <c r="C81" s="90"/>
      <c r="D81" s="91">
        <v>45917.640034722201</v>
      </c>
      <c r="E81" s="90" t="s">
        <v>5222</v>
      </c>
      <c r="F81" s="92"/>
      <c r="G81" s="90" t="s">
        <v>5387</v>
      </c>
      <c r="H81" s="90" t="s">
        <v>5380</v>
      </c>
      <c r="I81" s="90" t="s">
        <v>5381</v>
      </c>
      <c r="J81" s="90" t="s">
        <v>5351</v>
      </c>
      <c r="K81" s="93">
        <v>2.2999999999999998</v>
      </c>
      <c r="L81" s="93">
        <v>120</v>
      </c>
      <c r="M81" s="93">
        <v>276</v>
      </c>
      <c r="N81" s="93">
        <v>276</v>
      </c>
      <c r="O81" s="90" t="s">
        <v>5226</v>
      </c>
      <c r="P81" s="90"/>
      <c r="Q81" s="90" t="s">
        <v>5227</v>
      </c>
      <c r="R81" s="90"/>
      <c r="S81" s="90"/>
      <c r="T81" s="90"/>
      <c r="U81" s="90"/>
      <c r="V81" s="90"/>
      <c r="W81" s="90" t="s">
        <v>5271</v>
      </c>
      <c r="X81" s="90" t="s">
        <v>162</v>
      </c>
      <c r="Y81" s="90" t="s">
        <v>408</v>
      </c>
      <c r="Z81" s="90"/>
      <c r="AA81" s="93">
        <v>244.24778761061901</v>
      </c>
      <c r="AB81" s="93">
        <v>244.24778761061901</v>
      </c>
      <c r="AC81" s="93">
        <v>13</v>
      </c>
      <c r="AD81" s="93">
        <v>31.7522123893805</v>
      </c>
      <c r="AE81" s="90"/>
      <c r="AF81" s="90"/>
      <c r="AG81" s="90"/>
      <c r="AH81" s="90"/>
      <c r="AI81" s="93">
        <v>0</v>
      </c>
      <c r="AJ81" s="93">
        <v>120</v>
      </c>
      <c r="AK81" s="93">
        <v>13</v>
      </c>
      <c r="AL81" s="93">
        <v>244.24778699999999</v>
      </c>
      <c r="AM81" s="93">
        <v>31.752213000000001</v>
      </c>
      <c r="AN81" s="93">
        <v>276</v>
      </c>
      <c r="AO81" s="93">
        <v>6.1061953715579896E-7</v>
      </c>
      <c r="AP81" s="90" t="s">
        <v>5271</v>
      </c>
      <c r="AQ81" s="90" t="s">
        <v>5239</v>
      </c>
      <c r="AR81" s="90"/>
      <c r="AS81" s="90"/>
      <c r="AT81" s="90"/>
      <c r="AU81" s="90"/>
      <c r="AV81" s="90"/>
      <c r="AW81" s="90"/>
      <c r="AX81" s="90"/>
      <c r="AY81" s="90" t="s">
        <v>5230</v>
      </c>
      <c r="AZ81" s="90"/>
      <c r="BA81" s="90" t="s">
        <v>408</v>
      </c>
      <c r="BB81" s="91">
        <v>45917.639837962997</v>
      </c>
      <c r="BC81" s="90" t="s">
        <v>401</v>
      </c>
      <c r="BD81" s="90"/>
      <c r="BE81" s="90"/>
      <c r="BF81" s="90" t="s">
        <v>5231</v>
      </c>
    </row>
    <row r="82" spans="1:58" ht="24.75" customHeight="1">
      <c r="A82" s="90" t="s">
        <v>5221</v>
      </c>
      <c r="B82" s="90"/>
      <c r="C82" s="90"/>
      <c r="D82" s="91">
        <v>45917.640034722201</v>
      </c>
      <c r="E82" s="90" t="s">
        <v>5222</v>
      </c>
      <c r="F82" s="92"/>
      <c r="G82" s="90" t="s">
        <v>5387</v>
      </c>
      <c r="H82" s="90" t="s">
        <v>5383</v>
      </c>
      <c r="I82" s="90" t="s">
        <v>5384</v>
      </c>
      <c r="J82" s="90" t="s">
        <v>5351</v>
      </c>
      <c r="K82" s="93">
        <v>0.6</v>
      </c>
      <c r="L82" s="93">
        <v>130</v>
      </c>
      <c r="M82" s="93">
        <v>78</v>
      </c>
      <c r="N82" s="93">
        <v>78</v>
      </c>
      <c r="O82" s="90" t="s">
        <v>5226</v>
      </c>
      <c r="P82" s="90"/>
      <c r="Q82" s="90" t="s">
        <v>5227</v>
      </c>
      <c r="R82" s="90"/>
      <c r="S82" s="90"/>
      <c r="T82" s="90"/>
      <c r="U82" s="90"/>
      <c r="V82" s="90" t="s">
        <v>5385</v>
      </c>
      <c r="W82" s="90" t="s">
        <v>5271</v>
      </c>
      <c r="X82" s="90" t="s">
        <v>162</v>
      </c>
      <c r="Y82" s="90" t="s">
        <v>408</v>
      </c>
      <c r="Z82" s="90"/>
      <c r="AA82" s="93">
        <v>69.026548672566406</v>
      </c>
      <c r="AB82" s="93">
        <v>69.026548672566406</v>
      </c>
      <c r="AC82" s="93">
        <v>13</v>
      </c>
      <c r="AD82" s="93">
        <v>8.9734513274336205</v>
      </c>
      <c r="AE82" s="90"/>
      <c r="AF82" s="90"/>
      <c r="AG82" s="90"/>
      <c r="AH82" s="90"/>
      <c r="AI82" s="93">
        <v>0</v>
      </c>
      <c r="AJ82" s="93">
        <v>130</v>
      </c>
      <c r="AK82" s="93">
        <v>13</v>
      </c>
      <c r="AL82" s="93">
        <v>69.0265488</v>
      </c>
      <c r="AM82" s="93">
        <v>8.9734511999999995</v>
      </c>
      <c r="AN82" s="93">
        <v>78</v>
      </c>
      <c r="AO82" s="93">
        <v>-1.27433622765238E-7</v>
      </c>
      <c r="AP82" s="90" t="s">
        <v>5271</v>
      </c>
      <c r="AQ82" s="90" t="s">
        <v>5229</v>
      </c>
      <c r="AR82" s="90"/>
      <c r="AS82" s="90"/>
      <c r="AT82" s="90"/>
      <c r="AU82" s="90"/>
      <c r="AV82" s="90"/>
      <c r="AW82" s="90"/>
      <c r="AX82" s="90"/>
      <c r="AY82" s="90" t="s">
        <v>5230</v>
      </c>
      <c r="AZ82" s="90"/>
      <c r="BA82" s="90" t="s">
        <v>408</v>
      </c>
      <c r="BB82" s="91">
        <v>45917.639837962997</v>
      </c>
      <c r="BC82" s="90" t="s">
        <v>401</v>
      </c>
      <c r="BD82" s="90"/>
      <c r="BE82" s="90"/>
      <c r="BF82" s="90" t="s">
        <v>5231</v>
      </c>
    </row>
    <row r="83" spans="1:58" ht="24.75" customHeight="1">
      <c r="A83" s="90" t="s">
        <v>5221</v>
      </c>
      <c r="B83" s="90"/>
      <c r="C83" s="90"/>
      <c r="D83" s="91">
        <v>45917.6409837963</v>
      </c>
      <c r="E83" s="90" t="s">
        <v>5222</v>
      </c>
      <c r="F83" s="92"/>
      <c r="G83" s="90" t="s">
        <v>5388</v>
      </c>
      <c r="H83" s="90" t="s">
        <v>5383</v>
      </c>
      <c r="I83" s="90" t="s">
        <v>5384</v>
      </c>
      <c r="J83" s="90" t="s">
        <v>5351</v>
      </c>
      <c r="K83" s="93">
        <v>1.2</v>
      </c>
      <c r="L83" s="93">
        <v>130</v>
      </c>
      <c r="M83" s="93">
        <v>156</v>
      </c>
      <c r="N83" s="93">
        <v>156</v>
      </c>
      <c r="O83" s="90" t="s">
        <v>5226</v>
      </c>
      <c r="P83" s="90"/>
      <c r="Q83" s="90" t="s">
        <v>5227</v>
      </c>
      <c r="R83" s="90"/>
      <c r="S83" s="90"/>
      <c r="T83" s="90"/>
      <c r="U83" s="90"/>
      <c r="V83" s="90" t="s">
        <v>5385</v>
      </c>
      <c r="W83" s="90" t="s">
        <v>5271</v>
      </c>
      <c r="X83" s="90" t="s">
        <v>162</v>
      </c>
      <c r="Y83" s="90" t="s">
        <v>408</v>
      </c>
      <c r="Z83" s="90"/>
      <c r="AA83" s="93">
        <v>138.05309734513301</v>
      </c>
      <c r="AB83" s="93">
        <v>138.05309734513301</v>
      </c>
      <c r="AC83" s="93">
        <v>13</v>
      </c>
      <c r="AD83" s="93">
        <v>17.946902654867198</v>
      </c>
      <c r="AE83" s="90"/>
      <c r="AF83" s="90"/>
      <c r="AG83" s="90"/>
      <c r="AH83" s="90"/>
      <c r="AI83" s="93">
        <v>0</v>
      </c>
      <c r="AJ83" s="93">
        <v>130</v>
      </c>
      <c r="AK83" s="93">
        <v>13</v>
      </c>
      <c r="AL83" s="93">
        <v>138.0530976</v>
      </c>
      <c r="AM83" s="93">
        <v>17.946902399999999</v>
      </c>
      <c r="AN83" s="93">
        <v>156</v>
      </c>
      <c r="AO83" s="93">
        <v>-2.5486724553047701E-7</v>
      </c>
      <c r="AP83" s="90" t="s">
        <v>5271</v>
      </c>
      <c r="AQ83" s="90" t="s">
        <v>5229</v>
      </c>
      <c r="AR83" s="90"/>
      <c r="AS83" s="90"/>
      <c r="AT83" s="90"/>
      <c r="AU83" s="90"/>
      <c r="AV83" s="90"/>
      <c r="AW83" s="90"/>
      <c r="AX83" s="90"/>
      <c r="AY83" s="90" t="s">
        <v>5230</v>
      </c>
      <c r="AZ83" s="90"/>
      <c r="BA83" s="90" t="s">
        <v>408</v>
      </c>
      <c r="BB83" s="91">
        <v>45917.640787037002</v>
      </c>
      <c r="BC83" s="90" t="s">
        <v>401</v>
      </c>
      <c r="BD83" s="90"/>
      <c r="BE83" s="90"/>
      <c r="BF83" s="90" t="s">
        <v>5231</v>
      </c>
    </row>
    <row r="84" spans="1:58" ht="24.75" customHeight="1">
      <c r="A84" s="90" t="s">
        <v>5221</v>
      </c>
      <c r="B84" s="90"/>
      <c r="C84" s="90"/>
      <c r="D84" s="91">
        <v>45917.6409837963</v>
      </c>
      <c r="E84" s="90" t="s">
        <v>5222</v>
      </c>
      <c r="F84" s="92"/>
      <c r="G84" s="90" t="s">
        <v>5388</v>
      </c>
      <c r="H84" s="90" t="s">
        <v>5380</v>
      </c>
      <c r="I84" s="90" t="s">
        <v>5381</v>
      </c>
      <c r="J84" s="90" t="s">
        <v>5351</v>
      </c>
      <c r="K84" s="93">
        <v>3</v>
      </c>
      <c r="L84" s="93">
        <v>120</v>
      </c>
      <c r="M84" s="93">
        <v>360</v>
      </c>
      <c r="N84" s="93">
        <v>360</v>
      </c>
      <c r="O84" s="90" t="s">
        <v>5226</v>
      </c>
      <c r="P84" s="90"/>
      <c r="Q84" s="90" t="s">
        <v>5227</v>
      </c>
      <c r="R84" s="90"/>
      <c r="S84" s="90"/>
      <c r="T84" s="90"/>
      <c r="U84" s="90"/>
      <c r="V84" s="90"/>
      <c r="W84" s="90" t="s">
        <v>5271</v>
      </c>
      <c r="X84" s="90" t="s">
        <v>162</v>
      </c>
      <c r="Y84" s="90" t="s">
        <v>408</v>
      </c>
      <c r="Z84" s="90"/>
      <c r="AA84" s="93">
        <v>318.58407079646003</v>
      </c>
      <c r="AB84" s="93">
        <v>318.58407079646003</v>
      </c>
      <c r="AC84" s="93">
        <v>13</v>
      </c>
      <c r="AD84" s="93">
        <v>41.415929203539797</v>
      </c>
      <c r="AE84" s="90"/>
      <c r="AF84" s="90"/>
      <c r="AG84" s="90"/>
      <c r="AH84" s="90"/>
      <c r="AI84" s="93">
        <v>0</v>
      </c>
      <c r="AJ84" s="93">
        <v>120</v>
      </c>
      <c r="AK84" s="93">
        <v>13</v>
      </c>
      <c r="AL84" s="93">
        <v>318.58407</v>
      </c>
      <c r="AM84" s="93">
        <v>41.415930000000003</v>
      </c>
      <c r="AN84" s="93">
        <v>360</v>
      </c>
      <c r="AO84" s="93">
        <v>7.9646019912615905E-7</v>
      </c>
      <c r="AP84" s="90" t="s">
        <v>5271</v>
      </c>
      <c r="AQ84" s="90" t="s">
        <v>5239</v>
      </c>
      <c r="AR84" s="90"/>
      <c r="AS84" s="90"/>
      <c r="AT84" s="90"/>
      <c r="AU84" s="90"/>
      <c r="AV84" s="90"/>
      <c r="AW84" s="90"/>
      <c r="AX84" s="90"/>
      <c r="AY84" s="90" t="s">
        <v>5230</v>
      </c>
      <c r="AZ84" s="90"/>
      <c r="BA84" s="90" t="s">
        <v>408</v>
      </c>
      <c r="BB84" s="91">
        <v>45917.640787037002</v>
      </c>
      <c r="BC84" s="90" t="s">
        <v>401</v>
      </c>
      <c r="BD84" s="90"/>
      <c r="BE84" s="90"/>
      <c r="BF84" s="90" t="s">
        <v>5231</v>
      </c>
    </row>
    <row r="85" spans="1:58" ht="24.75" customHeight="1">
      <c r="A85" s="90" t="s">
        <v>5221</v>
      </c>
      <c r="B85" s="90"/>
      <c r="C85" s="90"/>
      <c r="D85" s="91">
        <v>45917.6422916667</v>
      </c>
      <c r="E85" s="90" t="s">
        <v>5222</v>
      </c>
      <c r="F85" s="92"/>
      <c r="G85" s="90" t="s">
        <v>5389</v>
      </c>
      <c r="H85" s="90" t="s">
        <v>5383</v>
      </c>
      <c r="I85" s="90" t="s">
        <v>5384</v>
      </c>
      <c r="J85" s="90" t="s">
        <v>5351</v>
      </c>
      <c r="K85" s="93">
        <v>1.4</v>
      </c>
      <c r="L85" s="93">
        <v>130</v>
      </c>
      <c r="M85" s="93">
        <v>182</v>
      </c>
      <c r="N85" s="93">
        <v>182</v>
      </c>
      <c r="O85" s="90" t="s">
        <v>5226</v>
      </c>
      <c r="P85" s="90"/>
      <c r="Q85" s="90" t="s">
        <v>5227</v>
      </c>
      <c r="R85" s="90"/>
      <c r="S85" s="90"/>
      <c r="T85" s="90"/>
      <c r="U85" s="90"/>
      <c r="V85" s="90" t="s">
        <v>5385</v>
      </c>
      <c r="W85" s="90" t="s">
        <v>5271</v>
      </c>
      <c r="X85" s="90" t="s">
        <v>162</v>
      </c>
      <c r="Y85" s="90" t="s">
        <v>408</v>
      </c>
      <c r="Z85" s="90"/>
      <c r="AA85" s="93">
        <v>161.061946902655</v>
      </c>
      <c r="AB85" s="93">
        <v>161.061946902655</v>
      </c>
      <c r="AC85" s="93">
        <v>13</v>
      </c>
      <c r="AD85" s="93">
        <v>20.938053097345101</v>
      </c>
      <c r="AE85" s="90"/>
      <c r="AF85" s="90"/>
      <c r="AG85" s="90"/>
      <c r="AH85" s="90"/>
      <c r="AI85" s="93">
        <v>0</v>
      </c>
      <c r="AJ85" s="93">
        <v>130</v>
      </c>
      <c r="AK85" s="93">
        <v>13</v>
      </c>
      <c r="AL85" s="93">
        <v>161.06194719999999</v>
      </c>
      <c r="AM85" s="93">
        <v>20.938052800000001</v>
      </c>
      <c r="AN85" s="93">
        <v>182</v>
      </c>
      <c r="AO85" s="93">
        <v>-2.9734511031165301E-7</v>
      </c>
      <c r="AP85" s="90" t="s">
        <v>5271</v>
      </c>
      <c r="AQ85" s="90" t="s">
        <v>5229</v>
      </c>
      <c r="AR85" s="90"/>
      <c r="AS85" s="90"/>
      <c r="AT85" s="90"/>
      <c r="AU85" s="90"/>
      <c r="AV85" s="90"/>
      <c r="AW85" s="90"/>
      <c r="AX85" s="90"/>
      <c r="AY85" s="90" t="s">
        <v>5230</v>
      </c>
      <c r="AZ85" s="90"/>
      <c r="BA85" s="90" t="s">
        <v>408</v>
      </c>
      <c r="BB85" s="91">
        <v>45917.6421064815</v>
      </c>
      <c r="BC85" s="90" t="s">
        <v>401</v>
      </c>
      <c r="BD85" s="90"/>
      <c r="BE85" s="90"/>
      <c r="BF85" s="90" t="s">
        <v>5231</v>
      </c>
    </row>
    <row r="86" spans="1:58" ht="24.75" customHeight="1">
      <c r="A86" s="90" t="s">
        <v>5221</v>
      </c>
      <c r="B86" s="90"/>
      <c r="C86" s="90"/>
      <c r="D86" s="91">
        <v>45917.6422916667</v>
      </c>
      <c r="E86" s="90" t="s">
        <v>5222</v>
      </c>
      <c r="F86" s="92"/>
      <c r="G86" s="90" t="s">
        <v>5389</v>
      </c>
      <c r="H86" s="90" t="s">
        <v>5380</v>
      </c>
      <c r="I86" s="90" t="s">
        <v>5381</v>
      </c>
      <c r="J86" s="90" t="s">
        <v>5351</v>
      </c>
      <c r="K86" s="93">
        <v>2.7</v>
      </c>
      <c r="L86" s="93">
        <v>120</v>
      </c>
      <c r="M86" s="93">
        <v>324</v>
      </c>
      <c r="N86" s="93">
        <v>324</v>
      </c>
      <c r="O86" s="90" t="s">
        <v>5226</v>
      </c>
      <c r="P86" s="90"/>
      <c r="Q86" s="90" t="s">
        <v>5227</v>
      </c>
      <c r="R86" s="90"/>
      <c r="S86" s="90"/>
      <c r="T86" s="90"/>
      <c r="U86" s="90"/>
      <c r="V86" s="90"/>
      <c r="W86" s="90" t="s">
        <v>5271</v>
      </c>
      <c r="X86" s="90" t="s">
        <v>162</v>
      </c>
      <c r="Y86" s="90" t="s">
        <v>408</v>
      </c>
      <c r="Z86" s="90"/>
      <c r="AA86" s="93">
        <v>286.72566371681398</v>
      </c>
      <c r="AB86" s="93">
        <v>286.72566371681398</v>
      </c>
      <c r="AC86" s="93">
        <v>13</v>
      </c>
      <c r="AD86" s="93">
        <v>37.274336283185797</v>
      </c>
      <c r="AE86" s="90"/>
      <c r="AF86" s="90"/>
      <c r="AG86" s="90"/>
      <c r="AH86" s="90"/>
      <c r="AI86" s="93">
        <v>0</v>
      </c>
      <c r="AJ86" s="93">
        <v>120</v>
      </c>
      <c r="AK86" s="93">
        <v>13</v>
      </c>
      <c r="AL86" s="93">
        <v>286.725663</v>
      </c>
      <c r="AM86" s="93">
        <v>37.274337000000003</v>
      </c>
      <c r="AN86" s="93">
        <v>324</v>
      </c>
      <c r="AO86" s="93">
        <v>7.1681421331959396E-7</v>
      </c>
      <c r="AP86" s="90" t="s">
        <v>5271</v>
      </c>
      <c r="AQ86" s="90" t="s">
        <v>5239</v>
      </c>
      <c r="AR86" s="90"/>
      <c r="AS86" s="90"/>
      <c r="AT86" s="90"/>
      <c r="AU86" s="90"/>
      <c r="AV86" s="90"/>
      <c r="AW86" s="90"/>
      <c r="AX86" s="90"/>
      <c r="AY86" s="90" t="s">
        <v>5230</v>
      </c>
      <c r="AZ86" s="90"/>
      <c r="BA86" s="90" t="s">
        <v>408</v>
      </c>
      <c r="BB86" s="91">
        <v>45917.6421064815</v>
      </c>
      <c r="BC86" s="90" t="s">
        <v>401</v>
      </c>
      <c r="BD86" s="90"/>
      <c r="BE86" s="90"/>
      <c r="BF86" s="90" t="s">
        <v>5231</v>
      </c>
    </row>
    <row r="87" spans="1:58" ht="24.75" customHeight="1">
      <c r="A87" s="90" t="s">
        <v>5221</v>
      </c>
      <c r="B87" s="90"/>
      <c r="C87" s="90"/>
      <c r="D87" s="91">
        <v>45917.643634259301</v>
      </c>
      <c r="E87" s="90" t="s">
        <v>5222</v>
      </c>
      <c r="F87" s="92"/>
      <c r="G87" s="90" t="s">
        <v>5390</v>
      </c>
      <c r="H87" s="90" t="s">
        <v>5380</v>
      </c>
      <c r="I87" s="90" t="s">
        <v>5381</v>
      </c>
      <c r="J87" s="90" t="s">
        <v>5351</v>
      </c>
      <c r="K87" s="93">
        <v>1.3</v>
      </c>
      <c r="L87" s="93">
        <v>120</v>
      </c>
      <c r="M87" s="93">
        <v>156</v>
      </c>
      <c r="N87" s="93">
        <v>156</v>
      </c>
      <c r="O87" s="90" t="s">
        <v>5226</v>
      </c>
      <c r="P87" s="90"/>
      <c r="Q87" s="90" t="s">
        <v>5227</v>
      </c>
      <c r="R87" s="90"/>
      <c r="S87" s="90"/>
      <c r="T87" s="90"/>
      <c r="U87" s="90"/>
      <c r="V87" s="90"/>
      <c r="W87" s="90" t="s">
        <v>5271</v>
      </c>
      <c r="X87" s="90" t="s">
        <v>162</v>
      </c>
      <c r="Y87" s="90" t="s">
        <v>408</v>
      </c>
      <c r="Z87" s="90"/>
      <c r="AA87" s="93">
        <v>138.05309734513301</v>
      </c>
      <c r="AB87" s="93">
        <v>138.05309734513301</v>
      </c>
      <c r="AC87" s="93">
        <v>13</v>
      </c>
      <c r="AD87" s="93">
        <v>17.946902654867301</v>
      </c>
      <c r="AE87" s="90"/>
      <c r="AF87" s="90"/>
      <c r="AG87" s="90"/>
      <c r="AH87" s="90"/>
      <c r="AI87" s="93">
        <v>0</v>
      </c>
      <c r="AJ87" s="93">
        <v>120</v>
      </c>
      <c r="AK87" s="93">
        <v>13</v>
      </c>
      <c r="AL87" s="93">
        <v>138.05309700000001</v>
      </c>
      <c r="AM87" s="93">
        <v>17.946902999999999</v>
      </c>
      <c r="AN87" s="93">
        <v>156</v>
      </c>
      <c r="AO87" s="93">
        <v>3.45132747270327E-7</v>
      </c>
      <c r="AP87" s="90" t="s">
        <v>5271</v>
      </c>
      <c r="AQ87" s="90" t="s">
        <v>5239</v>
      </c>
      <c r="AR87" s="90"/>
      <c r="AS87" s="90"/>
      <c r="AT87" s="90"/>
      <c r="AU87" s="90"/>
      <c r="AV87" s="90"/>
      <c r="AW87" s="90"/>
      <c r="AX87" s="90"/>
      <c r="AY87" s="90" t="s">
        <v>5230</v>
      </c>
      <c r="AZ87" s="90"/>
      <c r="BA87" s="90" t="s">
        <v>408</v>
      </c>
      <c r="BB87" s="91">
        <v>45917.643159722204</v>
      </c>
      <c r="BC87" s="90" t="s">
        <v>401</v>
      </c>
      <c r="BD87" s="90"/>
      <c r="BE87" s="90"/>
      <c r="BF87" s="90" t="s">
        <v>5231</v>
      </c>
    </row>
    <row r="88" spans="1:58" ht="24.75" customHeight="1">
      <c r="A88" s="90" t="s">
        <v>5221</v>
      </c>
      <c r="B88" s="90"/>
      <c r="C88" s="90"/>
      <c r="D88" s="91">
        <v>45917.643634259301</v>
      </c>
      <c r="E88" s="90" t="s">
        <v>5222</v>
      </c>
      <c r="F88" s="92"/>
      <c r="G88" s="90" t="s">
        <v>5390</v>
      </c>
      <c r="H88" s="90" t="s">
        <v>5383</v>
      </c>
      <c r="I88" s="90" t="s">
        <v>5384</v>
      </c>
      <c r="J88" s="90" t="s">
        <v>5351</v>
      </c>
      <c r="K88" s="93">
        <v>0.9</v>
      </c>
      <c r="L88" s="93">
        <v>130</v>
      </c>
      <c r="M88" s="93">
        <v>117</v>
      </c>
      <c r="N88" s="93">
        <v>117</v>
      </c>
      <c r="O88" s="90" t="s">
        <v>5226</v>
      </c>
      <c r="P88" s="90"/>
      <c r="Q88" s="90" t="s">
        <v>5227</v>
      </c>
      <c r="R88" s="90"/>
      <c r="S88" s="90"/>
      <c r="T88" s="90"/>
      <c r="U88" s="90"/>
      <c r="V88" s="90" t="s">
        <v>5385</v>
      </c>
      <c r="W88" s="90" t="s">
        <v>5271</v>
      </c>
      <c r="X88" s="90" t="s">
        <v>162</v>
      </c>
      <c r="Y88" s="90" t="s">
        <v>408</v>
      </c>
      <c r="Z88" s="90"/>
      <c r="AA88" s="93">
        <v>103.53982300884999</v>
      </c>
      <c r="AB88" s="93">
        <v>103.53982300884999</v>
      </c>
      <c r="AC88" s="93">
        <v>13</v>
      </c>
      <c r="AD88" s="93">
        <v>13.4601769911504</v>
      </c>
      <c r="AE88" s="90"/>
      <c r="AF88" s="90"/>
      <c r="AG88" s="90"/>
      <c r="AH88" s="90"/>
      <c r="AI88" s="93">
        <v>0</v>
      </c>
      <c r="AJ88" s="93">
        <v>130</v>
      </c>
      <c r="AK88" s="93">
        <v>13</v>
      </c>
      <c r="AL88" s="93">
        <v>103.5398232</v>
      </c>
      <c r="AM88" s="93">
        <v>13.460176799999999</v>
      </c>
      <c r="AN88" s="93">
        <v>117</v>
      </c>
      <c r="AO88" s="93">
        <v>-1.9115043414785799E-7</v>
      </c>
      <c r="AP88" s="90" t="s">
        <v>5271</v>
      </c>
      <c r="AQ88" s="90" t="s">
        <v>5229</v>
      </c>
      <c r="AR88" s="90"/>
      <c r="AS88" s="90"/>
      <c r="AT88" s="90"/>
      <c r="AU88" s="90"/>
      <c r="AV88" s="90"/>
      <c r="AW88" s="90"/>
      <c r="AX88" s="90"/>
      <c r="AY88" s="90" t="s">
        <v>5230</v>
      </c>
      <c r="AZ88" s="90"/>
      <c r="BA88" s="90" t="s">
        <v>408</v>
      </c>
      <c r="BB88" s="91">
        <v>45917.643159722204</v>
      </c>
      <c r="BC88" s="90" t="s">
        <v>401</v>
      </c>
      <c r="BD88" s="90"/>
      <c r="BE88" s="90"/>
      <c r="BF88" s="90" t="s">
        <v>5231</v>
      </c>
    </row>
    <row r="89" spans="1:58" ht="24.75" customHeight="1">
      <c r="A89" s="90" t="s">
        <v>5221</v>
      </c>
      <c r="B89" s="90"/>
      <c r="C89" s="90"/>
      <c r="D89" s="91">
        <v>45917.644710648201</v>
      </c>
      <c r="E89" s="90" t="s">
        <v>5222</v>
      </c>
      <c r="F89" s="92"/>
      <c r="G89" s="90" t="s">
        <v>5391</v>
      </c>
      <c r="H89" s="90" t="s">
        <v>5383</v>
      </c>
      <c r="I89" s="90" t="s">
        <v>5384</v>
      </c>
      <c r="J89" s="90" t="s">
        <v>5351</v>
      </c>
      <c r="K89" s="93">
        <v>1.3</v>
      </c>
      <c r="L89" s="93">
        <v>130</v>
      </c>
      <c r="M89" s="93">
        <v>169</v>
      </c>
      <c r="N89" s="93">
        <v>169</v>
      </c>
      <c r="O89" s="90" t="s">
        <v>5226</v>
      </c>
      <c r="P89" s="90"/>
      <c r="Q89" s="90" t="s">
        <v>5227</v>
      </c>
      <c r="R89" s="90"/>
      <c r="S89" s="90"/>
      <c r="T89" s="90"/>
      <c r="U89" s="90"/>
      <c r="V89" s="90" t="s">
        <v>5385</v>
      </c>
      <c r="W89" s="90" t="s">
        <v>5271</v>
      </c>
      <c r="X89" s="90" t="s">
        <v>162</v>
      </c>
      <c r="Y89" s="90" t="s">
        <v>408</v>
      </c>
      <c r="Z89" s="90"/>
      <c r="AA89" s="93">
        <v>149.55752212389399</v>
      </c>
      <c r="AB89" s="93">
        <v>149.55752212389399</v>
      </c>
      <c r="AC89" s="93">
        <v>13</v>
      </c>
      <c r="AD89" s="93">
        <v>19.442477876106199</v>
      </c>
      <c r="AE89" s="90"/>
      <c r="AF89" s="90"/>
      <c r="AG89" s="90"/>
      <c r="AH89" s="90"/>
      <c r="AI89" s="93">
        <v>0</v>
      </c>
      <c r="AJ89" s="93">
        <v>130</v>
      </c>
      <c r="AK89" s="93">
        <v>13</v>
      </c>
      <c r="AL89" s="93">
        <v>149.55752240000001</v>
      </c>
      <c r="AM89" s="93">
        <v>19.4424776</v>
      </c>
      <c r="AN89" s="93">
        <v>169</v>
      </c>
      <c r="AO89" s="93">
        <v>-2.7610619213191999E-7</v>
      </c>
      <c r="AP89" s="90" t="s">
        <v>5271</v>
      </c>
      <c r="AQ89" s="90" t="s">
        <v>5229</v>
      </c>
      <c r="AR89" s="90"/>
      <c r="AS89" s="90"/>
      <c r="AT89" s="90"/>
      <c r="AU89" s="90"/>
      <c r="AV89" s="90"/>
      <c r="AW89" s="90"/>
      <c r="AX89" s="90"/>
      <c r="AY89" s="90" t="s">
        <v>5230</v>
      </c>
      <c r="AZ89" s="90"/>
      <c r="BA89" s="90" t="s">
        <v>408</v>
      </c>
      <c r="BB89" s="91">
        <v>45917.644525463002</v>
      </c>
      <c r="BC89" s="90" t="s">
        <v>401</v>
      </c>
      <c r="BD89" s="90"/>
      <c r="BE89" s="90"/>
      <c r="BF89" s="90" t="s">
        <v>5231</v>
      </c>
    </row>
    <row r="90" spans="1:58" ht="24.75" customHeight="1">
      <c r="A90" s="90" t="s">
        <v>5221</v>
      </c>
      <c r="B90" s="90"/>
      <c r="C90" s="90"/>
      <c r="D90" s="91">
        <v>45917.644710648201</v>
      </c>
      <c r="E90" s="90" t="s">
        <v>5222</v>
      </c>
      <c r="F90" s="92"/>
      <c r="G90" s="90" t="s">
        <v>5391</v>
      </c>
      <c r="H90" s="90" t="s">
        <v>5380</v>
      </c>
      <c r="I90" s="90" t="s">
        <v>5381</v>
      </c>
      <c r="J90" s="90" t="s">
        <v>5351</v>
      </c>
      <c r="K90" s="93">
        <v>1.9</v>
      </c>
      <c r="L90" s="93">
        <v>120</v>
      </c>
      <c r="M90" s="93">
        <v>228</v>
      </c>
      <c r="N90" s="93">
        <v>228</v>
      </c>
      <c r="O90" s="90" t="s">
        <v>5226</v>
      </c>
      <c r="P90" s="90"/>
      <c r="Q90" s="90" t="s">
        <v>5227</v>
      </c>
      <c r="R90" s="90"/>
      <c r="S90" s="90"/>
      <c r="T90" s="90"/>
      <c r="U90" s="90"/>
      <c r="V90" s="90"/>
      <c r="W90" s="90" t="s">
        <v>5271</v>
      </c>
      <c r="X90" s="90" t="s">
        <v>162</v>
      </c>
      <c r="Y90" s="90" t="s">
        <v>408</v>
      </c>
      <c r="Z90" s="90"/>
      <c r="AA90" s="93">
        <v>201.76991150442501</v>
      </c>
      <c r="AB90" s="93">
        <v>201.76991150442501</v>
      </c>
      <c r="AC90" s="93">
        <v>13</v>
      </c>
      <c r="AD90" s="93">
        <v>26.230088495575199</v>
      </c>
      <c r="AE90" s="90"/>
      <c r="AF90" s="90"/>
      <c r="AG90" s="90"/>
      <c r="AH90" s="90"/>
      <c r="AI90" s="93">
        <v>0</v>
      </c>
      <c r="AJ90" s="93">
        <v>120</v>
      </c>
      <c r="AK90" s="93">
        <v>13</v>
      </c>
      <c r="AL90" s="93">
        <v>201.76991100000001</v>
      </c>
      <c r="AM90" s="93">
        <v>26.230089</v>
      </c>
      <c r="AN90" s="93">
        <v>228</v>
      </c>
      <c r="AO90" s="93">
        <v>5.0442483257029401E-7</v>
      </c>
      <c r="AP90" s="90" t="s">
        <v>5271</v>
      </c>
      <c r="AQ90" s="90" t="s">
        <v>5239</v>
      </c>
      <c r="AR90" s="90"/>
      <c r="AS90" s="90"/>
      <c r="AT90" s="90"/>
      <c r="AU90" s="90"/>
      <c r="AV90" s="90"/>
      <c r="AW90" s="90"/>
      <c r="AX90" s="90"/>
      <c r="AY90" s="90" t="s">
        <v>5230</v>
      </c>
      <c r="AZ90" s="90"/>
      <c r="BA90" s="90" t="s">
        <v>408</v>
      </c>
      <c r="BB90" s="91">
        <v>45917.644525463002</v>
      </c>
      <c r="BC90" s="90" t="s">
        <v>401</v>
      </c>
      <c r="BD90" s="90"/>
      <c r="BE90" s="90"/>
      <c r="BF90" s="90" t="s">
        <v>5231</v>
      </c>
    </row>
    <row r="91" spans="1:58" ht="24.75" customHeight="1">
      <c r="A91" s="90" t="s">
        <v>5221</v>
      </c>
      <c r="B91" s="90"/>
      <c r="C91" s="90"/>
      <c r="D91" s="91">
        <v>45917.645972222199</v>
      </c>
      <c r="E91" s="90" t="s">
        <v>5222</v>
      </c>
      <c r="F91" s="92"/>
      <c r="G91" s="90" t="s">
        <v>5392</v>
      </c>
      <c r="H91" s="90" t="s">
        <v>5380</v>
      </c>
      <c r="I91" s="90" t="s">
        <v>5381</v>
      </c>
      <c r="J91" s="90" t="s">
        <v>5351</v>
      </c>
      <c r="K91" s="93">
        <v>4.3</v>
      </c>
      <c r="L91" s="93">
        <v>120</v>
      </c>
      <c r="M91" s="93">
        <v>516</v>
      </c>
      <c r="N91" s="93">
        <v>516</v>
      </c>
      <c r="O91" s="90" t="s">
        <v>5226</v>
      </c>
      <c r="P91" s="90"/>
      <c r="Q91" s="90" t="s">
        <v>5227</v>
      </c>
      <c r="R91" s="90"/>
      <c r="S91" s="90"/>
      <c r="T91" s="90"/>
      <c r="U91" s="90"/>
      <c r="V91" s="90"/>
      <c r="W91" s="90" t="s">
        <v>5271</v>
      </c>
      <c r="X91" s="90" t="s">
        <v>162</v>
      </c>
      <c r="Y91" s="90" t="s">
        <v>408</v>
      </c>
      <c r="Z91" s="90"/>
      <c r="AA91" s="93">
        <v>456.63716814159301</v>
      </c>
      <c r="AB91" s="93">
        <v>456.63716814159301</v>
      </c>
      <c r="AC91" s="93">
        <v>13</v>
      </c>
      <c r="AD91" s="93">
        <v>59.362831858407098</v>
      </c>
      <c r="AE91" s="90"/>
      <c r="AF91" s="90"/>
      <c r="AG91" s="90"/>
      <c r="AH91" s="90"/>
      <c r="AI91" s="93">
        <v>0</v>
      </c>
      <c r="AJ91" s="93">
        <v>120</v>
      </c>
      <c r="AK91" s="93">
        <v>13</v>
      </c>
      <c r="AL91" s="93">
        <v>456.63716699999998</v>
      </c>
      <c r="AM91" s="93">
        <v>59.362833000000002</v>
      </c>
      <c r="AN91" s="93">
        <v>516</v>
      </c>
      <c r="AO91" s="93">
        <v>1.1415929748182001E-6</v>
      </c>
      <c r="AP91" s="90" t="s">
        <v>5271</v>
      </c>
      <c r="AQ91" s="90" t="s">
        <v>5239</v>
      </c>
      <c r="AR91" s="90"/>
      <c r="AS91" s="90"/>
      <c r="AT91" s="90"/>
      <c r="AU91" s="90"/>
      <c r="AV91" s="90"/>
      <c r="AW91" s="90"/>
      <c r="AX91" s="90"/>
      <c r="AY91" s="90" t="s">
        <v>5230</v>
      </c>
      <c r="AZ91" s="90"/>
      <c r="BA91" s="90" t="s">
        <v>408</v>
      </c>
      <c r="BB91" s="91">
        <v>45917.645763888897</v>
      </c>
      <c r="BC91" s="90" t="s">
        <v>401</v>
      </c>
      <c r="BD91" s="90"/>
      <c r="BE91" s="90"/>
      <c r="BF91" s="90" t="s">
        <v>5231</v>
      </c>
    </row>
    <row r="92" spans="1:58" ht="24.75" customHeight="1">
      <c r="A92" s="90" t="s">
        <v>5221</v>
      </c>
      <c r="B92" s="90"/>
      <c r="C92" s="90"/>
      <c r="D92" s="91">
        <v>45917.645972222199</v>
      </c>
      <c r="E92" s="90" t="s">
        <v>5222</v>
      </c>
      <c r="F92" s="92"/>
      <c r="G92" s="90" t="s">
        <v>5392</v>
      </c>
      <c r="H92" s="90" t="s">
        <v>5383</v>
      </c>
      <c r="I92" s="90" t="s">
        <v>5384</v>
      </c>
      <c r="J92" s="90" t="s">
        <v>5351</v>
      </c>
      <c r="K92" s="93">
        <v>0.8</v>
      </c>
      <c r="L92" s="93">
        <v>130</v>
      </c>
      <c r="M92" s="93">
        <v>104</v>
      </c>
      <c r="N92" s="93">
        <v>104</v>
      </c>
      <c r="O92" s="90" t="s">
        <v>5226</v>
      </c>
      <c r="P92" s="90"/>
      <c r="Q92" s="90" t="s">
        <v>5227</v>
      </c>
      <c r="R92" s="90"/>
      <c r="S92" s="90"/>
      <c r="T92" s="90"/>
      <c r="U92" s="90"/>
      <c r="V92" s="90" t="s">
        <v>5385</v>
      </c>
      <c r="W92" s="90" t="s">
        <v>5271</v>
      </c>
      <c r="X92" s="90" t="s">
        <v>162</v>
      </c>
      <c r="Y92" s="90" t="s">
        <v>408</v>
      </c>
      <c r="Z92" s="90"/>
      <c r="AA92" s="93">
        <v>92.035398230088504</v>
      </c>
      <c r="AB92" s="93">
        <v>92.035398230088504</v>
      </c>
      <c r="AC92" s="93">
        <v>13</v>
      </c>
      <c r="AD92" s="93">
        <v>11.9646017699115</v>
      </c>
      <c r="AE92" s="90"/>
      <c r="AF92" s="90"/>
      <c r="AG92" s="90"/>
      <c r="AH92" s="90"/>
      <c r="AI92" s="93">
        <v>0</v>
      </c>
      <c r="AJ92" s="93">
        <v>130</v>
      </c>
      <c r="AK92" s="93">
        <v>13</v>
      </c>
      <c r="AL92" s="93">
        <v>92.035398400000005</v>
      </c>
      <c r="AM92" s="93">
        <v>11.9646016</v>
      </c>
      <c r="AN92" s="93">
        <v>104</v>
      </c>
      <c r="AO92" s="93">
        <v>-1.6991150175726901E-7</v>
      </c>
      <c r="AP92" s="90" t="s">
        <v>5271</v>
      </c>
      <c r="AQ92" s="90" t="s">
        <v>5229</v>
      </c>
      <c r="AR92" s="90"/>
      <c r="AS92" s="90"/>
      <c r="AT92" s="90"/>
      <c r="AU92" s="90"/>
      <c r="AV92" s="90"/>
      <c r="AW92" s="90"/>
      <c r="AX92" s="90"/>
      <c r="AY92" s="90" t="s">
        <v>5230</v>
      </c>
      <c r="AZ92" s="90"/>
      <c r="BA92" s="90" t="s">
        <v>408</v>
      </c>
      <c r="BB92" s="91">
        <v>45917.645763888897</v>
      </c>
      <c r="BC92" s="90" t="s">
        <v>401</v>
      </c>
      <c r="BD92" s="90"/>
      <c r="BE92" s="90"/>
      <c r="BF92" s="90" t="s">
        <v>5231</v>
      </c>
    </row>
    <row r="93" spans="1:58" ht="24.75" customHeight="1">
      <c r="A93" s="90" t="s">
        <v>5221</v>
      </c>
      <c r="B93" s="90"/>
      <c r="C93" s="90"/>
      <c r="D93" s="91">
        <v>45917.663472222201</v>
      </c>
      <c r="E93" s="90" t="s">
        <v>5222</v>
      </c>
      <c r="F93" s="92"/>
      <c r="G93" s="90" t="s">
        <v>5393</v>
      </c>
      <c r="H93" s="90" t="s">
        <v>5380</v>
      </c>
      <c r="I93" s="90" t="s">
        <v>5381</v>
      </c>
      <c r="J93" s="90" t="s">
        <v>5351</v>
      </c>
      <c r="K93" s="93">
        <v>2.7</v>
      </c>
      <c r="L93" s="93">
        <v>120</v>
      </c>
      <c r="M93" s="93">
        <v>324</v>
      </c>
      <c r="N93" s="93">
        <v>324</v>
      </c>
      <c r="O93" s="90" t="s">
        <v>5226</v>
      </c>
      <c r="P93" s="90"/>
      <c r="Q93" s="90" t="s">
        <v>5227</v>
      </c>
      <c r="R93" s="90"/>
      <c r="S93" s="90"/>
      <c r="T93" s="90"/>
      <c r="U93" s="90"/>
      <c r="V93" s="90"/>
      <c r="W93" s="90" t="s">
        <v>5271</v>
      </c>
      <c r="X93" s="90" t="s">
        <v>162</v>
      </c>
      <c r="Y93" s="90" t="s">
        <v>408</v>
      </c>
      <c r="Z93" s="90"/>
      <c r="AA93" s="93">
        <v>286.72566371681398</v>
      </c>
      <c r="AB93" s="93">
        <v>286.72566371681398</v>
      </c>
      <c r="AC93" s="93">
        <v>13</v>
      </c>
      <c r="AD93" s="93">
        <v>37.274336283185797</v>
      </c>
      <c r="AE93" s="90"/>
      <c r="AF93" s="90"/>
      <c r="AG93" s="90"/>
      <c r="AH93" s="90"/>
      <c r="AI93" s="93">
        <v>0</v>
      </c>
      <c r="AJ93" s="93">
        <v>120</v>
      </c>
      <c r="AK93" s="93">
        <v>13</v>
      </c>
      <c r="AL93" s="93">
        <v>286.725663</v>
      </c>
      <c r="AM93" s="93">
        <v>37.274337000000003</v>
      </c>
      <c r="AN93" s="93">
        <v>324</v>
      </c>
      <c r="AO93" s="93">
        <v>7.1681421331959396E-7</v>
      </c>
      <c r="AP93" s="90" t="s">
        <v>5271</v>
      </c>
      <c r="AQ93" s="90" t="s">
        <v>5239</v>
      </c>
      <c r="AR93" s="90"/>
      <c r="AS93" s="90"/>
      <c r="AT93" s="90"/>
      <c r="AU93" s="90"/>
      <c r="AV93" s="90"/>
      <c r="AW93" s="90"/>
      <c r="AX93" s="90"/>
      <c r="AY93" s="90" t="s">
        <v>5230</v>
      </c>
      <c r="AZ93" s="90"/>
      <c r="BA93" s="90" t="s">
        <v>408</v>
      </c>
      <c r="BB93" s="91">
        <v>45917.663113425901</v>
      </c>
      <c r="BC93" s="90" t="s">
        <v>401</v>
      </c>
      <c r="BD93" s="90"/>
      <c r="BE93" s="90"/>
      <c r="BF93" s="90" t="s">
        <v>5231</v>
      </c>
    </row>
    <row r="94" spans="1:58" ht="24.75" customHeight="1">
      <c r="A94" s="90" t="s">
        <v>5221</v>
      </c>
      <c r="B94" s="90"/>
      <c r="C94" s="90"/>
      <c r="D94" s="91">
        <v>45917.663472222201</v>
      </c>
      <c r="E94" s="90" t="s">
        <v>5222</v>
      </c>
      <c r="F94" s="92"/>
      <c r="G94" s="90" t="s">
        <v>5393</v>
      </c>
      <c r="H94" s="90" t="s">
        <v>5383</v>
      </c>
      <c r="I94" s="90" t="s">
        <v>5384</v>
      </c>
      <c r="J94" s="90" t="s">
        <v>5351</v>
      </c>
      <c r="K94" s="93">
        <v>2</v>
      </c>
      <c r="L94" s="93">
        <v>130</v>
      </c>
      <c r="M94" s="93">
        <v>260</v>
      </c>
      <c r="N94" s="93">
        <v>260</v>
      </c>
      <c r="O94" s="90" t="s">
        <v>5226</v>
      </c>
      <c r="P94" s="90"/>
      <c r="Q94" s="90" t="s">
        <v>5227</v>
      </c>
      <c r="R94" s="90"/>
      <c r="S94" s="90"/>
      <c r="T94" s="90"/>
      <c r="U94" s="90"/>
      <c r="V94" s="90" t="s">
        <v>5385</v>
      </c>
      <c r="W94" s="90" t="s">
        <v>5271</v>
      </c>
      <c r="X94" s="90" t="s">
        <v>162</v>
      </c>
      <c r="Y94" s="90" t="s">
        <v>408</v>
      </c>
      <c r="Z94" s="90"/>
      <c r="AA94" s="93">
        <v>230.088495575221</v>
      </c>
      <c r="AB94" s="93">
        <v>230.088495575221</v>
      </c>
      <c r="AC94" s="93">
        <v>13</v>
      </c>
      <c r="AD94" s="93">
        <v>29.911504424778698</v>
      </c>
      <c r="AE94" s="90"/>
      <c r="AF94" s="90"/>
      <c r="AG94" s="90"/>
      <c r="AH94" s="90"/>
      <c r="AI94" s="93">
        <v>0</v>
      </c>
      <c r="AJ94" s="93">
        <v>130</v>
      </c>
      <c r="AK94" s="93">
        <v>13</v>
      </c>
      <c r="AL94" s="93">
        <v>230.08849599999999</v>
      </c>
      <c r="AM94" s="93">
        <v>29.911504000000001</v>
      </c>
      <c r="AN94" s="93">
        <v>260</v>
      </c>
      <c r="AO94" s="93">
        <v>-4.2477873307689199E-7</v>
      </c>
      <c r="AP94" s="90" t="s">
        <v>5271</v>
      </c>
      <c r="AQ94" s="90" t="s">
        <v>5229</v>
      </c>
      <c r="AR94" s="90"/>
      <c r="AS94" s="90"/>
      <c r="AT94" s="90"/>
      <c r="AU94" s="90"/>
      <c r="AV94" s="90"/>
      <c r="AW94" s="90"/>
      <c r="AX94" s="90"/>
      <c r="AY94" s="90" t="s">
        <v>5230</v>
      </c>
      <c r="AZ94" s="90"/>
      <c r="BA94" s="90" t="s">
        <v>408</v>
      </c>
      <c r="BB94" s="91">
        <v>45917.663113425901</v>
      </c>
      <c r="BC94" s="90" t="s">
        <v>401</v>
      </c>
      <c r="BD94" s="90"/>
      <c r="BE94" s="90"/>
      <c r="BF94" s="90" t="s">
        <v>5231</v>
      </c>
    </row>
    <row r="95" spans="1:58" ht="24.75" customHeight="1">
      <c r="A95" s="90" t="s">
        <v>5221</v>
      </c>
      <c r="B95" s="90"/>
      <c r="C95" s="90"/>
      <c r="D95" s="91">
        <v>45917.678344907399</v>
      </c>
      <c r="E95" s="90" t="s">
        <v>5222</v>
      </c>
      <c r="F95" s="92"/>
      <c r="G95" s="90" t="s">
        <v>5394</v>
      </c>
      <c r="H95" s="90" t="s">
        <v>5383</v>
      </c>
      <c r="I95" s="90" t="s">
        <v>5384</v>
      </c>
      <c r="J95" s="90" t="s">
        <v>5351</v>
      </c>
      <c r="K95" s="93">
        <v>1.2</v>
      </c>
      <c r="L95" s="93">
        <v>130</v>
      </c>
      <c r="M95" s="93">
        <v>156</v>
      </c>
      <c r="N95" s="93">
        <v>156</v>
      </c>
      <c r="O95" s="90" t="s">
        <v>5226</v>
      </c>
      <c r="P95" s="90"/>
      <c r="Q95" s="90" t="s">
        <v>5227</v>
      </c>
      <c r="R95" s="90"/>
      <c r="S95" s="90"/>
      <c r="T95" s="90"/>
      <c r="U95" s="90"/>
      <c r="V95" s="90" t="s">
        <v>5385</v>
      </c>
      <c r="W95" s="90" t="s">
        <v>5271</v>
      </c>
      <c r="X95" s="90" t="s">
        <v>162</v>
      </c>
      <c r="Y95" s="90" t="s">
        <v>408</v>
      </c>
      <c r="Z95" s="90"/>
      <c r="AA95" s="93">
        <v>138.05309734513301</v>
      </c>
      <c r="AB95" s="93">
        <v>138.05309734513301</v>
      </c>
      <c r="AC95" s="93">
        <v>13</v>
      </c>
      <c r="AD95" s="93">
        <v>17.946902654867198</v>
      </c>
      <c r="AE95" s="90"/>
      <c r="AF95" s="90"/>
      <c r="AG95" s="90"/>
      <c r="AH95" s="90"/>
      <c r="AI95" s="93">
        <v>0</v>
      </c>
      <c r="AJ95" s="93">
        <v>130</v>
      </c>
      <c r="AK95" s="93">
        <v>13</v>
      </c>
      <c r="AL95" s="93">
        <v>138.0530976</v>
      </c>
      <c r="AM95" s="93">
        <v>17.946902399999999</v>
      </c>
      <c r="AN95" s="93">
        <v>156</v>
      </c>
      <c r="AO95" s="93">
        <v>-2.5486724553047701E-7</v>
      </c>
      <c r="AP95" s="90" t="s">
        <v>5271</v>
      </c>
      <c r="AQ95" s="90" t="s">
        <v>5229</v>
      </c>
      <c r="AR95" s="90"/>
      <c r="AS95" s="90"/>
      <c r="AT95" s="90"/>
      <c r="AU95" s="90"/>
      <c r="AV95" s="90"/>
      <c r="AW95" s="90"/>
      <c r="AX95" s="90"/>
      <c r="AY95" s="90" t="s">
        <v>5230</v>
      </c>
      <c r="AZ95" s="90"/>
      <c r="BA95" s="90" t="s">
        <v>408</v>
      </c>
      <c r="BB95" s="91">
        <v>45917.678090277797</v>
      </c>
      <c r="BC95" s="90" t="s">
        <v>401</v>
      </c>
      <c r="BD95" s="90"/>
      <c r="BE95" s="90"/>
      <c r="BF95" s="90" t="s">
        <v>5231</v>
      </c>
    </row>
    <row r="96" spans="1:58" ht="24.75" customHeight="1">
      <c r="A96" s="90" t="s">
        <v>5221</v>
      </c>
      <c r="B96" s="90"/>
      <c r="C96" s="90"/>
      <c r="D96" s="91">
        <v>45917.678344907399</v>
      </c>
      <c r="E96" s="90" t="s">
        <v>5222</v>
      </c>
      <c r="F96" s="92"/>
      <c r="G96" s="90" t="s">
        <v>5394</v>
      </c>
      <c r="H96" s="90" t="s">
        <v>5380</v>
      </c>
      <c r="I96" s="90" t="s">
        <v>5381</v>
      </c>
      <c r="J96" s="90" t="s">
        <v>5351</v>
      </c>
      <c r="K96" s="93">
        <v>2</v>
      </c>
      <c r="L96" s="93">
        <v>120</v>
      </c>
      <c r="M96" s="93">
        <v>240</v>
      </c>
      <c r="N96" s="93">
        <v>240</v>
      </c>
      <c r="O96" s="90" t="s">
        <v>5226</v>
      </c>
      <c r="P96" s="90"/>
      <c r="Q96" s="90" t="s">
        <v>5227</v>
      </c>
      <c r="R96" s="90"/>
      <c r="S96" s="90"/>
      <c r="T96" s="90"/>
      <c r="U96" s="90"/>
      <c r="V96" s="90"/>
      <c r="W96" s="90" t="s">
        <v>5271</v>
      </c>
      <c r="X96" s="90" t="s">
        <v>162</v>
      </c>
      <c r="Y96" s="90" t="s">
        <v>408</v>
      </c>
      <c r="Z96" s="90"/>
      <c r="AA96" s="93">
        <v>212.389380530973</v>
      </c>
      <c r="AB96" s="93">
        <v>212.389380530973</v>
      </c>
      <c r="AC96" s="93">
        <v>13</v>
      </c>
      <c r="AD96" s="93">
        <v>27.610619469026499</v>
      </c>
      <c r="AE96" s="90"/>
      <c r="AF96" s="90"/>
      <c r="AG96" s="90"/>
      <c r="AH96" s="90"/>
      <c r="AI96" s="93">
        <v>0</v>
      </c>
      <c r="AJ96" s="93">
        <v>120</v>
      </c>
      <c r="AK96" s="93">
        <v>13</v>
      </c>
      <c r="AL96" s="93">
        <v>212.38937999999999</v>
      </c>
      <c r="AM96" s="93">
        <v>27.610620000000001</v>
      </c>
      <c r="AN96" s="93">
        <v>240</v>
      </c>
      <c r="AO96" s="93">
        <v>5.3097349450581501E-7</v>
      </c>
      <c r="AP96" s="90" t="s">
        <v>5271</v>
      </c>
      <c r="AQ96" s="90" t="s">
        <v>5239</v>
      </c>
      <c r="AR96" s="90"/>
      <c r="AS96" s="90"/>
      <c r="AT96" s="90"/>
      <c r="AU96" s="90"/>
      <c r="AV96" s="90"/>
      <c r="AW96" s="90"/>
      <c r="AX96" s="90"/>
      <c r="AY96" s="90" t="s">
        <v>5230</v>
      </c>
      <c r="AZ96" s="90"/>
      <c r="BA96" s="90" t="s">
        <v>408</v>
      </c>
      <c r="BB96" s="91">
        <v>45917.678090277797</v>
      </c>
      <c r="BC96" s="90" t="s">
        <v>401</v>
      </c>
      <c r="BD96" s="90"/>
      <c r="BE96" s="90"/>
      <c r="BF96" s="90" t="s">
        <v>5231</v>
      </c>
    </row>
    <row r="97" spans="1:58" ht="24.75" customHeight="1">
      <c r="A97" s="90" t="s">
        <v>5221</v>
      </c>
      <c r="B97" s="90"/>
      <c r="C97" s="90"/>
      <c r="D97" s="91">
        <v>45917.680462962999</v>
      </c>
      <c r="E97" s="90" t="s">
        <v>5222</v>
      </c>
      <c r="F97" s="92"/>
      <c r="G97" s="90" t="s">
        <v>5395</v>
      </c>
      <c r="H97" s="90" t="s">
        <v>5383</v>
      </c>
      <c r="I97" s="90" t="s">
        <v>5384</v>
      </c>
      <c r="J97" s="90" t="s">
        <v>5351</v>
      </c>
      <c r="K97" s="93">
        <v>1.8</v>
      </c>
      <c r="L97" s="93">
        <v>130</v>
      </c>
      <c r="M97" s="93">
        <v>234</v>
      </c>
      <c r="N97" s="93">
        <v>234</v>
      </c>
      <c r="O97" s="90" t="s">
        <v>5226</v>
      </c>
      <c r="P97" s="90"/>
      <c r="Q97" s="90" t="s">
        <v>5227</v>
      </c>
      <c r="R97" s="90"/>
      <c r="S97" s="90"/>
      <c r="T97" s="90"/>
      <c r="U97" s="90"/>
      <c r="V97" s="90" t="s">
        <v>5385</v>
      </c>
      <c r="W97" s="90" t="s">
        <v>5271</v>
      </c>
      <c r="X97" s="90" t="s">
        <v>162</v>
      </c>
      <c r="Y97" s="90" t="s">
        <v>408</v>
      </c>
      <c r="Z97" s="90"/>
      <c r="AA97" s="93">
        <v>207.07964601769899</v>
      </c>
      <c r="AB97" s="93">
        <v>207.07964601769899</v>
      </c>
      <c r="AC97" s="93">
        <v>13</v>
      </c>
      <c r="AD97" s="93">
        <v>26.920353982300899</v>
      </c>
      <c r="AE97" s="90"/>
      <c r="AF97" s="90"/>
      <c r="AG97" s="90"/>
      <c r="AH97" s="90"/>
      <c r="AI97" s="93">
        <v>0</v>
      </c>
      <c r="AJ97" s="93">
        <v>130</v>
      </c>
      <c r="AK97" s="93">
        <v>13</v>
      </c>
      <c r="AL97" s="93">
        <v>207.0796464</v>
      </c>
      <c r="AM97" s="93">
        <v>26.920353599999999</v>
      </c>
      <c r="AN97" s="93">
        <v>234</v>
      </c>
      <c r="AO97" s="93">
        <v>-3.8230086829571498E-7</v>
      </c>
      <c r="AP97" s="90" t="s">
        <v>5271</v>
      </c>
      <c r="AQ97" s="90" t="s">
        <v>5229</v>
      </c>
      <c r="AR97" s="90"/>
      <c r="AS97" s="90"/>
      <c r="AT97" s="90"/>
      <c r="AU97" s="90"/>
      <c r="AV97" s="90"/>
      <c r="AW97" s="90"/>
      <c r="AX97" s="90"/>
      <c r="AY97" s="90" t="s">
        <v>5230</v>
      </c>
      <c r="AZ97" s="90"/>
      <c r="BA97" s="90" t="s">
        <v>408</v>
      </c>
      <c r="BB97" s="91">
        <v>45917.6795949074</v>
      </c>
      <c r="BC97" s="90" t="s">
        <v>401</v>
      </c>
      <c r="BD97" s="90"/>
      <c r="BE97" s="90"/>
      <c r="BF97" s="90" t="s">
        <v>5231</v>
      </c>
    </row>
    <row r="98" spans="1:58" ht="24.75" customHeight="1">
      <c r="A98" s="90" t="s">
        <v>5221</v>
      </c>
      <c r="B98" s="90"/>
      <c r="C98" s="90"/>
      <c r="D98" s="91">
        <v>45917.680462962999</v>
      </c>
      <c r="E98" s="90" t="s">
        <v>5222</v>
      </c>
      <c r="F98" s="92"/>
      <c r="G98" s="90" t="s">
        <v>5395</v>
      </c>
      <c r="H98" s="90" t="s">
        <v>5380</v>
      </c>
      <c r="I98" s="90" t="s">
        <v>5381</v>
      </c>
      <c r="J98" s="90" t="s">
        <v>5351</v>
      </c>
      <c r="K98" s="93">
        <v>1.4</v>
      </c>
      <c r="L98" s="93">
        <v>120</v>
      </c>
      <c r="M98" s="93">
        <v>168</v>
      </c>
      <c r="N98" s="93">
        <v>168</v>
      </c>
      <c r="O98" s="90" t="s">
        <v>5226</v>
      </c>
      <c r="P98" s="90"/>
      <c r="Q98" s="90" t="s">
        <v>5227</v>
      </c>
      <c r="R98" s="90"/>
      <c r="S98" s="90"/>
      <c r="T98" s="90"/>
      <c r="U98" s="90"/>
      <c r="V98" s="90"/>
      <c r="W98" s="90" t="s">
        <v>5271</v>
      </c>
      <c r="X98" s="90" t="s">
        <v>162</v>
      </c>
      <c r="Y98" s="90" t="s">
        <v>408</v>
      </c>
      <c r="Z98" s="90"/>
      <c r="AA98" s="93">
        <v>148.672566371681</v>
      </c>
      <c r="AB98" s="93">
        <v>148.672566371681</v>
      </c>
      <c r="AC98" s="93">
        <v>13</v>
      </c>
      <c r="AD98" s="93">
        <v>19.327433628318602</v>
      </c>
      <c r="AE98" s="90"/>
      <c r="AF98" s="90"/>
      <c r="AG98" s="90"/>
      <c r="AH98" s="90"/>
      <c r="AI98" s="93">
        <v>0</v>
      </c>
      <c r="AJ98" s="93">
        <v>120</v>
      </c>
      <c r="AK98" s="93">
        <v>13</v>
      </c>
      <c r="AL98" s="93">
        <v>148.67256599999999</v>
      </c>
      <c r="AM98" s="93">
        <v>19.327434</v>
      </c>
      <c r="AN98" s="93">
        <v>168</v>
      </c>
      <c r="AO98" s="93">
        <v>3.71681437627558E-7</v>
      </c>
      <c r="AP98" s="90" t="s">
        <v>5271</v>
      </c>
      <c r="AQ98" s="90" t="s">
        <v>5239</v>
      </c>
      <c r="AR98" s="90"/>
      <c r="AS98" s="90"/>
      <c r="AT98" s="90"/>
      <c r="AU98" s="90"/>
      <c r="AV98" s="90"/>
      <c r="AW98" s="90"/>
      <c r="AX98" s="90"/>
      <c r="AY98" s="90" t="s">
        <v>5230</v>
      </c>
      <c r="AZ98" s="90"/>
      <c r="BA98" s="90" t="s">
        <v>408</v>
      </c>
      <c r="BB98" s="91">
        <v>45917.6795949074</v>
      </c>
      <c r="BC98" s="90" t="s">
        <v>401</v>
      </c>
      <c r="BD98" s="90"/>
      <c r="BE98" s="90"/>
      <c r="BF98" s="90" t="s">
        <v>5231</v>
      </c>
    </row>
    <row r="99" spans="1:58" ht="24.75" customHeight="1">
      <c r="A99" s="90" t="s">
        <v>5221</v>
      </c>
      <c r="B99" s="90"/>
      <c r="C99" s="90"/>
      <c r="D99" s="91">
        <v>45917.682245370401</v>
      </c>
      <c r="E99" s="90" t="s">
        <v>5222</v>
      </c>
      <c r="F99" s="92"/>
      <c r="G99" s="90" t="s">
        <v>5396</v>
      </c>
      <c r="H99" s="90" t="s">
        <v>5383</v>
      </c>
      <c r="I99" s="90" t="s">
        <v>5384</v>
      </c>
      <c r="J99" s="90" t="s">
        <v>5351</v>
      </c>
      <c r="K99" s="93">
        <v>2.1</v>
      </c>
      <c r="L99" s="93">
        <v>130</v>
      </c>
      <c r="M99" s="93">
        <v>273</v>
      </c>
      <c r="N99" s="93">
        <v>273</v>
      </c>
      <c r="O99" s="90" t="s">
        <v>5226</v>
      </c>
      <c r="P99" s="90"/>
      <c r="Q99" s="90" t="s">
        <v>5227</v>
      </c>
      <c r="R99" s="90"/>
      <c r="S99" s="90"/>
      <c r="T99" s="90"/>
      <c r="U99" s="90"/>
      <c r="V99" s="90" t="s">
        <v>5385</v>
      </c>
      <c r="W99" s="90" t="s">
        <v>5271</v>
      </c>
      <c r="X99" s="90" t="s">
        <v>162</v>
      </c>
      <c r="Y99" s="90" t="s">
        <v>408</v>
      </c>
      <c r="Z99" s="90"/>
      <c r="AA99" s="93">
        <v>241.59292035398201</v>
      </c>
      <c r="AB99" s="93">
        <v>241.59292035398201</v>
      </c>
      <c r="AC99" s="93">
        <v>13</v>
      </c>
      <c r="AD99" s="93">
        <v>31.407079646017699</v>
      </c>
      <c r="AE99" s="90"/>
      <c r="AF99" s="90"/>
      <c r="AG99" s="90"/>
      <c r="AH99" s="90"/>
      <c r="AI99" s="93">
        <v>0</v>
      </c>
      <c r="AJ99" s="93">
        <v>130</v>
      </c>
      <c r="AK99" s="93">
        <v>13</v>
      </c>
      <c r="AL99" s="93">
        <v>241.5929208</v>
      </c>
      <c r="AM99" s="93">
        <v>31.407079199999998</v>
      </c>
      <c r="AN99" s="93">
        <v>273</v>
      </c>
      <c r="AO99" s="93">
        <v>-4.4601767967833402E-7</v>
      </c>
      <c r="AP99" s="90" t="s">
        <v>5271</v>
      </c>
      <c r="AQ99" s="90" t="s">
        <v>5229</v>
      </c>
      <c r="AR99" s="90"/>
      <c r="AS99" s="90"/>
      <c r="AT99" s="90"/>
      <c r="AU99" s="90"/>
      <c r="AV99" s="90"/>
      <c r="AW99" s="90"/>
      <c r="AX99" s="90"/>
      <c r="AY99" s="90" t="s">
        <v>5230</v>
      </c>
      <c r="AZ99" s="90"/>
      <c r="BA99" s="90" t="s">
        <v>408</v>
      </c>
      <c r="BB99" s="91">
        <v>45917.682002314803</v>
      </c>
      <c r="BC99" s="90" t="s">
        <v>401</v>
      </c>
      <c r="BD99" s="90"/>
      <c r="BE99" s="90"/>
      <c r="BF99" s="90" t="s">
        <v>5231</v>
      </c>
    </row>
    <row r="100" spans="1:58" ht="24.75" customHeight="1">
      <c r="A100" s="90" t="s">
        <v>5221</v>
      </c>
      <c r="B100" s="90"/>
      <c r="C100" s="90"/>
      <c r="D100" s="91">
        <v>45917.682245370401</v>
      </c>
      <c r="E100" s="90" t="s">
        <v>5222</v>
      </c>
      <c r="F100" s="92"/>
      <c r="G100" s="90" t="s">
        <v>5396</v>
      </c>
      <c r="H100" s="90" t="s">
        <v>5380</v>
      </c>
      <c r="I100" s="90" t="s">
        <v>5381</v>
      </c>
      <c r="J100" s="90" t="s">
        <v>5351</v>
      </c>
      <c r="K100" s="93">
        <v>2.8</v>
      </c>
      <c r="L100" s="93">
        <v>120</v>
      </c>
      <c r="M100" s="93">
        <v>336</v>
      </c>
      <c r="N100" s="93">
        <v>336</v>
      </c>
      <c r="O100" s="90" t="s">
        <v>5226</v>
      </c>
      <c r="P100" s="90"/>
      <c r="Q100" s="90" t="s">
        <v>5227</v>
      </c>
      <c r="R100" s="90"/>
      <c r="S100" s="90"/>
      <c r="T100" s="90"/>
      <c r="U100" s="90"/>
      <c r="V100" s="90"/>
      <c r="W100" s="90" t="s">
        <v>5271</v>
      </c>
      <c r="X100" s="90" t="s">
        <v>162</v>
      </c>
      <c r="Y100" s="90" t="s">
        <v>408</v>
      </c>
      <c r="Z100" s="90"/>
      <c r="AA100" s="93">
        <v>297.34513274336302</v>
      </c>
      <c r="AB100" s="93">
        <v>297.34513274336302</v>
      </c>
      <c r="AC100" s="93">
        <v>13</v>
      </c>
      <c r="AD100" s="93">
        <v>38.654867256637203</v>
      </c>
      <c r="AE100" s="90"/>
      <c r="AF100" s="90"/>
      <c r="AG100" s="90"/>
      <c r="AH100" s="90"/>
      <c r="AI100" s="93">
        <v>0</v>
      </c>
      <c r="AJ100" s="93">
        <v>120</v>
      </c>
      <c r="AK100" s="93">
        <v>13</v>
      </c>
      <c r="AL100" s="93">
        <v>297.34513199999998</v>
      </c>
      <c r="AM100" s="93">
        <v>38.654868</v>
      </c>
      <c r="AN100" s="93">
        <v>336</v>
      </c>
      <c r="AO100" s="93">
        <v>7.4336287525511601E-7</v>
      </c>
      <c r="AP100" s="90" t="s">
        <v>5271</v>
      </c>
      <c r="AQ100" s="90" t="s">
        <v>5239</v>
      </c>
      <c r="AR100" s="90"/>
      <c r="AS100" s="90"/>
      <c r="AT100" s="90"/>
      <c r="AU100" s="90"/>
      <c r="AV100" s="90"/>
      <c r="AW100" s="90"/>
      <c r="AX100" s="90"/>
      <c r="AY100" s="90" t="s">
        <v>5230</v>
      </c>
      <c r="AZ100" s="90"/>
      <c r="BA100" s="90" t="s">
        <v>408</v>
      </c>
      <c r="BB100" s="91">
        <v>45917.682002314803</v>
      </c>
      <c r="BC100" s="90" t="s">
        <v>401</v>
      </c>
      <c r="BD100" s="90"/>
      <c r="BE100" s="90"/>
      <c r="BF100" s="90" t="s">
        <v>5231</v>
      </c>
    </row>
    <row r="101" spans="1:58" ht="24.75" customHeight="1">
      <c r="A101" s="90" t="s">
        <v>5221</v>
      </c>
      <c r="B101" s="90"/>
      <c r="C101" s="90"/>
      <c r="D101" s="91">
        <v>45917.803009259304</v>
      </c>
      <c r="E101" s="90" t="s">
        <v>5222</v>
      </c>
      <c r="F101" s="92"/>
      <c r="G101" s="90" t="s">
        <v>5397</v>
      </c>
      <c r="H101" s="90" t="s">
        <v>5380</v>
      </c>
      <c r="I101" s="90" t="s">
        <v>5381</v>
      </c>
      <c r="J101" s="90" t="s">
        <v>5351</v>
      </c>
      <c r="K101" s="93">
        <v>2.9</v>
      </c>
      <c r="L101" s="93">
        <v>120</v>
      </c>
      <c r="M101" s="93">
        <v>348</v>
      </c>
      <c r="N101" s="93">
        <v>348</v>
      </c>
      <c r="O101" s="90" t="s">
        <v>5226</v>
      </c>
      <c r="P101" s="90"/>
      <c r="Q101" s="90" t="s">
        <v>5227</v>
      </c>
      <c r="R101" s="90"/>
      <c r="S101" s="90"/>
      <c r="T101" s="90"/>
      <c r="U101" s="90"/>
      <c r="V101" s="90"/>
      <c r="W101" s="90" t="s">
        <v>5271</v>
      </c>
      <c r="X101" s="90" t="s">
        <v>162</v>
      </c>
      <c r="Y101" s="90" t="s">
        <v>408</v>
      </c>
      <c r="Z101" s="90"/>
      <c r="AA101" s="93">
        <v>307.96460176991201</v>
      </c>
      <c r="AB101" s="93">
        <v>307.96460176991201</v>
      </c>
      <c r="AC101" s="93">
        <v>13</v>
      </c>
      <c r="AD101" s="93">
        <v>40.035398230088497</v>
      </c>
      <c r="AE101" s="90"/>
      <c r="AF101" s="90"/>
      <c r="AG101" s="90"/>
      <c r="AH101" s="90"/>
      <c r="AI101" s="93">
        <v>0</v>
      </c>
      <c r="AJ101" s="93">
        <v>120</v>
      </c>
      <c r="AK101" s="93">
        <v>13</v>
      </c>
      <c r="AL101" s="93">
        <v>307.96460100000002</v>
      </c>
      <c r="AM101" s="93">
        <v>40.035398999999998</v>
      </c>
      <c r="AN101" s="93">
        <v>348</v>
      </c>
      <c r="AO101" s="93">
        <v>7.6991159403405597E-7</v>
      </c>
      <c r="AP101" s="90" t="s">
        <v>5271</v>
      </c>
      <c r="AQ101" s="90" t="s">
        <v>5239</v>
      </c>
      <c r="AR101" s="90"/>
      <c r="AS101" s="90"/>
      <c r="AT101" s="90"/>
      <c r="AU101" s="90"/>
      <c r="AV101" s="90"/>
      <c r="AW101" s="90"/>
      <c r="AX101" s="90"/>
      <c r="AY101" s="90" t="s">
        <v>5230</v>
      </c>
      <c r="AZ101" s="90"/>
      <c r="BA101" s="90" t="s">
        <v>408</v>
      </c>
      <c r="BB101" s="91">
        <v>45917.8027083333</v>
      </c>
      <c r="BC101" s="90" t="s">
        <v>401</v>
      </c>
      <c r="BD101" s="90"/>
      <c r="BE101" s="90"/>
      <c r="BF101" s="90" t="s">
        <v>5231</v>
      </c>
    </row>
    <row r="102" spans="1:58" ht="24.75" customHeight="1">
      <c r="A102" s="90" t="s">
        <v>5221</v>
      </c>
      <c r="B102" s="90"/>
      <c r="C102" s="90"/>
      <c r="D102" s="91">
        <v>45917.803009259304</v>
      </c>
      <c r="E102" s="90" t="s">
        <v>5222</v>
      </c>
      <c r="F102" s="92"/>
      <c r="G102" s="90" t="s">
        <v>5397</v>
      </c>
      <c r="H102" s="90" t="s">
        <v>5383</v>
      </c>
      <c r="I102" s="90" t="s">
        <v>5384</v>
      </c>
      <c r="J102" s="90" t="s">
        <v>5351</v>
      </c>
      <c r="K102" s="93">
        <v>0.9</v>
      </c>
      <c r="L102" s="93">
        <v>130</v>
      </c>
      <c r="M102" s="93">
        <v>117</v>
      </c>
      <c r="N102" s="93">
        <v>117</v>
      </c>
      <c r="O102" s="90" t="s">
        <v>5226</v>
      </c>
      <c r="P102" s="90"/>
      <c r="Q102" s="90" t="s">
        <v>5227</v>
      </c>
      <c r="R102" s="90"/>
      <c r="S102" s="90"/>
      <c r="T102" s="90"/>
      <c r="U102" s="90"/>
      <c r="V102" s="90" t="s">
        <v>5385</v>
      </c>
      <c r="W102" s="90" t="s">
        <v>5271</v>
      </c>
      <c r="X102" s="90" t="s">
        <v>162</v>
      </c>
      <c r="Y102" s="90" t="s">
        <v>408</v>
      </c>
      <c r="Z102" s="90"/>
      <c r="AA102" s="93">
        <v>103.53982300884999</v>
      </c>
      <c r="AB102" s="93">
        <v>103.53982300884999</v>
      </c>
      <c r="AC102" s="93">
        <v>13</v>
      </c>
      <c r="AD102" s="93">
        <v>13.4601769911504</v>
      </c>
      <c r="AE102" s="90"/>
      <c r="AF102" s="90"/>
      <c r="AG102" s="90"/>
      <c r="AH102" s="90"/>
      <c r="AI102" s="93">
        <v>0</v>
      </c>
      <c r="AJ102" s="93">
        <v>130</v>
      </c>
      <c r="AK102" s="93">
        <v>13</v>
      </c>
      <c r="AL102" s="93">
        <v>103.5398232</v>
      </c>
      <c r="AM102" s="93">
        <v>13.460176799999999</v>
      </c>
      <c r="AN102" s="93">
        <v>117</v>
      </c>
      <c r="AO102" s="93">
        <v>-1.9115043414785799E-7</v>
      </c>
      <c r="AP102" s="90" t="s">
        <v>5271</v>
      </c>
      <c r="AQ102" s="90" t="s">
        <v>5229</v>
      </c>
      <c r="AR102" s="90"/>
      <c r="AS102" s="90"/>
      <c r="AT102" s="90"/>
      <c r="AU102" s="90"/>
      <c r="AV102" s="90"/>
      <c r="AW102" s="90"/>
      <c r="AX102" s="90"/>
      <c r="AY102" s="90" t="s">
        <v>5230</v>
      </c>
      <c r="AZ102" s="90"/>
      <c r="BA102" s="90" t="s">
        <v>408</v>
      </c>
      <c r="BB102" s="91">
        <v>45917.8027083333</v>
      </c>
      <c r="BC102" s="90" t="s">
        <v>401</v>
      </c>
      <c r="BD102" s="90"/>
      <c r="BE102" s="90"/>
      <c r="BF102" s="90" t="s">
        <v>5231</v>
      </c>
    </row>
    <row r="103" spans="1:58" ht="24.75" customHeight="1">
      <c r="A103" s="90" t="s">
        <v>5221</v>
      </c>
      <c r="B103" s="90"/>
      <c r="C103" s="90"/>
      <c r="D103" s="91">
        <v>45917.804178240702</v>
      </c>
      <c r="E103" s="90" t="s">
        <v>5222</v>
      </c>
      <c r="F103" s="92"/>
      <c r="G103" s="90" t="s">
        <v>5398</v>
      </c>
      <c r="H103" s="90" t="s">
        <v>5383</v>
      </c>
      <c r="I103" s="90" t="s">
        <v>5384</v>
      </c>
      <c r="J103" s="90" t="s">
        <v>5351</v>
      </c>
      <c r="K103" s="93">
        <v>3.1</v>
      </c>
      <c r="L103" s="93">
        <v>130</v>
      </c>
      <c r="M103" s="93">
        <v>403</v>
      </c>
      <c r="N103" s="93">
        <v>403</v>
      </c>
      <c r="O103" s="90" t="s">
        <v>5226</v>
      </c>
      <c r="P103" s="90"/>
      <c r="Q103" s="90" t="s">
        <v>5227</v>
      </c>
      <c r="R103" s="90"/>
      <c r="S103" s="90"/>
      <c r="T103" s="90"/>
      <c r="U103" s="90"/>
      <c r="V103" s="90" t="s">
        <v>5385</v>
      </c>
      <c r="W103" s="90" t="s">
        <v>5271</v>
      </c>
      <c r="X103" s="90" t="s">
        <v>162</v>
      </c>
      <c r="Y103" s="90" t="s">
        <v>408</v>
      </c>
      <c r="Z103" s="90"/>
      <c r="AA103" s="93">
        <v>356.63716814159301</v>
      </c>
      <c r="AB103" s="93">
        <v>356.63716814159301</v>
      </c>
      <c r="AC103" s="93">
        <v>13</v>
      </c>
      <c r="AD103" s="93">
        <v>46.362831858407098</v>
      </c>
      <c r="AE103" s="90"/>
      <c r="AF103" s="90"/>
      <c r="AG103" s="90"/>
      <c r="AH103" s="90"/>
      <c r="AI103" s="93">
        <v>0</v>
      </c>
      <c r="AJ103" s="93">
        <v>130</v>
      </c>
      <c r="AK103" s="93">
        <v>13</v>
      </c>
      <c r="AL103" s="93">
        <v>356.63716879999998</v>
      </c>
      <c r="AM103" s="93">
        <v>46.362831200000002</v>
      </c>
      <c r="AN103" s="93">
        <v>403</v>
      </c>
      <c r="AO103" s="93">
        <v>-6.5840703200592501E-7</v>
      </c>
      <c r="AP103" s="90" t="s">
        <v>5271</v>
      </c>
      <c r="AQ103" s="90" t="s">
        <v>5229</v>
      </c>
      <c r="AR103" s="90"/>
      <c r="AS103" s="90"/>
      <c r="AT103" s="90"/>
      <c r="AU103" s="90"/>
      <c r="AV103" s="90"/>
      <c r="AW103" s="90"/>
      <c r="AX103" s="90"/>
      <c r="AY103" s="90" t="s">
        <v>5230</v>
      </c>
      <c r="AZ103" s="90"/>
      <c r="BA103" s="90" t="s">
        <v>408</v>
      </c>
      <c r="BB103" s="91">
        <v>45917.803958333301</v>
      </c>
      <c r="BC103" s="90" t="s">
        <v>401</v>
      </c>
      <c r="BD103" s="90"/>
      <c r="BE103" s="90"/>
      <c r="BF103" s="90" t="s">
        <v>5231</v>
      </c>
    </row>
    <row r="104" spans="1:58" ht="24.75" customHeight="1">
      <c r="A104" s="90" t="s">
        <v>5221</v>
      </c>
      <c r="B104" s="90"/>
      <c r="C104" s="90"/>
      <c r="D104" s="91">
        <v>45917.804178240702</v>
      </c>
      <c r="E104" s="90" t="s">
        <v>5222</v>
      </c>
      <c r="F104" s="92"/>
      <c r="G104" s="90" t="s">
        <v>5398</v>
      </c>
      <c r="H104" s="90" t="s">
        <v>5380</v>
      </c>
      <c r="I104" s="90" t="s">
        <v>5381</v>
      </c>
      <c r="J104" s="90" t="s">
        <v>5351</v>
      </c>
      <c r="K104" s="93">
        <v>1.9</v>
      </c>
      <c r="L104" s="93">
        <v>120</v>
      </c>
      <c r="M104" s="93">
        <v>228</v>
      </c>
      <c r="N104" s="93">
        <v>228</v>
      </c>
      <c r="O104" s="90" t="s">
        <v>5226</v>
      </c>
      <c r="P104" s="90"/>
      <c r="Q104" s="90" t="s">
        <v>5227</v>
      </c>
      <c r="R104" s="90"/>
      <c r="S104" s="90"/>
      <c r="T104" s="90"/>
      <c r="U104" s="90"/>
      <c r="V104" s="90"/>
      <c r="W104" s="90" t="s">
        <v>5271</v>
      </c>
      <c r="X104" s="90" t="s">
        <v>162</v>
      </c>
      <c r="Y104" s="90" t="s">
        <v>408</v>
      </c>
      <c r="Z104" s="90"/>
      <c r="AA104" s="93">
        <v>201.76991150442501</v>
      </c>
      <c r="AB104" s="93">
        <v>201.76991150442501</v>
      </c>
      <c r="AC104" s="93">
        <v>13</v>
      </c>
      <c r="AD104" s="93">
        <v>26.230088495575199</v>
      </c>
      <c r="AE104" s="90"/>
      <c r="AF104" s="90"/>
      <c r="AG104" s="90"/>
      <c r="AH104" s="90"/>
      <c r="AI104" s="93">
        <v>0</v>
      </c>
      <c r="AJ104" s="93">
        <v>120</v>
      </c>
      <c r="AK104" s="93">
        <v>13</v>
      </c>
      <c r="AL104" s="93">
        <v>201.76991100000001</v>
      </c>
      <c r="AM104" s="93">
        <v>26.230089</v>
      </c>
      <c r="AN104" s="93">
        <v>228</v>
      </c>
      <c r="AO104" s="93">
        <v>5.0442483257029401E-7</v>
      </c>
      <c r="AP104" s="90" t="s">
        <v>5271</v>
      </c>
      <c r="AQ104" s="90" t="s">
        <v>5239</v>
      </c>
      <c r="AR104" s="90"/>
      <c r="AS104" s="90"/>
      <c r="AT104" s="90"/>
      <c r="AU104" s="90"/>
      <c r="AV104" s="90"/>
      <c r="AW104" s="90"/>
      <c r="AX104" s="90"/>
      <c r="AY104" s="90" t="s">
        <v>5230</v>
      </c>
      <c r="AZ104" s="90"/>
      <c r="BA104" s="90" t="s">
        <v>408</v>
      </c>
      <c r="BB104" s="91">
        <v>45917.803958333301</v>
      </c>
      <c r="BC104" s="90" t="s">
        <v>401</v>
      </c>
      <c r="BD104" s="90"/>
      <c r="BE104" s="90"/>
      <c r="BF104" s="90" t="s">
        <v>5231</v>
      </c>
    </row>
    <row r="105" spans="1:58" ht="24.75" customHeight="1">
      <c r="A105" s="90" t="s">
        <v>5221</v>
      </c>
      <c r="B105" s="90"/>
      <c r="C105" s="90"/>
      <c r="D105" s="91">
        <v>45917.8051851852</v>
      </c>
      <c r="E105" s="90" t="s">
        <v>5222</v>
      </c>
      <c r="F105" s="92"/>
      <c r="G105" s="90" t="s">
        <v>5399</v>
      </c>
      <c r="H105" s="90" t="s">
        <v>5380</v>
      </c>
      <c r="I105" s="90" t="s">
        <v>5381</v>
      </c>
      <c r="J105" s="90" t="s">
        <v>5351</v>
      </c>
      <c r="K105" s="93">
        <v>2.1</v>
      </c>
      <c r="L105" s="93">
        <v>120</v>
      </c>
      <c r="M105" s="93">
        <v>252</v>
      </c>
      <c r="N105" s="93">
        <v>252</v>
      </c>
      <c r="O105" s="90" t="s">
        <v>5226</v>
      </c>
      <c r="P105" s="90"/>
      <c r="Q105" s="90" t="s">
        <v>5227</v>
      </c>
      <c r="R105" s="90"/>
      <c r="S105" s="90"/>
      <c r="T105" s="90"/>
      <c r="U105" s="90"/>
      <c r="V105" s="90"/>
      <c r="W105" s="90" t="s">
        <v>5271</v>
      </c>
      <c r="X105" s="90" t="s">
        <v>162</v>
      </c>
      <c r="Y105" s="90" t="s">
        <v>408</v>
      </c>
      <c r="Z105" s="90"/>
      <c r="AA105" s="93">
        <v>223.00884955752201</v>
      </c>
      <c r="AB105" s="93">
        <v>223.00884955752201</v>
      </c>
      <c r="AC105" s="93">
        <v>13</v>
      </c>
      <c r="AD105" s="93">
        <v>28.991150442477899</v>
      </c>
      <c r="AE105" s="90"/>
      <c r="AF105" s="90"/>
      <c r="AG105" s="90"/>
      <c r="AH105" s="90"/>
      <c r="AI105" s="93">
        <v>0</v>
      </c>
      <c r="AJ105" s="93">
        <v>120</v>
      </c>
      <c r="AK105" s="93">
        <v>13</v>
      </c>
      <c r="AL105" s="93">
        <v>223.008849</v>
      </c>
      <c r="AM105" s="93">
        <v>28.991150999999999</v>
      </c>
      <c r="AN105" s="93">
        <v>252</v>
      </c>
      <c r="AO105" s="93">
        <v>5.5752215644133695E-7</v>
      </c>
      <c r="AP105" s="90" t="s">
        <v>5271</v>
      </c>
      <c r="AQ105" s="90" t="s">
        <v>5239</v>
      </c>
      <c r="AR105" s="90"/>
      <c r="AS105" s="90"/>
      <c r="AT105" s="90"/>
      <c r="AU105" s="90"/>
      <c r="AV105" s="90"/>
      <c r="AW105" s="90"/>
      <c r="AX105" s="90"/>
      <c r="AY105" s="90" t="s">
        <v>5230</v>
      </c>
      <c r="AZ105" s="90"/>
      <c r="BA105" s="90" t="s">
        <v>408</v>
      </c>
      <c r="BB105" s="91">
        <v>45917.804930555598</v>
      </c>
      <c r="BC105" s="90" t="s">
        <v>401</v>
      </c>
      <c r="BD105" s="90"/>
      <c r="BE105" s="90"/>
      <c r="BF105" s="90" t="s">
        <v>5231</v>
      </c>
    </row>
    <row r="106" spans="1:58" ht="24.75" customHeight="1">
      <c r="A106" s="90" t="s">
        <v>5221</v>
      </c>
      <c r="B106" s="90"/>
      <c r="C106" s="90"/>
      <c r="D106" s="91">
        <v>45917.8051851852</v>
      </c>
      <c r="E106" s="90" t="s">
        <v>5222</v>
      </c>
      <c r="F106" s="92"/>
      <c r="G106" s="90" t="s">
        <v>5399</v>
      </c>
      <c r="H106" s="90" t="s">
        <v>5383</v>
      </c>
      <c r="I106" s="90" t="s">
        <v>5384</v>
      </c>
      <c r="J106" s="90" t="s">
        <v>5351</v>
      </c>
      <c r="K106" s="93">
        <v>1.2</v>
      </c>
      <c r="L106" s="93">
        <v>130</v>
      </c>
      <c r="M106" s="93">
        <v>156</v>
      </c>
      <c r="N106" s="93">
        <v>156</v>
      </c>
      <c r="O106" s="90" t="s">
        <v>5226</v>
      </c>
      <c r="P106" s="90"/>
      <c r="Q106" s="90" t="s">
        <v>5227</v>
      </c>
      <c r="R106" s="90"/>
      <c r="S106" s="90"/>
      <c r="T106" s="90"/>
      <c r="U106" s="90"/>
      <c r="V106" s="90" t="s">
        <v>5385</v>
      </c>
      <c r="W106" s="90" t="s">
        <v>5271</v>
      </c>
      <c r="X106" s="90" t="s">
        <v>162</v>
      </c>
      <c r="Y106" s="90" t="s">
        <v>408</v>
      </c>
      <c r="Z106" s="90"/>
      <c r="AA106" s="93">
        <v>138.05309734513301</v>
      </c>
      <c r="AB106" s="93">
        <v>138.05309734513301</v>
      </c>
      <c r="AC106" s="93">
        <v>13</v>
      </c>
      <c r="AD106" s="93">
        <v>17.946902654867198</v>
      </c>
      <c r="AE106" s="90"/>
      <c r="AF106" s="90"/>
      <c r="AG106" s="90"/>
      <c r="AH106" s="90"/>
      <c r="AI106" s="93">
        <v>0</v>
      </c>
      <c r="AJ106" s="93">
        <v>130</v>
      </c>
      <c r="AK106" s="93">
        <v>13</v>
      </c>
      <c r="AL106" s="93">
        <v>138.0530976</v>
      </c>
      <c r="AM106" s="93">
        <v>17.946902399999999</v>
      </c>
      <c r="AN106" s="93">
        <v>156</v>
      </c>
      <c r="AO106" s="93">
        <v>-2.5486724553047701E-7</v>
      </c>
      <c r="AP106" s="90" t="s">
        <v>5271</v>
      </c>
      <c r="AQ106" s="90" t="s">
        <v>5229</v>
      </c>
      <c r="AR106" s="90"/>
      <c r="AS106" s="90"/>
      <c r="AT106" s="90"/>
      <c r="AU106" s="90"/>
      <c r="AV106" s="90"/>
      <c r="AW106" s="90"/>
      <c r="AX106" s="90"/>
      <c r="AY106" s="90" t="s">
        <v>5230</v>
      </c>
      <c r="AZ106" s="90"/>
      <c r="BA106" s="90" t="s">
        <v>408</v>
      </c>
      <c r="BB106" s="91">
        <v>45917.804930555598</v>
      </c>
      <c r="BC106" s="90" t="s">
        <v>401</v>
      </c>
      <c r="BD106" s="90"/>
      <c r="BE106" s="90"/>
      <c r="BF106" s="90" t="s">
        <v>5231</v>
      </c>
    </row>
    <row r="107" spans="1:58" ht="24.75" customHeight="1">
      <c r="A107" s="90" t="s">
        <v>5221</v>
      </c>
      <c r="B107" s="90"/>
      <c r="C107" s="90"/>
      <c r="D107" s="91">
        <v>45917.8062615741</v>
      </c>
      <c r="E107" s="90" t="s">
        <v>5222</v>
      </c>
      <c r="F107" s="92"/>
      <c r="G107" s="90" t="s">
        <v>5400</v>
      </c>
      <c r="H107" s="90" t="s">
        <v>5383</v>
      </c>
      <c r="I107" s="90" t="s">
        <v>5384</v>
      </c>
      <c r="J107" s="90" t="s">
        <v>5351</v>
      </c>
      <c r="K107" s="93">
        <v>1</v>
      </c>
      <c r="L107" s="93">
        <v>130</v>
      </c>
      <c r="M107" s="93">
        <v>130</v>
      </c>
      <c r="N107" s="93">
        <v>130</v>
      </c>
      <c r="O107" s="90" t="s">
        <v>5226</v>
      </c>
      <c r="P107" s="90"/>
      <c r="Q107" s="90" t="s">
        <v>5227</v>
      </c>
      <c r="R107" s="90"/>
      <c r="S107" s="90"/>
      <c r="T107" s="90"/>
      <c r="U107" s="90"/>
      <c r="V107" s="90" t="s">
        <v>5385</v>
      </c>
      <c r="W107" s="90" t="s">
        <v>5271</v>
      </c>
      <c r="X107" s="90" t="s">
        <v>162</v>
      </c>
      <c r="Y107" s="90" t="s">
        <v>408</v>
      </c>
      <c r="Z107" s="90"/>
      <c r="AA107" s="93">
        <v>115.044247787611</v>
      </c>
      <c r="AB107" s="93">
        <v>115.044247787611</v>
      </c>
      <c r="AC107" s="93">
        <v>13</v>
      </c>
      <c r="AD107" s="93">
        <v>14.955752212389401</v>
      </c>
      <c r="AE107" s="90"/>
      <c r="AF107" s="90"/>
      <c r="AG107" s="90"/>
      <c r="AH107" s="90"/>
      <c r="AI107" s="93">
        <v>0</v>
      </c>
      <c r="AJ107" s="93">
        <v>130</v>
      </c>
      <c r="AK107" s="93">
        <v>13</v>
      </c>
      <c r="AL107" s="93">
        <v>115.044248</v>
      </c>
      <c r="AM107" s="93">
        <v>14.955752</v>
      </c>
      <c r="AN107" s="93">
        <v>130</v>
      </c>
      <c r="AO107" s="93">
        <v>-2.1238936653844599E-7</v>
      </c>
      <c r="AP107" s="90" t="s">
        <v>5271</v>
      </c>
      <c r="AQ107" s="90" t="s">
        <v>5229</v>
      </c>
      <c r="AR107" s="90"/>
      <c r="AS107" s="90"/>
      <c r="AT107" s="90"/>
      <c r="AU107" s="90"/>
      <c r="AV107" s="90"/>
      <c r="AW107" s="90"/>
      <c r="AX107" s="90"/>
      <c r="AY107" s="90" t="s">
        <v>5230</v>
      </c>
      <c r="AZ107" s="90"/>
      <c r="BA107" s="90" t="s">
        <v>408</v>
      </c>
      <c r="BB107" s="91">
        <v>45917.806076388901</v>
      </c>
      <c r="BC107" s="90" t="s">
        <v>401</v>
      </c>
      <c r="BD107" s="90"/>
      <c r="BE107" s="90"/>
      <c r="BF107" s="90" t="s">
        <v>5231</v>
      </c>
    </row>
    <row r="108" spans="1:58" ht="24.75" customHeight="1">
      <c r="A108" s="90" t="s">
        <v>5221</v>
      </c>
      <c r="B108" s="90"/>
      <c r="C108" s="90"/>
      <c r="D108" s="91">
        <v>45917.8062615741</v>
      </c>
      <c r="E108" s="90" t="s">
        <v>5222</v>
      </c>
      <c r="F108" s="92"/>
      <c r="G108" s="90" t="s">
        <v>5400</v>
      </c>
      <c r="H108" s="90" t="s">
        <v>5380</v>
      </c>
      <c r="I108" s="90" t="s">
        <v>5381</v>
      </c>
      <c r="J108" s="90" t="s">
        <v>5351</v>
      </c>
      <c r="K108" s="93">
        <v>0.9</v>
      </c>
      <c r="L108" s="93">
        <v>120</v>
      </c>
      <c r="M108" s="93">
        <v>108</v>
      </c>
      <c r="N108" s="93">
        <v>108</v>
      </c>
      <c r="O108" s="90" t="s">
        <v>5226</v>
      </c>
      <c r="P108" s="90"/>
      <c r="Q108" s="90" t="s">
        <v>5227</v>
      </c>
      <c r="R108" s="90"/>
      <c r="S108" s="90"/>
      <c r="T108" s="90"/>
      <c r="U108" s="90"/>
      <c r="V108" s="90"/>
      <c r="W108" s="90" t="s">
        <v>5271</v>
      </c>
      <c r="X108" s="90" t="s">
        <v>162</v>
      </c>
      <c r="Y108" s="90" t="s">
        <v>408</v>
      </c>
      <c r="Z108" s="90"/>
      <c r="AA108" s="93">
        <v>95.575221238938099</v>
      </c>
      <c r="AB108" s="93">
        <v>95.575221238938099</v>
      </c>
      <c r="AC108" s="93">
        <v>13</v>
      </c>
      <c r="AD108" s="93">
        <v>12.4247787610619</v>
      </c>
      <c r="AE108" s="90"/>
      <c r="AF108" s="90"/>
      <c r="AG108" s="90"/>
      <c r="AH108" s="90"/>
      <c r="AI108" s="93">
        <v>0</v>
      </c>
      <c r="AJ108" s="93">
        <v>120</v>
      </c>
      <c r="AK108" s="93">
        <v>13</v>
      </c>
      <c r="AL108" s="93">
        <v>95.575220999999999</v>
      </c>
      <c r="AM108" s="93">
        <v>12.424778999999999</v>
      </c>
      <c r="AN108" s="93">
        <v>108</v>
      </c>
      <c r="AO108" s="93">
        <v>2.3893805689567697E-7</v>
      </c>
      <c r="AP108" s="90" t="s">
        <v>5271</v>
      </c>
      <c r="AQ108" s="90" t="s">
        <v>5239</v>
      </c>
      <c r="AR108" s="90"/>
      <c r="AS108" s="90"/>
      <c r="AT108" s="90"/>
      <c r="AU108" s="90"/>
      <c r="AV108" s="90"/>
      <c r="AW108" s="90"/>
      <c r="AX108" s="90"/>
      <c r="AY108" s="90" t="s">
        <v>5230</v>
      </c>
      <c r="AZ108" s="90"/>
      <c r="BA108" s="90" t="s">
        <v>408</v>
      </c>
      <c r="BB108" s="91">
        <v>45917.806076388901</v>
      </c>
      <c r="BC108" s="90" t="s">
        <v>401</v>
      </c>
      <c r="BD108" s="90"/>
      <c r="BE108" s="90"/>
      <c r="BF108" s="90" t="s">
        <v>5231</v>
      </c>
    </row>
    <row r="109" spans="1:58" ht="24.75" customHeight="1">
      <c r="A109" s="90" t="s">
        <v>5221</v>
      </c>
      <c r="B109" s="90"/>
      <c r="C109" s="90"/>
      <c r="D109" s="91">
        <v>45917.807210648098</v>
      </c>
      <c r="E109" s="90" t="s">
        <v>5222</v>
      </c>
      <c r="F109" s="92"/>
      <c r="G109" s="90" t="s">
        <v>5401</v>
      </c>
      <c r="H109" s="90" t="s">
        <v>5380</v>
      </c>
      <c r="I109" s="90" t="s">
        <v>5381</v>
      </c>
      <c r="J109" s="90" t="s">
        <v>5351</v>
      </c>
      <c r="K109" s="93">
        <v>2.2000000000000002</v>
      </c>
      <c r="L109" s="93">
        <v>120</v>
      </c>
      <c r="M109" s="93">
        <v>264</v>
      </c>
      <c r="N109" s="93">
        <v>264</v>
      </c>
      <c r="O109" s="90" t="s">
        <v>5226</v>
      </c>
      <c r="P109" s="90"/>
      <c r="Q109" s="90" t="s">
        <v>5227</v>
      </c>
      <c r="R109" s="90"/>
      <c r="S109" s="90"/>
      <c r="T109" s="90"/>
      <c r="U109" s="90"/>
      <c r="V109" s="90"/>
      <c r="W109" s="90" t="s">
        <v>5271</v>
      </c>
      <c r="X109" s="90" t="s">
        <v>162</v>
      </c>
      <c r="Y109" s="90" t="s">
        <v>408</v>
      </c>
      <c r="Z109" s="90"/>
      <c r="AA109" s="93">
        <v>233.628318584071</v>
      </c>
      <c r="AB109" s="93">
        <v>233.628318584071</v>
      </c>
      <c r="AC109" s="93">
        <v>13</v>
      </c>
      <c r="AD109" s="93">
        <v>30.371681415929199</v>
      </c>
      <c r="AE109" s="90"/>
      <c r="AF109" s="90"/>
      <c r="AG109" s="90"/>
      <c r="AH109" s="90"/>
      <c r="AI109" s="93">
        <v>0</v>
      </c>
      <c r="AJ109" s="93">
        <v>120</v>
      </c>
      <c r="AK109" s="93">
        <v>13</v>
      </c>
      <c r="AL109" s="93">
        <v>233.62831800000001</v>
      </c>
      <c r="AM109" s="93">
        <v>30.371682</v>
      </c>
      <c r="AN109" s="93">
        <v>264</v>
      </c>
      <c r="AO109" s="93">
        <v>5.8407081837685805E-7</v>
      </c>
      <c r="AP109" s="90" t="s">
        <v>5271</v>
      </c>
      <c r="AQ109" s="90" t="s">
        <v>5239</v>
      </c>
      <c r="AR109" s="90"/>
      <c r="AS109" s="90"/>
      <c r="AT109" s="90"/>
      <c r="AU109" s="90"/>
      <c r="AV109" s="90"/>
      <c r="AW109" s="90"/>
      <c r="AX109" s="90"/>
      <c r="AY109" s="90" t="s">
        <v>5230</v>
      </c>
      <c r="AZ109" s="90"/>
      <c r="BA109" s="90" t="s">
        <v>408</v>
      </c>
      <c r="BB109" s="91">
        <v>45917.807002314803</v>
      </c>
      <c r="BC109" s="90" t="s">
        <v>401</v>
      </c>
      <c r="BD109" s="90"/>
      <c r="BE109" s="90"/>
      <c r="BF109" s="90" t="s">
        <v>5231</v>
      </c>
    </row>
    <row r="110" spans="1:58" ht="24.75" customHeight="1">
      <c r="A110" s="90" t="s">
        <v>5221</v>
      </c>
      <c r="B110" s="90"/>
      <c r="C110" s="90"/>
      <c r="D110" s="91">
        <v>45917.807210648098</v>
      </c>
      <c r="E110" s="90" t="s">
        <v>5222</v>
      </c>
      <c r="F110" s="92"/>
      <c r="G110" s="90" t="s">
        <v>5401</v>
      </c>
      <c r="H110" s="90" t="s">
        <v>5383</v>
      </c>
      <c r="I110" s="90" t="s">
        <v>5384</v>
      </c>
      <c r="J110" s="90" t="s">
        <v>5351</v>
      </c>
      <c r="K110" s="93">
        <v>1.4</v>
      </c>
      <c r="L110" s="93">
        <v>130</v>
      </c>
      <c r="M110" s="93">
        <v>182</v>
      </c>
      <c r="N110" s="93">
        <v>182</v>
      </c>
      <c r="O110" s="90" t="s">
        <v>5226</v>
      </c>
      <c r="P110" s="90"/>
      <c r="Q110" s="90" t="s">
        <v>5227</v>
      </c>
      <c r="R110" s="90"/>
      <c r="S110" s="90"/>
      <c r="T110" s="90"/>
      <c r="U110" s="90"/>
      <c r="V110" s="90" t="s">
        <v>5385</v>
      </c>
      <c r="W110" s="90" t="s">
        <v>5271</v>
      </c>
      <c r="X110" s="90" t="s">
        <v>162</v>
      </c>
      <c r="Y110" s="90" t="s">
        <v>408</v>
      </c>
      <c r="Z110" s="90"/>
      <c r="AA110" s="93">
        <v>161.061946902655</v>
      </c>
      <c r="AB110" s="93">
        <v>161.061946902655</v>
      </c>
      <c r="AC110" s="93">
        <v>13</v>
      </c>
      <c r="AD110" s="93">
        <v>20.938053097345101</v>
      </c>
      <c r="AE110" s="90"/>
      <c r="AF110" s="90"/>
      <c r="AG110" s="90"/>
      <c r="AH110" s="90"/>
      <c r="AI110" s="93">
        <v>0</v>
      </c>
      <c r="AJ110" s="93">
        <v>130</v>
      </c>
      <c r="AK110" s="93">
        <v>13</v>
      </c>
      <c r="AL110" s="93">
        <v>161.06194719999999</v>
      </c>
      <c r="AM110" s="93">
        <v>20.938052800000001</v>
      </c>
      <c r="AN110" s="93">
        <v>182</v>
      </c>
      <c r="AO110" s="93">
        <v>-2.9734511031165301E-7</v>
      </c>
      <c r="AP110" s="90" t="s">
        <v>5271</v>
      </c>
      <c r="AQ110" s="90" t="s">
        <v>5229</v>
      </c>
      <c r="AR110" s="90"/>
      <c r="AS110" s="90"/>
      <c r="AT110" s="90"/>
      <c r="AU110" s="90"/>
      <c r="AV110" s="90"/>
      <c r="AW110" s="90"/>
      <c r="AX110" s="90"/>
      <c r="AY110" s="90" t="s">
        <v>5230</v>
      </c>
      <c r="AZ110" s="90"/>
      <c r="BA110" s="90" t="s">
        <v>408</v>
      </c>
      <c r="BB110" s="91">
        <v>45917.807002314803</v>
      </c>
      <c r="BC110" s="90" t="s">
        <v>401</v>
      </c>
      <c r="BD110" s="90"/>
      <c r="BE110" s="90"/>
      <c r="BF110" s="90" t="s">
        <v>5231</v>
      </c>
    </row>
    <row r="111" spans="1:58" ht="24.75" customHeight="1">
      <c r="A111" s="90" t="s">
        <v>5221</v>
      </c>
      <c r="B111" s="90"/>
      <c r="C111" s="90"/>
      <c r="D111" s="91">
        <v>45917.808159722197</v>
      </c>
      <c r="E111" s="90" t="s">
        <v>5222</v>
      </c>
      <c r="F111" s="92"/>
      <c r="G111" s="90" t="s">
        <v>5402</v>
      </c>
      <c r="H111" s="90" t="s">
        <v>5383</v>
      </c>
      <c r="I111" s="90" t="s">
        <v>5384</v>
      </c>
      <c r="J111" s="90" t="s">
        <v>5351</v>
      </c>
      <c r="K111" s="93">
        <v>2.5</v>
      </c>
      <c r="L111" s="93">
        <v>130</v>
      </c>
      <c r="M111" s="93">
        <v>325</v>
      </c>
      <c r="N111" s="93">
        <v>325</v>
      </c>
      <c r="O111" s="90" t="s">
        <v>5226</v>
      </c>
      <c r="P111" s="90"/>
      <c r="Q111" s="90" t="s">
        <v>5227</v>
      </c>
      <c r="R111" s="90"/>
      <c r="S111" s="90"/>
      <c r="T111" s="90"/>
      <c r="U111" s="90"/>
      <c r="V111" s="90" t="s">
        <v>5385</v>
      </c>
      <c r="W111" s="90" t="s">
        <v>5271</v>
      </c>
      <c r="X111" s="90" t="s">
        <v>162</v>
      </c>
      <c r="Y111" s="90" t="s">
        <v>408</v>
      </c>
      <c r="Z111" s="90"/>
      <c r="AA111" s="93">
        <v>287.61061946902697</v>
      </c>
      <c r="AB111" s="93">
        <v>287.61061946902697</v>
      </c>
      <c r="AC111" s="93">
        <v>13</v>
      </c>
      <c r="AD111" s="93">
        <v>37.389380530973398</v>
      </c>
      <c r="AE111" s="90"/>
      <c r="AF111" s="90"/>
      <c r="AG111" s="90"/>
      <c r="AH111" s="90"/>
      <c r="AI111" s="93">
        <v>0</v>
      </c>
      <c r="AJ111" s="93">
        <v>130</v>
      </c>
      <c r="AK111" s="93">
        <v>13</v>
      </c>
      <c r="AL111" s="93">
        <v>287.61061999999998</v>
      </c>
      <c r="AM111" s="93">
        <v>37.389380000000003</v>
      </c>
      <c r="AN111" s="93">
        <v>325</v>
      </c>
      <c r="AO111" s="93">
        <v>-5.3097340924068703E-7</v>
      </c>
      <c r="AP111" s="90" t="s">
        <v>5271</v>
      </c>
      <c r="AQ111" s="90" t="s">
        <v>5229</v>
      </c>
      <c r="AR111" s="90"/>
      <c r="AS111" s="90"/>
      <c r="AT111" s="90"/>
      <c r="AU111" s="90"/>
      <c r="AV111" s="90"/>
      <c r="AW111" s="90"/>
      <c r="AX111" s="90"/>
      <c r="AY111" s="90" t="s">
        <v>5230</v>
      </c>
      <c r="AZ111" s="90"/>
      <c r="BA111" s="90" t="s">
        <v>408</v>
      </c>
      <c r="BB111" s="91">
        <v>45917.807974536998</v>
      </c>
      <c r="BC111" s="90" t="s">
        <v>401</v>
      </c>
      <c r="BD111" s="90"/>
      <c r="BE111" s="90"/>
      <c r="BF111" s="90" t="s">
        <v>5231</v>
      </c>
    </row>
    <row r="112" spans="1:58" ht="24.75" customHeight="1">
      <c r="A112" s="90" t="s">
        <v>5221</v>
      </c>
      <c r="B112" s="90"/>
      <c r="C112" s="90"/>
      <c r="D112" s="91">
        <v>45917.808159722197</v>
      </c>
      <c r="E112" s="90" t="s">
        <v>5222</v>
      </c>
      <c r="F112" s="92"/>
      <c r="G112" s="90" t="s">
        <v>5402</v>
      </c>
      <c r="H112" s="90" t="s">
        <v>5380</v>
      </c>
      <c r="I112" s="90" t="s">
        <v>5381</v>
      </c>
      <c r="J112" s="90" t="s">
        <v>5351</v>
      </c>
      <c r="K112" s="93">
        <v>2.2999999999999998</v>
      </c>
      <c r="L112" s="93">
        <v>120</v>
      </c>
      <c r="M112" s="93">
        <v>276</v>
      </c>
      <c r="N112" s="93">
        <v>276</v>
      </c>
      <c r="O112" s="90" t="s">
        <v>5226</v>
      </c>
      <c r="P112" s="90"/>
      <c r="Q112" s="90" t="s">
        <v>5227</v>
      </c>
      <c r="R112" s="90"/>
      <c r="S112" s="90"/>
      <c r="T112" s="90"/>
      <c r="U112" s="90"/>
      <c r="V112" s="90"/>
      <c r="W112" s="90" t="s">
        <v>5271</v>
      </c>
      <c r="X112" s="90" t="s">
        <v>162</v>
      </c>
      <c r="Y112" s="90" t="s">
        <v>408</v>
      </c>
      <c r="Z112" s="90"/>
      <c r="AA112" s="93">
        <v>244.24778761061901</v>
      </c>
      <c r="AB112" s="93">
        <v>244.24778761061901</v>
      </c>
      <c r="AC112" s="93">
        <v>13</v>
      </c>
      <c r="AD112" s="93">
        <v>31.7522123893805</v>
      </c>
      <c r="AE112" s="90"/>
      <c r="AF112" s="90"/>
      <c r="AG112" s="90"/>
      <c r="AH112" s="90"/>
      <c r="AI112" s="93">
        <v>0</v>
      </c>
      <c r="AJ112" s="93">
        <v>120</v>
      </c>
      <c r="AK112" s="93">
        <v>13</v>
      </c>
      <c r="AL112" s="93">
        <v>244.24778699999999</v>
      </c>
      <c r="AM112" s="93">
        <v>31.752213000000001</v>
      </c>
      <c r="AN112" s="93">
        <v>276</v>
      </c>
      <c r="AO112" s="93">
        <v>6.1061953715579896E-7</v>
      </c>
      <c r="AP112" s="90" t="s">
        <v>5271</v>
      </c>
      <c r="AQ112" s="90" t="s">
        <v>5239</v>
      </c>
      <c r="AR112" s="90"/>
      <c r="AS112" s="90"/>
      <c r="AT112" s="90"/>
      <c r="AU112" s="90"/>
      <c r="AV112" s="90"/>
      <c r="AW112" s="90"/>
      <c r="AX112" s="90"/>
      <c r="AY112" s="90" t="s">
        <v>5230</v>
      </c>
      <c r="AZ112" s="90"/>
      <c r="BA112" s="90" t="s">
        <v>408</v>
      </c>
      <c r="BB112" s="91">
        <v>45917.807974536998</v>
      </c>
      <c r="BC112" s="90" t="s">
        <v>401</v>
      </c>
      <c r="BD112" s="90"/>
      <c r="BE112" s="90"/>
      <c r="BF112" s="90" t="s">
        <v>5231</v>
      </c>
    </row>
    <row r="113" spans="1:58" ht="24.75" customHeight="1">
      <c r="A113" s="90" t="s">
        <v>5221</v>
      </c>
      <c r="B113" s="90"/>
      <c r="C113" s="90"/>
      <c r="D113" s="91">
        <v>45917.809074074103</v>
      </c>
      <c r="E113" s="90" t="s">
        <v>5222</v>
      </c>
      <c r="F113" s="92"/>
      <c r="G113" s="90" t="s">
        <v>5403</v>
      </c>
      <c r="H113" s="90" t="s">
        <v>5380</v>
      </c>
      <c r="I113" s="90" t="s">
        <v>5381</v>
      </c>
      <c r="J113" s="90" t="s">
        <v>5351</v>
      </c>
      <c r="K113" s="93">
        <v>1.5</v>
      </c>
      <c r="L113" s="93">
        <v>120</v>
      </c>
      <c r="M113" s="93">
        <v>180</v>
      </c>
      <c r="N113" s="93">
        <v>180</v>
      </c>
      <c r="O113" s="90" t="s">
        <v>5226</v>
      </c>
      <c r="P113" s="90"/>
      <c r="Q113" s="90" t="s">
        <v>5227</v>
      </c>
      <c r="R113" s="90"/>
      <c r="S113" s="90"/>
      <c r="T113" s="90"/>
      <c r="U113" s="90"/>
      <c r="V113" s="90"/>
      <c r="W113" s="90" t="s">
        <v>5271</v>
      </c>
      <c r="X113" s="90" t="s">
        <v>162</v>
      </c>
      <c r="Y113" s="90" t="s">
        <v>408</v>
      </c>
      <c r="Z113" s="90"/>
      <c r="AA113" s="93">
        <v>159.29203539823001</v>
      </c>
      <c r="AB113" s="93">
        <v>159.29203539823001</v>
      </c>
      <c r="AC113" s="93">
        <v>13</v>
      </c>
      <c r="AD113" s="93">
        <v>20.707964601769898</v>
      </c>
      <c r="AE113" s="90"/>
      <c r="AF113" s="90"/>
      <c r="AG113" s="90"/>
      <c r="AH113" s="90"/>
      <c r="AI113" s="93">
        <v>0</v>
      </c>
      <c r="AJ113" s="93">
        <v>120</v>
      </c>
      <c r="AK113" s="93">
        <v>13</v>
      </c>
      <c r="AL113" s="93">
        <v>159.292035</v>
      </c>
      <c r="AM113" s="93">
        <v>20.707965000000002</v>
      </c>
      <c r="AN113" s="93">
        <v>180</v>
      </c>
      <c r="AO113" s="93">
        <v>3.98230099563079E-7</v>
      </c>
      <c r="AP113" s="90" t="s">
        <v>5271</v>
      </c>
      <c r="AQ113" s="90" t="s">
        <v>5239</v>
      </c>
      <c r="AR113" s="90"/>
      <c r="AS113" s="90"/>
      <c r="AT113" s="90"/>
      <c r="AU113" s="90"/>
      <c r="AV113" s="90"/>
      <c r="AW113" s="90"/>
      <c r="AX113" s="90"/>
      <c r="AY113" s="90" t="s">
        <v>5230</v>
      </c>
      <c r="AZ113" s="90"/>
      <c r="BA113" s="90" t="s">
        <v>408</v>
      </c>
      <c r="BB113" s="91">
        <v>45917.808865740699</v>
      </c>
      <c r="BC113" s="90" t="s">
        <v>401</v>
      </c>
      <c r="BD113" s="90"/>
      <c r="BE113" s="90"/>
      <c r="BF113" s="90" t="s">
        <v>5231</v>
      </c>
    </row>
    <row r="114" spans="1:58" ht="24.75" customHeight="1">
      <c r="A114" s="90" t="s">
        <v>5221</v>
      </c>
      <c r="B114" s="90"/>
      <c r="C114" s="90"/>
      <c r="D114" s="91">
        <v>45917.809074074103</v>
      </c>
      <c r="E114" s="90" t="s">
        <v>5222</v>
      </c>
      <c r="F114" s="92"/>
      <c r="G114" s="90" t="s">
        <v>5403</v>
      </c>
      <c r="H114" s="90" t="s">
        <v>5383</v>
      </c>
      <c r="I114" s="90" t="s">
        <v>5384</v>
      </c>
      <c r="J114" s="90" t="s">
        <v>5351</v>
      </c>
      <c r="K114" s="93">
        <v>0.9</v>
      </c>
      <c r="L114" s="93">
        <v>130</v>
      </c>
      <c r="M114" s="93">
        <v>117</v>
      </c>
      <c r="N114" s="93">
        <v>117</v>
      </c>
      <c r="O114" s="90" t="s">
        <v>5226</v>
      </c>
      <c r="P114" s="90"/>
      <c r="Q114" s="90" t="s">
        <v>5227</v>
      </c>
      <c r="R114" s="90"/>
      <c r="S114" s="90"/>
      <c r="T114" s="90"/>
      <c r="U114" s="90"/>
      <c r="V114" s="90" t="s">
        <v>5385</v>
      </c>
      <c r="W114" s="90" t="s">
        <v>5271</v>
      </c>
      <c r="X114" s="90" t="s">
        <v>162</v>
      </c>
      <c r="Y114" s="90" t="s">
        <v>408</v>
      </c>
      <c r="Z114" s="90"/>
      <c r="AA114" s="93">
        <v>103.53982300884999</v>
      </c>
      <c r="AB114" s="93">
        <v>103.53982300884999</v>
      </c>
      <c r="AC114" s="93">
        <v>13</v>
      </c>
      <c r="AD114" s="93">
        <v>13.4601769911504</v>
      </c>
      <c r="AE114" s="90"/>
      <c r="AF114" s="90"/>
      <c r="AG114" s="90"/>
      <c r="AH114" s="90"/>
      <c r="AI114" s="93">
        <v>0</v>
      </c>
      <c r="AJ114" s="93">
        <v>130</v>
      </c>
      <c r="AK114" s="93">
        <v>13</v>
      </c>
      <c r="AL114" s="93">
        <v>103.5398232</v>
      </c>
      <c r="AM114" s="93">
        <v>13.460176799999999</v>
      </c>
      <c r="AN114" s="93">
        <v>117</v>
      </c>
      <c r="AO114" s="93">
        <v>-1.9115043414785799E-7</v>
      </c>
      <c r="AP114" s="90" t="s">
        <v>5271</v>
      </c>
      <c r="AQ114" s="90" t="s">
        <v>5229</v>
      </c>
      <c r="AR114" s="90"/>
      <c r="AS114" s="90"/>
      <c r="AT114" s="90"/>
      <c r="AU114" s="90"/>
      <c r="AV114" s="90"/>
      <c r="AW114" s="90"/>
      <c r="AX114" s="90"/>
      <c r="AY114" s="90" t="s">
        <v>5230</v>
      </c>
      <c r="AZ114" s="90"/>
      <c r="BA114" s="90" t="s">
        <v>408</v>
      </c>
      <c r="BB114" s="91">
        <v>45917.808865740699</v>
      </c>
      <c r="BC114" s="90" t="s">
        <v>401</v>
      </c>
      <c r="BD114" s="90"/>
      <c r="BE114" s="90"/>
      <c r="BF114" s="90" t="s">
        <v>5231</v>
      </c>
    </row>
    <row r="115" spans="1:58" ht="24.75" customHeight="1">
      <c r="A115" s="90" t="s">
        <v>5221</v>
      </c>
      <c r="B115" s="90"/>
      <c r="C115" s="90"/>
      <c r="D115" s="91">
        <v>45917.810312499998</v>
      </c>
      <c r="E115" s="90" t="s">
        <v>5222</v>
      </c>
      <c r="F115" s="92"/>
      <c r="G115" s="90" t="s">
        <v>5404</v>
      </c>
      <c r="H115" s="90" t="s">
        <v>5380</v>
      </c>
      <c r="I115" s="90" t="s">
        <v>5381</v>
      </c>
      <c r="J115" s="90" t="s">
        <v>5351</v>
      </c>
      <c r="K115" s="93">
        <v>2.5</v>
      </c>
      <c r="L115" s="93">
        <v>120</v>
      </c>
      <c r="M115" s="93">
        <v>300</v>
      </c>
      <c r="N115" s="93">
        <v>300</v>
      </c>
      <c r="O115" s="90" t="s">
        <v>5226</v>
      </c>
      <c r="P115" s="90"/>
      <c r="Q115" s="90" t="s">
        <v>5227</v>
      </c>
      <c r="R115" s="90"/>
      <c r="S115" s="90"/>
      <c r="T115" s="90"/>
      <c r="U115" s="90"/>
      <c r="V115" s="90"/>
      <c r="W115" s="90" t="s">
        <v>5271</v>
      </c>
      <c r="X115" s="90" t="s">
        <v>162</v>
      </c>
      <c r="Y115" s="90" t="s">
        <v>408</v>
      </c>
      <c r="Z115" s="90"/>
      <c r="AA115" s="93">
        <v>265.48672566371698</v>
      </c>
      <c r="AB115" s="93">
        <v>265.48672566371698</v>
      </c>
      <c r="AC115" s="93">
        <v>13</v>
      </c>
      <c r="AD115" s="93">
        <v>34.513274336283203</v>
      </c>
      <c r="AE115" s="90"/>
      <c r="AF115" s="90"/>
      <c r="AG115" s="90"/>
      <c r="AH115" s="90"/>
      <c r="AI115" s="93">
        <v>0</v>
      </c>
      <c r="AJ115" s="93">
        <v>120</v>
      </c>
      <c r="AK115" s="93">
        <v>13</v>
      </c>
      <c r="AL115" s="93">
        <v>265.48672499999998</v>
      </c>
      <c r="AM115" s="93">
        <v>34.513275</v>
      </c>
      <c r="AN115" s="93">
        <v>300</v>
      </c>
      <c r="AO115" s="93">
        <v>6.6371683260513205E-7</v>
      </c>
      <c r="AP115" s="90" t="s">
        <v>5271</v>
      </c>
      <c r="AQ115" s="90" t="s">
        <v>5239</v>
      </c>
      <c r="AR115" s="90"/>
      <c r="AS115" s="90"/>
      <c r="AT115" s="90"/>
      <c r="AU115" s="90"/>
      <c r="AV115" s="90"/>
      <c r="AW115" s="90"/>
      <c r="AX115" s="90"/>
      <c r="AY115" s="90" t="s">
        <v>5230</v>
      </c>
      <c r="AZ115" s="90"/>
      <c r="BA115" s="90" t="s">
        <v>408</v>
      </c>
      <c r="BB115" s="91">
        <v>45917.810138888897</v>
      </c>
      <c r="BC115" s="90" t="s">
        <v>401</v>
      </c>
      <c r="BD115" s="90"/>
      <c r="BE115" s="90"/>
      <c r="BF115" s="90" t="s">
        <v>5231</v>
      </c>
    </row>
    <row r="116" spans="1:58" ht="24.75" customHeight="1">
      <c r="A116" s="90" t="s">
        <v>5221</v>
      </c>
      <c r="B116" s="90"/>
      <c r="C116" s="90"/>
      <c r="D116" s="91">
        <v>45917.810312499998</v>
      </c>
      <c r="E116" s="90" t="s">
        <v>5222</v>
      </c>
      <c r="F116" s="92"/>
      <c r="G116" s="90" t="s">
        <v>5404</v>
      </c>
      <c r="H116" s="90" t="s">
        <v>5383</v>
      </c>
      <c r="I116" s="90" t="s">
        <v>5384</v>
      </c>
      <c r="J116" s="90" t="s">
        <v>5351</v>
      </c>
      <c r="K116" s="93">
        <v>0.5</v>
      </c>
      <c r="L116" s="93">
        <v>130</v>
      </c>
      <c r="M116" s="93">
        <v>65</v>
      </c>
      <c r="N116" s="93">
        <v>65</v>
      </c>
      <c r="O116" s="90" t="s">
        <v>5226</v>
      </c>
      <c r="P116" s="90"/>
      <c r="Q116" s="90" t="s">
        <v>5227</v>
      </c>
      <c r="R116" s="90"/>
      <c r="S116" s="90"/>
      <c r="T116" s="90"/>
      <c r="U116" s="90"/>
      <c r="V116" s="90" t="s">
        <v>5385</v>
      </c>
      <c r="W116" s="90" t="s">
        <v>5271</v>
      </c>
      <c r="X116" s="90" t="s">
        <v>162</v>
      </c>
      <c r="Y116" s="90" t="s">
        <v>408</v>
      </c>
      <c r="Z116" s="90"/>
      <c r="AA116" s="93">
        <v>57.522123893805301</v>
      </c>
      <c r="AB116" s="93">
        <v>57.522123893805301</v>
      </c>
      <c r="AC116" s="93">
        <v>13</v>
      </c>
      <c r="AD116" s="93">
        <v>7.4778761061946897</v>
      </c>
      <c r="AE116" s="90"/>
      <c r="AF116" s="90"/>
      <c r="AG116" s="90"/>
      <c r="AH116" s="90"/>
      <c r="AI116" s="93">
        <v>0</v>
      </c>
      <c r="AJ116" s="93">
        <v>130</v>
      </c>
      <c r="AK116" s="93">
        <v>13</v>
      </c>
      <c r="AL116" s="93">
        <v>57.522123999999998</v>
      </c>
      <c r="AM116" s="93">
        <v>7.4778760000000002</v>
      </c>
      <c r="AN116" s="93">
        <v>65</v>
      </c>
      <c r="AO116" s="93">
        <v>-1.06194683269223E-7</v>
      </c>
      <c r="AP116" s="90" t="s">
        <v>5271</v>
      </c>
      <c r="AQ116" s="90" t="s">
        <v>5229</v>
      </c>
      <c r="AR116" s="90"/>
      <c r="AS116" s="90"/>
      <c r="AT116" s="90"/>
      <c r="AU116" s="90"/>
      <c r="AV116" s="90"/>
      <c r="AW116" s="90"/>
      <c r="AX116" s="90"/>
      <c r="AY116" s="90" t="s">
        <v>5230</v>
      </c>
      <c r="AZ116" s="90"/>
      <c r="BA116" s="90" t="s">
        <v>408</v>
      </c>
      <c r="BB116" s="91">
        <v>45917.810138888897</v>
      </c>
      <c r="BC116" s="90" t="s">
        <v>401</v>
      </c>
      <c r="BD116" s="90"/>
      <c r="BE116" s="90"/>
      <c r="BF116" s="90" t="s">
        <v>5231</v>
      </c>
    </row>
    <row r="117" spans="1:58" ht="24.75" customHeight="1">
      <c r="A117" s="90" t="s">
        <v>5232</v>
      </c>
      <c r="B117" s="90"/>
      <c r="C117" s="90"/>
      <c r="D117" s="91">
        <v>45917.817384259302</v>
      </c>
      <c r="E117" s="90" t="s">
        <v>5222</v>
      </c>
      <c r="F117" s="92"/>
      <c r="G117" s="90" t="s">
        <v>5405</v>
      </c>
      <c r="H117" s="90" t="s">
        <v>5243</v>
      </c>
      <c r="I117" s="90" t="s">
        <v>5244</v>
      </c>
      <c r="J117" s="90"/>
      <c r="K117" s="93">
        <v>2</v>
      </c>
      <c r="L117" s="93">
        <v>27.5</v>
      </c>
      <c r="M117" s="93">
        <v>55</v>
      </c>
      <c r="N117" s="93">
        <v>55</v>
      </c>
      <c r="O117" s="90" t="s">
        <v>5226</v>
      </c>
      <c r="P117" s="90"/>
      <c r="Q117" s="90" t="s">
        <v>5227</v>
      </c>
      <c r="R117" s="90"/>
      <c r="S117" s="90"/>
      <c r="T117" s="90"/>
      <c r="U117" s="90"/>
      <c r="V117" s="90" t="s">
        <v>5245</v>
      </c>
      <c r="W117" s="90" t="s">
        <v>99</v>
      </c>
      <c r="X117" s="90" t="s">
        <v>5237</v>
      </c>
      <c r="Y117" s="90" t="s">
        <v>5238</v>
      </c>
      <c r="Z117" s="90"/>
      <c r="AA117" s="93">
        <v>48.672566371681398</v>
      </c>
      <c r="AB117" s="93">
        <v>48.672566371681398</v>
      </c>
      <c r="AC117" s="93">
        <v>13</v>
      </c>
      <c r="AD117" s="93">
        <v>6.3274336283185804</v>
      </c>
      <c r="AE117" s="90"/>
      <c r="AF117" s="90"/>
      <c r="AG117" s="90"/>
      <c r="AH117" s="90"/>
      <c r="AI117" s="93">
        <v>0</v>
      </c>
      <c r="AJ117" s="93">
        <v>27.5</v>
      </c>
      <c r="AK117" s="93">
        <v>13</v>
      </c>
      <c r="AL117" s="93">
        <v>48.672566000000003</v>
      </c>
      <c r="AM117" s="93">
        <v>6.3274340000000002</v>
      </c>
      <c r="AN117" s="93">
        <v>55</v>
      </c>
      <c r="AO117" s="93">
        <v>3.7168141631127598E-7</v>
      </c>
      <c r="AP117" s="90" t="s">
        <v>99</v>
      </c>
      <c r="AQ117" s="90" t="s">
        <v>5246</v>
      </c>
      <c r="AR117" s="90"/>
      <c r="AS117" s="90"/>
      <c r="AT117" s="90"/>
      <c r="AU117" s="90"/>
      <c r="AV117" s="90"/>
      <c r="AW117" s="90"/>
      <c r="AX117" s="90"/>
      <c r="AY117" s="90" t="s">
        <v>5230</v>
      </c>
      <c r="AZ117" s="90"/>
      <c r="BA117" s="90" t="s">
        <v>5238</v>
      </c>
      <c r="BB117" s="91">
        <v>45904.495532407404</v>
      </c>
      <c r="BC117" s="90" t="s">
        <v>405</v>
      </c>
      <c r="BD117" s="90" t="s">
        <v>5406</v>
      </c>
      <c r="BE117" s="90"/>
      <c r="BF117" s="90" t="s">
        <v>5242</v>
      </c>
    </row>
    <row r="118" spans="1:58" ht="24.75" customHeight="1">
      <c r="A118" s="90" t="s">
        <v>5232</v>
      </c>
      <c r="B118" s="90"/>
      <c r="C118" s="90"/>
      <c r="D118" s="91">
        <v>45917.8178819444</v>
      </c>
      <c r="E118" s="90" t="s">
        <v>5222</v>
      </c>
      <c r="F118" s="92"/>
      <c r="G118" s="90" t="s">
        <v>5407</v>
      </c>
      <c r="H118" s="90" t="s">
        <v>5243</v>
      </c>
      <c r="I118" s="90" t="s">
        <v>5244</v>
      </c>
      <c r="J118" s="90"/>
      <c r="K118" s="93">
        <v>2</v>
      </c>
      <c r="L118" s="93">
        <v>27.5</v>
      </c>
      <c r="M118" s="93">
        <v>55</v>
      </c>
      <c r="N118" s="93">
        <v>55</v>
      </c>
      <c r="O118" s="90" t="s">
        <v>5226</v>
      </c>
      <c r="P118" s="90"/>
      <c r="Q118" s="90" t="s">
        <v>5227</v>
      </c>
      <c r="R118" s="90"/>
      <c r="S118" s="90"/>
      <c r="T118" s="90"/>
      <c r="U118" s="90"/>
      <c r="V118" s="90" t="s">
        <v>5245</v>
      </c>
      <c r="W118" s="90" t="s">
        <v>99</v>
      </c>
      <c r="X118" s="90" t="s">
        <v>5237</v>
      </c>
      <c r="Y118" s="90" t="s">
        <v>5238</v>
      </c>
      <c r="Z118" s="90"/>
      <c r="AA118" s="93">
        <v>48.672566371681398</v>
      </c>
      <c r="AB118" s="93">
        <v>48.672566371681398</v>
      </c>
      <c r="AC118" s="93">
        <v>13</v>
      </c>
      <c r="AD118" s="93">
        <v>6.3274336283185804</v>
      </c>
      <c r="AE118" s="90"/>
      <c r="AF118" s="90"/>
      <c r="AG118" s="90"/>
      <c r="AH118" s="90"/>
      <c r="AI118" s="93">
        <v>0</v>
      </c>
      <c r="AJ118" s="93">
        <v>27.5</v>
      </c>
      <c r="AK118" s="93">
        <v>13</v>
      </c>
      <c r="AL118" s="93">
        <v>48.672566000000003</v>
      </c>
      <c r="AM118" s="93">
        <v>6.3274340000000002</v>
      </c>
      <c r="AN118" s="93">
        <v>55</v>
      </c>
      <c r="AO118" s="93">
        <v>3.7168141631127598E-7</v>
      </c>
      <c r="AP118" s="90" t="s">
        <v>99</v>
      </c>
      <c r="AQ118" s="90" t="s">
        <v>5246</v>
      </c>
      <c r="AR118" s="90"/>
      <c r="AS118" s="90"/>
      <c r="AT118" s="90"/>
      <c r="AU118" s="90"/>
      <c r="AV118" s="90"/>
      <c r="AW118" s="90"/>
      <c r="AX118" s="90"/>
      <c r="AY118" s="90" t="s">
        <v>5230</v>
      </c>
      <c r="AZ118" s="90"/>
      <c r="BA118" s="90" t="s">
        <v>5238</v>
      </c>
      <c r="BB118" s="91">
        <v>45904.495532407404</v>
      </c>
      <c r="BC118" s="90" t="s">
        <v>405</v>
      </c>
      <c r="BD118" s="90" t="s">
        <v>5408</v>
      </c>
      <c r="BE118" s="90"/>
      <c r="BF118" s="90" t="s">
        <v>5242</v>
      </c>
    </row>
    <row r="119" spans="1:58" ht="24.75" customHeight="1">
      <c r="A119" s="90" t="s">
        <v>5232</v>
      </c>
      <c r="B119" s="90"/>
      <c r="C119" s="90"/>
      <c r="D119" s="91">
        <v>45917.8178819444</v>
      </c>
      <c r="E119" s="90" t="s">
        <v>5222</v>
      </c>
      <c r="F119" s="92"/>
      <c r="G119" s="90" t="s">
        <v>5407</v>
      </c>
      <c r="H119" s="90" t="s">
        <v>5234</v>
      </c>
      <c r="I119" s="90" t="s">
        <v>5235</v>
      </c>
      <c r="J119" s="90"/>
      <c r="K119" s="93">
        <v>2</v>
      </c>
      <c r="L119" s="93">
        <v>36</v>
      </c>
      <c r="M119" s="93">
        <v>72</v>
      </c>
      <c r="N119" s="93">
        <v>72</v>
      </c>
      <c r="O119" s="90" t="s">
        <v>5226</v>
      </c>
      <c r="P119" s="90"/>
      <c r="Q119" s="90" t="s">
        <v>5227</v>
      </c>
      <c r="R119" s="90"/>
      <c r="S119" s="90"/>
      <c r="T119" s="90"/>
      <c r="U119" s="90"/>
      <c r="V119" s="90" t="s">
        <v>5236</v>
      </c>
      <c r="W119" s="90" t="s">
        <v>99</v>
      </c>
      <c r="X119" s="90" t="s">
        <v>5237</v>
      </c>
      <c r="Y119" s="90" t="s">
        <v>5238</v>
      </c>
      <c r="Z119" s="90"/>
      <c r="AA119" s="93">
        <v>63.716814159291999</v>
      </c>
      <c r="AB119" s="93">
        <v>63.716814159291999</v>
      </c>
      <c r="AC119" s="93">
        <v>13</v>
      </c>
      <c r="AD119" s="93">
        <v>8.2831858407079597</v>
      </c>
      <c r="AE119" s="90"/>
      <c r="AF119" s="90"/>
      <c r="AG119" s="90"/>
      <c r="AH119" s="90"/>
      <c r="AI119" s="93">
        <v>0</v>
      </c>
      <c r="AJ119" s="93">
        <v>36</v>
      </c>
      <c r="AK119" s="93">
        <v>13</v>
      </c>
      <c r="AL119" s="93">
        <v>63.716813999999999</v>
      </c>
      <c r="AM119" s="93">
        <v>8.2831860000000006</v>
      </c>
      <c r="AN119" s="93">
        <v>72</v>
      </c>
      <c r="AO119" s="93">
        <v>1.59292042667403E-7</v>
      </c>
      <c r="AP119" s="90" t="s">
        <v>99</v>
      </c>
      <c r="AQ119" s="90" t="s">
        <v>5239</v>
      </c>
      <c r="AR119" s="90"/>
      <c r="AS119" s="90"/>
      <c r="AT119" s="90"/>
      <c r="AU119" s="90"/>
      <c r="AV119" s="90"/>
      <c r="AW119" s="90"/>
      <c r="AX119" s="90"/>
      <c r="AY119" s="90" t="s">
        <v>5240</v>
      </c>
      <c r="AZ119" s="90"/>
      <c r="BA119" s="90" t="s">
        <v>5238</v>
      </c>
      <c r="BB119" s="91">
        <v>45894.467685185198</v>
      </c>
      <c r="BC119" s="90" t="s">
        <v>405</v>
      </c>
      <c r="BD119" s="90" t="s">
        <v>5408</v>
      </c>
      <c r="BE119" s="90"/>
      <c r="BF119" s="90" t="s">
        <v>5242</v>
      </c>
    </row>
    <row r="120" spans="1:58" ht="24.75" customHeight="1">
      <c r="A120" s="90" t="s">
        <v>5232</v>
      </c>
      <c r="B120" s="90"/>
      <c r="C120" s="90"/>
      <c r="D120" s="91">
        <v>45917.818668981497</v>
      </c>
      <c r="E120" s="90" t="s">
        <v>5222</v>
      </c>
      <c r="F120" s="92"/>
      <c r="G120" s="90" t="s">
        <v>5409</v>
      </c>
      <c r="H120" s="90" t="s">
        <v>5243</v>
      </c>
      <c r="I120" s="90" t="s">
        <v>5244</v>
      </c>
      <c r="J120" s="90"/>
      <c r="K120" s="93">
        <v>2</v>
      </c>
      <c r="L120" s="93">
        <v>27.5</v>
      </c>
      <c r="M120" s="93">
        <v>55</v>
      </c>
      <c r="N120" s="93">
        <v>55</v>
      </c>
      <c r="O120" s="90" t="s">
        <v>5226</v>
      </c>
      <c r="P120" s="90"/>
      <c r="Q120" s="90" t="s">
        <v>5227</v>
      </c>
      <c r="R120" s="90"/>
      <c r="S120" s="90"/>
      <c r="T120" s="90"/>
      <c r="U120" s="90"/>
      <c r="V120" s="90" t="s">
        <v>5245</v>
      </c>
      <c r="W120" s="90" t="s">
        <v>99</v>
      </c>
      <c r="X120" s="90" t="s">
        <v>5237</v>
      </c>
      <c r="Y120" s="90" t="s">
        <v>5238</v>
      </c>
      <c r="Z120" s="90"/>
      <c r="AA120" s="93">
        <v>48.672566371681398</v>
      </c>
      <c r="AB120" s="93">
        <v>48.672566371681398</v>
      </c>
      <c r="AC120" s="93">
        <v>13</v>
      </c>
      <c r="AD120" s="93">
        <v>6.3274336283185804</v>
      </c>
      <c r="AE120" s="90"/>
      <c r="AF120" s="90"/>
      <c r="AG120" s="90"/>
      <c r="AH120" s="90"/>
      <c r="AI120" s="93">
        <v>0</v>
      </c>
      <c r="AJ120" s="93">
        <v>27.5</v>
      </c>
      <c r="AK120" s="93">
        <v>13</v>
      </c>
      <c r="AL120" s="93">
        <v>48.672566000000003</v>
      </c>
      <c r="AM120" s="93">
        <v>6.3274340000000002</v>
      </c>
      <c r="AN120" s="93">
        <v>55</v>
      </c>
      <c r="AO120" s="93">
        <v>3.7168141631127598E-7</v>
      </c>
      <c r="AP120" s="90" t="s">
        <v>99</v>
      </c>
      <c r="AQ120" s="90" t="s">
        <v>5246</v>
      </c>
      <c r="AR120" s="90"/>
      <c r="AS120" s="90"/>
      <c r="AT120" s="90"/>
      <c r="AU120" s="90"/>
      <c r="AV120" s="90"/>
      <c r="AW120" s="90"/>
      <c r="AX120" s="90"/>
      <c r="AY120" s="90" t="s">
        <v>5230</v>
      </c>
      <c r="AZ120" s="90"/>
      <c r="BA120" s="90" t="s">
        <v>5238</v>
      </c>
      <c r="BB120" s="91">
        <v>45904.495532407404</v>
      </c>
      <c r="BC120" s="90" t="s">
        <v>405</v>
      </c>
      <c r="BD120" s="90" t="s">
        <v>5410</v>
      </c>
      <c r="BE120" s="90"/>
      <c r="BF120" s="90" t="s">
        <v>5242</v>
      </c>
    </row>
    <row r="121" spans="1:58" ht="24.75" customHeight="1">
      <c r="A121" s="90" t="s">
        <v>5221</v>
      </c>
      <c r="B121" s="90"/>
      <c r="C121" s="90"/>
      <c r="D121" s="91">
        <v>45917.822129629603</v>
      </c>
      <c r="E121" s="90" t="s">
        <v>5222</v>
      </c>
      <c r="F121" s="92"/>
      <c r="G121" s="90" t="s">
        <v>5411</v>
      </c>
      <c r="H121" s="90" t="s">
        <v>5380</v>
      </c>
      <c r="I121" s="90" t="s">
        <v>5381</v>
      </c>
      <c r="J121" s="90" t="s">
        <v>5351</v>
      </c>
      <c r="K121" s="93">
        <v>3.3</v>
      </c>
      <c r="L121" s="93">
        <v>120</v>
      </c>
      <c r="M121" s="93">
        <v>396</v>
      </c>
      <c r="N121" s="93">
        <v>396</v>
      </c>
      <c r="O121" s="90" t="s">
        <v>5226</v>
      </c>
      <c r="P121" s="90"/>
      <c r="Q121" s="90" t="s">
        <v>5227</v>
      </c>
      <c r="R121" s="90"/>
      <c r="S121" s="90"/>
      <c r="T121" s="90"/>
      <c r="U121" s="90"/>
      <c r="V121" s="90"/>
      <c r="W121" s="90" t="s">
        <v>5271</v>
      </c>
      <c r="X121" s="90" t="s">
        <v>162</v>
      </c>
      <c r="Y121" s="90" t="s">
        <v>408</v>
      </c>
      <c r="Z121" s="90"/>
      <c r="AA121" s="93">
        <v>350.44247787610601</v>
      </c>
      <c r="AB121" s="93">
        <v>350.44247787610601</v>
      </c>
      <c r="AC121" s="93">
        <v>13</v>
      </c>
      <c r="AD121" s="93">
        <v>45.557522123893797</v>
      </c>
      <c r="AE121" s="90"/>
      <c r="AF121" s="90"/>
      <c r="AG121" s="90"/>
      <c r="AH121" s="90"/>
      <c r="AI121" s="93">
        <v>0</v>
      </c>
      <c r="AJ121" s="93">
        <v>120</v>
      </c>
      <c r="AK121" s="93">
        <v>13</v>
      </c>
      <c r="AL121" s="93">
        <v>350.442477</v>
      </c>
      <c r="AM121" s="93">
        <v>45.557523000000003</v>
      </c>
      <c r="AN121" s="93">
        <v>396</v>
      </c>
      <c r="AO121" s="93">
        <v>8.7610629861956102E-7</v>
      </c>
      <c r="AP121" s="90" t="s">
        <v>5271</v>
      </c>
      <c r="AQ121" s="90" t="s">
        <v>5239</v>
      </c>
      <c r="AR121" s="90"/>
      <c r="AS121" s="90"/>
      <c r="AT121" s="90"/>
      <c r="AU121" s="90"/>
      <c r="AV121" s="90"/>
      <c r="AW121" s="90"/>
      <c r="AX121" s="90"/>
      <c r="AY121" s="90" t="s">
        <v>5230</v>
      </c>
      <c r="AZ121" s="90"/>
      <c r="BA121" s="90" t="s">
        <v>408</v>
      </c>
      <c r="BB121" s="91">
        <v>45917.821377314802</v>
      </c>
      <c r="BC121" s="90" t="s">
        <v>401</v>
      </c>
      <c r="BD121" s="90"/>
      <c r="BE121" s="90"/>
      <c r="BF121" s="90" t="s">
        <v>5231</v>
      </c>
    </row>
    <row r="122" spans="1:58" ht="24.75" customHeight="1">
      <c r="A122" s="90" t="s">
        <v>5221</v>
      </c>
      <c r="B122" s="90"/>
      <c r="C122" s="90"/>
      <c r="D122" s="91">
        <v>45917.822129629603</v>
      </c>
      <c r="E122" s="90" t="s">
        <v>5222</v>
      </c>
      <c r="F122" s="92"/>
      <c r="G122" s="90" t="s">
        <v>5411</v>
      </c>
      <c r="H122" s="90" t="s">
        <v>5383</v>
      </c>
      <c r="I122" s="90" t="s">
        <v>5384</v>
      </c>
      <c r="J122" s="90" t="s">
        <v>5351</v>
      </c>
      <c r="K122" s="93">
        <v>1.2</v>
      </c>
      <c r="L122" s="93">
        <v>130</v>
      </c>
      <c r="M122" s="93">
        <v>156</v>
      </c>
      <c r="N122" s="93">
        <v>156</v>
      </c>
      <c r="O122" s="90" t="s">
        <v>5226</v>
      </c>
      <c r="P122" s="90"/>
      <c r="Q122" s="90" t="s">
        <v>5227</v>
      </c>
      <c r="R122" s="90"/>
      <c r="S122" s="90"/>
      <c r="T122" s="90"/>
      <c r="U122" s="90"/>
      <c r="V122" s="90" t="s">
        <v>5385</v>
      </c>
      <c r="W122" s="90" t="s">
        <v>5271</v>
      </c>
      <c r="X122" s="90" t="s">
        <v>162</v>
      </c>
      <c r="Y122" s="90" t="s">
        <v>408</v>
      </c>
      <c r="Z122" s="90"/>
      <c r="AA122" s="93">
        <v>138.05309734513301</v>
      </c>
      <c r="AB122" s="93">
        <v>138.05309734513301</v>
      </c>
      <c r="AC122" s="93">
        <v>13</v>
      </c>
      <c r="AD122" s="93">
        <v>17.946902654867198</v>
      </c>
      <c r="AE122" s="90"/>
      <c r="AF122" s="90"/>
      <c r="AG122" s="90"/>
      <c r="AH122" s="90"/>
      <c r="AI122" s="93">
        <v>0</v>
      </c>
      <c r="AJ122" s="93">
        <v>130</v>
      </c>
      <c r="AK122" s="93">
        <v>13</v>
      </c>
      <c r="AL122" s="93">
        <v>138.0530976</v>
      </c>
      <c r="AM122" s="93">
        <v>17.946902399999999</v>
      </c>
      <c r="AN122" s="93">
        <v>156</v>
      </c>
      <c r="AO122" s="93">
        <v>-2.5486724553047701E-7</v>
      </c>
      <c r="AP122" s="90" t="s">
        <v>5271</v>
      </c>
      <c r="AQ122" s="90" t="s">
        <v>5229</v>
      </c>
      <c r="AR122" s="90"/>
      <c r="AS122" s="90"/>
      <c r="AT122" s="90"/>
      <c r="AU122" s="90"/>
      <c r="AV122" s="90"/>
      <c r="AW122" s="90"/>
      <c r="AX122" s="90"/>
      <c r="AY122" s="90" t="s">
        <v>5230</v>
      </c>
      <c r="AZ122" s="90"/>
      <c r="BA122" s="90" t="s">
        <v>408</v>
      </c>
      <c r="BB122" s="91">
        <v>45917.821377314802</v>
      </c>
      <c r="BC122" s="90" t="s">
        <v>401</v>
      </c>
      <c r="BD122" s="90"/>
      <c r="BE122" s="90"/>
      <c r="BF122" s="90" t="s">
        <v>5231</v>
      </c>
    </row>
    <row r="123" spans="1:58" ht="24.75" customHeight="1">
      <c r="A123" s="90" t="s">
        <v>5221</v>
      </c>
      <c r="B123" s="90"/>
      <c r="C123" s="90"/>
      <c r="D123" s="91">
        <v>45917.8453703704</v>
      </c>
      <c r="E123" s="90" t="s">
        <v>5222</v>
      </c>
      <c r="F123" s="92"/>
      <c r="G123" s="90" t="s">
        <v>5412</v>
      </c>
      <c r="H123" s="90" t="s">
        <v>5380</v>
      </c>
      <c r="I123" s="90" t="s">
        <v>5381</v>
      </c>
      <c r="J123" s="90" t="s">
        <v>5351</v>
      </c>
      <c r="K123" s="93">
        <v>2.4</v>
      </c>
      <c r="L123" s="93">
        <v>120</v>
      </c>
      <c r="M123" s="93">
        <v>288</v>
      </c>
      <c r="N123" s="93">
        <v>288</v>
      </c>
      <c r="O123" s="90" t="s">
        <v>5226</v>
      </c>
      <c r="P123" s="90"/>
      <c r="Q123" s="90" t="s">
        <v>5227</v>
      </c>
      <c r="R123" s="90"/>
      <c r="S123" s="90"/>
      <c r="T123" s="90"/>
      <c r="U123" s="90"/>
      <c r="V123" s="90"/>
      <c r="W123" s="90" t="s">
        <v>5271</v>
      </c>
      <c r="X123" s="90" t="s">
        <v>162</v>
      </c>
      <c r="Y123" s="90" t="s">
        <v>408</v>
      </c>
      <c r="Z123" s="90"/>
      <c r="AA123" s="93">
        <v>254.867256637168</v>
      </c>
      <c r="AB123" s="93">
        <v>254.867256637168</v>
      </c>
      <c r="AC123" s="93">
        <v>13</v>
      </c>
      <c r="AD123" s="93">
        <v>33.132743362831803</v>
      </c>
      <c r="AE123" s="90"/>
      <c r="AF123" s="90"/>
      <c r="AG123" s="90"/>
      <c r="AH123" s="90"/>
      <c r="AI123" s="93">
        <v>0</v>
      </c>
      <c r="AJ123" s="93">
        <v>120</v>
      </c>
      <c r="AK123" s="93">
        <v>13</v>
      </c>
      <c r="AL123" s="93">
        <v>254.867256</v>
      </c>
      <c r="AM123" s="93">
        <v>33.132744000000002</v>
      </c>
      <c r="AN123" s="93">
        <v>288</v>
      </c>
      <c r="AO123" s="93">
        <v>6.3716819909131996E-7</v>
      </c>
      <c r="AP123" s="90" t="s">
        <v>5271</v>
      </c>
      <c r="AQ123" s="90" t="s">
        <v>5239</v>
      </c>
      <c r="AR123" s="90"/>
      <c r="AS123" s="90"/>
      <c r="AT123" s="90"/>
      <c r="AU123" s="90"/>
      <c r="AV123" s="90"/>
      <c r="AW123" s="90"/>
      <c r="AX123" s="90"/>
      <c r="AY123" s="90" t="s">
        <v>5230</v>
      </c>
      <c r="AZ123" s="90"/>
      <c r="BA123" s="90" t="s">
        <v>408</v>
      </c>
      <c r="BB123" s="91">
        <v>45917.845127314802</v>
      </c>
      <c r="BC123" s="90" t="s">
        <v>401</v>
      </c>
      <c r="BD123" s="90"/>
      <c r="BE123" s="90"/>
      <c r="BF123" s="90" t="s">
        <v>5231</v>
      </c>
    </row>
    <row r="124" spans="1:58" ht="24.75" customHeight="1">
      <c r="A124" s="90" t="s">
        <v>5221</v>
      </c>
      <c r="B124" s="90"/>
      <c r="C124" s="90"/>
      <c r="D124" s="91">
        <v>45917.8453703704</v>
      </c>
      <c r="E124" s="90" t="s">
        <v>5222</v>
      </c>
      <c r="F124" s="92"/>
      <c r="G124" s="90" t="s">
        <v>5412</v>
      </c>
      <c r="H124" s="90" t="s">
        <v>5383</v>
      </c>
      <c r="I124" s="90" t="s">
        <v>5384</v>
      </c>
      <c r="J124" s="90" t="s">
        <v>5351</v>
      </c>
      <c r="K124" s="93">
        <v>1.6</v>
      </c>
      <c r="L124" s="93">
        <v>130</v>
      </c>
      <c r="M124" s="93">
        <v>208</v>
      </c>
      <c r="N124" s="93">
        <v>208</v>
      </c>
      <c r="O124" s="90" t="s">
        <v>5226</v>
      </c>
      <c r="P124" s="90"/>
      <c r="Q124" s="90" t="s">
        <v>5227</v>
      </c>
      <c r="R124" s="90"/>
      <c r="S124" s="90"/>
      <c r="T124" s="90"/>
      <c r="U124" s="90"/>
      <c r="V124" s="90" t="s">
        <v>5385</v>
      </c>
      <c r="W124" s="90" t="s">
        <v>5271</v>
      </c>
      <c r="X124" s="90" t="s">
        <v>162</v>
      </c>
      <c r="Y124" s="90" t="s">
        <v>408</v>
      </c>
      <c r="Z124" s="90"/>
      <c r="AA124" s="93">
        <v>184.07079646017701</v>
      </c>
      <c r="AB124" s="93">
        <v>184.07079646017701</v>
      </c>
      <c r="AC124" s="93">
        <v>13</v>
      </c>
      <c r="AD124" s="93">
        <v>23.929203539823</v>
      </c>
      <c r="AE124" s="90"/>
      <c r="AF124" s="90"/>
      <c r="AG124" s="90"/>
      <c r="AH124" s="90"/>
      <c r="AI124" s="93">
        <v>0</v>
      </c>
      <c r="AJ124" s="93">
        <v>130</v>
      </c>
      <c r="AK124" s="93">
        <v>13</v>
      </c>
      <c r="AL124" s="93">
        <v>184.07079680000001</v>
      </c>
      <c r="AM124" s="93">
        <v>23.9292032</v>
      </c>
      <c r="AN124" s="93">
        <v>208</v>
      </c>
      <c r="AO124" s="93">
        <v>-3.3982300351453897E-7</v>
      </c>
      <c r="AP124" s="90" t="s">
        <v>5271</v>
      </c>
      <c r="AQ124" s="90" t="s">
        <v>5229</v>
      </c>
      <c r="AR124" s="90"/>
      <c r="AS124" s="90"/>
      <c r="AT124" s="90"/>
      <c r="AU124" s="90"/>
      <c r="AV124" s="90"/>
      <c r="AW124" s="90"/>
      <c r="AX124" s="90"/>
      <c r="AY124" s="90" t="s">
        <v>5230</v>
      </c>
      <c r="AZ124" s="90"/>
      <c r="BA124" s="90" t="s">
        <v>408</v>
      </c>
      <c r="BB124" s="91">
        <v>45917.845127314802</v>
      </c>
      <c r="BC124" s="90" t="s">
        <v>401</v>
      </c>
      <c r="BD124" s="90"/>
      <c r="BE124" s="90"/>
      <c r="BF124" s="90" t="s">
        <v>5231</v>
      </c>
    </row>
    <row r="125" spans="1:58" ht="24.75" customHeight="1">
      <c r="A125" s="90" t="s">
        <v>5221</v>
      </c>
      <c r="B125" s="90"/>
      <c r="C125" s="90"/>
      <c r="D125" s="91">
        <v>45917.846759259301</v>
      </c>
      <c r="E125" s="90" t="s">
        <v>5222</v>
      </c>
      <c r="F125" s="92"/>
      <c r="G125" s="90" t="s">
        <v>5413</v>
      </c>
      <c r="H125" s="90" t="s">
        <v>5380</v>
      </c>
      <c r="I125" s="90" t="s">
        <v>5381</v>
      </c>
      <c r="J125" s="90" t="s">
        <v>5351</v>
      </c>
      <c r="K125" s="93">
        <v>1.5</v>
      </c>
      <c r="L125" s="93">
        <v>120</v>
      </c>
      <c r="M125" s="93">
        <v>180</v>
      </c>
      <c r="N125" s="93">
        <v>180</v>
      </c>
      <c r="O125" s="90" t="s">
        <v>5226</v>
      </c>
      <c r="P125" s="90"/>
      <c r="Q125" s="90" t="s">
        <v>5227</v>
      </c>
      <c r="R125" s="90"/>
      <c r="S125" s="90"/>
      <c r="T125" s="90"/>
      <c r="U125" s="90"/>
      <c r="V125" s="90"/>
      <c r="W125" s="90" t="s">
        <v>5271</v>
      </c>
      <c r="X125" s="90" t="s">
        <v>162</v>
      </c>
      <c r="Y125" s="90" t="s">
        <v>408</v>
      </c>
      <c r="Z125" s="90"/>
      <c r="AA125" s="93">
        <v>159.29203539823001</v>
      </c>
      <c r="AB125" s="93">
        <v>159.29203539823001</v>
      </c>
      <c r="AC125" s="93">
        <v>13</v>
      </c>
      <c r="AD125" s="93">
        <v>20.707964601769898</v>
      </c>
      <c r="AE125" s="90"/>
      <c r="AF125" s="90"/>
      <c r="AG125" s="90"/>
      <c r="AH125" s="90"/>
      <c r="AI125" s="93">
        <v>0</v>
      </c>
      <c r="AJ125" s="93">
        <v>120</v>
      </c>
      <c r="AK125" s="93">
        <v>13</v>
      </c>
      <c r="AL125" s="93">
        <v>159.292035</v>
      </c>
      <c r="AM125" s="93">
        <v>20.707965000000002</v>
      </c>
      <c r="AN125" s="93">
        <v>180</v>
      </c>
      <c r="AO125" s="93">
        <v>3.98230099563079E-7</v>
      </c>
      <c r="AP125" s="90" t="s">
        <v>5271</v>
      </c>
      <c r="AQ125" s="90" t="s">
        <v>5239</v>
      </c>
      <c r="AR125" s="90"/>
      <c r="AS125" s="90"/>
      <c r="AT125" s="90"/>
      <c r="AU125" s="90"/>
      <c r="AV125" s="90"/>
      <c r="AW125" s="90"/>
      <c r="AX125" s="90"/>
      <c r="AY125" s="90" t="s">
        <v>5230</v>
      </c>
      <c r="AZ125" s="90"/>
      <c r="BA125" s="90" t="s">
        <v>408</v>
      </c>
      <c r="BB125" s="91">
        <v>45917.8464930556</v>
      </c>
      <c r="BC125" s="90" t="s">
        <v>401</v>
      </c>
      <c r="BD125" s="90"/>
      <c r="BE125" s="90"/>
      <c r="BF125" s="90" t="s">
        <v>5231</v>
      </c>
    </row>
    <row r="126" spans="1:58" ht="24.75" customHeight="1">
      <c r="A126" s="90" t="s">
        <v>5221</v>
      </c>
      <c r="B126" s="90"/>
      <c r="C126" s="90"/>
      <c r="D126" s="91">
        <v>45917.846759259301</v>
      </c>
      <c r="E126" s="90" t="s">
        <v>5222</v>
      </c>
      <c r="F126" s="92"/>
      <c r="G126" s="90" t="s">
        <v>5413</v>
      </c>
      <c r="H126" s="90" t="s">
        <v>5383</v>
      </c>
      <c r="I126" s="90" t="s">
        <v>5384</v>
      </c>
      <c r="J126" s="90" t="s">
        <v>5351</v>
      </c>
      <c r="K126" s="93">
        <v>1.4</v>
      </c>
      <c r="L126" s="93">
        <v>130</v>
      </c>
      <c r="M126" s="93">
        <v>182</v>
      </c>
      <c r="N126" s="93">
        <v>182</v>
      </c>
      <c r="O126" s="90" t="s">
        <v>5226</v>
      </c>
      <c r="P126" s="90"/>
      <c r="Q126" s="90" t="s">
        <v>5227</v>
      </c>
      <c r="R126" s="90"/>
      <c r="S126" s="90"/>
      <c r="T126" s="90"/>
      <c r="U126" s="90"/>
      <c r="V126" s="90" t="s">
        <v>5385</v>
      </c>
      <c r="W126" s="90" t="s">
        <v>5271</v>
      </c>
      <c r="X126" s="90" t="s">
        <v>162</v>
      </c>
      <c r="Y126" s="90" t="s">
        <v>408</v>
      </c>
      <c r="Z126" s="90"/>
      <c r="AA126" s="93">
        <v>161.061946902655</v>
      </c>
      <c r="AB126" s="93">
        <v>161.061946902655</v>
      </c>
      <c r="AC126" s="93">
        <v>13</v>
      </c>
      <c r="AD126" s="93">
        <v>20.938053097345101</v>
      </c>
      <c r="AE126" s="90"/>
      <c r="AF126" s="90"/>
      <c r="AG126" s="90"/>
      <c r="AH126" s="90"/>
      <c r="AI126" s="93">
        <v>0</v>
      </c>
      <c r="AJ126" s="93">
        <v>130</v>
      </c>
      <c r="AK126" s="93">
        <v>13</v>
      </c>
      <c r="AL126" s="93">
        <v>161.06194719999999</v>
      </c>
      <c r="AM126" s="93">
        <v>20.938052800000001</v>
      </c>
      <c r="AN126" s="93">
        <v>182</v>
      </c>
      <c r="AO126" s="93">
        <v>-2.9734511031165301E-7</v>
      </c>
      <c r="AP126" s="90" t="s">
        <v>5271</v>
      </c>
      <c r="AQ126" s="90" t="s">
        <v>5229</v>
      </c>
      <c r="AR126" s="90"/>
      <c r="AS126" s="90"/>
      <c r="AT126" s="90"/>
      <c r="AU126" s="90"/>
      <c r="AV126" s="90"/>
      <c r="AW126" s="90"/>
      <c r="AX126" s="90"/>
      <c r="AY126" s="90" t="s">
        <v>5230</v>
      </c>
      <c r="AZ126" s="90"/>
      <c r="BA126" s="90" t="s">
        <v>408</v>
      </c>
      <c r="BB126" s="91">
        <v>45917.8464930556</v>
      </c>
      <c r="BC126" s="90" t="s">
        <v>401</v>
      </c>
      <c r="BD126" s="90"/>
      <c r="BE126" s="90"/>
      <c r="BF126" s="90" t="s">
        <v>5231</v>
      </c>
    </row>
    <row r="127" spans="1:58" ht="24.75" customHeight="1">
      <c r="A127" s="90" t="s">
        <v>5221</v>
      </c>
      <c r="B127" s="90"/>
      <c r="C127" s="90"/>
      <c r="D127" s="91">
        <v>45917.847766203697</v>
      </c>
      <c r="E127" s="90" t="s">
        <v>5222</v>
      </c>
      <c r="F127" s="92"/>
      <c r="G127" s="90" t="s">
        <v>5414</v>
      </c>
      <c r="H127" s="90" t="s">
        <v>5380</v>
      </c>
      <c r="I127" s="90" t="s">
        <v>5381</v>
      </c>
      <c r="J127" s="90" t="s">
        <v>5351</v>
      </c>
      <c r="K127" s="93">
        <v>3</v>
      </c>
      <c r="L127" s="93">
        <v>120</v>
      </c>
      <c r="M127" s="93">
        <v>360</v>
      </c>
      <c r="N127" s="93">
        <v>360</v>
      </c>
      <c r="O127" s="90" t="s">
        <v>5226</v>
      </c>
      <c r="P127" s="90"/>
      <c r="Q127" s="90" t="s">
        <v>5227</v>
      </c>
      <c r="R127" s="90"/>
      <c r="S127" s="90"/>
      <c r="T127" s="90"/>
      <c r="U127" s="90"/>
      <c r="V127" s="90"/>
      <c r="W127" s="90" t="s">
        <v>5271</v>
      </c>
      <c r="X127" s="90" t="s">
        <v>162</v>
      </c>
      <c r="Y127" s="90" t="s">
        <v>408</v>
      </c>
      <c r="Z127" s="90"/>
      <c r="AA127" s="93">
        <v>318.58407079646003</v>
      </c>
      <c r="AB127" s="93">
        <v>318.58407079646003</v>
      </c>
      <c r="AC127" s="93">
        <v>13</v>
      </c>
      <c r="AD127" s="93">
        <v>41.415929203539797</v>
      </c>
      <c r="AE127" s="90"/>
      <c r="AF127" s="90"/>
      <c r="AG127" s="90"/>
      <c r="AH127" s="90"/>
      <c r="AI127" s="93">
        <v>0</v>
      </c>
      <c r="AJ127" s="93">
        <v>120</v>
      </c>
      <c r="AK127" s="93">
        <v>13</v>
      </c>
      <c r="AL127" s="93">
        <v>318.58407</v>
      </c>
      <c r="AM127" s="93">
        <v>41.415930000000003</v>
      </c>
      <c r="AN127" s="93">
        <v>360</v>
      </c>
      <c r="AO127" s="93">
        <v>7.9646019912615905E-7</v>
      </c>
      <c r="AP127" s="90" t="s">
        <v>5271</v>
      </c>
      <c r="AQ127" s="90" t="s">
        <v>5239</v>
      </c>
      <c r="AR127" s="90"/>
      <c r="AS127" s="90"/>
      <c r="AT127" s="90"/>
      <c r="AU127" s="90"/>
      <c r="AV127" s="90"/>
      <c r="AW127" s="90"/>
      <c r="AX127" s="90"/>
      <c r="AY127" s="90" t="s">
        <v>5230</v>
      </c>
      <c r="AZ127" s="90"/>
      <c r="BA127" s="90" t="s">
        <v>408</v>
      </c>
      <c r="BB127" s="91">
        <v>45917.847557870402</v>
      </c>
      <c r="BC127" s="90" t="s">
        <v>401</v>
      </c>
      <c r="BD127" s="90"/>
      <c r="BE127" s="90"/>
      <c r="BF127" s="90" t="s">
        <v>5231</v>
      </c>
    </row>
    <row r="128" spans="1:58" ht="24.75" customHeight="1">
      <c r="A128" s="90" t="s">
        <v>5232</v>
      </c>
      <c r="B128" s="90"/>
      <c r="C128" s="90"/>
      <c r="D128" s="91">
        <v>45918.573495370401</v>
      </c>
      <c r="E128" s="90" t="s">
        <v>5222</v>
      </c>
      <c r="F128" s="92"/>
      <c r="G128" s="90" t="s">
        <v>5415</v>
      </c>
      <c r="H128" s="90" t="s">
        <v>5234</v>
      </c>
      <c r="I128" s="90" t="s">
        <v>5235</v>
      </c>
      <c r="J128" s="90"/>
      <c r="K128" s="93">
        <v>1</v>
      </c>
      <c r="L128" s="93">
        <v>36</v>
      </c>
      <c r="M128" s="93">
        <v>36</v>
      </c>
      <c r="N128" s="93">
        <v>36</v>
      </c>
      <c r="O128" s="90" t="s">
        <v>5226</v>
      </c>
      <c r="P128" s="90"/>
      <c r="Q128" s="90" t="s">
        <v>5227</v>
      </c>
      <c r="R128" s="90"/>
      <c r="S128" s="90"/>
      <c r="T128" s="90"/>
      <c r="U128" s="90"/>
      <c r="V128" s="90" t="s">
        <v>5236</v>
      </c>
      <c r="W128" s="90" t="s">
        <v>99</v>
      </c>
      <c r="X128" s="90" t="s">
        <v>5237</v>
      </c>
      <c r="Y128" s="90" t="s">
        <v>5238</v>
      </c>
      <c r="Z128" s="90"/>
      <c r="AA128" s="93">
        <v>31.858407079646</v>
      </c>
      <c r="AB128" s="93">
        <v>31.858407079646</v>
      </c>
      <c r="AC128" s="93">
        <v>13</v>
      </c>
      <c r="AD128" s="93">
        <v>4.1415929203539799</v>
      </c>
      <c r="AE128" s="90"/>
      <c r="AF128" s="90"/>
      <c r="AG128" s="90"/>
      <c r="AH128" s="90"/>
      <c r="AI128" s="93">
        <v>0</v>
      </c>
      <c r="AJ128" s="93">
        <v>36</v>
      </c>
      <c r="AK128" s="93">
        <v>13</v>
      </c>
      <c r="AL128" s="93">
        <v>31.858407</v>
      </c>
      <c r="AM128" s="93">
        <v>4.1415930000000003</v>
      </c>
      <c r="AN128" s="93">
        <v>36</v>
      </c>
      <c r="AO128" s="93">
        <v>7.9646021333701395E-8</v>
      </c>
      <c r="AP128" s="90" t="s">
        <v>99</v>
      </c>
      <c r="AQ128" s="90" t="s">
        <v>5239</v>
      </c>
      <c r="AR128" s="90"/>
      <c r="AS128" s="90"/>
      <c r="AT128" s="90"/>
      <c r="AU128" s="90"/>
      <c r="AV128" s="90"/>
      <c r="AW128" s="90"/>
      <c r="AX128" s="90"/>
      <c r="AY128" s="90" t="s">
        <v>5240</v>
      </c>
      <c r="AZ128" s="90"/>
      <c r="BA128" s="90" t="s">
        <v>5238</v>
      </c>
      <c r="BB128" s="91">
        <v>45900.642638888901</v>
      </c>
      <c r="BC128" s="90" t="s">
        <v>405</v>
      </c>
      <c r="BD128" s="90" t="s">
        <v>5406</v>
      </c>
      <c r="BE128" s="90"/>
      <c r="BF128" s="90" t="s">
        <v>5242</v>
      </c>
    </row>
    <row r="129" spans="1:58" ht="24.75" customHeight="1">
      <c r="A129" s="90" t="s">
        <v>5247</v>
      </c>
      <c r="B129" s="90"/>
      <c r="C129" s="90"/>
      <c r="D129" s="91">
        <v>45918.796701388899</v>
      </c>
      <c r="E129" s="90" t="s">
        <v>5222</v>
      </c>
      <c r="F129" s="92"/>
      <c r="G129" s="90" t="s">
        <v>5416</v>
      </c>
      <c r="H129" s="90" t="s">
        <v>5417</v>
      </c>
      <c r="I129" s="90" t="s">
        <v>5418</v>
      </c>
      <c r="J129" s="90" t="s">
        <v>5267</v>
      </c>
      <c r="K129" s="93">
        <v>1</v>
      </c>
      <c r="L129" s="93">
        <v>15</v>
      </c>
      <c r="M129" s="93">
        <v>15</v>
      </c>
      <c r="N129" s="93">
        <v>15</v>
      </c>
      <c r="O129" s="90" t="s">
        <v>5226</v>
      </c>
      <c r="P129" s="90"/>
      <c r="Q129" s="90" t="s">
        <v>5227</v>
      </c>
      <c r="R129" s="90"/>
      <c r="S129" s="90"/>
      <c r="T129" s="90"/>
      <c r="U129" s="90"/>
      <c r="V129" s="90"/>
      <c r="W129" s="90" t="s">
        <v>5271</v>
      </c>
      <c r="X129" s="90" t="s">
        <v>143</v>
      </c>
      <c r="Y129" s="90" t="s">
        <v>5253</v>
      </c>
      <c r="Z129" s="90"/>
      <c r="AA129" s="93">
        <v>13.2743362831858</v>
      </c>
      <c r="AB129" s="93">
        <v>13.2743362831858</v>
      </c>
      <c r="AC129" s="93">
        <v>13</v>
      </c>
      <c r="AD129" s="93">
        <v>1.72566371681416</v>
      </c>
      <c r="AE129" s="90"/>
      <c r="AF129" s="90"/>
      <c r="AG129" s="90"/>
      <c r="AH129" s="90"/>
      <c r="AI129" s="93">
        <v>0</v>
      </c>
      <c r="AJ129" s="93">
        <v>15</v>
      </c>
      <c r="AK129" s="93">
        <v>13</v>
      </c>
      <c r="AL129" s="93">
        <v>13.274336</v>
      </c>
      <c r="AM129" s="93">
        <v>1.7256640000000001</v>
      </c>
      <c r="AN129" s="93">
        <v>15</v>
      </c>
      <c r="AO129" s="93">
        <v>2.8318584277542398E-7</v>
      </c>
      <c r="AP129" s="90" t="s">
        <v>5271</v>
      </c>
      <c r="AQ129" s="90" t="s">
        <v>5239</v>
      </c>
      <c r="AR129" s="90"/>
      <c r="AS129" s="90"/>
      <c r="AT129" s="90"/>
      <c r="AU129" s="90"/>
      <c r="AV129" s="90"/>
      <c r="AW129" s="90"/>
      <c r="AX129" s="90"/>
      <c r="AY129" s="90" t="s">
        <v>5230</v>
      </c>
      <c r="AZ129" s="90"/>
      <c r="BA129" s="90" t="s">
        <v>5253</v>
      </c>
      <c r="BB129" s="91">
        <v>45918.781504629602</v>
      </c>
      <c r="BC129" s="90" t="s">
        <v>402</v>
      </c>
      <c r="BD129" s="90"/>
      <c r="BE129" s="90"/>
      <c r="BF129" s="90" t="s">
        <v>5254</v>
      </c>
    </row>
    <row r="130" spans="1:58" ht="24.75" customHeight="1">
      <c r="A130" s="90" t="s">
        <v>5232</v>
      </c>
      <c r="B130" s="90"/>
      <c r="C130" s="90"/>
      <c r="D130" s="91">
        <v>45919.666527777801</v>
      </c>
      <c r="E130" s="90" t="s">
        <v>5222</v>
      </c>
      <c r="F130" s="92"/>
      <c r="G130" s="90" t="s">
        <v>5419</v>
      </c>
      <c r="H130" s="90" t="s">
        <v>5234</v>
      </c>
      <c r="I130" s="90" t="s">
        <v>5235</v>
      </c>
      <c r="J130" s="90"/>
      <c r="K130" s="93">
        <v>2</v>
      </c>
      <c r="L130" s="93">
        <v>36</v>
      </c>
      <c r="M130" s="93">
        <v>72</v>
      </c>
      <c r="N130" s="93">
        <v>72</v>
      </c>
      <c r="O130" s="90" t="s">
        <v>5226</v>
      </c>
      <c r="P130" s="90"/>
      <c r="Q130" s="90" t="s">
        <v>5227</v>
      </c>
      <c r="R130" s="90"/>
      <c r="S130" s="90"/>
      <c r="T130" s="90"/>
      <c r="U130" s="90"/>
      <c r="V130" s="90" t="s">
        <v>5236</v>
      </c>
      <c r="W130" s="90" t="s">
        <v>99</v>
      </c>
      <c r="X130" s="90" t="s">
        <v>5237</v>
      </c>
      <c r="Y130" s="90" t="s">
        <v>5238</v>
      </c>
      <c r="Z130" s="90"/>
      <c r="AA130" s="93">
        <v>63.716814159291999</v>
      </c>
      <c r="AB130" s="93">
        <v>63.716814159291999</v>
      </c>
      <c r="AC130" s="93">
        <v>13</v>
      </c>
      <c r="AD130" s="93">
        <v>8.2831858407079597</v>
      </c>
      <c r="AE130" s="90"/>
      <c r="AF130" s="90"/>
      <c r="AG130" s="90"/>
      <c r="AH130" s="90"/>
      <c r="AI130" s="93">
        <v>0</v>
      </c>
      <c r="AJ130" s="93">
        <v>36</v>
      </c>
      <c r="AK130" s="93">
        <v>13</v>
      </c>
      <c r="AL130" s="93">
        <v>63.716813999999999</v>
      </c>
      <c r="AM130" s="93">
        <v>8.2831860000000006</v>
      </c>
      <c r="AN130" s="93">
        <v>72</v>
      </c>
      <c r="AO130" s="93">
        <v>1.59292042667403E-7</v>
      </c>
      <c r="AP130" s="90" t="s">
        <v>99</v>
      </c>
      <c r="AQ130" s="90" t="s">
        <v>5239</v>
      </c>
      <c r="AR130" s="90"/>
      <c r="AS130" s="90"/>
      <c r="AT130" s="90"/>
      <c r="AU130" s="90"/>
      <c r="AV130" s="90"/>
      <c r="AW130" s="90"/>
      <c r="AX130" s="90"/>
      <c r="AY130" s="90" t="s">
        <v>5240</v>
      </c>
      <c r="AZ130" s="90"/>
      <c r="BA130" s="90" t="s">
        <v>5238</v>
      </c>
      <c r="BB130" s="91">
        <v>45900.642638888901</v>
      </c>
      <c r="BC130" s="90" t="s">
        <v>405</v>
      </c>
      <c r="BD130" s="90" t="s">
        <v>5420</v>
      </c>
      <c r="BE130" s="90"/>
      <c r="BF130" s="90" t="s">
        <v>5242</v>
      </c>
    </row>
    <row r="131" spans="1:58" ht="24.75" customHeight="1">
      <c r="A131" s="90" t="s">
        <v>5232</v>
      </c>
      <c r="B131" s="90"/>
      <c r="C131" s="90"/>
      <c r="D131" s="91">
        <v>45919.666527777801</v>
      </c>
      <c r="E131" s="90" t="s">
        <v>5222</v>
      </c>
      <c r="F131" s="92"/>
      <c r="G131" s="90" t="s">
        <v>5419</v>
      </c>
      <c r="H131" s="90" t="s">
        <v>5243</v>
      </c>
      <c r="I131" s="90" t="s">
        <v>5244</v>
      </c>
      <c r="J131" s="90"/>
      <c r="K131" s="93">
        <v>2</v>
      </c>
      <c r="L131" s="93">
        <v>27.5</v>
      </c>
      <c r="M131" s="93">
        <v>55</v>
      </c>
      <c r="N131" s="93">
        <v>55</v>
      </c>
      <c r="O131" s="90" t="s">
        <v>5226</v>
      </c>
      <c r="P131" s="90"/>
      <c r="Q131" s="90" t="s">
        <v>5227</v>
      </c>
      <c r="R131" s="90"/>
      <c r="S131" s="90"/>
      <c r="T131" s="90"/>
      <c r="U131" s="90"/>
      <c r="V131" s="90" t="s">
        <v>5245</v>
      </c>
      <c r="W131" s="90" t="s">
        <v>99</v>
      </c>
      <c r="X131" s="90" t="s">
        <v>5237</v>
      </c>
      <c r="Y131" s="90" t="s">
        <v>5238</v>
      </c>
      <c r="Z131" s="90"/>
      <c r="AA131" s="93">
        <v>48.672566371681398</v>
      </c>
      <c r="AB131" s="93">
        <v>48.672566371681398</v>
      </c>
      <c r="AC131" s="93">
        <v>13</v>
      </c>
      <c r="AD131" s="93">
        <v>6.3274336283185804</v>
      </c>
      <c r="AE131" s="90"/>
      <c r="AF131" s="90"/>
      <c r="AG131" s="90"/>
      <c r="AH131" s="90"/>
      <c r="AI131" s="93">
        <v>0</v>
      </c>
      <c r="AJ131" s="93">
        <v>27.5</v>
      </c>
      <c r="AK131" s="93">
        <v>13</v>
      </c>
      <c r="AL131" s="93">
        <v>48.672566000000003</v>
      </c>
      <c r="AM131" s="93">
        <v>6.3274340000000002</v>
      </c>
      <c r="AN131" s="93">
        <v>55</v>
      </c>
      <c r="AO131" s="93">
        <v>3.7168141631127598E-7</v>
      </c>
      <c r="AP131" s="90" t="s">
        <v>99</v>
      </c>
      <c r="AQ131" s="90" t="s">
        <v>5246</v>
      </c>
      <c r="AR131" s="90"/>
      <c r="AS131" s="90"/>
      <c r="AT131" s="90"/>
      <c r="AU131" s="90"/>
      <c r="AV131" s="90"/>
      <c r="AW131" s="90"/>
      <c r="AX131" s="90"/>
      <c r="AY131" s="90" t="s">
        <v>5230</v>
      </c>
      <c r="AZ131" s="90"/>
      <c r="BA131" s="90" t="s">
        <v>5238</v>
      </c>
      <c r="BB131" s="91">
        <v>45904.495532407404</v>
      </c>
      <c r="BC131" s="90" t="s">
        <v>405</v>
      </c>
      <c r="BD131" s="90" t="s">
        <v>5420</v>
      </c>
      <c r="BE131" s="90"/>
      <c r="BF131" s="90" t="s">
        <v>5242</v>
      </c>
    </row>
    <row r="132" spans="1:58" ht="24.75" customHeight="1">
      <c r="A132" s="90" t="s">
        <v>5232</v>
      </c>
      <c r="B132" s="90"/>
      <c r="C132" s="90"/>
      <c r="D132" s="91">
        <v>45920.443796296298</v>
      </c>
      <c r="E132" s="90" t="s">
        <v>5222</v>
      </c>
      <c r="F132" s="92"/>
      <c r="G132" s="90" t="s">
        <v>5421</v>
      </c>
      <c r="H132" s="90" t="s">
        <v>5422</v>
      </c>
      <c r="I132" s="90" t="s">
        <v>5423</v>
      </c>
      <c r="J132" s="90"/>
      <c r="K132" s="93">
        <v>1</v>
      </c>
      <c r="L132" s="93">
        <v>137</v>
      </c>
      <c r="M132" s="93">
        <v>137</v>
      </c>
      <c r="N132" s="93">
        <v>137</v>
      </c>
      <c r="O132" s="90" t="s">
        <v>5226</v>
      </c>
      <c r="P132" s="90"/>
      <c r="Q132" s="90" t="s">
        <v>5227</v>
      </c>
      <c r="R132" s="90"/>
      <c r="S132" s="90"/>
      <c r="T132" s="90"/>
      <c r="U132" s="90"/>
      <c r="V132" s="90" t="s">
        <v>5424</v>
      </c>
      <c r="W132" s="90" t="s">
        <v>99</v>
      </c>
      <c r="X132" s="90" t="s">
        <v>5237</v>
      </c>
      <c r="Y132" s="90" t="s">
        <v>5238</v>
      </c>
      <c r="Z132" s="90"/>
      <c r="AA132" s="93">
        <v>121.238938053097</v>
      </c>
      <c r="AB132" s="93">
        <v>121.238938053097</v>
      </c>
      <c r="AC132" s="93">
        <v>13</v>
      </c>
      <c r="AD132" s="93">
        <v>15.761061946902601</v>
      </c>
      <c r="AE132" s="90"/>
      <c r="AF132" s="90"/>
      <c r="AG132" s="90"/>
      <c r="AH132" s="90"/>
      <c r="AI132" s="93">
        <v>0</v>
      </c>
      <c r="AJ132" s="93">
        <v>137</v>
      </c>
      <c r="AK132" s="93">
        <v>13</v>
      </c>
      <c r="AL132" s="93">
        <v>121.238938</v>
      </c>
      <c r="AM132" s="93">
        <v>15.761062000000001</v>
      </c>
      <c r="AN132" s="93">
        <v>137</v>
      </c>
      <c r="AO132" s="93">
        <v>5.3097352292752502E-8</v>
      </c>
      <c r="AP132" s="90" t="s">
        <v>99</v>
      </c>
      <c r="AQ132" s="90" t="s">
        <v>5425</v>
      </c>
      <c r="AR132" s="90"/>
      <c r="AS132" s="90"/>
      <c r="AT132" s="90"/>
      <c r="AU132" s="90"/>
      <c r="AV132" s="90"/>
      <c r="AW132" s="90"/>
      <c r="AX132" s="90"/>
      <c r="AY132" s="90" t="s">
        <v>5240</v>
      </c>
      <c r="AZ132" s="90"/>
      <c r="BA132" s="90" t="s">
        <v>5238</v>
      </c>
      <c r="BB132" s="91">
        <v>45889.468900462998</v>
      </c>
      <c r="BC132" s="90" t="s">
        <v>405</v>
      </c>
      <c r="BD132" s="90" t="s">
        <v>5426</v>
      </c>
      <c r="BE132" s="90"/>
      <c r="BF132" s="90" t="s">
        <v>5242</v>
      </c>
    </row>
    <row r="133" spans="1:58" ht="24.75" customHeight="1">
      <c r="A133" s="90" t="s">
        <v>5232</v>
      </c>
      <c r="B133" s="90"/>
      <c r="C133" s="90"/>
      <c r="D133" s="91">
        <v>45920.4441435185</v>
      </c>
      <c r="E133" s="90" t="s">
        <v>5222</v>
      </c>
      <c r="F133" s="92"/>
      <c r="G133" s="90" t="s">
        <v>5427</v>
      </c>
      <c r="H133" s="90" t="s">
        <v>5234</v>
      </c>
      <c r="I133" s="90" t="s">
        <v>5235</v>
      </c>
      <c r="J133" s="90"/>
      <c r="K133" s="93">
        <v>2</v>
      </c>
      <c r="L133" s="93">
        <v>36</v>
      </c>
      <c r="M133" s="93">
        <v>72</v>
      </c>
      <c r="N133" s="93">
        <v>72</v>
      </c>
      <c r="O133" s="90" t="s">
        <v>5226</v>
      </c>
      <c r="P133" s="90"/>
      <c r="Q133" s="90" t="s">
        <v>5227</v>
      </c>
      <c r="R133" s="90"/>
      <c r="S133" s="90"/>
      <c r="T133" s="90"/>
      <c r="U133" s="90"/>
      <c r="V133" s="90" t="s">
        <v>5236</v>
      </c>
      <c r="W133" s="90" t="s">
        <v>99</v>
      </c>
      <c r="X133" s="90" t="s">
        <v>5237</v>
      </c>
      <c r="Y133" s="90" t="s">
        <v>5238</v>
      </c>
      <c r="Z133" s="90"/>
      <c r="AA133" s="93">
        <v>63.716814159291999</v>
      </c>
      <c r="AB133" s="93">
        <v>63.716814159291999</v>
      </c>
      <c r="AC133" s="93">
        <v>13</v>
      </c>
      <c r="AD133" s="93">
        <v>8.2831858407079597</v>
      </c>
      <c r="AE133" s="90"/>
      <c r="AF133" s="90"/>
      <c r="AG133" s="90"/>
      <c r="AH133" s="90"/>
      <c r="AI133" s="93">
        <v>0</v>
      </c>
      <c r="AJ133" s="93">
        <v>36</v>
      </c>
      <c r="AK133" s="93">
        <v>13</v>
      </c>
      <c r="AL133" s="93">
        <v>63.716813999999999</v>
      </c>
      <c r="AM133" s="93">
        <v>8.2831860000000006</v>
      </c>
      <c r="AN133" s="93">
        <v>72</v>
      </c>
      <c r="AO133" s="93">
        <v>1.59292042667403E-7</v>
      </c>
      <c r="AP133" s="90" t="s">
        <v>99</v>
      </c>
      <c r="AQ133" s="90" t="s">
        <v>5239</v>
      </c>
      <c r="AR133" s="90"/>
      <c r="AS133" s="90"/>
      <c r="AT133" s="90"/>
      <c r="AU133" s="90"/>
      <c r="AV133" s="90"/>
      <c r="AW133" s="90"/>
      <c r="AX133" s="90"/>
      <c r="AY133" s="90" t="s">
        <v>5240</v>
      </c>
      <c r="AZ133" s="90"/>
      <c r="BA133" s="90" t="s">
        <v>5238</v>
      </c>
      <c r="BB133" s="91">
        <v>45900.642638888901</v>
      </c>
      <c r="BC133" s="90" t="s">
        <v>405</v>
      </c>
      <c r="BD133" s="90" t="s">
        <v>5428</v>
      </c>
      <c r="BE133" s="90"/>
      <c r="BF133" s="90" t="s">
        <v>5242</v>
      </c>
    </row>
    <row r="134" spans="1:58" ht="24.75" customHeight="1">
      <c r="A134" s="90" t="s">
        <v>5232</v>
      </c>
      <c r="B134" s="90"/>
      <c r="C134" s="90"/>
      <c r="D134" s="91">
        <v>45920.4441435185</v>
      </c>
      <c r="E134" s="90" t="s">
        <v>5222</v>
      </c>
      <c r="F134" s="92"/>
      <c r="G134" s="90" t="s">
        <v>5427</v>
      </c>
      <c r="H134" s="90" t="s">
        <v>5243</v>
      </c>
      <c r="I134" s="90" t="s">
        <v>5244</v>
      </c>
      <c r="J134" s="90"/>
      <c r="K134" s="93">
        <v>2</v>
      </c>
      <c r="L134" s="93">
        <v>27.5</v>
      </c>
      <c r="M134" s="93">
        <v>55</v>
      </c>
      <c r="N134" s="93">
        <v>55</v>
      </c>
      <c r="O134" s="90" t="s">
        <v>5226</v>
      </c>
      <c r="P134" s="90"/>
      <c r="Q134" s="90" t="s">
        <v>5227</v>
      </c>
      <c r="R134" s="90"/>
      <c r="S134" s="90"/>
      <c r="T134" s="90"/>
      <c r="U134" s="90"/>
      <c r="V134" s="90" t="s">
        <v>5245</v>
      </c>
      <c r="W134" s="90" t="s">
        <v>99</v>
      </c>
      <c r="X134" s="90" t="s">
        <v>5237</v>
      </c>
      <c r="Y134" s="90" t="s">
        <v>5238</v>
      </c>
      <c r="Z134" s="90"/>
      <c r="AA134" s="93">
        <v>48.672566371681398</v>
      </c>
      <c r="AB134" s="93">
        <v>48.672566371681398</v>
      </c>
      <c r="AC134" s="93">
        <v>13</v>
      </c>
      <c r="AD134" s="93">
        <v>6.3274336283185804</v>
      </c>
      <c r="AE134" s="90"/>
      <c r="AF134" s="90"/>
      <c r="AG134" s="90"/>
      <c r="AH134" s="90"/>
      <c r="AI134" s="93">
        <v>0</v>
      </c>
      <c r="AJ134" s="93">
        <v>27.5</v>
      </c>
      <c r="AK134" s="93">
        <v>13</v>
      </c>
      <c r="AL134" s="93">
        <v>48.672566000000003</v>
      </c>
      <c r="AM134" s="93">
        <v>6.3274340000000002</v>
      </c>
      <c r="AN134" s="93">
        <v>55</v>
      </c>
      <c r="AO134" s="93">
        <v>3.7168141631127598E-7</v>
      </c>
      <c r="AP134" s="90" t="s">
        <v>99</v>
      </c>
      <c r="AQ134" s="90" t="s">
        <v>5246</v>
      </c>
      <c r="AR134" s="90"/>
      <c r="AS134" s="90"/>
      <c r="AT134" s="90"/>
      <c r="AU134" s="90"/>
      <c r="AV134" s="90"/>
      <c r="AW134" s="90"/>
      <c r="AX134" s="90"/>
      <c r="AY134" s="90" t="s">
        <v>5230</v>
      </c>
      <c r="AZ134" s="90"/>
      <c r="BA134" s="90" t="s">
        <v>5238</v>
      </c>
      <c r="BB134" s="91">
        <v>45904.495532407404</v>
      </c>
      <c r="BC134" s="90" t="s">
        <v>405</v>
      </c>
      <c r="BD134" s="90" t="s">
        <v>5428</v>
      </c>
      <c r="BE134" s="90"/>
      <c r="BF134" s="90" t="s">
        <v>5242</v>
      </c>
    </row>
    <row r="135" spans="1:58" ht="24.75" customHeight="1">
      <c r="A135" s="90" t="s">
        <v>5232</v>
      </c>
      <c r="B135" s="90"/>
      <c r="C135" s="90"/>
      <c r="D135" s="91">
        <v>45920.444560185198</v>
      </c>
      <c r="E135" s="90" t="s">
        <v>5222</v>
      </c>
      <c r="F135" s="92"/>
      <c r="G135" s="90" t="s">
        <v>5429</v>
      </c>
      <c r="H135" s="90" t="s">
        <v>5234</v>
      </c>
      <c r="I135" s="90" t="s">
        <v>5235</v>
      </c>
      <c r="J135" s="90"/>
      <c r="K135" s="93">
        <v>1</v>
      </c>
      <c r="L135" s="93">
        <v>36</v>
      </c>
      <c r="M135" s="93">
        <v>36</v>
      </c>
      <c r="N135" s="93">
        <v>36</v>
      </c>
      <c r="O135" s="90" t="s">
        <v>5226</v>
      </c>
      <c r="P135" s="90"/>
      <c r="Q135" s="90" t="s">
        <v>5227</v>
      </c>
      <c r="R135" s="90"/>
      <c r="S135" s="90"/>
      <c r="T135" s="90"/>
      <c r="U135" s="90"/>
      <c r="V135" s="90" t="s">
        <v>5236</v>
      </c>
      <c r="W135" s="90" t="s">
        <v>99</v>
      </c>
      <c r="X135" s="90" t="s">
        <v>5237</v>
      </c>
      <c r="Y135" s="90" t="s">
        <v>5238</v>
      </c>
      <c r="Z135" s="90"/>
      <c r="AA135" s="93">
        <v>31.858407079646</v>
      </c>
      <c r="AB135" s="93">
        <v>31.858407079646</v>
      </c>
      <c r="AC135" s="93">
        <v>13</v>
      </c>
      <c r="AD135" s="93">
        <v>4.1415929203539799</v>
      </c>
      <c r="AE135" s="90"/>
      <c r="AF135" s="90"/>
      <c r="AG135" s="90"/>
      <c r="AH135" s="90"/>
      <c r="AI135" s="93">
        <v>0</v>
      </c>
      <c r="AJ135" s="93">
        <v>36</v>
      </c>
      <c r="AK135" s="93">
        <v>13</v>
      </c>
      <c r="AL135" s="93">
        <v>31.858407</v>
      </c>
      <c r="AM135" s="93">
        <v>4.1415930000000003</v>
      </c>
      <c r="AN135" s="93">
        <v>36</v>
      </c>
      <c r="AO135" s="93">
        <v>7.9646021333701395E-8</v>
      </c>
      <c r="AP135" s="90" t="s">
        <v>99</v>
      </c>
      <c r="AQ135" s="90" t="s">
        <v>5239</v>
      </c>
      <c r="AR135" s="90"/>
      <c r="AS135" s="90"/>
      <c r="AT135" s="90"/>
      <c r="AU135" s="90"/>
      <c r="AV135" s="90"/>
      <c r="AW135" s="90"/>
      <c r="AX135" s="90"/>
      <c r="AY135" s="90" t="s">
        <v>5240</v>
      </c>
      <c r="AZ135" s="90"/>
      <c r="BA135" s="90" t="s">
        <v>5238</v>
      </c>
      <c r="BB135" s="91">
        <v>45900.642638888901</v>
      </c>
      <c r="BC135" s="90" t="s">
        <v>405</v>
      </c>
      <c r="BD135" s="90" t="s">
        <v>5406</v>
      </c>
      <c r="BE135" s="90"/>
      <c r="BF135" s="90" t="s">
        <v>5242</v>
      </c>
    </row>
    <row r="136" spans="1:58" ht="24.75" customHeight="1">
      <c r="A136" s="90" t="s">
        <v>5232</v>
      </c>
      <c r="B136" s="90"/>
      <c r="C136" s="90"/>
      <c r="D136" s="91">
        <v>45920.445104166698</v>
      </c>
      <c r="E136" s="90" t="s">
        <v>5222</v>
      </c>
      <c r="F136" s="92"/>
      <c r="G136" s="90" t="s">
        <v>5430</v>
      </c>
      <c r="H136" s="90" t="s">
        <v>5234</v>
      </c>
      <c r="I136" s="90" t="s">
        <v>5235</v>
      </c>
      <c r="J136" s="90"/>
      <c r="K136" s="93">
        <v>1</v>
      </c>
      <c r="L136" s="93">
        <v>36</v>
      </c>
      <c r="M136" s="93">
        <v>36</v>
      </c>
      <c r="N136" s="93">
        <v>36</v>
      </c>
      <c r="O136" s="90" t="s">
        <v>5226</v>
      </c>
      <c r="P136" s="90"/>
      <c r="Q136" s="90" t="s">
        <v>5227</v>
      </c>
      <c r="R136" s="90"/>
      <c r="S136" s="90"/>
      <c r="T136" s="90"/>
      <c r="U136" s="90"/>
      <c r="V136" s="90" t="s">
        <v>5236</v>
      </c>
      <c r="W136" s="90" t="s">
        <v>99</v>
      </c>
      <c r="X136" s="90" t="s">
        <v>5237</v>
      </c>
      <c r="Y136" s="90" t="s">
        <v>5238</v>
      </c>
      <c r="Z136" s="90"/>
      <c r="AA136" s="93">
        <v>31.858407079646</v>
      </c>
      <c r="AB136" s="93">
        <v>31.858407079646</v>
      </c>
      <c r="AC136" s="93">
        <v>13</v>
      </c>
      <c r="AD136" s="93">
        <v>4.1415929203539799</v>
      </c>
      <c r="AE136" s="90"/>
      <c r="AF136" s="90"/>
      <c r="AG136" s="90"/>
      <c r="AH136" s="90"/>
      <c r="AI136" s="93">
        <v>0</v>
      </c>
      <c r="AJ136" s="93">
        <v>36</v>
      </c>
      <c r="AK136" s="93">
        <v>13</v>
      </c>
      <c r="AL136" s="93">
        <v>31.858407</v>
      </c>
      <c r="AM136" s="93">
        <v>4.1415930000000003</v>
      </c>
      <c r="AN136" s="93">
        <v>36</v>
      </c>
      <c r="AO136" s="93">
        <v>7.9646021333701395E-8</v>
      </c>
      <c r="AP136" s="90" t="s">
        <v>99</v>
      </c>
      <c r="AQ136" s="90" t="s">
        <v>5239</v>
      </c>
      <c r="AR136" s="90"/>
      <c r="AS136" s="90"/>
      <c r="AT136" s="90"/>
      <c r="AU136" s="90"/>
      <c r="AV136" s="90"/>
      <c r="AW136" s="90"/>
      <c r="AX136" s="90"/>
      <c r="AY136" s="90" t="s">
        <v>5240</v>
      </c>
      <c r="AZ136" s="90"/>
      <c r="BA136" s="90" t="s">
        <v>5238</v>
      </c>
      <c r="BB136" s="91">
        <v>45900.642638888901</v>
      </c>
      <c r="BC136" s="90" t="s">
        <v>405</v>
      </c>
      <c r="BD136" s="90" t="s">
        <v>5431</v>
      </c>
      <c r="BE136" s="90"/>
      <c r="BF136" s="90" t="s">
        <v>5242</v>
      </c>
    </row>
    <row r="137" spans="1:58" ht="24.75" customHeight="1">
      <c r="A137" s="90" t="s">
        <v>5232</v>
      </c>
      <c r="B137" s="90"/>
      <c r="C137" s="90"/>
      <c r="D137" s="91">
        <v>45920.620138888902</v>
      </c>
      <c r="E137" s="90" t="s">
        <v>5222</v>
      </c>
      <c r="F137" s="92"/>
      <c r="G137" s="90" t="s">
        <v>5432</v>
      </c>
      <c r="H137" s="90" t="s">
        <v>5243</v>
      </c>
      <c r="I137" s="90" t="s">
        <v>5244</v>
      </c>
      <c r="J137" s="90"/>
      <c r="K137" s="93">
        <v>2</v>
      </c>
      <c r="L137" s="93">
        <v>27.5</v>
      </c>
      <c r="M137" s="93">
        <v>55</v>
      </c>
      <c r="N137" s="93">
        <v>55</v>
      </c>
      <c r="O137" s="90" t="s">
        <v>5226</v>
      </c>
      <c r="P137" s="90"/>
      <c r="Q137" s="90" t="s">
        <v>5227</v>
      </c>
      <c r="R137" s="90"/>
      <c r="S137" s="90"/>
      <c r="T137" s="90"/>
      <c r="U137" s="90"/>
      <c r="V137" s="90" t="s">
        <v>5245</v>
      </c>
      <c r="W137" s="90" t="s">
        <v>99</v>
      </c>
      <c r="X137" s="90" t="s">
        <v>5237</v>
      </c>
      <c r="Y137" s="90" t="s">
        <v>5238</v>
      </c>
      <c r="Z137" s="90"/>
      <c r="AA137" s="93">
        <v>48.672566371681398</v>
      </c>
      <c r="AB137" s="93">
        <v>48.672566371681398</v>
      </c>
      <c r="AC137" s="93">
        <v>13</v>
      </c>
      <c r="AD137" s="93">
        <v>6.3274336283185804</v>
      </c>
      <c r="AE137" s="90"/>
      <c r="AF137" s="90"/>
      <c r="AG137" s="90"/>
      <c r="AH137" s="90"/>
      <c r="AI137" s="93">
        <v>0</v>
      </c>
      <c r="AJ137" s="93">
        <v>27.5</v>
      </c>
      <c r="AK137" s="93">
        <v>13</v>
      </c>
      <c r="AL137" s="93">
        <v>48.672566000000003</v>
      </c>
      <c r="AM137" s="93">
        <v>6.3274340000000002</v>
      </c>
      <c r="AN137" s="93">
        <v>55</v>
      </c>
      <c r="AO137" s="93">
        <v>3.7168141631127598E-7</v>
      </c>
      <c r="AP137" s="90" t="s">
        <v>99</v>
      </c>
      <c r="AQ137" s="90" t="s">
        <v>5246</v>
      </c>
      <c r="AR137" s="90"/>
      <c r="AS137" s="90"/>
      <c r="AT137" s="90"/>
      <c r="AU137" s="90"/>
      <c r="AV137" s="90"/>
      <c r="AW137" s="90"/>
      <c r="AX137" s="90"/>
      <c r="AY137" s="90" t="s">
        <v>5230</v>
      </c>
      <c r="AZ137" s="90"/>
      <c r="BA137" s="90" t="s">
        <v>5238</v>
      </c>
      <c r="BB137" s="91">
        <v>45904.495532407404</v>
      </c>
      <c r="BC137" s="90" t="s">
        <v>405</v>
      </c>
      <c r="BD137" s="90" t="s">
        <v>5433</v>
      </c>
      <c r="BE137" s="90"/>
      <c r="BF137" s="90" t="s">
        <v>5242</v>
      </c>
    </row>
    <row r="138" spans="1:58" ht="24.75" customHeight="1">
      <c r="A138" s="90" t="s">
        <v>5232</v>
      </c>
      <c r="B138" s="90"/>
      <c r="C138" s="90"/>
      <c r="D138" s="91">
        <v>45920.7834953704</v>
      </c>
      <c r="E138" s="90" t="s">
        <v>5222</v>
      </c>
      <c r="F138" s="92"/>
      <c r="G138" s="90" t="s">
        <v>5434</v>
      </c>
      <c r="H138" s="90" t="s">
        <v>5243</v>
      </c>
      <c r="I138" s="90" t="s">
        <v>5244</v>
      </c>
      <c r="J138" s="90"/>
      <c r="K138" s="93">
        <v>2</v>
      </c>
      <c r="L138" s="93">
        <v>27.5</v>
      </c>
      <c r="M138" s="93">
        <v>55</v>
      </c>
      <c r="N138" s="93">
        <v>55</v>
      </c>
      <c r="O138" s="90" t="s">
        <v>5226</v>
      </c>
      <c r="P138" s="90"/>
      <c r="Q138" s="90" t="s">
        <v>5227</v>
      </c>
      <c r="R138" s="90"/>
      <c r="S138" s="90"/>
      <c r="T138" s="90"/>
      <c r="U138" s="90"/>
      <c r="V138" s="90" t="s">
        <v>5245</v>
      </c>
      <c r="W138" s="90" t="s">
        <v>93</v>
      </c>
      <c r="X138" s="90" t="s">
        <v>5237</v>
      </c>
      <c r="Y138" s="90" t="s">
        <v>5238</v>
      </c>
      <c r="Z138" s="90"/>
      <c r="AA138" s="93">
        <v>48.672566371681398</v>
      </c>
      <c r="AB138" s="93">
        <v>48.672566371681398</v>
      </c>
      <c r="AC138" s="93">
        <v>13</v>
      </c>
      <c r="AD138" s="93">
        <v>6.3274336283185804</v>
      </c>
      <c r="AE138" s="90"/>
      <c r="AF138" s="90"/>
      <c r="AG138" s="90"/>
      <c r="AH138" s="90"/>
      <c r="AI138" s="93">
        <v>0</v>
      </c>
      <c r="AJ138" s="93">
        <v>27.5</v>
      </c>
      <c r="AK138" s="93">
        <v>13</v>
      </c>
      <c r="AL138" s="93">
        <v>48.672566000000003</v>
      </c>
      <c r="AM138" s="93">
        <v>6.3274340000000002</v>
      </c>
      <c r="AN138" s="93">
        <v>55</v>
      </c>
      <c r="AO138" s="93">
        <v>3.7168141631127598E-7</v>
      </c>
      <c r="AP138" s="90" t="s">
        <v>93</v>
      </c>
      <c r="AQ138" s="90" t="s">
        <v>5246</v>
      </c>
      <c r="AR138" s="90"/>
      <c r="AS138" s="90"/>
      <c r="AT138" s="90"/>
      <c r="AU138" s="90"/>
      <c r="AV138" s="90"/>
      <c r="AW138" s="90"/>
      <c r="AX138" s="90"/>
      <c r="AY138" s="90" t="s">
        <v>5230</v>
      </c>
      <c r="AZ138" s="90"/>
      <c r="BA138" s="90" t="s">
        <v>5238</v>
      </c>
      <c r="BB138" s="91">
        <v>45904.495532407404</v>
      </c>
      <c r="BC138" s="90" t="s">
        <v>405</v>
      </c>
      <c r="BD138" s="90" t="s">
        <v>5435</v>
      </c>
      <c r="BE138" s="90"/>
      <c r="BF138" s="90" t="s">
        <v>5242</v>
      </c>
    </row>
    <row r="139" spans="1:58" ht="24.75" customHeight="1">
      <c r="A139" s="90" t="s">
        <v>5232</v>
      </c>
      <c r="B139" s="90"/>
      <c r="C139" s="90"/>
      <c r="D139" s="91">
        <v>45922.663067129601</v>
      </c>
      <c r="E139" s="90" t="s">
        <v>5222</v>
      </c>
      <c r="F139" s="92"/>
      <c r="G139" s="90" t="s">
        <v>5436</v>
      </c>
      <c r="H139" s="90" t="s">
        <v>5243</v>
      </c>
      <c r="I139" s="90" t="s">
        <v>5244</v>
      </c>
      <c r="J139" s="90"/>
      <c r="K139" s="93">
        <v>2</v>
      </c>
      <c r="L139" s="93">
        <v>27.5</v>
      </c>
      <c r="M139" s="93">
        <v>55</v>
      </c>
      <c r="N139" s="93">
        <v>55</v>
      </c>
      <c r="O139" s="90" t="s">
        <v>5226</v>
      </c>
      <c r="P139" s="90"/>
      <c r="Q139" s="90" t="s">
        <v>5227</v>
      </c>
      <c r="R139" s="90"/>
      <c r="S139" s="90"/>
      <c r="T139" s="90"/>
      <c r="U139" s="90"/>
      <c r="V139" s="90" t="s">
        <v>5245</v>
      </c>
      <c r="W139" s="90" t="s">
        <v>99</v>
      </c>
      <c r="X139" s="90" t="s">
        <v>5237</v>
      </c>
      <c r="Y139" s="90" t="s">
        <v>5238</v>
      </c>
      <c r="Z139" s="90"/>
      <c r="AA139" s="93">
        <v>48.672566371681398</v>
      </c>
      <c r="AB139" s="93">
        <v>48.672566371681398</v>
      </c>
      <c r="AC139" s="93">
        <v>13</v>
      </c>
      <c r="AD139" s="93">
        <v>6.3274336283185804</v>
      </c>
      <c r="AE139" s="90"/>
      <c r="AF139" s="90"/>
      <c r="AG139" s="90"/>
      <c r="AH139" s="90"/>
      <c r="AI139" s="93">
        <v>0</v>
      </c>
      <c r="AJ139" s="93">
        <v>27.5</v>
      </c>
      <c r="AK139" s="93">
        <v>13</v>
      </c>
      <c r="AL139" s="93">
        <v>48.672566000000003</v>
      </c>
      <c r="AM139" s="93">
        <v>6.3274340000000002</v>
      </c>
      <c r="AN139" s="93">
        <v>55</v>
      </c>
      <c r="AO139" s="93">
        <v>3.7168141631127598E-7</v>
      </c>
      <c r="AP139" s="90" t="s">
        <v>99</v>
      </c>
      <c r="AQ139" s="90" t="s">
        <v>5246</v>
      </c>
      <c r="AR139" s="90"/>
      <c r="AS139" s="90"/>
      <c r="AT139" s="90"/>
      <c r="AU139" s="90"/>
      <c r="AV139" s="90"/>
      <c r="AW139" s="90"/>
      <c r="AX139" s="90"/>
      <c r="AY139" s="90" t="s">
        <v>5230</v>
      </c>
      <c r="AZ139" s="90"/>
      <c r="BA139" s="90" t="s">
        <v>5238</v>
      </c>
      <c r="BB139" s="91">
        <v>45904.495532407404</v>
      </c>
      <c r="BC139" s="90" t="s">
        <v>405</v>
      </c>
      <c r="BD139" s="90" t="s">
        <v>5437</v>
      </c>
      <c r="BE139" s="90"/>
      <c r="BF139" s="90" t="s">
        <v>5242</v>
      </c>
    </row>
    <row r="140" spans="1:58" ht="24.75" customHeight="1">
      <c r="A140" s="90" t="s">
        <v>5247</v>
      </c>
      <c r="B140" s="90"/>
      <c r="C140" s="90"/>
      <c r="D140" s="91">
        <v>45923.503923611097</v>
      </c>
      <c r="E140" s="90" t="s">
        <v>5222</v>
      </c>
      <c r="F140" s="92"/>
      <c r="G140" s="90" t="s">
        <v>5438</v>
      </c>
      <c r="H140" s="90" t="s">
        <v>5439</v>
      </c>
      <c r="I140" s="90" t="s">
        <v>5440</v>
      </c>
      <c r="J140" s="90"/>
      <c r="K140" s="93">
        <v>10</v>
      </c>
      <c r="L140" s="93">
        <v>68</v>
      </c>
      <c r="M140" s="93">
        <v>680</v>
      </c>
      <c r="N140" s="93">
        <v>680</v>
      </c>
      <c r="O140" s="90" t="s">
        <v>5226</v>
      </c>
      <c r="P140" s="90"/>
      <c r="Q140" s="90" t="s">
        <v>5227</v>
      </c>
      <c r="R140" s="90"/>
      <c r="S140" s="90"/>
      <c r="T140" s="90"/>
      <c r="U140" s="90"/>
      <c r="V140" s="90"/>
      <c r="W140" s="90" t="s">
        <v>94</v>
      </c>
      <c r="X140" s="90" t="s">
        <v>101</v>
      </c>
      <c r="Y140" s="90" t="s">
        <v>5268</v>
      </c>
      <c r="Z140" s="90"/>
      <c r="AA140" s="93">
        <v>601.76991150442495</v>
      </c>
      <c r="AB140" s="93">
        <v>601.76991150442495</v>
      </c>
      <c r="AC140" s="93">
        <v>13</v>
      </c>
      <c r="AD140" s="93">
        <v>78.230088495575203</v>
      </c>
      <c r="AE140" s="90"/>
      <c r="AF140" s="90"/>
      <c r="AG140" s="90"/>
      <c r="AH140" s="90"/>
      <c r="AI140" s="93">
        <v>0</v>
      </c>
      <c r="AJ140" s="93">
        <v>68</v>
      </c>
      <c r="AK140" s="93">
        <v>13</v>
      </c>
      <c r="AL140" s="93">
        <v>601.76990999999998</v>
      </c>
      <c r="AM140" s="93">
        <v>78.230090000000004</v>
      </c>
      <c r="AN140" s="93">
        <v>680</v>
      </c>
      <c r="AO140" s="93">
        <v>1.50442485846725E-6</v>
      </c>
      <c r="AP140" s="90" t="s">
        <v>94</v>
      </c>
      <c r="AQ140" s="90" t="s">
        <v>5239</v>
      </c>
      <c r="AR140" s="90"/>
      <c r="AS140" s="90"/>
      <c r="AT140" s="90"/>
      <c r="AU140" s="90"/>
      <c r="AV140" s="90"/>
      <c r="AW140" s="90"/>
      <c r="AX140" s="90"/>
      <c r="AY140" s="90" t="s">
        <v>5230</v>
      </c>
      <c r="AZ140" s="90"/>
      <c r="BA140" s="90" t="s">
        <v>5268</v>
      </c>
      <c r="BB140" s="91">
        <v>45923.503425925897</v>
      </c>
      <c r="BC140" s="90" t="s">
        <v>402</v>
      </c>
      <c r="BD140" s="90" t="s">
        <v>5441</v>
      </c>
      <c r="BE140" s="90"/>
      <c r="BF140" s="90" t="s">
        <v>5269</v>
      </c>
    </row>
    <row r="141" spans="1:58" ht="24.75" customHeight="1">
      <c r="A141" s="90" t="s">
        <v>5247</v>
      </c>
      <c r="B141" s="90"/>
      <c r="C141" s="90"/>
      <c r="D141" s="91">
        <v>45923.504201388903</v>
      </c>
      <c r="E141" s="90" t="s">
        <v>5222</v>
      </c>
      <c r="F141" s="92"/>
      <c r="G141" s="90" t="s">
        <v>5442</v>
      </c>
      <c r="H141" s="90" t="s">
        <v>5321</v>
      </c>
      <c r="I141" s="90" t="s">
        <v>5322</v>
      </c>
      <c r="J141" s="90" t="s">
        <v>5323</v>
      </c>
      <c r="K141" s="93">
        <v>10</v>
      </c>
      <c r="L141" s="93">
        <v>25</v>
      </c>
      <c r="M141" s="93">
        <v>250</v>
      </c>
      <c r="N141" s="93">
        <v>250</v>
      </c>
      <c r="O141" s="90" t="s">
        <v>5226</v>
      </c>
      <c r="P141" s="90"/>
      <c r="Q141" s="90" t="s">
        <v>5227</v>
      </c>
      <c r="R141" s="90"/>
      <c r="S141" s="90"/>
      <c r="T141" s="90"/>
      <c r="U141" s="90"/>
      <c r="V141" s="90" t="s">
        <v>5260</v>
      </c>
      <c r="W141" s="90" t="s">
        <v>94</v>
      </c>
      <c r="X141" s="90" t="s">
        <v>143</v>
      </c>
      <c r="Y141" s="90" t="s">
        <v>5253</v>
      </c>
      <c r="Z141" s="90"/>
      <c r="AA141" s="93">
        <v>221.238938053097</v>
      </c>
      <c r="AB141" s="93">
        <v>221.238938053097</v>
      </c>
      <c r="AC141" s="93">
        <v>13</v>
      </c>
      <c r="AD141" s="93">
        <v>28.761061946902601</v>
      </c>
      <c r="AE141" s="90"/>
      <c r="AF141" s="90"/>
      <c r="AG141" s="90"/>
      <c r="AH141" s="90"/>
      <c r="AI141" s="93">
        <v>0</v>
      </c>
      <c r="AJ141" s="93">
        <v>25</v>
      </c>
      <c r="AK141" s="93">
        <v>13</v>
      </c>
      <c r="AL141" s="93">
        <v>221.23894000000001</v>
      </c>
      <c r="AM141" s="93">
        <v>28.761060000000001</v>
      </c>
      <c r="AN141" s="93">
        <v>250</v>
      </c>
      <c r="AO141" s="93">
        <v>-1.94690264265773E-6</v>
      </c>
      <c r="AP141" s="90" t="s">
        <v>94</v>
      </c>
      <c r="AQ141" s="90" t="s">
        <v>5239</v>
      </c>
      <c r="AR141" s="90"/>
      <c r="AS141" s="90"/>
      <c r="AT141" s="90"/>
      <c r="AU141" s="90"/>
      <c r="AV141" s="90"/>
      <c r="AW141" s="90"/>
      <c r="AX141" s="90"/>
      <c r="AY141" s="90" t="s">
        <v>5230</v>
      </c>
      <c r="AZ141" s="90"/>
      <c r="BA141" s="90" t="s">
        <v>5253</v>
      </c>
      <c r="BB141" s="91">
        <v>45923.503125000003</v>
      </c>
      <c r="BC141" s="90" t="s">
        <v>402</v>
      </c>
      <c r="BD141" s="90"/>
      <c r="BE141" s="90"/>
      <c r="BF141" s="90" t="s">
        <v>5254</v>
      </c>
    </row>
    <row r="142" spans="1:58" ht="24.75" customHeight="1">
      <c r="A142" s="90" t="s">
        <v>5247</v>
      </c>
      <c r="B142" s="90"/>
      <c r="C142" s="90"/>
      <c r="D142" s="91">
        <v>45923.504201388903</v>
      </c>
      <c r="E142" s="90" t="s">
        <v>5222</v>
      </c>
      <c r="F142" s="92"/>
      <c r="G142" s="90" t="s">
        <v>5442</v>
      </c>
      <c r="H142" s="90" t="s">
        <v>5443</v>
      </c>
      <c r="I142" s="90" t="s">
        <v>5444</v>
      </c>
      <c r="J142" s="90"/>
      <c r="K142" s="93">
        <v>10</v>
      </c>
      <c r="L142" s="93">
        <v>2</v>
      </c>
      <c r="M142" s="93">
        <v>20</v>
      </c>
      <c r="N142" s="93">
        <v>20</v>
      </c>
      <c r="O142" s="90" t="s">
        <v>5226</v>
      </c>
      <c r="P142" s="90"/>
      <c r="Q142" s="90" t="s">
        <v>5227</v>
      </c>
      <c r="R142" s="90"/>
      <c r="S142" s="90"/>
      <c r="T142" s="90"/>
      <c r="U142" s="90"/>
      <c r="V142" s="90" t="s">
        <v>5260</v>
      </c>
      <c r="W142" s="90" t="s">
        <v>94</v>
      </c>
      <c r="X142" s="90" t="s">
        <v>143</v>
      </c>
      <c r="Y142" s="90" t="s">
        <v>5253</v>
      </c>
      <c r="Z142" s="90"/>
      <c r="AA142" s="93">
        <v>17.699115044247801</v>
      </c>
      <c r="AB142" s="93">
        <v>17.699115044247801</v>
      </c>
      <c r="AC142" s="93">
        <v>13</v>
      </c>
      <c r="AD142" s="93">
        <v>2.3008849557522102</v>
      </c>
      <c r="AE142" s="90"/>
      <c r="AF142" s="90"/>
      <c r="AG142" s="90"/>
      <c r="AH142" s="90"/>
      <c r="AI142" s="93">
        <v>0</v>
      </c>
      <c r="AJ142" s="93">
        <v>2</v>
      </c>
      <c r="AK142" s="93">
        <v>13</v>
      </c>
      <c r="AL142" s="93">
        <v>17.699120000000001</v>
      </c>
      <c r="AM142" s="93">
        <v>2.3008799999999998</v>
      </c>
      <c r="AN142" s="93">
        <v>20</v>
      </c>
      <c r="AO142" s="93">
        <v>-4.9557522103782503E-6</v>
      </c>
      <c r="AP142" s="90" t="s">
        <v>94</v>
      </c>
      <c r="AQ142" s="90" t="s">
        <v>5239</v>
      </c>
      <c r="AR142" s="90"/>
      <c r="AS142" s="90"/>
      <c r="AT142" s="90"/>
      <c r="AU142" s="90"/>
      <c r="AV142" s="90"/>
      <c r="AW142" s="90"/>
      <c r="AX142" s="90"/>
      <c r="AY142" s="90" t="s">
        <v>5230</v>
      </c>
      <c r="AZ142" s="90"/>
      <c r="BA142" s="90" t="s">
        <v>5253</v>
      </c>
      <c r="BB142" s="91">
        <v>45923.503125000003</v>
      </c>
      <c r="BC142" s="90" t="s">
        <v>402</v>
      </c>
      <c r="BD142" s="90"/>
      <c r="BE142" s="90"/>
      <c r="BF142" s="90" t="s">
        <v>5254</v>
      </c>
    </row>
    <row r="143" spans="1:58" ht="24.75" customHeight="1">
      <c r="A143" s="90" t="s">
        <v>5221</v>
      </c>
      <c r="B143" s="90"/>
      <c r="C143" s="90"/>
      <c r="D143" s="91">
        <v>45923.824895833299</v>
      </c>
      <c r="E143" s="90" t="s">
        <v>5222</v>
      </c>
      <c r="F143" s="92"/>
      <c r="G143" s="90" t="s">
        <v>5445</v>
      </c>
      <c r="H143" s="90" t="s">
        <v>5344</v>
      </c>
      <c r="I143" s="90" t="s">
        <v>5345</v>
      </c>
      <c r="J143" s="90"/>
      <c r="K143" s="93">
        <v>96</v>
      </c>
      <c r="L143" s="93">
        <v>7</v>
      </c>
      <c r="M143" s="93">
        <v>672</v>
      </c>
      <c r="N143" s="93">
        <v>672</v>
      </c>
      <c r="O143" s="90" t="s">
        <v>5226</v>
      </c>
      <c r="P143" s="90"/>
      <c r="Q143" s="90" t="s">
        <v>5227</v>
      </c>
      <c r="R143" s="90"/>
      <c r="S143" s="90"/>
      <c r="T143" s="90"/>
      <c r="U143" s="90"/>
      <c r="V143" s="90" t="s">
        <v>5275</v>
      </c>
      <c r="W143" s="90" t="s">
        <v>5271</v>
      </c>
      <c r="X143" s="90" t="s">
        <v>162</v>
      </c>
      <c r="Y143" s="90" t="s">
        <v>408</v>
      </c>
      <c r="Z143" s="90"/>
      <c r="AA143" s="93">
        <v>594.69026548672605</v>
      </c>
      <c r="AB143" s="93">
        <v>594.69026548672605</v>
      </c>
      <c r="AC143" s="93">
        <v>13</v>
      </c>
      <c r="AD143" s="93">
        <v>77.309734513274293</v>
      </c>
      <c r="AE143" s="90"/>
      <c r="AF143" s="90"/>
      <c r="AG143" s="90"/>
      <c r="AH143" s="90"/>
      <c r="AI143" s="93">
        <v>0</v>
      </c>
      <c r="AJ143" s="93">
        <v>7</v>
      </c>
      <c r="AK143" s="93">
        <v>13</v>
      </c>
      <c r="AL143" s="93">
        <v>594.69024000000002</v>
      </c>
      <c r="AM143" s="93">
        <v>77.309759999999997</v>
      </c>
      <c r="AN143" s="93">
        <v>672</v>
      </c>
      <c r="AO143" s="93">
        <v>2.5486725803602901E-5</v>
      </c>
      <c r="AP143" s="90" t="s">
        <v>5271</v>
      </c>
      <c r="AQ143" s="90" t="s">
        <v>5229</v>
      </c>
      <c r="AR143" s="90"/>
      <c r="AS143" s="90"/>
      <c r="AT143" s="90"/>
      <c r="AU143" s="90"/>
      <c r="AV143" s="90"/>
      <c r="AW143" s="90"/>
      <c r="AX143" s="90"/>
      <c r="AY143" s="90" t="s">
        <v>5230</v>
      </c>
      <c r="AZ143" s="90"/>
      <c r="BA143" s="90" t="s">
        <v>408</v>
      </c>
      <c r="BB143" s="91">
        <v>45896.752638888902</v>
      </c>
      <c r="BC143" s="90" t="s">
        <v>405</v>
      </c>
      <c r="BD143" s="90"/>
      <c r="BE143" s="90"/>
      <c r="BF143" s="90" t="s">
        <v>5231</v>
      </c>
    </row>
    <row r="144" spans="1:58" ht="24.75" customHeight="1">
      <c r="A144" s="90" t="s">
        <v>5221</v>
      </c>
      <c r="B144" s="90"/>
      <c r="C144" s="90"/>
      <c r="D144" s="91">
        <v>45923.824895833299</v>
      </c>
      <c r="E144" s="90" t="s">
        <v>5222</v>
      </c>
      <c r="F144" s="92"/>
      <c r="G144" s="90" t="s">
        <v>5445</v>
      </c>
      <c r="H144" s="90" t="s">
        <v>5330</v>
      </c>
      <c r="I144" s="90" t="s">
        <v>5331</v>
      </c>
      <c r="J144" s="90"/>
      <c r="K144" s="93">
        <v>200</v>
      </c>
      <c r="L144" s="93">
        <v>1.5</v>
      </c>
      <c r="M144" s="93">
        <v>300</v>
      </c>
      <c r="N144" s="93">
        <v>300</v>
      </c>
      <c r="O144" s="90" t="s">
        <v>5226</v>
      </c>
      <c r="P144" s="90"/>
      <c r="Q144" s="90" t="s">
        <v>5227</v>
      </c>
      <c r="R144" s="90"/>
      <c r="S144" s="90"/>
      <c r="T144" s="90"/>
      <c r="U144" s="90"/>
      <c r="V144" s="90" t="s">
        <v>5275</v>
      </c>
      <c r="W144" s="90" t="s">
        <v>5271</v>
      </c>
      <c r="X144" s="90" t="s">
        <v>162</v>
      </c>
      <c r="Y144" s="90" t="s">
        <v>408</v>
      </c>
      <c r="Z144" s="90"/>
      <c r="AA144" s="93">
        <v>265.48672566371698</v>
      </c>
      <c r="AB144" s="93">
        <v>265.48672566371698</v>
      </c>
      <c r="AC144" s="93">
        <v>13</v>
      </c>
      <c r="AD144" s="93">
        <v>34.513274336283203</v>
      </c>
      <c r="AE144" s="90"/>
      <c r="AF144" s="90"/>
      <c r="AG144" s="90"/>
      <c r="AH144" s="90"/>
      <c r="AI144" s="93">
        <v>0</v>
      </c>
      <c r="AJ144" s="93">
        <v>1.5</v>
      </c>
      <c r="AK144" s="93">
        <v>13</v>
      </c>
      <c r="AL144" s="93">
        <v>265.48680000000002</v>
      </c>
      <c r="AM144" s="93">
        <v>34.513199999999998</v>
      </c>
      <c r="AN144" s="93">
        <v>300</v>
      </c>
      <c r="AO144" s="93">
        <v>-7.4336283205411706E-5</v>
      </c>
      <c r="AP144" s="90" t="s">
        <v>5271</v>
      </c>
      <c r="AQ144" s="90" t="s">
        <v>5229</v>
      </c>
      <c r="AR144" s="90"/>
      <c r="AS144" s="90"/>
      <c r="AT144" s="90"/>
      <c r="AU144" s="90"/>
      <c r="AV144" s="90"/>
      <c r="AW144" s="90"/>
      <c r="AX144" s="90"/>
      <c r="AY144" s="90" t="s">
        <v>5230</v>
      </c>
      <c r="AZ144" s="90"/>
      <c r="BA144" s="90" t="s">
        <v>408</v>
      </c>
      <c r="BB144" s="91">
        <v>45801.837048611102</v>
      </c>
      <c r="BC144" s="90" t="s">
        <v>405</v>
      </c>
      <c r="BD144" s="90"/>
      <c r="BE144" s="90"/>
      <c r="BF144" s="90" t="s">
        <v>5231</v>
      </c>
    </row>
    <row r="145" spans="1:58" ht="24.75" customHeight="1">
      <c r="A145" s="90" t="s">
        <v>5221</v>
      </c>
      <c r="B145" s="90"/>
      <c r="C145" s="90"/>
      <c r="D145" s="91">
        <v>45923.824895833299</v>
      </c>
      <c r="E145" s="90" t="s">
        <v>5222</v>
      </c>
      <c r="F145" s="92"/>
      <c r="G145" s="90" t="s">
        <v>5445</v>
      </c>
      <c r="H145" s="90" t="s">
        <v>5328</v>
      </c>
      <c r="I145" s="90" t="s">
        <v>5329</v>
      </c>
      <c r="J145" s="90"/>
      <c r="K145" s="93">
        <v>200</v>
      </c>
      <c r="L145" s="93">
        <v>1.5</v>
      </c>
      <c r="M145" s="93">
        <v>300</v>
      </c>
      <c r="N145" s="93">
        <v>300</v>
      </c>
      <c r="O145" s="90" t="s">
        <v>5226</v>
      </c>
      <c r="P145" s="90"/>
      <c r="Q145" s="90" t="s">
        <v>5227</v>
      </c>
      <c r="R145" s="90"/>
      <c r="S145" s="90"/>
      <c r="T145" s="90"/>
      <c r="U145" s="90"/>
      <c r="V145" s="90" t="s">
        <v>5275</v>
      </c>
      <c r="W145" s="90" t="s">
        <v>5271</v>
      </c>
      <c r="X145" s="90" t="s">
        <v>162</v>
      </c>
      <c r="Y145" s="90" t="s">
        <v>408</v>
      </c>
      <c r="Z145" s="90"/>
      <c r="AA145" s="93">
        <v>265.48672566371698</v>
      </c>
      <c r="AB145" s="93">
        <v>265.48672566371698</v>
      </c>
      <c r="AC145" s="93">
        <v>13</v>
      </c>
      <c r="AD145" s="93">
        <v>34.513274336283203</v>
      </c>
      <c r="AE145" s="90"/>
      <c r="AF145" s="90"/>
      <c r="AG145" s="90"/>
      <c r="AH145" s="90"/>
      <c r="AI145" s="93">
        <v>0</v>
      </c>
      <c r="AJ145" s="93">
        <v>1.5</v>
      </c>
      <c r="AK145" s="93">
        <v>13</v>
      </c>
      <c r="AL145" s="93">
        <v>265.48680000000002</v>
      </c>
      <c r="AM145" s="93">
        <v>34.513199999999998</v>
      </c>
      <c r="AN145" s="93">
        <v>300</v>
      </c>
      <c r="AO145" s="93">
        <v>-7.4336283205411706E-5</v>
      </c>
      <c r="AP145" s="90" t="s">
        <v>5271</v>
      </c>
      <c r="AQ145" s="90" t="s">
        <v>5229</v>
      </c>
      <c r="AR145" s="90"/>
      <c r="AS145" s="90"/>
      <c r="AT145" s="90"/>
      <c r="AU145" s="90"/>
      <c r="AV145" s="90"/>
      <c r="AW145" s="90"/>
      <c r="AX145" s="90"/>
      <c r="AY145" s="90" t="s">
        <v>5230</v>
      </c>
      <c r="AZ145" s="90"/>
      <c r="BA145" s="90" t="s">
        <v>408</v>
      </c>
      <c r="BB145" s="91">
        <v>45896.752638888902</v>
      </c>
      <c r="BC145" s="90" t="s">
        <v>405</v>
      </c>
      <c r="BD145" s="90"/>
      <c r="BE145" s="90"/>
      <c r="BF145" s="90" t="s">
        <v>5231</v>
      </c>
    </row>
    <row r="146" spans="1:58" ht="24.75" customHeight="1">
      <c r="A146" s="90" t="s">
        <v>5221</v>
      </c>
      <c r="B146" s="90"/>
      <c r="C146" s="90"/>
      <c r="D146" s="91">
        <v>45923.824895833299</v>
      </c>
      <c r="E146" s="90" t="s">
        <v>5222</v>
      </c>
      <c r="F146" s="92"/>
      <c r="G146" s="90" t="s">
        <v>5445</v>
      </c>
      <c r="H146" s="90" t="s">
        <v>5276</v>
      </c>
      <c r="I146" s="90" t="s">
        <v>5277</v>
      </c>
      <c r="J146" s="90"/>
      <c r="K146" s="93">
        <v>200</v>
      </c>
      <c r="L146" s="93">
        <v>1.5</v>
      </c>
      <c r="M146" s="93">
        <v>300</v>
      </c>
      <c r="N146" s="93">
        <v>300</v>
      </c>
      <c r="O146" s="90" t="s">
        <v>5226</v>
      </c>
      <c r="P146" s="90"/>
      <c r="Q146" s="90" t="s">
        <v>5227</v>
      </c>
      <c r="R146" s="90"/>
      <c r="S146" s="90"/>
      <c r="T146" s="90"/>
      <c r="U146" s="90"/>
      <c r="V146" s="90" t="s">
        <v>5275</v>
      </c>
      <c r="W146" s="90" t="s">
        <v>5271</v>
      </c>
      <c r="X146" s="90" t="s">
        <v>162</v>
      </c>
      <c r="Y146" s="90" t="s">
        <v>408</v>
      </c>
      <c r="Z146" s="90"/>
      <c r="AA146" s="93">
        <v>265.48672566371698</v>
      </c>
      <c r="AB146" s="93">
        <v>265.48672566371698</v>
      </c>
      <c r="AC146" s="93">
        <v>13</v>
      </c>
      <c r="AD146" s="93">
        <v>34.513274336283203</v>
      </c>
      <c r="AE146" s="90"/>
      <c r="AF146" s="90"/>
      <c r="AG146" s="90"/>
      <c r="AH146" s="90"/>
      <c r="AI146" s="93">
        <v>0</v>
      </c>
      <c r="AJ146" s="93">
        <v>1.5</v>
      </c>
      <c r="AK146" s="93">
        <v>13</v>
      </c>
      <c r="AL146" s="93">
        <v>265.48680000000002</v>
      </c>
      <c r="AM146" s="93">
        <v>34.513199999999998</v>
      </c>
      <c r="AN146" s="93">
        <v>300</v>
      </c>
      <c r="AO146" s="93">
        <v>-7.4336283205411706E-5</v>
      </c>
      <c r="AP146" s="90" t="s">
        <v>5271</v>
      </c>
      <c r="AQ146" s="90" t="s">
        <v>5229</v>
      </c>
      <c r="AR146" s="90"/>
      <c r="AS146" s="90"/>
      <c r="AT146" s="90"/>
      <c r="AU146" s="90"/>
      <c r="AV146" s="90"/>
      <c r="AW146" s="90"/>
      <c r="AX146" s="90"/>
      <c r="AY146" s="90" t="s">
        <v>5230</v>
      </c>
      <c r="AZ146" s="90"/>
      <c r="BA146" s="90" t="s">
        <v>408</v>
      </c>
      <c r="BB146" s="91">
        <v>45896.752638888902</v>
      </c>
      <c r="BC146" s="90" t="s">
        <v>405</v>
      </c>
      <c r="BD146" s="90"/>
      <c r="BE146" s="90"/>
      <c r="BF146" s="90" t="s">
        <v>5231</v>
      </c>
    </row>
    <row r="147" spans="1:58" ht="24.75" customHeight="1">
      <c r="A147" s="90" t="s">
        <v>5232</v>
      </c>
      <c r="B147" s="90"/>
      <c r="C147" s="90"/>
      <c r="D147" s="91">
        <v>45923.613275463002</v>
      </c>
      <c r="E147" s="90" t="s">
        <v>5222</v>
      </c>
      <c r="F147" s="92"/>
      <c r="G147" s="90" t="s">
        <v>5446</v>
      </c>
      <c r="H147" s="90" t="s">
        <v>5243</v>
      </c>
      <c r="I147" s="90" t="s">
        <v>5244</v>
      </c>
      <c r="J147" s="90"/>
      <c r="K147" s="93">
        <v>2</v>
      </c>
      <c r="L147" s="93">
        <v>27.5</v>
      </c>
      <c r="M147" s="93">
        <v>55</v>
      </c>
      <c r="N147" s="93">
        <v>55</v>
      </c>
      <c r="O147" s="90" t="s">
        <v>5226</v>
      </c>
      <c r="P147" s="90"/>
      <c r="Q147" s="90" t="s">
        <v>5227</v>
      </c>
      <c r="R147" s="90"/>
      <c r="S147" s="90"/>
      <c r="T147" s="90"/>
      <c r="U147" s="90"/>
      <c r="V147" s="90" t="s">
        <v>5245</v>
      </c>
      <c r="W147" s="90" t="s">
        <v>5271</v>
      </c>
      <c r="X147" s="90" t="s">
        <v>5237</v>
      </c>
      <c r="Y147" s="90" t="s">
        <v>5238</v>
      </c>
      <c r="Z147" s="90"/>
      <c r="AA147" s="93">
        <v>48.672566371681398</v>
      </c>
      <c r="AB147" s="93">
        <v>48.672566371681398</v>
      </c>
      <c r="AC147" s="93">
        <v>13</v>
      </c>
      <c r="AD147" s="93">
        <v>6.3274336283185804</v>
      </c>
      <c r="AE147" s="90"/>
      <c r="AF147" s="90"/>
      <c r="AG147" s="90"/>
      <c r="AH147" s="90"/>
      <c r="AI147" s="93">
        <v>0</v>
      </c>
      <c r="AJ147" s="93">
        <v>27.5</v>
      </c>
      <c r="AK147" s="93">
        <v>13</v>
      </c>
      <c r="AL147" s="93">
        <v>48.672566000000003</v>
      </c>
      <c r="AM147" s="93">
        <v>6.3274340000000002</v>
      </c>
      <c r="AN147" s="93">
        <v>55</v>
      </c>
      <c r="AO147" s="93">
        <v>3.7168141631127598E-7</v>
      </c>
      <c r="AP147" s="90" t="s">
        <v>5271</v>
      </c>
      <c r="AQ147" s="90" t="s">
        <v>5246</v>
      </c>
      <c r="AR147" s="90"/>
      <c r="AS147" s="90"/>
      <c r="AT147" s="90"/>
      <c r="AU147" s="90"/>
      <c r="AV147" s="90"/>
      <c r="AW147" s="90"/>
      <c r="AX147" s="90"/>
      <c r="AY147" s="90" t="s">
        <v>5230</v>
      </c>
      <c r="AZ147" s="90"/>
      <c r="BA147" s="90" t="s">
        <v>5238</v>
      </c>
      <c r="BB147" s="91">
        <v>45904.495532407404</v>
      </c>
      <c r="BC147" s="90" t="s">
        <v>405</v>
      </c>
      <c r="BD147" s="90" t="s">
        <v>5447</v>
      </c>
      <c r="BE147" s="90"/>
      <c r="BF147" s="90" t="s">
        <v>5242</v>
      </c>
    </row>
    <row r="148" spans="1:58" ht="24.75" customHeight="1">
      <c r="A148" s="90" t="s">
        <v>5221</v>
      </c>
      <c r="B148" s="90"/>
      <c r="C148" s="90"/>
      <c r="D148" s="91">
        <v>45923.824895833299</v>
      </c>
      <c r="E148" s="90" t="s">
        <v>5222</v>
      </c>
      <c r="F148" s="92"/>
      <c r="G148" s="90" t="s">
        <v>5445</v>
      </c>
      <c r="H148" s="90" t="s">
        <v>5303</v>
      </c>
      <c r="I148" s="90" t="s">
        <v>5304</v>
      </c>
      <c r="J148" s="90"/>
      <c r="K148" s="93">
        <v>16</v>
      </c>
      <c r="L148" s="93">
        <v>180</v>
      </c>
      <c r="M148" s="93">
        <v>2880</v>
      </c>
      <c r="N148" s="93">
        <v>2880</v>
      </c>
      <c r="O148" s="90" t="s">
        <v>5226</v>
      </c>
      <c r="P148" s="90"/>
      <c r="Q148" s="90" t="s">
        <v>5227</v>
      </c>
      <c r="R148" s="90"/>
      <c r="S148" s="90"/>
      <c r="T148" s="90"/>
      <c r="U148" s="90"/>
      <c r="V148" s="90" t="s">
        <v>5228</v>
      </c>
      <c r="W148" s="90" t="s">
        <v>5271</v>
      </c>
      <c r="X148" s="90" t="s">
        <v>162</v>
      </c>
      <c r="Y148" s="90" t="s">
        <v>408</v>
      </c>
      <c r="Z148" s="90"/>
      <c r="AA148" s="93">
        <v>2548.6725663716802</v>
      </c>
      <c r="AB148" s="93">
        <v>2548.6725663716802</v>
      </c>
      <c r="AC148" s="93">
        <v>13</v>
      </c>
      <c r="AD148" s="93">
        <v>331.32743362831798</v>
      </c>
      <c r="AE148" s="90"/>
      <c r="AF148" s="90"/>
      <c r="AG148" s="90"/>
      <c r="AH148" s="90"/>
      <c r="AI148" s="93">
        <v>0</v>
      </c>
      <c r="AJ148" s="93">
        <v>180</v>
      </c>
      <c r="AK148" s="93">
        <v>13</v>
      </c>
      <c r="AL148" s="93">
        <v>2548.67256</v>
      </c>
      <c r="AM148" s="93">
        <v>331.32744000000002</v>
      </c>
      <c r="AN148" s="93">
        <v>2880</v>
      </c>
      <c r="AO148" s="93">
        <v>6.3716815930092699E-6</v>
      </c>
      <c r="AP148" s="90" t="s">
        <v>5271</v>
      </c>
      <c r="AQ148" s="90" t="s">
        <v>5229</v>
      </c>
      <c r="AR148" s="90"/>
      <c r="AS148" s="90"/>
      <c r="AT148" s="90"/>
      <c r="AU148" s="90"/>
      <c r="AV148" s="90"/>
      <c r="AW148" s="90"/>
      <c r="AX148" s="90"/>
      <c r="AY148" s="90" t="s">
        <v>5230</v>
      </c>
      <c r="AZ148" s="90"/>
      <c r="BA148" s="90" t="s">
        <v>408</v>
      </c>
      <c r="BB148" s="91">
        <v>45900.826493055603</v>
      </c>
      <c r="BC148" s="90" t="s">
        <v>405</v>
      </c>
      <c r="BD148" s="90"/>
      <c r="BE148" s="90"/>
      <c r="BF148" s="90" t="s">
        <v>5231</v>
      </c>
    </row>
    <row r="149" spans="1:58" ht="24.75" customHeight="1">
      <c r="A149" s="90" t="s">
        <v>5221</v>
      </c>
      <c r="B149" s="90"/>
      <c r="C149" s="90"/>
      <c r="D149" s="91">
        <v>45923.824895833299</v>
      </c>
      <c r="E149" s="90" t="s">
        <v>5222</v>
      </c>
      <c r="F149" s="92"/>
      <c r="G149" s="90" t="s">
        <v>5445</v>
      </c>
      <c r="H149" s="90" t="s">
        <v>5305</v>
      </c>
      <c r="I149" s="90" t="s">
        <v>5306</v>
      </c>
      <c r="J149" s="90"/>
      <c r="K149" s="93">
        <v>8</v>
      </c>
      <c r="L149" s="93">
        <v>139</v>
      </c>
      <c r="M149" s="93">
        <v>1112</v>
      </c>
      <c r="N149" s="93">
        <v>1112</v>
      </c>
      <c r="O149" s="90" t="s">
        <v>5226</v>
      </c>
      <c r="P149" s="90"/>
      <c r="Q149" s="90" t="s">
        <v>5227</v>
      </c>
      <c r="R149" s="90"/>
      <c r="S149" s="90"/>
      <c r="T149" s="90"/>
      <c r="U149" s="90"/>
      <c r="V149" s="90" t="s">
        <v>5228</v>
      </c>
      <c r="W149" s="90" t="s">
        <v>5271</v>
      </c>
      <c r="X149" s="90" t="s">
        <v>162</v>
      </c>
      <c r="Y149" s="90" t="s">
        <v>408</v>
      </c>
      <c r="Z149" s="90"/>
      <c r="AA149" s="93">
        <v>984.07079646017701</v>
      </c>
      <c r="AB149" s="93">
        <v>984.07079646017701</v>
      </c>
      <c r="AC149" s="93">
        <v>13</v>
      </c>
      <c r="AD149" s="93">
        <v>127.92920353982301</v>
      </c>
      <c r="AE149" s="90"/>
      <c r="AF149" s="90"/>
      <c r="AG149" s="90"/>
      <c r="AH149" s="90"/>
      <c r="AI149" s="93">
        <v>0</v>
      </c>
      <c r="AJ149" s="93">
        <v>139</v>
      </c>
      <c r="AK149" s="93">
        <v>13</v>
      </c>
      <c r="AL149" s="93">
        <v>984.07079999999996</v>
      </c>
      <c r="AM149" s="93">
        <v>127.92919999999999</v>
      </c>
      <c r="AN149" s="93">
        <v>1112</v>
      </c>
      <c r="AO149" s="93">
        <v>-3.53982284195808E-6</v>
      </c>
      <c r="AP149" s="90" t="s">
        <v>5271</v>
      </c>
      <c r="AQ149" s="90" t="s">
        <v>5229</v>
      </c>
      <c r="AR149" s="90"/>
      <c r="AS149" s="90"/>
      <c r="AT149" s="90"/>
      <c r="AU149" s="90"/>
      <c r="AV149" s="90"/>
      <c r="AW149" s="90"/>
      <c r="AX149" s="90"/>
      <c r="AY149" s="90" t="s">
        <v>5230</v>
      </c>
      <c r="AZ149" s="90"/>
      <c r="BA149" s="90" t="s">
        <v>408</v>
      </c>
      <c r="BB149" s="91">
        <v>45808.694120370397</v>
      </c>
      <c r="BC149" s="90" t="s">
        <v>405</v>
      </c>
      <c r="BD149" s="90"/>
      <c r="BE149" s="90"/>
      <c r="BF149" s="90" t="s">
        <v>5231</v>
      </c>
    </row>
    <row r="150" spans="1:58" ht="24.75" customHeight="1">
      <c r="A150" s="90" t="s">
        <v>5221</v>
      </c>
      <c r="B150" s="90"/>
      <c r="C150" s="90"/>
      <c r="D150" s="91">
        <v>45923.824895833299</v>
      </c>
      <c r="E150" s="90" t="s">
        <v>5222</v>
      </c>
      <c r="F150" s="92"/>
      <c r="G150" s="90" t="s">
        <v>5445</v>
      </c>
      <c r="H150" s="90" t="s">
        <v>5224</v>
      </c>
      <c r="I150" s="90" t="s">
        <v>5225</v>
      </c>
      <c r="J150" s="90"/>
      <c r="K150" s="93">
        <v>8</v>
      </c>
      <c r="L150" s="93">
        <v>190</v>
      </c>
      <c r="M150" s="93">
        <v>1520</v>
      </c>
      <c r="N150" s="93">
        <v>1520</v>
      </c>
      <c r="O150" s="90" t="s">
        <v>5226</v>
      </c>
      <c r="P150" s="90"/>
      <c r="Q150" s="90" t="s">
        <v>5227</v>
      </c>
      <c r="R150" s="90"/>
      <c r="S150" s="90"/>
      <c r="T150" s="90"/>
      <c r="U150" s="90"/>
      <c r="V150" s="90" t="s">
        <v>5228</v>
      </c>
      <c r="W150" s="90" t="s">
        <v>5271</v>
      </c>
      <c r="X150" s="90" t="s">
        <v>162</v>
      </c>
      <c r="Y150" s="90" t="s">
        <v>408</v>
      </c>
      <c r="Z150" s="90"/>
      <c r="AA150" s="93">
        <v>1345.1327433628301</v>
      </c>
      <c r="AB150" s="93">
        <v>1345.1327433628301</v>
      </c>
      <c r="AC150" s="93">
        <v>13</v>
      </c>
      <c r="AD150" s="93">
        <v>174.867256637168</v>
      </c>
      <c r="AE150" s="90"/>
      <c r="AF150" s="90"/>
      <c r="AG150" s="90"/>
      <c r="AH150" s="90"/>
      <c r="AI150" s="93">
        <v>0</v>
      </c>
      <c r="AJ150" s="93">
        <v>190</v>
      </c>
      <c r="AK150" s="93">
        <v>13</v>
      </c>
      <c r="AL150" s="93">
        <v>1345.132744</v>
      </c>
      <c r="AM150" s="93">
        <v>174.867256</v>
      </c>
      <c r="AN150" s="93">
        <v>1520</v>
      </c>
      <c r="AO150" s="93">
        <v>-6.3716811382619198E-7</v>
      </c>
      <c r="AP150" s="90" t="s">
        <v>5271</v>
      </c>
      <c r="AQ150" s="90" t="s">
        <v>5229</v>
      </c>
      <c r="AR150" s="90"/>
      <c r="AS150" s="90"/>
      <c r="AT150" s="90"/>
      <c r="AU150" s="90"/>
      <c r="AV150" s="90"/>
      <c r="AW150" s="90"/>
      <c r="AX150" s="90"/>
      <c r="AY150" s="90" t="s">
        <v>5230</v>
      </c>
      <c r="AZ150" s="90"/>
      <c r="BA150" s="90" t="s">
        <v>408</v>
      </c>
      <c r="BB150" s="91">
        <v>45900.826493055603</v>
      </c>
      <c r="BC150" s="90" t="s">
        <v>405</v>
      </c>
      <c r="BD150" s="90"/>
      <c r="BE150" s="90"/>
      <c r="BF150" s="90" t="s">
        <v>5231</v>
      </c>
    </row>
    <row r="151" spans="1:58" ht="24.75" customHeight="1">
      <c r="A151" s="90" t="s">
        <v>5221</v>
      </c>
      <c r="B151" s="90"/>
      <c r="C151" s="90"/>
      <c r="D151" s="91">
        <v>45923.824895833299</v>
      </c>
      <c r="E151" s="90" t="s">
        <v>5222</v>
      </c>
      <c r="F151" s="92"/>
      <c r="G151" s="90" t="s">
        <v>5445</v>
      </c>
      <c r="H151" s="90" t="s">
        <v>5342</v>
      </c>
      <c r="I151" s="90" t="s">
        <v>5343</v>
      </c>
      <c r="J151" s="90"/>
      <c r="K151" s="93">
        <v>2</v>
      </c>
      <c r="L151" s="93">
        <v>100</v>
      </c>
      <c r="M151" s="93">
        <v>200</v>
      </c>
      <c r="N151" s="93">
        <v>200</v>
      </c>
      <c r="O151" s="90" t="s">
        <v>5226</v>
      </c>
      <c r="P151" s="90"/>
      <c r="Q151" s="90" t="s">
        <v>5227</v>
      </c>
      <c r="R151" s="90"/>
      <c r="S151" s="90"/>
      <c r="T151" s="90"/>
      <c r="U151" s="90"/>
      <c r="V151" s="90" t="s">
        <v>5275</v>
      </c>
      <c r="W151" s="90" t="s">
        <v>5271</v>
      </c>
      <c r="X151" s="90" t="s">
        <v>162</v>
      </c>
      <c r="Y151" s="90" t="s">
        <v>408</v>
      </c>
      <c r="Z151" s="90"/>
      <c r="AA151" s="93">
        <v>176.99115044247799</v>
      </c>
      <c r="AB151" s="93">
        <v>176.99115044247799</v>
      </c>
      <c r="AC151" s="93">
        <v>13</v>
      </c>
      <c r="AD151" s="93">
        <v>23.008849557522101</v>
      </c>
      <c r="AE151" s="90"/>
      <c r="AF151" s="90"/>
      <c r="AG151" s="90"/>
      <c r="AH151" s="90"/>
      <c r="AI151" s="93">
        <v>0</v>
      </c>
      <c r="AJ151" s="93">
        <v>100</v>
      </c>
      <c r="AK151" s="93">
        <v>13</v>
      </c>
      <c r="AL151" s="93">
        <v>176.99115</v>
      </c>
      <c r="AM151" s="93">
        <v>23.008849999999999</v>
      </c>
      <c r="AN151" s="93">
        <v>200</v>
      </c>
      <c r="AO151" s="93">
        <v>4.4247789787732499E-7</v>
      </c>
      <c r="AP151" s="90" t="s">
        <v>5271</v>
      </c>
      <c r="AQ151" s="90" t="s">
        <v>5229</v>
      </c>
      <c r="AR151" s="90"/>
      <c r="AS151" s="90"/>
      <c r="AT151" s="90"/>
      <c r="AU151" s="90"/>
      <c r="AV151" s="90"/>
      <c r="AW151" s="90"/>
      <c r="AX151" s="90"/>
      <c r="AY151" s="90" t="s">
        <v>5230</v>
      </c>
      <c r="AZ151" s="90"/>
      <c r="BA151" s="90" t="s">
        <v>408</v>
      </c>
      <c r="BB151" s="91">
        <v>45837.404340277797</v>
      </c>
      <c r="BC151" s="90" t="s">
        <v>405</v>
      </c>
      <c r="BD151" s="90"/>
      <c r="BE151" s="90"/>
      <c r="BF151" s="90" t="s">
        <v>5231</v>
      </c>
    </row>
    <row r="152" spans="1:58" ht="24.75" customHeight="1">
      <c r="A152" s="90" t="s">
        <v>5221</v>
      </c>
      <c r="B152" s="90"/>
      <c r="C152" s="90"/>
      <c r="D152" s="91">
        <v>45923.824895833299</v>
      </c>
      <c r="E152" s="90" t="s">
        <v>5222</v>
      </c>
      <c r="F152" s="92"/>
      <c r="G152" s="90" t="s">
        <v>5445</v>
      </c>
      <c r="H152" s="90" t="s">
        <v>5342</v>
      </c>
      <c r="I152" s="90" t="s">
        <v>5343</v>
      </c>
      <c r="J152" s="90"/>
      <c r="K152" s="93">
        <v>6</v>
      </c>
      <c r="L152" s="93">
        <v>100</v>
      </c>
      <c r="M152" s="93">
        <v>600</v>
      </c>
      <c r="N152" s="93">
        <v>600</v>
      </c>
      <c r="O152" s="90" t="s">
        <v>5226</v>
      </c>
      <c r="P152" s="90"/>
      <c r="Q152" s="90" t="s">
        <v>5227</v>
      </c>
      <c r="R152" s="90"/>
      <c r="S152" s="90"/>
      <c r="T152" s="90"/>
      <c r="U152" s="90"/>
      <c r="V152" s="90" t="s">
        <v>5275</v>
      </c>
      <c r="W152" s="90" t="s">
        <v>5271</v>
      </c>
      <c r="X152" s="90" t="s">
        <v>162</v>
      </c>
      <c r="Y152" s="90" t="s">
        <v>408</v>
      </c>
      <c r="Z152" s="90"/>
      <c r="AA152" s="93">
        <v>530.97345132743396</v>
      </c>
      <c r="AB152" s="93">
        <v>530.97345132743396</v>
      </c>
      <c r="AC152" s="93">
        <v>13</v>
      </c>
      <c r="AD152" s="93">
        <v>69.026548672566307</v>
      </c>
      <c r="AE152" s="90"/>
      <c r="AF152" s="90"/>
      <c r="AG152" s="90"/>
      <c r="AH152" s="90"/>
      <c r="AI152" s="93">
        <v>0</v>
      </c>
      <c r="AJ152" s="93">
        <v>100</v>
      </c>
      <c r="AK152" s="93">
        <v>13</v>
      </c>
      <c r="AL152" s="93">
        <v>530.97344999999996</v>
      </c>
      <c r="AM152" s="93">
        <v>69.02655</v>
      </c>
      <c r="AN152" s="93">
        <v>600</v>
      </c>
      <c r="AO152" s="93">
        <v>1.3274336652102601E-6</v>
      </c>
      <c r="AP152" s="90" t="s">
        <v>5271</v>
      </c>
      <c r="AQ152" s="90" t="s">
        <v>5229</v>
      </c>
      <c r="AR152" s="90"/>
      <c r="AS152" s="90"/>
      <c r="AT152" s="90"/>
      <c r="AU152" s="90"/>
      <c r="AV152" s="90"/>
      <c r="AW152" s="90"/>
      <c r="AX152" s="90"/>
      <c r="AY152" s="90" t="s">
        <v>5230</v>
      </c>
      <c r="AZ152" s="90"/>
      <c r="BA152" s="90" t="s">
        <v>408</v>
      </c>
      <c r="BB152" s="91">
        <v>45869.5789814815</v>
      </c>
      <c r="BC152" s="90" t="s">
        <v>405</v>
      </c>
      <c r="BD152" s="90"/>
      <c r="BE152" s="90"/>
      <c r="BF152" s="90" t="s">
        <v>5231</v>
      </c>
    </row>
    <row r="153" spans="1:58" ht="24.75" customHeight="1">
      <c r="A153" s="90" t="s">
        <v>5221</v>
      </c>
      <c r="B153" s="90"/>
      <c r="C153" s="90"/>
      <c r="D153" s="91">
        <v>45923.824895833299</v>
      </c>
      <c r="E153" s="90" t="s">
        <v>5222</v>
      </c>
      <c r="F153" s="92"/>
      <c r="G153" s="90" t="s">
        <v>5445</v>
      </c>
      <c r="H153" s="90" t="s">
        <v>5278</v>
      </c>
      <c r="I153" s="90" t="s">
        <v>5279</v>
      </c>
      <c r="J153" s="90" t="s">
        <v>5280</v>
      </c>
      <c r="K153" s="93">
        <v>3</v>
      </c>
      <c r="L153" s="93">
        <v>140</v>
      </c>
      <c r="M153" s="93">
        <v>420</v>
      </c>
      <c r="N153" s="93">
        <v>420</v>
      </c>
      <c r="O153" s="90" t="s">
        <v>5226</v>
      </c>
      <c r="P153" s="90"/>
      <c r="Q153" s="90" t="s">
        <v>5227</v>
      </c>
      <c r="R153" s="90"/>
      <c r="S153" s="90"/>
      <c r="T153" s="90"/>
      <c r="U153" s="90"/>
      <c r="V153" s="90" t="s">
        <v>5252</v>
      </c>
      <c r="W153" s="90" t="s">
        <v>5271</v>
      </c>
      <c r="X153" s="90" t="s">
        <v>162</v>
      </c>
      <c r="Y153" s="90" t="s">
        <v>408</v>
      </c>
      <c r="Z153" s="90"/>
      <c r="AA153" s="93">
        <v>371.68141592920398</v>
      </c>
      <c r="AB153" s="93">
        <v>371.68141592920398</v>
      </c>
      <c r="AC153" s="93">
        <v>13</v>
      </c>
      <c r="AD153" s="93">
        <v>48.318584070796398</v>
      </c>
      <c r="AE153" s="90"/>
      <c r="AF153" s="90"/>
      <c r="AG153" s="90"/>
      <c r="AH153" s="90"/>
      <c r="AI153" s="93">
        <v>0</v>
      </c>
      <c r="AJ153" s="93">
        <v>140</v>
      </c>
      <c r="AK153" s="93">
        <v>13</v>
      </c>
      <c r="AL153" s="93">
        <v>371.68141500000002</v>
      </c>
      <c r="AM153" s="93">
        <v>48.318584999999999</v>
      </c>
      <c r="AN153" s="93">
        <v>420</v>
      </c>
      <c r="AO153" s="93">
        <v>9.29203565647185E-7</v>
      </c>
      <c r="AP153" s="90" t="s">
        <v>5271</v>
      </c>
      <c r="AQ153" s="90" t="s">
        <v>5229</v>
      </c>
      <c r="AR153" s="90"/>
      <c r="AS153" s="90"/>
      <c r="AT153" s="90"/>
      <c r="AU153" s="90"/>
      <c r="AV153" s="90"/>
      <c r="AW153" s="90"/>
      <c r="AX153" s="90"/>
      <c r="AY153" s="90" t="s">
        <v>5230</v>
      </c>
      <c r="AZ153" s="90"/>
      <c r="BA153" s="90" t="s">
        <v>408</v>
      </c>
      <c r="BB153" s="91">
        <v>45890.426377314798</v>
      </c>
      <c r="BC153" s="90" t="s">
        <v>406</v>
      </c>
      <c r="BD153" s="90"/>
      <c r="BE153" s="90"/>
      <c r="BF153" s="90" t="s">
        <v>5231</v>
      </c>
    </row>
    <row r="154" spans="1:58" ht="24.75" customHeight="1">
      <c r="A154" s="90" t="s">
        <v>5232</v>
      </c>
      <c r="B154" s="90"/>
      <c r="C154" s="90"/>
      <c r="D154" s="91">
        <v>45925.378148148098</v>
      </c>
      <c r="E154" s="90" t="s">
        <v>5222</v>
      </c>
      <c r="F154" s="92"/>
      <c r="G154" s="90" t="s">
        <v>5448</v>
      </c>
      <c r="H154" s="90" t="s">
        <v>5243</v>
      </c>
      <c r="I154" s="90" t="s">
        <v>5244</v>
      </c>
      <c r="J154" s="90"/>
      <c r="K154" s="93">
        <v>2</v>
      </c>
      <c r="L154" s="93">
        <v>27.5</v>
      </c>
      <c r="M154" s="93">
        <v>55</v>
      </c>
      <c r="N154" s="93">
        <v>55</v>
      </c>
      <c r="O154" s="90" t="s">
        <v>5226</v>
      </c>
      <c r="P154" s="90"/>
      <c r="Q154" s="90" t="s">
        <v>5227</v>
      </c>
      <c r="R154" s="90"/>
      <c r="S154" s="90"/>
      <c r="T154" s="90"/>
      <c r="U154" s="90"/>
      <c r="V154" s="90" t="s">
        <v>5245</v>
      </c>
      <c r="W154" s="90" t="s">
        <v>99</v>
      </c>
      <c r="X154" s="90" t="s">
        <v>5237</v>
      </c>
      <c r="Y154" s="90" t="s">
        <v>5238</v>
      </c>
      <c r="Z154" s="90"/>
      <c r="AA154" s="93">
        <v>48.672566371681398</v>
      </c>
      <c r="AB154" s="93">
        <v>48.672566371681398</v>
      </c>
      <c r="AC154" s="93">
        <v>13</v>
      </c>
      <c r="AD154" s="93">
        <v>6.3274336283185804</v>
      </c>
      <c r="AE154" s="90"/>
      <c r="AF154" s="90"/>
      <c r="AG154" s="90"/>
      <c r="AH154" s="90"/>
      <c r="AI154" s="93">
        <v>0</v>
      </c>
      <c r="AJ154" s="93">
        <v>27.5</v>
      </c>
      <c r="AK154" s="93">
        <v>13</v>
      </c>
      <c r="AL154" s="93">
        <v>48.672566000000003</v>
      </c>
      <c r="AM154" s="93">
        <v>6.3274340000000002</v>
      </c>
      <c r="AN154" s="93">
        <v>55</v>
      </c>
      <c r="AO154" s="93">
        <v>3.7168141631127598E-7</v>
      </c>
      <c r="AP154" s="90" t="s">
        <v>99</v>
      </c>
      <c r="AQ154" s="90" t="s">
        <v>5246</v>
      </c>
      <c r="AR154" s="90"/>
      <c r="AS154" s="90"/>
      <c r="AT154" s="90"/>
      <c r="AU154" s="90"/>
      <c r="AV154" s="90"/>
      <c r="AW154" s="90"/>
      <c r="AX154" s="90"/>
      <c r="AY154" s="90" t="s">
        <v>5230</v>
      </c>
      <c r="AZ154" s="90"/>
      <c r="BA154" s="90" t="s">
        <v>5238</v>
      </c>
      <c r="BB154" s="91">
        <v>45904.495532407404</v>
      </c>
      <c r="BC154" s="90" t="s">
        <v>405</v>
      </c>
      <c r="BD154" s="90" t="s">
        <v>5449</v>
      </c>
      <c r="BE154" s="90"/>
      <c r="BF154" s="90" t="s">
        <v>5242</v>
      </c>
    </row>
    <row r="155" spans="1:58" ht="24.75" customHeight="1">
      <c r="A155" s="90" t="s">
        <v>5232</v>
      </c>
      <c r="B155" s="90"/>
      <c r="C155" s="90"/>
      <c r="D155" s="91">
        <v>45925.667569444398</v>
      </c>
      <c r="E155" s="90" t="s">
        <v>5222</v>
      </c>
      <c r="F155" s="92"/>
      <c r="G155" s="90" t="s">
        <v>5450</v>
      </c>
      <c r="H155" s="90" t="s">
        <v>5243</v>
      </c>
      <c r="I155" s="90" t="s">
        <v>5244</v>
      </c>
      <c r="J155" s="90"/>
      <c r="K155" s="93">
        <v>2</v>
      </c>
      <c r="L155" s="93">
        <v>27.5</v>
      </c>
      <c r="M155" s="93">
        <v>55</v>
      </c>
      <c r="N155" s="93">
        <v>55</v>
      </c>
      <c r="O155" s="90" t="s">
        <v>5226</v>
      </c>
      <c r="P155" s="90"/>
      <c r="Q155" s="90" t="s">
        <v>5227</v>
      </c>
      <c r="R155" s="90"/>
      <c r="S155" s="90"/>
      <c r="T155" s="90"/>
      <c r="U155" s="90"/>
      <c r="V155" s="90" t="s">
        <v>5245</v>
      </c>
      <c r="W155" s="90" t="s">
        <v>99</v>
      </c>
      <c r="X155" s="90" t="s">
        <v>5237</v>
      </c>
      <c r="Y155" s="90" t="s">
        <v>5238</v>
      </c>
      <c r="Z155" s="90"/>
      <c r="AA155" s="93">
        <v>48.672566371681398</v>
      </c>
      <c r="AB155" s="93">
        <v>48.672566371681398</v>
      </c>
      <c r="AC155" s="93">
        <v>13</v>
      </c>
      <c r="AD155" s="93">
        <v>6.3274336283185804</v>
      </c>
      <c r="AE155" s="90"/>
      <c r="AF155" s="90"/>
      <c r="AG155" s="90"/>
      <c r="AH155" s="90"/>
      <c r="AI155" s="93">
        <v>0</v>
      </c>
      <c r="AJ155" s="93">
        <v>27.5</v>
      </c>
      <c r="AK155" s="93">
        <v>13</v>
      </c>
      <c r="AL155" s="93">
        <v>48.672566000000003</v>
      </c>
      <c r="AM155" s="93">
        <v>6.3274340000000002</v>
      </c>
      <c r="AN155" s="93">
        <v>55</v>
      </c>
      <c r="AO155" s="93">
        <v>3.7168141631127598E-7</v>
      </c>
      <c r="AP155" s="90" t="s">
        <v>99</v>
      </c>
      <c r="AQ155" s="90" t="s">
        <v>5246</v>
      </c>
      <c r="AR155" s="90"/>
      <c r="AS155" s="90"/>
      <c r="AT155" s="90"/>
      <c r="AU155" s="90"/>
      <c r="AV155" s="90"/>
      <c r="AW155" s="90"/>
      <c r="AX155" s="90"/>
      <c r="AY155" s="90" t="s">
        <v>5230</v>
      </c>
      <c r="AZ155" s="90"/>
      <c r="BA155" s="90" t="s">
        <v>5238</v>
      </c>
      <c r="BB155" s="91">
        <v>45904.495532407404</v>
      </c>
      <c r="BC155" s="90" t="s">
        <v>405</v>
      </c>
      <c r="BD155" s="90" t="s">
        <v>5451</v>
      </c>
      <c r="BE155" s="90"/>
      <c r="BF155" s="90" t="s">
        <v>5242</v>
      </c>
    </row>
    <row r="156" spans="1:58" ht="24.75" customHeight="1">
      <c r="A156" s="90" t="s">
        <v>5232</v>
      </c>
      <c r="B156" s="90"/>
      <c r="C156" s="90"/>
      <c r="D156" s="91">
        <v>45925.667569444398</v>
      </c>
      <c r="E156" s="90" t="s">
        <v>5222</v>
      </c>
      <c r="F156" s="92"/>
      <c r="G156" s="90" t="s">
        <v>5450</v>
      </c>
      <c r="H156" s="90" t="s">
        <v>5422</v>
      </c>
      <c r="I156" s="90" t="s">
        <v>5423</v>
      </c>
      <c r="J156" s="90"/>
      <c r="K156" s="93">
        <v>1</v>
      </c>
      <c r="L156" s="93">
        <v>137</v>
      </c>
      <c r="M156" s="93">
        <v>137</v>
      </c>
      <c r="N156" s="93">
        <v>137</v>
      </c>
      <c r="O156" s="90" t="s">
        <v>5226</v>
      </c>
      <c r="P156" s="90"/>
      <c r="Q156" s="90" t="s">
        <v>5227</v>
      </c>
      <c r="R156" s="90"/>
      <c r="S156" s="90"/>
      <c r="T156" s="90"/>
      <c r="U156" s="90"/>
      <c r="V156" s="90" t="s">
        <v>5424</v>
      </c>
      <c r="W156" s="90" t="s">
        <v>99</v>
      </c>
      <c r="X156" s="90" t="s">
        <v>5237</v>
      </c>
      <c r="Y156" s="90" t="s">
        <v>5238</v>
      </c>
      <c r="Z156" s="90"/>
      <c r="AA156" s="93">
        <v>121.238938053097</v>
      </c>
      <c r="AB156" s="93">
        <v>121.238938053097</v>
      </c>
      <c r="AC156" s="93">
        <v>13</v>
      </c>
      <c r="AD156" s="93">
        <v>15.761061946902601</v>
      </c>
      <c r="AE156" s="90"/>
      <c r="AF156" s="90"/>
      <c r="AG156" s="90"/>
      <c r="AH156" s="90"/>
      <c r="AI156" s="93">
        <v>0</v>
      </c>
      <c r="AJ156" s="93">
        <v>137</v>
      </c>
      <c r="AK156" s="93">
        <v>13</v>
      </c>
      <c r="AL156" s="93">
        <v>121.238938</v>
      </c>
      <c r="AM156" s="93">
        <v>15.761062000000001</v>
      </c>
      <c r="AN156" s="93">
        <v>137</v>
      </c>
      <c r="AO156" s="93">
        <v>5.3097352292752502E-8</v>
      </c>
      <c r="AP156" s="90" t="s">
        <v>99</v>
      </c>
      <c r="AQ156" s="90" t="s">
        <v>5425</v>
      </c>
      <c r="AR156" s="90"/>
      <c r="AS156" s="90"/>
      <c r="AT156" s="90"/>
      <c r="AU156" s="90"/>
      <c r="AV156" s="90"/>
      <c r="AW156" s="90"/>
      <c r="AX156" s="90"/>
      <c r="AY156" s="90" t="s">
        <v>5240</v>
      </c>
      <c r="AZ156" s="90"/>
      <c r="BA156" s="90" t="s">
        <v>5238</v>
      </c>
      <c r="BB156" s="91">
        <v>45889.468900462998</v>
      </c>
      <c r="BC156" s="90" t="s">
        <v>405</v>
      </c>
      <c r="BD156" s="90" t="s">
        <v>5451</v>
      </c>
      <c r="BE156" s="90"/>
      <c r="BF156" s="90" t="s">
        <v>5242</v>
      </c>
    </row>
    <row r="157" spans="1:58" ht="24.75" customHeight="1">
      <c r="A157" s="90" t="s">
        <v>5221</v>
      </c>
      <c r="B157" s="90"/>
      <c r="C157" s="90"/>
      <c r="D157" s="91">
        <v>45927.816412036998</v>
      </c>
      <c r="E157" s="90" t="s">
        <v>5222</v>
      </c>
      <c r="F157" s="92"/>
      <c r="G157" s="90" t="s">
        <v>5452</v>
      </c>
      <c r="H157" s="90" t="s">
        <v>5278</v>
      </c>
      <c r="I157" s="90" t="s">
        <v>5279</v>
      </c>
      <c r="J157" s="90" t="s">
        <v>5280</v>
      </c>
      <c r="K157" s="93">
        <v>4</v>
      </c>
      <c r="L157" s="93">
        <v>140</v>
      </c>
      <c r="M157" s="93">
        <v>560</v>
      </c>
      <c r="N157" s="93">
        <v>560</v>
      </c>
      <c r="O157" s="90" t="s">
        <v>5226</v>
      </c>
      <c r="P157" s="90"/>
      <c r="Q157" s="90" t="s">
        <v>5227</v>
      </c>
      <c r="R157" s="90"/>
      <c r="S157" s="90"/>
      <c r="T157" s="90"/>
      <c r="U157" s="90"/>
      <c r="V157" s="90" t="s">
        <v>5252</v>
      </c>
      <c r="W157" s="90" t="s">
        <v>5271</v>
      </c>
      <c r="X157" s="90" t="s">
        <v>162</v>
      </c>
      <c r="Y157" s="90" t="s">
        <v>408</v>
      </c>
      <c r="Z157" s="90"/>
      <c r="AA157" s="93">
        <v>495.57522123893801</v>
      </c>
      <c r="AB157" s="93">
        <v>495.57522123893801</v>
      </c>
      <c r="AC157" s="93">
        <v>13</v>
      </c>
      <c r="AD157" s="93">
        <v>64.424778761061901</v>
      </c>
      <c r="AE157" s="90"/>
      <c r="AF157" s="90"/>
      <c r="AG157" s="90"/>
      <c r="AH157" s="90"/>
      <c r="AI157" s="93">
        <v>0</v>
      </c>
      <c r="AJ157" s="93">
        <v>140</v>
      </c>
      <c r="AK157" s="93">
        <v>13</v>
      </c>
      <c r="AL157" s="93">
        <v>495.57522</v>
      </c>
      <c r="AM157" s="93">
        <v>64.424779999999998</v>
      </c>
      <c r="AN157" s="93">
        <v>560</v>
      </c>
      <c r="AO157" s="93">
        <v>1.23893812542519E-6</v>
      </c>
      <c r="AP157" s="90" t="s">
        <v>5271</v>
      </c>
      <c r="AQ157" s="90" t="s">
        <v>5229</v>
      </c>
      <c r="AR157" s="90"/>
      <c r="AS157" s="90"/>
      <c r="AT157" s="90"/>
      <c r="AU157" s="90"/>
      <c r="AV157" s="90"/>
      <c r="AW157" s="90"/>
      <c r="AX157" s="90"/>
      <c r="AY157" s="90" t="s">
        <v>5230</v>
      </c>
      <c r="AZ157" s="90"/>
      <c r="BA157" s="90" t="s">
        <v>408</v>
      </c>
      <c r="BB157" s="91">
        <v>45927.815578703703</v>
      </c>
      <c r="BC157" s="90" t="s">
        <v>406</v>
      </c>
      <c r="BD157" s="90"/>
      <c r="BE157" s="90"/>
      <c r="BF157" s="90" t="s">
        <v>5231</v>
      </c>
    </row>
    <row r="158" spans="1:58" ht="24.75" customHeight="1">
      <c r="A158" s="90" t="s">
        <v>5221</v>
      </c>
      <c r="B158" s="90"/>
      <c r="C158" s="90"/>
      <c r="D158" s="91">
        <v>45927.816412036998</v>
      </c>
      <c r="E158" s="90" t="s">
        <v>5222</v>
      </c>
      <c r="F158" s="92"/>
      <c r="G158" s="90" t="s">
        <v>5452</v>
      </c>
      <c r="H158" s="90" t="s">
        <v>5311</v>
      </c>
      <c r="I158" s="90" t="s">
        <v>5312</v>
      </c>
      <c r="J158" s="90"/>
      <c r="K158" s="93">
        <v>2</v>
      </c>
      <c r="L158" s="93">
        <v>120</v>
      </c>
      <c r="M158" s="93">
        <v>240</v>
      </c>
      <c r="N158" s="93">
        <v>240</v>
      </c>
      <c r="O158" s="90" t="s">
        <v>5226</v>
      </c>
      <c r="P158" s="90"/>
      <c r="Q158" s="90" t="s">
        <v>5227</v>
      </c>
      <c r="R158" s="90"/>
      <c r="S158" s="90"/>
      <c r="T158" s="90"/>
      <c r="U158" s="90"/>
      <c r="V158" s="90" t="s">
        <v>5275</v>
      </c>
      <c r="W158" s="90" t="s">
        <v>5271</v>
      </c>
      <c r="X158" s="90" t="s">
        <v>162</v>
      </c>
      <c r="Y158" s="90" t="s">
        <v>408</v>
      </c>
      <c r="Z158" s="90"/>
      <c r="AA158" s="93">
        <v>212.389380530973</v>
      </c>
      <c r="AB158" s="93">
        <v>212.389380530973</v>
      </c>
      <c r="AC158" s="93">
        <v>13</v>
      </c>
      <c r="AD158" s="93">
        <v>27.610619469026499</v>
      </c>
      <c r="AE158" s="90"/>
      <c r="AF158" s="90"/>
      <c r="AG158" s="90"/>
      <c r="AH158" s="90"/>
      <c r="AI158" s="93">
        <v>0</v>
      </c>
      <c r="AJ158" s="93">
        <v>120</v>
      </c>
      <c r="AK158" s="93">
        <v>13</v>
      </c>
      <c r="AL158" s="93">
        <v>212.38937999999999</v>
      </c>
      <c r="AM158" s="93">
        <v>27.610620000000001</v>
      </c>
      <c r="AN158" s="93">
        <v>240</v>
      </c>
      <c r="AO158" s="93">
        <v>5.3097349450581501E-7</v>
      </c>
      <c r="AP158" s="90" t="s">
        <v>5271</v>
      </c>
      <c r="AQ158" s="90" t="s">
        <v>5229</v>
      </c>
      <c r="AR158" s="90"/>
      <c r="AS158" s="90"/>
      <c r="AT158" s="90"/>
      <c r="AU158" s="90"/>
      <c r="AV158" s="90"/>
      <c r="AW158" s="90"/>
      <c r="AX158" s="90"/>
      <c r="AY158" s="90" t="s">
        <v>5230</v>
      </c>
      <c r="AZ158" s="90"/>
      <c r="BA158" s="90" t="s">
        <v>408</v>
      </c>
      <c r="BB158" s="91">
        <v>45869.5789814815</v>
      </c>
      <c r="BC158" s="90" t="s">
        <v>405</v>
      </c>
      <c r="BD158" s="90"/>
      <c r="BE158" s="90"/>
      <c r="BF158" s="90" t="s">
        <v>5231</v>
      </c>
    </row>
    <row r="159" spans="1:58" ht="24.75" customHeight="1">
      <c r="A159" s="90" t="s">
        <v>5221</v>
      </c>
      <c r="B159" s="90"/>
      <c r="C159" s="90"/>
      <c r="D159" s="91">
        <v>45927.816412036998</v>
      </c>
      <c r="E159" s="90" t="s">
        <v>5222</v>
      </c>
      <c r="F159" s="92"/>
      <c r="G159" s="90" t="s">
        <v>5452</v>
      </c>
      <c r="H159" s="90" t="s">
        <v>5453</v>
      </c>
      <c r="I159" s="90" t="s">
        <v>5454</v>
      </c>
      <c r="J159" s="90"/>
      <c r="K159" s="93">
        <v>4</v>
      </c>
      <c r="L159" s="93">
        <v>57</v>
      </c>
      <c r="M159" s="93">
        <v>228</v>
      </c>
      <c r="N159" s="93">
        <v>228</v>
      </c>
      <c r="O159" s="90" t="s">
        <v>5226</v>
      </c>
      <c r="P159" s="90"/>
      <c r="Q159" s="90" t="s">
        <v>5227</v>
      </c>
      <c r="R159" s="90"/>
      <c r="S159" s="90"/>
      <c r="T159" s="90"/>
      <c r="U159" s="90"/>
      <c r="V159" s="90" t="s">
        <v>5228</v>
      </c>
      <c r="W159" s="90" t="s">
        <v>5271</v>
      </c>
      <c r="X159" s="90" t="s">
        <v>162</v>
      </c>
      <c r="Y159" s="90" t="s">
        <v>408</v>
      </c>
      <c r="Z159" s="90"/>
      <c r="AA159" s="93">
        <v>201.76991150442501</v>
      </c>
      <c r="AB159" s="93">
        <v>201.76991150442501</v>
      </c>
      <c r="AC159" s="93">
        <v>13</v>
      </c>
      <c r="AD159" s="93">
        <v>26.230088495575199</v>
      </c>
      <c r="AE159" s="90"/>
      <c r="AF159" s="90"/>
      <c r="AG159" s="90"/>
      <c r="AH159" s="90"/>
      <c r="AI159" s="93">
        <v>0</v>
      </c>
      <c r="AJ159" s="93">
        <v>57</v>
      </c>
      <c r="AK159" s="93">
        <v>13</v>
      </c>
      <c r="AL159" s="93">
        <v>201.76991200000001</v>
      </c>
      <c r="AM159" s="93">
        <v>26.230087999999999</v>
      </c>
      <c r="AN159" s="93">
        <v>228</v>
      </c>
      <c r="AO159" s="93">
        <v>-4.9557519332665802E-7</v>
      </c>
      <c r="AP159" s="90" t="s">
        <v>5271</v>
      </c>
      <c r="AQ159" s="90" t="s">
        <v>5229</v>
      </c>
      <c r="AR159" s="90"/>
      <c r="AS159" s="90"/>
      <c r="AT159" s="90"/>
      <c r="AU159" s="90"/>
      <c r="AV159" s="90"/>
      <c r="AW159" s="90"/>
      <c r="AX159" s="90"/>
      <c r="AY159" s="90" t="s">
        <v>5230</v>
      </c>
      <c r="AZ159" s="90"/>
      <c r="BA159" s="90" t="s">
        <v>408</v>
      </c>
      <c r="BB159" s="91">
        <v>45911.624340277798</v>
      </c>
      <c r="BC159" s="90" t="s">
        <v>405</v>
      </c>
      <c r="BD159" s="90"/>
      <c r="BE159" s="90"/>
      <c r="BF159" s="90" t="s">
        <v>5231</v>
      </c>
    </row>
    <row r="160" spans="1:58" ht="24.75" customHeight="1">
      <c r="A160" s="90" t="s">
        <v>5221</v>
      </c>
      <c r="B160" s="90"/>
      <c r="C160" s="90"/>
      <c r="D160" s="91">
        <v>45927.816412036998</v>
      </c>
      <c r="E160" s="90" t="s">
        <v>5222</v>
      </c>
      <c r="F160" s="92"/>
      <c r="G160" s="90" t="s">
        <v>5452</v>
      </c>
      <c r="H160" s="90" t="s">
        <v>5305</v>
      </c>
      <c r="I160" s="90" t="s">
        <v>5306</v>
      </c>
      <c r="J160" s="90"/>
      <c r="K160" s="93">
        <v>1</v>
      </c>
      <c r="L160" s="93">
        <v>139</v>
      </c>
      <c r="M160" s="93">
        <v>139</v>
      </c>
      <c r="N160" s="93">
        <v>139</v>
      </c>
      <c r="O160" s="90" t="s">
        <v>5226</v>
      </c>
      <c r="P160" s="90"/>
      <c r="Q160" s="90" t="s">
        <v>5227</v>
      </c>
      <c r="R160" s="90"/>
      <c r="S160" s="90"/>
      <c r="T160" s="90"/>
      <c r="U160" s="90"/>
      <c r="V160" s="90" t="s">
        <v>5228</v>
      </c>
      <c r="W160" s="90" t="s">
        <v>5271</v>
      </c>
      <c r="X160" s="90" t="s">
        <v>162</v>
      </c>
      <c r="Y160" s="90" t="s">
        <v>408</v>
      </c>
      <c r="Z160" s="90"/>
      <c r="AA160" s="93">
        <v>123.008849557522</v>
      </c>
      <c r="AB160" s="93">
        <v>123.008849557522</v>
      </c>
      <c r="AC160" s="93">
        <v>13</v>
      </c>
      <c r="AD160" s="93">
        <v>15.991150442477901</v>
      </c>
      <c r="AE160" s="90"/>
      <c r="AF160" s="90"/>
      <c r="AG160" s="90"/>
      <c r="AH160" s="90"/>
      <c r="AI160" s="93">
        <v>0</v>
      </c>
      <c r="AJ160" s="93">
        <v>139</v>
      </c>
      <c r="AK160" s="93">
        <v>13</v>
      </c>
      <c r="AL160" s="93">
        <v>123.00885</v>
      </c>
      <c r="AM160" s="93">
        <v>15.991149999999999</v>
      </c>
      <c r="AN160" s="93">
        <v>139</v>
      </c>
      <c r="AO160" s="93">
        <v>-4.42477855244761E-7</v>
      </c>
      <c r="AP160" s="90" t="s">
        <v>5271</v>
      </c>
      <c r="AQ160" s="90" t="s">
        <v>5229</v>
      </c>
      <c r="AR160" s="90"/>
      <c r="AS160" s="90"/>
      <c r="AT160" s="90"/>
      <c r="AU160" s="90"/>
      <c r="AV160" s="90"/>
      <c r="AW160" s="90"/>
      <c r="AX160" s="90"/>
      <c r="AY160" s="90" t="s">
        <v>5230</v>
      </c>
      <c r="AZ160" s="90"/>
      <c r="BA160" s="90" t="s">
        <v>408</v>
      </c>
      <c r="BB160" s="91">
        <v>45808.694120370397</v>
      </c>
      <c r="BC160" s="90" t="s">
        <v>405</v>
      </c>
      <c r="BD160" s="90"/>
      <c r="BE160" s="90"/>
      <c r="BF160" s="90" t="s">
        <v>5231</v>
      </c>
    </row>
    <row r="161" spans="1:58" ht="24.75" customHeight="1">
      <c r="A161" s="90" t="s">
        <v>5221</v>
      </c>
      <c r="B161" s="90"/>
      <c r="C161" s="90"/>
      <c r="D161" s="91">
        <v>45927.816412036998</v>
      </c>
      <c r="E161" s="90" t="s">
        <v>5222</v>
      </c>
      <c r="F161" s="92"/>
      <c r="G161" s="90" t="s">
        <v>5452</v>
      </c>
      <c r="H161" s="90" t="s">
        <v>5305</v>
      </c>
      <c r="I161" s="90" t="s">
        <v>5306</v>
      </c>
      <c r="J161" s="90"/>
      <c r="K161" s="93">
        <v>3</v>
      </c>
      <c r="L161" s="93">
        <v>95</v>
      </c>
      <c r="M161" s="93">
        <v>285</v>
      </c>
      <c r="N161" s="93">
        <v>285</v>
      </c>
      <c r="O161" s="90" t="s">
        <v>5226</v>
      </c>
      <c r="P161" s="90"/>
      <c r="Q161" s="90" t="s">
        <v>5227</v>
      </c>
      <c r="R161" s="90"/>
      <c r="S161" s="90"/>
      <c r="T161" s="90"/>
      <c r="U161" s="90"/>
      <c r="V161" s="90" t="s">
        <v>5228</v>
      </c>
      <c r="W161" s="90" t="s">
        <v>5271</v>
      </c>
      <c r="X161" s="90" t="s">
        <v>162</v>
      </c>
      <c r="Y161" s="90" t="s">
        <v>408</v>
      </c>
      <c r="Z161" s="90"/>
      <c r="AA161" s="93">
        <v>252.21238938053099</v>
      </c>
      <c r="AB161" s="93">
        <v>252.21238938053099</v>
      </c>
      <c r="AC161" s="93">
        <v>13</v>
      </c>
      <c r="AD161" s="93">
        <v>32.787610619469</v>
      </c>
      <c r="AE161" s="90"/>
      <c r="AF161" s="90"/>
      <c r="AG161" s="90"/>
      <c r="AH161" s="90"/>
      <c r="AI161" s="93">
        <v>0</v>
      </c>
      <c r="AJ161" s="93">
        <v>95</v>
      </c>
      <c r="AK161" s="93">
        <v>13</v>
      </c>
      <c r="AL161" s="93">
        <v>252.212388</v>
      </c>
      <c r="AM161" s="93">
        <v>32.787612000000003</v>
      </c>
      <c r="AN161" s="93">
        <v>285</v>
      </c>
      <c r="AO161" s="93">
        <v>1.3805309890813099E-6</v>
      </c>
      <c r="AP161" s="90" t="s">
        <v>5271</v>
      </c>
      <c r="AQ161" s="90" t="s">
        <v>5229</v>
      </c>
      <c r="AR161" s="90"/>
      <c r="AS161" s="90"/>
      <c r="AT161" s="90"/>
      <c r="AU161" s="90"/>
      <c r="AV161" s="90"/>
      <c r="AW161" s="90"/>
      <c r="AX161" s="90"/>
      <c r="AY161" s="90" t="s">
        <v>5230</v>
      </c>
      <c r="AZ161" s="90"/>
      <c r="BA161" s="90" t="s">
        <v>408</v>
      </c>
      <c r="BB161" s="91">
        <v>45900.826493055603</v>
      </c>
      <c r="BC161" s="90" t="s">
        <v>405</v>
      </c>
      <c r="BD161" s="90"/>
      <c r="BE161" s="90"/>
      <c r="BF161" s="90" t="s">
        <v>5231</v>
      </c>
    </row>
    <row r="162" spans="1:58" ht="24.75" customHeight="1">
      <c r="A162" s="90" t="s">
        <v>5221</v>
      </c>
      <c r="B162" s="90"/>
      <c r="C162" s="90"/>
      <c r="D162" s="91">
        <v>45928.402453703697</v>
      </c>
      <c r="E162" s="90" t="s">
        <v>5222</v>
      </c>
      <c r="F162" s="92"/>
      <c r="G162" s="90" t="s">
        <v>5455</v>
      </c>
      <c r="H162" s="90" t="s">
        <v>5366</v>
      </c>
      <c r="I162" s="90" t="s">
        <v>5367</v>
      </c>
      <c r="J162" s="90" t="s">
        <v>5251</v>
      </c>
      <c r="K162" s="93">
        <v>60</v>
      </c>
      <c r="L162" s="93">
        <v>2</v>
      </c>
      <c r="M162" s="93">
        <v>120</v>
      </c>
      <c r="N162" s="93">
        <v>120</v>
      </c>
      <c r="O162" s="90" t="s">
        <v>5226</v>
      </c>
      <c r="P162" s="90"/>
      <c r="Q162" s="90" t="s">
        <v>5227</v>
      </c>
      <c r="R162" s="90"/>
      <c r="S162" s="90"/>
      <c r="T162" s="90"/>
      <c r="U162" s="90"/>
      <c r="V162" s="90"/>
      <c r="W162" s="90" t="s">
        <v>5271</v>
      </c>
      <c r="X162" s="90" t="s">
        <v>162</v>
      </c>
      <c r="Y162" s="90" t="s">
        <v>408</v>
      </c>
      <c r="Z162" s="90"/>
      <c r="AA162" s="93">
        <v>106.194690265487</v>
      </c>
      <c r="AB162" s="93">
        <v>106.194690265487</v>
      </c>
      <c r="AC162" s="93">
        <v>13</v>
      </c>
      <c r="AD162" s="93">
        <v>13.805309734513299</v>
      </c>
      <c r="AE162" s="90"/>
      <c r="AF162" s="90"/>
      <c r="AG162" s="90"/>
      <c r="AH162" s="90"/>
      <c r="AI162" s="93">
        <v>0</v>
      </c>
      <c r="AJ162" s="93">
        <v>2</v>
      </c>
      <c r="AK162" s="93">
        <v>13</v>
      </c>
      <c r="AL162" s="93">
        <v>106.19472</v>
      </c>
      <c r="AM162" s="93">
        <v>13.80528</v>
      </c>
      <c r="AN162" s="93">
        <v>120</v>
      </c>
      <c r="AO162" s="93">
        <v>-2.97345132480586E-5</v>
      </c>
      <c r="AP162" s="90" t="s">
        <v>5271</v>
      </c>
      <c r="AQ162" s="90" t="s">
        <v>5229</v>
      </c>
      <c r="AR162" s="90"/>
      <c r="AS162" s="90"/>
      <c r="AT162" s="90"/>
      <c r="AU162" s="90"/>
      <c r="AV162" s="90"/>
      <c r="AW162" s="90"/>
      <c r="AX162" s="90"/>
      <c r="AY162" s="90" t="s">
        <v>5230</v>
      </c>
      <c r="AZ162" s="90"/>
      <c r="BA162" s="90" t="s">
        <v>408</v>
      </c>
      <c r="BB162" s="91">
        <v>45928.402071759301</v>
      </c>
      <c r="BC162" s="90" t="s">
        <v>401</v>
      </c>
      <c r="BD162" s="90"/>
      <c r="BE162" s="90"/>
      <c r="BF162" s="90" t="s">
        <v>5231</v>
      </c>
    </row>
    <row r="163" spans="1:58" ht="24.75" customHeight="1">
      <c r="A163" s="90" t="s">
        <v>5221</v>
      </c>
      <c r="B163" s="90"/>
      <c r="C163" s="90"/>
      <c r="D163" s="91">
        <v>45928.402453703697</v>
      </c>
      <c r="E163" s="90" t="s">
        <v>5222</v>
      </c>
      <c r="F163" s="92"/>
      <c r="G163" s="90" t="s">
        <v>5455</v>
      </c>
      <c r="H163" s="90" t="s">
        <v>5456</v>
      </c>
      <c r="I163" s="90" t="s">
        <v>5457</v>
      </c>
      <c r="J163" s="90" t="s">
        <v>5374</v>
      </c>
      <c r="K163" s="93">
        <v>6</v>
      </c>
      <c r="L163" s="93">
        <v>70</v>
      </c>
      <c r="M163" s="93">
        <v>420</v>
      </c>
      <c r="N163" s="93">
        <v>420</v>
      </c>
      <c r="O163" s="90" t="s">
        <v>5226</v>
      </c>
      <c r="P163" s="90"/>
      <c r="Q163" s="90" t="s">
        <v>5227</v>
      </c>
      <c r="R163" s="90"/>
      <c r="S163" s="90"/>
      <c r="T163" s="90"/>
      <c r="U163" s="90"/>
      <c r="V163" s="90"/>
      <c r="W163" s="90" t="s">
        <v>5271</v>
      </c>
      <c r="X163" s="90" t="s">
        <v>162</v>
      </c>
      <c r="Y163" s="90" t="s">
        <v>408</v>
      </c>
      <c r="Z163" s="90"/>
      <c r="AA163" s="93">
        <v>371.68141592920398</v>
      </c>
      <c r="AB163" s="93">
        <v>371.68141592920398</v>
      </c>
      <c r="AC163" s="93">
        <v>13</v>
      </c>
      <c r="AD163" s="93">
        <v>48.318584070796398</v>
      </c>
      <c r="AE163" s="90"/>
      <c r="AF163" s="90"/>
      <c r="AG163" s="90"/>
      <c r="AH163" s="90"/>
      <c r="AI163" s="93">
        <v>0</v>
      </c>
      <c r="AJ163" s="93">
        <v>70</v>
      </c>
      <c r="AK163" s="93">
        <v>13</v>
      </c>
      <c r="AL163" s="93">
        <v>371.68141800000001</v>
      </c>
      <c r="AM163" s="93">
        <v>48.318581999999999</v>
      </c>
      <c r="AN163" s="93">
        <v>420</v>
      </c>
      <c r="AO163" s="93">
        <v>-2.0707964267785398E-6</v>
      </c>
      <c r="AP163" s="90" t="s">
        <v>5271</v>
      </c>
      <c r="AQ163" s="90" t="s">
        <v>5239</v>
      </c>
      <c r="AR163" s="90"/>
      <c r="AS163" s="90"/>
      <c r="AT163" s="90"/>
      <c r="AU163" s="90"/>
      <c r="AV163" s="90"/>
      <c r="AW163" s="90"/>
      <c r="AX163" s="90"/>
      <c r="AY163" s="90" t="s">
        <v>5230</v>
      </c>
      <c r="AZ163" s="90"/>
      <c r="BA163" s="90" t="s">
        <v>408</v>
      </c>
      <c r="BB163" s="91">
        <v>45928.402071759301</v>
      </c>
      <c r="BC163" s="90" t="s">
        <v>401</v>
      </c>
      <c r="BD163" s="90"/>
      <c r="BE163" s="90"/>
      <c r="BF163" s="90" t="s">
        <v>5231</v>
      </c>
    </row>
    <row r="164" spans="1:58" ht="24.75" customHeight="1">
      <c r="A164" s="90" t="s">
        <v>5221</v>
      </c>
      <c r="B164" s="90"/>
      <c r="C164" s="90"/>
      <c r="D164" s="91">
        <v>45928.402453703697</v>
      </c>
      <c r="E164" s="90" t="s">
        <v>5222</v>
      </c>
      <c r="F164" s="92"/>
      <c r="G164" s="90" t="s">
        <v>5455</v>
      </c>
      <c r="H164" s="90" t="s">
        <v>5372</v>
      </c>
      <c r="I164" s="90" t="s">
        <v>5373</v>
      </c>
      <c r="J164" s="90" t="s">
        <v>5374</v>
      </c>
      <c r="K164" s="93">
        <v>1</v>
      </c>
      <c r="L164" s="93">
        <v>430</v>
      </c>
      <c r="M164" s="93">
        <v>430</v>
      </c>
      <c r="N164" s="93">
        <v>430</v>
      </c>
      <c r="O164" s="90" t="s">
        <v>5226</v>
      </c>
      <c r="P164" s="90"/>
      <c r="Q164" s="90" t="s">
        <v>5227</v>
      </c>
      <c r="R164" s="90"/>
      <c r="S164" s="90"/>
      <c r="T164" s="90"/>
      <c r="U164" s="90"/>
      <c r="V164" s="90"/>
      <c r="W164" s="90" t="s">
        <v>5271</v>
      </c>
      <c r="X164" s="90" t="s">
        <v>162</v>
      </c>
      <c r="Y164" s="90" t="s">
        <v>408</v>
      </c>
      <c r="Z164" s="90"/>
      <c r="AA164" s="93">
        <v>380.53097345132699</v>
      </c>
      <c r="AB164" s="93">
        <v>380.53097345132699</v>
      </c>
      <c r="AC164" s="93">
        <v>13</v>
      </c>
      <c r="AD164" s="93">
        <v>49.469026548672502</v>
      </c>
      <c r="AE164" s="90"/>
      <c r="AF164" s="90"/>
      <c r="AG164" s="90"/>
      <c r="AH164" s="90"/>
      <c r="AI164" s="93">
        <v>0</v>
      </c>
      <c r="AJ164" s="93">
        <v>430</v>
      </c>
      <c r="AK164" s="93">
        <v>13</v>
      </c>
      <c r="AL164" s="93">
        <v>380.53097300000002</v>
      </c>
      <c r="AM164" s="93">
        <v>49.469026999999997</v>
      </c>
      <c r="AN164" s="93">
        <v>430</v>
      </c>
      <c r="AO164" s="93">
        <v>4.5132748027754101E-7</v>
      </c>
      <c r="AP164" s="90" t="s">
        <v>5271</v>
      </c>
      <c r="AQ164" s="90" t="s">
        <v>498</v>
      </c>
      <c r="AR164" s="90"/>
      <c r="AS164" s="90"/>
      <c r="AT164" s="90"/>
      <c r="AU164" s="90"/>
      <c r="AV164" s="90"/>
      <c r="AW164" s="90"/>
      <c r="AX164" s="90"/>
      <c r="AY164" s="90" t="s">
        <v>5230</v>
      </c>
      <c r="AZ164" s="90"/>
      <c r="BA164" s="90" t="s">
        <v>408</v>
      </c>
      <c r="BB164" s="91">
        <v>45928.402071759301</v>
      </c>
      <c r="BC164" s="90" t="s">
        <v>401</v>
      </c>
      <c r="BD164" s="90"/>
      <c r="BE164" s="90"/>
      <c r="BF164" s="90" t="s">
        <v>5231</v>
      </c>
    </row>
    <row r="165" spans="1:58" ht="24.75" customHeight="1">
      <c r="A165" s="90" t="s">
        <v>5221</v>
      </c>
      <c r="B165" s="90"/>
      <c r="C165" s="90"/>
      <c r="D165" s="91">
        <v>45928.402453703697</v>
      </c>
      <c r="E165" s="90" t="s">
        <v>5222</v>
      </c>
      <c r="F165" s="92"/>
      <c r="G165" s="90" t="s">
        <v>5455</v>
      </c>
      <c r="H165" s="90" t="s">
        <v>5366</v>
      </c>
      <c r="I165" s="90" t="s">
        <v>5367</v>
      </c>
      <c r="J165" s="90" t="s">
        <v>5251</v>
      </c>
      <c r="K165" s="93">
        <v>60</v>
      </c>
      <c r="L165" s="93">
        <v>2</v>
      </c>
      <c r="M165" s="93">
        <v>120</v>
      </c>
      <c r="N165" s="93">
        <v>120</v>
      </c>
      <c r="O165" s="90" t="s">
        <v>5226</v>
      </c>
      <c r="P165" s="90"/>
      <c r="Q165" s="90" t="s">
        <v>5227</v>
      </c>
      <c r="R165" s="90"/>
      <c r="S165" s="90"/>
      <c r="T165" s="90"/>
      <c r="U165" s="90"/>
      <c r="V165" s="90"/>
      <c r="W165" s="90" t="s">
        <v>5271</v>
      </c>
      <c r="X165" s="90" t="s">
        <v>162</v>
      </c>
      <c r="Y165" s="90" t="s">
        <v>408</v>
      </c>
      <c r="Z165" s="90"/>
      <c r="AA165" s="93">
        <v>106.194690265487</v>
      </c>
      <c r="AB165" s="93">
        <v>106.194690265487</v>
      </c>
      <c r="AC165" s="93">
        <v>13</v>
      </c>
      <c r="AD165" s="93">
        <v>13.805309734513299</v>
      </c>
      <c r="AE165" s="90"/>
      <c r="AF165" s="90"/>
      <c r="AG165" s="90"/>
      <c r="AH165" s="90"/>
      <c r="AI165" s="93">
        <v>0</v>
      </c>
      <c r="AJ165" s="93">
        <v>2</v>
      </c>
      <c r="AK165" s="93">
        <v>13</v>
      </c>
      <c r="AL165" s="93">
        <v>106.19472</v>
      </c>
      <c r="AM165" s="93">
        <v>13.80528</v>
      </c>
      <c r="AN165" s="93">
        <v>120</v>
      </c>
      <c r="AO165" s="93">
        <v>-2.97345132480586E-5</v>
      </c>
      <c r="AP165" s="90" t="s">
        <v>5271</v>
      </c>
      <c r="AQ165" s="90" t="s">
        <v>5229</v>
      </c>
      <c r="AR165" s="90"/>
      <c r="AS165" s="90"/>
      <c r="AT165" s="90"/>
      <c r="AU165" s="90"/>
      <c r="AV165" s="90"/>
      <c r="AW165" s="90"/>
      <c r="AX165" s="90"/>
      <c r="AY165" s="90" t="s">
        <v>5230</v>
      </c>
      <c r="AZ165" s="90"/>
      <c r="BA165" s="90" t="s">
        <v>408</v>
      </c>
      <c r="BB165" s="91">
        <v>45928.402071759301</v>
      </c>
      <c r="BC165" s="90" t="s">
        <v>401</v>
      </c>
      <c r="BD165" s="90"/>
      <c r="BE165" s="90"/>
      <c r="BF165" s="90" t="s">
        <v>5231</v>
      </c>
    </row>
    <row r="166" spans="1:58" ht="24.75" customHeight="1">
      <c r="A166" s="90" t="s">
        <v>5221</v>
      </c>
      <c r="B166" s="90"/>
      <c r="C166" s="90"/>
      <c r="D166" s="91">
        <v>45928.402453703697</v>
      </c>
      <c r="E166" s="90" t="s">
        <v>5222</v>
      </c>
      <c r="F166" s="92"/>
      <c r="G166" s="90" t="s">
        <v>5455</v>
      </c>
      <c r="H166" s="90" t="s">
        <v>5354</v>
      </c>
      <c r="I166" s="90" t="s">
        <v>5355</v>
      </c>
      <c r="J166" s="90" t="s">
        <v>5356</v>
      </c>
      <c r="K166" s="93">
        <v>1</v>
      </c>
      <c r="L166" s="93">
        <v>180</v>
      </c>
      <c r="M166" s="93">
        <v>180</v>
      </c>
      <c r="N166" s="93">
        <v>180</v>
      </c>
      <c r="O166" s="90" t="s">
        <v>5226</v>
      </c>
      <c r="P166" s="90"/>
      <c r="Q166" s="90" t="s">
        <v>5227</v>
      </c>
      <c r="R166" s="90"/>
      <c r="S166" s="90"/>
      <c r="T166" s="90"/>
      <c r="U166" s="90"/>
      <c r="V166" s="90"/>
      <c r="W166" s="90" t="s">
        <v>5271</v>
      </c>
      <c r="X166" s="90" t="s">
        <v>162</v>
      </c>
      <c r="Y166" s="90" t="s">
        <v>408</v>
      </c>
      <c r="Z166" s="90"/>
      <c r="AA166" s="93">
        <v>159.29203539823001</v>
      </c>
      <c r="AB166" s="93">
        <v>159.29203539823001</v>
      </c>
      <c r="AC166" s="93">
        <v>13</v>
      </c>
      <c r="AD166" s="93">
        <v>20.707964601769898</v>
      </c>
      <c r="AE166" s="90"/>
      <c r="AF166" s="90"/>
      <c r="AG166" s="90"/>
      <c r="AH166" s="90"/>
      <c r="AI166" s="93">
        <v>0</v>
      </c>
      <c r="AJ166" s="93">
        <v>180</v>
      </c>
      <c r="AK166" s="93">
        <v>13</v>
      </c>
      <c r="AL166" s="93">
        <v>159.292035</v>
      </c>
      <c r="AM166" s="93">
        <v>20.707965000000002</v>
      </c>
      <c r="AN166" s="93">
        <v>180</v>
      </c>
      <c r="AO166" s="93">
        <v>3.98230099563079E-7</v>
      </c>
      <c r="AP166" s="90" t="s">
        <v>5271</v>
      </c>
      <c r="AQ166" s="90" t="s">
        <v>5229</v>
      </c>
      <c r="AR166" s="90"/>
      <c r="AS166" s="90"/>
      <c r="AT166" s="90"/>
      <c r="AU166" s="90"/>
      <c r="AV166" s="90"/>
      <c r="AW166" s="90"/>
      <c r="AX166" s="90"/>
      <c r="AY166" s="90" t="s">
        <v>5230</v>
      </c>
      <c r="AZ166" s="90"/>
      <c r="BA166" s="90" t="s">
        <v>408</v>
      </c>
      <c r="BB166" s="91">
        <v>45928.402071759301</v>
      </c>
      <c r="BC166" s="90" t="s">
        <v>401</v>
      </c>
      <c r="BD166" s="90"/>
      <c r="BE166" s="90"/>
      <c r="BF166" s="90" t="s">
        <v>5231</v>
      </c>
    </row>
    <row r="167" spans="1:58" ht="24.75" customHeight="1">
      <c r="A167" s="90" t="s">
        <v>5221</v>
      </c>
      <c r="B167" s="90"/>
      <c r="C167" s="90"/>
      <c r="D167" s="91">
        <v>45928.402453703697</v>
      </c>
      <c r="E167" s="90" t="s">
        <v>5222</v>
      </c>
      <c r="F167" s="92"/>
      <c r="G167" s="90" t="s">
        <v>5455</v>
      </c>
      <c r="H167" s="90" t="s">
        <v>5349</v>
      </c>
      <c r="I167" s="90" t="s">
        <v>5350</v>
      </c>
      <c r="J167" s="90" t="s">
        <v>5351</v>
      </c>
      <c r="K167" s="93">
        <v>1</v>
      </c>
      <c r="L167" s="93">
        <v>60</v>
      </c>
      <c r="M167" s="93">
        <v>60</v>
      </c>
      <c r="N167" s="93">
        <v>60</v>
      </c>
      <c r="O167" s="90" t="s">
        <v>5226</v>
      </c>
      <c r="P167" s="90"/>
      <c r="Q167" s="90" t="s">
        <v>5227</v>
      </c>
      <c r="R167" s="90"/>
      <c r="S167" s="90"/>
      <c r="T167" s="90"/>
      <c r="U167" s="90"/>
      <c r="V167" s="90"/>
      <c r="W167" s="90" t="s">
        <v>5271</v>
      </c>
      <c r="X167" s="90" t="s">
        <v>162</v>
      </c>
      <c r="Y167" s="90" t="s">
        <v>408</v>
      </c>
      <c r="Z167" s="90"/>
      <c r="AA167" s="93">
        <v>53.097345132743399</v>
      </c>
      <c r="AB167" s="93">
        <v>53.097345132743399</v>
      </c>
      <c r="AC167" s="93">
        <v>13</v>
      </c>
      <c r="AD167" s="93">
        <v>6.9026548672566301</v>
      </c>
      <c r="AE167" s="90"/>
      <c r="AF167" s="90"/>
      <c r="AG167" s="90"/>
      <c r="AH167" s="90"/>
      <c r="AI167" s="93">
        <v>0</v>
      </c>
      <c r="AJ167" s="93">
        <v>60</v>
      </c>
      <c r="AK167" s="93">
        <v>13</v>
      </c>
      <c r="AL167" s="93">
        <v>53.097344999999997</v>
      </c>
      <c r="AM167" s="93">
        <v>6.9026550000000002</v>
      </c>
      <c r="AN167" s="93">
        <v>60</v>
      </c>
      <c r="AO167" s="93">
        <v>1.3274337362645399E-7</v>
      </c>
      <c r="AP167" s="90" t="s">
        <v>5271</v>
      </c>
      <c r="AQ167" s="90" t="s">
        <v>5239</v>
      </c>
      <c r="AR167" s="90"/>
      <c r="AS167" s="90"/>
      <c r="AT167" s="90"/>
      <c r="AU167" s="90"/>
      <c r="AV167" s="90"/>
      <c r="AW167" s="90"/>
      <c r="AX167" s="90"/>
      <c r="AY167" s="90" t="s">
        <v>5230</v>
      </c>
      <c r="AZ167" s="90"/>
      <c r="BA167" s="90" t="s">
        <v>408</v>
      </c>
      <c r="BB167" s="91">
        <v>45928.402071759301</v>
      </c>
      <c r="BC167" s="90" t="s">
        <v>401</v>
      </c>
      <c r="BD167" s="90"/>
      <c r="BE167" s="90"/>
      <c r="BF167" s="90" t="s">
        <v>5231</v>
      </c>
    </row>
    <row r="168" spans="1:58" ht="24.75" customHeight="1">
      <c r="A168" s="90" t="s">
        <v>5221</v>
      </c>
      <c r="B168" s="90"/>
      <c r="C168" s="90"/>
      <c r="D168" s="91">
        <v>45928.4082291667</v>
      </c>
      <c r="E168" s="90" t="s">
        <v>5222</v>
      </c>
      <c r="F168" s="92"/>
      <c r="G168" s="90" t="s">
        <v>5458</v>
      </c>
      <c r="H168" s="90" t="s">
        <v>5354</v>
      </c>
      <c r="I168" s="90" t="s">
        <v>5355</v>
      </c>
      <c r="J168" s="90" t="s">
        <v>5356</v>
      </c>
      <c r="K168" s="93">
        <v>1</v>
      </c>
      <c r="L168" s="93">
        <v>180</v>
      </c>
      <c r="M168" s="93">
        <v>180</v>
      </c>
      <c r="N168" s="93">
        <v>180</v>
      </c>
      <c r="O168" s="90" t="s">
        <v>5226</v>
      </c>
      <c r="P168" s="90"/>
      <c r="Q168" s="90" t="s">
        <v>5227</v>
      </c>
      <c r="R168" s="90"/>
      <c r="S168" s="90"/>
      <c r="T168" s="90"/>
      <c r="U168" s="90"/>
      <c r="V168" s="90"/>
      <c r="W168" s="90" t="s">
        <v>5271</v>
      </c>
      <c r="X168" s="90" t="s">
        <v>162</v>
      </c>
      <c r="Y168" s="90" t="s">
        <v>408</v>
      </c>
      <c r="Z168" s="90"/>
      <c r="AA168" s="93">
        <v>159.29203539823001</v>
      </c>
      <c r="AB168" s="93">
        <v>159.29203539823001</v>
      </c>
      <c r="AC168" s="93">
        <v>13</v>
      </c>
      <c r="AD168" s="93">
        <v>20.707964601769898</v>
      </c>
      <c r="AE168" s="90"/>
      <c r="AF168" s="90"/>
      <c r="AG168" s="90"/>
      <c r="AH168" s="90"/>
      <c r="AI168" s="93">
        <v>0</v>
      </c>
      <c r="AJ168" s="93">
        <v>180</v>
      </c>
      <c r="AK168" s="93">
        <v>13</v>
      </c>
      <c r="AL168" s="93">
        <v>159.292035</v>
      </c>
      <c r="AM168" s="93">
        <v>20.707965000000002</v>
      </c>
      <c r="AN168" s="93">
        <v>180</v>
      </c>
      <c r="AO168" s="93">
        <v>3.98230099563079E-7</v>
      </c>
      <c r="AP168" s="90" t="s">
        <v>5271</v>
      </c>
      <c r="AQ168" s="90" t="s">
        <v>5229</v>
      </c>
      <c r="AR168" s="90"/>
      <c r="AS168" s="90"/>
      <c r="AT168" s="90"/>
      <c r="AU168" s="90"/>
      <c r="AV168" s="90"/>
      <c r="AW168" s="90"/>
      <c r="AX168" s="90"/>
      <c r="AY168" s="90" t="s">
        <v>5230</v>
      </c>
      <c r="AZ168" s="90"/>
      <c r="BA168" s="90" t="s">
        <v>408</v>
      </c>
      <c r="BB168" s="91">
        <v>45928.406192129602</v>
      </c>
      <c r="BC168" s="90" t="s">
        <v>401</v>
      </c>
      <c r="BD168" s="90"/>
      <c r="BE168" s="90"/>
      <c r="BF168" s="90" t="s">
        <v>5231</v>
      </c>
    </row>
    <row r="169" spans="1:58" ht="24.75" customHeight="1">
      <c r="A169" s="90" t="s">
        <v>5221</v>
      </c>
      <c r="B169" s="90"/>
      <c r="C169" s="90"/>
      <c r="D169" s="91">
        <v>45928.4082291667</v>
      </c>
      <c r="E169" s="90" t="s">
        <v>5222</v>
      </c>
      <c r="F169" s="92"/>
      <c r="G169" s="90" t="s">
        <v>5458</v>
      </c>
      <c r="H169" s="90" t="s">
        <v>5359</v>
      </c>
      <c r="I169" s="90" t="s">
        <v>5360</v>
      </c>
      <c r="J169" s="90" t="s">
        <v>5356</v>
      </c>
      <c r="K169" s="93">
        <v>12</v>
      </c>
      <c r="L169" s="93">
        <v>60</v>
      </c>
      <c r="M169" s="93">
        <v>720</v>
      </c>
      <c r="N169" s="93">
        <v>720</v>
      </c>
      <c r="O169" s="90" t="s">
        <v>5226</v>
      </c>
      <c r="P169" s="90"/>
      <c r="Q169" s="90" t="s">
        <v>5227</v>
      </c>
      <c r="R169" s="90"/>
      <c r="S169" s="90"/>
      <c r="T169" s="90"/>
      <c r="U169" s="90"/>
      <c r="V169" s="90"/>
      <c r="W169" s="90" t="s">
        <v>5271</v>
      </c>
      <c r="X169" s="90" t="s">
        <v>162</v>
      </c>
      <c r="Y169" s="90" t="s">
        <v>408</v>
      </c>
      <c r="Z169" s="90"/>
      <c r="AA169" s="93">
        <v>637.16814159292005</v>
      </c>
      <c r="AB169" s="93">
        <v>637.16814159292005</v>
      </c>
      <c r="AC169" s="93">
        <v>13</v>
      </c>
      <c r="AD169" s="93">
        <v>82.831858407079594</v>
      </c>
      <c r="AE169" s="90"/>
      <c r="AF169" s="90"/>
      <c r="AG169" s="90"/>
      <c r="AH169" s="90"/>
      <c r="AI169" s="93">
        <v>0</v>
      </c>
      <c r="AJ169" s="93">
        <v>60</v>
      </c>
      <c r="AK169" s="93">
        <v>13</v>
      </c>
      <c r="AL169" s="93">
        <v>637.16813999999999</v>
      </c>
      <c r="AM169" s="93">
        <v>82.831860000000006</v>
      </c>
      <c r="AN169" s="93">
        <v>720</v>
      </c>
      <c r="AO169" s="93">
        <v>1.59292039825232E-6</v>
      </c>
      <c r="AP169" s="90" t="s">
        <v>5271</v>
      </c>
      <c r="AQ169" s="90" t="s">
        <v>498</v>
      </c>
      <c r="AR169" s="90"/>
      <c r="AS169" s="90"/>
      <c r="AT169" s="90"/>
      <c r="AU169" s="90"/>
      <c r="AV169" s="90"/>
      <c r="AW169" s="90"/>
      <c r="AX169" s="90"/>
      <c r="AY169" s="90" t="s">
        <v>5230</v>
      </c>
      <c r="AZ169" s="90"/>
      <c r="BA169" s="90" t="s">
        <v>408</v>
      </c>
      <c r="BB169" s="91">
        <v>45928.406192129602</v>
      </c>
      <c r="BC169" s="90" t="s">
        <v>401</v>
      </c>
      <c r="BD169" s="90"/>
      <c r="BE169" s="90"/>
      <c r="BF169" s="90" t="s">
        <v>5231</v>
      </c>
    </row>
    <row r="170" spans="1:58" ht="24.75" customHeight="1">
      <c r="A170" s="90" t="s">
        <v>5221</v>
      </c>
      <c r="B170" s="90"/>
      <c r="C170" s="90"/>
      <c r="D170" s="91">
        <v>45928.4082291667</v>
      </c>
      <c r="E170" s="90" t="s">
        <v>5222</v>
      </c>
      <c r="F170" s="92"/>
      <c r="G170" s="90" t="s">
        <v>5458</v>
      </c>
      <c r="H170" s="90" t="s">
        <v>5372</v>
      </c>
      <c r="I170" s="90" t="s">
        <v>5373</v>
      </c>
      <c r="J170" s="90" t="s">
        <v>5374</v>
      </c>
      <c r="K170" s="93">
        <v>1</v>
      </c>
      <c r="L170" s="93">
        <v>430</v>
      </c>
      <c r="M170" s="93">
        <v>430</v>
      </c>
      <c r="N170" s="93">
        <v>430</v>
      </c>
      <c r="O170" s="90" t="s">
        <v>5226</v>
      </c>
      <c r="P170" s="90"/>
      <c r="Q170" s="90" t="s">
        <v>5227</v>
      </c>
      <c r="R170" s="90"/>
      <c r="S170" s="90"/>
      <c r="T170" s="90"/>
      <c r="U170" s="90"/>
      <c r="V170" s="90"/>
      <c r="W170" s="90" t="s">
        <v>5271</v>
      </c>
      <c r="X170" s="90" t="s">
        <v>162</v>
      </c>
      <c r="Y170" s="90" t="s">
        <v>408</v>
      </c>
      <c r="Z170" s="90"/>
      <c r="AA170" s="93">
        <v>380.53097345132699</v>
      </c>
      <c r="AB170" s="93">
        <v>380.53097345132699</v>
      </c>
      <c r="AC170" s="93">
        <v>13</v>
      </c>
      <c r="AD170" s="93">
        <v>49.469026548672502</v>
      </c>
      <c r="AE170" s="90"/>
      <c r="AF170" s="90"/>
      <c r="AG170" s="90"/>
      <c r="AH170" s="90"/>
      <c r="AI170" s="93">
        <v>0</v>
      </c>
      <c r="AJ170" s="93">
        <v>430</v>
      </c>
      <c r="AK170" s="93">
        <v>13</v>
      </c>
      <c r="AL170" s="93">
        <v>380.53097300000002</v>
      </c>
      <c r="AM170" s="93">
        <v>49.469026999999997</v>
      </c>
      <c r="AN170" s="93">
        <v>430</v>
      </c>
      <c r="AO170" s="93">
        <v>4.5132748027754101E-7</v>
      </c>
      <c r="AP170" s="90" t="s">
        <v>5271</v>
      </c>
      <c r="AQ170" s="90" t="s">
        <v>498</v>
      </c>
      <c r="AR170" s="90"/>
      <c r="AS170" s="90"/>
      <c r="AT170" s="90"/>
      <c r="AU170" s="90"/>
      <c r="AV170" s="90"/>
      <c r="AW170" s="90"/>
      <c r="AX170" s="90"/>
      <c r="AY170" s="90" t="s">
        <v>5230</v>
      </c>
      <c r="AZ170" s="90"/>
      <c r="BA170" s="90" t="s">
        <v>408</v>
      </c>
      <c r="BB170" s="91">
        <v>45928.406192129602</v>
      </c>
      <c r="BC170" s="90" t="s">
        <v>401</v>
      </c>
      <c r="BD170" s="90"/>
      <c r="BE170" s="90"/>
      <c r="BF170" s="90" t="s">
        <v>5231</v>
      </c>
    </row>
    <row r="171" spans="1:58" ht="24.75" customHeight="1">
      <c r="A171" s="90" t="s">
        <v>5221</v>
      </c>
      <c r="B171" s="90"/>
      <c r="C171" s="90"/>
      <c r="D171" s="91">
        <v>45928.4082291667</v>
      </c>
      <c r="E171" s="90" t="s">
        <v>5222</v>
      </c>
      <c r="F171" s="92"/>
      <c r="G171" s="90" t="s">
        <v>5458</v>
      </c>
      <c r="H171" s="90" t="s">
        <v>5366</v>
      </c>
      <c r="I171" s="90" t="s">
        <v>5367</v>
      </c>
      <c r="J171" s="90" t="s">
        <v>5251</v>
      </c>
      <c r="K171" s="93">
        <v>60</v>
      </c>
      <c r="L171" s="93">
        <v>2</v>
      </c>
      <c r="M171" s="93">
        <v>120</v>
      </c>
      <c r="N171" s="93">
        <v>120</v>
      </c>
      <c r="O171" s="90" t="s">
        <v>5226</v>
      </c>
      <c r="P171" s="90"/>
      <c r="Q171" s="90" t="s">
        <v>5227</v>
      </c>
      <c r="R171" s="90"/>
      <c r="S171" s="90"/>
      <c r="T171" s="90"/>
      <c r="U171" s="90"/>
      <c r="V171" s="90"/>
      <c r="W171" s="90" t="s">
        <v>5271</v>
      </c>
      <c r="X171" s="90" t="s">
        <v>162</v>
      </c>
      <c r="Y171" s="90" t="s">
        <v>408</v>
      </c>
      <c r="Z171" s="90"/>
      <c r="AA171" s="93">
        <v>106.194690265487</v>
      </c>
      <c r="AB171" s="93">
        <v>106.194690265487</v>
      </c>
      <c r="AC171" s="93">
        <v>13</v>
      </c>
      <c r="AD171" s="93">
        <v>13.805309734513299</v>
      </c>
      <c r="AE171" s="90"/>
      <c r="AF171" s="90"/>
      <c r="AG171" s="90"/>
      <c r="AH171" s="90"/>
      <c r="AI171" s="93">
        <v>0</v>
      </c>
      <c r="AJ171" s="93">
        <v>2</v>
      </c>
      <c r="AK171" s="93">
        <v>13</v>
      </c>
      <c r="AL171" s="93">
        <v>106.19472</v>
      </c>
      <c r="AM171" s="93">
        <v>13.80528</v>
      </c>
      <c r="AN171" s="93">
        <v>120</v>
      </c>
      <c r="AO171" s="93">
        <v>-2.97345132480586E-5</v>
      </c>
      <c r="AP171" s="90" t="s">
        <v>5271</v>
      </c>
      <c r="AQ171" s="90" t="s">
        <v>5229</v>
      </c>
      <c r="AR171" s="90"/>
      <c r="AS171" s="90"/>
      <c r="AT171" s="90"/>
      <c r="AU171" s="90"/>
      <c r="AV171" s="90"/>
      <c r="AW171" s="90"/>
      <c r="AX171" s="90"/>
      <c r="AY171" s="90" t="s">
        <v>5230</v>
      </c>
      <c r="AZ171" s="90"/>
      <c r="BA171" s="90" t="s">
        <v>408</v>
      </c>
      <c r="BB171" s="91">
        <v>45928.406192129602</v>
      </c>
      <c r="BC171" s="90" t="s">
        <v>401</v>
      </c>
      <c r="BD171" s="90"/>
      <c r="BE171" s="90"/>
      <c r="BF171" s="90" t="s">
        <v>5231</v>
      </c>
    </row>
    <row r="172" spans="1:58" ht="24.75" customHeight="1">
      <c r="A172" s="90" t="s">
        <v>5221</v>
      </c>
      <c r="B172" s="90"/>
      <c r="C172" s="90"/>
      <c r="D172" s="91">
        <v>45928.4082291667</v>
      </c>
      <c r="E172" s="90" t="s">
        <v>5222</v>
      </c>
      <c r="F172" s="92"/>
      <c r="G172" s="90" t="s">
        <v>5458</v>
      </c>
      <c r="H172" s="90" t="s">
        <v>5354</v>
      </c>
      <c r="I172" s="90" t="s">
        <v>5355</v>
      </c>
      <c r="J172" s="90" t="s">
        <v>5356</v>
      </c>
      <c r="K172" s="93">
        <v>1</v>
      </c>
      <c r="L172" s="93">
        <v>180</v>
      </c>
      <c r="M172" s="93">
        <v>180</v>
      </c>
      <c r="N172" s="93">
        <v>180</v>
      </c>
      <c r="O172" s="90" t="s">
        <v>5226</v>
      </c>
      <c r="P172" s="90"/>
      <c r="Q172" s="90" t="s">
        <v>5227</v>
      </c>
      <c r="R172" s="90"/>
      <c r="S172" s="90"/>
      <c r="T172" s="90"/>
      <c r="U172" s="90"/>
      <c r="V172" s="90"/>
      <c r="W172" s="90" t="s">
        <v>5271</v>
      </c>
      <c r="X172" s="90" t="s">
        <v>162</v>
      </c>
      <c r="Y172" s="90" t="s">
        <v>408</v>
      </c>
      <c r="Z172" s="90"/>
      <c r="AA172" s="93">
        <v>159.29203539823001</v>
      </c>
      <c r="AB172" s="93">
        <v>159.29203539823001</v>
      </c>
      <c r="AC172" s="93">
        <v>13</v>
      </c>
      <c r="AD172" s="93">
        <v>20.707964601769898</v>
      </c>
      <c r="AE172" s="90"/>
      <c r="AF172" s="90"/>
      <c r="AG172" s="90"/>
      <c r="AH172" s="90"/>
      <c r="AI172" s="93">
        <v>0</v>
      </c>
      <c r="AJ172" s="93">
        <v>180</v>
      </c>
      <c r="AK172" s="93">
        <v>13</v>
      </c>
      <c r="AL172" s="93">
        <v>159.292035</v>
      </c>
      <c r="AM172" s="93">
        <v>20.707965000000002</v>
      </c>
      <c r="AN172" s="93">
        <v>180</v>
      </c>
      <c r="AO172" s="93">
        <v>3.98230099563079E-7</v>
      </c>
      <c r="AP172" s="90" t="s">
        <v>5271</v>
      </c>
      <c r="AQ172" s="90" t="s">
        <v>5229</v>
      </c>
      <c r="AR172" s="90"/>
      <c r="AS172" s="90"/>
      <c r="AT172" s="90"/>
      <c r="AU172" s="90"/>
      <c r="AV172" s="90"/>
      <c r="AW172" s="90"/>
      <c r="AX172" s="90"/>
      <c r="AY172" s="90" t="s">
        <v>5230</v>
      </c>
      <c r="AZ172" s="90"/>
      <c r="BA172" s="90" t="s">
        <v>408</v>
      </c>
      <c r="BB172" s="91">
        <v>45928.406192129602</v>
      </c>
      <c r="BC172" s="90" t="s">
        <v>401</v>
      </c>
      <c r="BD172" s="90"/>
      <c r="BE172" s="90"/>
      <c r="BF172" s="90" t="s">
        <v>5231</v>
      </c>
    </row>
    <row r="173" spans="1:58" ht="24.75" customHeight="1">
      <c r="A173" s="90" t="s">
        <v>5221</v>
      </c>
      <c r="B173" s="90"/>
      <c r="C173" s="90"/>
      <c r="D173" s="91">
        <v>45928.444131944401</v>
      </c>
      <c r="E173" s="90" t="s">
        <v>5222</v>
      </c>
      <c r="F173" s="92"/>
      <c r="G173" s="90" t="s">
        <v>5459</v>
      </c>
      <c r="H173" s="90" t="s">
        <v>5368</v>
      </c>
      <c r="I173" s="90" t="s">
        <v>5369</v>
      </c>
      <c r="J173" s="90" t="s">
        <v>5370</v>
      </c>
      <c r="K173" s="93">
        <v>1</v>
      </c>
      <c r="L173" s="93">
        <v>120</v>
      </c>
      <c r="M173" s="93">
        <v>120</v>
      </c>
      <c r="N173" s="93">
        <v>120</v>
      </c>
      <c r="O173" s="90" t="s">
        <v>5226</v>
      </c>
      <c r="P173" s="90"/>
      <c r="Q173" s="90" t="s">
        <v>5227</v>
      </c>
      <c r="R173" s="90"/>
      <c r="S173" s="90"/>
      <c r="T173" s="90"/>
      <c r="U173" s="90"/>
      <c r="V173" s="90"/>
      <c r="W173" s="90" t="s">
        <v>5271</v>
      </c>
      <c r="X173" s="90" t="s">
        <v>162</v>
      </c>
      <c r="Y173" s="90" t="s">
        <v>408</v>
      </c>
      <c r="Z173" s="90"/>
      <c r="AA173" s="93">
        <v>106.194690265487</v>
      </c>
      <c r="AB173" s="93">
        <v>106.194690265487</v>
      </c>
      <c r="AC173" s="93">
        <v>13</v>
      </c>
      <c r="AD173" s="93">
        <v>13.805309734513299</v>
      </c>
      <c r="AE173" s="90"/>
      <c r="AF173" s="90"/>
      <c r="AG173" s="90"/>
      <c r="AH173" s="90"/>
      <c r="AI173" s="93">
        <v>0</v>
      </c>
      <c r="AJ173" s="93">
        <v>120</v>
      </c>
      <c r="AK173" s="93">
        <v>13</v>
      </c>
      <c r="AL173" s="93">
        <v>106.19468999999999</v>
      </c>
      <c r="AM173" s="93">
        <v>13.80531</v>
      </c>
      <c r="AN173" s="93">
        <v>120</v>
      </c>
      <c r="AO173" s="93">
        <v>2.6548674725290798E-7</v>
      </c>
      <c r="AP173" s="90" t="s">
        <v>5271</v>
      </c>
      <c r="AQ173" s="90" t="s">
        <v>5229</v>
      </c>
      <c r="AR173" s="90"/>
      <c r="AS173" s="90"/>
      <c r="AT173" s="90"/>
      <c r="AU173" s="90"/>
      <c r="AV173" s="90"/>
      <c r="AW173" s="90"/>
      <c r="AX173" s="90"/>
      <c r="AY173" s="90" t="s">
        <v>5230</v>
      </c>
      <c r="AZ173" s="90"/>
      <c r="BA173" s="90" t="s">
        <v>408</v>
      </c>
      <c r="BB173" s="91">
        <v>45928.443865740701</v>
      </c>
      <c r="BC173" s="90" t="s">
        <v>401</v>
      </c>
      <c r="BD173" s="90"/>
      <c r="BE173" s="90"/>
      <c r="BF173" s="90" t="s">
        <v>5231</v>
      </c>
    </row>
    <row r="174" spans="1:58" ht="24.75" customHeight="1">
      <c r="A174" s="90" t="s">
        <v>5221</v>
      </c>
      <c r="B174" s="90"/>
      <c r="C174" s="90"/>
      <c r="D174" s="91">
        <v>45928.444131944401</v>
      </c>
      <c r="E174" s="90" t="s">
        <v>5222</v>
      </c>
      <c r="F174" s="92"/>
      <c r="G174" s="90" t="s">
        <v>5459</v>
      </c>
      <c r="H174" s="90" t="s">
        <v>5349</v>
      </c>
      <c r="I174" s="90" t="s">
        <v>5350</v>
      </c>
      <c r="J174" s="90" t="s">
        <v>5351</v>
      </c>
      <c r="K174" s="93">
        <v>1</v>
      </c>
      <c r="L174" s="93">
        <v>60</v>
      </c>
      <c r="M174" s="93">
        <v>60</v>
      </c>
      <c r="N174" s="93">
        <v>60</v>
      </c>
      <c r="O174" s="90" t="s">
        <v>5226</v>
      </c>
      <c r="P174" s="90"/>
      <c r="Q174" s="90" t="s">
        <v>5227</v>
      </c>
      <c r="R174" s="90"/>
      <c r="S174" s="90"/>
      <c r="T174" s="90"/>
      <c r="U174" s="90"/>
      <c r="V174" s="90"/>
      <c r="W174" s="90" t="s">
        <v>5271</v>
      </c>
      <c r="X174" s="90" t="s">
        <v>162</v>
      </c>
      <c r="Y174" s="90" t="s">
        <v>408</v>
      </c>
      <c r="Z174" s="90"/>
      <c r="AA174" s="93">
        <v>53.097345132743399</v>
      </c>
      <c r="AB174" s="93">
        <v>53.097345132743399</v>
      </c>
      <c r="AC174" s="93">
        <v>13</v>
      </c>
      <c r="AD174" s="93">
        <v>6.9026548672566301</v>
      </c>
      <c r="AE174" s="90"/>
      <c r="AF174" s="90"/>
      <c r="AG174" s="90"/>
      <c r="AH174" s="90"/>
      <c r="AI174" s="93">
        <v>0</v>
      </c>
      <c r="AJ174" s="93">
        <v>60</v>
      </c>
      <c r="AK174" s="93">
        <v>13</v>
      </c>
      <c r="AL174" s="93">
        <v>53.097344999999997</v>
      </c>
      <c r="AM174" s="93">
        <v>6.9026550000000002</v>
      </c>
      <c r="AN174" s="93">
        <v>60</v>
      </c>
      <c r="AO174" s="93">
        <v>1.3274337362645399E-7</v>
      </c>
      <c r="AP174" s="90" t="s">
        <v>5271</v>
      </c>
      <c r="AQ174" s="90" t="s">
        <v>5239</v>
      </c>
      <c r="AR174" s="90"/>
      <c r="AS174" s="90"/>
      <c r="AT174" s="90"/>
      <c r="AU174" s="90"/>
      <c r="AV174" s="90"/>
      <c r="AW174" s="90"/>
      <c r="AX174" s="90"/>
      <c r="AY174" s="90" t="s">
        <v>5230</v>
      </c>
      <c r="AZ174" s="90"/>
      <c r="BA174" s="90" t="s">
        <v>408</v>
      </c>
      <c r="BB174" s="91">
        <v>45928.443865740701</v>
      </c>
      <c r="BC174" s="90" t="s">
        <v>401</v>
      </c>
      <c r="BD174" s="90"/>
      <c r="BE174" s="90"/>
      <c r="BF174" s="90" t="s">
        <v>5231</v>
      </c>
    </row>
    <row r="175" spans="1:58" ht="24.75" customHeight="1">
      <c r="A175" s="90" t="s">
        <v>5221</v>
      </c>
      <c r="B175" s="90"/>
      <c r="C175" s="90"/>
      <c r="D175" s="91">
        <v>45928.572407407402</v>
      </c>
      <c r="E175" s="90" t="s">
        <v>5222</v>
      </c>
      <c r="F175" s="92"/>
      <c r="G175" s="90" t="s">
        <v>5460</v>
      </c>
      <c r="H175" s="90" t="s">
        <v>5461</v>
      </c>
      <c r="I175" s="90" t="s">
        <v>5462</v>
      </c>
      <c r="J175" s="90" t="s">
        <v>5351</v>
      </c>
      <c r="K175" s="93">
        <v>0.9</v>
      </c>
      <c r="L175" s="93">
        <v>320</v>
      </c>
      <c r="M175" s="93">
        <v>288</v>
      </c>
      <c r="N175" s="93">
        <v>288</v>
      </c>
      <c r="O175" s="90" t="s">
        <v>5226</v>
      </c>
      <c r="P175" s="90"/>
      <c r="Q175" s="90" t="s">
        <v>5227</v>
      </c>
      <c r="R175" s="90"/>
      <c r="S175" s="90"/>
      <c r="T175" s="90"/>
      <c r="U175" s="90"/>
      <c r="V175" s="90"/>
      <c r="W175" s="90" t="s">
        <v>5271</v>
      </c>
      <c r="X175" s="90" t="s">
        <v>162</v>
      </c>
      <c r="Y175" s="90" t="s">
        <v>408</v>
      </c>
      <c r="Z175" s="90"/>
      <c r="AA175" s="93">
        <v>254.867256637168</v>
      </c>
      <c r="AB175" s="93">
        <v>254.867256637168</v>
      </c>
      <c r="AC175" s="93">
        <v>13</v>
      </c>
      <c r="AD175" s="93">
        <v>33.132743362831803</v>
      </c>
      <c r="AE175" s="90"/>
      <c r="AF175" s="90"/>
      <c r="AG175" s="90"/>
      <c r="AH175" s="90"/>
      <c r="AI175" s="93">
        <v>0</v>
      </c>
      <c r="AJ175" s="93">
        <v>320</v>
      </c>
      <c r="AK175" s="93">
        <v>13</v>
      </c>
      <c r="AL175" s="93">
        <v>254.8672569</v>
      </c>
      <c r="AM175" s="93">
        <v>33.132743099999999</v>
      </c>
      <c r="AN175" s="93">
        <v>288</v>
      </c>
      <c r="AO175" s="93">
        <v>-2.62831832742449E-7</v>
      </c>
      <c r="AP175" s="90" t="s">
        <v>5271</v>
      </c>
      <c r="AQ175" s="90" t="s">
        <v>5229</v>
      </c>
      <c r="AR175" s="90"/>
      <c r="AS175" s="90"/>
      <c r="AT175" s="90"/>
      <c r="AU175" s="90"/>
      <c r="AV175" s="90"/>
      <c r="AW175" s="90"/>
      <c r="AX175" s="90"/>
      <c r="AY175" s="90" t="s">
        <v>5230</v>
      </c>
      <c r="AZ175" s="90"/>
      <c r="BA175" s="90" t="s">
        <v>408</v>
      </c>
      <c r="BB175" s="91">
        <v>45928.572141203702</v>
      </c>
      <c r="BC175" s="90" t="s">
        <v>401</v>
      </c>
      <c r="BD175" s="90"/>
      <c r="BE175" s="90"/>
      <c r="BF175" s="90" t="s">
        <v>5231</v>
      </c>
    </row>
    <row r="176" spans="1:58" ht="24.75" customHeight="1">
      <c r="A176" s="90" t="s">
        <v>5221</v>
      </c>
      <c r="B176" s="90"/>
      <c r="C176" s="90"/>
      <c r="D176" s="91">
        <v>45928.572407407402</v>
      </c>
      <c r="E176" s="90" t="s">
        <v>5222</v>
      </c>
      <c r="F176" s="92"/>
      <c r="G176" s="90" t="s">
        <v>5460</v>
      </c>
      <c r="H176" s="90" t="s">
        <v>5463</v>
      </c>
      <c r="I176" s="90" t="s">
        <v>5464</v>
      </c>
      <c r="J176" s="90" t="s">
        <v>5351</v>
      </c>
      <c r="K176" s="93">
        <v>2.6</v>
      </c>
      <c r="L176" s="93">
        <v>360</v>
      </c>
      <c r="M176" s="93">
        <v>936</v>
      </c>
      <c r="N176" s="93">
        <v>936</v>
      </c>
      <c r="O176" s="90" t="s">
        <v>5226</v>
      </c>
      <c r="P176" s="90"/>
      <c r="Q176" s="90" t="s">
        <v>5227</v>
      </c>
      <c r="R176" s="90"/>
      <c r="S176" s="90"/>
      <c r="T176" s="90"/>
      <c r="U176" s="90"/>
      <c r="V176" s="90"/>
      <c r="W176" s="90" t="s">
        <v>5271</v>
      </c>
      <c r="X176" s="90" t="s">
        <v>162</v>
      </c>
      <c r="Y176" s="90" t="s">
        <v>408</v>
      </c>
      <c r="Z176" s="90"/>
      <c r="AA176" s="93">
        <v>828.31858407079699</v>
      </c>
      <c r="AB176" s="93">
        <v>828.31858407079699</v>
      </c>
      <c r="AC176" s="93">
        <v>13</v>
      </c>
      <c r="AD176" s="93">
        <v>107.681415929203</v>
      </c>
      <c r="AE176" s="90"/>
      <c r="AF176" s="90"/>
      <c r="AG176" s="90"/>
      <c r="AH176" s="90"/>
      <c r="AI176" s="93">
        <v>0</v>
      </c>
      <c r="AJ176" s="93">
        <v>360</v>
      </c>
      <c r="AK176" s="93">
        <v>13</v>
      </c>
      <c r="AL176" s="93">
        <v>828.31858460000001</v>
      </c>
      <c r="AM176" s="93">
        <v>107.68141540000001</v>
      </c>
      <c r="AN176" s="93">
        <v>936</v>
      </c>
      <c r="AO176" s="93">
        <v>-5.2920347570761795E-7</v>
      </c>
      <c r="AP176" s="90" t="s">
        <v>5271</v>
      </c>
      <c r="AQ176" s="90" t="s">
        <v>5229</v>
      </c>
      <c r="AR176" s="90"/>
      <c r="AS176" s="90"/>
      <c r="AT176" s="90"/>
      <c r="AU176" s="90"/>
      <c r="AV176" s="90"/>
      <c r="AW176" s="90"/>
      <c r="AX176" s="90"/>
      <c r="AY176" s="90" t="s">
        <v>5230</v>
      </c>
      <c r="AZ176" s="90"/>
      <c r="BA176" s="90" t="s">
        <v>408</v>
      </c>
      <c r="BB176" s="91">
        <v>45928.572141203702</v>
      </c>
      <c r="BC176" s="90" t="s">
        <v>401</v>
      </c>
      <c r="BD176" s="90"/>
      <c r="BE176" s="90"/>
      <c r="BF176" s="90" t="s">
        <v>5231</v>
      </c>
    </row>
    <row r="177" spans="1:58" ht="24.75" customHeight="1">
      <c r="A177" s="90" t="s">
        <v>5221</v>
      </c>
      <c r="B177" s="90"/>
      <c r="C177" s="90"/>
      <c r="D177" s="91">
        <v>45928.572407407402</v>
      </c>
      <c r="E177" s="90" t="s">
        <v>5222</v>
      </c>
      <c r="F177" s="92"/>
      <c r="G177" s="90" t="s">
        <v>5460</v>
      </c>
      <c r="H177" s="90" t="s">
        <v>5465</v>
      </c>
      <c r="I177" s="90" t="s">
        <v>5466</v>
      </c>
      <c r="J177" s="90" t="s">
        <v>5351</v>
      </c>
      <c r="K177" s="93">
        <v>0.9</v>
      </c>
      <c r="L177" s="93">
        <v>240</v>
      </c>
      <c r="M177" s="93">
        <v>216</v>
      </c>
      <c r="N177" s="93">
        <v>216</v>
      </c>
      <c r="O177" s="90" t="s">
        <v>5226</v>
      </c>
      <c r="P177" s="90"/>
      <c r="Q177" s="90" t="s">
        <v>5227</v>
      </c>
      <c r="R177" s="90"/>
      <c r="S177" s="90"/>
      <c r="T177" s="90"/>
      <c r="U177" s="90"/>
      <c r="V177" s="90"/>
      <c r="W177" s="90" t="s">
        <v>5271</v>
      </c>
      <c r="X177" s="90" t="s">
        <v>162</v>
      </c>
      <c r="Y177" s="90" t="s">
        <v>408</v>
      </c>
      <c r="Z177" s="90"/>
      <c r="AA177" s="93">
        <v>191.150442477876</v>
      </c>
      <c r="AB177" s="93">
        <v>191.150442477876</v>
      </c>
      <c r="AC177" s="93">
        <v>13</v>
      </c>
      <c r="AD177" s="93">
        <v>24.849557522123899</v>
      </c>
      <c r="AE177" s="90"/>
      <c r="AF177" s="90"/>
      <c r="AG177" s="90"/>
      <c r="AH177" s="90"/>
      <c r="AI177" s="93">
        <v>0</v>
      </c>
      <c r="AJ177" s="93">
        <v>240</v>
      </c>
      <c r="AK177" s="93">
        <v>13</v>
      </c>
      <c r="AL177" s="93">
        <v>191.1504429</v>
      </c>
      <c r="AM177" s="93">
        <v>24.849557099999998</v>
      </c>
      <c r="AN177" s="93">
        <v>216</v>
      </c>
      <c r="AO177" s="93">
        <v>-4.2212388962070701E-7</v>
      </c>
      <c r="AP177" s="90" t="s">
        <v>5271</v>
      </c>
      <c r="AQ177" s="90" t="s">
        <v>5229</v>
      </c>
      <c r="AR177" s="90"/>
      <c r="AS177" s="90"/>
      <c r="AT177" s="90"/>
      <c r="AU177" s="90"/>
      <c r="AV177" s="90"/>
      <c r="AW177" s="90"/>
      <c r="AX177" s="90"/>
      <c r="AY177" s="90" t="s">
        <v>5230</v>
      </c>
      <c r="AZ177" s="90"/>
      <c r="BA177" s="90" t="s">
        <v>408</v>
      </c>
      <c r="BB177" s="91">
        <v>45928.572141203702</v>
      </c>
      <c r="BC177" s="90" t="s">
        <v>401</v>
      </c>
      <c r="BD177" s="90"/>
      <c r="BE177" s="90"/>
      <c r="BF177" s="90" t="s">
        <v>5231</v>
      </c>
    </row>
    <row r="178" spans="1:58" ht="24.75" customHeight="1">
      <c r="A178" s="90" t="s">
        <v>5221</v>
      </c>
      <c r="B178" s="90"/>
      <c r="C178" s="90"/>
      <c r="D178" s="91">
        <v>45928.574363425898</v>
      </c>
      <c r="E178" s="90" t="s">
        <v>5222</v>
      </c>
      <c r="F178" s="92"/>
      <c r="G178" s="90" t="s">
        <v>5467</v>
      </c>
      <c r="H178" s="90" t="s">
        <v>5465</v>
      </c>
      <c r="I178" s="90" t="s">
        <v>5466</v>
      </c>
      <c r="J178" s="90" t="s">
        <v>5351</v>
      </c>
      <c r="K178" s="93">
        <v>1.3</v>
      </c>
      <c r="L178" s="93">
        <v>240</v>
      </c>
      <c r="M178" s="93">
        <v>312</v>
      </c>
      <c r="N178" s="93">
        <v>312</v>
      </c>
      <c r="O178" s="90" t="s">
        <v>5226</v>
      </c>
      <c r="P178" s="90"/>
      <c r="Q178" s="90" t="s">
        <v>5227</v>
      </c>
      <c r="R178" s="90"/>
      <c r="S178" s="90"/>
      <c r="T178" s="90"/>
      <c r="U178" s="90"/>
      <c r="V178" s="90"/>
      <c r="W178" s="90" t="s">
        <v>5271</v>
      </c>
      <c r="X178" s="90" t="s">
        <v>162</v>
      </c>
      <c r="Y178" s="90" t="s">
        <v>408</v>
      </c>
      <c r="Z178" s="90"/>
      <c r="AA178" s="93">
        <v>276.10619469026602</v>
      </c>
      <c r="AB178" s="93">
        <v>276.10619469026602</v>
      </c>
      <c r="AC178" s="93">
        <v>13</v>
      </c>
      <c r="AD178" s="93">
        <v>35.893805309734503</v>
      </c>
      <c r="AE178" s="90"/>
      <c r="AF178" s="90"/>
      <c r="AG178" s="90"/>
      <c r="AH178" s="90"/>
      <c r="AI178" s="93">
        <v>0</v>
      </c>
      <c r="AJ178" s="93">
        <v>240</v>
      </c>
      <c r="AK178" s="93">
        <v>13</v>
      </c>
      <c r="AL178" s="93">
        <v>276.10619530000002</v>
      </c>
      <c r="AM178" s="93">
        <v>35.893804699999997</v>
      </c>
      <c r="AN178" s="93">
        <v>312</v>
      </c>
      <c r="AO178" s="93">
        <v>-6.0973445670242697E-7</v>
      </c>
      <c r="AP178" s="90" t="s">
        <v>5271</v>
      </c>
      <c r="AQ178" s="90" t="s">
        <v>5229</v>
      </c>
      <c r="AR178" s="90"/>
      <c r="AS178" s="90"/>
      <c r="AT178" s="90"/>
      <c r="AU178" s="90"/>
      <c r="AV178" s="90"/>
      <c r="AW178" s="90"/>
      <c r="AX178" s="90"/>
      <c r="AY178" s="90" t="s">
        <v>5230</v>
      </c>
      <c r="AZ178" s="90"/>
      <c r="BA178" s="90" t="s">
        <v>408</v>
      </c>
      <c r="BB178" s="91">
        <v>45928.574131944399</v>
      </c>
      <c r="BC178" s="90" t="s">
        <v>401</v>
      </c>
      <c r="BD178" s="90"/>
      <c r="BE178" s="90"/>
      <c r="BF178" s="90" t="s">
        <v>5231</v>
      </c>
    </row>
    <row r="179" spans="1:58" ht="24.75" customHeight="1">
      <c r="A179" s="90" t="s">
        <v>5221</v>
      </c>
      <c r="B179" s="90"/>
      <c r="C179" s="90"/>
      <c r="D179" s="91">
        <v>45928.574363425898</v>
      </c>
      <c r="E179" s="90" t="s">
        <v>5222</v>
      </c>
      <c r="F179" s="92"/>
      <c r="G179" s="90" t="s">
        <v>5467</v>
      </c>
      <c r="H179" s="90" t="s">
        <v>5463</v>
      </c>
      <c r="I179" s="90" t="s">
        <v>5464</v>
      </c>
      <c r="J179" s="90" t="s">
        <v>5351</v>
      </c>
      <c r="K179" s="93">
        <v>0.9</v>
      </c>
      <c r="L179" s="93">
        <v>360</v>
      </c>
      <c r="M179" s="93">
        <v>324</v>
      </c>
      <c r="N179" s="93">
        <v>324</v>
      </c>
      <c r="O179" s="90" t="s">
        <v>5226</v>
      </c>
      <c r="P179" s="90"/>
      <c r="Q179" s="90" t="s">
        <v>5227</v>
      </c>
      <c r="R179" s="90"/>
      <c r="S179" s="90"/>
      <c r="T179" s="90"/>
      <c r="U179" s="90"/>
      <c r="V179" s="90"/>
      <c r="W179" s="90" t="s">
        <v>5271</v>
      </c>
      <c r="X179" s="90" t="s">
        <v>162</v>
      </c>
      <c r="Y179" s="90" t="s">
        <v>408</v>
      </c>
      <c r="Z179" s="90"/>
      <c r="AA179" s="93">
        <v>286.72566371681398</v>
      </c>
      <c r="AB179" s="93">
        <v>286.72566371681398</v>
      </c>
      <c r="AC179" s="93">
        <v>13</v>
      </c>
      <c r="AD179" s="93">
        <v>37.274336283185797</v>
      </c>
      <c r="AE179" s="90"/>
      <c r="AF179" s="90"/>
      <c r="AG179" s="90"/>
      <c r="AH179" s="90"/>
      <c r="AI179" s="93">
        <v>0</v>
      </c>
      <c r="AJ179" s="93">
        <v>360</v>
      </c>
      <c r="AK179" s="93">
        <v>13</v>
      </c>
      <c r="AL179" s="93">
        <v>286.72566389999997</v>
      </c>
      <c r="AM179" s="93">
        <v>37.274336099999999</v>
      </c>
      <c r="AN179" s="93">
        <v>324</v>
      </c>
      <c r="AO179" s="93">
        <v>-1.83185818514175E-7</v>
      </c>
      <c r="AP179" s="90" t="s">
        <v>5271</v>
      </c>
      <c r="AQ179" s="90" t="s">
        <v>5229</v>
      </c>
      <c r="AR179" s="90"/>
      <c r="AS179" s="90"/>
      <c r="AT179" s="90"/>
      <c r="AU179" s="90"/>
      <c r="AV179" s="90"/>
      <c r="AW179" s="90"/>
      <c r="AX179" s="90"/>
      <c r="AY179" s="90" t="s">
        <v>5230</v>
      </c>
      <c r="AZ179" s="90"/>
      <c r="BA179" s="90" t="s">
        <v>408</v>
      </c>
      <c r="BB179" s="91">
        <v>45928.574131944399</v>
      </c>
      <c r="BC179" s="90" t="s">
        <v>401</v>
      </c>
      <c r="BD179" s="90"/>
      <c r="BE179" s="90"/>
      <c r="BF179" s="90" t="s">
        <v>5231</v>
      </c>
    </row>
    <row r="180" spans="1:58" ht="24.75" customHeight="1">
      <c r="A180" s="90" t="s">
        <v>5221</v>
      </c>
      <c r="B180" s="90"/>
      <c r="C180" s="90"/>
      <c r="D180" s="91">
        <v>45928.574363425898</v>
      </c>
      <c r="E180" s="90" t="s">
        <v>5222</v>
      </c>
      <c r="F180" s="92"/>
      <c r="G180" s="90" t="s">
        <v>5467</v>
      </c>
      <c r="H180" s="90" t="s">
        <v>5461</v>
      </c>
      <c r="I180" s="90" t="s">
        <v>5462</v>
      </c>
      <c r="J180" s="90" t="s">
        <v>5351</v>
      </c>
      <c r="K180" s="93">
        <v>1.6</v>
      </c>
      <c r="L180" s="93">
        <v>320</v>
      </c>
      <c r="M180" s="93">
        <v>512</v>
      </c>
      <c r="N180" s="93">
        <v>512</v>
      </c>
      <c r="O180" s="90" t="s">
        <v>5226</v>
      </c>
      <c r="P180" s="90"/>
      <c r="Q180" s="90" t="s">
        <v>5227</v>
      </c>
      <c r="R180" s="90"/>
      <c r="S180" s="90"/>
      <c r="T180" s="90"/>
      <c r="U180" s="90"/>
      <c r="V180" s="90"/>
      <c r="W180" s="90" t="s">
        <v>5271</v>
      </c>
      <c r="X180" s="90" t="s">
        <v>162</v>
      </c>
      <c r="Y180" s="90" t="s">
        <v>408</v>
      </c>
      <c r="Z180" s="90"/>
      <c r="AA180" s="93">
        <v>453.09734513274299</v>
      </c>
      <c r="AB180" s="93">
        <v>453.09734513274299</v>
      </c>
      <c r="AC180" s="93">
        <v>13</v>
      </c>
      <c r="AD180" s="93">
        <v>58.902654867256601</v>
      </c>
      <c r="AE180" s="90"/>
      <c r="AF180" s="90"/>
      <c r="AG180" s="90"/>
      <c r="AH180" s="90"/>
      <c r="AI180" s="93">
        <v>0</v>
      </c>
      <c r="AJ180" s="93">
        <v>320</v>
      </c>
      <c r="AK180" s="93">
        <v>13</v>
      </c>
      <c r="AL180" s="93">
        <v>453.09734559999998</v>
      </c>
      <c r="AM180" s="93">
        <v>58.902654400000003</v>
      </c>
      <c r="AN180" s="93">
        <v>512</v>
      </c>
      <c r="AO180" s="93">
        <v>-4.6725659785806799E-7</v>
      </c>
      <c r="AP180" s="90" t="s">
        <v>5271</v>
      </c>
      <c r="AQ180" s="90" t="s">
        <v>5229</v>
      </c>
      <c r="AR180" s="90"/>
      <c r="AS180" s="90"/>
      <c r="AT180" s="90"/>
      <c r="AU180" s="90"/>
      <c r="AV180" s="90"/>
      <c r="AW180" s="90"/>
      <c r="AX180" s="90"/>
      <c r="AY180" s="90" t="s">
        <v>5230</v>
      </c>
      <c r="AZ180" s="90"/>
      <c r="BA180" s="90" t="s">
        <v>408</v>
      </c>
      <c r="BB180" s="91">
        <v>45928.574131944399</v>
      </c>
      <c r="BC180" s="90" t="s">
        <v>401</v>
      </c>
      <c r="BD180" s="90"/>
      <c r="BE180" s="90"/>
      <c r="BF180" s="90" t="s">
        <v>5231</v>
      </c>
    </row>
    <row r="181" spans="1:58" ht="24.75" customHeight="1">
      <c r="A181" s="90" t="s">
        <v>5221</v>
      </c>
      <c r="B181" s="90"/>
      <c r="C181" s="90"/>
      <c r="D181" s="91">
        <v>45928.576516203699</v>
      </c>
      <c r="E181" s="90" t="s">
        <v>5222</v>
      </c>
      <c r="F181" s="92"/>
      <c r="G181" s="90" t="s">
        <v>5468</v>
      </c>
      <c r="H181" s="90" t="s">
        <v>5461</v>
      </c>
      <c r="I181" s="90" t="s">
        <v>5462</v>
      </c>
      <c r="J181" s="90" t="s">
        <v>5351</v>
      </c>
      <c r="K181" s="93">
        <v>1.3</v>
      </c>
      <c r="L181" s="93">
        <v>320</v>
      </c>
      <c r="M181" s="93">
        <v>416</v>
      </c>
      <c r="N181" s="93">
        <v>416</v>
      </c>
      <c r="O181" s="90" t="s">
        <v>5226</v>
      </c>
      <c r="P181" s="90"/>
      <c r="Q181" s="90" t="s">
        <v>5227</v>
      </c>
      <c r="R181" s="90"/>
      <c r="S181" s="90"/>
      <c r="T181" s="90"/>
      <c r="U181" s="90"/>
      <c r="V181" s="90"/>
      <c r="W181" s="90" t="s">
        <v>5271</v>
      </c>
      <c r="X181" s="90" t="s">
        <v>162</v>
      </c>
      <c r="Y181" s="90" t="s">
        <v>408</v>
      </c>
      <c r="Z181" s="90"/>
      <c r="AA181" s="93">
        <v>368.14159292035401</v>
      </c>
      <c r="AB181" s="93">
        <v>368.14159292035401</v>
      </c>
      <c r="AC181" s="93">
        <v>13</v>
      </c>
      <c r="AD181" s="93">
        <v>47.858407079646</v>
      </c>
      <c r="AE181" s="90"/>
      <c r="AF181" s="90"/>
      <c r="AG181" s="90"/>
      <c r="AH181" s="90"/>
      <c r="AI181" s="93">
        <v>0</v>
      </c>
      <c r="AJ181" s="93">
        <v>320</v>
      </c>
      <c r="AK181" s="93">
        <v>13</v>
      </c>
      <c r="AL181" s="93">
        <v>368.14159330000001</v>
      </c>
      <c r="AM181" s="93">
        <v>47.858406700000003</v>
      </c>
      <c r="AN181" s="93">
        <v>416</v>
      </c>
      <c r="AO181" s="93">
        <v>-3.7964599641782099E-7</v>
      </c>
      <c r="AP181" s="90" t="s">
        <v>5271</v>
      </c>
      <c r="AQ181" s="90" t="s">
        <v>5229</v>
      </c>
      <c r="AR181" s="90"/>
      <c r="AS181" s="90"/>
      <c r="AT181" s="90"/>
      <c r="AU181" s="90"/>
      <c r="AV181" s="90"/>
      <c r="AW181" s="90"/>
      <c r="AX181" s="90"/>
      <c r="AY181" s="90" t="s">
        <v>5230</v>
      </c>
      <c r="AZ181" s="90"/>
      <c r="BA181" s="90" t="s">
        <v>408</v>
      </c>
      <c r="BB181" s="91">
        <v>45928.576273148101</v>
      </c>
      <c r="BC181" s="90" t="s">
        <v>401</v>
      </c>
      <c r="BD181" s="90"/>
      <c r="BE181" s="90"/>
      <c r="BF181" s="90" t="s">
        <v>5231</v>
      </c>
    </row>
    <row r="182" spans="1:58" ht="24.75" customHeight="1">
      <c r="A182" s="90" t="s">
        <v>5221</v>
      </c>
      <c r="B182" s="90"/>
      <c r="C182" s="90"/>
      <c r="D182" s="91">
        <v>45928.576516203699</v>
      </c>
      <c r="E182" s="90" t="s">
        <v>5222</v>
      </c>
      <c r="F182" s="92"/>
      <c r="G182" s="90" t="s">
        <v>5468</v>
      </c>
      <c r="H182" s="90" t="s">
        <v>5463</v>
      </c>
      <c r="I182" s="90" t="s">
        <v>5464</v>
      </c>
      <c r="J182" s="90" t="s">
        <v>5351</v>
      </c>
      <c r="K182" s="93">
        <v>3.2</v>
      </c>
      <c r="L182" s="93">
        <v>360</v>
      </c>
      <c r="M182" s="93">
        <v>1152</v>
      </c>
      <c r="N182" s="93">
        <v>1152</v>
      </c>
      <c r="O182" s="90" t="s">
        <v>5226</v>
      </c>
      <c r="P182" s="90"/>
      <c r="Q182" s="90" t="s">
        <v>5227</v>
      </c>
      <c r="R182" s="90"/>
      <c r="S182" s="90"/>
      <c r="T182" s="90"/>
      <c r="U182" s="90"/>
      <c r="V182" s="90"/>
      <c r="W182" s="90" t="s">
        <v>5271</v>
      </c>
      <c r="X182" s="90" t="s">
        <v>162</v>
      </c>
      <c r="Y182" s="90" t="s">
        <v>408</v>
      </c>
      <c r="Z182" s="90"/>
      <c r="AA182" s="93">
        <v>1019.4690265486699</v>
      </c>
      <c r="AB182" s="93">
        <v>1019.4690265486699</v>
      </c>
      <c r="AC182" s="93">
        <v>13</v>
      </c>
      <c r="AD182" s="93">
        <v>132.53097345132699</v>
      </c>
      <c r="AE182" s="90"/>
      <c r="AF182" s="90"/>
      <c r="AG182" s="90"/>
      <c r="AH182" s="90"/>
      <c r="AI182" s="93">
        <v>0</v>
      </c>
      <c r="AJ182" s="93">
        <v>360</v>
      </c>
      <c r="AK182" s="93">
        <v>13</v>
      </c>
      <c r="AL182" s="93">
        <v>1019.4690272</v>
      </c>
      <c r="AM182" s="93">
        <v>132.5309728</v>
      </c>
      <c r="AN182" s="93">
        <v>1152</v>
      </c>
      <c r="AO182" s="93">
        <v>-6.5132735471706795E-7</v>
      </c>
      <c r="AP182" s="90" t="s">
        <v>5271</v>
      </c>
      <c r="AQ182" s="90" t="s">
        <v>5229</v>
      </c>
      <c r="AR182" s="90"/>
      <c r="AS182" s="90"/>
      <c r="AT182" s="90"/>
      <c r="AU182" s="90"/>
      <c r="AV182" s="90"/>
      <c r="AW182" s="90"/>
      <c r="AX182" s="90"/>
      <c r="AY182" s="90" t="s">
        <v>5230</v>
      </c>
      <c r="AZ182" s="90"/>
      <c r="BA182" s="90" t="s">
        <v>408</v>
      </c>
      <c r="BB182" s="91">
        <v>45928.576273148101</v>
      </c>
      <c r="BC182" s="90" t="s">
        <v>401</v>
      </c>
      <c r="BD182" s="90"/>
      <c r="BE182" s="90"/>
      <c r="BF182" s="90" t="s">
        <v>5231</v>
      </c>
    </row>
    <row r="183" spans="1:58" ht="24.75" customHeight="1">
      <c r="A183" s="90" t="s">
        <v>5221</v>
      </c>
      <c r="B183" s="90"/>
      <c r="C183" s="90"/>
      <c r="D183" s="91">
        <v>45928.5780324074</v>
      </c>
      <c r="E183" s="90" t="s">
        <v>5222</v>
      </c>
      <c r="F183" s="92"/>
      <c r="G183" s="90" t="s">
        <v>5469</v>
      </c>
      <c r="H183" s="90" t="s">
        <v>5463</v>
      </c>
      <c r="I183" s="90" t="s">
        <v>5464</v>
      </c>
      <c r="J183" s="90" t="s">
        <v>5351</v>
      </c>
      <c r="K183" s="93">
        <v>1</v>
      </c>
      <c r="L183" s="93">
        <v>360</v>
      </c>
      <c r="M183" s="93">
        <v>360</v>
      </c>
      <c r="N183" s="93">
        <v>360</v>
      </c>
      <c r="O183" s="90" t="s">
        <v>5226</v>
      </c>
      <c r="P183" s="90"/>
      <c r="Q183" s="90" t="s">
        <v>5227</v>
      </c>
      <c r="R183" s="90"/>
      <c r="S183" s="90"/>
      <c r="T183" s="90"/>
      <c r="U183" s="90"/>
      <c r="V183" s="90"/>
      <c r="W183" s="90" t="s">
        <v>5271</v>
      </c>
      <c r="X183" s="90" t="s">
        <v>162</v>
      </c>
      <c r="Y183" s="90" t="s">
        <v>408</v>
      </c>
      <c r="Z183" s="90"/>
      <c r="AA183" s="93">
        <v>318.58407079646003</v>
      </c>
      <c r="AB183" s="93">
        <v>318.58407079646003</v>
      </c>
      <c r="AC183" s="93">
        <v>13</v>
      </c>
      <c r="AD183" s="93">
        <v>41.415929203539797</v>
      </c>
      <c r="AE183" s="90"/>
      <c r="AF183" s="90"/>
      <c r="AG183" s="90"/>
      <c r="AH183" s="90"/>
      <c r="AI183" s="93">
        <v>0</v>
      </c>
      <c r="AJ183" s="93">
        <v>360</v>
      </c>
      <c r="AK183" s="93">
        <v>13</v>
      </c>
      <c r="AL183" s="93">
        <v>318.58407099999999</v>
      </c>
      <c r="AM183" s="93">
        <v>41.415928999999998</v>
      </c>
      <c r="AN183" s="93">
        <v>360</v>
      </c>
      <c r="AO183" s="93">
        <v>-2.03539798349084E-7</v>
      </c>
      <c r="AP183" s="90" t="s">
        <v>5271</v>
      </c>
      <c r="AQ183" s="90" t="s">
        <v>5229</v>
      </c>
      <c r="AR183" s="90"/>
      <c r="AS183" s="90"/>
      <c r="AT183" s="90"/>
      <c r="AU183" s="90"/>
      <c r="AV183" s="90"/>
      <c r="AW183" s="90"/>
      <c r="AX183" s="90"/>
      <c r="AY183" s="90" t="s">
        <v>5230</v>
      </c>
      <c r="AZ183" s="90"/>
      <c r="BA183" s="90" t="s">
        <v>408</v>
      </c>
      <c r="BB183" s="91">
        <v>45928.577824074098</v>
      </c>
      <c r="BC183" s="90" t="s">
        <v>401</v>
      </c>
      <c r="BD183" s="90"/>
      <c r="BE183" s="90"/>
      <c r="BF183" s="90" t="s">
        <v>5231</v>
      </c>
    </row>
    <row r="184" spans="1:58" ht="24.75" customHeight="1">
      <c r="A184" s="90" t="s">
        <v>5221</v>
      </c>
      <c r="B184" s="90"/>
      <c r="C184" s="90"/>
      <c r="D184" s="91">
        <v>45928.462615740696</v>
      </c>
      <c r="E184" s="90" t="s">
        <v>5222</v>
      </c>
      <c r="F184" s="92"/>
      <c r="G184" s="90" t="s">
        <v>5470</v>
      </c>
      <c r="H184" s="90" t="s">
        <v>5361</v>
      </c>
      <c r="I184" s="90" t="s">
        <v>5362</v>
      </c>
      <c r="J184" s="90" t="s">
        <v>5251</v>
      </c>
      <c r="K184" s="93">
        <v>200</v>
      </c>
      <c r="L184" s="93">
        <v>3</v>
      </c>
      <c r="M184" s="93">
        <v>600</v>
      </c>
      <c r="N184" s="93">
        <v>600</v>
      </c>
      <c r="O184" s="90" t="s">
        <v>5226</v>
      </c>
      <c r="P184" s="90"/>
      <c r="Q184" s="90" t="s">
        <v>5227</v>
      </c>
      <c r="R184" s="90"/>
      <c r="S184" s="90"/>
      <c r="T184" s="90"/>
      <c r="U184" s="90"/>
      <c r="V184" s="90"/>
      <c r="W184" s="90" t="s">
        <v>5271</v>
      </c>
      <c r="X184" s="90" t="s">
        <v>162</v>
      </c>
      <c r="Y184" s="90" t="s">
        <v>408</v>
      </c>
      <c r="Z184" s="90"/>
      <c r="AA184" s="93">
        <v>530.97345132743396</v>
      </c>
      <c r="AB184" s="93">
        <v>530.97345132743396</v>
      </c>
      <c r="AC184" s="93">
        <v>13</v>
      </c>
      <c r="AD184" s="93">
        <v>69.026548672566307</v>
      </c>
      <c r="AE184" s="90"/>
      <c r="AF184" s="90"/>
      <c r="AG184" s="90"/>
      <c r="AH184" s="90"/>
      <c r="AI184" s="93">
        <v>0</v>
      </c>
      <c r="AJ184" s="93">
        <v>3</v>
      </c>
      <c r="AK184" s="93">
        <v>13</v>
      </c>
      <c r="AL184" s="93">
        <v>530.97339999999997</v>
      </c>
      <c r="AM184" s="93">
        <v>69.026600000000002</v>
      </c>
      <c r="AN184" s="93">
        <v>600</v>
      </c>
      <c r="AO184" s="93">
        <v>5.1327433652659197E-5</v>
      </c>
      <c r="AP184" s="90" t="s">
        <v>5271</v>
      </c>
      <c r="AQ184" s="90" t="s">
        <v>5229</v>
      </c>
      <c r="AR184" s="90"/>
      <c r="AS184" s="90"/>
      <c r="AT184" s="90"/>
      <c r="AU184" s="90"/>
      <c r="AV184" s="90"/>
      <c r="AW184" s="90"/>
      <c r="AX184" s="90"/>
      <c r="AY184" s="90" t="s">
        <v>5230</v>
      </c>
      <c r="AZ184" s="90"/>
      <c r="BA184" s="90" t="s">
        <v>408</v>
      </c>
      <c r="BB184" s="91">
        <v>45928.462222222202</v>
      </c>
      <c r="BC184" s="90" t="s">
        <v>401</v>
      </c>
      <c r="BD184" s="90"/>
      <c r="BE184" s="90"/>
      <c r="BF184" s="90" t="s">
        <v>5231</v>
      </c>
    </row>
    <row r="185" spans="1:58" ht="24.75" customHeight="1">
      <c r="A185" s="90" t="s">
        <v>5221</v>
      </c>
      <c r="B185" s="90"/>
      <c r="C185" s="90"/>
      <c r="D185" s="91">
        <v>45928.462615740696</v>
      </c>
      <c r="E185" s="90" t="s">
        <v>5222</v>
      </c>
      <c r="F185" s="92"/>
      <c r="G185" s="90" t="s">
        <v>5470</v>
      </c>
      <c r="H185" s="90" t="s">
        <v>5354</v>
      </c>
      <c r="I185" s="90" t="s">
        <v>5355</v>
      </c>
      <c r="J185" s="90" t="s">
        <v>5356</v>
      </c>
      <c r="K185" s="93">
        <v>1</v>
      </c>
      <c r="L185" s="93">
        <v>180</v>
      </c>
      <c r="M185" s="93">
        <v>180</v>
      </c>
      <c r="N185" s="93">
        <v>180</v>
      </c>
      <c r="O185" s="90" t="s">
        <v>5226</v>
      </c>
      <c r="P185" s="90"/>
      <c r="Q185" s="90" t="s">
        <v>5227</v>
      </c>
      <c r="R185" s="90"/>
      <c r="S185" s="90"/>
      <c r="T185" s="90"/>
      <c r="U185" s="90"/>
      <c r="V185" s="90"/>
      <c r="W185" s="90" t="s">
        <v>5271</v>
      </c>
      <c r="X185" s="90" t="s">
        <v>162</v>
      </c>
      <c r="Y185" s="90" t="s">
        <v>408</v>
      </c>
      <c r="Z185" s="90"/>
      <c r="AA185" s="93">
        <v>159.29203539823001</v>
      </c>
      <c r="AB185" s="93">
        <v>159.29203539823001</v>
      </c>
      <c r="AC185" s="93">
        <v>13</v>
      </c>
      <c r="AD185" s="93">
        <v>20.707964601769898</v>
      </c>
      <c r="AE185" s="90"/>
      <c r="AF185" s="90"/>
      <c r="AG185" s="90"/>
      <c r="AH185" s="90"/>
      <c r="AI185" s="93">
        <v>0</v>
      </c>
      <c r="AJ185" s="93">
        <v>180</v>
      </c>
      <c r="AK185" s="93">
        <v>13</v>
      </c>
      <c r="AL185" s="93">
        <v>159.292035</v>
      </c>
      <c r="AM185" s="93">
        <v>20.707965000000002</v>
      </c>
      <c r="AN185" s="93">
        <v>180</v>
      </c>
      <c r="AO185" s="93">
        <v>3.98230099563079E-7</v>
      </c>
      <c r="AP185" s="90" t="s">
        <v>5271</v>
      </c>
      <c r="AQ185" s="90" t="s">
        <v>5229</v>
      </c>
      <c r="AR185" s="90"/>
      <c r="AS185" s="90"/>
      <c r="AT185" s="90"/>
      <c r="AU185" s="90"/>
      <c r="AV185" s="90"/>
      <c r="AW185" s="90"/>
      <c r="AX185" s="90"/>
      <c r="AY185" s="90" t="s">
        <v>5230</v>
      </c>
      <c r="AZ185" s="90"/>
      <c r="BA185" s="90" t="s">
        <v>408</v>
      </c>
      <c r="BB185" s="91">
        <v>45928.462222222202</v>
      </c>
      <c r="BC185" s="90" t="s">
        <v>401</v>
      </c>
      <c r="BD185" s="90"/>
      <c r="BE185" s="90"/>
      <c r="BF185" s="90" t="s">
        <v>5231</v>
      </c>
    </row>
    <row r="186" spans="1:58" ht="24.75" customHeight="1">
      <c r="A186" s="90" t="s">
        <v>5221</v>
      </c>
      <c r="B186" s="90"/>
      <c r="C186" s="90"/>
      <c r="D186" s="91">
        <v>45928.462615740696</v>
      </c>
      <c r="E186" s="90" t="s">
        <v>5222</v>
      </c>
      <c r="F186" s="92"/>
      <c r="G186" s="90" t="s">
        <v>5470</v>
      </c>
      <c r="H186" s="90" t="s">
        <v>5471</v>
      </c>
      <c r="I186" s="90" t="s">
        <v>5472</v>
      </c>
      <c r="J186" s="90" t="s">
        <v>5267</v>
      </c>
      <c r="K186" s="93">
        <v>1</v>
      </c>
      <c r="L186" s="93">
        <v>25</v>
      </c>
      <c r="M186" s="93">
        <v>25</v>
      </c>
      <c r="N186" s="93">
        <v>25</v>
      </c>
      <c r="O186" s="90" t="s">
        <v>5226</v>
      </c>
      <c r="P186" s="90"/>
      <c r="Q186" s="90" t="s">
        <v>5227</v>
      </c>
      <c r="R186" s="90"/>
      <c r="S186" s="90"/>
      <c r="T186" s="90"/>
      <c r="U186" s="90"/>
      <c r="V186" s="90"/>
      <c r="W186" s="90" t="s">
        <v>5271</v>
      </c>
      <c r="X186" s="90" t="s">
        <v>162</v>
      </c>
      <c r="Y186" s="90" t="s">
        <v>408</v>
      </c>
      <c r="Z186" s="90"/>
      <c r="AA186" s="93">
        <v>22.123893805309699</v>
      </c>
      <c r="AB186" s="93">
        <v>22.123893805309699</v>
      </c>
      <c r="AC186" s="93">
        <v>13</v>
      </c>
      <c r="AD186" s="93">
        <v>2.87610619469026</v>
      </c>
      <c r="AE186" s="90"/>
      <c r="AF186" s="90"/>
      <c r="AG186" s="90"/>
      <c r="AH186" s="90"/>
      <c r="AI186" s="93">
        <v>0</v>
      </c>
      <c r="AJ186" s="93">
        <v>25</v>
      </c>
      <c r="AK186" s="93">
        <v>13</v>
      </c>
      <c r="AL186" s="93">
        <v>22.123894</v>
      </c>
      <c r="AM186" s="93">
        <v>2.8761060000000001</v>
      </c>
      <c r="AN186" s="93">
        <v>25</v>
      </c>
      <c r="AO186" s="93">
        <v>-1.9469026213414501E-7</v>
      </c>
      <c r="AP186" s="90" t="s">
        <v>5271</v>
      </c>
      <c r="AQ186" s="90" t="s">
        <v>5239</v>
      </c>
      <c r="AR186" s="90"/>
      <c r="AS186" s="90"/>
      <c r="AT186" s="90"/>
      <c r="AU186" s="90"/>
      <c r="AV186" s="90"/>
      <c r="AW186" s="90"/>
      <c r="AX186" s="90"/>
      <c r="AY186" s="90" t="s">
        <v>5230</v>
      </c>
      <c r="AZ186" s="90"/>
      <c r="BA186" s="90" t="s">
        <v>408</v>
      </c>
      <c r="BB186" s="91">
        <v>45928.462222222202</v>
      </c>
      <c r="BC186" s="90" t="s">
        <v>401</v>
      </c>
      <c r="BD186" s="90"/>
      <c r="BE186" s="90"/>
      <c r="BF186" s="90" t="s">
        <v>5231</v>
      </c>
    </row>
    <row r="187" spans="1:58" ht="24.75" customHeight="1">
      <c r="A187" s="90" t="s">
        <v>5221</v>
      </c>
      <c r="B187" s="90"/>
      <c r="C187" s="90"/>
      <c r="D187" s="91">
        <v>45928.464131944398</v>
      </c>
      <c r="E187" s="90" t="s">
        <v>5222</v>
      </c>
      <c r="F187" s="92"/>
      <c r="G187" s="90" t="s">
        <v>5473</v>
      </c>
      <c r="H187" s="90" t="s">
        <v>5380</v>
      </c>
      <c r="I187" s="90" t="s">
        <v>5381</v>
      </c>
      <c r="J187" s="90" t="s">
        <v>5351</v>
      </c>
      <c r="K187" s="93">
        <v>1.2</v>
      </c>
      <c r="L187" s="93">
        <v>120</v>
      </c>
      <c r="M187" s="93">
        <v>144</v>
      </c>
      <c r="N187" s="93">
        <v>144</v>
      </c>
      <c r="O187" s="90" t="s">
        <v>5226</v>
      </c>
      <c r="P187" s="90"/>
      <c r="Q187" s="90" t="s">
        <v>5227</v>
      </c>
      <c r="R187" s="90"/>
      <c r="S187" s="90"/>
      <c r="T187" s="90"/>
      <c r="U187" s="90"/>
      <c r="V187" s="90"/>
      <c r="W187" s="90" t="s">
        <v>5271</v>
      </c>
      <c r="X187" s="90" t="s">
        <v>162</v>
      </c>
      <c r="Y187" s="90" t="s">
        <v>408</v>
      </c>
      <c r="Z187" s="90"/>
      <c r="AA187" s="93">
        <v>127.433628318584</v>
      </c>
      <c r="AB187" s="93">
        <v>127.433628318584</v>
      </c>
      <c r="AC187" s="93">
        <v>13</v>
      </c>
      <c r="AD187" s="93">
        <v>16.566371681415902</v>
      </c>
      <c r="AE187" s="90"/>
      <c r="AF187" s="90"/>
      <c r="AG187" s="90"/>
      <c r="AH187" s="90"/>
      <c r="AI187" s="93">
        <v>0</v>
      </c>
      <c r="AJ187" s="93">
        <v>120</v>
      </c>
      <c r="AK187" s="93">
        <v>13</v>
      </c>
      <c r="AL187" s="93">
        <v>127.433628</v>
      </c>
      <c r="AM187" s="93">
        <v>16.566372000000001</v>
      </c>
      <c r="AN187" s="93">
        <v>144</v>
      </c>
      <c r="AO187" s="93">
        <v>3.1858409954565998E-7</v>
      </c>
      <c r="AP187" s="90" t="s">
        <v>5271</v>
      </c>
      <c r="AQ187" s="90" t="s">
        <v>5239</v>
      </c>
      <c r="AR187" s="90"/>
      <c r="AS187" s="90"/>
      <c r="AT187" s="90"/>
      <c r="AU187" s="90"/>
      <c r="AV187" s="90"/>
      <c r="AW187" s="90"/>
      <c r="AX187" s="90"/>
      <c r="AY187" s="90" t="s">
        <v>5230</v>
      </c>
      <c r="AZ187" s="90"/>
      <c r="BA187" s="90" t="s">
        <v>408</v>
      </c>
      <c r="BB187" s="91">
        <v>45928.463831018496</v>
      </c>
      <c r="BC187" s="90" t="s">
        <v>401</v>
      </c>
      <c r="BD187" s="90"/>
      <c r="BE187" s="90"/>
      <c r="BF187" s="90" t="s">
        <v>5231</v>
      </c>
    </row>
    <row r="188" spans="1:58" ht="24.75" customHeight="1">
      <c r="A188" s="90" t="s">
        <v>5221</v>
      </c>
      <c r="B188" s="90"/>
      <c r="C188" s="90"/>
      <c r="D188" s="91">
        <v>45928.464131944398</v>
      </c>
      <c r="E188" s="90" t="s">
        <v>5222</v>
      </c>
      <c r="F188" s="92"/>
      <c r="G188" s="90" t="s">
        <v>5473</v>
      </c>
      <c r="H188" s="90" t="s">
        <v>5383</v>
      </c>
      <c r="I188" s="90" t="s">
        <v>5384</v>
      </c>
      <c r="J188" s="90" t="s">
        <v>5351</v>
      </c>
      <c r="K188" s="93">
        <v>2.6</v>
      </c>
      <c r="L188" s="93">
        <v>130</v>
      </c>
      <c r="M188" s="93">
        <v>338</v>
      </c>
      <c r="N188" s="93">
        <v>338</v>
      </c>
      <c r="O188" s="90" t="s">
        <v>5226</v>
      </c>
      <c r="P188" s="90"/>
      <c r="Q188" s="90" t="s">
        <v>5227</v>
      </c>
      <c r="R188" s="90"/>
      <c r="S188" s="90"/>
      <c r="T188" s="90"/>
      <c r="U188" s="90"/>
      <c r="V188" s="90" t="s">
        <v>5385</v>
      </c>
      <c r="W188" s="90" t="s">
        <v>5271</v>
      </c>
      <c r="X188" s="90" t="s">
        <v>162</v>
      </c>
      <c r="Y188" s="90" t="s">
        <v>408</v>
      </c>
      <c r="Z188" s="90"/>
      <c r="AA188" s="93">
        <v>299.11504424778798</v>
      </c>
      <c r="AB188" s="93">
        <v>299.11504424778798</v>
      </c>
      <c r="AC188" s="93">
        <v>13</v>
      </c>
      <c r="AD188" s="93">
        <v>38.884955752212399</v>
      </c>
      <c r="AE188" s="90"/>
      <c r="AF188" s="90"/>
      <c r="AG188" s="90"/>
      <c r="AH188" s="90"/>
      <c r="AI188" s="93">
        <v>0</v>
      </c>
      <c r="AJ188" s="93">
        <v>130</v>
      </c>
      <c r="AK188" s="93">
        <v>13</v>
      </c>
      <c r="AL188" s="93">
        <v>299.11504480000002</v>
      </c>
      <c r="AM188" s="93">
        <v>38.8849552</v>
      </c>
      <c r="AN188" s="93">
        <v>338</v>
      </c>
      <c r="AO188" s="93">
        <v>-5.5221238426383902E-7</v>
      </c>
      <c r="AP188" s="90" t="s">
        <v>5271</v>
      </c>
      <c r="AQ188" s="90" t="s">
        <v>5229</v>
      </c>
      <c r="AR188" s="90"/>
      <c r="AS188" s="90"/>
      <c r="AT188" s="90"/>
      <c r="AU188" s="90"/>
      <c r="AV188" s="90"/>
      <c r="AW188" s="90"/>
      <c r="AX188" s="90"/>
      <c r="AY188" s="90" t="s">
        <v>5230</v>
      </c>
      <c r="AZ188" s="90"/>
      <c r="BA188" s="90" t="s">
        <v>408</v>
      </c>
      <c r="BB188" s="91">
        <v>45928.463831018496</v>
      </c>
      <c r="BC188" s="90" t="s">
        <v>401</v>
      </c>
      <c r="BD188" s="90"/>
      <c r="BE188" s="90"/>
      <c r="BF188" s="90" t="s">
        <v>5231</v>
      </c>
    </row>
    <row r="189" spans="1:58" ht="24.75" customHeight="1">
      <c r="A189" s="90" t="s">
        <v>5221</v>
      </c>
      <c r="B189" s="90"/>
      <c r="C189" s="90"/>
      <c r="D189" s="91">
        <v>45928.4692013889</v>
      </c>
      <c r="E189" s="90" t="s">
        <v>5222</v>
      </c>
      <c r="F189" s="92"/>
      <c r="G189" s="90" t="s">
        <v>5474</v>
      </c>
      <c r="H189" s="90" t="s">
        <v>5380</v>
      </c>
      <c r="I189" s="90" t="s">
        <v>5381</v>
      </c>
      <c r="J189" s="90" t="s">
        <v>5351</v>
      </c>
      <c r="K189" s="93">
        <v>1.3</v>
      </c>
      <c r="L189" s="93">
        <v>120</v>
      </c>
      <c r="M189" s="93">
        <v>156</v>
      </c>
      <c r="N189" s="93">
        <v>156</v>
      </c>
      <c r="O189" s="90" t="s">
        <v>5226</v>
      </c>
      <c r="P189" s="90"/>
      <c r="Q189" s="90" t="s">
        <v>5227</v>
      </c>
      <c r="R189" s="90"/>
      <c r="S189" s="90"/>
      <c r="T189" s="90"/>
      <c r="U189" s="90"/>
      <c r="V189" s="90"/>
      <c r="W189" s="90" t="s">
        <v>5271</v>
      </c>
      <c r="X189" s="90" t="s">
        <v>162</v>
      </c>
      <c r="Y189" s="90" t="s">
        <v>408</v>
      </c>
      <c r="Z189" s="90"/>
      <c r="AA189" s="93">
        <v>138.05309734513301</v>
      </c>
      <c r="AB189" s="93">
        <v>138.05309734513301</v>
      </c>
      <c r="AC189" s="93">
        <v>13</v>
      </c>
      <c r="AD189" s="93">
        <v>17.946902654867301</v>
      </c>
      <c r="AE189" s="90"/>
      <c r="AF189" s="90"/>
      <c r="AG189" s="90"/>
      <c r="AH189" s="90"/>
      <c r="AI189" s="93">
        <v>0</v>
      </c>
      <c r="AJ189" s="93">
        <v>120</v>
      </c>
      <c r="AK189" s="93">
        <v>13</v>
      </c>
      <c r="AL189" s="93">
        <v>138.05309700000001</v>
      </c>
      <c r="AM189" s="93">
        <v>17.946902999999999</v>
      </c>
      <c r="AN189" s="93">
        <v>156</v>
      </c>
      <c r="AO189" s="93">
        <v>3.45132747270327E-7</v>
      </c>
      <c r="AP189" s="90" t="s">
        <v>5271</v>
      </c>
      <c r="AQ189" s="90" t="s">
        <v>5239</v>
      </c>
      <c r="AR189" s="90"/>
      <c r="AS189" s="90"/>
      <c r="AT189" s="90"/>
      <c r="AU189" s="90"/>
      <c r="AV189" s="90"/>
      <c r="AW189" s="90"/>
      <c r="AX189" s="90"/>
      <c r="AY189" s="90" t="s">
        <v>5230</v>
      </c>
      <c r="AZ189" s="90"/>
      <c r="BA189" s="90" t="s">
        <v>408</v>
      </c>
      <c r="BB189" s="91">
        <v>45928.469004629602</v>
      </c>
      <c r="BC189" s="90" t="s">
        <v>401</v>
      </c>
      <c r="BD189" s="90"/>
      <c r="BE189" s="90"/>
      <c r="BF189" s="90" t="s">
        <v>5231</v>
      </c>
    </row>
    <row r="190" spans="1:58" ht="24.75" customHeight="1">
      <c r="A190" s="90" t="s">
        <v>5221</v>
      </c>
      <c r="B190" s="90"/>
      <c r="C190" s="90"/>
      <c r="D190" s="91">
        <v>45928.4692013889</v>
      </c>
      <c r="E190" s="90" t="s">
        <v>5222</v>
      </c>
      <c r="F190" s="92"/>
      <c r="G190" s="90" t="s">
        <v>5474</v>
      </c>
      <c r="H190" s="90" t="s">
        <v>5383</v>
      </c>
      <c r="I190" s="90" t="s">
        <v>5384</v>
      </c>
      <c r="J190" s="90" t="s">
        <v>5351</v>
      </c>
      <c r="K190" s="93">
        <v>1.5</v>
      </c>
      <c r="L190" s="93">
        <v>130</v>
      </c>
      <c r="M190" s="93">
        <v>195</v>
      </c>
      <c r="N190" s="93">
        <v>195</v>
      </c>
      <c r="O190" s="90" t="s">
        <v>5226</v>
      </c>
      <c r="P190" s="90"/>
      <c r="Q190" s="90" t="s">
        <v>5227</v>
      </c>
      <c r="R190" s="90"/>
      <c r="S190" s="90"/>
      <c r="T190" s="90"/>
      <c r="U190" s="90"/>
      <c r="V190" s="90" t="s">
        <v>5385</v>
      </c>
      <c r="W190" s="90" t="s">
        <v>5271</v>
      </c>
      <c r="X190" s="90" t="s">
        <v>162</v>
      </c>
      <c r="Y190" s="90" t="s">
        <v>408</v>
      </c>
      <c r="Z190" s="90"/>
      <c r="AA190" s="93">
        <v>172.566371681416</v>
      </c>
      <c r="AB190" s="93">
        <v>172.566371681416</v>
      </c>
      <c r="AC190" s="93">
        <v>13</v>
      </c>
      <c r="AD190" s="93">
        <v>22.433628318584098</v>
      </c>
      <c r="AE190" s="90"/>
      <c r="AF190" s="90"/>
      <c r="AG190" s="90"/>
      <c r="AH190" s="90"/>
      <c r="AI190" s="93">
        <v>0</v>
      </c>
      <c r="AJ190" s="93">
        <v>130</v>
      </c>
      <c r="AK190" s="93">
        <v>13</v>
      </c>
      <c r="AL190" s="93">
        <v>172.566372</v>
      </c>
      <c r="AM190" s="93">
        <v>22.433627999999999</v>
      </c>
      <c r="AN190" s="93">
        <v>195</v>
      </c>
      <c r="AO190" s="93">
        <v>-3.1858405691309599E-7</v>
      </c>
      <c r="AP190" s="90" t="s">
        <v>5271</v>
      </c>
      <c r="AQ190" s="90" t="s">
        <v>5229</v>
      </c>
      <c r="AR190" s="90"/>
      <c r="AS190" s="90"/>
      <c r="AT190" s="90"/>
      <c r="AU190" s="90"/>
      <c r="AV190" s="90"/>
      <c r="AW190" s="90"/>
      <c r="AX190" s="90"/>
      <c r="AY190" s="90" t="s">
        <v>5230</v>
      </c>
      <c r="AZ190" s="90"/>
      <c r="BA190" s="90" t="s">
        <v>408</v>
      </c>
      <c r="BB190" s="91">
        <v>45928.469004629602</v>
      </c>
      <c r="BC190" s="90" t="s">
        <v>401</v>
      </c>
      <c r="BD190" s="90"/>
      <c r="BE190" s="90"/>
      <c r="BF190" s="90" t="s">
        <v>5231</v>
      </c>
    </row>
    <row r="191" spans="1:58" ht="24.75" customHeight="1">
      <c r="A191" s="90" t="s">
        <v>5221</v>
      </c>
      <c r="B191" s="90"/>
      <c r="C191" s="90"/>
      <c r="D191" s="91">
        <v>45928.470648148097</v>
      </c>
      <c r="E191" s="90" t="s">
        <v>5222</v>
      </c>
      <c r="F191" s="92"/>
      <c r="G191" s="90" t="s">
        <v>5475</v>
      </c>
      <c r="H191" s="90" t="s">
        <v>5465</v>
      </c>
      <c r="I191" s="90" t="s">
        <v>5466</v>
      </c>
      <c r="J191" s="90" t="s">
        <v>5351</v>
      </c>
      <c r="K191" s="93">
        <v>3</v>
      </c>
      <c r="L191" s="93">
        <v>240</v>
      </c>
      <c r="M191" s="93">
        <v>720</v>
      </c>
      <c r="N191" s="93">
        <v>720</v>
      </c>
      <c r="O191" s="90" t="s">
        <v>5226</v>
      </c>
      <c r="P191" s="90"/>
      <c r="Q191" s="90" t="s">
        <v>5227</v>
      </c>
      <c r="R191" s="90"/>
      <c r="S191" s="90"/>
      <c r="T191" s="90"/>
      <c r="U191" s="90"/>
      <c r="V191" s="90"/>
      <c r="W191" s="90" t="s">
        <v>5271</v>
      </c>
      <c r="X191" s="90" t="s">
        <v>162</v>
      </c>
      <c r="Y191" s="90" t="s">
        <v>408</v>
      </c>
      <c r="Z191" s="90"/>
      <c r="AA191" s="93">
        <v>637.16814159292005</v>
      </c>
      <c r="AB191" s="93">
        <v>637.16814159292005</v>
      </c>
      <c r="AC191" s="93">
        <v>13</v>
      </c>
      <c r="AD191" s="93">
        <v>82.831858407079594</v>
      </c>
      <c r="AE191" s="90"/>
      <c r="AF191" s="90"/>
      <c r="AG191" s="90"/>
      <c r="AH191" s="90"/>
      <c r="AI191" s="93">
        <v>0</v>
      </c>
      <c r="AJ191" s="93">
        <v>240</v>
      </c>
      <c r="AK191" s="93">
        <v>13</v>
      </c>
      <c r="AL191" s="93">
        <v>637.16814299999999</v>
      </c>
      <c r="AM191" s="93">
        <v>82.831856999999999</v>
      </c>
      <c r="AN191" s="93">
        <v>720</v>
      </c>
      <c r="AO191" s="93">
        <v>-1.40707959417341E-6</v>
      </c>
      <c r="AP191" s="90" t="s">
        <v>5271</v>
      </c>
      <c r="AQ191" s="90" t="s">
        <v>5229</v>
      </c>
      <c r="AR191" s="90"/>
      <c r="AS191" s="90"/>
      <c r="AT191" s="90"/>
      <c r="AU191" s="90"/>
      <c r="AV191" s="90"/>
      <c r="AW191" s="90"/>
      <c r="AX191" s="90"/>
      <c r="AY191" s="90" t="s">
        <v>5230</v>
      </c>
      <c r="AZ191" s="90"/>
      <c r="BA191" s="90" t="s">
        <v>408</v>
      </c>
      <c r="BB191" s="91">
        <v>45928.470289351899</v>
      </c>
      <c r="BC191" s="90" t="s">
        <v>401</v>
      </c>
      <c r="BD191" s="90"/>
      <c r="BE191" s="90"/>
      <c r="BF191" s="90" t="s">
        <v>5231</v>
      </c>
    </row>
    <row r="192" spans="1:58" ht="24.75" customHeight="1">
      <c r="A192" s="90" t="s">
        <v>5221</v>
      </c>
      <c r="B192" s="90"/>
      <c r="C192" s="90"/>
      <c r="D192" s="91">
        <v>45928.470648148097</v>
      </c>
      <c r="E192" s="90" t="s">
        <v>5222</v>
      </c>
      <c r="F192" s="92"/>
      <c r="G192" s="90" t="s">
        <v>5475</v>
      </c>
      <c r="H192" s="90" t="s">
        <v>5461</v>
      </c>
      <c r="I192" s="90" t="s">
        <v>5462</v>
      </c>
      <c r="J192" s="90" t="s">
        <v>5351</v>
      </c>
      <c r="K192" s="93">
        <v>1.4</v>
      </c>
      <c r="L192" s="93">
        <v>320</v>
      </c>
      <c r="M192" s="93">
        <v>448</v>
      </c>
      <c r="N192" s="93">
        <v>448</v>
      </c>
      <c r="O192" s="90" t="s">
        <v>5226</v>
      </c>
      <c r="P192" s="90"/>
      <c r="Q192" s="90" t="s">
        <v>5227</v>
      </c>
      <c r="R192" s="90"/>
      <c r="S192" s="90"/>
      <c r="T192" s="90"/>
      <c r="U192" s="90"/>
      <c r="V192" s="90"/>
      <c r="W192" s="90" t="s">
        <v>5271</v>
      </c>
      <c r="X192" s="90" t="s">
        <v>162</v>
      </c>
      <c r="Y192" s="90" t="s">
        <v>408</v>
      </c>
      <c r="Z192" s="90"/>
      <c r="AA192" s="93">
        <v>396.46017699114998</v>
      </c>
      <c r="AB192" s="93">
        <v>396.46017699114998</v>
      </c>
      <c r="AC192" s="93">
        <v>13</v>
      </c>
      <c r="AD192" s="93">
        <v>51.539823008849503</v>
      </c>
      <c r="AE192" s="90"/>
      <c r="AF192" s="90"/>
      <c r="AG192" s="90"/>
      <c r="AH192" s="90"/>
      <c r="AI192" s="93">
        <v>0</v>
      </c>
      <c r="AJ192" s="93">
        <v>320</v>
      </c>
      <c r="AK192" s="93">
        <v>13</v>
      </c>
      <c r="AL192" s="93">
        <v>396.46017740000002</v>
      </c>
      <c r="AM192" s="93">
        <v>51.539822600000001</v>
      </c>
      <c r="AN192" s="93">
        <v>448</v>
      </c>
      <c r="AO192" s="93">
        <v>-4.0884947338781801E-7</v>
      </c>
      <c r="AP192" s="90" t="s">
        <v>5271</v>
      </c>
      <c r="AQ192" s="90" t="s">
        <v>5229</v>
      </c>
      <c r="AR192" s="90"/>
      <c r="AS192" s="90"/>
      <c r="AT192" s="90"/>
      <c r="AU192" s="90"/>
      <c r="AV192" s="90"/>
      <c r="AW192" s="90"/>
      <c r="AX192" s="90"/>
      <c r="AY192" s="90" t="s">
        <v>5230</v>
      </c>
      <c r="AZ192" s="90"/>
      <c r="BA192" s="90" t="s">
        <v>408</v>
      </c>
      <c r="BB192" s="91">
        <v>45928.470289351899</v>
      </c>
      <c r="BC192" s="90" t="s">
        <v>401</v>
      </c>
      <c r="BD192" s="90"/>
      <c r="BE192" s="90"/>
      <c r="BF192" s="90" t="s">
        <v>5231</v>
      </c>
    </row>
    <row r="193" spans="1:58" ht="24.75" customHeight="1">
      <c r="A193" s="90" t="s">
        <v>5221</v>
      </c>
      <c r="B193" s="90"/>
      <c r="C193" s="90"/>
      <c r="D193" s="91">
        <v>45928.474374999998</v>
      </c>
      <c r="E193" s="90" t="s">
        <v>5222</v>
      </c>
      <c r="F193" s="92"/>
      <c r="G193" s="90" t="s">
        <v>5476</v>
      </c>
      <c r="H193" s="90" t="s">
        <v>5465</v>
      </c>
      <c r="I193" s="90" t="s">
        <v>5466</v>
      </c>
      <c r="J193" s="90" t="s">
        <v>5351</v>
      </c>
      <c r="K193" s="93">
        <v>1.7</v>
      </c>
      <c r="L193" s="93">
        <v>240</v>
      </c>
      <c r="M193" s="93">
        <v>408</v>
      </c>
      <c r="N193" s="93">
        <v>408</v>
      </c>
      <c r="O193" s="90" t="s">
        <v>5226</v>
      </c>
      <c r="P193" s="90"/>
      <c r="Q193" s="90" t="s">
        <v>5227</v>
      </c>
      <c r="R193" s="90"/>
      <c r="S193" s="90"/>
      <c r="T193" s="90"/>
      <c r="U193" s="90"/>
      <c r="V193" s="90"/>
      <c r="W193" s="90" t="s">
        <v>5271</v>
      </c>
      <c r="X193" s="90" t="s">
        <v>162</v>
      </c>
      <c r="Y193" s="90" t="s">
        <v>408</v>
      </c>
      <c r="Z193" s="90"/>
      <c r="AA193" s="93">
        <v>361.061946902655</v>
      </c>
      <c r="AB193" s="93">
        <v>361.061946902655</v>
      </c>
      <c r="AC193" s="93">
        <v>13</v>
      </c>
      <c r="AD193" s="93">
        <v>46.938053097345097</v>
      </c>
      <c r="AE193" s="90"/>
      <c r="AF193" s="90"/>
      <c r="AG193" s="90"/>
      <c r="AH193" s="90"/>
      <c r="AI193" s="93">
        <v>0</v>
      </c>
      <c r="AJ193" s="93">
        <v>240</v>
      </c>
      <c r="AK193" s="93">
        <v>13</v>
      </c>
      <c r="AL193" s="93">
        <v>361.06194770000002</v>
      </c>
      <c r="AM193" s="93">
        <v>46.938052300000003</v>
      </c>
      <c r="AN193" s="93">
        <v>408</v>
      </c>
      <c r="AO193" s="93">
        <v>-7.9734508062756504E-7</v>
      </c>
      <c r="AP193" s="90" t="s">
        <v>5271</v>
      </c>
      <c r="AQ193" s="90" t="s">
        <v>5229</v>
      </c>
      <c r="AR193" s="90"/>
      <c r="AS193" s="90"/>
      <c r="AT193" s="90"/>
      <c r="AU193" s="90"/>
      <c r="AV193" s="90"/>
      <c r="AW193" s="90"/>
      <c r="AX193" s="90"/>
      <c r="AY193" s="90" t="s">
        <v>5230</v>
      </c>
      <c r="AZ193" s="90"/>
      <c r="BA193" s="90" t="s">
        <v>408</v>
      </c>
      <c r="BB193" s="91">
        <v>45928.4741782407</v>
      </c>
      <c r="BC193" s="90" t="s">
        <v>401</v>
      </c>
      <c r="BD193" s="90"/>
      <c r="BE193" s="90"/>
      <c r="BF193" s="90" t="s">
        <v>5231</v>
      </c>
    </row>
    <row r="194" spans="1:58" ht="24.75" customHeight="1">
      <c r="A194" s="90" t="s">
        <v>5221</v>
      </c>
      <c r="B194" s="90"/>
      <c r="C194" s="90"/>
      <c r="D194" s="91">
        <v>45928.474374999998</v>
      </c>
      <c r="E194" s="90" t="s">
        <v>5222</v>
      </c>
      <c r="F194" s="92"/>
      <c r="G194" s="90" t="s">
        <v>5476</v>
      </c>
      <c r="H194" s="90" t="s">
        <v>5463</v>
      </c>
      <c r="I194" s="90" t="s">
        <v>5464</v>
      </c>
      <c r="J194" s="90" t="s">
        <v>5351</v>
      </c>
      <c r="K194" s="93">
        <v>1.7</v>
      </c>
      <c r="L194" s="93">
        <v>360</v>
      </c>
      <c r="M194" s="93">
        <v>612</v>
      </c>
      <c r="N194" s="93">
        <v>612</v>
      </c>
      <c r="O194" s="90" t="s">
        <v>5226</v>
      </c>
      <c r="P194" s="90"/>
      <c r="Q194" s="90" t="s">
        <v>5227</v>
      </c>
      <c r="R194" s="90"/>
      <c r="S194" s="90"/>
      <c r="T194" s="90"/>
      <c r="U194" s="90"/>
      <c r="V194" s="90"/>
      <c r="W194" s="90" t="s">
        <v>5271</v>
      </c>
      <c r="X194" s="90" t="s">
        <v>162</v>
      </c>
      <c r="Y194" s="90" t="s">
        <v>408</v>
      </c>
      <c r="Z194" s="90"/>
      <c r="AA194" s="93">
        <v>541.59292035398198</v>
      </c>
      <c r="AB194" s="93">
        <v>541.59292035398198</v>
      </c>
      <c r="AC194" s="93">
        <v>13</v>
      </c>
      <c r="AD194" s="93">
        <v>70.407079646017706</v>
      </c>
      <c r="AE194" s="90"/>
      <c r="AF194" s="90"/>
      <c r="AG194" s="90"/>
      <c r="AH194" s="90"/>
      <c r="AI194" s="93">
        <v>0</v>
      </c>
      <c r="AJ194" s="93">
        <v>360</v>
      </c>
      <c r="AK194" s="93">
        <v>13</v>
      </c>
      <c r="AL194" s="93">
        <v>541.59292070000004</v>
      </c>
      <c r="AM194" s="93">
        <v>70.407079300000007</v>
      </c>
      <c r="AN194" s="93">
        <v>612</v>
      </c>
      <c r="AO194" s="93">
        <v>-3.4601760035002398E-7</v>
      </c>
      <c r="AP194" s="90" t="s">
        <v>5271</v>
      </c>
      <c r="AQ194" s="90" t="s">
        <v>5229</v>
      </c>
      <c r="AR194" s="90"/>
      <c r="AS194" s="90"/>
      <c r="AT194" s="90"/>
      <c r="AU194" s="90"/>
      <c r="AV194" s="90"/>
      <c r="AW194" s="90"/>
      <c r="AX194" s="90"/>
      <c r="AY194" s="90" t="s">
        <v>5230</v>
      </c>
      <c r="AZ194" s="90"/>
      <c r="BA194" s="90" t="s">
        <v>408</v>
      </c>
      <c r="BB194" s="91">
        <v>45928.4741782407</v>
      </c>
      <c r="BC194" s="90" t="s">
        <v>401</v>
      </c>
      <c r="BD194" s="90"/>
      <c r="BE194" s="90"/>
      <c r="BF194" s="90" t="s">
        <v>5231</v>
      </c>
    </row>
    <row r="195" spans="1:58" ht="24.75" customHeight="1">
      <c r="A195" s="90" t="s">
        <v>5221</v>
      </c>
      <c r="B195" s="90"/>
      <c r="C195" s="90"/>
      <c r="D195" s="91">
        <v>45928.503032407403</v>
      </c>
      <c r="E195" s="90" t="s">
        <v>5222</v>
      </c>
      <c r="F195" s="92"/>
      <c r="G195" s="90" t="s">
        <v>5477</v>
      </c>
      <c r="H195" s="90" t="s">
        <v>5465</v>
      </c>
      <c r="I195" s="90" t="s">
        <v>5466</v>
      </c>
      <c r="J195" s="90" t="s">
        <v>5351</v>
      </c>
      <c r="K195" s="93">
        <v>3.2</v>
      </c>
      <c r="L195" s="93">
        <v>240</v>
      </c>
      <c r="M195" s="93">
        <v>768</v>
      </c>
      <c r="N195" s="93">
        <v>768</v>
      </c>
      <c r="O195" s="90" t="s">
        <v>5226</v>
      </c>
      <c r="P195" s="90"/>
      <c r="Q195" s="90" t="s">
        <v>5227</v>
      </c>
      <c r="R195" s="90"/>
      <c r="S195" s="90"/>
      <c r="T195" s="90"/>
      <c r="U195" s="90"/>
      <c r="V195" s="90"/>
      <c r="W195" s="90" t="s">
        <v>5271</v>
      </c>
      <c r="X195" s="90" t="s">
        <v>162</v>
      </c>
      <c r="Y195" s="90" t="s">
        <v>408</v>
      </c>
      <c r="Z195" s="90"/>
      <c r="AA195" s="93">
        <v>679.64601769911496</v>
      </c>
      <c r="AB195" s="93">
        <v>679.64601769911496</v>
      </c>
      <c r="AC195" s="93">
        <v>13</v>
      </c>
      <c r="AD195" s="93">
        <v>88.353982300884894</v>
      </c>
      <c r="AE195" s="90"/>
      <c r="AF195" s="90"/>
      <c r="AG195" s="90"/>
      <c r="AH195" s="90"/>
      <c r="AI195" s="93">
        <v>0</v>
      </c>
      <c r="AJ195" s="93">
        <v>240</v>
      </c>
      <c r="AK195" s="93">
        <v>13</v>
      </c>
      <c r="AL195" s="93">
        <v>679.64601919999996</v>
      </c>
      <c r="AM195" s="93">
        <v>88.353980800000002</v>
      </c>
      <c r="AN195" s="93">
        <v>768</v>
      </c>
      <c r="AO195" s="93">
        <v>-1.50088487771427E-6</v>
      </c>
      <c r="AP195" s="90" t="s">
        <v>5271</v>
      </c>
      <c r="AQ195" s="90" t="s">
        <v>5229</v>
      </c>
      <c r="AR195" s="90"/>
      <c r="AS195" s="90"/>
      <c r="AT195" s="90"/>
      <c r="AU195" s="90"/>
      <c r="AV195" s="90"/>
      <c r="AW195" s="90"/>
      <c r="AX195" s="90"/>
      <c r="AY195" s="90" t="s">
        <v>5230</v>
      </c>
      <c r="AZ195" s="90"/>
      <c r="BA195" s="90" t="s">
        <v>408</v>
      </c>
      <c r="BB195" s="91">
        <v>45928.502789351798</v>
      </c>
      <c r="BC195" s="90" t="s">
        <v>401</v>
      </c>
      <c r="BD195" s="90"/>
      <c r="BE195" s="90"/>
      <c r="BF195" s="90" t="s">
        <v>5231</v>
      </c>
    </row>
    <row r="196" spans="1:58" ht="24.75" customHeight="1">
      <c r="A196" s="90" t="s">
        <v>5221</v>
      </c>
      <c r="B196" s="90"/>
      <c r="C196" s="90"/>
      <c r="D196" s="91">
        <v>45928.503032407403</v>
      </c>
      <c r="E196" s="90" t="s">
        <v>5222</v>
      </c>
      <c r="F196" s="92"/>
      <c r="G196" s="90" t="s">
        <v>5477</v>
      </c>
      <c r="H196" s="90" t="s">
        <v>5461</v>
      </c>
      <c r="I196" s="90" t="s">
        <v>5462</v>
      </c>
      <c r="J196" s="90" t="s">
        <v>5351</v>
      </c>
      <c r="K196" s="93">
        <v>1.8</v>
      </c>
      <c r="L196" s="93">
        <v>320</v>
      </c>
      <c r="M196" s="93">
        <v>576</v>
      </c>
      <c r="N196" s="93">
        <v>576</v>
      </c>
      <c r="O196" s="90" t="s">
        <v>5226</v>
      </c>
      <c r="P196" s="90"/>
      <c r="Q196" s="90" t="s">
        <v>5227</v>
      </c>
      <c r="R196" s="90"/>
      <c r="S196" s="90"/>
      <c r="T196" s="90"/>
      <c r="U196" s="90"/>
      <c r="V196" s="90"/>
      <c r="W196" s="90" t="s">
        <v>5271</v>
      </c>
      <c r="X196" s="90" t="s">
        <v>162</v>
      </c>
      <c r="Y196" s="90" t="s">
        <v>408</v>
      </c>
      <c r="Z196" s="90"/>
      <c r="AA196" s="93">
        <v>509.734513274336</v>
      </c>
      <c r="AB196" s="93">
        <v>509.734513274336</v>
      </c>
      <c r="AC196" s="93">
        <v>13</v>
      </c>
      <c r="AD196" s="93">
        <v>66.265486725663706</v>
      </c>
      <c r="AE196" s="90"/>
      <c r="AF196" s="90"/>
      <c r="AG196" s="90"/>
      <c r="AH196" s="90"/>
      <c r="AI196" s="93">
        <v>0</v>
      </c>
      <c r="AJ196" s="93">
        <v>320</v>
      </c>
      <c r="AK196" s="93">
        <v>13</v>
      </c>
      <c r="AL196" s="93">
        <v>509.7345138</v>
      </c>
      <c r="AM196" s="93">
        <v>66.265486199999998</v>
      </c>
      <c r="AN196" s="93">
        <v>576</v>
      </c>
      <c r="AO196" s="93">
        <v>-5.2566366548489896E-7</v>
      </c>
      <c r="AP196" s="90" t="s">
        <v>5271</v>
      </c>
      <c r="AQ196" s="90" t="s">
        <v>5229</v>
      </c>
      <c r="AR196" s="90"/>
      <c r="AS196" s="90"/>
      <c r="AT196" s="90"/>
      <c r="AU196" s="90"/>
      <c r="AV196" s="90"/>
      <c r="AW196" s="90"/>
      <c r="AX196" s="90"/>
      <c r="AY196" s="90" t="s">
        <v>5230</v>
      </c>
      <c r="AZ196" s="90"/>
      <c r="BA196" s="90" t="s">
        <v>408</v>
      </c>
      <c r="BB196" s="91">
        <v>45928.502789351798</v>
      </c>
      <c r="BC196" s="90" t="s">
        <v>401</v>
      </c>
      <c r="BD196" s="90"/>
      <c r="BE196" s="90"/>
      <c r="BF196" s="90" t="s">
        <v>5231</v>
      </c>
    </row>
    <row r="197" spans="1:58" ht="24.75" customHeight="1">
      <c r="A197" s="90" t="s">
        <v>5221</v>
      </c>
      <c r="B197" s="90"/>
      <c r="C197" s="90"/>
      <c r="D197" s="91">
        <v>45928.504699074103</v>
      </c>
      <c r="E197" s="90" t="s">
        <v>5222</v>
      </c>
      <c r="F197" s="92"/>
      <c r="G197" s="90" t="s">
        <v>5478</v>
      </c>
      <c r="H197" s="90" t="s">
        <v>5465</v>
      </c>
      <c r="I197" s="90" t="s">
        <v>5466</v>
      </c>
      <c r="J197" s="90" t="s">
        <v>5351</v>
      </c>
      <c r="K197" s="93">
        <v>0.9</v>
      </c>
      <c r="L197" s="93">
        <v>240</v>
      </c>
      <c r="M197" s="93">
        <v>216</v>
      </c>
      <c r="N197" s="93">
        <v>216</v>
      </c>
      <c r="O197" s="90" t="s">
        <v>5226</v>
      </c>
      <c r="P197" s="90"/>
      <c r="Q197" s="90" t="s">
        <v>5227</v>
      </c>
      <c r="R197" s="90"/>
      <c r="S197" s="90"/>
      <c r="T197" s="90"/>
      <c r="U197" s="90"/>
      <c r="V197" s="90"/>
      <c r="W197" s="90" t="s">
        <v>5271</v>
      </c>
      <c r="X197" s="90" t="s">
        <v>162</v>
      </c>
      <c r="Y197" s="90" t="s">
        <v>408</v>
      </c>
      <c r="Z197" s="90"/>
      <c r="AA197" s="93">
        <v>191.150442477876</v>
      </c>
      <c r="AB197" s="93">
        <v>191.150442477876</v>
      </c>
      <c r="AC197" s="93">
        <v>13</v>
      </c>
      <c r="AD197" s="93">
        <v>24.849557522123899</v>
      </c>
      <c r="AE197" s="90"/>
      <c r="AF197" s="90"/>
      <c r="AG197" s="90"/>
      <c r="AH197" s="90"/>
      <c r="AI197" s="93">
        <v>0</v>
      </c>
      <c r="AJ197" s="93">
        <v>240</v>
      </c>
      <c r="AK197" s="93">
        <v>13</v>
      </c>
      <c r="AL197" s="93">
        <v>191.1504429</v>
      </c>
      <c r="AM197" s="93">
        <v>24.849557099999998</v>
      </c>
      <c r="AN197" s="93">
        <v>216</v>
      </c>
      <c r="AO197" s="93">
        <v>-4.2212388962070701E-7</v>
      </c>
      <c r="AP197" s="90" t="s">
        <v>5271</v>
      </c>
      <c r="AQ197" s="90" t="s">
        <v>5229</v>
      </c>
      <c r="AR197" s="90"/>
      <c r="AS197" s="90"/>
      <c r="AT197" s="90"/>
      <c r="AU197" s="90"/>
      <c r="AV197" s="90"/>
      <c r="AW197" s="90"/>
      <c r="AX197" s="90"/>
      <c r="AY197" s="90" t="s">
        <v>5230</v>
      </c>
      <c r="AZ197" s="90"/>
      <c r="BA197" s="90" t="s">
        <v>408</v>
      </c>
      <c r="BB197" s="91">
        <v>45928.504513888904</v>
      </c>
      <c r="BC197" s="90" t="s">
        <v>401</v>
      </c>
      <c r="BD197" s="90"/>
      <c r="BE197" s="90"/>
      <c r="BF197" s="90" t="s">
        <v>5231</v>
      </c>
    </row>
    <row r="198" spans="1:58" ht="24.75" customHeight="1">
      <c r="A198" s="90" t="s">
        <v>5221</v>
      </c>
      <c r="B198" s="90"/>
      <c r="C198" s="90"/>
      <c r="D198" s="91">
        <v>45928.504699074103</v>
      </c>
      <c r="E198" s="90" t="s">
        <v>5222</v>
      </c>
      <c r="F198" s="92"/>
      <c r="G198" s="90" t="s">
        <v>5478</v>
      </c>
      <c r="H198" s="90" t="s">
        <v>5463</v>
      </c>
      <c r="I198" s="90" t="s">
        <v>5464</v>
      </c>
      <c r="J198" s="90" t="s">
        <v>5351</v>
      </c>
      <c r="K198" s="93">
        <v>1.6</v>
      </c>
      <c r="L198" s="93">
        <v>360</v>
      </c>
      <c r="M198" s="93">
        <v>576</v>
      </c>
      <c r="N198" s="93">
        <v>576</v>
      </c>
      <c r="O198" s="90" t="s">
        <v>5226</v>
      </c>
      <c r="P198" s="90"/>
      <c r="Q198" s="90" t="s">
        <v>5227</v>
      </c>
      <c r="R198" s="90"/>
      <c r="S198" s="90"/>
      <c r="T198" s="90"/>
      <c r="U198" s="90"/>
      <c r="V198" s="90"/>
      <c r="W198" s="90" t="s">
        <v>5271</v>
      </c>
      <c r="X198" s="90" t="s">
        <v>162</v>
      </c>
      <c r="Y198" s="90" t="s">
        <v>408</v>
      </c>
      <c r="Z198" s="90"/>
      <c r="AA198" s="93">
        <v>509.734513274336</v>
      </c>
      <c r="AB198" s="93">
        <v>509.734513274336</v>
      </c>
      <c r="AC198" s="93">
        <v>13</v>
      </c>
      <c r="AD198" s="93">
        <v>66.265486725663706</v>
      </c>
      <c r="AE198" s="90"/>
      <c r="AF198" s="90"/>
      <c r="AG198" s="90"/>
      <c r="AH198" s="90"/>
      <c r="AI198" s="93">
        <v>0</v>
      </c>
      <c r="AJ198" s="93">
        <v>360</v>
      </c>
      <c r="AK198" s="93">
        <v>13</v>
      </c>
      <c r="AL198" s="93">
        <v>509.73451360000001</v>
      </c>
      <c r="AM198" s="93">
        <v>66.2654864</v>
      </c>
      <c r="AN198" s="93">
        <v>576</v>
      </c>
      <c r="AO198" s="93">
        <v>-3.2566367735853398E-7</v>
      </c>
      <c r="AP198" s="90" t="s">
        <v>5271</v>
      </c>
      <c r="AQ198" s="90" t="s">
        <v>5229</v>
      </c>
      <c r="AR198" s="90"/>
      <c r="AS198" s="90"/>
      <c r="AT198" s="90"/>
      <c r="AU198" s="90"/>
      <c r="AV198" s="90"/>
      <c r="AW198" s="90"/>
      <c r="AX198" s="90"/>
      <c r="AY198" s="90" t="s">
        <v>5230</v>
      </c>
      <c r="AZ198" s="90"/>
      <c r="BA198" s="90" t="s">
        <v>408</v>
      </c>
      <c r="BB198" s="91">
        <v>45928.504513888904</v>
      </c>
      <c r="BC198" s="90" t="s">
        <v>401</v>
      </c>
      <c r="BD198" s="90"/>
      <c r="BE198" s="90"/>
      <c r="BF198" s="90" t="s">
        <v>5231</v>
      </c>
    </row>
    <row r="199" spans="1:58" ht="24.75" customHeight="1">
      <c r="A199" s="90" t="s">
        <v>5221</v>
      </c>
      <c r="B199" s="90"/>
      <c r="C199" s="90"/>
      <c r="D199" s="91">
        <v>45928.504699074103</v>
      </c>
      <c r="E199" s="90" t="s">
        <v>5222</v>
      </c>
      <c r="F199" s="92"/>
      <c r="G199" s="90" t="s">
        <v>5478</v>
      </c>
      <c r="H199" s="90" t="s">
        <v>5461</v>
      </c>
      <c r="I199" s="90" t="s">
        <v>5462</v>
      </c>
      <c r="J199" s="90" t="s">
        <v>5351</v>
      </c>
      <c r="K199" s="93">
        <v>0.3</v>
      </c>
      <c r="L199" s="93">
        <v>320</v>
      </c>
      <c r="M199" s="93">
        <v>96</v>
      </c>
      <c r="N199" s="93">
        <v>96</v>
      </c>
      <c r="O199" s="90" t="s">
        <v>5226</v>
      </c>
      <c r="P199" s="90"/>
      <c r="Q199" s="90" t="s">
        <v>5227</v>
      </c>
      <c r="R199" s="90"/>
      <c r="S199" s="90"/>
      <c r="T199" s="90"/>
      <c r="U199" s="90"/>
      <c r="V199" s="90"/>
      <c r="W199" s="90" t="s">
        <v>5271</v>
      </c>
      <c r="X199" s="90" t="s">
        <v>162</v>
      </c>
      <c r="Y199" s="90" t="s">
        <v>408</v>
      </c>
      <c r="Z199" s="90"/>
      <c r="AA199" s="93">
        <v>84.955752212389399</v>
      </c>
      <c r="AB199" s="93">
        <v>84.955752212389399</v>
      </c>
      <c r="AC199" s="93">
        <v>13</v>
      </c>
      <c r="AD199" s="93">
        <v>11.044247787610599</v>
      </c>
      <c r="AE199" s="90"/>
      <c r="AF199" s="90"/>
      <c r="AG199" s="90"/>
      <c r="AH199" s="90"/>
      <c r="AI199" s="93">
        <v>0</v>
      </c>
      <c r="AJ199" s="93">
        <v>320</v>
      </c>
      <c r="AK199" s="93">
        <v>13</v>
      </c>
      <c r="AL199" s="93">
        <v>84.9557523</v>
      </c>
      <c r="AM199" s="93">
        <v>11.0442477</v>
      </c>
      <c r="AN199" s="93">
        <v>96</v>
      </c>
      <c r="AO199" s="93">
        <v>-8.7610601440246696E-8</v>
      </c>
      <c r="AP199" s="90" t="s">
        <v>5271</v>
      </c>
      <c r="AQ199" s="90" t="s">
        <v>5229</v>
      </c>
      <c r="AR199" s="90"/>
      <c r="AS199" s="90"/>
      <c r="AT199" s="90"/>
      <c r="AU199" s="90"/>
      <c r="AV199" s="90"/>
      <c r="AW199" s="90"/>
      <c r="AX199" s="90"/>
      <c r="AY199" s="90" t="s">
        <v>5230</v>
      </c>
      <c r="AZ199" s="90"/>
      <c r="BA199" s="90" t="s">
        <v>408</v>
      </c>
      <c r="BB199" s="91">
        <v>45928.504513888904</v>
      </c>
      <c r="BC199" s="90" t="s">
        <v>401</v>
      </c>
      <c r="BD199" s="90"/>
      <c r="BE199" s="90"/>
      <c r="BF199" s="90" t="s">
        <v>5231</v>
      </c>
    </row>
    <row r="200" spans="1:58" ht="24.75" customHeight="1">
      <c r="A200" s="90" t="s">
        <v>5221</v>
      </c>
      <c r="B200" s="90"/>
      <c r="C200" s="90"/>
      <c r="D200" s="91">
        <v>45928.506458333301</v>
      </c>
      <c r="E200" s="90" t="s">
        <v>5222</v>
      </c>
      <c r="F200" s="92"/>
      <c r="G200" s="90" t="s">
        <v>5479</v>
      </c>
      <c r="H200" s="90" t="s">
        <v>5465</v>
      </c>
      <c r="I200" s="90" t="s">
        <v>5466</v>
      </c>
      <c r="J200" s="90" t="s">
        <v>5351</v>
      </c>
      <c r="K200" s="93">
        <v>1.1000000000000001</v>
      </c>
      <c r="L200" s="93">
        <v>240</v>
      </c>
      <c r="M200" s="93">
        <v>264</v>
      </c>
      <c r="N200" s="93">
        <v>264</v>
      </c>
      <c r="O200" s="90" t="s">
        <v>5226</v>
      </c>
      <c r="P200" s="90"/>
      <c r="Q200" s="90" t="s">
        <v>5227</v>
      </c>
      <c r="R200" s="90"/>
      <c r="S200" s="90"/>
      <c r="T200" s="90"/>
      <c r="U200" s="90"/>
      <c r="V200" s="90"/>
      <c r="W200" s="90" t="s">
        <v>5271</v>
      </c>
      <c r="X200" s="90" t="s">
        <v>162</v>
      </c>
      <c r="Y200" s="90" t="s">
        <v>408</v>
      </c>
      <c r="Z200" s="90"/>
      <c r="AA200" s="93">
        <v>233.628318584071</v>
      </c>
      <c r="AB200" s="93">
        <v>233.628318584071</v>
      </c>
      <c r="AC200" s="93">
        <v>13</v>
      </c>
      <c r="AD200" s="93">
        <v>30.371681415929199</v>
      </c>
      <c r="AE200" s="90"/>
      <c r="AF200" s="90"/>
      <c r="AG200" s="90"/>
      <c r="AH200" s="90"/>
      <c r="AI200" s="93">
        <v>0</v>
      </c>
      <c r="AJ200" s="93">
        <v>240</v>
      </c>
      <c r="AK200" s="93">
        <v>13</v>
      </c>
      <c r="AL200" s="93">
        <v>233.6283191</v>
      </c>
      <c r="AM200" s="93">
        <v>30.371680900000001</v>
      </c>
      <c r="AN200" s="93">
        <v>264</v>
      </c>
      <c r="AO200" s="93">
        <v>-5.1592917316156704E-7</v>
      </c>
      <c r="AP200" s="90" t="s">
        <v>5271</v>
      </c>
      <c r="AQ200" s="90" t="s">
        <v>5229</v>
      </c>
      <c r="AR200" s="90"/>
      <c r="AS200" s="90"/>
      <c r="AT200" s="90"/>
      <c r="AU200" s="90"/>
      <c r="AV200" s="90"/>
      <c r="AW200" s="90"/>
      <c r="AX200" s="90"/>
      <c r="AY200" s="90" t="s">
        <v>5230</v>
      </c>
      <c r="AZ200" s="90"/>
      <c r="BA200" s="90" t="s">
        <v>5480</v>
      </c>
      <c r="BB200" s="91">
        <v>45928.506249999999</v>
      </c>
      <c r="BC200" s="90" t="s">
        <v>401</v>
      </c>
      <c r="BD200" s="90"/>
      <c r="BE200" s="90"/>
      <c r="BF200" s="90" t="s">
        <v>5481</v>
      </c>
    </row>
    <row r="201" spans="1:58" ht="24.75" customHeight="1">
      <c r="A201" s="90" t="s">
        <v>5221</v>
      </c>
      <c r="B201" s="90"/>
      <c r="C201" s="90"/>
      <c r="D201" s="91">
        <v>45928.506458333301</v>
      </c>
      <c r="E201" s="90" t="s">
        <v>5222</v>
      </c>
      <c r="F201" s="92"/>
      <c r="G201" s="90" t="s">
        <v>5479</v>
      </c>
      <c r="H201" s="90" t="s">
        <v>5461</v>
      </c>
      <c r="I201" s="90" t="s">
        <v>5462</v>
      </c>
      <c r="J201" s="90" t="s">
        <v>5351</v>
      </c>
      <c r="K201" s="93">
        <v>0.4</v>
      </c>
      <c r="L201" s="93">
        <v>320</v>
      </c>
      <c r="M201" s="93">
        <v>128</v>
      </c>
      <c r="N201" s="93">
        <v>128</v>
      </c>
      <c r="O201" s="90" t="s">
        <v>5226</v>
      </c>
      <c r="P201" s="90"/>
      <c r="Q201" s="90" t="s">
        <v>5227</v>
      </c>
      <c r="R201" s="90"/>
      <c r="S201" s="90"/>
      <c r="T201" s="90"/>
      <c r="U201" s="90"/>
      <c r="V201" s="90"/>
      <c r="W201" s="90" t="s">
        <v>5271</v>
      </c>
      <c r="X201" s="90" t="s">
        <v>162</v>
      </c>
      <c r="Y201" s="90" t="s">
        <v>408</v>
      </c>
      <c r="Z201" s="90"/>
      <c r="AA201" s="93">
        <v>113.274336283186</v>
      </c>
      <c r="AB201" s="93">
        <v>113.274336283186</v>
      </c>
      <c r="AC201" s="93">
        <v>13</v>
      </c>
      <c r="AD201" s="93">
        <v>14.7256637168142</v>
      </c>
      <c r="AE201" s="90"/>
      <c r="AF201" s="90"/>
      <c r="AG201" s="90"/>
      <c r="AH201" s="90"/>
      <c r="AI201" s="93">
        <v>0</v>
      </c>
      <c r="AJ201" s="93">
        <v>320</v>
      </c>
      <c r="AK201" s="93">
        <v>13</v>
      </c>
      <c r="AL201" s="93">
        <v>113.2743364</v>
      </c>
      <c r="AM201" s="93">
        <v>14.725663600000001</v>
      </c>
      <c r="AN201" s="93">
        <v>128</v>
      </c>
      <c r="AO201" s="93">
        <v>-1.16814149464517E-7</v>
      </c>
      <c r="AP201" s="90" t="s">
        <v>5271</v>
      </c>
      <c r="AQ201" s="90" t="s">
        <v>5229</v>
      </c>
      <c r="AR201" s="90"/>
      <c r="AS201" s="90"/>
      <c r="AT201" s="90"/>
      <c r="AU201" s="90"/>
      <c r="AV201" s="90"/>
      <c r="AW201" s="90"/>
      <c r="AX201" s="90"/>
      <c r="AY201" s="90" t="s">
        <v>5230</v>
      </c>
      <c r="AZ201" s="90"/>
      <c r="BA201" s="90" t="s">
        <v>5480</v>
      </c>
      <c r="BB201" s="91">
        <v>45928.506249999999</v>
      </c>
      <c r="BC201" s="90" t="s">
        <v>401</v>
      </c>
      <c r="BD201" s="90"/>
      <c r="BE201" s="90"/>
      <c r="BF201" s="90" t="s">
        <v>5481</v>
      </c>
    </row>
    <row r="202" spans="1:58" ht="24.75" customHeight="1">
      <c r="A202" s="90" t="s">
        <v>5221</v>
      </c>
      <c r="B202" s="90"/>
      <c r="C202" s="90"/>
      <c r="D202" s="91">
        <v>45928.506458333301</v>
      </c>
      <c r="E202" s="90" t="s">
        <v>5222</v>
      </c>
      <c r="F202" s="92"/>
      <c r="G202" s="90" t="s">
        <v>5479</v>
      </c>
      <c r="H202" s="90" t="s">
        <v>5463</v>
      </c>
      <c r="I202" s="90" t="s">
        <v>5464</v>
      </c>
      <c r="J202" s="90" t="s">
        <v>5351</v>
      </c>
      <c r="K202" s="93">
        <v>2</v>
      </c>
      <c r="L202" s="93">
        <v>360</v>
      </c>
      <c r="M202" s="93">
        <v>720</v>
      </c>
      <c r="N202" s="93">
        <v>720</v>
      </c>
      <c r="O202" s="90" t="s">
        <v>5226</v>
      </c>
      <c r="P202" s="90"/>
      <c r="Q202" s="90" t="s">
        <v>5227</v>
      </c>
      <c r="R202" s="90"/>
      <c r="S202" s="90"/>
      <c r="T202" s="90"/>
      <c r="U202" s="90"/>
      <c r="V202" s="90"/>
      <c r="W202" s="90" t="s">
        <v>5271</v>
      </c>
      <c r="X202" s="90" t="s">
        <v>162</v>
      </c>
      <c r="Y202" s="90" t="s">
        <v>408</v>
      </c>
      <c r="Z202" s="90"/>
      <c r="AA202" s="93">
        <v>637.16814159292005</v>
      </c>
      <c r="AB202" s="93">
        <v>637.16814159292005</v>
      </c>
      <c r="AC202" s="93">
        <v>13</v>
      </c>
      <c r="AD202" s="93">
        <v>82.831858407079594</v>
      </c>
      <c r="AE202" s="90"/>
      <c r="AF202" s="90"/>
      <c r="AG202" s="90"/>
      <c r="AH202" s="90"/>
      <c r="AI202" s="93">
        <v>0</v>
      </c>
      <c r="AJ202" s="93">
        <v>360</v>
      </c>
      <c r="AK202" s="93">
        <v>13</v>
      </c>
      <c r="AL202" s="93">
        <v>637.16814199999999</v>
      </c>
      <c r="AM202" s="93">
        <v>82.831857999999997</v>
      </c>
      <c r="AN202" s="93">
        <v>720</v>
      </c>
      <c r="AO202" s="93">
        <v>-4.07079596698168E-7</v>
      </c>
      <c r="AP202" s="90" t="s">
        <v>5271</v>
      </c>
      <c r="AQ202" s="90" t="s">
        <v>5229</v>
      </c>
      <c r="AR202" s="90"/>
      <c r="AS202" s="90"/>
      <c r="AT202" s="90"/>
      <c r="AU202" s="90"/>
      <c r="AV202" s="90"/>
      <c r="AW202" s="90"/>
      <c r="AX202" s="90"/>
      <c r="AY202" s="90" t="s">
        <v>5230</v>
      </c>
      <c r="AZ202" s="90"/>
      <c r="BA202" s="90" t="s">
        <v>5480</v>
      </c>
      <c r="BB202" s="91">
        <v>45928.506249999999</v>
      </c>
      <c r="BC202" s="90" t="s">
        <v>401</v>
      </c>
      <c r="BD202" s="90"/>
      <c r="BE202" s="90"/>
      <c r="BF202" s="90" t="s">
        <v>5481</v>
      </c>
    </row>
    <row r="203" spans="1:58" ht="24.75" customHeight="1">
      <c r="A203" s="90" t="s">
        <v>5221</v>
      </c>
      <c r="B203" s="90"/>
      <c r="C203" s="90"/>
      <c r="D203" s="91">
        <v>45928.508009259298</v>
      </c>
      <c r="E203" s="90" t="s">
        <v>5222</v>
      </c>
      <c r="F203" s="92"/>
      <c r="G203" s="90" t="s">
        <v>5482</v>
      </c>
      <c r="H203" s="90" t="s">
        <v>5465</v>
      </c>
      <c r="I203" s="90" t="s">
        <v>5466</v>
      </c>
      <c r="J203" s="90" t="s">
        <v>5351</v>
      </c>
      <c r="K203" s="93">
        <v>3.2</v>
      </c>
      <c r="L203" s="93">
        <v>240</v>
      </c>
      <c r="M203" s="93">
        <v>768</v>
      </c>
      <c r="N203" s="93">
        <v>768</v>
      </c>
      <c r="O203" s="90" t="s">
        <v>5226</v>
      </c>
      <c r="P203" s="90"/>
      <c r="Q203" s="90" t="s">
        <v>5227</v>
      </c>
      <c r="R203" s="90"/>
      <c r="S203" s="90"/>
      <c r="T203" s="90"/>
      <c r="U203" s="90"/>
      <c r="V203" s="90"/>
      <c r="W203" s="90" t="s">
        <v>5271</v>
      </c>
      <c r="X203" s="90" t="s">
        <v>162</v>
      </c>
      <c r="Y203" s="90" t="s">
        <v>408</v>
      </c>
      <c r="Z203" s="90"/>
      <c r="AA203" s="93">
        <v>679.64601769911496</v>
      </c>
      <c r="AB203" s="93">
        <v>679.64601769911496</v>
      </c>
      <c r="AC203" s="93">
        <v>13</v>
      </c>
      <c r="AD203" s="93">
        <v>88.353982300884894</v>
      </c>
      <c r="AE203" s="90"/>
      <c r="AF203" s="90"/>
      <c r="AG203" s="90"/>
      <c r="AH203" s="90"/>
      <c r="AI203" s="93">
        <v>0</v>
      </c>
      <c r="AJ203" s="93">
        <v>240</v>
      </c>
      <c r="AK203" s="93">
        <v>13</v>
      </c>
      <c r="AL203" s="93">
        <v>679.64601919999996</v>
      </c>
      <c r="AM203" s="93">
        <v>88.353980800000002</v>
      </c>
      <c r="AN203" s="93">
        <v>768</v>
      </c>
      <c r="AO203" s="93">
        <v>-1.50088487771427E-6</v>
      </c>
      <c r="AP203" s="90" t="s">
        <v>5271</v>
      </c>
      <c r="AQ203" s="90" t="s">
        <v>5229</v>
      </c>
      <c r="AR203" s="90"/>
      <c r="AS203" s="90"/>
      <c r="AT203" s="90"/>
      <c r="AU203" s="90"/>
      <c r="AV203" s="90"/>
      <c r="AW203" s="90"/>
      <c r="AX203" s="90"/>
      <c r="AY203" s="90" t="s">
        <v>5230</v>
      </c>
      <c r="AZ203" s="90"/>
      <c r="BA203" s="90" t="s">
        <v>408</v>
      </c>
      <c r="BB203" s="91">
        <v>45928.507731481499</v>
      </c>
      <c r="BC203" s="90" t="s">
        <v>401</v>
      </c>
      <c r="BD203" s="90"/>
      <c r="BE203" s="90"/>
      <c r="BF203" s="90" t="s">
        <v>5231</v>
      </c>
    </row>
    <row r="204" spans="1:58" ht="24.75" customHeight="1">
      <c r="A204" s="90" t="s">
        <v>5221</v>
      </c>
      <c r="B204" s="90"/>
      <c r="C204" s="90"/>
      <c r="D204" s="91">
        <v>45928.508009259298</v>
      </c>
      <c r="E204" s="90" t="s">
        <v>5222</v>
      </c>
      <c r="F204" s="92"/>
      <c r="G204" s="90" t="s">
        <v>5482</v>
      </c>
      <c r="H204" s="90" t="s">
        <v>5463</v>
      </c>
      <c r="I204" s="90" t="s">
        <v>5464</v>
      </c>
      <c r="J204" s="90" t="s">
        <v>5351</v>
      </c>
      <c r="K204" s="93">
        <v>2</v>
      </c>
      <c r="L204" s="93">
        <v>360</v>
      </c>
      <c r="M204" s="93">
        <v>720</v>
      </c>
      <c r="N204" s="93">
        <v>720</v>
      </c>
      <c r="O204" s="90" t="s">
        <v>5226</v>
      </c>
      <c r="P204" s="90"/>
      <c r="Q204" s="90" t="s">
        <v>5227</v>
      </c>
      <c r="R204" s="90"/>
      <c r="S204" s="90"/>
      <c r="T204" s="90"/>
      <c r="U204" s="90"/>
      <c r="V204" s="90"/>
      <c r="W204" s="90" t="s">
        <v>5271</v>
      </c>
      <c r="X204" s="90" t="s">
        <v>162</v>
      </c>
      <c r="Y204" s="90" t="s">
        <v>408</v>
      </c>
      <c r="Z204" s="90"/>
      <c r="AA204" s="93">
        <v>637.16814159292005</v>
      </c>
      <c r="AB204" s="93">
        <v>637.16814159292005</v>
      </c>
      <c r="AC204" s="93">
        <v>13</v>
      </c>
      <c r="AD204" s="93">
        <v>82.831858407079594</v>
      </c>
      <c r="AE204" s="90"/>
      <c r="AF204" s="90"/>
      <c r="AG204" s="90"/>
      <c r="AH204" s="90"/>
      <c r="AI204" s="93">
        <v>0</v>
      </c>
      <c r="AJ204" s="93">
        <v>360</v>
      </c>
      <c r="AK204" s="93">
        <v>13</v>
      </c>
      <c r="AL204" s="93">
        <v>637.16814199999999</v>
      </c>
      <c r="AM204" s="93">
        <v>82.831857999999997</v>
      </c>
      <c r="AN204" s="93">
        <v>720</v>
      </c>
      <c r="AO204" s="93">
        <v>-4.07079596698168E-7</v>
      </c>
      <c r="AP204" s="90" t="s">
        <v>5271</v>
      </c>
      <c r="AQ204" s="90" t="s">
        <v>5229</v>
      </c>
      <c r="AR204" s="90"/>
      <c r="AS204" s="90"/>
      <c r="AT204" s="90"/>
      <c r="AU204" s="90"/>
      <c r="AV204" s="90"/>
      <c r="AW204" s="90"/>
      <c r="AX204" s="90"/>
      <c r="AY204" s="90" t="s">
        <v>5230</v>
      </c>
      <c r="AZ204" s="90"/>
      <c r="BA204" s="90" t="s">
        <v>408</v>
      </c>
      <c r="BB204" s="91">
        <v>45928.507731481499</v>
      </c>
      <c r="BC204" s="90" t="s">
        <v>401</v>
      </c>
      <c r="BD204" s="90"/>
      <c r="BE204" s="90"/>
      <c r="BF204" s="90" t="s">
        <v>5231</v>
      </c>
    </row>
    <row r="205" spans="1:58" ht="24.75" customHeight="1">
      <c r="A205" s="90" t="s">
        <v>5221</v>
      </c>
      <c r="B205" s="90"/>
      <c r="C205" s="90"/>
      <c r="D205" s="91">
        <v>45928.5780324074</v>
      </c>
      <c r="E205" s="90" t="s">
        <v>5222</v>
      </c>
      <c r="F205" s="92"/>
      <c r="G205" s="90" t="s">
        <v>5469</v>
      </c>
      <c r="H205" s="90" t="s">
        <v>5465</v>
      </c>
      <c r="I205" s="90" t="s">
        <v>5466</v>
      </c>
      <c r="J205" s="90" t="s">
        <v>5351</v>
      </c>
      <c r="K205" s="93">
        <v>1.9</v>
      </c>
      <c r="L205" s="93">
        <v>240</v>
      </c>
      <c r="M205" s="93">
        <v>456</v>
      </c>
      <c r="N205" s="93">
        <v>456</v>
      </c>
      <c r="O205" s="90" t="s">
        <v>5226</v>
      </c>
      <c r="P205" s="90"/>
      <c r="Q205" s="90" t="s">
        <v>5227</v>
      </c>
      <c r="R205" s="90"/>
      <c r="S205" s="90"/>
      <c r="T205" s="90"/>
      <c r="U205" s="90"/>
      <c r="V205" s="90"/>
      <c r="W205" s="90" t="s">
        <v>5271</v>
      </c>
      <c r="X205" s="90" t="s">
        <v>162</v>
      </c>
      <c r="Y205" s="90" t="s">
        <v>408</v>
      </c>
      <c r="Z205" s="90"/>
      <c r="AA205" s="93">
        <v>403.53982300885002</v>
      </c>
      <c r="AB205" s="93">
        <v>403.53982300885002</v>
      </c>
      <c r="AC205" s="93">
        <v>13</v>
      </c>
      <c r="AD205" s="93">
        <v>52.460176991150398</v>
      </c>
      <c r="AE205" s="90"/>
      <c r="AF205" s="90"/>
      <c r="AG205" s="90"/>
      <c r="AH205" s="90"/>
      <c r="AI205" s="93">
        <v>0</v>
      </c>
      <c r="AJ205" s="93">
        <v>240</v>
      </c>
      <c r="AK205" s="93">
        <v>13</v>
      </c>
      <c r="AL205" s="93">
        <v>403.53982389999999</v>
      </c>
      <c r="AM205" s="93">
        <v>52.460176099999998</v>
      </c>
      <c r="AN205" s="93">
        <v>456</v>
      </c>
      <c r="AO205" s="93">
        <v>-8.91150307325006E-7</v>
      </c>
      <c r="AP205" s="90" t="s">
        <v>5271</v>
      </c>
      <c r="AQ205" s="90" t="s">
        <v>5229</v>
      </c>
      <c r="AR205" s="90"/>
      <c r="AS205" s="90"/>
      <c r="AT205" s="90"/>
      <c r="AU205" s="90"/>
      <c r="AV205" s="90"/>
      <c r="AW205" s="90"/>
      <c r="AX205" s="90"/>
      <c r="AY205" s="90" t="s">
        <v>5230</v>
      </c>
      <c r="AZ205" s="90"/>
      <c r="BA205" s="90" t="s">
        <v>408</v>
      </c>
      <c r="BB205" s="91">
        <v>45928.577824074098</v>
      </c>
      <c r="BC205" s="90" t="s">
        <v>401</v>
      </c>
      <c r="BD205" s="90"/>
      <c r="BE205" s="90"/>
      <c r="BF205" s="90" t="s">
        <v>5231</v>
      </c>
    </row>
    <row r="206" spans="1:58" ht="24.75" customHeight="1">
      <c r="A206" s="90" t="s">
        <v>5221</v>
      </c>
      <c r="B206" s="90"/>
      <c r="C206" s="90"/>
      <c r="D206" s="91">
        <v>45928.5780324074</v>
      </c>
      <c r="E206" s="90" t="s">
        <v>5222</v>
      </c>
      <c r="F206" s="92"/>
      <c r="G206" s="90" t="s">
        <v>5469</v>
      </c>
      <c r="H206" s="90" t="s">
        <v>5461</v>
      </c>
      <c r="I206" s="90" t="s">
        <v>5462</v>
      </c>
      <c r="J206" s="90" t="s">
        <v>5351</v>
      </c>
      <c r="K206" s="93">
        <v>2.1</v>
      </c>
      <c r="L206" s="93">
        <v>320</v>
      </c>
      <c r="M206" s="93">
        <v>672</v>
      </c>
      <c r="N206" s="93">
        <v>672</v>
      </c>
      <c r="O206" s="90" t="s">
        <v>5226</v>
      </c>
      <c r="P206" s="90"/>
      <c r="Q206" s="90" t="s">
        <v>5227</v>
      </c>
      <c r="R206" s="90"/>
      <c r="S206" s="90"/>
      <c r="T206" s="90"/>
      <c r="U206" s="90"/>
      <c r="V206" s="90"/>
      <c r="W206" s="90" t="s">
        <v>5271</v>
      </c>
      <c r="X206" s="90" t="s">
        <v>162</v>
      </c>
      <c r="Y206" s="90" t="s">
        <v>408</v>
      </c>
      <c r="Z206" s="90"/>
      <c r="AA206" s="93">
        <v>594.69026548672605</v>
      </c>
      <c r="AB206" s="93">
        <v>594.69026548672605</v>
      </c>
      <c r="AC206" s="93">
        <v>13</v>
      </c>
      <c r="AD206" s="93">
        <v>77.309734513274293</v>
      </c>
      <c r="AE206" s="90"/>
      <c r="AF206" s="90"/>
      <c r="AG206" s="90"/>
      <c r="AH206" s="90"/>
      <c r="AI206" s="93">
        <v>0</v>
      </c>
      <c r="AJ206" s="93">
        <v>320</v>
      </c>
      <c r="AK206" s="93">
        <v>13</v>
      </c>
      <c r="AL206" s="93">
        <v>594.69026610000003</v>
      </c>
      <c r="AM206" s="93">
        <v>77.309733899999998</v>
      </c>
      <c r="AN206" s="93">
        <v>672</v>
      </c>
      <c r="AO206" s="93">
        <v>-6.1327432376856397E-7</v>
      </c>
      <c r="AP206" s="90" t="s">
        <v>5271</v>
      </c>
      <c r="AQ206" s="90" t="s">
        <v>5229</v>
      </c>
      <c r="AR206" s="90"/>
      <c r="AS206" s="90"/>
      <c r="AT206" s="90"/>
      <c r="AU206" s="90"/>
      <c r="AV206" s="90"/>
      <c r="AW206" s="90"/>
      <c r="AX206" s="90"/>
      <c r="AY206" s="90" t="s">
        <v>5230</v>
      </c>
      <c r="AZ206" s="90"/>
      <c r="BA206" s="90" t="s">
        <v>408</v>
      </c>
      <c r="BB206" s="91">
        <v>45928.577824074098</v>
      </c>
      <c r="BC206" s="90" t="s">
        <v>401</v>
      </c>
      <c r="BD206" s="90"/>
      <c r="BE206" s="90"/>
      <c r="BF206" s="90" t="s">
        <v>5231</v>
      </c>
    </row>
    <row r="207" spans="1:58" ht="24.75" customHeight="1">
      <c r="A207" s="90" t="s">
        <v>5221</v>
      </c>
      <c r="B207" s="90"/>
      <c r="C207" s="90"/>
      <c r="D207" s="91">
        <v>45928.579780092601</v>
      </c>
      <c r="E207" s="90" t="s">
        <v>5222</v>
      </c>
      <c r="F207" s="92"/>
      <c r="G207" s="90" t="s">
        <v>5483</v>
      </c>
      <c r="H207" s="90" t="s">
        <v>5380</v>
      </c>
      <c r="I207" s="90" t="s">
        <v>5381</v>
      </c>
      <c r="J207" s="90" t="s">
        <v>5351</v>
      </c>
      <c r="K207" s="93">
        <v>3</v>
      </c>
      <c r="L207" s="93">
        <v>120</v>
      </c>
      <c r="M207" s="93">
        <v>360</v>
      </c>
      <c r="N207" s="93">
        <v>360</v>
      </c>
      <c r="O207" s="90" t="s">
        <v>5226</v>
      </c>
      <c r="P207" s="90"/>
      <c r="Q207" s="90" t="s">
        <v>5227</v>
      </c>
      <c r="R207" s="90"/>
      <c r="S207" s="90"/>
      <c r="T207" s="90"/>
      <c r="U207" s="90"/>
      <c r="V207" s="90"/>
      <c r="W207" s="90" t="s">
        <v>5271</v>
      </c>
      <c r="X207" s="90" t="s">
        <v>162</v>
      </c>
      <c r="Y207" s="90" t="s">
        <v>408</v>
      </c>
      <c r="Z207" s="90"/>
      <c r="AA207" s="93">
        <v>318.58407079646003</v>
      </c>
      <c r="AB207" s="93">
        <v>318.58407079646003</v>
      </c>
      <c r="AC207" s="93">
        <v>13</v>
      </c>
      <c r="AD207" s="93">
        <v>41.415929203539797</v>
      </c>
      <c r="AE207" s="90"/>
      <c r="AF207" s="90"/>
      <c r="AG207" s="90"/>
      <c r="AH207" s="90"/>
      <c r="AI207" s="93">
        <v>0</v>
      </c>
      <c r="AJ207" s="93">
        <v>120</v>
      </c>
      <c r="AK207" s="93">
        <v>13</v>
      </c>
      <c r="AL207" s="93">
        <v>318.58407</v>
      </c>
      <c r="AM207" s="93">
        <v>41.415930000000003</v>
      </c>
      <c r="AN207" s="93">
        <v>360</v>
      </c>
      <c r="AO207" s="93">
        <v>7.9646019912615905E-7</v>
      </c>
      <c r="AP207" s="90" t="s">
        <v>5271</v>
      </c>
      <c r="AQ207" s="90" t="s">
        <v>5239</v>
      </c>
      <c r="AR207" s="90"/>
      <c r="AS207" s="90"/>
      <c r="AT207" s="90"/>
      <c r="AU207" s="90"/>
      <c r="AV207" s="90"/>
      <c r="AW207" s="90"/>
      <c r="AX207" s="90"/>
      <c r="AY207" s="90" t="s">
        <v>5230</v>
      </c>
      <c r="AZ207" s="90"/>
      <c r="BA207" s="90" t="s">
        <v>408</v>
      </c>
      <c r="BB207" s="91">
        <v>45928.579513888901</v>
      </c>
      <c r="BC207" s="90" t="s">
        <v>401</v>
      </c>
      <c r="BD207" s="90"/>
      <c r="BE207" s="90"/>
      <c r="BF207" s="90" t="s">
        <v>5231</v>
      </c>
    </row>
    <row r="208" spans="1:58" ht="24.75" customHeight="1">
      <c r="A208" s="90" t="s">
        <v>5221</v>
      </c>
      <c r="B208" s="90"/>
      <c r="C208" s="90"/>
      <c r="D208" s="91">
        <v>45928.579780092601</v>
      </c>
      <c r="E208" s="90" t="s">
        <v>5222</v>
      </c>
      <c r="F208" s="92"/>
      <c r="G208" s="90" t="s">
        <v>5483</v>
      </c>
      <c r="H208" s="90" t="s">
        <v>5383</v>
      </c>
      <c r="I208" s="90" t="s">
        <v>5384</v>
      </c>
      <c r="J208" s="90" t="s">
        <v>5351</v>
      </c>
      <c r="K208" s="93">
        <v>1.6</v>
      </c>
      <c r="L208" s="93">
        <v>130</v>
      </c>
      <c r="M208" s="93">
        <v>208</v>
      </c>
      <c r="N208" s="93">
        <v>208</v>
      </c>
      <c r="O208" s="90" t="s">
        <v>5226</v>
      </c>
      <c r="P208" s="90"/>
      <c r="Q208" s="90" t="s">
        <v>5227</v>
      </c>
      <c r="R208" s="90"/>
      <c r="S208" s="90"/>
      <c r="T208" s="90"/>
      <c r="U208" s="90"/>
      <c r="V208" s="90" t="s">
        <v>5385</v>
      </c>
      <c r="W208" s="90" t="s">
        <v>5271</v>
      </c>
      <c r="X208" s="90" t="s">
        <v>162</v>
      </c>
      <c r="Y208" s="90" t="s">
        <v>408</v>
      </c>
      <c r="Z208" s="90"/>
      <c r="AA208" s="93">
        <v>184.07079646017701</v>
      </c>
      <c r="AB208" s="93">
        <v>184.07079646017701</v>
      </c>
      <c r="AC208" s="93">
        <v>13</v>
      </c>
      <c r="AD208" s="93">
        <v>23.929203539823</v>
      </c>
      <c r="AE208" s="90"/>
      <c r="AF208" s="90"/>
      <c r="AG208" s="90"/>
      <c r="AH208" s="90"/>
      <c r="AI208" s="93">
        <v>0</v>
      </c>
      <c r="AJ208" s="93">
        <v>130</v>
      </c>
      <c r="AK208" s="93">
        <v>13</v>
      </c>
      <c r="AL208" s="93">
        <v>184.07079680000001</v>
      </c>
      <c r="AM208" s="93">
        <v>23.9292032</v>
      </c>
      <c r="AN208" s="93">
        <v>208</v>
      </c>
      <c r="AO208" s="93">
        <v>-3.3982300351453897E-7</v>
      </c>
      <c r="AP208" s="90" t="s">
        <v>5271</v>
      </c>
      <c r="AQ208" s="90" t="s">
        <v>5229</v>
      </c>
      <c r="AR208" s="90"/>
      <c r="AS208" s="90"/>
      <c r="AT208" s="90"/>
      <c r="AU208" s="90"/>
      <c r="AV208" s="90"/>
      <c r="AW208" s="90"/>
      <c r="AX208" s="90"/>
      <c r="AY208" s="90" t="s">
        <v>5230</v>
      </c>
      <c r="AZ208" s="90"/>
      <c r="BA208" s="90" t="s">
        <v>408</v>
      </c>
      <c r="BB208" s="91">
        <v>45928.579513888901</v>
      </c>
      <c r="BC208" s="90" t="s">
        <v>401</v>
      </c>
      <c r="BD208" s="90"/>
      <c r="BE208" s="90"/>
      <c r="BF208" s="90" t="s">
        <v>5231</v>
      </c>
    </row>
    <row r="209" spans="1:58" ht="24.75" customHeight="1">
      <c r="A209" s="90" t="s">
        <v>5221</v>
      </c>
      <c r="B209" s="90"/>
      <c r="C209" s="90"/>
      <c r="D209" s="91">
        <v>45928.589502314797</v>
      </c>
      <c r="E209" s="90" t="s">
        <v>5222</v>
      </c>
      <c r="F209" s="92"/>
      <c r="G209" s="90" t="s">
        <v>5484</v>
      </c>
      <c r="H209" s="90" t="s">
        <v>5383</v>
      </c>
      <c r="I209" s="90" t="s">
        <v>5384</v>
      </c>
      <c r="J209" s="90" t="s">
        <v>5351</v>
      </c>
      <c r="K209" s="93">
        <v>3.2</v>
      </c>
      <c r="L209" s="93">
        <v>130</v>
      </c>
      <c r="M209" s="93">
        <v>416</v>
      </c>
      <c r="N209" s="93">
        <v>416</v>
      </c>
      <c r="O209" s="90" t="s">
        <v>5226</v>
      </c>
      <c r="P209" s="90"/>
      <c r="Q209" s="90" t="s">
        <v>5227</v>
      </c>
      <c r="R209" s="90"/>
      <c r="S209" s="90"/>
      <c r="T209" s="90"/>
      <c r="U209" s="90"/>
      <c r="V209" s="90" t="s">
        <v>5385</v>
      </c>
      <c r="W209" s="90" t="s">
        <v>5271</v>
      </c>
      <c r="X209" s="90" t="s">
        <v>162</v>
      </c>
      <c r="Y209" s="90" t="s">
        <v>408</v>
      </c>
      <c r="Z209" s="90"/>
      <c r="AA209" s="93">
        <v>368.14159292035401</v>
      </c>
      <c r="AB209" s="93">
        <v>368.14159292035401</v>
      </c>
      <c r="AC209" s="93">
        <v>13</v>
      </c>
      <c r="AD209" s="93">
        <v>47.858407079646</v>
      </c>
      <c r="AE209" s="90"/>
      <c r="AF209" s="90"/>
      <c r="AG209" s="90"/>
      <c r="AH209" s="90"/>
      <c r="AI209" s="93">
        <v>0</v>
      </c>
      <c r="AJ209" s="93">
        <v>130</v>
      </c>
      <c r="AK209" s="93">
        <v>13</v>
      </c>
      <c r="AL209" s="93">
        <v>368.14159360000002</v>
      </c>
      <c r="AM209" s="93">
        <v>47.8584064</v>
      </c>
      <c r="AN209" s="93">
        <v>416</v>
      </c>
      <c r="AO209" s="93">
        <v>-6.7964600702907795E-7</v>
      </c>
      <c r="AP209" s="90" t="s">
        <v>5271</v>
      </c>
      <c r="AQ209" s="90" t="s">
        <v>5229</v>
      </c>
      <c r="AR209" s="90"/>
      <c r="AS209" s="90"/>
      <c r="AT209" s="90"/>
      <c r="AU209" s="90"/>
      <c r="AV209" s="90"/>
      <c r="AW209" s="90"/>
      <c r="AX209" s="90"/>
      <c r="AY209" s="90" t="s">
        <v>5230</v>
      </c>
      <c r="AZ209" s="90"/>
      <c r="BA209" s="90" t="s">
        <v>408</v>
      </c>
      <c r="BB209" s="91">
        <v>45928.589247685202</v>
      </c>
      <c r="BC209" s="90" t="s">
        <v>401</v>
      </c>
      <c r="BD209" s="90"/>
      <c r="BE209" s="90"/>
      <c r="BF209" s="90" t="s">
        <v>5231</v>
      </c>
    </row>
    <row r="210" spans="1:58" ht="24.75" customHeight="1">
      <c r="A210" s="90" t="s">
        <v>5221</v>
      </c>
      <c r="B210" s="90"/>
      <c r="C210" s="90"/>
      <c r="D210" s="91">
        <v>45928.589502314797</v>
      </c>
      <c r="E210" s="90" t="s">
        <v>5222</v>
      </c>
      <c r="F210" s="92"/>
      <c r="G210" s="90" t="s">
        <v>5484</v>
      </c>
      <c r="H210" s="90" t="s">
        <v>5380</v>
      </c>
      <c r="I210" s="90" t="s">
        <v>5381</v>
      </c>
      <c r="J210" s="90" t="s">
        <v>5351</v>
      </c>
      <c r="K210" s="93">
        <v>1.9</v>
      </c>
      <c r="L210" s="93">
        <v>120</v>
      </c>
      <c r="M210" s="93">
        <v>228</v>
      </c>
      <c r="N210" s="93">
        <v>228</v>
      </c>
      <c r="O210" s="90" t="s">
        <v>5226</v>
      </c>
      <c r="P210" s="90"/>
      <c r="Q210" s="90" t="s">
        <v>5227</v>
      </c>
      <c r="R210" s="90"/>
      <c r="S210" s="90"/>
      <c r="T210" s="90"/>
      <c r="U210" s="90"/>
      <c r="V210" s="90"/>
      <c r="W210" s="90" t="s">
        <v>5271</v>
      </c>
      <c r="X210" s="90" t="s">
        <v>162</v>
      </c>
      <c r="Y210" s="90" t="s">
        <v>408</v>
      </c>
      <c r="Z210" s="90"/>
      <c r="AA210" s="93">
        <v>201.76991150442501</v>
      </c>
      <c r="AB210" s="93">
        <v>201.76991150442501</v>
      </c>
      <c r="AC210" s="93">
        <v>13</v>
      </c>
      <c r="AD210" s="93">
        <v>26.230088495575199</v>
      </c>
      <c r="AE210" s="90"/>
      <c r="AF210" s="90"/>
      <c r="AG210" s="90"/>
      <c r="AH210" s="90"/>
      <c r="AI210" s="93">
        <v>0</v>
      </c>
      <c r="AJ210" s="93">
        <v>120</v>
      </c>
      <c r="AK210" s="93">
        <v>13</v>
      </c>
      <c r="AL210" s="93">
        <v>201.76991100000001</v>
      </c>
      <c r="AM210" s="93">
        <v>26.230089</v>
      </c>
      <c r="AN210" s="93">
        <v>228</v>
      </c>
      <c r="AO210" s="93">
        <v>5.0442483257029401E-7</v>
      </c>
      <c r="AP210" s="90" t="s">
        <v>5271</v>
      </c>
      <c r="AQ210" s="90" t="s">
        <v>5239</v>
      </c>
      <c r="AR210" s="90"/>
      <c r="AS210" s="90"/>
      <c r="AT210" s="90"/>
      <c r="AU210" s="90"/>
      <c r="AV210" s="90"/>
      <c r="AW210" s="90"/>
      <c r="AX210" s="90"/>
      <c r="AY210" s="90" t="s">
        <v>5230</v>
      </c>
      <c r="AZ210" s="90"/>
      <c r="BA210" s="90" t="s">
        <v>408</v>
      </c>
      <c r="BB210" s="91">
        <v>45928.589247685202</v>
      </c>
      <c r="BC210" s="90" t="s">
        <v>401</v>
      </c>
      <c r="BD210" s="90"/>
      <c r="BE210" s="90"/>
      <c r="BF210" s="90" t="s">
        <v>5231</v>
      </c>
    </row>
    <row r="211" spans="1:58" ht="24.75" customHeight="1">
      <c r="A211" s="90" t="s">
        <v>5221</v>
      </c>
      <c r="B211" s="90"/>
      <c r="C211" s="90"/>
      <c r="D211" s="91">
        <v>45928.605740740699</v>
      </c>
      <c r="E211" s="90" t="s">
        <v>5222</v>
      </c>
      <c r="F211" s="92"/>
      <c r="G211" s="90" t="s">
        <v>5485</v>
      </c>
      <c r="H211" s="90" t="s">
        <v>5380</v>
      </c>
      <c r="I211" s="90" t="s">
        <v>5381</v>
      </c>
      <c r="J211" s="90" t="s">
        <v>5351</v>
      </c>
      <c r="K211" s="93">
        <v>2</v>
      </c>
      <c r="L211" s="93">
        <v>120</v>
      </c>
      <c r="M211" s="93">
        <v>240</v>
      </c>
      <c r="N211" s="93">
        <v>240</v>
      </c>
      <c r="O211" s="90" t="s">
        <v>5226</v>
      </c>
      <c r="P211" s="90"/>
      <c r="Q211" s="90" t="s">
        <v>5227</v>
      </c>
      <c r="R211" s="90"/>
      <c r="S211" s="90"/>
      <c r="T211" s="90"/>
      <c r="U211" s="90"/>
      <c r="V211" s="90"/>
      <c r="W211" s="90" t="s">
        <v>5271</v>
      </c>
      <c r="X211" s="90" t="s">
        <v>162</v>
      </c>
      <c r="Y211" s="90" t="s">
        <v>408</v>
      </c>
      <c r="Z211" s="90"/>
      <c r="AA211" s="93">
        <v>212.389380530973</v>
      </c>
      <c r="AB211" s="93">
        <v>212.389380530973</v>
      </c>
      <c r="AC211" s="93">
        <v>13</v>
      </c>
      <c r="AD211" s="93">
        <v>27.610619469026499</v>
      </c>
      <c r="AE211" s="90"/>
      <c r="AF211" s="90"/>
      <c r="AG211" s="90"/>
      <c r="AH211" s="90"/>
      <c r="AI211" s="93">
        <v>0</v>
      </c>
      <c r="AJ211" s="93">
        <v>120</v>
      </c>
      <c r="AK211" s="93">
        <v>13</v>
      </c>
      <c r="AL211" s="93">
        <v>212.38937999999999</v>
      </c>
      <c r="AM211" s="93">
        <v>27.610620000000001</v>
      </c>
      <c r="AN211" s="93">
        <v>240</v>
      </c>
      <c r="AO211" s="93">
        <v>5.3097349450581501E-7</v>
      </c>
      <c r="AP211" s="90" t="s">
        <v>5271</v>
      </c>
      <c r="AQ211" s="90" t="s">
        <v>5239</v>
      </c>
      <c r="AR211" s="90"/>
      <c r="AS211" s="90"/>
      <c r="AT211" s="90"/>
      <c r="AU211" s="90"/>
      <c r="AV211" s="90"/>
      <c r="AW211" s="90"/>
      <c r="AX211" s="90"/>
      <c r="AY211" s="90" t="s">
        <v>5230</v>
      </c>
      <c r="AZ211" s="90"/>
      <c r="BA211" s="90" t="s">
        <v>408</v>
      </c>
      <c r="BB211" s="91">
        <v>45928.604629629597</v>
      </c>
      <c r="BC211" s="90" t="s">
        <v>401</v>
      </c>
      <c r="BD211" s="90"/>
      <c r="BE211" s="90"/>
      <c r="BF211" s="90" t="s">
        <v>5231</v>
      </c>
    </row>
    <row r="212" spans="1:58" ht="24.75" customHeight="1">
      <c r="A212" s="90" t="s">
        <v>5221</v>
      </c>
      <c r="B212" s="90"/>
      <c r="C212" s="90"/>
      <c r="D212" s="91">
        <v>45928.605740740699</v>
      </c>
      <c r="E212" s="90" t="s">
        <v>5222</v>
      </c>
      <c r="F212" s="92"/>
      <c r="G212" s="90" t="s">
        <v>5485</v>
      </c>
      <c r="H212" s="90" t="s">
        <v>5383</v>
      </c>
      <c r="I212" s="90" t="s">
        <v>5384</v>
      </c>
      <c r="J212" s="90" t="s">
        <v>5351</v>
      </c>
      <c r="K212" s="93">
        <v>0.4</v>
      </c>
      <c r="L212" s="93">
        <v>130</v>
      </c>
      <c r="M212" s="93">
        <v>52</v>
      </c>
      <c r="N212" s="93">
        <v>52</v>
      </c>
      <c r="O212" s="90" t="s">
        <v>5226</v>
      </c>
      <c r="P212" s="90"/>
      <c r="Q212" s="90" t="s">
        <v>5227</v>
      </c>
      <c r="R212" s="90"/>
      <c r="S212" s="90"/>
      <c r="T212" s="90"/>
      <c r="U212" s="90"/>
      <c r="V212" s="90" t="s">
        <v>5385</v>
      </c>
      <c r="W212" s="90" t="s">
        <v>5271</v>
      </c>
      <c r="X212" s="90" t="s">
        <v>162</v>
      </c>
      <c r="Y212" s="90" t="s">
        <v>408</v>
      </c>
      <c r="Z212" s="90"/>
      <c r="AA212" s="93">
        <v>46.017699115044302</v>
      </c>
      <c r="AB212" s="93">
        <v>46.017699115044302</v>
      </c>
      <c r="AC212" s="93">
        <v>13</v>
      </c>
      <c r="AD212" s="93">
        <v>5.98230088495575</v>
      </c>
      <c r="AE212" s="90"/>
      <c r="AF212" s="90"/>
      <c r="AG212" s="90"/>
      <c r="AH212" s="90"/>
      <c r="AI212" s="93">
        <v>0</v>
      </c>
      <c r="AJ212" s="93">
        <v>130</v>
      </c>
      <c r="AK212" s="93">
        <v>13</v>
      </c>
      <c r="AL212" s="93">
        <v>46.017699200000003</v>
      </c>
      <c r="AM212" s="93">
        <v>5.9823008</v>
      </c>
      <c r="AN212" s="93">
        <v>52</v>
      </c>
      <c r="AO212" s="93">
        <v>-8.4955750878634704E-8</v>
      </c>
      <c r="AP212" s="90" t="s">
        <v>5271</v>
      </c>
      <c r="AQ212" s="90" t="s">
        <v>5229</v>
      </c>
      <c r="AR212" s="90"/>
      <c r="AS212" s="90"/>
      <c r="AT212" s="90"/>
      <c r="AU212" s="90"/>
      <c r="AV212" s="90"/>
      <c r="AW212" s="90"/>
      <c r="AX212" s="90"/>
      <c r="AY212" s="90" t="s">
        <v>5230</v>
      </c>
      <c r="AZ212" s="90"/>
      <c r="BA212" s="90" t="s">
        <v>408</v>
      </c>
      <c r="BB212" s="91">
        <v>45928.604629629597</v>
      </c>
      <c r="BC212" s="90" t="s">
        <v>401</v>
      </c>
      <c r="BD212" s="90"/>
      <c r="BE212" s="90"/>
      <c r="BF212" s="90" t="s">
        <v>5231</v>
      </c>
    </row>
    <row r="213" spans="1:58" ht="24.75" customHeight="1">
      <c r="A213" s="90" t="s">
        <v>5221</v>
      </c>
      <c r="B213" s="90"/>
      <c r="C213" s="90"/>
      <c r="D213" s="91">
        <v>45928.630173611098</v>
      </c>
      <c r="E213" s="90" t="s">
        <v>5222</v>
      </c>
      <c r="F213" s="92"/>
      <c r="G213" s="90" t="s">
        <v>5486</v>
      </c>
      <c r="H213" s="90" t="s">
        <v>5380</v>
      </c>
      <c r="I213" s="90" t="s">
        <v>5381</v>
      </c>
      <c r="J213" s="90" t="s">
        <v>5351</v>
      </c>
      <c r="K213" s="93">
        <v>2.8</v>
      </c>
      <c r="L213" s="93">
        <v>120</v>
      </c>
      <c r="M213" s="93">
        <v>336</v>
      </c>
      <c r="N213" s="93">
        <v>336</v>
      </c>
      <c r="O213" s="90" t="s">
        <v>5226</v>
      </c>
      <c r="P213" s="90"/>
      <c r="Q213" s="90" t="s">
        <v>5227</v>
      </c>
      <c r="R213" s="90"/>
      <c r="S213" s="90"/>
      <c r="T213" s="90"/>
      <c r="U213" s="90"/>
      <c r="V213" s="90"/>
      <c r="W213" s="90" t="s">
        <v>5271</v>
      </c>
      <c r="X213" s="90" t="s">
        <v>162</v>
      </c>
      <c r="Y213" s="90" t="s">
        <v>408</v>
      </c>
      <c r="Z213" s="90"/>
      <c r="AA213" s="93">
        <v>297.34513274336302</v>
      </c>
      <c r="AB213" s="93">
        <v>297.34513274336302</v>
      </c>
      <c r="AC213" s="93">
        <v>13</v>
      </c>
      <c r="AD213" s="93">
        <v>38.654867256637203</v>
      </c>
      <c r="AE213" s="90"/>
      <c r="AF213" s="90"/>
      <c r="AG213" s="90"/>
      <c r="AH213" s="90"/>
      <c r="AI213" s="93">
        <v>0</v>
      </c>
      <c r="AJ213" s="93">
        <v>120</v>
      </c>
      <c r="AK213" s="93">
        <v>13</v>
      </c>
      <c r="AL213" s="93">
        <v>297.34513199999998</v>
      </c>
      <c r="AM213" s="93">
        <v>38.654868</v>
      </c>
      <c r="AN213" s="93">
        <v>336</v>
      </c>
      <c r="AO213" s="93">
        <v>7.4336287525511601E-7</v>
      </c>
      <c r="AP213" s="90" t="s">
        <v>5271</v>
      </c>
      <c r="AQ213" s="90" t="s">
        <v>5239</v>
      </c>
      <c r="AR213" s="90"/>
      <c r="AS213" s="90"/>
      <c r="AT213" s="90"/>
      <c r="AU213" s="90"/>
      <c r="AV213" s="90"/>
      <c r="AW213" s="90"/>
      <c r="AX213" s="90"/>
      <c r="AY213" s="90" t="s">
        <v>5230</v>
      </c>
      <c r="AZ213" s="90"/>
      <c r="BA213" s="90" t="s">
        <v>408</v>
      </c>
      <c r="BB213" s="91">
        <v>45928.629907407398</v>
      </c>
      <c r="BC213" s="90" t="s">
        <v>401</v>
      </c>
      <c r="BD213" s="90"/>
      <c r="BE213" s="90"/>
      <c r="BF213" s="90" t="s">
        <v>5231</v>
      </c>
    </row>
    <row r="214" spans="1:58" ht="24.75" customHeight="1">
      <c r="A214" s="90" t="s">
        <v>5221</v>
      </c>
      <c r="B214" s="90"/>
      <c r="C214" s="90"/>
      <c r="D214" s="91">
        <v>45928.630173611098</v>
      </c>
      <c r="E214" s="90" t="s">
        <v>5222</v>
      </c>
      <c r="F214" s="92"/>
      <c r="G214" s="90" t="s">
        <v>5486</v>
      </c>
      <c r="H214" s="90" t="s">
        <v>5383</v>
      </c>
      <c r="I214" s="90" t="s">
        <v>5384</v>
      </c>
      <c r="J214" s="90" t="s">
        <v>5351</v>
      </c>
      <c r="K214" s="93">
        <v>2</v>
      </c>
      <c r="L214" s="93">
        <v>130</v>
      </c>
      <c r="M214" s="93">
        <v>260</v>
      </c>
      <c r="N214" s="93">
        <v>260</v>
      </c>
      <c r="O214" s="90" t="s">
        <v>5226</v>
      </c>
      <c r="P214" s="90"/>
      <c r="Q214" s="90" t="s">
        <v>5227</v>
      </c>
      <c r="R214" s="90"/>
      <c r="S214" s="90"/>
      <c r="T214" s="90"/>
      <c r="U214" s="90"/>
      <c r="V214" s="90" t="s">
        <v>5385</v>
      </c>
      <c r="W214" s="90" t="s">
        <v>5271</v>
      </c>
      <c r="X214" s="90" t="s">
        <v>162</v>
      </c>
      <c r="Y214" s="90" t="s">
        <v>408</v>
      </c>
      <c r="Z214" s="90"/>
      <c r="AA214" s="93">
        <v>230.088495575221</v>
      </c>
      <c r="AB214" s="93">
        <v>230.088495575221</v>
      </c>
      <c r="AC214" s="93">
        <v>13</v>
      </c>
      <c r="AD214" s="93">
        <v>29.911504424778698</v>
      </c>
      <c r="AE214" s="90"/>
      <c r="AF214" s="90"/>
      <c r="AG214" s="90"/>
      <c r="AH214" s="90"/>
      <c r="AI214" s="93">
        <v>0</v>
      </c>
      <c r="AJ214" s="93">
        <v>130</v>
      </c>
      <c r="AK214" s="93">
        <v>13</v>
      </c>
      <c r="AL214" s="93">
        <v>230.08849599999999</v>
      </c>
      <c r="AM214" s="93">
        <v>29.911504000000001</v>
      </c>
      <c r="AN214" s="93">
        <v>260</v>
      </c>
      <c r="AO214" s="93">
        <v>-4.2477873307689199E-7</v>
      </c>
      <c r="AP214" s="90" t="s">
        <v>5271</v>
      </c>
      <c r="AQ214" s="90" t="s">
        <v>5229</v>
      </c>
      <c r="AR214" s="90"/>
      <c r="AS214" s="90"/>
      <c r="AT214" s="90"/>
      <c r="AU214" s="90"/>
      <c r="AV214" s="90"/>
      <c r="AW214" s="90"/>
      <c r="AX214" s="90"/>
      <c r="AY214" s="90" t="s">
        <v>5230</v>
      </c>
      <c r="AZ214" s="90"/>
      <c r="BA214" s="90" t="s">
        <v>408</v>
      </c>
      <c r="BB214" s="91">
        <v>45928.629907407398</v>
      </c>
      <c r="BC214" s="90" t="s">
        <v>401</v>
      </c>
      <c r="BD214" s="90"/>
      <c r="BE214" s="90"/>
      <c r="BF214" s="90" t="s">
        <v>5231</v>
      </c>
    </row>
    <row r="215" spans="1:58" ht="24.75" customHeight="1">
      <c r="A215" s="90" t="s">
        <v>5221</v>
      </c>
      <c r="B215" s="90"/>
      <c r="C215" s="90"/>
      <c r="D215" s="91">
        <v>45928.669224537</v>
      </c>
      <c r="E215" s="90" t="s">
        <v>5222</v>
      </c>
      <c r="F215" s="92"/>
      <c r="G215" s="90" t="s">
        <v>5487</v>
      </c>
      <c r="H215" s="90" t="s">
        <v>5380</v>
      </c>
      <c r="I215" s="90" t="s">
        <v>5381</v>
      </c>
      <c r="J215" s="90" t="s">
        <v>5351</v>
      </c>
      <c r="K215" s="93">
        <v>1.9</v>
      </c>
      <c r="L215" s="93">
        <v>120</v>
      </c>
      <c r="M215" s="93">
        <v>228</v>
      </c>
      <c r="N215" s="93">
        <v>228</v>
      </c>
      <c r="O215" s="90" t="s">
        <v>5226</v>
      </c>
      <c r="P215" s="90"/>
      <c r="Q215" s="90" t="s">
        <v>5227</v>
      </c>
      <c r="R215" s="90"/>
      <c r="S215" s="90"/>
      <c r="T215" s="90"/>
      <c r="U215" s="90"/>
      <c r="V215" s="90"/>
      <c r="W215" s="90" t="s">
        <v>5271</v>
      </c>
      <c r="X215" s="90" t="s">
        <v>162</v>
      </c>
      <c r="Y215" s="90" t="s">
        <v>408</v>
      </c>
      <c r="Z215" s="90"/>
      <c r="AA215" s="93">
        <v>201.76991150442501</v>
      </c>
      <c r="AB215" s="93">
        <v>201.76991150442501</v>
      </c>
      <c r="AC215" s="93">
        <v>13</v>
      </c>
      <c r="AD215" s="93">
        <v>26.230088495575199</v>
      </c>
      <c r="AE215" s="90"/>
      <c r="AF215" s="90"/>
      <c r="AG215" s="90"/>
      <c r="AH215" s="90"/>
      <c r="AI215" s="93">
        <v>0</v>
      </c>
      <c r="AJ215" s="93">
        <v>120</v>
      </c>
      <c r="AK215" s="93">
        <v>13</v>
      </c>
      <c r="AL215" s="93">
        <v>201.76991100000001</v>
      </c>
      <c r="AM215" s="93">
        <v>26.230089</v>
      </c>
      <c r="AN215" s="93">
        <v>228</v>
      </c>
      <c r="AO215" s="93">
        <v>5.0442483257029401E-7</v>
      </c>
      <c r="AP215" s="90" t="s">
        <v>5271</v>
      </c>
      <c r="AQ215" s="90" t="s">
        <v>5239</v>
      </c>
      <c r="AR215" s="90"/>
      <c r="AS215" s="90"/>
      <c r="AT215" s="90"/>
      <c r="AU215" s="90"/>
      <c r="AV215" s="90"/>
      <c r="AW215" s="90"/>
      <c r="AX215" s="90"/>
      <c r="AY215" s="90" t="s">
        <v>5230</v>
      </c>
      <c r="AZ215" s="90"/>
      <c r="BA215" s="90" t="s">
        <v>408</v>
      </c>
      <c r="BB215" s="91">
        <v>45928.668981481504</v>
      </c>
      <c r="BC215" s="90" t="s">
        <v>401</v>
      </c>
      <c r="BD215" s="90"/>
      <c r="BE215" s="90"/>
      <c r="BF215" s="90" t="s">
        <v>5231</v>
      </c>
    </row>
    <row r="216" spans="1:58" ht="24.75" customHeight="1">
      <c r="A216" s="90" t="s">
        <v>5221</v>
      </c>
      <c r="B216" s="90"/>
      <c r="C216" s="90"/>
      <c r="D216" s="91">
        <v>45928.669224537</v>
      </c>
      <c r="E216" s="90" t="s">
        <v>5222</v>
      </c>
      <c r="F216" s="92"/>
      <c r="G216" s="90" t="s">
        <v>5487</v>
      </c>
      <c r="H216" s="90" t="s">
        <v>5383</v>
      </c>
      <c r="I216" s="90" t="s">
        <v>5384</v>
      </c>
      <c r="J216" s="90" t="s">
        <v>5351</v>
      </c>
      <c r="K216" s="93">
        <v>0.4</v>
      </c>
      <c r="L216" s="93">
        <v>130</v>
      </c>
      <c r="M216" s="93">
        <v>52</v>
      </c>
      <c r="N216" s="93">
        <v>52</v>
      </c>
      <c r="O216" s="90" t="s">
        <v>5226</v>
      </c>
      <c r="P216" s="90"/>
      <c r="Q216" s="90" t="s">
        <v>5227</v>
      </c>
      <c r="R216" s="90"/>
      <c r="S216" s="90"/>
      <c r="T216" s="90"/>
      <c r="U216" s="90"/>
      <c r="V216" s="90" t="s">
        <v>5385</v>
      </c>
      <c r="W216" s="90" t="s">
        <v>5271</v>
      </c>
      <c r="X216" s="90" t="s">
        <v>162</v>
      </c>
      <c r="Y216" s="90" t="s">
        <v>408</v>
      </c>
      <c r="Z216" s="90"/>
      <c r="AA216" s="93">
        <v>46.017699115044302</v>
      </c>
      <c r="AB216" s="93">
        <v>46.017699115044302</v>
      </c>
      <c r="AC216" s="93">
        <v>13</v>
      </c>
      <c r="AD216" s="93">
        <v>5.98230088495575</v>
      </c>
      <c r="AE216" s="90"/>
      <c r="AF216" s="90"/>
      <c r="AG216" s="90"/>
      <c r="AH216" s="90"/>
      <c r="AI216" s="93">
        <v>0</v>
      </c>
      <c r="AJ216" s="93">
        <v>130</v>
      </c>
      <c r="AK216" s="93">
        <v>13</v>
      </c>
      <c r="AL216" s="93">
        <v>46.017699200000003</v>
      </c>
      <c r="AM216" s="93">
        <v>5.9823008</v>
      </c>
      <c r="AN216" s="93">
        <v>52</v>
      </c>
      <c r="AO216" s="93">
        <v>-8.4955750878634704E-8</v>
      </c>
      <c r="AP216" s="90" t="s">
        <v>5271</v>
      </c>
      <c r="AQ216" s="90" t="s">
        <v>5229</v>
      </c>
      <c r="AR216" s="90"/>
      <c r="AS216" s="90"/>
      <c r="AT216" s="90"/>
      <c r="AU216" s="90"/>
      <c r="AV216" s="90"/>
      <c r="AW216" s="90"/>
      <c r="AX216" s="90"/>
      <c r="AY216" s="90" t="s">
        <v>5230</v>
      </c>
      <c r="AZ216" s="90"/>
      <c r="BA216" s="90" t="s">
        <v>408</v>
      </c>
      <c r="BB216" s="91">
        <v>45928.668981481504</v>
      </c>
      <c r="BC216" s="90" t="s">
        <v>401</v>
      </c>
      <c r="BD216" s="90"/>
      <c r="BE216" s="90"/>
      <c r="BF216" s="90" t="s">
        <v>5231</v>
      </c>
    </row>
    <row r="217" spans="1:58" ht="24.75" customHeight="1">
      <c r="A217" s="90" t="s">
        <v>5221</v>
      </c>
      <c r="B217" s="90"/>
      <c r="C217" s="90"/>
      <c r="D217" s="91">
        <v>45928.673715277801</v>
      </c>
      <c r="E217" s="90" t="s">
        <v>5222</v>
      </c>
      <c r="F217" s="92"/>
      <c r="G217" s="90" t="s">
        <v>5488</v>
      </c>
      <c r="H217" s="90" t="s">
        <v>5380</v>
      </c>
      <c r="I217" s="90" t="s">
        <v>5381</v>
      </c>
      <c r="J217" s="90" t="s">
        <v>5351</v>
      </c>
      <c r="K217" s="93">
        <v>1.7</v>
      </c>
      <c r="L217" s="93">
        <v>120</v>
      </c>
      <c r="M217" s="93">
        <v>204</v>
      </c>
      <c r="N217" s="93">
        <v>204</v>
      </c>
      <c r="O217" s="90" t="s">
        <v>5226</v>
      </c>
      <c r="P217" s="90"/>
      <c r="Q217" s="90" t="s">
        <v>5227</v>
      </c>
      <c r="R217" s="90"/>
      <c r="S217" s="90"/>
      <c r="T217" s="90"/>
      <c r="U217" s="90"/>
      <c r="V217" s="90"/>
      <c r="W217" s="90" t="s">
        <v>5271</v>
      </c>
      <c r="X217" s="90" t="s">
        <v>162</v>
      </c>
      <c r="Y217" s="90" t="s">
        <v>408</v>
      </c>
      <c r="Z217" s="90"/>
      <c r="AA217" s="93">
        <v>180.53097345132699</v>
      </c>
      <c r="AB217" s="93">
        <v>180.53097345132699</v>
      </c>
      <c r="AC217" s="93">
        <v>13</v>
      </c>
      <c r="AD217" s="93">
        <v>23.469026548672598</v>
      </c>
      <c r="AE217" s="90"/>
      <c r="AF217" s="90"/>
      <c r="AG217" s="90"/>
      <c r="AH217" s="90"/>
      <c r="AI217" s="93">
        <v>0</v>
      </c>
      <c r="AJ217" s="93">
        <v>120</v>
      </c>
      <c r="AK217" s="93">
        <v>13</v>
      </c>
      <c r="AL217" s="93">
        <v>180.53097299999999</v>
      </c>
      <c r="AM217" s="93">
        <v>23.469027000000001</v>
      </c>
      <c r="AN217" s="93">
        <v>204</v>
      </c>
      <c r="AO217" s="93">
        <v>4.51327451855832E-7</v>
      </c>
      <c r="AP217" s="90" t="s">
        <v>5271</v>
      </c>
      <c r="AQ217" s="90" t="s">
        <v>5239</v>
      </c>
      <c r="AR217" s="90"/>
      <c r="AS217" s="90"/>
      <c r="AT217" s="90"/>
      <c r="AU217" s="90"/>
      <c r="AV217" s="90"/>
      <c r="AW217" s="90"/>
      <c r="AX217" s="90"/>
      <c r="AY217" s="90" t="s">
        <v>5230</v>
      </c>
      <c r="AZ217" s="90"/>
      <c r="BA217" s="90" t="s">
        <v>408</v>
      </c>
      <c r="BB217" s="91">
        <v>45928.673483796301</v>
      </c>
      <c r="BC217" s="90" t="s">
        <v>401</v>
      </c>
      <c r="BD217" s="90"/>
      <c r="BE217" s="90"/>
      <c r="BF217" s="90" t="s">
        <v>5231</v>
      </c>
    </row>
    <row r="218" spans="1:58" ht="24.75" customHeight="1">
      <c r="A218" s="90" t="s">
        <v>5221</v>
      </c>
      <c r="B218" s="90"/>
      <c r="C218" s="90"/>
      <c r="D218" s="91">
        <v>45928.673715277801</v>
      </c>
      <c r="E218" s="90" t="s">
        <v>5222</v>
      </c>
      <c r="F218" s="92"/>
      <c r="G218" s="90" t="s">
        <v>5488</v>
      </c>
      <c r="H218" s="90" t="s">
        <v>5383</v>
      </c>
      <c r="I218" s="90" t="s">
        <v>5384</v>
      </c>
      <c r="J218" s="90" t="s">
        <v>5351</v>
      </c>
      <c r="K218" s="93">
        <v>2</v>
      </c>
      <c r="L218" s="93">
        <v>130</v>
      </c>
      <c r="M218" s="93">
        <v>260</v>
      </c>
      <c r="N218" s="93">
        <v>260</v>
      </c>
      <c r="O218" s="90" t="s">
        <v>5226</v>
      </c>
      <c r="P218" s="90"/>
      <c r="Q218" s="90" t="s">
        <v>5227</v>
      </c>
      <c r="R218" s="90"/>
      <c r="S218" s="90"/>
      <c r="T218" s="90"/>
      <c r="U218" s="90"/>
      <c r="V218" s="90" t="s">
        <v>5385</v>
      </c>
      <c r="W218" s="90" t="s">
        <v>5271</v>
      </c>
      <c r="X218" s="90" t="s">
        <v>162</v>
      </c>
      <c r="Y218" s="90" t="s">
        <v>408</v>
      </c>
      <c r="Z218" s="90"/>
      <c r="AA218" s="93">
        <v>230.088495575221</v>
      </c>
      <c r="AB218" s="93">
        <v>230.088495575221</v>
      </c>
      <c r="AC218" s="93">
        <v>13</v>
      </c>
      <c r="AD218" s="93">
        <v>29.911504424778698</v>
      </c>
      <c r="AE218" s="90"/>
      <c r="AF218" s="90"/>
      <c r="AG218" s="90"/>
      <c r="AH218" s="90"/>
      <c r="AI218" s="93">
        <v>0</v>
      </c>
      <c r="AJ218" s="93">
        <v>130</v>
      </c>
      <c r="AK218" s="93">
        <v>13</v>
      </c>
      <c r="AL218" s="93">
        <v>230.08849599999999</v>
      </c>
      <c r="AM218" s="93">
        <v>29.911504000000001</v>
      </c>
      <c r="AN218" s="93">
        <v>260</v>
      </c>
      <c r="AO218" s="93">
        <v>-4.2477873307689199E-7</v>
      </c>
      <c r="AP218" s="90" t="s">
        <v>5271</v>
      </c>
      <c r="AQ218" s="90" t="s">
        <v>5229</v>
      </c>
      <c r="AR218" s="90"/>
      <c r="AS218" s="90"/>
      <c r="AT218" s="90"/>
      <c r="AU218" s="90"/>
      <c r="AV218" s="90"/>
      <c r="AW218" s="90"/>
      <c r="AX218" s="90"/>
      <c r="AY218" s="90" t="s">
        <v>5230</v>
      </c>
      <c r="AZ218" s="90"/>
      <c r="BA218" s="90" t="s">
        <v>408</v>
      </c>
      <c r="BB218" s="91">
        <v>45928.673483796301</v>
      </c>
      <c r="BC218" s="90" t="s">
        <v>401</v>
      </c>
      <c r="BD218" s="90"/>
      <c r="BE218" s="90"/>
      <c r="BF218" s="90" t="s">
        <v>5231</v>
      </c>
    </row>
    <row r="219" spans="1:58" ht="24.75" customHeight="1">
      <c r="A219" s="90" t="s">
        <v>5221</v>
      </c>
      <c r="B219" s="90"/>
      <c r="C219" s="90"/>
      <c r="D219" s="91">
        <v>45928.674768518496</v>
      </c>
      <c r="E219" s="90" t="s">
        <v>5222</v>
      </c>
      <c r="F219" s="92"/>
      <c r="G219" s="90" t="s">
        <v>5489</v>
      </c>
      <c r="H219" s="90" t="s">
        <v>5383</v>
      </c>
      <c r="I219" s="90" t="s">
        <v>5384</v>
      </c>
      <c r="J219" s="90" t="s">
        <v>5351</v>
      </c>
      <c r="K219" s="93">
        <v>1.3</v>
      </c>
      <c r="L219" s="93">
        <v>130</v>
      </c>
      <c r="M219" s="93">
        <v>169</v>
      </c>
      <c r="N219" s="93">
        <v>169</v>
      </c>
      <c r="O219" s="90" t="s">
        <v>5226</v>
      </c>
      <c r="P219" s="90"/>
      <c r="Q219" s="90" t="s">
        <v>5227</v>
      </c>
      <c r="R219" s="90"/>
      <c r="S219" s="90"/>
      <c r="T219" s="90"/>
      <c r="U219" s="90"/>
      <c r="V219" s="90" t="s">
        <v>5385</v>
      </c>
      <c r="W219" s="90" t="s">
        <v>5271</v>
      </c>
      <c r="X219" s="90" t="s">
        <v>162</v>
      </c>
      <c r="Y219" s="90" t="s">
        <v>408</v>
      </c>
      <c r="Z219" s="90"/>
      <c r="AA219" s="93">
        <v>149.55752212389399</v>
      </c>
      <c r="AB219" s="93">
        <v>149.55752212389399</v>
      </c>
      <c r="AC219" s="93">
        <v>13</v>
      </c>
      <c r="AD219" s="93">
        <v>19.442477876106199</v>
      </c>
      <c r="AE219" s="90"/>
      <c r="AF219" s="90"/>
      <c r="AG219" s="90"/>
      <c r="AH219" s="90"/>
      <c r="AI219" s="93">
        <v>0</v>
      </c>
      <c r="AJ219" s="93">
        <v>130</v>
      </c>
      <c r="AK219" s="93">
        <v>13</v>
      </c>
      <c r="AL219" s="93">
        <v>149.55752240000001</v>
      </c>
      <c r="AM219" s="93">
        <v>19.4424776</v>
      </c>
      <c r="AN219" s="93">
        <v>169</v>
      </c>
      <c r="AO219" s="93">
        <v>-2.7610619213191999E-7</v>
      </c>
      <c r="AP219" s="90" t="s">
        <v>5271</v>
      </c>
      <c r="AQ219" s="90" t="s">
        <v>5229</v>
      </c>
      <c r="AR219" s="90"/>
      <c r="AS219" s="90"/>
      <c r="AT219" s="90"/>
      <c r="AU219" s="90"/>
      <c r="AV219" s="90"/>
      <c r="AW219" s="90"/>
      <c r="AX219" s="90"/>
      <c r="AY219" s="90" t="s">
        <v>5230</v>
      </c>
      <c r="AZ219" s="90"/>
      <c r="BA219" s="90" t="s">
        <v>5480</v>
      </c>
      <c r="BB219" s="91">
        <v>45928.674548611103</v>
      </c>
      <c r="BC219" s="90" t="s">
        <v>401</v>
      </c>
      <c r="BD219" s="90"/>
      <c r="BE219" s="90"/>
      <c r="BF219" s="90" t="s">
        <v>5481</v>
      </c>
    </row>
    <row r="220" spans="1:58" ht="24.75" customHeight="1">
      <c r="A220" s="90" t="s">
        <v>5221</v>
      </c>
      <c r="B220" s="90"/>
      <c r="C220" s="90"/>
      <c r="D220" s="91">
        <v>45928.674768518496</v>
      </c>
      <c r="E220" s="90" t="s">
        <v>5222</v>
      </c>
      <c r="F220" s="92"/>
      <c r="G220" s="90" t="s">
        <v>5489</v>
      </c>
      <c r="H220" s="90" t="s">
        <v>5380</v>
      </c>
      <c r="I220" s="90" t="s">
        <v>5381</v>
      </c>
      <c r="J220" s="90" t="s">
        <v>5351</v>
      </c>
      <c r="K220" s="93">
        <v>2.2000000000000002</v>
      </c>
      <c r="L220" s="93">
        <v>120</v>
      </c>
      <c r="M220" s="93">
        <v>264</v>
      </c>
      <c r="N220" s="93">
        <v>264</v>
      </c>
      <c r="O220" s="90" t="s">
        <v>5226</v>
      </c>
      <c r="P220" s="90"/>
      <c r="Q220" s="90" t="s">
        <v>5227</v>
      </c>
      <c r="R220" s="90"/>
      <c r="S220" s="90"/>
      <c r="T220" s="90"/>
      <c r="U220" s="90"/>
      <c r="V220" s="90"/>
      <c r="W220" s="90" t="s">
        <v>5271</v>
      </c>
      <c r="X220" s="90" t="s">
        <v>162</v>
      </c>
      <c r="Y220" s="90" t="s">
        <v>408</v>
      </c>
      <c r="Z220" s="90"/>
      <c r="AA220" s="93">
        <v>233.628318584071</v>
      </c>
      <c r="AB220" s="93">
        <v>233.628318584071</v>
      </c>
      <c r="AC220" s="93">
        <v>13</v>
      </c>
      <c r="AD220" s="93">
        <v>30.371681415929199</v>
      </c>
      <c r="AE220" s="90"/>
      <c r="AF220" s="90"/>
      <c r="AG220" s="90"/>
      <c r="AH220" s="90"/>
      <c r="AI220" s="93">
        <v>0</v>
      </c>
      <c r="AJ220" s="93">
        <v>120</v>
      </c>
      <c r="AK220" s="93">
        <v>13</v>
      </c>
      <c r="AL220" s="93">
        <v>233.62831800000001</v>
      </c>
      <c r="AM220" s="93">
        <v>30.371682</v>
      </c>
      <c r="AN220" s="93">
        <v>264</v>
      </c>
      <c r="AO220" s="93">
        <v>5.8407081837685805E-7</v>
      </c>
      <c r="AP220" s="90" t="s">
        <v>5271</v>
      </c>
      <c r="AQ220" s="90" t="s">
        <v>5239</v>
      </c>
      <c r="AR220" s="90"/>
      <c r="AS220" s="90"/>
      <c r="AT220" s="90"/>
      <c r="AU220" s="90"/>
      <c r="AV220" s="90"/>
      <c r="AW220" s="90"/>
      <c r="AX220" s="90"/>
      <c r="AY220" s="90" t="s">
        <v>5230</v>
      </c>
      <c r="AZ220" s="90"/>
      <c r="BA220" s="90" t="s">
        <v>5480</v>
      </c>
      <c r="BB220" s="91">
        <v>45928.674548611103</v>
      </c>
      <c r="BC220" s="90" t="s">
        <v>401</v>
      </c>
      <c r="BD220" s="90"/>
      <c r="BE220" s="90"/>
      <c r="BF220" s="90" t="s">
        <v>5481</v>
      </c>
    </row>
    <row r="221" spans="1:58" ht="24.75" customHeight="1">
      <c r="A221" s="90" t="s">
        <v>5221</v>
      </c>
      <c r="B221" s="90"/>
      <c r="C221" s="90"/>
      <c r="D221" s="91">
        <v>45928.675960648201</v>
      </c>
      <c r="E221" s="90" t="s">
        <v>5222</v>
      </c>
      <c r="F221" s="92"/>
      <c r="G221" s="90" t="s">
        <v>5490</v>
      </c>
      <c r="H221" s="90" t="s">
        <v>5380</v>
      </c>
      <c r="I221" s="90" t="s">
        <v>5381</v>
      </c>
      <c r="J221" s="90" t="s">
        <v>5351</v>
      </c>
      <c r="K221" s="93">
        <v>1.4</v>
      </c>
      <c r="L221" s="93">
        <v>120</v>
      </c>
      <c r="M221" s="93">
        <v>168</v>
      </c>
      <c r="N221" s="93">
        <v>168</v>
      </c>
      <c r="O221" s="90" t="s">
        <v>5226</v>
      </c>
      <c r="P221" s="90"/>
      <c r="Q221" s="90" t="s">
        <v>5227</v>
      </c>
      <c r="R221" s="90"/>
      <c r="S221" s="90"/>
      <c r="T221" s="90"/>
      <c r="U221" s="90"/>
      <c r="V221" s="90"/>
      <c r="W221" s="90" t="s">
        <v>5271</v>
      </c>
      <c r="X221" s="90" t="s">
        <v>162</v>
      </c>
      <c r="Y221" s="90" t="s">
        <v>408</v>
      </c>
      <c r="Z221" s="90"/>
      <c r="AA221" s="93">
        <v>148.672566371681</v>
      </c>
      <c r="AB221" s="93">
        <v>148.672566371681</v>
      </c>
      <c r="AC221" s="93">
        <v>13</v>
      </c>
      <c r="AD221" s="93">
        <v>19.327433628318602</v>
      </c>
      <c r="AE221" s="90"/>
      <c r="AF221" s="90"/>
      <c r="AG221" s="90"/>
      <c r="AH221" s="90"/>
      <c r="AI221" s="93">
        <v>0</v>
      </c>
      <c r="AJ221" s="93">
        <v>120</v>
      </c>
      <c r="AK221" s="93">
        <v>13</v>
      </c>
      <c r="AL221" s="93">
        <v>148.67256599999999</v>
      </c>
      <c r="AM221" s="93">
        <v>19.327434</v>
      </c>
      <c r="AN221" s="93">
        <v>168</v>
      </c>
      <c r="AO221" s="93">
        <v>3.71681437627558E-7</v>
      </c>
      <c r="AP221" s="90" t="s">
        <v>5271</v>
      </c>
      <c r="AQ221" s="90" t="s">
        <v>5239</v>
      </c>
      <c r="AR221" s="90"/>
      <c r="AS221" s="90"/>
      <c r="AT221" s="90"/>
      <c r="AU221" s="90"/>
      <c r="AV221" s="90"/>
      <c r="AW221" s="90"/>
      <c r="AX221" s="90"/>
      <c r="AY221" s="90" t="s">
        <v>5230</v>
      </c>
      <c r="AZ221" s="90"/>
      <c r="BA221" s="90" t="s">
        <v>408</v>
      </c>
      <c r="BB221" s="91">
        <v>45928.675717592603</v>
      </c>
      <c r="BC221" s="90" t="s">
        <v>401</v>
      </c>
      <c r="BD221" s="90"/>
      <c r="BE221" s="90"/>
      <c r="BF221" s="90" t="s">
        <v>5231</v>
      </c>
    </row>
    <row r="222" spans="1:58" ht="24.75" customHeight="1">
      <c r="A222" s="90" t="s">
        <v>5221</v>
      </c>
      <c r="B222" s="90"/>
      <c r="C222" s="90"/>
      <c r="D222" s="91">
        <v>45928.675960648201</v>
      </c>
      <c r="E222" s="90" t="s">
        <v>5222</v>
      </c>
      <c r="F222" s="92"/>
      <c r="G222" s="90" t="s">
        <v>5490</v>
      </c>
      <c r="H222" s="90" t="s">
        <v>5383</v>
      </c>
      <c r="I222" s="90" t="s">
        <v>5384</v>
      </c>
      <c r="J222" s="90" t="s">
        <v>5351</v>
      </c>
      <c r="K222" s="93">
        <v>4.3</v>
      </c>
      <c r="L222" s="93">
        <v>130</v>
      </c>
      <c r="M222" s="93">
        <v>559</v>
      </c>
      <c r="N222" s="93">
        <v>559</v>
      </c>
      <c r="O222" s="90" t="s">
        <v>5226</v>
      </c>
      <c r="P222" s="90"/>
      <c r="Q222" s="90" t="s">
        <v>5227</v>
      </c>
      <c r="R222" s="90"/>
      <c r="S222" s="90"/>
      <c r="T222" s="90"/>
      <c r="U222" s="90"/>
      <c r="V222" s="90" t="s">
        <v>5385</v>
      </c>
      <c r="W222" s="90" t="s">
        <v>5271</v>
      </c>
      <c r="X222" s="90" t="s">
        <v>162</v>
      </c>
      <c r="Y222" s="90" t="s">
        <v>408</v>
      </c>
      <c r="Z222" s="90"/>
      <c r="AA222" s="93">
        <v>494.69026548672599</v>
      </c>
      <c r="AB222" s="93">
        <v>494.69026548672599</v>
      </c>
      <c r="AC222" s="93">
        <v>13</v>
      </c>
      <c r="AD222" s="93">
        <v>64.309734513274293</v>
      </c>
      <c r="AE222" s="90"/>
      <c r="AF222" s="90"/>
      <c r="AG222" s="90"/>
      <c r="AH222" s="90"/>
      <c r="AI222" s="93">
        <v>0</v>
      </c>
      <c r="AJ222" s="93">
        <v>130</v>
      </c>
      <c r="AK222" s="93">
        <v>13</v>
      </c>
      <c r="AL222" s="93">
        <v>494.69026639999998</v>
      </c>
      <c r="AM222" s="93">
        <v>64.309733600000001</v>
      </c>
      <c r="AN222" s="93">
        <v>559</v>
      </c>
      <c r="AO222" s="93">
        <v>-9.1327427753640201E-7</v>
      </c>
      <c r="AP222" s="90" t="s">
        <v>5271</v>
      </c>
      <c r="AQ222" s="90" t="s">
        <v>5229</v>
      </c>
      <c r="AR222" s="90"/>
      <c r="AS222" s="90"/>
      <c r="AT222" s="90"/>
      <c r="AU222" s="90"/>
      <c r="AV222" s="90"/>
      <c r="AW222" s="90"/>
      <c r="AX222" s="90"/>
      <c r="AY222" s="90" t="s">
        <v>5230</v>
      </c>
      <c r="AZ222" s="90"/>
      <c r="BA222" s="90" t="s">
        <v>408</v>
      </c>
      <c r="BB222" s="91">
        <v>45928.675717592603</v>
      </c>
      <c r="BC222" s="90" t="s">
        <v>401</v>
      </c>
      <c r="BD222" s="90"/>
      <c r="BE222" s="90"/>
      <c r="BF222" s="90" t="s">
        <v>5231</v>
      </c>
    </row>
    <row r="223" spans="1:58" ht="24.75" customHeight="1">
      <c r="A223" s="90" t="s">
        <v>5221</v>
      </c>
      <c r="B223" s="90"/>
      <c r="C223" s="90"/>
      <c r="D223" s="91">
        <v>45928.676956018498</v>
      </c>
      <c r="E223" s="90" t="s">
        <v>5222</v>
      </c>
      <c r="F223" s="92"/>
      <c r="G223" s="90" t="s">
        <v>5491</v>
      </c>
      <c r="H223" s="90" t="s">
        <v>5380</v>
      </c>
      <c r="I223" s="90" t="s">
        <v>5381</v>
      </c>
      <c r="J223" s="90" t="s">
        <v>5351</v>
      </c>
      <c r="K223" s="93">
        <v>1.8</v>
      </c>
      <c r="L223" s="93">
        <v>120</v>
      </c>
      <c r="M223" s="93">
        <v>216</v>
      </c>
      <c r="N223" s="93">
        <v>216</v>
      </c>
      <c r="O223" s="90" t="s">
        <v>5226</v>
      </c>
      <c r="P223" s="90"/>
      <c r="Q223" s="90" t="s">
        <v>5227</v>
      </c>
      <c r="R223" s="90"/>
      <c r="S223" s="90"/>
      <c r="T223" s="90"/>
      <c r="U223" s="90"/>
      <c r="V223" s="90"/>
      <c r="W223" s="90" t="s">
        <v>5271</v>
      </c>
      <c r="X223" s="90" t="s">
        <v>162</v>
      </c>
      <c r="Y223" s="90" t="s">
        <v>408</v>
      </c>
      <c r="Z223" s="90"/>
      <c r="AA223" s="93">
        <v>191.150442477876</v>
      </c>
      <c r="AB223" s="93">
        <v>191.150442477876</v>
      </c>
      <c r="AC223" s="93">
        <v>13</v>
      </c>
      <c r="AD223" s="93">
        <v>24.849557522123899</v>
      </c>
      <c r="AE223" s="90"/>
      <c r="AF223" s="90"/>
      <c r="AG223" s="90"/>
      <c r="AH223" s="90"/>
      <c r="AI223" s="93">
        <v>0</v>
      </c>
      <c r="AJ223" s="93">
        <v>120</v>
      </c>
      <c r="AK223" s="93">
        <v>13</v>
      </c>
      <c r="AL223" s="93">
        <v>191.150442</v>
      </c>
      <c r="AM223" s="93">
        <v>24.849557999999998</v>
      </c>
      <c r="AN223" s="93">
        <v>216</v>
      </c>
      <c r="AO223" s="93">
        <v>4.7787611379135299E-7</v>
      </c>
      <c r="AP223" s="90" t="s">
        <v>5271</v>
      </c>
      <c r="AQ223" s="90" t="s">
        <v>5239</v>
      </c>
      <c r="AR223" s="90"/>
      <c r="AS223" s="90"/>
      <c r="AT223" s="90"/>
      <c r="AU223" s="90"/>
      <c r="AV223" s="90"/>
      <c r="AW223" s="90"/>
      <c r="AX223" s="90"/>
      <c r="AY223" s="90" t="s">
        <v>5230</v>
      </c>
      <c r="AZ223" s="90"/>
      <c r="BA223" s="90" t="s">
        <v>408</v>
      </c>
      <c r="BB223" s="91">
        <v>45928.676724536999</v>
      </c>
      <c r="BC223" s="90" t="s">
        <v>401</v>
      </c>
      <c r="BD223" s="90"/>
      <c r="BE223" s="90"/>
      <c r="BF223" s="90" t="s">
        <v>5231</v>
      </c>
    </row>
    <row r="224" spans="1:58" ht="24.75" customHeight="1">
      <c r="A224" s="90" t="s">
        <v>5221</v>
      </c>
      <c r="B224" s="90"/>
      <c r="C224" s="90"/>
      <c r="D224" s="91">
        <v>45928.676956018498</v>
      </c>
      <c r="E224" s="90" t="s">
        <v>5222</v>
      </c>
      <c r="F224" s="92"/>
      <c r="G224" s="90" t="s">
        <v>5491</v>
      </c>
      <c r="H224" s="90" t="s">
        <v>5383</v>
      </c>
      <c r="I224" s="90" t="s">
        <v>5384</v>
      </c>
      <c r="J224" s="90" t="s">
        <v>5351</v>
      </c>
      <c r="K224" s="93">
        <v>1.7</v>
      </c>
      <c r="L224" s="93">
        <v>130</v>
      </c>
      <c r="M224" s="93">
        <v>221</v>
      </c>
      <c r="N224" s="93">
        <v>221</v>
      </c>
      <c r="O224" s="90" t="s">
        <v>5226</v>
      </c>
      <c r="P224" s="90"/>
      <c r="Q224" s="90" t="s">
        <v>5227</v>
      </c>
      <c r="R224" s="90"/>
      <c r="S224" s="90"/>
      <c r="T224" s="90"/>
      <c r="U224" s="90"/>
      <c r="V224" s="90" t="s">
        <v>5385</v>
      </c>
      <c r="W224" s="90" t="s">
        <v>5271</v>
      </c>
      <c r="X224" s="90" t="s">
        <v>162</v>
      </c>
      <c r="Y224" s="90" t="s">
        <v>408</v>
      </c>
      <c r="Z224" s="90"/>
      <c r="AA224" s="93">
        <v>195.57522123893801</v>
      </c>
      <c r="AB224" s="93">
        <v>195.57522123893801</v>
      </c>
      <c r="AC224" s="93">
        <v>13</v>
      </c>
      <c r="AD224" s="93">
        <v>25.424778761061901</v>
      </c>
      <c r="AE224" s="90"/>
      <c r="AF224" s="90"/>
      <c r="AG224" s="90"/>
      <c r="AH224" s="90"/>
      <c r="AI224" s="93">
        <v>0</v>
      </c>
      <c r="AJ224" s="93">
        <v>130</v>
      </c>
      <c r="AK224" s="93">
        <v>13</v>
      </c>
      <c r="AL224" s="93">
        <v>195.57522159999999</v>
      </c>
      <c r="AM224" s="93">
        <v>25.424778400000001</v>
      </c>
      <c r="AN224" s="93">
        <v>221</v>
      </c>
      <c r="AO224" s="93">
        <v>-3.61061921694272E-7</v>
      </c>
      <c r="AP224" s="90" t="s">
        <v>5271</v>
      </c>
      <c r="AQ224" s="90" t="s">
        <v>5229</v>
      </c>
      <c r="AR224" s="90"/>
      <c r="AS224" s="90"/>
      <c r="AT224" s="90"/>
      <c r="AU224" s="90"/>
      <c r="AV224" s="90"/>
      <c r="AW224" s="90"/>
      <c r="AX224" s="90"/>
      <c r="AY224" s="90" t="s">
        <v>5230</v>
      </c>
      <c r="AZ224" s="90"/>
      <c r="BA224" s="90" t="s">
        <v>408</v>
      </c>
      <c r="BB224" s="91">
        <v>45928.676724536999</v>
      </c>
      <c r="BC224" s="90" t="s">
        <v>401</v>
      </c>
      <c r="BD224" s="90"/>
      <c r="BE224" s="90"/>
      <c r="BF224" s="90" t="s">
        <v>5231</v>
      </c>
    </row>
    <row r="225" spans="1:58" ht="24.75" customHeight="1">
      <c r="A225" s="90" t="s">
        <v>5221</v>
      </c>
      <c r="B225" s="90"/>
      <c r="C225" s="90"/>
      <c r="D225" s="91">
        <v>45928.678344907399</v>
      </c>
      <c r="E225" s="90" t="s">
        <v>5222</v>
      </c>
      <c r="F225" s="92"/>
      <c r="G225" s="90" t="s">
        <v>5492</v>
      </c>
      <c r="H225" s="90" t="s">
        <v>5380</v>
      </c>
      <c r="I225" s="90" t="s">
        <v>5381</v>
      </c>
      <c r="J225" s="90" t="s">
        <v>5351</v>
      </c>
      <c r="K225" s="93">
        <v>1.8</v>
      </c>
      <c r="L225" s="93">
        <v>120</v>
      </c>
      <c r="M225" s="93">
        <v>216</v>
      </c>
      <c r="N225" s="93">
        <v>216</v>
      </c>
      <c r="O225" s="90" t="s">
        <v>5226</v>
      </c>
      <c r="P225" s="90"/>
      <c r="Q225" s="90" t="s">
        <v>5227</v>
      </c>
      <c r="R225" s="90"/>
      <c r="S225" s="90"/>
      <c r="T225" s="90"/>
      <c r="U225" s="90"/>
      <c r="V225" s="90"/>
      <c r="W225" s="90" t="s">
        <v>5271</v>
      </c>
      <c r="X225" s="90" t="s">
        <v>162</v>
      </c>
      <c r="Y225" s="90" t="s">
        <v>408</v>
      </c>
      <c r="Z225" s="90"/>
      <c r="AA225" s="93">
        <v>191.150442477876</v>
      </c>
      <c r="AB225" s="93">
        <v>191.150442477876</v>
      </c>
      <c r="AC225" s="93">
        <v>13</v>
      </c>
      <c r="AD225" s="93">
        <v>24.849557522123899</v>
      </c>
      <c r="AE225" s="90"/>
      <c r="AF225" s="90"/>
      <c r="AG225" s="90"/>
      <c r="AH225" s="90"/>
      <c r="AI225" s="93">
        <v>0</v>
      </c>
      <c r="AJ225" s="93">
        <v>120</v>
      </c>
      <c r="AK225" s="93">
        <v>13</v>
      </c>
      <c r="AL225" s="93">
        <v>191.150442</v>
      </c>
      <c r="AM225" s="93">
        <v>24.849557999999998</v>
      </c>
      <c r="AN225" s="93">
        <v>216</v>
      </c>
      <c r="AO225" s="93">
        <v>4.7787611379135299E-7</v>
      </c>
      <c r="AP225" s="90" t="s">
        <v>5271</v>
      </c>
      <c r="AQ225" s="90" t="s">
        <v>5239</v>
      </c>
      <c r="AR225" s="90"/>
      <c r="AS225" s="90"/>
      <c r="AT225" s="90"/>
      <c r="AU225" s="90"/>
      <c r="AV225" s="90"/>
      <c r="AW225" s="90"/>
      <c r="AX225" s="90"/>
      <c r="AY225" s="90" t="s">
        <v>5230</v>
      </c>
      <c r="AZ225" s="90"/>
      <c r="BA225" s="90" t="s">
        <v>408</v>
      </c>
      <c r="BB225" s="91">
        <v>45928.677858796298</v>
      </c>
      <c r="BC225" s="90" t="s">
        <v>401</v>
      </c>
      <c r="BD225" s="90"/>
      <c r="BE225" s="90"/>
      <c r="BF225" s="90" t="s">
        <v>5231</v>
      </c>
    </row>
    <row r="226" spans="1:58" ht="24.75" customHeight="1">
      <c r="A226" s="90" t="s">
        <v>5221</v>
      </c>
      <c r="B226" s="90"/>
      <c r="C226" s="90"/>
      <c r="D226" s="91">
        <v>45928.678344907399</v>
      </c>
      <c r="E226" s="90" t="s">
        <v>5222</v>
      </c>
      <c r="F226" s="92"/>
      <c r="G226" s="90" t="s">
        <v>5492</v>
      </c>
      <c r="H226" s="90" t="s">
        <v>5383</v>
      </c>
      <c r="I226" s="90" t="s">
        <v>5384</v>
      </c>
      <c r="J226" s="90" t="s">
        <v>5351</v>
      </c>
      <c r="K226" s="93">
        <v>1.7</v>
      </c>
      <c r="L226" s="93">
        <v>130</v>
      </c>
      <c r="M226" s="93">
        <v>221</v>
      </c>
      <c r="N226" s="93">
        <v>221</v>
      </c>
      <c r="O226" s="90" t="s">
        <v>5226</v>
      </c>
      <c r="P226" s="90"/>
      <c r="Q226" s="90" t="s">
        <v>5227</v>
      </c>
      <c r="R226" s="90"/>
      <c r="S226" s="90"/>
      <c r="T226" s="90"/>
      <c r="U226" s="90"/>
      <c r="V226" s="90" t="s">
        <v>5385</v>
      </c>
      <c r="W226" s="90" t="s">
        <v>5271</v>
      </c>
      <c r="X226" s="90" t="s">
        <v>162</v>
      </c>
      <c r="Y226" s="90" t="s">
        <v>408</v>
      </c>
      <c r="Z226" s="90"/>
      <c r="AA226" s="93">
        <v>195.57522123893801</v>
      </c>
      <c r="AB226" s="93">
        <v>195.57522123893801</v>
      </c>
      <c r="AC226" s="93">
        <v>13</v>
      </c>
      <c r="AD226" s="93">
        <v>25.424778761061901</v>
      </c>
      <c r="AE226" s="90"/>
      <c r="AF226" s="90"/>
      <c r="AG226" s="90"/>
      <c r="AH226" s="90"/>
      <c r="AI226" s="93">
        <v>0</v>
      </c>
      <c r="AJ226" s="93">
        <v>130</v>
      </c>
      <c r="AK226" s="93">
        <v>13</v>
      </c>
      <c r="AL226" s="93">
        <v>195.57522159999999</v>
      </c>
      <c r="AM226" s="93">
        <v>25.424778400000001</v>
      </c>
      <c r="AN226" s="93">
        <v>221</v>
      </c>
      <c r="AO226" s="93">
        <v>-3.61061921694272E-7</v>
      </c>
      <c r="AP226" s="90" t="s">
        <v>5271</v>
      </c>
      <c r="AQ226" s="90" t="s">
        <v>5229</v>
      </c>
      <c r="AR226" s="90"/>
      <c r="AS226" s="90"/>
      <c r="AT226" s="90"/>
      <c r="AU226" s="90"/>
      <c r="AV226" s="90"/>
      <c r="AW226" s="90"/>
      <c r="AX226" s="90"/>
      <c r="AY226" s="90" t="s">
        <v>5230</v>
      </c>
      <c r="AZ226" s="90"/>
      <c r="BA226" s="90" t="s">
        <v>408</v>
      </c>
      <c r="BB226" s="91">
        <v>45928.677858796298</v>
      </c>
      <c r="BC226" s="90" t="s">
        <v>401</v>
      </c>
      <c r="BD226" s="90"/>
      <c r="BE226" s="90"/>
      <c r="BF226" s="90" t="s">
        <v>5231</v>
      </c>
    </row>
    <row r="227" spans="1:58" ht="24.75" customHeight="1">
      <c r="A227" s="90" t="s">
        <v>5221</v>
      </c>
      <c r="B227" s="90"/>
      <c r="C227" s="90"/>
      <c r="D227" s="91">
        <v>45928.736631944397</v>
      </c>
      <c r="E227" s="90" t="s">
        <v>5222</v>
      </c>
      <c r="F227" s="92"/>
      <c r="G227" s="90" t="s">
        <v>5493</v>
      </c>
      <c r="H227" s="90" t="s">
        <v>5380</v>
      </c>
      <c r="I227" s="90" t="s">
        <v>5381</v>
      </c>
      <c r="J227" s="90" t="s">
        <v>5351</v>
      </c>
      <c r="K227" s="93">
        <v>1.4</v>
      </c>
      <c r="L227" s="93">
        <v>120</v>
      </c>
      <c r="M227" s="93">
        <v>168</v>
      </c>
      <c r="N227" s="93">
        <v>168</v>
      </c>
      <c r="O227" s="90" t="s">
        <v>5226</v>
      </c>
      <c r="P227" s="90"/>
      <c r="Q227" s="90" t="s">
        <v>5227</v>
      </c>
      <c r="R227" s="90"/>
      <c r="S227" s="90"/>
      <c r="T227" s="90"/>
      <c r="U227" s="90"/>
      <c r="V227" s="90"/>
      <c r="W227" s="90" t="s">
        <v>5271</v>
      </c>
      <c r="X227" s="90" t="s">
        <v>162</v>
      </c>
      <c r="Y227" s="90" t="s">
        <v>408</v>
      </c>
      <c r="Z227" s="90"/>
      <c r="AA227" s="93">
        <v>148.672566371681</v>
      </c>
      <c r="AB227" s="93">
        <v>148.672566371681</v>
      </c>
      <c r="AC227" s="93">
        <v>13</v>
      </c>
      <c r="AD227" s="93">
        <v>19.327433628318602</v>
      </c>
      <c r="AE227" s="90"/>
      <c r="AF227" s="90"/>
      <c r="AG227" s="90"/>
      <c r="AH227" s="90"/>
      <c r="AI227" s="93">
        <v>0</v>
      </c>
      <c r="AJ227" s="93">
        <v>120</v>
      </c>
      <c r="AK227" s="93">
        <v>13</v>
      </c>
      <c r="AL227" s="93">
        <v>148.67256599999999</v>
      </c>
      <c r="AM227" s="93">
        <v>19.327434</v>
      </c>
      <c r="AN227" s="93">
        <v>168</v>
      </c>
      <c r="AO227" s="93">
        <v>3.71681437627558E-7</v>
      </c>
      <c r="AP227" s="90" t="s">
        <v>5271</v>
      </c>
      <c r="AQ227" s="90" t="s">
        <v>5239</v>
      </c>
      <c r="AR227" s="90"/>
      <c r="AS227" s="90"/>
      <c r="AT227" s="90"/>
      <c r="AU227" s="90"/>
      <c r="AV227" s="90"/>
      <c r="AW227" s="90"/>
      <c r="AX227" s="90"/>
      <c r="AY227" s="90" t="s">
        <v>5230</v>
      </c>
      <c r="AZ227" s="90"/>
      <c r="BA227" s="90" t="s">
        <v>408</v>
      </c>
      <c r="BB227" s="91">
        <v>45928.736400463</v>
      </c>
      <c r="BC227" s="90" t="s">
        <v>401</v>
      </c>
      <c r="BD227" s="90"/>
      <c r="BE227" s="90"/>
      <c r="BF227" s="90" t="s">
        <v>5231</v>
      </c>
    </row>
    <row r="228" spans="1:58" ht="24.75" customHeight="1">
      <c r="A228" s="90" t="s">
        <v>5221</v>
      </c>
      <c r="B228" s="90"/>
      <c r="C228" s="90"/>
      <c r="D228" s="91">
        <v>45928.736631944397</v>
      </c>
      <c r="E228" s="90" t="s">
        <v>5222</v>
      </c>
      <c r="F228" s="92"/>
      <c r="G228" s="90" t="s">
        <v>5493</v>
      </c>
      <c r="H228" s="90" t="s">
        <v>5383</v>
      </c>
      <c r="I228" s="90" t="s">
        <v>5384</v>
      </c>
      <c r="J228" s="90" t="s">
        <v>5351</v>
      </c>
      <c r="K228" s="93">
        <v>1.2</v>
      </c>
      <c r="L228" s="93">
        <v>130</v>
      </c>
      <c r="M228" s="93">
        <v>156</v>
      </c>
      <c r="N228" s="93">
        <v>156</v>
      </c>
      <c r="O228" s="90" t="s">
        <v>5226</v>
      </c>
      <c r="P228" s="90"/>
      <c r="Q228" s="90" t="s">
        <v>5227</v>
      </c>
      <c r="R228" s="90"/>
      <c r="S228" s="90"/>
      <c r="T228" s="90"/>
      <c r="U228" s="90"/>
      <c r="V228" s="90" t="s">
        <v>5385</v>
      </c>
      <c r="W228" s="90" t="s">
        <v>5271</v>
      </c>
      <c r="X228" s="90" t="s">
        <v>162</v>
      </c>
      <c r="Y228" s="90" t="s">
        <v>408</v>
      </c>
      <c r="Z228" s="90"/>
      <c r="AA228" s="93">
        <v>138.05309734513301</v>
      </c>
      <c r="AB228" s="93">
        <v>138.05309734513301</v>
      </c>
      <c r="AC228" s="93">
        <v>13</v>
      </c>
      <c r="AD228" s="93">
        <v>17.946902654867198</v>
      </c>
      <c r="AE228" s="90"/>
      <c r="AF228" s="90"/>
      <c r="AG228" s="90"/>
      <c r="AH228" s="90"/>
      <c r="AI228" s="93">
        <v>0</v>
      </c>
      <c r="AJ228" s="93">
        <v>130</v>
      </c>
      <c r="AK228" s="93">
        <v>13</v>
      </c>
      <c r="AL228" s="93">
        <v>138.0530976</v>
      </c>
      <c r="AM228" s="93">
        <v>17.946902399999999</v>
      </c>
      <c r="AN228" s="93">
        <v>156</v>
      </c>
      <c r="AO228" s="93">
        <v>-2.5486724553047701E-7</v>
      </c>
      <c r="AP228" s="90" t="s">
        <v>5271</v>
      </c>
      <c r="AQ228" s="90" t="s">
        <v>5229</v>
      </c>
      <c r="AR228" s="90"/>
      <c r="AS228" s="90"/>
      <c r="AT228" s="90"/>
      <c r="AU228" s="90"/>
      <c r="AV228" s="90"/>
      <c r="AW228" s="90"/>
      <c r="AX228" s="90"/>
      <c r="AY228" s="90" t="s">
        <v>5230</v>
      </c>
      <c r="AZ228" s="90"/>
      <c r="BA228" s="90" t="s">
        <v>408</v>
      </c>
      <c r="BB228" s="91">
        <v>45928.736400463</v>
      </c>
      <c r="BC228" s="90" t="s">
        <v>401</v>
      </c>
      <c r="BD228" s="90"/>
      <c r="BE228" s="90"/>
      <c r="BF228" s="90" t="s">
        <v>5231</v>
      </c>
    </row>
    <row r="229" spans="1:58" ht="24.75" customHeight="1">
      <c r="A229" s="90" t="s">
        <v>5221</v>
      </c>
      <c r="B229" s="90"/>
      <c r="C229" s="90"/>
      <c r="D229" s="91">
        <v>45928.739039351902</v>
      </c>
      <c r="E229" s="90" t="s">
        <v>5222</v>
      </c>
      <c r="F229" s="92"/>
      <c r="G229" s="90" t="s">
        <v>5494</v>
      </c>
      <c r="H229" s="90" t="s">
        <v>5380</v>
      </c>
      <c r="I229" s="90" t="s">
        <v>5381</v>
      </c>
      <c r="J229" s="90" t="s">
        <v>5351</v>
      </c>
      <c r="K229" s="93">
        <v>0.7</v>
      </c>
      <c r="L229" s="93">
        <v>120</v>
      </c>
      <c r="M229" s="93">
        <v>84</v>
      </c>
      <c r="N229" s="93">
        <v>84</v>
      </c>
      <c r="O229" s="90" t="s">
        <v>5226</v>
      </c>
      <c r="P229" s="90"/>
      <c r="Q229" s="90" t="s">
        <v>5227</v>
      </c>
      <c r="R229" s="90"/>
      <c r="S229" s="90"/>
      <c r="T229" s="90"/>
      <c r="U229" s="90"/>
      <c r="V229" s="90"/>
      <c r="W229" s="90" t="s">
        <v>5271</v>
      </c>
      <c r="X229" s="90" t="s">
        <v>162</v>
      </c>
      <c r="Y229" s="90" t="s">
        <v>408</v>
      </c>
      <c r="Z229" s="90"/>
      <c r="AA229" s="93">
        <v>74.336283185840699</v>
      </c>
      <c r="AB229" s="93">
        <v>74.336283185840699</v>
      </c>
      <c r="AC229" s="93">
        <v>13</v>
      </c>
      <c r="AD229" s="93">
        <v>9.6637168141592902</v>
      </c>
      <c r="AE229" s="90"/>
      <c r="AF229" s="90"/>
      <c r="AG229" s="90"/>
      <c r="AH229" s="90"/>
      <c r="AI229" s="93">
        <v>0</v>
      </c>
      <c r="AJ229" s="93">
        <v>120</v>
      </c>
      <c r="AK229" s="93">
        <v>13</v>
      </c>
      <c r="AL229" s="93">
        <v>74.336282999999995</v>
      </c>
      <c r="AM229" s="93">
        <v>9.6637170000000001</v>
      </c>
      <c r="AN229" s="93">
        <v>84</v>
      </c>
      <c r="AO229" s="93">
        <v>1.85840718813779E-7</v>
      </c>
      <c r="AP229" s="90" t="s">
        <v>5271</v>
      </c>
      <c r="AQ229" s="90" t="s">
        <v>5239</v>
      </c>
      <c r="AR229" s="90"/>
      <c r="AS229" s="90"/>
      <c r="AT229" s="90"/>
      <c r="AU229" s="90"/>
      <c r="AV229" s="90"/>
      <c r="AW229" s="90"/>
      <c r="AX229" s="90"/>
      <c r="AY229" s="90" t="s">
        <v>5230</v>
      </c>
      <c r="AZ229" s="90"/>
      <c r="BA229" s="90" t="s">
        <v>408</v>
      </c>
      <c r="BB229" s="91">
        <v>45928.738784722198</v>
      </c>
      <c r="BC229" s="90" t="s">
        <v>401</v>
      </c>
      <c r="BD229" s="90"/>
      <c r="BE229" s="90"/>
      <c r="BF229" s="90" t="s">
        <v>5231</v>
      </c>
    </row>
    <row r="230" spans="1:58" ht="24.75" customHeight="1">
      <c r="A230" s="90" t="s">
        <v>5221</v>
      </c>
      <c r="B230" s="90"/>
      <c r="C230" s="90"/>
      <c r="D230" s="91">
        <v>45928.739039351902</v>
      </c>
      <c r="E230" s="90" t="s">
        <v>5222</v>
      </c>
      <c r="F230" s="92"/>
      <c r="G230" s="90" t="s">
        <v>5494</v>
      </c>
      <c r="H230" s="90" t="s">
        <v>5383</v>
      </c>
      <c r="I230" s="90" t="s">
        <v>5384</v>
      </c>
      <c r="J230" s="90" t="s">
        <v>5351</v>
      </c>
      <c r="K230" s="93">
        <v>0.8</v>
      </c>
      <c r="L230" s="93">
        <v>130</v>
      </c>
      <c r="M230" s="93">
        <v>104</v>
      </c>
      <c r="N230" s="93">
        <v>104</v>
      </c>
      <c r="O230" s="90" t="s">
        <v>5226</v>
      </c>
      <c r="P230" s="90"/>
      <c r="Q230" s="90" t="s">
        <v>5227</v>
      </c>
      <c r="R230" s="90"/>
      <c r="S230" s="90"/>
      <c r="T230" s="90"/>
      <c r="U230" s="90"/>
      <c r="V230" s="90" t="s">
        <v>5385</v>
      </c>
      <c r="W230" s="90" t="s">
        <v>5271</v>
      </c>
      <c r="X230" s="90" t="s">
        <v>162</v>
      </c>
      <c r="Y230" s="90" t="s">
        <v>408</v>
      </c>
      <c r="Z230" s="90"/>
      <c r="AA230" s="93">
        <v>92.035398230088504</v>
      </c>
      <c r="AB230" s="93">
        <v>92.035398230088504</v>
      </c>
      <c r="AC230" s="93">
        <v>13</v>
      </c>
      <c r="AD230" s="93">
        <v>11.9646017699115</v>
      </c>
      <c r="AE230" s="90"/>
      <c r="AF230" s="90"/>
      <c r="AG230" s="90"/>
      <c r="AH230" s="90"/>
      <c r="AI230" s="93">
        <v>0</v>
      </c>
      <c r="AJ230" s="93">
        <v>130</v>
      </c>
      <c r="AK230" s="93">
        <v>13</v>
      </c>
      <c r="AL230" s="93">
        <v>92.035398400000005</v>
      </c>
      <c r="AM230" s="93">
        <v>11.9646016</v>
      </c>
      <c r="AN230" s="93">
        <v>104</v>
      </c>
      <c r="AO230" s="93">
        <v>-1.6991150175726901E-7</v>
      </c>
      <c r="AP230" s="90" t="s">
        <v>5271</v>
      </c>
      <c r="AQ230" s="90" t="s">
        <v>5229</v>
      </c>
      <c r="AR230" s="90"/>
      <c r="AS230" s="90"/>
      <c r="AT230" s="90"/>
      <c r="AU230" s="90"/>
      <c r="AV230" s="90"/>
      <c r="AW230" s="90"/>
      <c r="AX230" s="90"/>
      <c r="AY230" s="90" t="s">
        <v>5230</v>
      </c>
      <c r="AZ230" s="90"/>
      <c r="BA230" s="90" t="s">
        <v>408</v>
      </c>
      <c r="BB230" s="91">
        <v>45928.738784722198</v>
      </c>
      <c r="BC230" s="90" t="s">
        <v>401</v>
      </c>
      <c r="BD230" s="90"/>
      <c r="BE230" s="90"/>
      <c r="BF230" s="90" t="s">
        <v>5231</v>
      </c>
    </row>
    <row r="231" spans="1:58" ht="24.75" customHeight="1">
      <c r="A231" s="90" t="s">
        <v>5247</v>
      </c>
      <c r="B231" s="90"/>
      <c r="C231" s="90"/>
      <c r="D231" s="91">
        <v>45929.4369560185</v>
      </c>
      <c r="E231" s="90" t="s">
        <v>5222</v>
      </c>
      <c r="F231" s="92"/>
      <c r="G231" s="90" t="s">
        <v>5495</v>
      </c>
      <c r="H231" s="90" t="s">
        <v>5496</v>
      </c>
      <c r="I231" s="90" t="s">
        <v>5497</v>
      </c>
      <c r="J231" s="90" t="s">
        <v>5267</v>
      </c>
      <c r="K231" s="93">
        <v>22</v>
      </c>
      <c r="L231" s="93">
        <v>9.5</v>
      </c>
      <c r="M231" s="93">
        <v>209</v>
      </c>
      <c r="N231" s="93">
        <v>209</v>
      </c>
      <c r="O231" s="90" t="s">
        <v>5226</v>
      </c>
      <c r="P231" s="90"/>
      <c r="Q231" s="90" t="s">
        <v>5227</v>
      </c>
      <c r="R231" s="90"/>
      <c r="S231" s="90"/>
      <c r="T231" s="90"/>
      <c r="U231" s="90"/>
      <c r="V231" s="90" t="s">
        <v>5498</v>
      </c>
      <c r="W231" s="90" t="s">
        <v>94</v>
      </c>
      <c r="X231" s="90" t="s">
        <v>93</v>
      </c>
      <c r="Y231" s="90" t="s">
        <v>199</v>
      </c>
      <c r="Z231" s="90"/>
      <c r="AA231" s="93">
        <v>184.955752212389</v>
      </c>
      <c r="AB231" s="93">
        <v>184.955752212389</v>
      </c>
      <c r="AC231" s="93">
        <v>13</v>
      </c>
      <c r="AD231" s="93">
        <v>24.044247787610601</v>
      </c>
      <c r="AE231" s="90"/>
      <c r="AF231" s="90"/>
      <c r="AG231" s="90"/>
      <c r="AH231" s="90"/>
      <c r="AI231" s="93">
        <v>0</v>
      </c>
      <c r="AJ231" s="93">
        <v>9.5</v>
      </c>
      <c r="AK231" s="93">
        <v>13</v>
      </c>
      <c r="AL231" s="93">
        <v>184.95576</v>
      </c>
      <c r="AM231" s="93">
        <v>24.044239999999999</v>
      </c>
      <c r="AN231" s="93">
        <v>209</v>
      </c>
      <c r="AO231" s="93">
        <v>-7.7876105990526395E-6</v>
      </c>
      <c r="AP231" s="90" t="s">
        <v>94</v>
      </c>
      <c r="AQ231" s="90" t="s">
        <v>5239</v>
      </c>
      <c r="AR231" s="90"/>
      <c r="AS231" s="90"/>
      <c r="AT231" s="90"/>
      <c r="AU231" s="90"/>
      <c r="AV231" s="90"/>
      <c r="AW231" s="90"/>
      <c r="AX231" s="90"/>
      <c r="AY231" s="90" t="s">
        <v>5230</v>
      </c>
      <c r="AZ231" s="90"/>
      <c r="BA231" s="90" t="s">
        <v>199</v>
      </c>
      <c r="BB231" s="91">
        <v>45902.4897569444</v>
      </c>
      <c r="BC231" s="90" t="s">
        <v>402</v>
      </c>
      <c r="BD231" s="90"/>
      <c r="BE231" s="90"/>
      <c r="BF231" s="90" t="s">
        <v>5284</v>
      </c>
    </row>
    <row r="232" spans="1:58" ht="24.75" customHeight="1">
      <c r="A232" s="90" t="s">
        <v>5247</v>
      </c>
      <c r="B232" s="90"/>
      <c r="C232" s="90"/>
      <c r="D232" s="91">
        <v>45929.4369560185</v>
      </c>
      <c r="E232" s="90" t="s">
        <v>5222</v>
      </c>
      <c r="F232" s="92"/>
      <c r="G232" s="90" t="s">
        <v>5495</v>
      </c>
      <c r="H232" s="90" t="s">
        <v>5499</v>
      </c>
      <c r="I232" s="90" t="s">
        <v>5500</v>
      </c>
      <c r="J232" s="90"/>
      <c r="K232" s="93">
        <v>1</v>
      </c>
      <c r="L232" s="93">
        <v>7.5</v>
      </c>
      <c r="M232" s="93">
        <v>7.5</v>
      </c>
      <c r="N232" s="93">
        <v>7.5</v>
      </c>
      <c r="O232" s="90" t="s">
        <v>5226</v>
      </c>
      <c r="P232" s="90"/>
      <c r="Q232" s="90" t="s">
        <v>5227</v>
      </c>
      <c r="R232" s="90"/>
      <c r="S232" s="90"/>
      <c r="T232" s="90"/>
      <c r="U232" s="90"/>
      <c r="V232" s="90" t="s">
        <v>5252</v>
      </c>
      <c r="W232" s="90" t="s">
        <v>94</v>
      </c>
      <c r="X232" s="90" t="s">
        <v>93</v>
      </c>
      <c r="Y232" s="90" t="s">
        <v>199</v>
      </c>
      <c r="Z232" s="90"/>
      <c r="AA232" s="93">
        <v>6.6371681415929196</v>
      </c>
      <c r="AB232" s="93">
        <v>6.6371681415929196</v>
      </c>
      <c r="AC232" s="93">
        <v>13</v>
      </c>
      <c r="AD232" s="93">
        <v>0.86283185840707899</v>
      </c>
      <c r="AE232" s="90"/>
      <c r="AF232" s="90"/>
      <c r="AG232" s="90"/>
      <c r="AH232" s="90"/>
      <c r="AI232" s="93">
        <v>0</v>
      </c>
      <c r="AJ232" s="93">
        <v>7.5</v>
      </c>
      <c r="AK232" s="93">
        <v>13</v>
      </c>
      <c r="AL232" s="93">
        <v>6.637168</v>
      </c>
      <c r="AM232" s="93">
        <v>0.86283200000000004</v>
      </c>
      <c r="AN232" s="93">
        <v>7.5</v>
      </c>
      <c r="AO232" s="93">
        <v>1.4159292138771199E-7</v>
      </c>
      <c r="AP232" s="90" t="s">
        <v>94</v>
      </c>
      <c r="AQ232" s="90" t="s">
        <v>5239</v>
      </c>
      <c r="AR232" s="90"/>
      <c r="AS232" s="90"/>
      <c r="AT232" s="90"/>
      <c r="AU232" s="90"/>
      <c r="AV232" s="90"/>
      <c r="AW232" s="90"/>
      <c r="AX232" s="90"/>
      <c r="AY232" s="90" t="s">
        <v>5230</v>
      </c>
      <c r="AZ232" s="90"/>
      <c r="BA232" s="90" t="s">
        <v>199</v>
      </c>
      <c r="BB232" s="91">
        <v>45840.629259259302</v>
      </c>
      <c r="BC232" s="90" t="s">
        <v>402</v>
      </c>
      <c r="BD232" s="90"/>
      <c r="BE232" s="90"/>
      <c r="BF232" s="90" t="s">
        <v>5284</v>
      </c>
    </row>
    <row r="233" spans="1:58" ht="24.75" customHeight="1">
      <c r="A233" s="90" t="s">
        <v>5247</v>
      </c>
      <c r="B233" s="90"/>
      <c r="C233" s="90"/>
      <c r="D233" s="91">
        <v>45929.4369560185</v>
      </c>
      <c r="E233" s="90" t="s">
        <v>5222</v>
      </c>
      <c r="F233" s="92"/>
      <c r="G233" s="90" t="s">
        <v>5495</v>
      </c>
      <c r="H233" s="90" t="s">
        <v>5282</v>
      </c>
      <c r="I233" s="90" t="s">
        <v>5283</v>
      </c>
      <c r="J233" s="90"/>
      <c r="K233" s="93">
        <v>10</v>
      </c>
      <c r="L233" s="93">
        <v>10</v>
      </c>
      <c r="M233" s="93">
        <v>100</v>
      </c>
      <c r="N233" s="93">
        <v>100</v>
      </c>
      <c r="O233" s="90" t="s">
        <v>5226</v>
      </c>
      <c r="P233" s="90"/>
      <c r="Q233" s="90" t="s">
        <v>5227</v>
      </c>
      <c r="R233" s="90"/>
      <c r="S233" s="90"/>
      <c r="T233" s="90"/>
      <c r="U233" s="90"/>
      <c r="V233" s="90" t="s">
        <v>5252</v>
      </c>
      <c r="W233" s="90" t="s">
        <v>94</v>
      </c>
      <c r="X233" s="90" t="s">
        <v>93</v>
      </c>
      <c r="Y233" s="90" t="s">
        <v>199</v>
      </c>
      <c r="Z233" s="90"/>
      <c r="AA233" s="93">
        <v>88.495575221238994</v>
      </c>
      <c r="AB233" s="93">
        <v>88.495575221238994</v>
      </c>
      <c r="AC233" s="93">
        <v>13</v>
      </c>
      <c r="AD233" s="93">
        <v>11.5044247787611</v>
      </c>
      <c r="AE233" s="90"/>
      <c r="AF233" s="90"/>
      <c r="AG233" s="90"/>
      <c r="AH233" s="90"/>
      <c r="AI233" s="93">
        <v>0</v>
      </c>
      <c r="AJ233" s="93">
        <v>10</v>
      </c>
      <c r="AK233" s="93">
        <v>13</v>
      </c>
      <c r="AL233" s="93">
        <v>88.495580000000004</v>
      </c>
      <c r="AM233" s="93">
        <v>11.50442</v>
      </c>
      <c r="AN233" s="93">
        <v>100</v>
      </c>
      <c r="AO233" s="93">
        <v>-4.7787610526484101E-6</v>
      </c>
      <c r="AP233" s="90" t="s">
        <v>94</v>
      </c>
      <c r="AQ233" s="90" t="s">
        <v>5239</v>
      </c>
      <c r="AR233" s="90"/>
      <c r="AS233" s="90"/>
      <c r="AT233" s="90"/>
      <c r="AU233" s="90"/>
      <c r="AV233" s="90"/>
      <c r="AW233" s="90"/>
      <c r="AX233" s="90"/>
      <c r="AY233" s="90" t="s">
        <v>5230</v>
      </c>
      <c r="AZ233" s="90"/>
      <c r="BA233" s="90" t="s">
        <v>199</v>
      </c>
      <c r="BB233" s="91">
        <v>45714.487835648099</v>
      </c>
      <c r="BC233" s="90" t="s">
        <v>5501</v>
      </c>
      <c r="BD233" s="90"/>
      <c r="BE233" s="90"/>
      <c r="BF233" s="90" t="s">
        <v>5284</v>
      </c>
    </row>
    <row r="234" spans="1:58" ht="24.75" customHeight="1">
      <c r="A234" s="90" t="s">
        <v>5247</v>
      </c>
      <c r="B234" s="90"/>
      <c r="C234" s="90"/>
      <c r="D234" s="91">
        <v>45929.437928240703</v>
      </c>
      <c r="E234" s="90" t="s">
        <v>5222</v>
      </c>
      <c r="F234" s="92"/>
      <c r="G234" s="90" t="s">
        <v>5502</v>
      </c>
      <c r="H234" s="90" t="s">
        <v>5503</v>
      </c>
      <c r="I234" s="90" t="s">
        <v>5504</v>
      </c>
      <c r="J234" s="90"/>
      <c r="K234" s="93">
        <v>2</v>
      </c>
      <c r="L234" s="93">
        <v>18</v>
      </c>
      <c r="M234" s="93">
        <v>36</v>
      </c>
      <c r="N234" s="93">
        <v>36</v>
      </c>
      <c r="O234" s="90" t="s">
        <v>5226</v>
      </c>
      <c r="P234" s="90"/>
      <c r="Q234" s="90" t="s">
        <v>5227</v>
      </c>
      <c r="R234" s="90"/>
      <c r="S234" s="90"/>
      <c r="T234" s="90"/>
      <c r="U234" s="90"/>
      <c r="V234" s="90" t="s">
        <v>5252</v>
      </c>
      <c r="W234" s="90" t="s">
        <v>94</v>
      </c>
      <c r="X234" s="90" t="s">
        <v>90</v>
      </c>
      <c r="Y234" s="90" t="s">
        <v>46</v>
      </c>
      <c r="Z234" s="90"/>
      <c r="AA234" s="93">
        <v>31.858407079646</v>
      </c>
      <c r="AB234" s="93">
        <v>31.858407079646</v>
      </c>
      <c r="AC234" s="93">
        <v>13</v>
      </c>
      <c r="AD234" s="93">
        <v>4.1415929203539799</v>
      </c>
      <c r="AE234" s="90"/>
      <c r="AF234" s="90"/>
      <c r="AG234" s="90"/>
      <c r="AH234" s="90"/>
      <c r="AI234" s="93">
        <v>0</v>
      </c>
      <c r="AJ234" s="93">
        <v>18</v>
      </c>
      <c r="AK234" s="93">
        <v>13</v>
      </c>
      <c r="AL234" s="93">
        <v>31.858408000000001</v>
      </c>
      <c r="AM234" s="93">
        <v>4.1415920000000002</v>
      </c>
      <c r="AN234" s="93">
        <v>36</v>
      </c>
      <c r="AO234" s="93">
        <v>-9.2035397969425503E-7</v>
      </c>
      <c r="AP234" s="90" t="s">
        <v>94</v>
      </c>
      <c r="AQ234" s="90" t="s">
        <v>5239</v>
      </c>
      <c r="AR234" s="90"/>
      <c r="AS234" s="90"/>
      <c r="AT234" s="90"/>
      <c r="AU234" s="90"/>
      <c r="AV234" s="90"/>
      <c r="AW234" s="90"/>
      <c r="AX234" s="90"/>
      <c r="AY234" s="90" t="s">
        <v>5230</v>
      </c>
      <c r="AZ234" s="90"/>
      <c r="BA234" s="90" t="s">
        <v>46</v>
      </c>
      <c r="BB234" s="91">
        <v>45873.434953703698</v>
      </c>
      <c r="BC234" s="90" t="s">
        <v>402</v>
      </c>
      <c r="BD234" s="90"/>
      <c r="BE234" s="90"/>
      <c r="BF234" s="90" t="s">
        <v>5505</v>
      </c>
    </row>
    <row r="235" spans="1:58" ht="24.75" customHeight="1">
      <c r="A235" s="90" t="s">
        <v>5247</v>
      </c>
      <c r="B235" s="90"/>
      <c r="C235" s="90"/>
      <c r="D235" s="91">
        <v>45929.437928240703</v>
      </c>
      <c r="E235" s="90" t="s">
        <v>5222</v>
      </c>
      <c r="F235" s="92"/>
      <c r="G235" s="90" t="s">
        <v>5502</v>
      </c>
      <c r="H235" s="90" t="s">
        <v>5506</v>
      </c>
      <c r="I235" s="90" t="s">
        <v>5507</v>
      </c>
      <c r="J235" s="90"/>
      <c r="K235" s="93">
        <v>2</v>
      </c>
      <c r="L235" s="93">
        <v>2.5</v>
      </c>
      <c r="M235" s="93">
        <v>5</v>
      </c>
      <c r="N235" s="93">
        <v>5</v>
      </c>
      <c r="O235" s="90" t="s">
        <v>5226</v>
      </c>
      <c r="P235" s="90"/>
      <c r="Q235" s="90" t="s">
        <v>5227</v>
      </c>
      <c r="R235" s="90"/>
      <c r="S235" s="90"/>
      <c r="T235" s="90"/>
      <c r="U235" s="90"/>
      <c r="V235" s="90" t="s">
        <v>5385</v>
      </c>
      <c r="W235" s="90" t="s">
        <v>94</v>
      </c>
      <c r="X235" s="90" t="s">
        <v>90</v>
      </c>
      <c r="Y235" s="90" t="s">
        <v>46</v>
      </c>
      <c r="Z235" s="90"/>
      <c r="AA235" s="93">
        <v>4.4247787610619502</v>
      </c>
      <c r="AB235" s="93">
        <v>4.4247787610619502</v>
      </c>
      <c r="AC235" s="93">
        <v>13</v>
      </c>
      <c r="AD235" s="93">
        <v>0.57522123893805299</v>
      </c>
      <c r="AE235" s="90"/>
      <c r="AF235" s="90"/>
      <c r="AG235" s="90"/>
      <c r="AH235" s="90"/>
      <c r="AI235" s="93">
        <v>0</v>
      </c>
      <c r="AJ235" s="93">
        <v>2.5</v>
      </c>
      <c r="AK235" s="93">
        <v>13</v>
      </c>
      <c r="AL235" s="93">
        <v>4.4247779999999999</v>
      </c>
      <c r="AM235" s="93">
        <v>0.57522200000000001</v>
      </c>
      <c r="AN235" s="93">
        <v>5</v>
      </c>
      <c r="AO235" s="93">
        <v>7.6106194768499304E-7</v>
      </c>
      <c r="AP235" s="90" t="s">
        <v>94</v>
      </c>
      <c r="AQ235" s="90" t="s">
        <v>5239</v>
      </c>
      <c r="AR235" s="90"/>
      <c r="AS235" s="90"/>
      <c r="AT235" s="90"/>
      <c r="AU235" s="90"/>
      <c r="AV235" s="90"/>
      <c r="AW235" s="90"/>
      <c r="AX235" s="90"/>
      <c r="AY235" s="90" t="s">
        <v>5230</v>
      </c>
      <c r="AZ235" s="90"/>
      <c r="BA235" s="90" t="s">
        <v>46</v>
      </c>
      <c r="BB235" s="91">
        <v>45902.4897569444</v>
      </c>
      <c r="BC235" s="90" t="s">
        <v>402</v>
      </c>
      <c r="BD235" s="90"/>
      <c r="BE235" s="90"/>
      <c r="BF235" s="90" t="s">
        <v>5505</v>
      </c>
    </row>
    <row r="236" spans="1:58" ht="24.75" customHeight="1">
      <c r="A236" s="90" t="s">
        <v>5247</v>
      </c>
      <c r="B236" s="90"/>
      <c r="C236" s="90"/>
      <c r="D236" s="91">
        <v>45929.437928240703</v>
      </c>
      <c r="E236" s="90" t="s">
        <v>5222</v>
      </c>
      <c r="F236" s="92"/>
      <c r="G236" s="90" t="s">
        <v>5502</v>
      </c>
      <c r="H236" s="90" t="s">
        <v>5496</v>
      </c>
      <c r="I236" s="90" t="s">
        <v>5497</v>
      </c>
      <c r="J236" s="90" t="s">
        <v>5267</v>
      </c>
      <c r="K236" s="93">
        <v>18</v>
      </c>
      <c r="L236" s="93">
        <v>9.5</v>
      </c>
      <c r="M236" s="93">
        <v>171</v>
      </c>
      <c r="N236" s="93">
        <v>171</v>
      </c>
      <c r="O236" s="90" t="s">
        <v>5226</v>
      </c>
      <c r="P236" s="90"/>
      <c r="Q236" s="90" t="s">
        <v>5227</v>
      </c>
      <c r="R236" s="90"/>
      <c r="S236" s="90"/>
      <c r="T236" s="90"/>
      <c r="U236" s="90"/>
      <c r="V236" s="90" t="s">
        <v>5498</v>
      </c>
      <c r="W236" s="90" t="s">
        <v>94</v>
      </c>
      <c r="X236" s="90" t="s">
        <v>90</v>
      </c>
      <c r="Y236" s="90" t="s">
        <v>46</v>
      </c>
      <c r="Z236" s="90"/>
      <c r="AA236" s="93">
        <v>151.327433628319</v>
      </c>
      <c r="AB236" s="93">
        <v>151.327433628319</v>
      </c>
      <c r="AC236" s="93">
        <v>13</v>
      </c>
      <c r="AD236" s="93">
        <v>19.672566371681398</v>
      </c>
      <c r="AE236" s="90"/>
      <c r="AF236" s="90"/>
      <c r="AG236" s="90"/>
      <c r="AH236" s="90"/>
      <c r="AI236" s="93">
        <v>0</v>
      </c>
      <c r="AJ236" s="93">
        <v>9.5</v>
      </c>
      <c r="AK236" s="93">
        <v>13</v>
      </c>
      <c r="AL236" s="93">
        <v>151.32744</v>
      </c>
      <c r="AM236" s="93">
        <v>19.672560000000001</v>
      </c>
      <c r="AN236" s="93">
        <v>171</v>
      </c>
      <c r="AO236" s="93">
        <v>-6.3716814224790099E-6</v>
      </c>
      <c r="AP236" s="90" t="s">
        <v>94</v>
      </c>
      <c r="AQ236" s="90" t="s">
        <v>5239</v>
      </c>
      <c r="AR236" s="90"/>
      <c r="AS236" s="90"/>
      <c r="AT236" s="90"/>
      <c r="AU236" s="90"/>
      <c r="AV236" s="90"/>
      <c r="AW236" s="90"/>
      <c r="AX236" s="90"/>
      <c r="AY236" s="90" t="s">
        <v>5230</v>
      </c>
      <c r="AZ236" s="90"/>
      <c r="BA236" s="90" t="s">
        <v>46</v>
      </c>
      <c r="BB236" s="91">
        <v>45902.4897569444</v>
      </c>
      <c r="BC236" s="90" t="s">
        <v>402</v>
      </c>
      <c r="BD236" s="90"/>
      <c r="BE236" s="90"/>
      <c r="BF236" s="90" t="s">
        <v>5505</v>
      </c>
    </row>
    <row r="237" spans="1:58" ht="24.75" customHeight="1">
      <c r="A237" s="90" t="s">
        <v>5247</v>
      </c>
      <c r="B237" s="90"/>
      <c r="C237" s="90"/>
      <c r="D237" s="91">
        <v>45929.437928240703</v>
      </c>
      <c r="E237" s="90" t="s">
        <v>5222</v>
      </c>
      <c r="F237" s="92"/>
      <c r="G237" s="90" t="s">
        <v>5502</v>
      </c>
      <c r="H237" s="90" t="s">
        <v>5508</v>
      </c>
      <c r="I237" s="90" t="s">
        <v>5509</v>
      </c>
      <c r="J237" s="90"/>
      <c r="K237" s="93">
        <v>1</v>
      </c>
      <c r="L237" s="93">
        <v>1</v>
      </c>
      <c r="M237" s="93">
        <v>1</v>
      </c>
      <c r="N237" s="93">
        <v>1</v>
      </c>
      <c r="O237" s="90" t="s">
        <v>5226</v>
      </c>
      <c r="P237" s="90"/>
      <c r="Q237" s="90" t="s">
        <v>5227</v>
      </c>
      <c r="R237" s="90"/>
      <c r="S237" s="90"/>
      <c r="T237" s="90"/>
      <c r="U237" s="90"/>
      <c r="V237" s="90" t="s">
        <v>5510</v>
      </c>
      <c r="W237" s="90" t="s">
        <v>94</v>
      </c>
      <c r="X237" s="90" t="s">
        <v>90</v>
      </c>
      <c r="Y237" s="90" t="s">
        <v>46</v>
      </c>
      <c r="Z237" s="90"/>
      <c r="AA237" s="93">
        <v>0.88495575221238898</v>
      </c>
      <c r="AB237" s="93">
        <v>0.88495575221238898</v>
      </c>
      <c r="AC237" s="93">
        <v>13</v>
      </c>
      <c r="AD237" s="93">
        <v>0.11504424778761101</v>
      </c>
      <c r="AE237" s="90"/>
      <c r="AF237" s="90"/>
      <c r="AG237" s="90"/>
      <c r="AH237" s="90"/>
      <c r="AI237" s="93">
        <v>0</v>
      </c>
      <c r="AJ237" s="93">
        <v>1</v>
      </c>
      <c r="AK237" s="93">
        <v>13</v>
      </c>
      <c r="AL237" s="93">
        <v>0.88495599999999996</v>
      </c>
      <c r="AM237" s="93">
        <v>0.11504399999999999</v>
      </c>
      <c r="AN237" s="93">
        <v>1</v>
      </c>
      <c r="AO237" s="93">
        <v>-2.4778761054111698E-7</v>
      </c>
      <c r="AP237" s="90" t="s">
        <v>94</v>
      </c>
      <c r="AQ237" s="90" t="s">
        <v>5239</v>
      </c>
      <c r="AR237" s="90"/>
      <c r="AS237" s="90"/>
      <c r="AT237" s="90"/>
      <c r="AU237" s="90"/>
      <c r="AV237" s="90"/>
      <c r="AW237" s="90"/>
      <c r="AX237" s="90"/>
      <c r="AY237" s="90" t="s">
        <v>5230</v>
      </c>
      <c r="AZ237" s="90"/>
      <c r="BA237" s="90" t="s">
        <v>46</v>
      </c>
      <c r="BB237" s="91">
        <v>45840.629259259302</v>
      </c>
      <c r="BC237" s="90" t="s">
        <v>402</v>
      </c>
      <c r="BD237" s="90"/>
      <c r="BE237" s="90"/>
      <c r="BF237" s="90" t="s">
        <v>5505</v>
      </c>
    </row>
    <row r="238" spans="1:58" ht="24.75" customHeight="1">
      <c r="A238" s="90" t="s">
        <v>5247</v>
      </c>
      <c r="B238" s="90"/>
      <c r="C238" s="90"/>
      <c r="D238" s="91">
        <v>45929.437928240703</v>
      </c>
      <c r="E238" s="90" t="s">
        <v>5222</v>
      </c>
      <c r="F238" s="92"/>
      <c r="G238" s="90" t="s">
        <v>5502</v>
      </c>
      <c r="H238" s="90" t="s">
        <v>5511</v>
      </c>
      <c r="I238" s="90" t="s">
        <v>5512</v>
      </c>
      <c r="J238" s="90" t="s">
        <v>5513</v>
      </c>
      <c r="K238" s="93">
        <v>2</v>
      </c>
      <c r="L238" s="93">
        <v>10</v>
      </c>
      <c r="M238" s="93">
        <v>20</v>
      </c>
      <c r="N238" s="93">
        <v>20</v>
      </c>
      <c r="O238" s="90" t="s">
        <v>5226</v>
      </c>
      <c r="P238" s="90"/>
      <c r="Q238" s="90" t="s">
        <v>5227</v>
      </c>
      <c r="R238" s="90"/>
      <c r="S238" s="90"/>
      <c r="T238" s="90"/>
      <c r="U238" s="90"/>
      <c r="V238" s="90" t="s">
        <v>5260</v>
      </c>
      <c r="W238" s="90" t="s">
        <v>94</v>
      </c>
      <c r="X238" s="90" t="s">
        <v>90</v>
      </c>
      <c r="Y238" s="90" t="s">
        <v>46</v>
      </c>
      <c r="Z238" s="90"/>
      <c r="AA238" s="93">
        <v>17.699115044247801</v>
      </c>
      <c r="AB238" s="93">
        <v>17.699115044247801</v>
      </c>
      <c r="AC238" s="93">
        <v>13</v>
      </c>
      <c r="AD238" s="93">
        <v>2.3008849557522102</v>
      </c>
      <c r="AE238" s="90"/>
      <c r="AF238" s="90"/>
      <c r="AG238" s="90"/>
      <c r="AH238" s="90"/>
      <c r="AI238" s="93">
        <v>0</v>
      </c>
      <c r="AJ238" s="93">
        <v>10</v>
      </c>
      <c r="AK238" s="93">
        <v>13</v>
      </c>
      <c r="AL238" s="93">
        <v>17.699116</v>
      </c>
      <c r="AM238" s="93">
        <v>2.3008839999999999</v>
      </c>
      <c r="AN238" s="93">
        <v>20</v>
      </c>
      <c r="AO238" s="93">
        <v>-9.5575220981913802E-7</v>
      </c>
      <c r="AP238" s="90" t="s">
        <v>94</v>
      </c>
      <c r="AQ238" s="90" t="s">
        <v>5239</v>
      </c>
      <c r="AR238" s="90"/>
      <c r="AS238" s="90"/>
      <c r="AT238" s="90"/>
      <c r="AU238" s="90"/>
      <c r="AV238" s="90"/>
      <c r="AW238" s="90"/>
      <c r="AX238" s="90"/>
      <c r="AY238" s="90" t="s">
        <v>5230</v>
      </c>
      <c r="AZ238" s="90"/>
      <c r="BA238" s="90" t="s">
        <v>46</v>
      </c>
      <c r="BB238" s="91">
        <v>45873.434953703698</v>
      </c>
      <c r="BC238" s="90" t="s">
        <v>402</v>
      </c>
      <c r="BD238" s="90"/>
      <c r="BE238" s="90"/>
      <c r="BF238" s="90" t="s">
        <v>5505</v>
      </c>
    </row>
    <row r="239" spans="1:58" ht="24.75" customHeight="1">
      <c r="A239" s="90" t="s">
        <v>5247</v>
      </c>
      <c r="B239" s="90"/>
      <c r="C239" s="90"/>
      <c r="D239" s="91">
        <v>45929.439305555599</v>
      </c>
      <c r="E239" s="90" t="s">
        <v>5222</v>
      </c>
      <c r="F239" s="92"/>
      <c r="G239" s="90" t="s">
        <v>5514</v>
      </c>
      <c r="H239" s="90" t="s">
        <v>5515</v>
      </c>
      <c r="I239" s="90" t="s">
        <v>5516</v>
      </c>
      <c r="J239" s="90" t="s">
        <v>5513</v>
      </c>
      <c r="K239" s="93">
        <v>3</v>
      </c>
      <c r="L239" s="93">
        <v>3</v>
      </c>
      <c r="M239" s="93">
        <v>9</v>
      </c>
      <c r="N239" s="93">
        <v>9</v>
      </c>
      <c r="O239" s="90" t="s">
        <v>5226</v>
      </c>
      <c r="P239" s="90"/>
      <c r="Q239" s="90" t="s">
        <v>5227</v>
      </c>
      <c r="R239" s="90"/>
      <c r="S239" s="90"/>
      <c r="T239" s="90"/>
      <c r="U239" s="90"/>
      <c r="V239" s="90" t="s">
        <v>5385</v>
      </c>
      <c r="W239" s="90" t="s">
        <v>94</v>
      </c>
      <c r="X239" s="90" t="s">
        <v>196</v>
      </c>
      <c r="Y239" s="90" t="s">
        <v>46</v>
      </c>
      <c r="Z239" s="90"/>
      <c r="AA239" s="93">
        <v>7.9646017699115097</v>
      </c>
      <c r="AB239" s="93">
        <v>7.9646017699115097</v>
      </c>
      <c r="AC239" s="93">
        <v>13</v>
      </c>
      <c r="AD239" s="93">
        <v>1.0353982300885001</v>
      </c>
      <c r="AE239" s="90"/>
      <c r="AF239" s="90"/>
      <c r="AG239" s="90"/>
      <c r="AH239" s="90"/>
      <c r="AI239" s="93">
        <v>0</v>
      </c>
      <c r="AJ239" s="93">
        <v>3</v>
      </c>
      <c r="AK239" s="93">
        <v>13</v>
      </c>
      <c r="AL239" s="93">
        <v>7.964601</v>
      </c>
      <c r="AM239" s="93">
        <v>1.035399</v>
      </c>
      <c r="AN239" s="93">
        <v>9</v>
      </c>
      <c r="AO239" s="93">
        <v>7.69911505216214E-7</v>
      </c>
      <c r="AP239" s="90" t="s">
        <v>94</v>
      </c>
      <c r="AQ239" s="90" t="s">
        <v>5239</v>
      </c>
      <c r="AR239" s="90"/>
      <c r="AS239" s="90"/>
      <c r="AT239" s="90"/>
      <c r="AU239" s="90"/>
      <c r="AV239" s="90"/>
      <c r="AW239" s="90"/>
      <c r="AX239" s="90"/>
      <c r="AY239" s="90" t="s">
        <v>5230</v>
      </c>
      <c r="AZ239" s="90"/>
      <c r="BA239" s="90" t="s">
        <v>46</v>
      </c>
      <c r="BB239" s="91">
        <v>45842.476851851898</v>
      </c>
      <c r="BC239" s="90" t="s">
        <v>402</v>
      </c>
      <c r="BD239" s="90"/>
      <c r="BE239" s="90"/>
      <c r="BF239" s="90" t="s">
        <v>5505</v>
      </c>
    </row>
    <row r="240" spans="1:58" ht="24.75" customHeight="1">
      <c r="A240" s="90" t="s">
        <v>5247</v>
      </c>
      <c r="B240" s="90"/>
      <c r="C240" s="90"/>
      <c r="D240" s="91">
        <v>45929.439305555599</v>
      </c>
      <c r="E240" s="90" t="s">
        <v>5222</v>
      </c>
      <c r="F240" s="92"/>
      <c r="G240" s="90" t="s">
        <v>5514</v>
      </c>
      <c r="H240" s="90" t="s">
        <v>5506</v>
      </c>
      <c r="I240" s="90" t="s">
        <v>5507</v>
      </c>
      <c r="J240" s="90"/>
      <c r="K240" s="93">
        <v>1</v>
      </c>
      <c r="L240" s="93">
        <v>2.5</v>
      </c>
      <c r="M240" s="93">
        <v>2.5</v>
      </c>
      <c r="N240" s="93">
        <v>2.5</v>
      </c>
      <c r="O240" s="90" t="s">
        <v>5226</v>
      </c>
      <c r="P240" s="90"/>
      <c r="Q240" s="90" t="s">
        <v>5227</v>
      </c>
      <c r="R240" s="90"/>
      <c r="S240" s="90"/>
      <c r="T240" s="90"/>
      <c r="U240" s="90"/>
      <c r="V240" s="90" t="s">
        <v>5385</v>
      </c>
      <c r="W240" s="90" t="s">
        <v>94</v>
      </c>
      <c r="X240" s="90" t="s">
        <v>196</v>
      </c>
      <c r="Y240" s="90" t="s">
        <v>46</v>
      </c>
      <c r="Z240" s="90"/>
      <c r="AA240" s="93">
        <v>2.2123893805309698</v>
      </c>
      <c r="AB240" s="93">
        <v>2.2123893805309698</v>
      </c>
      <c r="AC240" s="93">
        <v>13</v>
      </c>
      <c r="AD240" s="93">
        <v>0.287610619469026</v>
      </c>
      <c r="AE240" s="90"/>
      <c r="AF240" s="90"/>
      <c r="AG240" s="90"/>
      <c r="AH240" s="90"/>
      <c r="AI240" s="93">
        <v>0</v>
      </c>
      <c r="AJ240" s="93">
        <v>2.5</v>
      </c>
      <c r="AK240" s="93">
        <v>13</v>
      </c>
      <c r="AL240" s="93">
        <v>2.2123889999999999</v>
      </c>
      <c r="AM240" s="93">
        <v>0.28761100000000001</v>
      </c>
      <c r="AN240" s="93">
        <v>2.5</v>
      </c>
      <c r="AO240" s="93">
        <v>3.80530973842497E-7</v>
      </c>
      <c r="AP240" s="90" t="s">
        <v>94</v>
      </c>
      <c r="AQ240" s="90" t="s">
        <v>5239</v>
      </c>
      <c r="AR240" s="90"/>
      <c r="AS240" s="90"/>
      <c r="AT240" s="90"/>
      <c r="AU240" s="90"/>
      <c r="AV240" s="90"/>
      <c r="AW240" s="90"/>
      <c r="AX240" s="90"/>
      <c r="AY240" s="90" t="s">
        <v>5230</v>
      </c>
      <c r="AZ240" s="90"/>
      <c r="BA240" s="90" t="s">
        <v>46</v>
      </c>
      <c r="BB240" s="91">
        <v>45902.4897569444</v>
      </c>
      <c r="BC240" s="90" t="s">
        <v>402</v>
      </c>
      <c r="BD240" s="90"/>
      <c r="BE240" s="90"/>
      <c r="BF240" s="90" t="s">
        <v>5505</v>
      </c>
    </row>
    <row r="241" spans="1:58" ht="24.75" customHeight="1">
      <c r="A241" s="90" t="s">
        <v>5247</v>
      </c>
      <c r="B241" s="90"/>
      <c r="C241" s="90"/>
      <c r="D241" s="91">
        <v>45929.439305555599</v>
      </c>
      <c r="E241" s="90" t="s">
        <v>5222</v>
      </c>
      <c r="F241" s="92"/>
      <c r="G241" s="90" t="s">
        <v>5514</v>
      </c>
      <c r="H241" s="90" t="s">
        <v>5511</v>
      </c>
      <c r="I241" s="90" t="s">
        <v>5512</v>
      </c>
      <c r="J241" s="90" t="s">
        <v>5513</v>
      </c>
      <c r="K241" s="93">
        <v>1</v>
      </c>
      <c r="L241" s="93">
        <v>10</v>
      </c>
      <c r="M241" s="93">
        <v>10</v>
      </c>
      <c r="N241" s="93">
        <v>10</v>
      </c>
      <c r="O241" s="90" t="s">
        <v>5226</v>
      </c>
      <c r="P241" s="90"/>
      <c r="Q241" s="90" t="s">
        <v>5227</v>
      </c>
      <c r="R241" s="90"/>
      <c r="S241" s="90"/>
      <c r="T241" s="90"/>
      <c r="U241" s="90"/>
      <c r="V241" s="90" t="s">
        <v>5260</v>
      </c>
      <c r="W241" s="90" t="s">
        <v>94</v>
      </c>
      <c r="X241" s="90" t="s">
        <v>196</v>
      </c>
      <c r="Y241" s="90" t="s">
        <v>46</v>
      </c>
      <c r="Z241" s="90"/>
      <c r="AA241" s="93">
        <v>8.8495575221239005</v>
      </c>
      <c r="AB241" s="93">
        <v>8.8495575221239005</v>
      </c>
      <c r="AC241" s="93">
        <v>13</v>
      </c>
      <c r="AD241" s="93">
        <v>1.15044247787611</v>
      </c>
      <c r="AE241" s="90"/>
      <c r="AF241" s="90"/>
      <c r="AG241" s="90"/>
      <c r="AH241" s="90"/>
      <c r="AI241" s="93">
        <v>0</v>
      </c>
      <c r="AJ241" s="93">
        <v>10</v>
      </c>
      <c r="AK241" s="93">
        <v>13</v>
      </c>
      <c r="AL241" s="93">
        <v>8.849558</v>
      </c>
      <c r="AM241" s="93">
        <v>1.150442</v>
      </c>
      <c r="AN241" s="93">
        <v>10</v>
      </c>
      <c r="AO241" s="93">
        <v>-4.7787610490956901E-7</v>
      </c>
      <c r="AP241" s="90" t="s">
        <v>94</v>
      </c>
      <c r="AQ241" s="90" t="s">
        <v>5239</v>
      </c>
      <c r="AR241" s="90"/>
      <c r="AS241" s="90"/>
      <c r="AT241" s="90"/>
      <c r="AU241" s="90"/>
      <c r="AV241" s="90"/>
      <c r="AW241" s="90"/>
      <c r="AX241" s="90"/>
      <c r="AY241" s="90" t="s">
        <v>5230</v>
      </c>
      <c r="AZ241" s="90"/>
      <c r="BA241" s="90" t="s">
        <v>46</v>
      </c>
      <c r="BB241" s="91">
        <v>45873.434953703698</v>
      </c>
      <c r="BC241" s="90" t="s">
        <v>402</v>
      </c>
      <c r="BD241" s="90"/>
      <c r="BE241" s="90"/>
      <c r="BF241" s="90" t="s">
        <v>5505</v>
      </c>
    </row>
    <row r="242" spans="1:58" ht="24.75" customHeight="1">
      <c r="A242" s="90" t="s">
        <v>5247</v>
      </c>
      <c r="B242" s="90"/>
      <c r="C242" s="90"/>
      <c r="D242" s="91">
        <v>45929.439305555599</v>
      </c>
      <c r="E242" s="90" t="s">
        <v>5222</v>
      </c>
      <c r="F242" s="92"/>
      <c r="G242" s="90" t="s">
        <v>5514</v>
      </c>
      <c r="H242" s="90" t="s">
        <v>5517</v>
      </c>
      <c r="I242" s="90" t="s">
        <v>5518</v>
      </c>
      <c r="J242" s="90" t="s">
        <v>5519</v>
      </c>
      <c r="K242" s="93">
        <v>2500</v>
      </c>
      <c r="L242" s="93">
        <v>0.55000000000000004</v>
      </c>
      <c r="M242" s="93">
        <v>1375</v>
      </c>
      <c r="N242" s="93">
        <v>1375</v>
      </c>
      <c r="O242" s="90" t="s">
        <v>5226</v>
      </c>
      <c r="P242" s="90"/>
      <c r="Q242" s="90" t="s">
        <v>5227</v>
      </c>
      <c r="R242" s="90"/>
      <c r="S242" s="90"/>
      <c r="T242" s="90"/>
      <c r="U242" s="90"/>
      <c r="V242" s="90" t="s">
        <v>5385</v>
      </c>
      <c r="W242" s="90" t="s">
        <v>94</v>
      </c>
      <c r="X242" s="90" t="s">
        <v>196</v>
      </c>
      <c r="Y242" s="90" t="s">
        <v>46</v>
      </c>
      <c r="Z242" s="90"/>
      <c r="AA242" s="93">
        <v>1216.8141592920399</v>
      </c>
      <c r="AB242" s="93">
        <v>1216.8141592920399</v>
      </c>
      <c r="AC242" s="93">
        <v>13</v>
      </c>
      <c r="AD242" s="93">
        <v>158.18584070796501</v>
      </c>
      <c r="AE242" s="90"/>
      <c r="AF242" s="90"/>
      <c r="AG242" s="90"/>
      <c r="AH242" s="90"/>
      <c r="AI242" s="93">
        <v>0</v>
      </c>
      <c r="AJ242" s="93">
        <v>0.55000000000000004</v>
      </c>
      <c r="AK242" s="93">
        <v>13</v>
      </c>
      <c r="AL242" s="93">
        <v>1216.8150000000001</v>
      </c>
      <c r="AM242" s="93">
        <v>158.185</v>
      </c>
      <c r="AN242" s="93">
        <v>1375</v>
      </c>
      <c r="AO242" s="93">
        <v>-8.4070796447122099E-4</v>
      </c>
      <c r="AP242" s="90" t="s">
        <v>94</v>
      </c>
      <c r="AQ242" s="90" t="s">
        <v>5239</v>
      </c>
      <c r="AR242" s="90"/>
      <c r="AS242" s="90"/>
      <c r="AT242" s="90"/>
      <c r="AU242" s="90"/>
      <c r="AV242" s="90"/>
      <c r="AW242" s="90"/>
      <c r="AX242" s="90"/>
      <c r="AY242" s="90" t="s">
        <v>5230</v>
      </c>
      <c r="AZ242" s="90"/>
      <c r="BA242" s="90" t="s">
        <v>46</v>
      </c>
      <c r="BB242" s="91">
        <v>45898.734953703701</v>
      </c>
      <c r="BC242" s="90" t="s">
        <v>5520</v>
      </c>
      <c r="BD242" s="90"/>
      <c r="BE242" s="90"/>
      <c r="BF242" s="90" t="s">
        <v>5505</v>
      </c>
    </row>
    <row r="243" spans="1:58" ht="24.75" customHeight="1">
      <c r="A243" s="90" t="s">
        <v>5247</v>
      </c>
      <c r="B243" s="90"/>
      <c r="C243" s="90"/>
      <c r="D243" s="91">
        <v>45929.439305555599</v>
      </c>
      <c r="E243" s="90" t="s">
        <v>5222</v>
      </c>
      <c r="F243" s="92"/>
      <c r="G243" s="90" t="s">
        <v>5514</v>
      </c>
      <c r="H243" s="90" t="s">
        <v>5521</v>
      </c>
      <c r="I243" s="90" t="s">
        <v>5522</v>
      </c>
      <c r="J243" s="90"/>
      <c r="K243" s="93">
        <v>1</v>
      </c>
      <c r="L243" s="93">
        <v>2</v>
      </c>
      <c r="M243" s="93">
        <v>2</v>
      </c>
      <c r="N243" s="93">
        <v>2</v>
      </c>
      <c r="O243" s="90" t="s">
        <v>5226</v>
      </c>
      <c r="P243" s="90"/>
      <c r="Q243" s="90" t="s">
        <v>5227</v>
      </c>
      <c r="R243" s="90"/>
      <c r="S243" s="90"/>
      <c r="T243" s="90"/>
      <c r="U243" s="90"/>
      <c r="V243" s="90" t="s">
        <v>5252</v>
      </c>
      <c r="W243" s="90" t="s">
        <v>94</v>
      </c>
      <c r="X243" s="90" t="s">
        <v>196</v>
      </c>
      <c r="Y243" s="90" t="s">
        <v>46</v>
      </c>
      <c r="Z243" s="90"/>
      <c r="AA243" s="93">
        <v>1.76991150442478</v>
      </c>
      <c r="AB243" s="93">
        <v>1.76991150442478</v>
      </c>
      <c r="AC243" s="93">
        <v>13</v>
      </c>
      <c r="AD243" s="93">
        <v>0.23008849557522101</v>
      </c>
      <c r="AE243" s="90"/>
      <c r="AF243" s="90"/>
      <c r="AG243" s="90"/>
      <c r="AH243" s="90"/>
      <c r="AI243" s="93">
        <v>0</v>
      </c>
      <c r="AJ243" s="93">
        <v>2</v>
      </c>
      <c r="AK243" s="93">
        <v>13</v>
      </c>
      <c r="AL243" s="93">
        <v>1.7699119999999999</v>
      </c>
      <c r="AM243" s="93">
        <v>0.23008799999999999</v>
      </c>
      <c r="AN243" s="93">
        <v>2</v>
      </c>
      <c r="AO243" s="93">
        <v>-4.9557522108223395E-7</v>
      </c>
      <c r="AP243" s="90" t="s">
        <v>94</v>
      </c>
      <c r="AQ243" s="90" t="s">
        <v>5239</v>
      </c>
      <c r="AR243" s="90"/>
      <c r="AS243" s="90"/>
      <c r="AT243" s="90"/>
      <c r="AU243" s="90"/>
      <c r="AV243" s="90"/>
      <c r="AW243" s="90"/>
      <c r="AX243" s="90"/>
      <c r="AY243" s="90" t="s">
        <v>5230</v>
      </c>
      <c r="AZ243" s="90"/>
      <c r="BA243" s="90" t="s">
        <v>46</v>
      </c>
      <c r="BB243" s="91">
        <v>45873.434953703698</v>
      </c>
      <c r="BC243" s="90" t="s">
        <v>402</v>
      </c>
      <c r="BD243" s="90"/>
      <c r="BE243" s="90"/>
      <c r="BF243" s="90" t="s">
        <v>5505</v>
      </c>
    </row>
    <row r="244" spans="1:58" ht="24.75" customHeight="1">
      <c r="A244" s="90" t="s">
        <v>5247</v>
      </c>
      <c r="B244" s="90"/>
      <c r="C244" s="90"/>
      <c r="D244" s="91">
        <v>45929.439305555599</v>
      </c>
      <c r="E244" s="90" t="s">
        <v>5222</v>
      </c>
      <c r="F244" s="92"/>
      <c r="G244" s="90" t="s">
        <v>5514</v>
      </c>
      <c r="H244" s="90" t="s">
        <v>5324</v>
      </c>
      <c r="I244" s="90" t="s">
        <v>5325</v>
      </c>
      <c r="J244" s="90" t="s">
        <v>5326</v>
      </c>
      <c r="K244" s="93">
        <v>0.4</v>
      </c>
      <c r="L244" s="93">
        <v>28</v>
      </c>
      <c r="M244" s="93">
        <v>11.2</v>
      </c>
      <c r="N244" s="93">
        <v>11.2</v>
      </c>
      <c r="O244" s="90" t="s">
        <v>5226</v>
      </c>
      <c r="P244" s="90"/>
      <c r="Q244" s="90" t="s">
        <v>5227</v>
      </c>
      <c r="R244" s="90"/>
      <c r="S244" s="90"/>
      <c r="T244" s="90"/>
      <c r="U244" s="90"/>
      <c r="V244" s="90" t="s">
        <v>5252</v>
      </c>
      <c r="W244" s="90" t="s">
        <v>94</v>
      </c>
      <c r="X244" s="90" t="s">
        <v>196</v>
      </c>
      <c r="Y244" s="90" t="s">
        <v>46</v>
      </c>
      <c r="Z244" s="90"/>
      <c r="AA244" s="93">
        <v>9.9115044247787605</v>
      </c>
      <c r="AB244" s="93">
        <v>9.9115044247787605</v>
      </c>
      <c r="AC244" s="93">
        <v>13</v>
      </c>
      <c r="AD244" s="93">
        <v>1.2884955752212399</v>
      </c>
      <c r="AE244" s="90"/>
      <c r="AF244" s="90"/>
      <c r="AG244" s="90"/>
      <c r="AH244" s="90"/>
      <c r="AI244" s="93">
        <v>0</v>
      </c>
      <c r="AJ244" s="93">
        <v>28</v>
      </c>
      <c r="AK244" s="93">
        <v>13</v>
      </c>
      <c r="AL244" s="93">
        <v>9.9115044000000001</v>
      </c>
      <c r="AM244" s="93">
        <v>1.2884956000000001</v>
      </c>
      <c r="AN244" s="93">
        <v>11.2</v>
      </c>
      <c r="AO244" s="93">
        <v>2.4778762153232499E-8</v>
      </c>
      <c r="AP244" s="90" t="s">
        <v>94</v>
      </c>
      <c r="AQ244" s="90" t="s">
        <v>5239</v>
      </c>
      <c r="AR244" s="90"/>
      <c r="AS244" s="90"/>
      <c r="AT244" s="90"/>
      <c r="AU244" s="90"/>
      <c r="AV244" s="90"/>
      <c r="AW244" s="90"/>
      <c r="AX244" s="90"/>
      <c r="AY244" s="90" t="s">
        <v>5230</v>
      </c>
      <c r="AZ244" s="90"/>
      <c r="BA244" s="90" t="s">
        <v>46</v>
      </c>
      <c r="BB244" s="91">
        <v>45873.434953703698</v>
      </c>
      <c r="BC244" s="90" t="s">
        <v>402</v>
      </c>
      <c r="BD244" s="90"/>
      <c r="BE244" s="90"/>
      <c r="BF244" s="90" t="s">
        <v>5505</v>
      </c>
    </row>
    <row r="245" spans="1:58" ht="24.75" customHeight="1">
      <c r="A245" s="90" t="s">
        <v>5247</v>
      </c>
      <c r="B245" s="90"/>
      <c r="C245" s="90"/>
      <c r="D245" s="91">
        <v>45929.439606481501</v>
      </c>
      <c r="E245" s="90" t="s">
        <v>5222</v>
      </c>
      <c r="F245" s="92"/>
      <c r="G245" s="90" t="s">
        <v>5523</v>
      </c>
      <c r="H245" s="90" t="s">
        <v>5524</v>
      </c>
      <c r="I245" s="90" t="s">
        <v>5525</v>
      </c>
      <c r="J245" s="90" t="s">
        <v>5377</v>
      </c>
      <c r="K245" s="93">
        <v>8</v>
      </c>
      <c r="L245" s="93">
        <v>4</v>
      </c>
      <c r="M245" s="93">
        <v>32</v>
      </c>
      <c r="N245" s="93">
        <v>32</v>
      </c>
      <c r="O245" s="90" t="s">
        <v>5226</v>
      </c>
      <c r="P245" s="90"/>
      <c r="Q245" s="90" t="s">
        <v>5227</v>
      </c>
      <c r="R245" s="90"/>
      <c r="S245" s="90"/>
      <c r="T245" s="90"/>
      <c r="U245" s="90"/>
      <c r="V245" s="90" t="s">
        <v>5385</v>
      </c>
      <c r="W245" s="90" t="s">
        <v>94</v>
      </c>
      <c r="X245" s="90" t="s">
        <v>196</v>
      </c>
      <c r="Y245" s="90" t="s">
        <v>46</v>
      </c>
      <c r="Z245" s="90"/>
      <c r="AA245" s="93">
        <v>32</v>
      </c>
      <c r="AB245" s="93">
        <v>32</v>
      </c>
      <c r="AC245" s="93">
        <v>0</v>
      </c>
      <c r="AD245" s="93">
        <v>0</v>
      </c>
      <c r="AE245" s="90"/>
      <c r="AF245" s="90"/>
      <c r="AG245" s="90"/>
      <c r="AH245" s="90"/>
      <c r="AI245" s="93">
        <v>0</v>
      </c>
      <c r="AJ245" s="93">
        <v>4</v>
      </c>
      <c r="AK245" s="93">
        <v>0</v>
      </c>
      <c r="AL245" s="93">
        <v>32</v>
      </c>
      <c r="AM245" s="93">
        <v>0</v>
      </c>
      <c r="AN245" s="93">
        <v>32</v>
      </c>
      <c r="AO245" s="93">
        <v>0</v>
      </c>
      <c r="AP245" s="90" t="s">
        <v>94</v>
      </c>
      <c r="AQ245" s="90" t="s">
        <v>5239</v>
      </c>
      <c r="AR245" s="90"/>
      <c r="AS245" s="90"/>
      <c r="AT245" s="90"/>
      <c r="AU245" s="90"/>
      <c r="AV245" s="90"/>
      <c r="AW245" s="90"/>
      <c r="AX245" s="90"/>
      <c r="AY245" s="90" t="s">
        <v>5230</v>
      </c>
      <c r="AZ245" s="90"/>
      <c r="BA245" s="90" t="s">
        <v>46</v>
      </c>
      <c r="BB245" s="91">
        <v>45847.331782407397</v>
      </c>
      <c r="BC245" s="90" t="s">
        <v>404</v>
      </c>
      <c r="BD245" s="90" t="s">
        <v>5526</v>
      </c>
      <c r="BE245" s="90"/>
      <c r="BF245" s="90" t="s">
        <v>5505</v>
      </c>
    </row>
    <row r="246" spans="1:58" ht="24.75" customHeight="1">
      <c r="A246" s="90" t="s">
        <v>5221</v>
      </c>
      <c r="B246" s="90"/>
      <c r="C246" s="90"/>
      <c r="D246" s="91">
        <v>45929.429340277798</v>
      </c>
      <c r="E246" s="90" t="s">
        <v>5222</v>
      </c>
      <c r="F246" s="92"/>
      <c r="G246" s="90" t="s">
        <v>5527</v>
      </c>
      <c r="H246" s="90" t="s">
        <v>5383</v>
      </c>
      <c r="I246" s="90" t="s">
        <v>5384</v>
      </c>
      <c r="J246" s="90" t="s">
        <v>5351</v>
      </c>
      <c r="K246" s="93">
        <v>1</v>
      </c>
      <c r="L246" s="93">
        <v>130</v>
      </c>
      <c r="M246" s="93">
        <v>130</v>
      </c>
      <c r="N246" s="93">
        <v>130</v>
      </c>
      <c r="O246" s="90" t="s">
        <v>5226</v>
      </c>
      <c r="P246" s="90"/>
      <c r="Q246" s="90" t="s">
        <v>5227</v>
      </c>
      <c r="R246" s="90"/>
      <c r="S246" s="90"/>
      <c r="T246" s="90"/>
      <c r="U246" s="90"/>
      <c r="V246" s="90" t="s">
        <v>5385</v>
      </c>
      <c r="W246" s="90" t="s">
        <v>5271</v>
      </c>
      <c r="X246" s="90" t="s">
        <v>162</v>
      </c>
      <c r="Y246" s="90" t="s">
        <v>408</v>
      </c>
      <c r="Z246" s="90"/>
      <c r="AA246" s="93">
        <v>115.044247787611</v>
      </c>
      <c r="AB246" s="93">
        <v>115.044247787611</v>
      </c>
      <c r="AC246" s="93">
        <v>13</v>
      </c>
      <c r="AD246" s="93">
        <v>14.955752212389401</v>
      </c>
      <c r="AE246" s="90"/>
      <c r="AF246" s="90"/>
      <c r="AG246" s="90"/>
      <c r="AH246" s="90"/>
      <c r="AI246" s="93">
        <v>0</v>
      </c>
      <c r="AJ246" s="93">
        <v>130</v>
      </c>
      <c r="AK246" s="93">
        <v>13</v>
      </c>
      <c r="AL246" s="93">
        <v>115.044248</v>
      </c>
      <c r="AM246" s="93">
        <v>14.955752</v>
      </c>
      <c r="AN246" s="93">
        <v>130</v>
      </c>
      <c r="AO246" s="93">
        <v>-2.1238936653844599E-7</v>
      </c>
      <c r="AP246" s="90" t="s">
        <v>5271</v>
      </c>
      <c r="AQ246" s="90" t="s">
        <v>5229</v>
      </c>
      <c r="AR246" s="90"/>
      <c r="AS246" s="90"/>
      <c r="AT246" s="90"/>
      <c r="AU246" s="90"/>
      <c r="AV246" s="90"/>
      <c r="AW246" s="90"/>
      <c r="AX246" s="90"/>
      <c r="AY246" s="90" t="s">
        <v>5230</v>
      </c>
      <c r="AZ246" s="90"/>
      <c r="BA246" s="90" t="s">
        <v>408</v>
      </c>
      <c r="BB246" s="91">
        <v>45929.429004629601</v>
      </c>
      <c r="BC246" s="90" t="s">
        <v>401</v>
      </c>
      <c r="BD246" s="90"/>
      <c r="BE246" s="90"/>
      <c r="BF246" s="90" t="s">
        <v>5231</v>
      </c>
    </row>
    <row r="247" spans="1:58" ht="24.75" customHeight="1">
      <c r="A247" s="90" t="s">
        <v>5221</v>
      </c>
      <c r="B247" s="90"/>
      <c r="C247" s="90"/>
      <c r="D247" s="91">
        <v>45929.429340277798</v>
      </c>
      <c r="E247" s="90" t="s">
        <v>5222</v>
      </c>
      <c r="F247" s="92"/>
      <c r="G247" s="90" t="s">
        <v>5527</v>
      </c>
      <c r="H247" s="90" t="s">
        <v>5380</v>
      </c>
      <c r="I247" s="90" t="s">
        <v>5381</v>
      </c>
      <c r="J247" s="90" t="s">
        <v>5351</v>
      </c>
      <c r="K247" s="93">
        <v>1.8</v>
      </c>
      <c r="L247" s="93">
        <v>120</v>
      </c>
      <c r="M247" s="93">
        <v>216</v>
      </c>
      <c r="N247" s="93">
        <v>216</v>
      </c>
      <c r="O247" s="90" t="s">
        <v>5226</v>
      </c>
      <c r="P247" s="90"/>
      <c r="Q247" s="90" t="s">
        <v>5227</v>
      </c>
      <c r="R247" s="90"/>
      <c r="S247" s="90"/>
      <c r="T247" s="90"/>
      <c r="U247" s="90"/>
      <c r="V247" s="90"/>
      <c r="W247" s="90" t="s">
        <v>5271</v>
      </c>
      <c r="X247" s="90" t="s">
        <v>162</v>
      </c>
      <c r="Y247" s="90" t="s">
        <v>408</v>
      </c>
      <c r="Z247" s="90"/>
      <c r="AA247" s="93">
        <v>191.150442477876</v>
      </c>
      <c r="AB247" s="93">
        <v>191.150442477876</v>
      </c>
      <c r="AC247" s="93">
        <v>13</v>
      </c>
      <c r="AD247" s="93">
        <v>24.849557522123899</v>
      </c>
      <c r="AE247" s="90"/>
      <c r="AF247" s="90"/>
      <c r="AG247" s="90"/>
      <c r="AH247" s="90"/>
      <c r="AI247" s="93">
        <v>0</v>
      </c>
      <c r="AJ247" s="93">
        <v>120</v>
      </c>
      <c r="AK247" s="93">
        <v>13</v>
      </c>
      <c r="AL247" s="93">
        <v>191.150442</v>
      </c>
      <c r="AM247" s="93">
        <v>24.849557999999998</v>
      </c>
      <c r="AN247" s="93">
        <v>216</v>
      </c>
      <c r="AO247" s="93">
        <v>4.7787611379135299E-7</v>
      </c>
      <c r="AP247" s="90" t="s">
        <v>5271</v>
      </c>
      <c r="AQ247" s="90" t="s">
        <v>5239</v>
      </c>
      <c r="AR247" s="90"/>
      <c r="AS247" s="90"/>
      <c r="AT247" s="90"/>
      <c r="AU247" s="90"/>
      <c r="AV247" s="90"/>
      <c r="AW247" s="90"/>
      <c r="AX247" s="90"/>
      <c r="AY247" s="90" t="s">
        <v>5230</v>
      </c>
      <c r="AZ247" s="90"/>
      <c r="BA247" s="90" t="s">
        <v>408</v>
      </c>
      <c r="BB247" s="91">
        <v>45929.429004629601</v>
      </c>
      <c r="BC247" s="90" t="s">
        <v>401</v>
      </c>
      <c r="BD247" s="90"/>
      <c r="BE247" s="90"/>
      <c r="BF247" s="90" t="s">
        <v>5231</v>
      </c>
    </row>
    <row r="248" spans="1:58" ht="24.75" customHeight="1">
      <c r="A248" s="90" t="s">
        <v>5247</v>
      </c>
      <c r="B248" s="90"/>
      <c r="C248" s="90"/>
      <c r="D248" s="91">
        <v>45929.4369560185</v>
      </c>
      <c r="E248" s="90" t="s">
        <v>5222</v>
      </c>
      <c r="F248" s="92"/>
      <c r="G248" s="90" t="s">
        <v>5495</v>
      </c>
      <c r="H248" s="90" t="s">
        <v>5506</v>
      </c>
      <c r="I248" s="90" t="s">
        <v>5507</v>
      </c>
      <c r="J248" s="90"/>
      <c r="K248" s="93">
        <v>1</v>
      </c>
      <c r="L248" s="93">
        <v>2.5</v>
      </c>
      <c r="M248" s="93">
        <v>2.5</v>
      </c>
      <c r="N248" s="93">
        <v>2.5</v>
      </c>
      <c r="O248" s="90" t="s">
        <v>5226</v>
      </c>
      <c r="P248" s="90"/>
      <c r="Q248" s="90" t="s">
        <v>5227</v>
      </c>
      <c r="R248" s="90"/>
      <c r="S248" s="90"/>
      <c r="T248" s="90"/>
      <c r="U248" s="90"/>
      <c r="V248" s="90" t="s">
        <v>5385</v>
      </c>
      <c r="W248" s="90" t="s">
        <v>94</v>
      </c>
      <c r="X248" s="90" t="s">
        <v>93</v>
      </c>
      <c r="Y248" s="90" t="s">
        <v>199</v>
      </c>
      <c r="Z248" s="90"/>
      <c r="AA248" s="93">
        <v>2.2123893805309698</v>
      </c>
      <c r="AB248" s="93">
        <v>2.2123893805309698</v>
      </c>
      <c r="AC248" s="93">
        <v>13</v>
      </c>
      <c r="AD248" s="93">
        <v>0.287610619469026</v>
      </c>
      <c r="AE248" s="90"/>
      <c r="AF248" s="90"/>
      <c r="AG248" s="90"/>
      <c r="AH248" s="90"/>
      <c r="AI248" s="93">
        <v>0</v>
      </c>
      <c r="AJ248" s="93">
        <v>2.5</v>
      </c>
      <c r="AK248" s="93">
        <v>13</v>
      </c>
      <c r="AL248" s="93">
        <v>2.2123889999999999</v>
      </c>
      <c r="AM248" s="93">
        <v>0.28761100000000001</v>
      </c>
      <c r="AN248" s="93">
        <v>2.5</v>
      </c>
      <c r="AO248" s="93">
        <v>3.80530973842497E-7</v>
      </c>
      <c r="AP248" s="90" t="s">
        <v>94</v>
      </c>
      <c r="AQ248" s="90" t="s">
        <v>5239</v>
      </c>
      <c r="AR248" s="90"/>
      <c r="AS248" s="90"/>
      <c r="AT248" s="90"/>
      <c r="AU248" s="90"/>
      <c r="AV248" s="90"/>
      <c r="AW248" s="90"/>
      <c r="AX248" s="90"/>
      <c r="AY248" s="90" t="s">
        <v>5230</v>
      </c>
      <c r="AZ248" s="90"/>
      <c r="BA248" s="90" t="s">
        <v>199</v>
      </c>
      <c r="BB248" s="91">
        <v>45902.4897569444</v>
      </c>
      <c r="BC248" s="90" t="s">
        <v>402</v>
      </c>
      <c r="BD248" s="90"/>
      <c r="BE248" s="90"/>
      <c r="BF248" s="90" t="s">
        <v>5284</v>
      </c>
    </row>
    <row r="249" spans="1:58" ht="24.75" customHeight="1">
      <c r="A249" s="90" t="s">
        <v>5247</v>
      </c>
      <c r="B249" s="90"/>
      <c r="C249" s="90"/>
      <c r="D249" s="91">
        <v>45929.4369560185</v>
      </c>
      <c r="E249" s="90" t="s">
        <v>5222</v>
      </c>
      <c r="F249" s="92"/>
      <c r="G249" s="90" t="s">
        <v>5495</v>
      </c>
      <c r="H249" s="90" t="s">
        <v>5524</v>
      </c>
      <c r="I249" s="90" t="s">
        <v>5525</v>
      </c>
      <c r="J249" s="90" t="s">
        <v>5377</v>
      </c>
      <c r="K249" s="93">
        <v>6</v>
      </c>
      <c r="L249" s="93">
        <v>4</v>
      </c>
      <c r="M249" s="93">
        <v>24</v>
      </c>
      <c r="N249" s="93">
        <v>24</v>
      </c>
      <c r="O249" s="90" t="s">
        <v>5226</v>
      </c>
      <c r="P249" s="90"/>
      <c r="Q249" s="90" t="s">
        <v>5227</v>
      </c>
      <c r="R249" s="90"/>
      <c r="S249" s="90"/>
      <c r="T249" s="90"/>
      <c r="U249" s="90"/>
      <c r="V249" s="90" t="s">
        <v>5385</v>
      </c>
      <c r="W249" s="90" t="s">
        <v>94</v>
      </c>
      <c r="X249" s="90" t="s">
        <v>93</v>
      </c>
      <c r="Y249" s="90" t="s">
        <v>199</v>
      </c>
      <c r="Z249" s="90"/>
      <c r="AA249" s="93">
        <v>24</v>
      </c>
      <c r="AB249" s="93">
        <v>24</v>
      </c>
      <c r="AC249" s="93">
        <v>0</v>
      </c>
      <c r="AD249" s="93">
        <v>0</v>
      </c>
      <c r="AE249" s="90"/>
      <c r="AF249" s="90"/>
      <c r="AG249" s="90"/>
      <c r="AH249" s="90"/>
      <c r="AI249" s="93">
        <v>0</v>
      </c>
      <c r="AJ249" s="93">
        <v>4</v>
      </c>
      <c r="AK249" s="93">
        <v>0</v>
      </c>
      <c r="AL249" s="93">
        <v>24</v>
      </c>
      <c r="AM249" s="93">
        <v>0</v>
      </c>
      <c r="AN249" s="93">
        <v>24</v>
      </c>
      <c r="AO249" s="93">
        <v>0</v>
      </c>
      <c r="AP249" s="90" t="s">
        <v>94</v>
      </c>
      <c r="AQ249" s="90" t="s">
        <v>5239</v>
      </c>
      <c r="AR249" s="90"/>
      <c r="AS249" s="90"/>
      <c r="AT249" s="90"/>
      <c r="AU249" s="90"/>
      <c r="AV249" s="90"/>
      <c r="AW249" s="90"/>
      <c r="AX249" s="90"/>
      <c r="AY249" s="90" t="s">
        <v>5230</v>
      </c>
      <c r="AZ249" s="90"/>
      <c r="BA249" s="90" t="s">
        <v>199</v>
      </c>
      <c r="BB249" s="91">
        <v>45847.331782407397</v>
      </c>
      <c r="BC249" s="90" t="s">
        <v>404</v>
      </c>
      <c r="BD249" s="90"/>
      <c r="BE249" s="90"/>
      <c r="BF249" s="90" t="s">
        <v>5284</v>
      </c>
    </row>
    <row r="250" spans="1:58" ht="24.75" customHeight="1">
      <c r="A250" s="90" t="s">
        <v>5247</v>
      </c>
      <c r="B250" s="90"/>
      <c r="C250" s="90"/>
      <c r="D250" s="91">
        <v>45929.4369560185</v>
      </c>
      <c r="E250" s="90" t="s">
        <v>5222</v>
      </c>
      <c r="F250" s="92"/>
      <c r="G250" s="90" t="s">
        <v>5495</v>
      </c>
      <c r="H250" s="90" t="s">
        <v>5496</v>
      </c>
      <c r="I250" s="90" t="s">
        <v>5497</v>
      </c>
      <c r="J250" s="90" t="s">
        <v>5267</v>
      </c>
      <c r="K250" s="93">
        <v>3</v>
      </c>
      <c r="L250" s="93">
        <v>9.5</v>
      </c>
      <c r="M250" s="93">
        <v>28.5</v>
      </c>
      <c r="N250" s="93">
        <v>28.5</v>
      </c>
      <c r="O250" s="90" t="s">
        <v>5226</v>
      </c>
      <c r="P250" s="90"/>
      <c r="Q250" s="90" t="s">
        <v>5227</v>
      </c>
      <c r="R250" s="90"/>
      <c r="S250" s="90"/>
      <c r="T250" s="90"/>
      <c r="U250" s="90"/>
      <c r="V250" s="90" t="s">
        <v>5498</v>
      </c>
      <c r="W250" s="90" t="s">
        <v>94</v>
      </c>
      <c r="X250" s="90" t="s">
        <v>93</v>
      </c>
      <c r="Y250" s="90" t="s">
        <v>199</v>
      </c>
      <c r="Z250" s="90"/>
      <c r="AA250" s="93">
        <v>25.221238938053101</v>
      </c>
      <c r="AB250" s="93">
        <v>25.221238938053101</v>
      </c>
      <c r="AC250" s="93">
        <v>13</v>
      </c>
      <c r="AD250" s="93">
        <v>3.2787610619468999</v>
      </c>
      <c r="AE250" s="90"/>
      <c r="AF250" s="90"/>
      <c r="AG250" s="90"/>
      <c r="AH250" s="90"/>
      <c r="AI250" s="93">
        <v>0</v>
      </c>
      <c r="AJ250" s="93">
        <v>9.5</v>
      </c>
      <c r="AK250" s="93">
        <v>13</v>
      </c>
      <c r="AL250" s="93">
        <v>25.221240000000002</v>
      </c>
      <c r="AM250" s="93">
        <v>3.2787600000000001</v>
      </c>
      <c r="AN250" s="93">
        <v>28.5</v>
      </c>
      <c r="AO250" s="93">
        <v>-1.0619469001937899E-6</v>
      </c>
      <c r="AP250" s="90" t="s">
        <v>94</v>
      </c>
      <c r="AQ250" s="90" t="s">
        <v>5239</v>
      </c>
      <c r="AR250" s="90"/>
      <c r="AS250" s="90"/>
      <c r="AT250" s="90"/>
      <c r="AU250" s="90"/>
      <c r="AV250" s="90"/>
      <c r="AW250" s="90"/>
      <c r="AX250" s="90"/>
      <c r="AY250" s="90" t="s">
        <v>5230</v>
      </c>
      <c r="AZ250" s="90"/>
      <c r="BA250" s="90" t="s">
        <v>199</v>
      </c>
      <c r="BB250" s="91">
        <v>45873.434953703698</v>
      </c>
      <c r="BC250" s="90" t="s">
        <v>402</v>
      </c>
      <c r="BD250" s="90"/>
      <c r="BE250" s="90"/>
      <c r="BF250" s="90" t="s">
        <v>5284</v>
      </c>
    </row>
    <row r="251" spans="1:58" ht="24.75" customHeight="1">
      <c r="A251" s="90" t="s">
        <v>5247</v>
      </c>
      <c r="B251" s="90"/>
      <c r="C251" s="90"/>
      <c r="D251" s="91">
        <v>45929.441157407397</v>
      </c>
      <c r="E251" s="90" t="s">
        <v>5222</v>
      </c>
      <c r="F251" s="92"/>
      <c r="G251" s="90" t="s">
        <v>5528</v>
      </c>
      <c r="H251" s="90" t="s">
        <v>5529</v>
      </c>
      <c r="I251" s="90" t="s">
        <v>5530</v>
      </c>
      <c r="J251" s="90"/>
      <c r="K251" s="93">
        <v>1</v>
      </c>
      <c r="L251" s="93">
        <v>5.5</v>
      </c>
      <c r="M251" s="93">
        <v>5.5</v>
      </c>
      <c r="N251" s="93">
        <v>5.5</v>
      </c>
      <c r="O251" s="90" t="s">
        <v>5226</v>
      </c>
      <c r="P251" s="90"/>
      <c r="Q251" s="90" t="s">
        <v>5227</v>
      </c>
      <c r="R251" s="90"/>
      <c r="S251" s="90"/>
      <c r="T251" s="90"/>
      <c r="U251" s="90"/>
      <c r="V251" s="90" t="s">
        <v>5531</v>
      </c>
      <c r="W251" s="90" t="s">
        <v>94</v>
      </c>
      <c r="X251" s="90" t="s">
        <v>101</v>
      </c>
      <c r="Y251" s="90" t="s">
        <v>5268</v>
      </c>
      <c r="Z251" s="90"/>
      <c r="AA251" s="93">
        <v>4.8672566371681398</v>
      </c>
      <c r="AB251" s="93">
        <v>4.8672566371681398</v>
      </c>
      <c r="AC251" s="93">
        <v>13</v>
      </c>
      <c r="AD251" s="93">
        <v>0.63274336283185795</v>
      </c>
      <c r="AE251" s="90"/>
      <c r="AF251" s="90"/>
      <c r="AG251" s="90"/>
      <c r="AH251" s="90"/>
      <c r="AI251" s="93">
        <v>0</v>
      </c>
      <c r="AJ251" s="93">
        <v>5.5</v>
      </c>
      <c r="AK251" s="93">
        <v>13</v>
      </c>
      <c r="AL251" s="93">
        <v>4.8672570000000004</v>
      </c>
      <c r="AM251" s="93">
        <v>0.63274300000000006</v>
      </c>
      <c r="AN251" s="93">
        <v>5.5</v>
      </c>
      <c r="AO251" s="93">
        <v>-3.6283185878005503E-7</v>
      </c>
      <c r="AP251" s="90" t="s">
        <v>94</v>
      </c>
      <c r="AQ251" s="90" t="s">
        <v>498</v>
      </c>
      <c r="AR251" s="90"/>
      <c r="AS251" s="90"/>
      <c r="AT251" s="90"/>
      <c r="AU251" s="90"/>
      <c r="AV251" s="90"/>
      <c r="AW251" s="90"/>
      <c r="AX251" s="90"/>
      <c r="AY251" s="90" t="s">
        <v>5230</v>
      </c>
      <c r="AZ251" s="90"/>
      <c r="BA251" s="90" t="s">
        <v>5268</v>
      </c>
      <c r="BB251" s="91">
        <v>45873.434953703698</v>
      </c>
      <c r="BC251" s="90" t="s">
        <v>402</v>
      </c>
      <c r="BD251" s="90"/>
      <c r="BE251" s="90"/>
      <c r="BF251" s="90" t="s">
        <v>5269</v>
      </c>
    </row>
    <row r="252" spans="1:58" ht="24.75" customHeight="1">
      <c r="A252" s="90" t="s">
        <v>5247</v>
      </c>
      <c r="B252" s="90"/>
      <c r="C252" s="90"/>
      <c r="D252" s="91">
        <v>45929.441157407397</v>
      </c>
      <c r="E252" s="90" t="s">
        <v>5222</v>
      </c>
      <c r="F252" s="92"/>
      <c r="G252" s="90" t="s">
        <v>5528</v>
      </c>
      <c r="H252" s="90" t="s">
        <v>5529</v>
      </c>
      <c r="I252" s="90" t="s">
        <v>5530</v>
      </c>
      <c r="J252" s="90"/>
      <c r="K252" s="93">
        <v>24</v>
      </c>
      <c r="L252" s="93">
        <v>5.5</v>
      </c>
      <c r="M252" s="93">
        <v>132</v>
      </c>
      <c r="N252" s="93">
        <v>132</v>
      </c>
      <c r="O252" s="90" t="s">
        <v>5226</v>
      </c>
      <c r="P252" s="90"/>
      <c r="Q252" s="90" t="s">
        <v>5227</v>
      </c>
      <c r="R252" s="90"/>
      <c r="S252" s="90"/>
      <c r="T252" s="90"/>
      <c r="U252" s="90"/>
      <c r="V252" s="90" t="s">
        <v>5531</v>
      </c>
      <c r="W252" s="90" t="s">
        <v>94</v>
      </c>
      <c r="X252" s="90" t="s">
        <v>101</v>
      </c>
      <c r="Y252" s="90" t="s">
        <v>5268</v>
      </c>
      <c r="Z252" s="90"/>
      <c r="AA252" s="93">
        <v>116.814159292035</v>
      </c>
      <c r="AB252" s="93">
        <v>116.814159292035</v>
      </c>
      <c r="AC252" s="93">
        <v>13</v>
      </c>
      <c r="AD252" s="93">
        <v>15.1858407079646</v>
      </c>
      <c r="AE252" s="90"/>
      <c r="AF252" s="90"/>
      <c r="AG252" s="90"/>
      <c r="AH252" s="90"/>
      <c r="AI252" s="93">
        <v>0</v>
      </c>
      <c r="AJ252" s="93">
        <v>5.5</v>
      </c>
      <c r="AK252" s="93">
        <v>13</v>
      </c>
      <c r="AL252" s="93">
        <v>116.814168</v>
      </c>
      <c r="AM252" s="93">
        <v>15.185832</v>
      </c>
      <c r="AN252" s="93">
        <v>132</v>
      </c>
      <c r="AO252" s="93">
        <v>-8.7079645965104595E-6</v>
      </c>
      <c r="AP252" s="90" t="s">
        <v>94</v>
      </c>
      <c r="AQ252" s="90" t="s">
        <v>498</v>
      </c>
      <c r="AR252" s="90"/>
      <c r="AS252" s="90"/>
      <c r="AT252" s="90"/>
      <c r="AU252" s="90"/>
      <c r="AV252" s="90"/>
      <c r="AW252" s="90"/>
      <c r="AX252" s="90"/>
      <c r="AY252" s="90" t="s">
        <v>5230</v>
      </c>
      <c r="AZ252" s="90"/>
      <c r="BA252" s="90" t="s">
        <v>5268</v>
      </c>
      <c r="BB252" s="91">
        <v>45923.503125000003</v>
      </c>
      <c r="BC252" s="90" t="s">
        <v>402</v>
      </c>
      <c r="BD252" s="90"/>
      <c r="BE252" s="90"/>
      <c r="BF252" s="90" t="s">
        <v>5269</v>
      </c>
    </row>
    <row r="253" spans="1:58" ht="24.75" customHeight="1">
      <c r="A253" s="90" t="s">
        <v>5247</v>
      </c>
      <c r="B253" s="90"/>
      <c r="C253" s="90"/>
      <c r="D253" s="91">
        <v>45929.441157407397</v>
      </c>
      <c r="E253" s="90" t="s">
        <v>5222</v>
      </c>
      <c r="F253" s="92"/>
      <c r="G253" s="90" t="s">
        <v>5528</v>
      </c>
      <c r="H253" s="90" t="s">
        <v>5529</v>
      </c>
      <c r="I253" s="90" t="s">
        <v>5530</v>
      </c>
      <c r="J253" s="90"/>
      <c r="K253" s="93">
        <v>10</v>
      </c>
      <c r="L253" s="93">
        <v>5.5</v>
      </c>
      <c r="M253" s="93">
        <v>55</v>
      </c>
      <c r="N253" s="93">
        <v>55</v>
      </c>
      <c r="O253" s="90" t="s">
        <v>5226</v>
      </c>
      <c r="P253" s="90"/>
      <c r="Q253" s="90" t="s">
        <v>5227</v>
      </c>
      <c r="R253" s="90"/>
      <c r="S253" s="90"/>
      <c r="T253" s="90"/>
      <c r="U253" s="90"/>
      <c r="V253" s="90" t="s">
        <v>5531</v>
      </c>
      <c r="W253" s="90" t="s">
        <v>94</v>
      </c>
      <c r="X253" s="90" t="s">
        <v>101</v>
      </c>
      <c r="Y253" s="90" t="s">
        <v>5268</v>
      </c>
      <c r="Z253" s="90"/>
      <c r="AA253" s="93">
        <v>48.672566371681398</v>
      </c>
      <c r="AB253" s="93">
        <v>48.672566371681398</v>
      </c>
      <c r="AC253" s="93">
        <v>13</v>
      </c>
      <c r="AD253" s="93">
        <v>6.3274336283185804</v>
      </c>
      <c r="AE253" s="90"/>
      <c r="AF253" s="90"/>
      <c r="AG253" s="90"/>
      <c r="AH253" s="90"/>
      <c r="AI253" s="93">
        <v>0</v>
      </c>
      <c r="AJ253" s="93">
        <v>5.5</v>
      </c>
      <c r="AK253" s="93">
        <v>13</v>
      </c>
      <c r="AL253" s="93">
        <v>48.67257</v>
      </c>
      <c r="AM253" s="93">
        <v>6.3274299999999997</v>
      </c>
      <c r="AN253" s="93">
        <v>55</v>
      </c>
      <c r="AO253" s="93">
        <v>-3.6283185878005501E-6</v>
      </c>
      <c r="AP253" s="90" t="s">
        <v>94</v>
      </c>
      <c r="AQ253" s="90" t="s">
        <v>498</v>
      </c>
      <c r="AR253" s="90"/>
      <c r="AS253" s="90"/>
      <c r="AT253" s="90"/>
      <c r="AU253" s="90"/>
      <c r="AV253" s="90"/>
      <c r="AW253" s="90"/>
      <c r="AX253" s="90"/>
      <c r="AY253" s="90" t="s">
        <v>5230</v>
      </c>
      <c r="AZ253" s="90"/>
      <c r="BA253" s="90" t="s">
        <v>5268</v>
      </c>
      <c r="BB253" s="91">
        <v>45902.4897569444</v>
      </c>
      <c r="BC253" s="90" t="s">
        <v>402</v>
      </c>
      <c r="BD253" s="90"/>
      <c r="BE253" s="90"/>
      <c r="BF253" s="90" t="s">
        <v>5269</v>
      </c>
    </row>
    <row r="254" spans="1:58" ht="24.75" customHeight="1">
      <c r="A254" s="90" t="s">
        <v>5247</v>
      </c>
      <c r="B254" s="90"/>
      <c r="C254" s="90"/>
      <c r="D254" s="91">
        <v>45929.441157407397</v>
      </c>
      <c r="E254" s="90" t="s">
        <v>5222</v>
      </c>
      <c r="F254" s="92"/>
      <c r="G254" s="90" t="s">
        <v>5528</v>
      </c>
      <c r="H254" s="90" t="s">
        <v>5499</v>
      </c>
      <c r="I254" s="90" t="s">
        <v>5500</v>
      </c>
      <c r="J254" s="90"/>
      <c r="K254" s="93">
        <v>8</v>
      </c>
      <c r="L254" s="93">
        <v>7.5</v>
      </c>
      <c r="M254" s="93">
        <v>60</v>
      </c>
      <c r="N254" s="93">
        <v>60</v>
      </c>
      <c r="O254" s="90" t="s">
        <v>5226</v>
      </c>
      <c r="P254" s="90"/>
      <c r="Q254" s="90" t="s">
        <v>5227</v>
      </c>
      <c r="R254" s="90"/>
      <c r="S254" s="90"/>
      <c r="T254" s="90"/>
      <c r="U254" s="90"/>
      <c r="V254" s="90" t="s">
        <v>5252</v>
      </c>
      <c r="W254" s="90" t="s">
        <v>94</v>
      </c>
      <c r="X254" s="90" t="s">
        <v>101</v>
      </c>
      <c r="Y254" s="90" t="s">
        <v>5268</v>
      </c>
      <c r="Z254" s="90"/>
      <c r="AA254" s="93">
        <v>53.097345132743399</v>
      </c>
      <c r="AB254" s="93">
        <v>53.097345132743399</v>
      </c>
      <c r="AC254" s="93">
        <v>13</v>
      </c>
      <c r="AD254" s="93">
        <v>6.9026548672566301</v>
      </c>
      <c r="AE254" s="90"/>
      <c r="AF254" s="90"/>
      <c r="AG254" s="90"/>
      <c r="AH254" s="90"/>
      <c r="AI254" s="93">
        <v>0</v>
      </c>
      <c r="AJ254" s="93">
        <v>7.5</v>
      </c>
      <c r="AK254" s="93">
        <v>13</v>
      </c>
      <c r="AL254" s="93">
        <v>53.097344</v>
      </c>
      <c r="AM254" s="93">
        <v>6.9026560000000003</v>
      </c>
      <c r="AN254" s="93">
        <v>60</v>
      </c>
      <c r="AO254" s="93">
        <v>1.1327433711016999E-6</v>
      </c>
      <c r="AP254" s="90" t="s">
        <v>94</v>
      </c>
      <c r="AQ254" s="90" t="s">
        <v>5239</v>
      </c>
      <c r="AR254" s="90"/>
      <c r="AS254" s="90"/>
      <c r="AT254" s="90"/>
      <c r="AU254" s="90"/>
      <c r="AV254" s="90"/>
      <c r="AW254" s="90"/>
      <c r="AX254" s="90"/>
      <c r="AY254" s="90" t="s">
        <v>5230</v>
      </c>
      <c r="AZ254" s="90"/>
      <c r="BA254" s="90" t="s">
        <v>5268</v>
      </c>
      <c r="BB254" s="91">
        <v>45902.4897569444</v>
      </c>
      <c r="BC254" s="90" t="s">
        <v>402</v>
      </c>
      <c r="BD254" s="90"/>
      <c r="BE254" s="90"/>
      <c r="BF254" s="90" t="s">
        <v>5269</v>
      </c>
    </row>
    <row r="255" spans="1:58" ht="24.75" customHeight="1">
      <c r="A255" s="90" t="s">
        <v>5247</v>
      </c>
      <c r="B255" s="90"/>
      <c r="C255" s="90"/>
      <c r="D255" s="91">
        <v>45929.441157407397</v>
      </c>
      <c r="E255" s="90" t="s">
        <v>5222</v>
      </c>
      <c r="F255" s="92"/>
      <c r="G255" s="90" t="s">
        <v>5528</v>
      </c>
      <c r="H255" s="90" t="s">
        <v>5521</v>
      </c>
      <c r="I255" s="90" t="s">
        <v>5522</v>
      </c>
      <c r="J255" s="90"/>
      <c r="K255" s="93">
        <v>2</v>
      </c>
      <c r="L255" s="93">
        <v>2</v>
      </c>
      <c r="M255" s="93">
        <v>4</v>
      </c>
      <c r="N255" s="93">
        <v>4</v>
      </c>
      <c r="O255" s="90" t="s">
        <v>5226</v>
      </c>
      <c r="P255" s="90"/>
      <c r="Q255" s="90" t="s">
        <v>5227</v>
      </c>
      <c r="R255" s="90"/>
      <c r="S255" s="90"/>
      <c r="T255" s="90"/>
      <c r="U255" s="90"/>
      <c r="V255" s="90" t="s">
        <v>5252</v>
      </c>
      <c r="W255" s="90" t="s">
        <v>94</v>
      </c>
      <c r="X255" s="90" t="s">
        <v>101</v>
      </c>
      <c r="Y255" s="90" t="s">
        <v>5268</v>
      </c>
      <c r="Z255" s="90"/>
      <c r="AA255" s="93">
        <v>3.5398230088495599</v>
      </c>
      <c r="AB255" s="93">
        <v>3.5398230088495599</v>
      </c>
      <c r="AC255" s="93">
        <v>13</v>
      </c>
      <c r="AD255" s="93">
        <v>0.46017699115044203</v>
      </c>
      <c r="AE255" s="90"/>
      <c r="AF255" s="90"/>
      <c r="AG255" s="90"/>
      <c r="AH255" s="90"/>
      <c r="AI255" s="93">
        <v>0</v>
      </c>
      <c r="AJ255" s="93">
        <v>2</v>
      </c>
      <c r="AK255" s="93">
        <v>13</v>
      </c>
      <c r="AL255" s="93">
        <v>3.5398239999999999</v>
      </c>
      <c r="AM255" s="93">
        <v>0.46017599999999997</v>
      </c>
      <c r="AN255" s="93">
        <v>4</v>
      </c>
      <c r="AO255" s="93">
        <v>-9.911504421644679E-7</v>
      </c>
      <c r="AP255" s="90" t="s">
        <v>94</v>
      </c>
      <c r="AQ255" s="90" t="s">
        <v>5239</v>
      </c>
      <c r="AR255" s="90"/>
      <c r="AS255" s="90"/>
      <c r="AT255" s="90"/>
      <c r="AU255" s="90"/>
      <c r="AV255" s="90"/>
      <c r="AW255" s="90"/>
      <c r="AX255" s="90"/>
      <c r="AY255" s="90" t="s">
        <v>5230</v>
      </c>
      <c r="AZ255" s="90"/>
      <c r="BA255" s="90" t="s">
        <v>5268</v>
      </c>
      <c r="BB255" s="91">
        <v>45873.434953703698</v>
      </c>
      <c r="BC255" s="90" t="s">
        <v>402</v>
      </c>
      <c r="BD255" s="90"/>
      <c r="BE255" s="90"/>
      <c r="BF255" s="90" t="s">
        <v>5269</v>
      </c>
    </row>
    <row r="256" spans="1:58" ht="24.75" customHeight="1">
      <c r="A256" s="90" t="s">
        <v>5247</v>
      </c>
      <c r="B256" s="90"/>
      <c r="C256" s="90"/>
      <c r="D256" s="91">
        <v>45929.441157407397</v>
      </c>
      <c r="E256" s="90" t="s">
        <v>5222</v>
      </c>
      <c r="F256" s="92"/>
      <c r="G256" s="90" t="s">
        <v>5528</v>
      </c>
      <c r="H256" s="90" t="s">
        <v>5515</v>
      </c>
      <c r="I256" s="90" t="s">
        <v>5516</v>
      </c>
      <c r="J256" s="90" t="s">
        <v>5513</v>
      </c>
      <c r="K256" s="93">
        <v>7</v>
      </c>
      <c r="L256" s="93">
        <v>3</v>
      </c>
      <c r="M256" s="93">
        <v>21</v>
      </c>
      <c r="N256" s="93">
        <v>21</v>
      </c>
      <c r="O256" s="90" t="s">
        <v>5226</v>
      </c>
      <c r="P256" s="90"/>
      <c r="Q256" s="90" t="s">
        <v>5227</v>
      </c>
      <c r="R256" s="90"/>
      <c r="S256" s="90"/>
      <c r="T256" s="90"/>
      <c r="U256" s="90"/>
      <c r="V256" s="90" t="s">
        <v>5385</v>
      </c>
      <c r="W256" s="90" t="s">
        <v>94</v>
      </c>
      <c r="X256" s="90" t="s">
        <v>101</v>
      </c>
      <c r="Y256" s="90" t="s">
        <v>5268</v>
      </c>
      <c r="Z256" s="90"/>
      <c r="AA256" s="93">
        <v>18.5840707964602</v>
      </c>
      <c r="AB256" s="93">
        <v>18.5840707964602</v>
      </c>
      <c r="AC256" s="93">
        <v>13</v>
      </c>
      <c r="AD256" s="93">
        <v>2.4159292035398199</v>
      </c>
      <c r="AE256" s="90"/>
      <c r="AF256" s="90"/>
      <c r="AG256" s="90"/>
      <c r="AH256" s="90"/>
      <c r="AI256" s="93">
        <v>0</v>
      </c>
      <c r="AJ256" s="93">
        <v>3</v>
      </c>
      <c r="AK256" s="93">
        <v>13</v>
      </c>
      <c r="AL256" s="93">
        <v>18.584069</v>
      </c>
      <c r="AM256" s="93">
        <v>2.4159310000000001</v>
      </c>
      <c r="AN256" s="93">
        <v>21</v>
      </c>
      <c r="AO256" s="93">
        <v>1.79646017883783E-6</v>
      </c>
      <c r="AP256" s="90" t="s">
        <v>94</v>
      </c>
      <c r="AQ256" s="90" t="s">
        <v>5239</v>
      </c>
      <c r="AR256" s="90"/>
      <c r="AS256" s="90"/>
      <c r="AT256" s="90"/>
      <c r="AU256" s="90"/>
      <c r="AV256" s="90"/>
      <c r="AW256" s="90"/>
      <c r="AX256" s="90"/>
      <c r="AY256" s="90" t="s">
        <v>5230</v>
      </c>
      <c r="AZ256" s="90"/>
      <c r="BA256" s="90" t="s">
        <v>5268</v>
      </c>
      <c r="BB256" s="91">
        <v>45842.476851851898</v>
      </c>
      <c r="BC256" s="90" t="s">
        <v>402</v>
      </c>
      <c r="BD256" s="90"/>
      <c r="BE256" s="90"/>
      <c r="BF256" s="90" t="s">
        <v>5269</v>
      </c>
    </row>
    <row r="257" spans="1:58" ht="24.75" customHeight="1">
      <c r="A257" s="90" t="s">
        <v>5247</v>
      </c>
      <c r="B257" s="90"/>
      <c r="C257" s="90"/>
      <c r="D257" s="91">
        <v>45929.441354166702</v>
      </c>
      <c r="E257" s="90" t="s">
        <v>5222</v>
      </c>
      <c r="F257" s="92"/>
      <c r="G257" s="90" t="s">
        <v>5532</v>
      </c>
      <c r="H257" s="90" t="s">
        <v>5529</v>
      </c>
      <c r="I257" s="90" t="s">
        <v>5530</v>
      </c>
      <c r="J257" s="90"/>
      <c r="K257" s="93">
        <v>4</v>
      </c>
      <c r="L257" s="93">
        <v>5.5</v>
      </c>
      <c r="M257" s="93">
        <v>22</v>
      </c>
      <c r="N257" s="93">
        <v>22</v>
      </c>
      <c r="O257" s="90" t="s">
        <v>5226</v>
      </c>
      <c r="P257" s="90"/>
      <c r="Q257" s="90" t="s">
        <v>5227</v>
      </c>
      <c r="R257" s="90"/>
      <c r="S257" s="90"/>
      <c r="T257" s="90"/>
      <c r="U257" s="90"/>
      <c r="V257" s="90" t="s">
        <v>5531</v>
      </c>
      <c r="W257" s="90" t="s">
        <v>94</v>
      </c>
      <c r="X257" s="90" t="s">
        <v>101</v>
      </c>
      <c r="Y257" s="90" t="s">
        <v>5268</v>
      </c>
      <c r="Z257" s="90"/>
      <c r="AA257" s="93">
        <v>19.469026548672598</v>
      </c>
      <c r="AB257" s="93">
        <v>19.469026548672598</v>
      </c>
      <c r="AC257" s="93">
        <v>13</v>
      </c>
      <c r="AD257" s="93">
        <v>2.53097345132743</v>
      </c>
      <c r="AE257" s="90"/>
      <c r="AF257" s="90"/>
      <c r="AG257" s="90"/>
      <c r="AH257" s="90"/>
      <c r="AI257" s="93">
        <v>0</v>
      </c>
      <c r="AJ257" s="93">
        <v>5.5</v>
      </c>
      <c r="AK257" s="93">
        <v>13</v>
      </c>
      <c r="AL257" s="93">
        <v>19.469028000000002</v>
      </c>
      <c r="AM257" s="93">
        <v>2.5309720000000002</v>
      </c>
      <c r="AN257" s="93">
        <v>22</v>
      </c>
      <c r="AO257" s="93">
        <v>-1.4513274351202201E-6</v>
      </c>
      <c r="AP257" s="90" t="s">
        <v>94</v>
      </c>
      <c r="AQ257" s="90" t="s">
        <v>498</v>
      </c>
      <c r="AR257" s="90"/>
      <c r="AS257" s="90"/>
      <c r="AT257" s="90"/>
      <c r="AU257" s="90"/>
      <c r="AV257" s="90"/>
      <c r="AW257" s="90"/>
      <c r="AX257" s="90"/>
      <c r="AY257" s="90" t="s">
        <v>5230</v>
      </c>
      <c r="AZ257" s="90"/>
      <c r="BA257" s="90" t="s">
        <v>5268</v>
      </c>
      <c r="BB257" s="91">
        <v>45873.434953703698</v>
      </c>
      <c r="BC257" s="90" t="s">
        <v>402</v>
      </c>
      <c r="BD257" s="90"/>
      <c r="BE257" s="90"/>
      <c r="BF257" s="90" t="s">
        <v>5269</v>
      </c>
    </row>
    <row r="258" spans="1:58" ht="24.75" customHeight="1">
      <c r="A258" s="90" t="s">
        <v>5247</v>
      </c>
      <c r="B258" s="90"/>
      <c r="C258" s="90"/>
      <c r="D258" s="91">
        <v>45929.442453703698</v>
      </c>
      <c r="E258" s="90" t="s">
        <v>5222</v>
      </c>
      <c r="F258" s="92"/>
      <c r="G258" s="90" t="s">
        <v>5533</v>
      </c>
      <c r="H258" s="90" t="s">
        <v>5524</v>
      </c>
      <c r="I258" s="90" t="s">
        <v>5525</v>
      </c>
      <c r="J258" s="90" t="s">
        <v>5377</v>
      </c>
      <c r="K258" s="93">
        <v>4</v>
      </c>
      <c r="L258" s="93">
        <v>4</v>
      </c>
      <c r="M258" s="93">
        <v>16</v>
      </c>
      <c r="N258" s="93">
        <v>16</v>
      </c>
      <c r="O258" s="90" t="s">
        <v>5226</v>
      </c>
      <c r="P258" s="90"/>
      <c r="Q258" s="90" t="s">
        <v>5227</v>
      </c>
      <c r="R258" s="90"/>
      <c r="S258" s="90"/>
      <c r="T258" s="90"/>
      <c r="U258" s="90"/>
      <c r="V258" s="90" t="s">
        <v>5385</v>
      </c>
      <c r="W258" s="90" t="s">
        <v>94</v>
      </c>
      <c r="X258" s="90" t="s">
        <v>136</v>
      </c>
      <c r="Y258" s="90" t="s">
        <v>5480</v>
      </c>
      <c r="Z258" s="90"/>
      <c r="AA258" s="93">
        <v>16</v>
      </c>
      <c r="AB258" s="93">
        <v>16</v>
      </c>
      <c r="AC258" s="93">
        <v>0</v>
      </c>
      <c r="AD258" s="93">
        <v>0</v>
      </c>
      <c r="AE258" s="90"/>
      <c r="AF258" s="90"/>
      <c r="AG258" s="90"/>
      <c r="AH258" s="90"/>
      <c r="AI258" s="93">
        <v>0</v>
      </c>
      <c r="AJ258" s="93">
        <v>4</v>
      </c>
      <c r="AK258" s="93">
        <v>0</v>
      </c>
      <c r="AL258" s="93">
        <v>16</v>
      </c>
      <c r="AM258" s="93">
        <v>0</v>
      </c>
      <c r="AN258" s="93">
        <v>16</v>
      </c>
      <c r="AO258" s="93">
        <v>0</v>
      </c>
      <c r="AP258" s="90" t="s">
        <v>94</v>
      </c>
      <c r="AQ258" s="90" t="s">
        <v>5239</v>
      </c>
      <c r="AR258" s="90"/>
      <c r="AS258" s="90"/>
      <c r="AT258" s="90"/>
      <c r="AU258" s="90"/>
      <c r="AV258" s="90"/>
      <c r="AW258" s="90"/>
      <c r="AX258" s="90"/>
      <c r="AY258" s="90" t="s">
        <v>5230</v>
      </c>
      <c r="AZ258" s="90"/>
      <c r="BA258" s="90" t="s">
        <v>5480</v>
      </c>
      <c r="BB258" s="91">
        <v>45910.458483796298</v>
      </c>
      <c r="BC258" s="90" t="s">
        <v>404</v>
      </c>
      <c r="BD258" s="90"/>
      <c r="BE258" s="90"/>
      <c r="BF258" s="90" t="s">
        <v>5481</v>
      </c>
    </row>
    <row r="259" spans="1:58" ht="24.75" customHeight="1">
      <c r="A259" s="90" t="s">
        <v>5247</v>
      </c>
      <c r="B259" s="90"/>
      <c r="C259" s="90"/>
      <c r="D259" s="91">
        <v>45929.444027777798</v>
      </c>
      <c r="E259" s="90" t="s">
        <v>5222</v>
      </c>
      <c r="F259" s="92"/>
      <c r="G259" s="90" t="s">
        <v>5534</v>
      </c>
      <c r="H259" s="90" t="s">
        <v>5324</v>
      </c>
      <c r="I259" s="90" t="s">
        <v>5325</v>
      </c>
      <c r="J259" s="90" t="s">
        <v>5326</v>
      </c>
      <c r="K259" s="93">
        <v>0.6</v>
      </c>
      <c r="L259" s="93">
        <v>28</v>
      </c>
      <c r="M259" s="93">
        <v>16.8</v>
      </c>
      <c r="N259" s="93">
        <v>16.8</v>
      </c>
      <c r="O259" s="90" t="s">
        <v>5226</v>
      </c>
      <c r="P259" s="90"/>
      <c r="Q259" s="90" t="s">
        <v>5227</v>
      </c>
      <c r="R259" s="90"/>
      <c r="S259" s="90"/>
      <c r="T259" s="90"/>
      <c r="U259" s="90"/>
      <c r="V259" s="90" t="s">
        <v>5252</v>
      </c>
      <c r="W259" s="90" t="s">
        <v>94</v>
      </c>
      <c r="X259" s="90" t="s">
        <v>5535</v>
      </c>
      <c r="Y259" s="90" t="s">
        <v>5536</v>
      </c>
      <c r="Z259" s="90"/>
      <c r="AA259" s="93">
        <v>14.867256637168101</v>
      </c>
      <c r="AB259" s="93">
        <v>14.867256637168101</v>
      </c>
      <c r="AC259" s="93">
        <v>13</v>
      </c>
      <c r="AD259" s="93">
        <v>1.93274336283186</v>
      </c>
      <c r="AE259" s="90"/>
      <c r="AF259" s="90"/>
      <c r="AG259" s="90"/>
      <c r="AH259" s="90"/>
      <c r="AI259" s="93">
        <v>0</v>
      </c>
      <c r="AJ259" s="93">
        <v>28</v>
      </c>
      <c r="AK259" s="93">
        <v>13</v>
      </c>
      <c r="AL259" s="93">
        <v>14.867256599999999</v>
      </c>
      <c r="AM259" s="93">
        <v>1.9327433999999999</v>
      </c>
      <c r="AN259" s="93">
        <v>16.8</v>
      </c>
      <c r="AO259" s="93">
        <v>3.7168144118027197E-8</v>
      </c>
      <c r="AP259" s="90" t="s">
        <v>94</v>
      </c>
      <c r="AQ259" s="90" t="s">
        <v>5239</v>
      </c>
      <c r="AR259" s="90"/>
      <c r="AS259" s="90"/>
      <c r="AT259" s="90"/>
      <c r="AU259" s="90"/>
      <c r="AV259" s="90"/>
      <c r="AW259" s="90"/>
      <c r="AX259" s="90"/>
      <c r="AY259" s="90" t="s">
        <v>5230</v>
      </c>
      <c r="AZ259" s="90"/>
      <c r="BA259" s="90" t="s">
        <v>5536</v>
      </c>
      <c r="BB259" s="91">
        <v>45902.4897569444</v>
      </c>
      <c r="BC259" s="90" t="s">
        <v>402</v>
      </c>
      <c r="BD259" s="90"/>
      <c r="BE259" s="90"/>
      <c r="BF259" s="90" t="s">
        <v>5537</v>
      </c>
    </row>
    <row r="260" spans="1:58" ht="24.75" customHeight="1">
      <c r="A260" s="90" t="s">
        <v>5247</v>
      </c>
      <c r="B260" s="90"/>
      <c r="C260" s="90"/>
      <c r="D260" s="91">
        <v>45929.444027777798</v>
      </c>
      <c r="E260" s="90" t="s">
        <v>5222</v>
      </c>
      <c r="F260" s="92"/>
      <c r="G260" s="90" t="s">
        <v>5534</v>
      </c>
      <c r="H260" s="90" t="s">
        <v>5538</v>
      </c>
      <c r="I260" s="90" t="s">
        <v>5539</v>
      </c>
      <c r="J260" s="90" t="s">
        <v>5267</v>
      </c>
      <c r="K260" s="93">
        <v>320</v>
      </c>
      <c r="L260" s="93">
        <v>0.5</v>
      </c>
      <c r="M260" s="93">
        <v>160</v>
      </c>
      <c r="N260" s="93">
        <v>160</v>
      </c>
      <c r="O260" s="90" t="s">
        <v>5226</v>
      </c>
      <c r="P260" s="90"/>
      <c r="Q260" s="90" t="s">
        <v>5227</v>
      </c>
      <c r="R260" s="90"/>
      <c r="S260" s="90"/>
      <c r="T260" s="90"/>
      <c r="U260" s="90"/>
      <c r="V260" s="90" t="s">
        <v>5540</v>
      </c>
      <c r="W260" s="90" t="s">
        <v>94</v>
      </c>
      <c r="X260" s="90" t="s">
        <v>5535</v>
      </c>
      <c r="Y260" s="90" t="s">
        <v>5536</v>
      </c>
      <c r="Z260" s="90"/>
      <c r="AA260" s="93">
        <v>141.59292035398201</v>
      </c>
      <c r="AB260" s="93">
        <v>141.59292035398201</v>
      </c>
      <c r="AC260" s="93">
        <v>13</v>
      </c>
      <c r="AD260" s="93">
        <v>18.407079646017699</v>
      </c>
      <c r="AE260" s="90"/>
      <c r="AF260" s="90"/>
      <c r="AG260" s="90"/>
      <c r="AH260" s="90"/>
      <c r="AI260" s="93">
        <v>0</v>
      </c>
      <c r="AJ260" s="93">
        <v>0.5</v>
      </c>
      <c r="AK260" s="93">
        <v>13</v>
      </c>
      <c r="AL260" s="93">
        <v>141.59296000000001</v>
      </c>
      <c r="AM260" s="93">
        <v>18.407039999999999</v>
      </c>
      <c r="AN260" s="93">
        <v>160</v>
      </c>
      <c r="AO260" s="93">
        <v>-3.9646017683026002E-5</v>
      </c>
      <c r="AP260" s="90" t="s">
        <v>94</v>
      </c>
      <c r="AQ260" s="90" t="s">
        <v>5541</v>
      </c>
      <c r="AR260" s="90"/>
      <c r="AS260" s="90"/>
      <c r="AT260" s="90"/>
      <c r="AU260" s="90"/>
      <c r="AV260" s="90"/>
      <c r="AW260" s="90"/>
      <c r="AX260" s="90"/>
      <c r="AY260" s="90" t="s">
        <v>5230</v>
      </c>
      <c r="AZ260" s="90"/>
      <c r="BA260" s="90" t="s">
        <v>5536</v>
      </c>
      <c r="BB260" s="91">
        <v>45902.4897569444</v>
      </c>
      <c r="BC260" s="90" t="s">
        <v>402</v>
      </c>
      <c r="BD260" s="90"/>
      <c r="BE260" s="90"/>
      <c r="BF260" s="90" t="s">
        <v>5537</v>
      </c>
    </row>
    <row r="261" spans="1:58" ht="24.75" customHeight="1">
      <c r="A261" s="90" t="s">
        <v>5247</v>
      </c>
      <c r="B261" s="90"/>
      <c r="C261" s="90"/>
      <c r="D261" s="91">
        <v>45929.444027777798</v>
      </c>
      <c r="E261" s="90" t="s">
        <v>5222</v>
      </c>
      <c r="F261" s="92"/>
      <c r="G261" s="90" t="s">
        <v>5534</v>
      </c>
      <c r="H261" s="90" t="s">
        <v>5524</v>
      </c>
      <c r="I261" s="90" t="s">
        <v>5525</v>
      </c>
      <c r="J261" s="90" t="s">
        <v>5377</v>
      </c>
      <c r="K261" s="93">
        <v>5</v>
      </c>
      <c r="L261" s="93">
        <v>4</v>
      </c>
      <c r="M261" s="93">
        <v>20</v>
      </c>
      <c r="N261" s="93">
        <v>20</v>
      </c>
      <c r="O261" s="90" t="s">
        <v>5226</v>
      </c>
      <c r="P261" s="90"/>
      <c r="Q261" s="90" t="s">
        <v>5227</v>
      </c>
      <c r="R261" s="90"/>
      <c r="S261" s="90"/>
      <c r="T261" s="90"/>
      <c r="U261" s="90"/>
      <c r="V261" s="90" t="s">
        <v>5385</v>
      </c>
      <c r="W261" s="90" t="s">
        <v>94</v>
      </c>
      <c r="X261" s="90" t="s">
        <v>5535</v>
      </c>
      <c r="Y261" s="90" t="s">
        <v>5536</v>
      </c>
      <c r="Z261" s="90"/>
      <c r="AA261" s="93">
        <v>20</v>
      </c>
      <c r="AB261" s="93">
        <v>20</v>
      </c>
      <c r="AC261" s="93">
        <v>0</v>
      </c>
      <c r="AD261" s="93">
        <v>0</v>
      </c>
      <c r="AE261" s="90"/>
      <c r="AF261" s="90"/>
      <c r="AG261" s="90"/>
      <c r="AH261" s="90"/>
      <c r="AI261" s="93">
        <v>0</v>
      </c>
      <c r="AJ261" s="93">
        <v>4</v>
      </c>
      <c r="AK261" s="93">
        <v>0</v>
      </c>
      <c r="AL261" s="93">
        <v>20</v>
      </c>
      <c r="AM261" s="93">
        <v>0</v>
      </c>
      <c r="AN261" s="93">
        <v>20</v>
      </c>
      <c r="AO261" s="93">
        <v>0</v>
      </c>
      <c r="AP261" s="90" t="s">
        <v>94</v>
      </c>
      <c r="AQ261" s="90" t="s">
        <v>5239</v>
      </c>
      <c r="AR261" s="90"/>
      <c r="AS261" s="90"/>
      <c r="AT261" s="90"/>
      <c r="AU261" s="90"/>
      <c r="AV261" s="90"/>
      <c r="AW261" s="90"/>
      <c r="AX261" s="90"/>
      <c r="AY261" s="90" t="s">
        <v>5230</v>
      </c>
      <c r="AZ261" s="90"/>
      <c r="BA261" s="90" t="s">
        <v>5536</v>
      </c>
      <c r="BB261" s="91">
        <v>45910.458483796298</v>
      </c>
      <c r="BC261" s="90" t="s">
        <v>404</v>
      </c>
      <c r="BD261" s="90"/>
      <c r="BE261" s="90"/>
      <c r="BF261" s="90" t="s">
        <v>5537</v>
      </c>
    </row>
    <row r="262" spans="1:58" ht="24.75" customHeight="1">
      <c r="A262" s="90" t="s">
        <v>5247</v>
      </c>
      <c r="B262" s="90"/>
      <c r="C262" s="90"/>
      <c r="D262" s="91">
        <v>45929.444027777798</v>
      </c>
      <c r="E262" s="90" t="s">
        <v>5222</v>
      </c>
      <c r="F262" s="92"/>
      <c r="G262" s="90" t="s">
        <v>5534</v>
      </c>
      <c r="H262" s="90" t="s">
        <v>5542</v>
      </c>
      <c r="I262" s="90" t="s">
        <v>5543</v>
      </c>
      <c r="J262" s="90"/>
      <c r="K262" s="93">
        <v>2</v>
      </c>
      <c r="L262" s="93">
        <v>1</v>
      </c>
      <c r="M262" s="93">
        <v>2</v>
      </c>
      <c r="N262" s="93">
        <v>2</v>
      </c>
      <c r="O262" s="90" t="s">
        <v>5226</v>
      </c>
      <c r="P262" s="90"/>
      <c r="Q262" s="90" t="s">
        <v>5227</v>
      </c>
      <c r="R262" s="90"/>
      <c r="S262" s="90"/>
      <c r="T262" s="90"/>
      <c r="U262" s="90"/>
      <c r="V262" s="90" t="s">
        <v>5252</v>
      </c>
      <c r="W262" s="90" t="s">
        <v>94</v>
      </c>
      <c r="X262" s="90" t="s">
        <v>5535</v>
      </c>
      <c r="Y262" s="90" t="s">
        <v>5536</v>
      </c>
      <c r="Z262" s="90"/>
      <c r="AA262" s="93">
        <v>1.76991150442478</v>
      </c>
      <c r="AB262" s="93">
        <v>1.76991150442478</v>
      </c>
      <c r="AC262" s="93">
        <v>13</v>
      </c>
      <c r="AD262" s="93">
        <v>0.23008849557522101</v>
      </c>
      <c r="AE262" s="90"/>
      <c r="AF262" s="90"/>
      <c r="AG262" s="90"/>
      <c r="AH262" s="90"/>
      <c r="AI262" s="93">
        <v>0</v>
      </c>
      <c r="AJ262" s="93">
        <v>1</v>
      </c>
      <c r="AK262" s="93">
        <v>13</v>
      </c>
      <c r="AL262" s="93">
        <v>1.7699119999999999</v>
      </c>
      <c r="AM262" s="93">
        <v>0.23008799999999999</v>
      </c>
      <c r="AN262" s="93">
        <v>2</v>
      </c>
      <c r="AO262" s="93">
        <v>-4.9557522108223395E-7</v>
      </c>
      <c r="AP262" s="90" t="s">
        <v>94</v>
      </c>
      <c r="AQ262" s="90" t="s">
        <v>5239</v>
      </c>
      <c r="AR262" s="90"/>
      <c r="AS262" s="90"/>
      <c r="AT262" s="90"/>
      <c r="AU262" s="90"/>
      <c r="AV262" s="90"/>
      <c r="AW262" s="90"/>
      <c r="AX262" s="90"/>
      <c r="AY262" s="90" t="s">
        <v>5230</v>
      </c>
      <c r="AZ262" s="90"/>
      <c r="BA262" s="90" t="s">
        <v>5536</v>
      </c>
      <c r="BB262" s="91">
        <v>45896.323865740698</v>
      </c>
      <c r="BC262" s="90" t="s">
        <v>402</v>
      </c>
      <c r="BD262" s="90"/>
      <c r="BE262" s="90"/>
      <c r="BF262" s="90" t="s">
        <v>5537</v>
      </c>
    </row>
    <row r="263" spans="1:58" ht="24.75" customHeight="1">
      <c r="A263" s="90" t="s">
        <v>5247</v>
      </c>
      <c r="B263" s="90"/>
      <c r="C263" s="90"/>
      <c r="D263" s="91">
        <v>45929.444027777798</v>
      </c>
      <c r="E263" s="90" t="s">
        <v>5222</v>
      </c>
      <c r="F263" s="92"/>
      <c r="G263" s="90" t="s">
        <v>5534</v>
      </c>
      <c r="H263" s="90" t="s">
        <v>5544</v>
      </c>
      <c r="I263" s="90" t="s">
        <v>5545</v>
      </c>
      <c r="J263" s="90"/>
      <c r="K263" s="93">
        <v>2</v>
      </c>
      <c r="L263" s="93">
        <v>2</v>
      </c>
      <c r="M263" s="93">
        <v>4</v>
      </c>
      <c r="N263" s="93">
        <v>4</v>
      </c>
      <c r="O263" s="90" t="s">
        <v>5226</v>
      </c>
      <c r="P263" s="90"/>
      <c r="Q263" s="90" t="s">
        <v>5227</v>
      </c>
      <c r="R263" s="90"/>
      <c r="S263" s="90"/>
      <c r="T263" s="90"/>
      <c r="U263" s="90"/>
      <c r="V263" s="90" t="s">
        <v>5260</v>
      </c>
      <c r="W263" s="90" t="s">
        <v>94</v>
      </c>
      <c r="X263" s="90" t="s">
        <v>5535</v>
      </c>
      <c r="Y263" s="90" t="s">
        <v>5536</v>
      </c>
      <c r="Z263" s="90"/>
      <c r="AA263" s="93">
        <v>3.5398230088495599</v>
      </c>
      <c r="AB263" s="93">
        <v>3.5398230088495599</v>
      </c>
      <c r="AC263" s="93">
        <v>13</v>
      </c>
      <c r="AD263" s="93">
        <v>0.46017699115044203</v>
      </c>
      <c r="AE263" s="90"/>
      <c r="AF263" s="90"/>
      <c r="AG263" s="90"/>
      <c r="AH263" s="90"/>
      <c r="AI263" s="93">
        <v>0</v>
      </c>
      <c r="AJ263" s="93">
        <v>2</v>
      </c>
      <c r="AK263" s="93">
        <v>13</v>
      </c>
      <c r="AL263" s="93">
        <v>3.5398239999999999</v>
      </c>
      <c r="AM263" s="93">
        <v>0.46017599999999997</v>
      </c>
      <c r="AN263" s="93">
        <v>4</v>
      </c>
      <c r="AO263" s="93">
        <v>-9.911504421644679E-7</v>
      </c>
      <c r="AP263" s="90" t="s">
        <v>94</v>
      </c>
      <c r="AQ263" s="90" t="s">
        <v>5239</v>
      </c>
      <c r="AR263" s="90"/>
      <c r="AS263" s="90"/>
      <c r="AT263" s="90"/>
      <c r="AU263" s="90"/>
      <c r="AV263" s="90"/>
      <c r="AW263" s="90"/>
      <c r="AX263" s="90"/>
      <c r="AY263" s="90" t="s">
        <v>5230</v>
      </c>
      <c r="AZ263" s="90"/>
      <c r="BA263" s="90" t="s">
        <v>5536</v>
      </c>
      <c r="BB263" s="91">
        <v>45672.653680555602</v>
      </c>
      <c r="BC263" s="90" t="s">
        <v>402</v>
      </c>
      <c r="BD263" s="90"/>
      <c r="BE263" s="90"/>
      <c r="BF263" s="90" t="s">
        <v>5537</v>
      </c>
    </row>
    <row r="264" spans="1:58" ht="24.75" customHeight="1">
      <c r="A264" s="90" t="s">
        <v>5247</v>
      </c>
      <c r="B264" s="90"/>
      <c r="C264" s="90"/>
      <c r="D264" s="91">
        <v>45929.444027777798</v>
      </c>
      <c r="E264" s="90" t="s">
        <v>5222</v>
      </c>
      <c r="F264" s="92"/>
      <c r="G264" s="90" t="s">
        <v>5534</v>
      </c>
      <c r="H264" s="90" t="s">
        <v>5546</v>
      </c>
      <c r="I264" s="90" t="s">
        <v>5547</v>
      </c>
      <c r="J264" s="90" t="s">
        <v>5548</v>
      </c>
      <c r="K264" s="93">
        <v>25</v>
      </c>
      <c r="L264" s="93">
        <v>2</v>
      </c>
      <c r="M264" s="93">
        <v>50</v>
      </c>
      <c r="N264" s="93">
        <v>50</v>
      </c>
      <c r="O264" s="90" t="s">
        <v>5226</v>
      </c>
      <c r="P264" s="90"/>
      <c r="Q264" s="90" t="s">
        <v>5227</v>
      </c>
      <c r="R264" s="90"/>
      <c r="S264" s="90"/>
      <c r="T264" s="90"/>
      <c r="U264" s="90"/>
      <c r="V264" s="90" t="s">
        <v>5385</v>
      </c>
      <c r="W264" s="90" t="s">
        <v>94</v>
      </c>
      <c r="X264" s="90" t="s">
        <v>5535</v>
      </c>
      <c r="Y264" s="90" t="s">
        <v>5536</v>
      </c>
      <c r="Z264" s="90"/>
      <c r="AA264" s="93">
        <v>44.247787610619497</v>
      </c>
      <c r="AB264" s="93">
        <v>44.247787610619497</v>
      </c>
      <c r="AC264" s="93">
        <v>13</v>
      </c>
      <c r="AD264" s="93">
        <v>5.7522123893805297</v>
      </c>
      <c r="AE264" s="90"/>
      <c r="AF264" s="90"/>
      <c r="AG264" s="90"/>
      <c r="AH264" s="90"/>
      <c r="AI264" s="93">
        <v>0</v>
      </c>
      <c r="AJ264" s="93">
        <v>2</v>
      </c>
      <c r="AK264" s="93">
        <v>13</v>
      </c>
      <c r="AL264" s="93">
        <v>44.247799999999998</v>
      </c>
      <c r="AM264" s="93">
        <v>5.7522000000000002</v>
      </c>
      <c r="AN264" s="93">
        <v>50</v>
      </c>
      <c r="AO264" s="93">
        <v>-1.23893805223929E-5</v>
      </c>
      <c r="AP264" s="90" t="s">
        <v>94</v>
      </c>
      <c r="AQ264" s="90" t="s">
        <v>5239</v>
      </c>
      <c r="AR264" s="90"/>
      <c r="AS264" s="90"/>
      <c r="AT264" s="90"/>
      <c r="AU264" s="90"/>
      <c r="AV264" s="90"/>
      <c r="AW264" s="90"/>
      <c r="AX264" s="90"/>
      <c r="AY264" s="90" t="s">
        <v>5230</v>
      </c>
      <c r="AZ264" s="90"/>
      <c r="BA264" s="90" t="s">
        <v>5536</v>
      </c>
      <c r="BB264" s="91">
        <v>45902.4897569444</v>
      </c>
      <c r="BC264" s="90" t="s">
        <v>402</v>
      </c>
      <c r="BD264" s="90"/>
      <c r="BE264" s="90"/>
      <c r="BF264" s="90" t="s">
        <v>5537</v>
      </c>
    </row>
    <row r="265" spans="1:58" ht="24.75" customHeight="1">
      <c r="A265" s="90" t="s">
        <v>5247</v>
      </c>
      <c r="B265" s="90"/>
      <c r="C265" s="90"/>
      <c r="D265" s="91">
        <v>45929.442453703698</v>
      </c>
      <c r="E265" s="90" t="s">
        <v>5222</v>
      </c>
      <c r="F265" s="92"/>
      <c r="G265" s="90" t="s">
        <v>5533</v>
      </c>
      <c r="H265" s="90" t="s">
        <v>5546</v>
      </c>
      <c r="I265" s="90" t="s">
        <v>5547</v>
      </c>
      <c r="J265" s="90" t="s">
        <v>5548</v>
      </c>
      <c r="K265" s="93">
        <v>20</v>
      </c>
      <c r="L265" s="93">
        <v>2</v>
      </c>
      <c r="M265" s="93">
        <v>40</v>
      </c>
      <c r="N265" s="93">
        <v>40</v>
      </c>
      <c r="O265" s="90" t="s">
        <v>5226</v>
      </c>
      <c r="P265" s="90"/>
      <c r="Q265" s="90" t="s">
        <v>5227</v>
      </c>
      <c r="R265" s="90"/>
      <c r="S265" s="90"/>
      <c r="T265" s="90"/>
      <c r="U265" s="90"/>
      <c r="V265" s="90" t="s">
        <v>5385</v>
      </c>
      <c r="W265" s="90" t="s">
        <v>94</v>
      </c>
      <c r="X265" s="90" t="s">
        <v>136</v>
      </c>
      <c r="Y265" s="90" t="s">
        <v>5480</v>
      </c>
      <c r="Z265" s="90"/>
      <c r="AA265" s="93">
        <v>35.398230088495602</v>
      </c>
      <c r="AB265" s="93">
        <v>35.398230088495602</v>
      </c>
      <c r="AC265" s="93">
        <v>13</v>
      </c>
      <c r="AD265" s="93">
        <v>4.6017699115044204</v>
      </c>
      <c r="AE265" s="90"/>
      <c r="AF265" s="90"/>
      <c r="AG265" s="90"/>
      <c r="AH265" s="90"/>
      <c r="AI265" s="93">
        <v>0</v>
      </c>
      <c r="AJ265" s="93">
        <v>2</v>
      </c>
      <c r="AK265" s="93">
        <v>13</v>
      </c>
      <c r="AL265" s="93">
        <v>35.398240000000001</v>
      </c>
      <c r="AM265" s="93">
        <v>4.6017599999999996</v>
      </c>
      <c r="AN265" s="93">
        <v>40</v>
      </c>
      <c r="AO265" s="93">
        <v>-9.9115044207565006E-6</v>
      </c>
      <c r="AP265" s="90" t="s">
        <v>94</v>
      </c>
      <c r="AQ265" s="90" t="s">
        <v>5239</v>
      </c>
      <c r="AR265" s="90"/>
      <c r="AS265" s="90"/>
      <c r="AT265" s="90"/>
      <c r="AU265" s="90"/>
      <c r="AV265" s="90"/>
      <c r="AW265" s="90"/>
      <c r="AX265" s="90"/>
      <c r="AY265" s="90" t="s">
        <v>5230</v>
      </c>
      <c r="AZ265" s="90"/>
      <c r="BA265" s="90" t="s">
        <v>5480</v>
      </c>
      <c r="BB265" s="91">
        <v>45902.4897569444</v>
      </c>
      <c r="BC265" s="90" t="s">
        <v>402</v>
      </c>
      <c r="BD265" s="90"/>
      <c r="BE265" s="90"/>
      <c r="BF265" s="90" t="s">
        <v>5481</v>
      </c>
    </row>
    <row r="266" spans="1:58" ht="24.75" customHeight="1">
      <c r="A266" s="90" t="s">
        <v>5247</v>
      </c>
      <c r="B266" s="90"/>
      <c r="C266" s="90"/>
      <c r="D266" s="91">
        <v>45929.442453703698</v>
      </c>
      <c r="E266" s="90" t="s">
        <v>5222</v>
      </c>
      <c r="F266" s="92"/>
      <c r="G266" s="90" t="s">
        <v>5533</v>
      </c>
      <c r="H266" s="90" t="s">
        <v>5324</v>
      </c>
      <c r="I266" s="90" t="s">
        <v>5325</v>
      </c>
      <c r="J266" s="90" t="s">
        <v>5326</v>
      </c>
      <c r="K266" s="93">
        <v>0.4</v>
      </c>
      <c r="L266" s="93">
        <v>28</v>
      </c>
      <c r="M266" s="93">
        <v>11.2</v>
      </c>
      <c r="N266" s="93">
        <v>11.2</v>
      </c>
      <c r="O266" s="90" t="s">
        <v>5226</v>
      </c>
      <c r="P266" s="90"/>
      <c r="Q266" s="90" t="s">
        <v>5227</v>
      </c>
      <c r="R266" s="90"/>
      <c r="S266" s="90"/>
      <c r="T266" s="90"/>
      <c r="U266" s="90"/>
      <c r="V266" s="90" t="s">
        <v>5252</v>
      </c>
      <c r="W266" s="90" t="s">
        <v>94</v>
      </c>
      <c r="X266" s="90" t="s">
        <v>136</v>
      </c>
      <c r="Y266" s="90" t="s">
        <v>5480</v>
      </c>
      <c r="Z266" s="90"/>
      <c r="AA266" s="93">
        <v>9.9115044247787605</v>
      </c>
      <c r="AB266" s="93">
        <v>9.9115044247787605</v>
      </c>
      <c r="AC266" s="93">
        <v>13</v>
      </c>
      <c r="AD266" s="93">
        <v>1.2884955752212399</v>
      </c>
      <c r="AE266" s="90"/>
      <c r="AF266" s="90"/>
      <c r="AG266" s="90"/>
      <c r="AH266" s="90"/>
      <c r="AI266" s="93">
        <v>0</v>
      </c>
      <c r="AJ266" s="93">
        <v>28</v>
      </c>
      <c r="AK266" s="93">
        <v>13</v>
      </c>
      <c r="AL266" s="93">
        <v>9.9115044000000001</v>
      </c>
      <c r="AM266" s="93">
        <v>1.2884956000000001</v>
      </c>
      <c r="AN266" s="93">
        <v>11.2</v>
      </c>
      <c r="AO266" s="93">
        <v>2.4778762153232499E-8</v>
      </c>
      <c r="AP266" s="90" t="s">
        <v>94</v>
      </c>
      <c r="AQ266" s="90" t="s">
        <v>5239</v>
      </c>
      <c r="AR266" s="90"/>
      <c r="AS266" s="90"/>
      <c r="AT266" s="90"/>
      <c r="AU266" s="90"/>
      <c r="AV266" s="90"/>
      <c r="AW266" s="90"/>
      <c r="AX266" s="90"/>
      <c r="AY266" s="90" t="s">
        <v>5230</v>
      </c>
      <c r="AZ266" s="90"/>
      <c r="BA266" s="90" t="s">
        <v>5480</v>
      </c>
      <c r="BB266" s="91">
        <v>45902.4897569444</v>
      </c>
      <c r="BC266" s="90" t="s">
        <v>402</v>
      </c>
      <c r="BD266" s="90"/>
      <c r="BE266" s="90"/>
      <c r="BF266" s="90" t="s">
        <v>5481</v>
      </c>
    </row>
    <row r="267" spans="1:58" ht="24.75" customHeight="1">
      <c r="A267" s="90" t="s">
        <v>5247</v>
      </c>
      <c r="B267" s="90"/>
      <c r="C267" s="90"/>
      <c r="D267" s="91">
        <v>45929.442453703698</v>
      </c>
      <c r="E267" s="90" t="s">
        <v>5222</v>
      </c>
      <c r="F267" s="92"/>
      <c r="G267" s="90" t="s">
        <v>5533</v>
      </c>
      <c r="H267" s="90" t="s">
        <v>5538</v>
      </c>
      <c r="I267" s="90" t="s">
        <v>5539</v>
      </c>
      <c r="J267" s="90" t="s">
        <v>5267</v>
      </c>
      <c r="K267" s="93">
        <v>240</v>
      </c>
      <c r="L267" s="93">
        <v>0.5</v>
      </c>
      <c r="M267" s="93">
        <v>120</v>
      </c>
      <c r="N267" s="93">
        <v>120</v>
      </c>
      <c r="O267" s="90" t="s">
        <v>5226</v>
      </c>
      <c r="P267" s="90"/>
      <c r="Q267" s="90" t="s">
        <v>5227</v>
      </c>
      <c r="R267" s="90"/>
      <c r="S267" s="90"/>
      <c r="T267" s="90"/>
      <c r="U267" s="90"/>
      <c r="V267" s="90" t="s">
        <v>5540</v>
      </c>
      <c r="W267" s="90" t="s">
        <v>94</v>
      </c>
      <c r="X267" s="90" t="s">
        <v>136</v>
      </c>
      <c r="Y267" s="90" t="s">
        <v>5480</v>
      </c>
      <c r="Z267" s="90"/>
      <c r="AA267" s="93">
        <v>106.194690265487</v>
      </c>
      <c r="AB267" s="93">
        <v>106.194690265487</v>
      </c>
      <c r="AC267" s="93">
        <v>13</v>
      </c>
      <c r="AD267" s="93">
        <v>13.805309734513299</v>
      </c>
      <c r="AE267" s="90"/>
      <c r="AF267" s="90"/>
      <c r="AG267" s="90"/>
      <c r="AH267" s="90"/>
      <c r="AI267" s="93">
        <v>0</v>
      </c>
      <c r="AJ267" s="93">
        <v>0.5</v>
      </c>
      <c r="AK267" s="93">
        <v>13</v>
      </c>
      <c r="AL267" s="93">
        <v>106.19472</v>
      </c>
      <c r="AM267" s="93">
        <v>13.80528</v>
      </c>
      <c r="AN267" s="93">
        <v>120</v>
      </c>
      <c r="AO267" s="93">
        <v>-2.97345132480586E-5</v>
      </c>
      <c r="AP267" s="90" t="s">
        <v>94</v>
      </c>
      <c r="AQ267" s="90" t="s">
        <v>5541</v>
      </c>
      <c r="AR267" s="90"/>
      <c r="AS267" s="90"/>
      <c r="AT267" s="90"/>
      <c r="AU267" s="90"/>
      <c r="AV267" s="90"/>
      <c r="AW267" s="90"/>
      <c r="AX267" s="90"/>
      <c r="AY267" s="90" t="s">
        <v>5230</v>
      </c>
      <c r="AZ267" s="90"/>
      <c r="BA267" s="90" t="s">
        <v>5480</v>
      </c>
      <c r="BB267" s="91">
        <v>45873.434953703698</v>
      </c>
      <c r="BC267" s="90" t="s">
        <v>402</v>
      </c>
      <c r="BD267" s="90"/>
      <c r="BE267" s="90"/>
      <c r="BF267" s="90" t="s">
        <v>5481</v>
      </c>
    </row>
    <row r="268" spans="1:58" ht="24.75" customHeight="1">
      <c r="A268" s="90" t="s">
        <v>5247</v>
      </c>
      <c r="B268" s="90"/>
      <c r="C268" s="90"/>
      <c r="D268" s="91">
        <v>45929.442453703698</v>
      </c>
      <c r="E268" s="90" t="s">
        <v>5222</v>
      </c>
      <c r="F268" s="92"/>
      <c r="G268" s="90" t="s">
        <v>5533</v>
      </c>
      <c r="H268" s="90" t="s">
        <v>5508</v>
      </c>
      <c r="I268" s="90" t="s">
        <v>5509</v>
      </c>
      <c r="J268" s="90"/>
      <c r="K268" s="93">
        <v>1</v>
      </c>
      <c r="L268" s="93">
        <v>1</v>
      </c>
      <c r="M268" s="93">
        <v>1</v>
      </c>
      <c r="N268" s="93">
        <v>1</v>
      </c>
      <c r="O268" s="90" t="s">
        <v>5226</v>
      </c>
      <c r="P268" s="90"/>
      <c r="Q268" s="90" t="s">
        <v>5227</v>
      </c>
      <c r="R268" s="90"/>
      <c r="S268" s="90"/>
      <c r="T268" s="90"/>
      <c r="U268" s="90"/>
      <c r="V268" s="90" t="s">
        <v>5510</v>
      </c>
      <c r="W268" s="90" t="s">
        <v>94</v>
      </c>
      <c r="X268" s="90" t="s">
        <v>136</v>
      </c>
      <c r="Y268" s="90" t="s">
        <v>5480</v>
      </c>
      <c r="Z268" s="90"/>
      <c r="AA268" s="93">
        <v>0.88495575221238898</v>
      </c>
      <c r="AB268" s="93">
        <v>0.88495575221238898</v>
      </c>
      <c r="AC268" s="93">
        <v>13</v>
      </c>
      <c r="AD268" s="93">
        <v>0.11504424778761101</v>
      </c>
      <c r="AE268" s="90"/>
      <c r="AF268" s="90"/>
      <c r="AG268" s="90"/>
      <c r="AH268" s="90"/>
      <c r="AI268" s="93">
        <v>0</v>
      </c>
      <c r="AJ268" s="93">
        <v>1</v>
      </c>
      <c r="AK268" s="93">
        <v>13</v>
      </c>
      <c r="AL268" s="93">
        <v>0.88495599999999996</v>
      </c>
      <c r="AM268" s="93">
        <v>0.11504399999999999</v>
      </c>
      <c r="AN268" s="93">
        <v>1</v>
      </c>
      <c r="AO268" s="93">
        <v>-2.4778761054111698E-7</v>
      </c>
      <c r="AP268" s="90" t="s">
        <v>94</v>
      </c>
      <c r="AQ268" s="90" t="s">
        <v>5239</v>
      </c>
      <c r="AR268" s="90"/>
      <c r="AS268" s="90"/>
      <c r="AT268" s="90"/>
      <c r="AU268" s="90"/>
      <c r="AV268" s="90"/>
      <c r="AW268" s="90"/>
      <c r="AX268" s="90"/>
      <c r="AY268" s="90" t="s">
        <v>5230</v>
      </c>
      <c r="AZ268" s="90"/>
      <c r="BA268" s="90" t="s">
        <v>5480</v>
      </c>
      <c r="BB268" s="91">
        <v>45902.4897569444</v>
      </c>
      <c r="BC268" s="90" t="s">
        <v>402</v>
      </c>
      <c r="BD268" s="90"/>
      <c r="BE268" s="90"/>
      <c r="BF268" s="90" t="s">
        <v>5481</v>
      </c>
    </row>
    <row r="269" spans="1:58" ht="24.75" customHeight="1">
      <c r="A269" s="90" t="s">
        <v>5247</v>
      </c>
      <c r="B269" s="90"/>
      <c r="C269" s="90"/>
      <c r="D269" s="91">
        <v>45929.442453703698</v>
      </c>
      <c r="E269" s="90" t="s">
        <v>5222</v>
      </c>
      <c r="F269" s="92"/>
      <c r="G269" s="90" t="s">
        <v>5533</v>
      </c>
      <c r="H269" s="90" t="s">
        <v>5549</v>
      </c>
      <c r="I269" s="90" t="s">
        <v>5550</v>
      </c>
      <c r="J269" s="90"/>
      <c r="K269" s="93">
        <v>1</v>
      </c>
      <c r="L269" s="93">
        <v>3</v>
      </c>
      <c r="M269" s="93">
        <v>3</v>
      </c>
      <c r="N269" s="93">
        <v>3</v>
      </c>
      <c r="O269" s="90" t="s">
        <v>5226</v>
      </c>
      <c r="P269" s="90"/>
      <c r="Q269" s="90" t="s">
        <v>5227</v>
      </c>
      <c r="R269" s="90"/>
      <c r="S269" s="90"/>
      <c r="T269" s="90"/>
      <c r="U269" s="90"/>
      <c r="V269" s="90" t="s">
        <v>5385</v>
      </c>
      <c r="W269" s="90" t="s">
        <v>94</v>
      </c>
      <c r="X269" s="90" t="s">
        <v>136</v>
      </c>
      <c r="Y269" s="90" t="s">
        <v>5480</v>
      </c>
      <c r="Z269" s="90"/>
      <c r="AA269" s="93">
        <v>2.65486725663717</v>
      </c>
      <c r="AB269" s="93">
        <v>2.65486725663717</v>
      </c>
      <c r="AC269" s="93">
        <v>13</v>
      </c>
      <c r="AD269" s="93">
        <v>0.34513274336283201</v>
      </c>
      <c r="AE269" s="90"/>
      <c r="AF269" s="90"/>
      <c r="AG269" s="90"/>
      <c r="AH269" s="90"/>
      <c r="AI269" s="93">
        <v>0</v>
      </c>
      <c r="AJ269" s="93">
        <v>3</v>
      </c>
      <c r="AK269" s="93">
        <v>13</v>
      </c>
      <c r="AL269" s="93">
        <v>2.6548669999999999</v>
      </c>
      <c r="AM269" s="93">
        <v>0.34513300000000002</v>
      </c>
      <c r="AN269" s="93">
        <v>3</v>
      </c>
      <c r="AO269" s="93">
        <v>2.56637168405405E-7</v>
      </c>
      <c r="AP269" s="90" t="s">
        <v>94</v>
      </c>
      <c r="AQ269" s="90" t="s">
        <v>5239</v>
      </c>
      <c r="AR269" s="90"/>
      <c r="AS269" s="90"/>
      <c r="AT269" s="90"/>
      <c r="AU269" s="90"/>
      <c r="AV269" s="90"/>
      <c r="AW269" s="90"/>
      <c r="AX269" s="90"/>
      <c r="AY269" s="90" t="s">
        <v>5230</v>
      </c>
      <c r="AZ269" s="90"/>
      <c r="BA269" s="90" t="s">
        <v>5480</v>
      </c>
      <c r="BB269" s="91">
        <v>45781.5081712963</v>
      </c>
      <c r="BC269" s="90" t="s">
        <v>402</v>
      </c>
      <c r="BD269" s="90"/>
      <c r="BE269" s="90"/>
      <c r="BF269" s="90" t="s">
        <v>5481</v>
      </c>
    </row>
    <row r="270" spans="1:58" ht="24.75" customHeight="1">
      <c r="A270" s="90" t="s">
        <v>5247</v>
      </c>
      <c r="B270" s="90"/>
      <c r="C270" s="90"/>
      <c r="D270" s="91">
        <v>45929.443124999998</v>
      </c>
      <c r="E270" s="90" t="s">
        <v>5222</v>
      </c>
      <c r="F270" s="92"/>
      <c r="G270" s="90" t="s">
        <v>5551</v>
      </c>
      <c r="H270" s="90" t="s">
        <v>5524</v>
      </c>
      <c r="I270" s="90" t="s">
        <v>5525</v>
      </c>
      <c r="J270" s="90" t="s">
        <v>5377</v>
      </c>
      <c r="K270" s="93">
        <v>3</v>
      </c>
      <c r="L270" s="93">
        <v>4</v>
      </c>
      <c r="M270" s="93">
        <v>12</v>
      </c>
      <c r="N270" s="93">
        <v>12</v>
      </c>
      <c r="O270" s="90" t="s">
        <v>5226</v>
      </c>
      <c r="P270" s="90"/>
      <c r="Q270" s="90" t="s">
        <v>5227</v>
      </c>
      <c r="R270" s="90"/>
      <c r="S270" s="90"/>
      <c r="T270" s="90"/>
      <c r="U270" s="90"/>
      <c r="V270" s="90" t="s">
        <v>5385</v>
      </c>
      <c r="W270" s="90" t="s">
        <v>94</v>
      </c>
      <c r="X270" s="90" t="s">
        <v>129</v>
      </c>
      <c r="Y270" s="90" t="s">
        <v>5552</v>
      </c>
      <c r="Z270" s="90"/>
      <c r="AA270" s="93">
        <v>12</v>
      </c>
      <c r="AB270" s="93">
        <v>12</v>
      </c>
      <c r="AC270" s="93">
        <v>0</v>
      </c>
      <c r="AD270" s="93">
        <v>0</v>
      </c>
      <c r="AE270" s="90"/>
      <c r="AF270" s="90"/>
      <c r="AG270" s="90"/>
      <c r="AH270" s="90"/>
      <c r="AI270" s="93">
        <v>0</v>
      </c>
      <c r="AJ270" s="93">
        <v>4</v>
      </c>
      <c r="AK270" s="93">
        <v>0</v>
      </c>
      <c r="AL270" s="93">
        <v>12</v>
      </c>
      <c r="AM270" s="93">
        <v>0</v>
      </c>
      <c r="AN270" s="93">
        <v>12</v>
      </c>
      <c r="AO270" s="93">
        <v>0</v>
      </c>
      <c r="AP270" s="90" t="s">
        <v>94</v>
      </c>
      <c r="AQ270" s="90" t="s">
        <v>5239</v>
      </c>
      <c r="AR270" s="90"/>
      <c r="AS270" s="90"/>
      <c r="AT270" s="90"/>
      <c r="AU270" s="90"/>
      <c r="AV270" s="90"/>
      <c r="AW270" s="90"/>
      <c r="AX270" s="90"/>
      <c r="AY270" s="90" t="s">
        <v>5230</v>
      </c>
      <c r="AZ270" s="90"/>
      <c r="BA270" s="90" t="s">
        <v>5552</v>
      </c>
      <c r="BB270" s="91">
        <v>45910.458483796298</v>
      </c>
      <c r="BC270" s="90" t="s">
        <v>404</v>
      </c>
      <c r="BD270" s="90"/>
      <c r="BE270" s="90"/>
      <c r="BF270" s="90" t="s">
        <v>5553</v>
      </c>
    </row>
    <row r="271" spans="1:58" ht="24.75" customHeight="1">
      <c r="A271" s="90" t="s">
        <v>5247</v>
      </c>
      <c r="B271" s="90"/>
      <c r="C271" s="90"/>
      <c r="D271" s="91">
        <v>45929.443124999998</v>
      </c>
      <c r="E271" s="90" t="s">
        <v>5222</v>
      </c>
      <c r="F271" s="92"/>
      <c r="G271" s="90" t="s">
        <v>5551</v>
      </c>
      <c r="H271" s="90" t="s">
        <v>5324</v>
      </c>
      <c r="I271" s="90" t="s">
        <v>5325</v>
      </c>
      <c r="J271" s="90" t="s">
        <v>5326</v>
      </c>
      <c r="K271" s="93">
        <v>0.4</v>
      </c>
      <c r="L271" s="93">
        <v>28</v>
      </c>
      <c r="M271" s="93">
        <v>11.2</v>
      </c>
      <c r="N271" s="93">
        <v>11.2</v>
      </c>
      <c r="O271" s="90" t="s">
        <v>5226</v>
      </c>
      <c r="P271" s="90"/>
      <c r="Q271" s="90" t="s">
        <v>5227</v>
      </c>
      <c r="R271" s="90"/>
      <c r="S271" s="90"/>
      <c r="T271" s="90"/>
      <c r="U271" s="90"/>
      <c r="V271" s="90" t="s">
        <v>5252</v>
      </c>
      <c r="W271" s="90" t="s">
        <v>94</v>
      </c>
      <c r="X271" s="90" t="s">
        <v>129</v>
      </c>
      <c r="Y271" s="90" t="s">
        <v>5552</v>
      </c>
      <c r="Z271" s="90"/>
      <c r="AA271" s="93">
        <v>9.9115044247787605</v>
      </c>
      <c r="AB271" s="93">
        <v>9.9115044247787605</v>
      </c>
      <c r="AC271" s="93">
        <v>13</v>
      </c>
      <c r="AD271" s="93">
        <v>1.2884955752212399</v>
      </c>
      <c r="AE271" s="90"/>
      <c r="AF271" s="90"/>
      <c r="AG271" s="90"/>
      <c r="AH271" s="90"/>
      <c r="AI271" s="93">
        <v>0</v>
      </c>
      <c r="AJ271" s="93">
        <v>28</v>
      </c>
      <c r="AK271" s="93">
        <v>13</v>
      </c>
      <c r="AL271" s="93">
        <v>9.9115044000000001</v>
      </c>
      <c r="AM271" s="93">
        <v>1.2884956000000001</v>
      </c>
      <c r="AN271" s="93">
        <v>11.2</v>
      </c>
      <c r="AO271" s="93">
        <v>2.4778762153232499E-8</v>
      </c>
      <c r="AP271" s="90" t="s">
        <v>94</v>
      </c>
      <c r="AQ271" s="90" t="s">
        <v>5239</v>
      </c>
      <c r="AR271" s="90"/>
      <c r="AS271" s="90"/>
      <c r="AT271" s="90"/>
      <c r="AU271" s="90"/>
      <c r="AV271" s="90"/>
      <c r="AW271" s="90"/>
      <c r="AX271" s="90"/>
      <c r="AY271" s="90" t="s">
        <v>5230</v>
      </c>
      <c r="AZ271" s="90"/>
      <c r="BA271" s="90" t="s">
        <v>5552</v>
      </c>
      <c r="BB271" s="91">
        <v>45902.4897569444</v>
      </c>
      <c r="BC271" s="90" t="s">
        <v>402</v>
      </c>
      <c r="BD271" s="90"/>
      <c r="BE271" s="90"/>
      <c r="BF271" s="90" t="s">
        <v>5553</v>
      </c>
    </row>
    <row r="272" spans="1:58" ht="24.75" customHeight="1">
      <c r="A272" s="90" t="s">
        <v>5247</v>
      </c>
      <c r="B272" s="90"/>
      <c r="C272" s="90"/>
      <c r="D272" s="91">
        <v>45929.443124999998</v>
      </c>
      <c r="E272" s="90" t="s">
        <v>5222</v>
      </c>
      <c r="F272" s="92"/>
      <c r="G272" s="90" t="s">
        <v>5551</v>
      </c>
      <c r="H272" s="90" t="s">
        <v>5546</v>
      </c>
      <c r="I272" s="90" t="s">
        <v>5547</v>
      </c>
      <c r="J272" s="90" t="s">
        <v>5548</v>
      </c>
      <c r="K272" s="93">
        <v>15</v>
      </c>
      <c r="L272" s="93">
        <v>2</v>
      </c>
      <c r="M272" s="93">
        <v>30</v>
      </c>
      <c r="N272" s="93">
        <v>30</v>
      </c>
      <c r="O272" s="90" t="s">
        <v>5226</v>
      </c>
      <c r="P272" s="90"/>
      <c r="Q272" s="90" t="s">
        <v>5227</v>
      </c>
      <c r="R272" s="90"/>
      <c r="S272" s="90"/>
      <c r="T272" s="90"/>
      <c r="U272" s="90"/>
      <c r="V272" s="90" t="s">
        <v>5385</v>
      </c>
      <c r="W272" s="90" t="s">
        <v>94</v>
      </c>
      <c r="X272" s="90" t="s">
        <v>129</v>
      </c>
      <c r="Y272" s="90" t="s">
        <v>5552</v>
      </c>
      <c r="Z272" s="90"/>
      <c r="AA272" s="93">
        <v>26.5486725663717</v>
      </c>
      <c r="AB272" s="93">
        <v>26.5486725663717</v>
      </c>
      <c r="AC272" s="93">
        <v>13</v>
      </c>
      <c r="AD272" s="93">
        <v>3.45132743362832</v>
      </c>
      <c r="AE272" s="90"/>
      <c r="AF272" s="90"/>
      <c r="AG272" s="90"/>
      <c r="AH272" s="90"/>
      <c r="AI272" s="93">
        <v>0</v>
      </c>
      <c r="AJ272" s="93">
        <v>2</v>
      </c>
      <c r="AK272" s="93">
        <v>13</v>
      </c>
      <c r="AL272" s="93">
        <v>26.548680000000001</v>
      </c>
      <c r="AM272" s="93">
        <v>3.4513199999999999</v>
      </c>
      <c r="AN272" s="93">
        <v>30</v>
      </c>
      <c r="AO272" s="93">
        <v>-7.4336283120146601E-6</v>
      </c>
      <c r="AP272" s="90" t="s">
        <v>94</v>
      </c>
      <c r="AQ272" s="90" t="s">
        <v>5239</v>
      </c>
      <c r="AR272" s="90"/>
      <c r="AS272" s="90"/>
      <c r="AT272" s="90"/>
      <c r="AU272" s="90"/>
      <c r="AV272" s="90"/>
      <c r="AW272" s="90"/>
      <c r="AX272" s="90"/>
      <c r="AY272" s="90" t="s">
        <v>5230</v>
      </c>
      <c r="AZ272" s="90"/>
      <c r="BA272" s="90" t="s">
        <v>5552</v>
      </c>
      <c r="BB272" s="91">
        <v>45902.4897569444</v>
      </c>
      <c r="BC272" s="90" t="s">
        <v>402</v>
      </c>
      <c r="BD272" s="90"/>
      <c r="BE272" s="90"/>
      <c r="BF272" s="90" t="s">
        <v>5553</v>
      </c>
    </row>
    <row r="273" spans="1:58" ht="24.75" customHeight="1">
      <c r="A273" s="90" t="s">
        <v>5247</v>
      </c>
      <c r="B273" s="90"/>
      <c r="C273" s="90"/>
      <c r="D273" s="91">
        <v>45929.443124999998</v>
      </c>
      <c r="E273" s="90" t="s">
        <v>5222</v>
      </c>
      <c r="F273" s="92"/>
      <c r="G273" s="90" t="s">
        <v>5551</v>
      </c>
      <c r="H273" s="90" t="s">
        <v>5538</v>
      </c>
      <c r="I273" s="90" t="s">
        <v>5539</v>
      </c>
      <c r="J273" s="90" t="s">
        <v>5267</v>
      </c>
      <c r="K273" s="93">
        <v>100</v>
      </c>
      <c r="L273" s="93">
        <v>0.5</v>
      </c>
      <c r="M273" s="93">
        <v>50</v>
      </c>
      <c r="N273" s="93">
        <v>50</v>
      </c>
      <c r="O273" s="90" t="s">
        <v>5226</v>
      </c>
      <c r="P273" s="90"/>
      <c r="Q273" s="90" t="s">
        <v>5227</v>
      </c>
      <c r="R273" s="90"/>
      <c r="S273" s="90"/>
      <c r="T273" s="90"/>
      <c r="U273" s="90"/>
      <c r="V273" s="90" t="s">
        <v>5540</v>
      </c>
      <c r="W273" s="90" t="s">
        <v>94</v>
      </c>
      <c r="X273" s="90" t="s">
        <v>129</v>
      </c>
      <c r="Y273" s="90" t="s">
        <v>5552</v>
      </c>
      <c r="Z273" s="90"/>
      <c r="AA273" s="93">
        <v>44.247787610619497</v>
      </c>
      <c r="AB273" s="93">
        <v>44.247787610619497</v>
      </c>
      <c r="AC273" s="93">
        <v>13</v>
      </c>
      <c r="AD273" s="93">
        <v>5.7522123893805297</v>
      </c>
      <c r="AE273" s="90"/>
      <c r="AF273" s="90"/>
      <c r="AG273" s="90"/>
      <c r="AH273" s="90"/>
      <c r="AI273" s="93">
        <v>0</v>
      </c>
      <c r="AJ273" s="93">
        <v>0.5</v>
      </c>
      <c r="AK273" s="93">
        <v>13</v>
      </c>
      <c r="AL273" s="93">
        <v>44.247799999999998</v>
      </c>
      <c r="AM273" s="93">
        <v>5.7522000000000002</v>
      </c>
      <c r="AN273" s="93">
        <v>50</v>
      </c>
      <c r="AO273" s="93">
        <v>-1.23893805223929E-5</v>
      </c>
      <c r="AP273" s="90" t="s">
        <v>94</v>
      </c>
      <c r="AQ273" s="90" t="s">
        <v>5541</v>
      </c>
      <c r="AR273" s="90"/>
      <c r="AS273" s="90"/>
      <c r="AT273" s="90"/>
      <c r="AU273" s="90"/>
      <c r="AV273" s="90"/>
      <c r="AW273" s="90"/>
      <c r="AX273" s="90"/>
      <c r="AY273" s="90" t="s">
        <v>5230</v>
      </c>
      <c r="AZ273" s="90"/>
      <c r="BA273" s="90" t="s">
        <v>5552</v>
      </c>
      <c r="BB273" s="91">
        <v>45873.434953703698</v>
      </c>
      <c r="BC273" s="90" t="s">
        <v>402</v>
      </c>
      <c r="BD273" s="90"/>
      <c r="BE273" s="90"/>
      <c r="BF273" s="90" t="s">
        <v>5553</v>
      </c>
    </row>
    <row r="274" spans="1:58" ht="24.75" customHeight="1">
      <c r="A274" s="90" t="s">
        <v>5247</v>
      </c>
      <c r="B274" s="90"/>
      <c r="C274" s="90"/>
      <c r="D274" s="91">
        <v>45929.443124999998</v>
      </c>
      <c r="E274" s="90" t="s">
        <v>5222</v>
      </c>
      <c r="F274" s="92"/>
      <c r="G274" s="90" t="s">
        <v>5551</v>
      </c>
      <c r="H274" s="90" t="s">
        <v>5538</v>
      </c>
      <c r="I274" s="90" t="s">
        <v>5539</v>
      </c>
      <c r="J274" s="90" t="s">
        <v>5267</v>
      </c>
      <c r="K274" s="93">
        <v>40</v>
      </c>
      <c r="L274" s="93">
        <v>0.5</v>
      </c>
      <c r="M274" s="93">
        <v>20</v>
      </c>
      <c r="N274" s="93">
        <v>20</v>
      </c>
      <c r="O274" s="90" t="s">
        <v>5226</v>
      </c>
      <c r="P274" s="90"/>
      <c r="Q274" s="90" t="s">
        <v>5227</v>
      </c>
      <c r="R274" s="90"/>
      <c r="S274" s="90"/>
      <c r="T274" s="90"/>
      <c r="U274" s="90"/>
      <c r="V274" s="90" t="s">
        <v>5540</v>
      </c>
      <c r="W274" s="90" t="s">
        <v>94</v>
      </c>
      <c r="X274" s="90" t="s">
        <v>129</v>
      </c>
      <c r="Y274" s="90" t="s">
        <v>5552</v>
      </c>
      <c r="Z274" s="90"/>
      <c r="AA274" s="93">
        <v>17.699115044247801</v>
      </c>
      <c r="AB274" s="93">
        <v>17.699115044247801</v>
      </c>
      <c r="AC274" s="93">
        <v>13</v>
      </c>
      <c r="AD274" s="93">
        <v>2.3008849557522102</v>
      </c>
      <c r="AE274" s="90"/>
      <c r="AF274" s="90"/>
      <c r="AG274" s="90"/>
      <c r="AH274" s="90"/>
      <c r="AI274" s="93">
        <v>0</v>
      </c>
      <c r="AJ274" s="93">
        <v>0.5</v>
      </c>
      <c r="AK274" s="93">
        <v>13</v>
      </c>
      <c r="AL274" s="93">
        <v>17.699120000000001</v>
      </c>
      <c r="AM274" s="93">
        <v>2.3008799999999998</v>
      </c>
      <c r="AN274" s="93">
        <v>20</v>
      </c>
      <c r="AO274" s="93">
        <v>-4.9557522103782503E-6</v>
      </c>
      <c r="AP274" s="90" t="s">
        <v>94</v>
      </c>
      <c r="AQ274" s="90" t="s">
        <v>5541</v>
      </c>
      <c r="AR274" s="90"/>
      <c r="AS274" s="90"/>
      <c r="AT274" s="90"/>
      <c r="AU274" s="90"/>
      <c r="AV274" s="90"/>
      <c r="AW274" s="90"/>
      <c r="AX274" s="90"/>
      <c r="AY274" s="90" t="s">
        <v>5230</v>
      </c>
      <c r="AZ274" s="90"/>
      <c r="BA274" s="90" t="s">
        <v>5552</v>
      </c>
      <c r="BB274" s="91">
        <v>45902.4897569444</v>
      </c>
      <c r="BC274" s="90" t="s">
        <v>402</v>
      </c>
      <c r="BD274" s="90"/>
      <c r="BE274" s="90"/>
      <c r="BF274" s="90" t="s">
        <v>5553</v>
      </c>
    </row>
    <row r="275" spans="1:58" ht="24.75" customHeight="1">
      <c r="A275" s="90" t="s">
        <v>5247</v>
      </c>
      <c r="B275" s="90"/>
      <c r="C275" s="90"/>
      <c r="D275" s="91">
        <v>45929.444467592599</v>
      </c>
      <c r="E275" s="90" t="s">
        <v>5222</v>
      </c>
      <c r="F275" s="92"/>
      <c r="G275" s="90" t="s">
        <v>5554</v>
      </c>
      <c r="H275" s="90" t="s">
        <v>5524</v>
      </c>
      <c r="I275" s="90" t="s">
        <v>5525</v>
      </c>
      <c r="J275" s="90" t="s">
        <v>5377</v>
      </c>
      <c r="K275" s="93">
        <v>3</v>
      </c>
      <c r="L275" s="93">
        <v>4</v>
      </c>
      <c r="M275" s="93">
        <v>12</v>
      </c>
      <c r="N275" s="93">
        <v>12</v>
      </c>
      <c r="O275" s="90" t="s">
        <v>5226</v>
      </c>
      <c r="P275" s="90"/>
      <c r="Q275" s="90" t="s">
        <v>5227</v>
      </c>
      <c r="R275" s="90"/>
      <c r="S275" s="90"/>
      <c r="T275" s="90"/>
      <c r="U275" s="90"/>
      <c r="V275" s="90" t="s">
        <v>5385</v>
      </c>
      <c r="W275" s="90" t="s">
        <v>94</v>
      </c>
      <c r="X275" s="90" t="s">
        <v>375</v>
      </c>
      <c r="Y275" s="90" t="s">
        <v>5555</v>
      </c>
      <c r="Z275" s="90"/>
      <c r="AA275" s="93">
        <v>12</v>
      </c>
      <c r="AB275" s="93">
        <v>12</v>
      </c>
      <c r="AC275" s="93">
        <v>0</v>
      </c>
      <c r="AD275" s="93">
        <v>0</v>
      </c>
      <c r="AE275" s="90"/>
      <c r="AF275" s="90"/>
      <c r="AG275" s="90"/>
      <c r="AH275" s="90"/>
      <c r="AI275" s="93">
        <v>0</v>
      </c>
      <c r="AJ275" s="93">
        <v>4</v>
      </c>
      <c r="AK275" s="93">
        <v>0</v>
      </c>
      <c r="AL275" s="93">
        <v>12</v>
      </c>
      <c r="AM275" s="93">
        <v>0</v>
      </c>
      <c r="AN275" s="93">
        <v>12</v>
      </c>
      <c r="AO275" s="93">
        <v>0</v>
      </c>
      <c r="AP275" s="90" t="s">
        <v>94</v>
      </c>
      <c r="AQ275" s="90" t="s">
        <v>5239</v>
      </c>
      <c r="AR275" s="90"/>
      <c r="AS275" s="90"/>
      <c r="AT275" s="90"/>
      <c r="AU275" s="90"/>
      <c r="AV275" s="90"/>
      <c r="AW275" s="90"/>
      <c r="AX275" s="90"/>
      <c r="AY275" s="90" t="s">
        <v>5230</v>
      </c>
      <c r="AZ275" s="90"/>
      <c r="BA275" s="90" t="s">
        <v>5555</v>
      </c>
      <c r="BB275" s="91">
        <v>45910.458483796298</v>
      </c>
      <c r="BC275" s="90" t="s">
        <v>404</v>
      </c>
      <c r="BD275" s="90"/>
      <c r="BE275" s="90"/>
      <c r="BF275" s="90" t="s">
        <v>5556</v>
      </c>
    </row>
    <row r="276" spans="1:58" ht="24.75" customHeight="1">
      <c r="A276" s="90" t="s">
        <v>5247</v>
      </c>
      <c r="B276" s="90"/>
      <c r="C276" s="90"/>
      <c r="D276" s="91">
        <v>45929.444467592599</v>
      </c>
      <c r="E276" s="90" t="s">
        <v>5222</v>
      </c>
      <c r="F276" s="92"/>
      <c r="G276" s="90" t="s">
        <v>5554</v>
      </c>
      <c r="H276" s="90" t="s">
        <v>5549</v>
      </c>
      <c r="I276" s="90" t="s">
        <v>5550</v>
      </c>
      <c r="J276" s="90"/>
      <c r="K276" s="93">
        <v>1</v>
      </c>
      <c r="L276" s="93">
        <v>3</v>
      </c>
      <c r="M276" s="93">
        <v>3</v>
      </c>
      <c r="N276" s="93">
        <v>3</v>
      </c>
      <c r="O276" s="90" t="s">
        <v>5226</v>
      </c>
      <c r="P276" s="90"/>
      <c r="Q276" s="90" t="s">
        <v>5227</v>
      </c>
      <c r="R276" s="90"/>
      <c r="S276" s="90"/>
      <c r="T276" s="90"/>
      <c r="U276" s="90"/>
      <c r="V276" s="90" t="s">
        <v>5385</v>
      </c>
      <c r="W276" s="90" t="s">
        <v>94</v>
      </c>
      <c r="X276" s="90" t="s">
        <v>375</v>
      </c>
      <c r="Y276" s="90" t="s">
        <v>5555</v>
      </c>
      <c r="Z276" s="90"/>
      <c r="AA276" s="93">
        <v>2.65486725663717</v>
      </c>
      <c r="AB276" s="93">
        <v>2.65486725663717</v>
      </c>
      <c r="AC276" s="93">
        <v>13</v>
      </c>
      <c r="AD276" s="93">
        <v>0.34513274336283201</v>
      </c>
      <c r="AE276" s="90"/>
      <c r="AF276" s="90"/>
      <c r="AG276" s="90"/>
      <c r="AH276" s="90"/>
      <c r="AI276" s="93">
        <v>0</v>
      </c>
      <c r="AJ276" s="93">
        <v>3</v>
      </c>
      <c r="AK276" s="93">
        <v>13</v>
      </c>
      <c r="AL276" s="93">
        <v>2.6548669999999999</v>
      </c>
      <c r="AM276" s="93">
        <v>0.34513300000000002</v>
      </c>
      <c r="AN276" s="93">
        <v>3</v>
      </c>
      <c r="AO276" s="93">
        <v>2.56637168405405E-7</v>
      </c>
      <c r="AP276" s="90" t="s">
        <v>94</v>
      </c>
      <c r="AQ276" s="90" t="s">
        <v>5239</v>
      </c>
      <c r="AR276" s="90"/>
      <c r="AS276" s="90"/>
      <c r="AT276" s="90"/>
      <c r="AU276" s="90"/>
      <c r="AV276" s="90"/>
      <c r="AW276" s="90"/>
      <c r="AX276" s="90"/>
      <c r="AY276" s="90" t="s">
        <v>5230</v>
      </c>
      <c r="AZ276" s="90"/>
      <c r="BA276" s="90" t="s">
        <v>5555</v>
      </c>
      <c r="BB276" s="91">
        <v>45781.5081712963</v>
      </c>
      <c r="BC276" s="90" t="s">
        <v>402</v>
      </c>
      <c r="BD276" s="90"/>
      <c r="BE276" s="90"/>
      <c r="BF276" s="90" t="s">
        <v>5556</v>
      </c>
    </row>
    <row r="277" spans="1:58" ht="24.75" customHeight="1">
      <c r="A277" s="90" t="s">
        <v>5247</v>
      </c>
      <c r="B277" s="90"/>
      <c r="C277" s="90"/>
      <c r="D277" s="91">
        <v>45929.444467592599</v>
      </c>
      <c r="E277" s="90" t="s">
        <v>5222</v>
      </c>
      <c r="F277" s="92"/>
      <c r="G277" s="90" t="s">
        <v>5554</v>
      </c>
      <c r="H277" s="90" t="s">
        <v>5324</v>
      </c>
      <c r="I277" s="90" t="s">
        <v>5325</v>
      </c>
      <c r="J277" s="90" t="s">
        <v>5326</v>
      </c>
      <c r="K277" s="93">
        <v>0.6</v>
      </c>
      <c r="L277" s="93">
        <v>28</v>
      </c>
      <c r="M277" s="93">
        <v>16.8</v>
      </c>
      <c r="N277" s="93">
        <v>16.8</v>
      </c>
      <c r="O277" s="90" t="s">
        <v>5226</v>
      </c>
      <c r="P277" s="90"/>
      <c r="Q277" s="90" t="s">
        <v>5227</v>
      </c>
      <c r="R277" s="90"/>
      <c r="S277" s="90"/>
      <c r="T277" s="90"/>
      <c r="U277" s="90"/>
      <c r="V277" s="90" t="s">
        <v>5252</v>
      </c>
      <c r="W277" s="90" t="s">
        <v>94</v>
      </c>
      <c r="X277" s="90" t="s">
        <v>375</v>
      </c>
      <c r="Y277" s="90" t="s">
        <v>5555</v>
      </c>
      <c r="Z277" s="90"/>
      <c r="AA277" s="93">
        <v>14.867256637168101</v>
      </c>
      <c r="AB277" s="93">
        <v>14.867256637168101</v>
      </c>
      <c r="AC277" s="93">
        <v>13</v>
      </c>
      <c r="AD277" s="93">
        <v>1.93274336283186</v>
      </c>
      <c r="AE277" s="90"/>
      <c r="AF277" s="90"/>
      <c r="AG277" s="90"/>
      <c r="AH277" s="90"/>
      <c r="AI277" s="93">
        <v>0</v>
      </c>
      <c r="AJ277" s="93">
        <v>28</v>
      </c>
      <c r="AK277" s="93">
        <v>13</v>
      </c>
      <c r="AL277" s="93">
        <v>14.867256599999999</v>
      </c>
      <c r="AM277" s="93">
        <v>1.9327433999999999</v>
      </c>
      <c r="AN277" s="93">
        <v>16.8</v>
      </c>
      <c r="AO277" s="93">
        <v>3.7168144118027197E-8</v>
      </c>
      <c r="AP277" s="90" t="s">
        <v>94</v>
      </c>
      <c r="AQ277" s="90" t="s">
        <v>5239</v>
      </c>
      <c r="AR277" s="90"/>
      <c r="AS277" s="90"/>
      <c r="AT277" s="90"/>
      <c r="AU277" s="90"/>
      <c r="AV277" s="90"/>
      <c r="AW277" s="90"/>
      <c r="AX277" s="90"/>
      <c r="AY277" s="90" t="s">
        <v>5230</v>
      </c>
      <c r="AZ277" s="90"/>
      <c r="BA277" s="90" t="s">
        <v>5555</v>
      </c>
      <c r="BB277" s="91">
        <v>45902.4897569444</v>
      </c>
      <c r="BC277" s="90" t="s">
        <v>402</v>
      </c>
      <c r="BD277" s="90"/>
      <c r="BE277" s="90"/>
      <c r="BF277" s="90" t="s">
        <v>5556</v>
      </c>
    </row>
    <row r="278" spans="1:58" ht="24.75" customHeight="1">
      <c r="A278" s="90" t="s">
        <v>5247</v>
      </c>
      <c r="B278" s="90"/>
      <c r="C278" s="90"/>
      <c r="D278" s="91">
        <v>45929.444467592599</v>
      </c>
      <c r="E278" s="90" t="s">
        <v>5222</v>
      </c>
      <c r="F278" s="92"/>
      <c r="G278" s="90" t="s">
        <v>5554</v>
      </c>
      <c r="H278" s="90" t="s">
        <v>5546</v>
      </c>
      <c r="I278" s="90" t="s">
        <v>5547</v>
      </c>
      <c r="J278" s="90" t="s">
        <v>5548</v>
      </c>
      <c r="K278" s="93">
        <v>20</v>
      </c>
      <c r="L278" s="93">
        <v>2</v>
      </c>
      <c r="M278" s="93">
        <v>40</v>
      </c>
      <c r="N278" s="93">
        <v>40</v>
      </c>
      <c r="O278" s="90" t="s">
        <v>5226</v>
      </c>
      <c r="P278" s="90"/>
      <c r="Q278" s="90" t="s">
        <v>5227</v>
      </c>
      <c r="R278" s="90"/>
      <c r="S278" s="90"/>
      <c r="T278" s="90"/>
      <c r="U278" s="90"/>
      <c r="V278" s="90" t="s">
        <v>5385</v>
      </c>
      <c r="W278" s="90" t="s">
        <v>94</v>
      </c>
      <c r="X278" s="90" t="s">
        <v>375</v>
      </c>
      <c r="Y278" s="90" t="s">
        <v>5555</v>
      </c>
      <c r="Z278" s="90"/>
      <c r="AA278" s="93">
        <v>35.398230088495602</v>
      </c>
      <c r="AB278" s="93">
        <v>35.398230088495602</v>
      </c>
      <c r="AC278" s="93">
        <v>13</v>
      </c>
      <c r="AD278" s="93">
        <v>4.6017699115044204</v>
      </c>
      <c r="AE278" s="90"/>
      <c r="AF278" s="90"/>
      <c r="AG278" s="90"/>
      <c r="AH278" s="90"/>
      <c r="AI278" s="93">
        <v>0</v>
      </c>
      <c r="AJ278" s="93">
        <v>2</v>
      </c>
      <c r="AK278" s="93">
        <v>13</v>
      </c>
      <c r="AL278" s="93">
        <v>35.398240000000001</v>
      </c>
      <c r="AM278" s="93">
        <v>4.6017599999999996</v>
      </c>
      <c r="AN278" s="93">
        <v>40</v>
      </c>
      <c r="AO278" s="93">
        <v>-9.9115044207565006E-6</v>
      </c>
      <c r="AP278" s="90" t="s">
        <v>94</v>
      </c>
      <c r="AQ278" s="90" t="s">
        <v>5239</v>
      </c>
      <c r="AR278" s="90"/>
      <c r="AS278" s="90"/>
      <c r="AT278" s="90"/>
      <c r="AU278" s="90"/>
      <c r="AV278" s="90"/>
      <c r="AW278" s="90"/>
      <c r="AX278" s="90"/>
      <c r="AY278" s="90" t="s">
        <v>5230</v>
      </c>
      <c r="AZ278" s="90"/>
      <c r="BA278" s="90" t="s">
        <v>5555</v>
      </c>
      <c r="BB278" s="91">
        <v>45902.4897569444</v>
      </c>
      <c r="BC278" s="90" t="s">
        <v>402</v>
      </c>
      <c r="BD278" s="90"/>
      <c r="BE278" s="90"/>
      <c r="BF278" s="90" t="s">
        <v>5556</v>
      </c>
    </row>
    <row r="279" spans="1:58" ht="24.75" customHeight="1">
      <c r="A279" s="90" t="s">
        <v>5247</v>
      </c>
      <c r="B279" s="90"/>
      <c r="C279" s="90"/>
      <c r="D279" s="91">
        <v>45929.444467592599</v>
      </c>
      <c r="E279" s="90" t="s">
        <v>5222</v>
      </c>
      <c r="F279" s="92"/>
      <c r="G279" s="90" t="s">
        <v>5554</v>
      </c>
      <c r="H279" s="90" t="s">
        <v>5538</v>
      </c>
      <c r="I279" s="90" t="s">
        <v>5539</v>
      </c>
      <c r="J279" s="90" t="s">
        <v>5267</v>
      </c>
      <c r="K279" s="93">
        <v>240</v>
      </c>
      <c r="L279" s="93">
        <v>0.5</v>
      </c>
      <c r="M279" s="93">
        <v>120</v>
      </c>
      <c r="N279" s="93">
        <v>120</v>
      </c>
      <c r="O279" s="90" t="s">
        <v>5226</v>
      </c>
      <c r="P279" s="90"/>
      <c r="Q279" s="90" t="s">
        <v>5227</v>
      </c>
      <c r="R279" s="90"/>
      <c r="S279" s="90"/>
      <c r="T279" s="90"/>
      <c r="U279" s="90"/>
      <c r="V279" s="90" t="s">
        <v>5540</v>
      </c>
      <c r="W279" s="90" t="s">
        <v>94</v>
      </c>
      <c r="X279" s="90" t="s">
        <v>375</v>
      </c>
      <c r="Y279" s="90" t="s">
        <v>5555</v>
      </c>
      <c r="Z279" s="90"/>
      <c r="AA279" s="93">
        <v>106.194690265487</v>
      </c>
      <c r="AB279" s="93">
        <v>106.194690265487</v>
      </c>
      <c r="AC279" s="93">
        <v>13</v>
      </c>
      <c r="AD279" s="93">
        <v>13.805309734513299</v>
      </c>
      <c r="AE279" s="90"/>
      <c r="AF279" s="90"/>
      <c r="AG279" s="90"/>
      <c r="AH279" s="90"/>
      <c r="AI279" s="93">
        <v>0</v>
      </c>
      <c r="AJ279" s="93">
        <v>0.5</v>
      </c>
      <c r="AK279" s="93">
        <v>13</v>
      </c>
      <c r="AL279" s="93">
        <v>106.19472</v>
      </c>
      <c r="AM279" s="93">
        <v>13.80528</v>
      </c>
      <c r="AN279" s="93">
        <v>120</v>
      </c>
      <c r="AO279" s="93">
        <v>-2.97345132480586E-5</v>
      </c>
      <c r="AP279" s="90" t="s">
        <v>94</v>
      </c>
      <c r="AQ279" s="90" t="s">
        <v>5541</v>
      </c>
      <c r="AR279" s="90"/>
      <c r="AS279" s="90"/>
      <c r="AT279" s="90"/>
      <c r="AU279" s="90"/>
      <c r="AV279" s="90"/>
      <c r="AW279" s="90"/>
      <c r="AX279" s="90"/>
      <c r="AY279" s="90" t="s">
        <v>5230</v>
      </c>
      <c r="AZ279" s="90"/>
      <c r="BA279" s="90" t="s">
        <v>5555</v>
      </c>
      <c r="BB279" s="91">
        <v>45902.4897569444</v>
      </c>
      <c r="BC279" s="90" t="s">
        <v>402</v>
      </c>
      <c r="BD279" s="90"/>
      <c r="BE279" s="90"/>
      <c r="BF279" s="90" t="s">
        <v>5556</v>
      </c>
    </row>
    <row r="280" spans="1:58" ht="24.75" customHeight="1">
      <c r="A280" s="90" t="s">
        <v>5247</v>
      </c>
      <c r="B280" s="90"/>
      <c r="C280" s="90"/>
      <c r="D280" s="91">
        <v>45929.445243055598</v>
      </c>
      <c r="E280" s="90" t="s">
        <v>5222</v>
      </c>
      <c r="F280" s="92"/>
      <c r="G280" s="90" t="s">
        <v>5557</v>
      </c>
      <c r="H280" s="90" t="s">
        <v>5529</v>
      </c>
      <c r="I280" s="90" t="s">
        <v>5530</v>
      </c>
      <c r="J280" s="90"/>
      <c r="K280" s="93">
        <v>2</v>
      </c>
      <c r="L280" s="93">
        <v>5.5</v>
      </c>
      <c r="M280" s="93">
        <v>11</v>
      </c>
      <c r="N280" s="93">
        <v>11</v>
      </c>
      <c r="O280" s="90" t="s">
        <v>5226</v>
      </c>
      <c r="P280" s="90"/>
      <c r="Q280" s="90" t="s">
        <v>5227</v>
      </c>
      <c r="R280" s="90"/>
      <c r="S280" s="90"/>
      <c r="T280" s="90"/>
      <c r="U280" s="90"/>
      <c r="V280" s="90" t="s">
        <v>5531</v>
      </c>
      <c r="W280" s="90" t="s">
        <v>94</v>
      </c>
      <c r="X280" s="90" t="s">
        <v>373</v>
      </c>
      <c r="Y280" s="90" t="s">
        <v>5558</v>
      </c>
      <c r="Z280" s="90"/>
      <c r="AA280" s="93">
        <v>9.7345132743362797</v>
      </c>
      <c r="AB280" s="93">
        <v>9.7345132743362797</v>
      </c>
      <c r="AC280" s="93">
        <v>13</v>
      </c>
      <c r="AD280" s="93">
        <v>1.2654867256637199</v>
      </c>
      <c r="AE280" s="90"/>
      <c r="AF280" s="90"/>
      <c r="AG280" s="90"/>
      <c r="AH280" s="90"/>
      <c r="AI280" s="93">
        <v>0</v>
      </c>
      <c r="AJ280" s="93">
        <v>5.5</v>
      </c>
      <c r="AK280" s="93">
        <v>13</v>
      </c>
      <c r="AL280" s="93">
        <v>9.7345140000000008</v>
      </c>
      <c r="AM280" s="93">
        <v>1.2654860000000001</v>
      </c>
      <c r="AN280" s="93">
        <v>11</v>
      </c>
      <c r="AO280" s="93">
        <v>-7.2566371756011005E-7</v>
      </c>
      <c r="AP280" s="90" t="s">
        <v>94</v>
      </c>
      <c r="AQ280" s="90" t="s">
        <v>498</v>
      </c>
      <c r="AR280" s="90"/>
      <c r="AS280" s="90"/>
      <c r="AT280" s="90"/>
      <c r="AU280" s="90"/>
      <c r="AV280" s="90"/>
      <c r="AW280" s="90"/>
      <c r="AX280" s="90"/>
      <c r="AY280" s="90" t="s">
        <v>5230</v>
      </c>
      <c r="AZ280" s="90"/>
      <c r="BA280" s="90" t="s">
        <v>5558</v>
      </c>
      <c r="BB280" s="91">
        <v>45902.4897569444</v>
      </c>
      <c r="BC280" s="90" t="s">
        <v>402</v>
      </c>
      <c r="BD280" s="90"/>
      <c r="BE280" s="90"/>
      <c r="BF280" s="90" t="s">
        <v>5559</v>
      </c>
    </row>
    <row r="281" spans="1:58" ht="24.75" customHeight="1">
      <c r="A281" s="90" t="s">
        <v>5247</v>
      </c>
      <c r="B281" s="90"/>
      <c r="C281" s="90"/>
      <c r="D281" s="91">
        <v>45929.445243055598</v>
      </c>
      <c r="E281" s="90" t="s">
        <v>5222</v>
      </c>
      <c r="F281" s="92"/>
      <c r="G281" s="90" t="s">
        <v>5557</v>
      </c>
      <c r="H281" s="90" t="s">
        <v>5524</v>
      </c>
      <c r="I281" s="90" t="s">
        <v>5525</v>
      </c>
      <c r="J281" s="90" t="s">
        <v>5377</v>
      </c>
      <c r="K281" s="93">
        <v>4</v>
      </c>
      <c r="L281" s="93">
        <v>4</v>
      </c>
      <c r="M281" s="93">
        <v>16</v>
      </c>
      <c r="N281" s="93">
        <v>16</v>
      </c>
      <c r="O281" s="90" t="s">
        <v>5226</v>
      </c>
      <c r="P281" s="90"/>
      <c r="Q281" s="90" t="s">
        <v>5227</v>
      </c>
      <c r="R281" s="90"/>
      <c r="S281" s="90"/>
      <c r="T281" s="90"/>
      <c r="U281" s="90"/>
      <c r="V281" s="90" t="s">
        <v>5385</v>
      </c>
      <c r="W281" s="90" t="s">
        <v>94</v>
      </c>
      <c r="X281" s="90" t="s">
        <v>373</v>
      </c>
      <c r="Y281" s="90" t="s">
        <v>5558</v>
      </c>
      <c r="Z281" s="90"/>
      <c r="AA281" s="93">
        <v>16</v>
      </c>
      <c r="AB281" s="93">
        <v>16</v>
      </c>
      <c r="AC281" s="93">
        <v>0</v>
      </c>
      <c r="AD281" s="93">
        <v>0</v>
      </c>
      <c r="AE281" s="90"/>
      <c r="AF281" s="90"/>
      <c r="AG281" s="90"/>
      <c r="AH281" s="90"/>
      <c r="AI281" s="93">
        <v>0</v>
      </c>
      <c r="AJ281" s="93">
        <v>4</v>
      </c>
      <c r="AK281" s="93">
        <v>0</v>
      </c>
      <c r="AL281" s="93">
        <v>16</v>
      </c>
      <c r="AM281" s="93">
        <v>0</v>
      </c>
      <c r="AN281" s="93">
        <v>16</v>
      </c>
      <c r="AO281" s="93">
        <v>0</v>
      </c>
      <c r="AP281" s="90" t="s">
        <v>94</v>
      </c>
      <c r="AQ281" s="90" t="s">
        <v>5239</v>
      </c>
      <c r="AR281" s="90"/>
      <c r="AS281" s="90"/>
      <c r="AT281" s="90"/>
      <c r="AU281" s="90"/>
      <c r="AV281" s="90"/>
      <c r="AW281" s="90"/>
      <c r="AX281" s="90"/>
      <c r="AY281" s="90" t="s">
        <v>5230</v>
      </c>
      <c r="AZ281" s="90"/>
      <c r="BA281" s="90" t="s">
        <v>5558</v>
      </c>
      <c r="BB281" s="91">
        <v>45910.458483796298</v>
      </c>
      <c r="BC281" s="90" t="s">
        <v>404</v>
      </c>
      <c r="BD281" s="90"/>
      <c r="BE281" s="90"/>
      <c r="BF281" s="90" t="s">
        <v>5559</v>
      </c>
    </row>
    <row r="282" spans="1:58" ht="24.75" customHeight="1">
      <c r="A282" s="90" t="s">
        <v>5247</v>
      </c>
      <c r="B282" s="90"/>
      <c r="C282" s="90"/>
      <c r="D282" s="91">
        <v>45929.445243055598</v>
      </c>
      <c r="E282" s="90" t="s">
        <v>5222</v>
      </c>
      <c r="F282" s="92"/>
      <c r="G282" s="90" t="s">
        <v>5557</v>
      </c>
      <c r="H282" s="90" t="s">
        <v>5511</v>
      </c>
      <c r="I282" s="90" t="s">
        <v>5512</v>
      </c>
      <c r="J282" s="90" t="s">
        <v>5513</v>
      </c>
      <c r="K282" s="93">
        <v>1</v>
      </c>
      <c r="L282" s="93">
        <v>10</v>
      </c>
      <c r="M282" s="93">
        <v>10</v>
      </c>
      <c r="N282" s="93">
        <v>10</v>
      </c>
      <c r="O282" s="90" t="s">
        <v>5226</v>
      </c>
      <c r="P282" s="90"/>
      <c r="Q282" s="90" t="s">
        <v>5227</v>
      </c>
      <c r="R282" s="90"/>
      <c r="S282" s="90"/>
      <c r="T282" s="90"/>
      <c r="U282" s="90"/>
      <c r="V282" s="90" t="s">
        <v>5260</v>
      </c>
      <c r="W282" s="90" t="s">
        <v>94</v>
      </c>
      <c r="X282" s="90" t="s">
        <v>373</v>
      </c>
      <c r="Y282" s="90" t="s">
        <v>5558</v>
      </c>
      <c r="Z282" s="90"/>
      <c r="AA282" s="93">
        <v>8.8495575221239005</v>
      </c>
      <c r="AB282" s="93">
        <v>8.8495575221239005</v>
      </c>
      <c r="AC282" s="93">
        <v>13</v>
      </c>
      <c r="AD282" s="93">
        <v>1.15044247787611</v>
      </c>
      <c r="AE282" s="90"/>
      <c r="AF282" s="90"/>
      <c r="AG282" s="90"/>
      <c r="AH282" s="90"/>
      <c r="AI282" s="93">
        <v>0</v>
      </c>
      <c r="AJ282" s="93">
        <v>10</v>
      </c>
      <c r="AK282" s="93">
        <v>13</v>
      </c>
      <c r="AL282" s="93">
        <v>8.849558</v>
      </c>
      <c r="AM282" s="93">
        <v>1.150442</v>
      </c>
      <c r="AN282" s="93">
        <v>10</v>
      </c>
      <c r="AO282" s="93">
        <v>-4.7787610490956901E-7</v>
      </c>
      <c r="AP282" s="90" t="s">
        <v>94</v>
      </c>
      <c r="AQ282" s="90" t="s">
        <v>5239</v>
      </c>
      <c r="AR282" s="90"/>
      <c r="AS282" s="90"/>
      <c r="AT282" s="90"/>
      <c r="AU282" s="90"/>
      <c r="AV282" s="90"/>
      <c r="AW282" s="90"/>
      <c r="AX282" s="90"/>
      <c r="AY282" s="90" t="s">
        <v>5230</v>
      </c>
      <c r="AZ282" s="90"/>
      <c r="BA282" s="90" t="s">
        <v>5558</v>
      </c>
      <c r="BB282" s="91">
        <v>45873.434953703698</v>
      </c>
      <c r="BC282" s="90" t="s">
        <v>402</v>
      </c>
      <c r="BD282" s="90"/>
      <c r="BE282" s="90"/>
      <c r="BF282" s="90" t="s">
        <v>5559</v>
      </c>
    </row>
    <row r="283" spans="1:58" ht="24.75" customHeight="1">
      <c r="A283" s="90" t="s">
        <v>5247</v>
      </c>
      <c r="B283" s="90"/>
      <c r="C283" s="90"/>
      <c r="D283" s="91">
        <v>45929.445243055598</v>
      </c>
      <c r="E283" s="90" t="s">
        <v>5222</v>
      </c>
      <c r="F283" s="92"/>
      <c r="G283" s="90" t="s">
        <v>5557</v>
      </c>
      <c r="H283" s="90" t="s">
        <v>5546</v>
      </c>
      <c r="I283" s="90" t="s">
        <v>5547</v>
      </c>
      <c r="J283" s="90" t="s">
        <v>5548</v>
      </c>
      <c r="K283" s="93">
        <v>30</v>
      </c>
      <c r="L283" s="93">
        <v>2</v>
      </c>
      <c r="M283" s="93">
        <v>60</v>
      </c>
      <c r="N283" s="93">
        <v>60</v>
      </c>
      <c r="O283" s="90" t="s">
        <v>5226</v>
      </c>
      <c r="P283" s="90"/>
      <c r="Q283" s="90" t="s">
        <v>5227</v>
      </c>
      <c r="R283" s="90"/>
      <c r="S283" s="90"/>
      <c r="T283" s="90"/>
      <c r="U283" s="90"/>
      <c r="V283" s="90" t="s">
        <v>5385</v>
      </c>
      <c r="W283" s="90" t="s">
        <v>94</v>
      </c>
      <c r="X283" s="90" t="s">
        <v>373</v>
      </c>
      <c r="Y283" s="90" t="s">
        <v>5558</v>
      </c>
      <c r="Z283" s="90"/>
      <c r="AA283" s="93">
        <v>53.097345132743399</v>
      </c>
      <c r="AB283" s="93">
        <v>53.097345132743399</v>
      </c>
      <c r="AC283" s="93">
        <v>13</v>
      </c>
      <c r="AD283" s="93">
        <v>6.9026548672566301</v>
      </c>
      <c r="AE283" s="90"/>
      <c r="AF283" s="90"/>
      <c r="AG283" s="90"/>
      <c r="AH283" s="90"/>
      <c r="AI283" s="93">
        <v>0</v>
      </c>
      <c r="AJ283" s="93">
        <v>2</v>
      </c>
      <c r="AK283" s="93">
        <v>13</v>
      </c>
      <c r="AL283" s="93">
        <v>53.097360000000002</v>
      </c>
      <c r="AM283" s="93">
        <v>6.9026399999999999</v>
      </c>
      <c r="AN283" s="93">
        <v>60</v>
      </c>
      <c r="AO283" s="93">
        <v>-1.48672566240293E-5</v>
      </c>
      <c r="AP283" s="90" t="s">
        <v>94</v>
      </c>
      <c r="AQ283" s="90" t="s">
        <v>5239</v>
      </c>
      <c r="AR283" s="90"/>
      <c r="AS283" s="90"/>
      <c r="AT283" s="90"/>
      <c r="AU283" s="90"/>
      <c r="AV283" s="90"/>
      <c r="AW283" s="90"/>
      <c r="AX283" s="90"/>
      <c r="AY283" s="90" t="s">
        <v>5230</v>
      </c>
      <c r="AZ283" s="90"/>
      <c r="BA283" s="90" t="s">
        <v>5558</v>
      </c>
      <c r="BB283" s="91">
        <v>45902.4897569444</v>
      </c>
      <c r="BC283" s="90" t="s">
        <v>402</v>
      </c>
      <c r="BD283" s="90"/>
      <c r="BE283" s="90"/>
      <c r="BF283" s="90" t="s">
        <v>5559</v>
      </c>
    </row>
    <row r="284" spans="1:58" ht="24.75" customHeight="1">
      <c r="A284" s="90" t="s">
        <v>5247</v>
      </c>
      <c r="B284" s="90"/>
      <c r="C284" s="90"/>
      <c r="D284" s="91">
        <v>45929.445243055598</v>
      </c>
      <c r="E284" s="90" t="s">
        <v>5222</v>
      </c>
      <c r="F284" s="92"/>
      <c r="G284" s="90" t="s">
        <v>5557</v>
      </c>
      <c r="H284" s="90" t="s">
        <v>5324</v>
      </c>
      <c r="I284" s="90" t="s">
        <v>5325</v>
      </c>
      <c r="J284" s="90" t="s">
        <v>5326</v>
      </c>
      <c r="K284" s="93">
        <v>0.6</v>
      </c>
      <c r="L284" s="93">
        <v>28</v>
      </c>
      <c r="M284" s="93">
        <v>16.8</v>
      </c>
      <c r="N284" s="93">
        <v>16.8</v>
      </c>
      <c r="O284" s="90" t="s">
        <v>5226</v>
      </c>
      <c r="P284" s="90"/>
      <c r="Q284" s="90" t="s">
        <v>5227</v>
      </c>
      <c r="R284" s="90"/>
      <c r="S284" s="90"/>
      <c r="T284" s="90"/>
      <c r="U284" s="90"/>
      <c r="V284" s="90" t="s">
        <v>5252</v>
      </c>
      <c r="W284" s="90" t="s">
        <v>94</v>
      </c>
      <c r="X284" s="90" t="s">
        <v>373</v>
      </c>
      <c r="Y284" s="90" t="s">
        <v>5558</v>
      </c>
      <c r="Z284" s="90"/>
      <c r="AA284" s="93">
        <v>14.867256637168101</v>
      </c>
      <c r="AB284" s="93">
        <v>14.867256637168101</v>
      </c>
      <c r="AC284" s="93">
        <v>13</v>
      </c>
      <c r="AD284" s="93">
        <v>1.93274336283186</v>
      </c>
      <c r="AE284" s="90"/>
      <c r="AF284" s="90"/>
      <c r="AG284" s="90"/>
      <c r="AH284" s="90"/>
      <c r="AI284" s="93">
        <v>0</v>
      </c>
      <c r="AJ284" s="93">
        <v>28</v>
      </c>
      <c r="AK284" s="93">
        <v>13</v>
      </c>
      <c r="AL284" s="93">
        <v>14.867256599999999</v>
      </c>
      <c r="AM284" s="93">
        <v>1.9327433999999999</v>
      </c>
      <c r="AN284" s="93">
        <v>16.8</v>
      </c>
      <c r="AO284" s="93">
        <v>3.7168144118027197E-8</v>
      </c>
      <c r="AP284" s="90" t="s">
        <v>94</v>
      </c>
      <c r="AQ284" s="90" t="s">
        <v>5239</v>
      </c>
      <c r="AR284" s="90"/>
      <c r="AS284" s="90"/>
      <c r="AT284" s="90"/>
      <c r="AU284" s="90"/>
      <c r="AV284" s="90"/>
      <c r="AW284" s="90"/>
      <c r="AX284" s="90"/>
      <c r="AY284" s="90" t="s">
        <v>5230</v>
      </c>
      <c r="AZ284" s="90"/>
      <c r="BA284" s="90" t="s">
        <v>5558</v>
      </c>
      <c r="BB284" s="91">
        <v>45902.4897569444</v>
      </c>
      <c r="BC284" s="90" t="s">
        <v>402</v>
      </c>
      <c r="BD284" s="90"/>
      <c r="BE284" s="90"/>
      <c r="BF284" s="90" t="s">
        <v>5559</v>
      </c>
    </row>
    <row r="285" spans="1:58" ht="24.75" customHeight="1">
      <c r="A285" s="90" t="s">
        <v>5247</v>
      </c>
      <c r="B285" s="90"/>
      <c r="C285" s="90"/>
      <c r="D285" s="91">
        <v>45929.445243055598</v>
      </c>
      <c r="E285" s="90" t="s">
        <v>5222</v>
      </c>
      <c r="F285" s="92"/>
      <c r="G285" s="90" t="s">
        <v>5557</v>
      </c>
      <c r="H285" s="90" t="s">
        <v>5538</v>
      </c>
      <c r="I285" s="90" t="s">
        <v>5539</v>
      </c>
      <c r="J285" s="90" t="s">
        <v>5267</v>
      </c>
      <c r="K285" s="93">
        <v>220</v>
      </c>
      <c r="L285" s="93">
        <v>0.5</v>
      </c>
      <c r="M285" s="93">
        <v>110</v>
      </c>
      <c r="N285" s="93">
        <v>110</v>
      </c>
      <c r="O285" s="90" t="s">
        <v>5226</v>
      </c>
      <c r="P285" s="90"/>
      <c r="Q285" s="90" t="s">
        <v>5227</v>
      </c>
      <c r="R285" s="90"/>
      <c r="S285" s="90"/>
      <c r="T285" s="90"/>
      <c r="U285" s="90"/>
      <c r="V285" s="90" t="s">
        <v>5540</v>
      </c>
      <c r="W285" s="90" t="s">
        <v>94</v>
      </c>
      <c r="X285" s="90" t="s">
        <v>373</v>
      </c>
      <c r="Y285" s="90" t="s">
        <v>5558</v>
      </c>
      <c r="Z285" s="90"/>
      <c r="AA285" s="93">
        <v>97.345132743362797</v>
      </c>
      <c r="AB285" s="93">
        <v>97.345132743362797</v>
      </c>
      <c r="AC285" s="93">
        <v>13</v>
      </c>
      <c r="AD285" s="93">
        <v>12.6548672566372</v>
      </c>
      <c r="AE285" s="90"/>
      <c r="AF285" s="90"/>
      <c r="AG285" s="90"/>
      <c r="AH285" s="90"/>
      <c r="AI285" s="93">
        <v>0</v>
      </c>
      <c r="AJ285" s="93">
        <v>0.5</v>
      </c>
      <c r="AK285" s="93">
        <v>13</v>
      </c>
      <c r="AL285" s="93">
        <v>97.345160000000007</v>
      </c>
      <c r="AM285" s="93">
        <v>12.65484</v>
      </c>
      <c r="AN285" s="93">
        <v>110</v>
      </c>
      <c r="AO285" s="93">
        <v>-2.72566371535277E-5</v>
      </c>
      <c r="AP285" s="90" t="s">
        <v>94</v>
      </c>
      <c r="AQ285" s="90" t="s">
        <v>5541</v>
      </c>
      <c r="AR285" s="90"/>
      <c r="AS285" s="90"/>
      <c r="AT285" s="90"/>
      <c r="AU285" s="90"/>
      <c r="AV285" s="90"/>
      <c r="AW285" s="90"/>
      <c r="AX285" s="90"/>
      <c r="AY285" s="90" t="s">
        <v>5230</v>
      </c>
      <c r="AZ285" s="90"/>
      <c r="BA285" s="90" t="s">
        <v>5558</v>
      </c>
      <c r="BB285" s="91">
        <v>45902.4897569444</v>
      </c>
      <c r="BC285" s="90" t="s">
        <v>402</v>
      </c>
      <c r="BD285" s="90"/>
      <c r="BE285" s="90"/>
      <c r="BF285" s="90" t="s">
        <v>5559</v>
      </c>
    </row>
    <row r="286" spans="1:58" ht="24.75" customHeight="1">
      <c r="A286" s="90" t="s">
        <v>5247</v>
      </c>
      <c r="B286" s="90"/>
      <c r="C286" s="90"/>
      <c r="D286" s="91">
        <v>45929.446284722202</v>
      </c>
      <c r="E286" s="90" t="s">
        <v>5222</v>
      </c>
      <c r="F286" s="92"/>
      <c r="G286" s="90" t="s">
        <v>5560</v>
      </c>
      <c r="H286" s="90" t="s">
        <v>5524</v>
      </c>
      <c r="I286" s="90" t="s">
        <v>5525</v>
      </c>
      <c r="J286" s="90" t="s">
        <v>5377</v>
      </c>
      <c r="K286" s="93">
        <v>4</v>
      </c>
      <c r="L286" s="93">
        <v>4</v>
      </c>
      <c r="M286" s="93">
        <v>16</v>
      </c>
      <c r="N286" s="93">
        <v>16</v>
      </c>
      <c r="O286" s="90" t="s">
        <v>5226</v>
      </c>
      <c r="P286" s="90"/>
      <c r="Q286" s="90" t="s">
        <v>5227</v>
      </c>
      <c r="R286" s="90"/>
      <c r="S286" s="90"/>
      <c r="T286" s="90"/>
      <c r="U286" s="90"/>
      <c r="V286" s="90" t="s">
        <v>5385</v>
      </c>
      <c r="W286" s="90" t="s">
        <v>94</v>
      </c>
      <c r="X286" s="90" t="s">
        <v>118</v>
      </c>
      <c r="Y286" s="90" t="s">
        <v>5561</v>
      </c>
      <c r="Z286" s="90"/>
      <c r="AA286" s="93">
        <v>16</v>
      </c>
      <c r="AB286" s="93">
        <v>16</v>
      </c>
      <c r="AC286" s="93">
        <v>0</v>
      </c>
      <c r="AD286" s="93">
        <v>0</v>
      </c>
      <c r="AE286" s="90"/>
      <c r="AF286" s="90"/>
      <c r="AG286" s="90"/>
      <c r="AH286" s="90"/>
      <c r="AI286" s="93">
        <v>0</v>
      </c>
      <c r="AJ286" s="93">
        <v>4</v>
      </c>
      <c r="AK286" s="93">
        <v>0</v>
      </c>
      <c r="AL286" s="93">
        <v>16</v>
      </c>
      <c r="AM286" s="93">
        <v>0</v>
      </c>
      <c r="AN286" s="93">
        <v>16</v>
      </c>
      <c r="AO286" s="93">
        <v>0</v>
      </c>
      <c r="AP286" s="90" t="s">
        <v>94</v>
      </c>
      <c r="AQ286" s="90" t="s">
        <v>5239</v>
      </c>
      <c r="AR286" s="90"/>
      <c r="AS286" s="90"/>
      <c r="AT286" s="90"/>
      <c r="AU286" s="90"/>
      <c r="AV286" s="90"/>
      <c r="AW286" s="90"/>
      <c r="AX286" s="90"/>
      <c r="AY286" s="90" t="s">
        <v>5230</v>
      </c>
      <c r="AZ286" s="90"/>
      <c r="BA286" s="90" t="s">
        <v>5561</v>
      </c>
      <c r="BB286" s="91">
        <v>45910.458483796298</v>
      </c>
      <c r="BC286" s="90" t="s">
        <v>404</v>
      </c>
      <c r="BD286" s="90"/>
      <c r="BE286" s="90"/>
      <c r="BF286" s="90" t="s">
        <v>5562</v>
      </c>
    </row>
    <row r="287" spans="1:58" ht="24.75" customHeight="1">
      <c r="A287" s="90" t="s">
        <v>5247</v>
      </c>
      <c r="B287" s="90"/>
      <c r="C287" s="90"/>
      <c r="D287" s="91">
        <v>45929.446284722202</v>
      </c>
      <c r="E287" s="90" t="s">
        <v>5222</v>
      </c>
      <c r="F287" s="92"/>
      <c r="G287" s="90" t="s">
        <v>5560</v>
      </c>
      <c r="H287" s="90" t="s">
        <v>5324</v>
      </c>
      <c r="I287" s="90" t="s">
        <v>5325</v>
      </c>
      <c r="J287" s="90" t="s">
        <v>5326</v>
      </c>
      <c r="K287" s="93">
        <v>0.6</v>
      </c>
      <c r="L287" s="93">
        <v>28</v>
      </c>
      <c r="M287" s="93">
        <v>16.8</v>
      </c>
      <c r="N287" s="93">
        <v>16.8</v>
      </c>
      <c r="O287" s="90" t="s">
        <v>5226</v>
      </c>
      <c r="P287" s="90"/>
      <c r="Q287" s="90" t="s">
        <v>5227</v>
      </c>
      <c r="R287" s="90"/>
      <c r="S287" s="90"/>
      <c r="T287" s="90"/>
      <c r="U287" s="90"/>
      <c r="V287" s="90" t="s">
        <v>5252</v>
      </c>
      <c r="W287" s="90" t="s">
        <v>94</v>
      </c>
      <c r="X287" s="90" t="s">
        <v>118</v>
      </c>
      <c r="Y287" s="90" t="s">
        <v>5561</v>
      </c>
      <c r="Z287" s="90"/>
      <c r="AA287" s="93">
        <v>14.867256637168101</v>
      </c>
      <c r="AB287" s="93">
        <v>14.867256637168101</v>
      </c>
      <c r="AC287" s="93">
        <v>13</v>
      </c>
      <c r="AD287" s="93">
        <v>1.93274336283186</v>
      </c>
      <c r="AE287" s="90"/>
      <c r="AF287" s="90"/>
      <c r="AG287" s="90"/>
      <c r="AH287" s="90"/>
      <c r="AI287" s="93">
        <v>0</v>
      </c>
      <c r="AJ287" s="93">
        <v>28</v>
      </c>
      <c r="AK287" s="93">
        <v>13</v>
      </c>
      <c r="AL287" s="93">
        <v>14.867256599999999</v>
      </c>
      <c r="AM287" s="93">
        <v>1.9327433999999999</v>
      </c>
      <c r="AN287" s="93">
        <v>16.8</v>
      </c>
      <c r="AO287" s="93">
        <v>3.7168144118027197E-8</v>
      </c>
      <c r="AP287" s="90" t="s">
        <v>94</v>
      </c>
      <c r="AQ287" s="90" t="s">
        <v>5239</v>
      </c>
      <c r="AR287" s="90"/>
      <c r="AS287" s="90"/>
      <c r="AT287" s="90"/>
      <c r="AU287" s="90"/>
      <c r="AV287" s="90"/>
      <c r="AW287" s="90"/>
      <c r="AX287" s="90"/>
      <c r="AY287" s="90" t="s">
        <v>5230</v>
      </c>
      <c r="AZ287" s="90"/>
      <c r="BA287" s="90" t="s">
        <v>5561</v>
      </c>
      <c r="BB287" s="91">
        <v>45902.4897569444</v>
      </c>
      <c r="BC287" s="90" t="s">
        <v>402</v>
      </c>
      <c r="BD287" s="90"/>
      <c r="BE287" s="90"/>
      <c r="BF287" s="90" t="s">
        <v>5562</v>
      </c>
    </row>
    <row r="288" spans="1:58" ht="24.75" customHeight="1">
      <c r="A288" s="90" t="s">
        <v>5247</v>
      </c>
      <c r="B288" s="90"/>
      <c r="C288" s="90"/>
      <c r="D288" s="91">
        <v>45929.446284722202</v>
      </c>
      <c r="E288" s="90" t="s">
        <v>5222</v>
      </c>
      <c r="F288" s="92"/>
      <c r="G288" s="90" t="s">
        <v>5560</v>
      </c>
      <c r="H288" s="90" t="s">
        <v>5546</v>
      </c>
      <c r="I288" s="90" t="s">
        <v>5547</v>
      </c>
      <c r="J288" s="90" t="s">
        <v>5548</v>
      </c>
      <c r="K288" s="93">
        <v>30</v>
      </c>
      <c r="L288" s="93">
        <v>2</v>
      </c>
      <c r="M288" s="93">
        <v>60</v>
      </c>
      <c r="N288" s="93">
        <v>60</v>
      </c>
      <c r="O288" s="90" t="s">
        <v>5226</v>
      </c>
      <c r="P288" s="90"/>
      <c r="Q288" s="90" t="s">
        <v>5227</v>
      </c>
      <c r="R288" s="90"/>
      <c r="S288" s="90"/>
      <c r="T288" s="90"/>
      <c r="U288" s="90"/>
      <c r="V288" s="90" t="s">
        <v>5385</v>
      </c>
      <c r="W288" s="90" t="s">
        <v>94</v>
      </c>
      <c r="X288" s="90" t="s">
        <v>118</v>
      </c>
      <c r="Y288" s="90" t="s">
        <v>5561</v>
      </c>
      <c r="Z288" s="90"/>
      <c r="AA288" s="93">
        <v>53.097345132743399</v>
      </c>
      <c r="AB288" s="93">
        <v>53.097345132743399</v>
      </c>
      <c r="AC288" s="93">
        <v>13</v>
      </c>
      <c r="AD288" s="93">
        <v>6.9026548672566301</v>
      </c>
      <c r="AE288" s="90"/>
      <c r="AF288" s="90"/>
      <c r="AG288" s="90"/>
      <c r="AH288" s="90"/>
      <c r="AI288" s="93">
        <v>0</v>
      </c>
      <c r="AJ288" s="93">
        <v>2</v>
      </c>
      <c r="AK288" s="93">
        <v>13</v>
      </c>
      <c r="AL288" s="93">
        <v>53.097360000000002</v>
      </c>
      <c r="AM288" s="93">
        <v>6.9026399999999999</v>
      </c>
      <c r="AN288" s="93">
        <v>60</v>
      </c>
      <c r="AO288" s="93">
        <v>-1.48672566240293E-5</v>
      </c>
      <c r="AP288" s="90" t="s">
        <v>94</v>
      </c>
      <c r="AQ288" s="90" t="s">
        <v>5239</v>
      </c>
      <c r="AR288" s="90"/>
      <c r="AS288" s="90"/>
      <c r="AT288" s="90"/>
      <c r="AU288" s="90"/>
      <c r="AV288" s="90"/>
      <c r="AW288" s="90"/>
      <c r="AX288" s="90"/>
      <c r="AY288" s="90" t="s">
        <v>5230</v>
      </c>
      <c r="AZ288" s="90"/>
      <c r="BA288" s="90" t="s">
        <v>5561</v>
      </c>
      <c r="BB288" s="91">
        <v>45902.4897569444</v>
      </c>
      <c r="BC288" s="90" t="s">
        <v>402</v>
      </c>
      <c r="BD288" s="90"/>
      <c r="BE288" s="90"/>
      <c r="BF288" s="90" t="s">
        <v>5562</v>
      </c>
    </row>
    <row r="289" spans="1:58" ht="24.75" customHeight="1">
      <c r="A289" s="90" t="s">
        <v>5247</v>
      </c>
      <c r="B289" s="90"/>
      <c r="C289" s="90"/>
      <c r="D289" s="91">
        <v>45929.446284722202</v>
      </c>
      <c r="E289" s="90" t="s">
        <v>5222</v>
      </c>
      <c r="F289" s="92"/>
      <c r="G289" s="90" t="s">
        <v>5560</v>
      </c>
      <c r="H289" s="90" t="s">
        <v>5538</v>
      </c>
      <c r="I289" s="90" t="s">
        <v>5539</v>
      </c>
      <c r="J289" s="90" t="s">
        <v>5267</v>
      </c>
      <c r="K289" s="93">
        <v>260</v>
      </c>
      <c r="L289" s="93">
        <v>0.5</v>
      </c>
      <c r="M289" s="93">
        <v>130</v>
      </c>
      <c r="N289" s="93">
        <v>130</v>
      </c>
      <c r="O289" s="90" t="s">
        <v>5226</v>
      </c>
      <c r="P289" s="90"/>
      <c r="Q289" s="90" t="s">
        <v>5227</v>
      </c>
      <c r="R289" s="90"/>
      <c r="S289" s="90"/>
      <c r="T289" s="90"/>
      <c r="U289" s="90"/>
      <c r="V289" s="90" t="s">
        <v>5540</v>
      </c>
      <c r="W289" s="90" t="s">
        <v>94</v>
      </c>
      <c r="X289" s="90" t="s">
        <v>118</v>
      </c>
      <c r="Y289" s="90" t="s">
        <v>5561</v>
      </c>
      <c r="Z289" s="90"/>
      <c r="AA289" s="93">
        <v>115.044247787611</v>
      </c>
      <c r="AB289" s="93">
        <v>115.044247787611</v>
      </c>
      <c r="AC289" s="93">
        <v>13</v>
      </c>
      <c r="AD289" s="93">
        <v>14.955752212389401</v>
      </c>
      <c r="AE289" s="90"/>
      <c r="AF289" s="90"/>
      <c r="AG289" s="90"/>
      <c r="AH289" s="90"/>
      <c r="AI289" s="93">
        <v>0</v>
      </c>
      <c r="AJ289" s="93">
        <v>0.5</v>
      </c>
      <c r="AK289" s="93">
        <v>13</v>
      </c>
      <c r="AL289" s="93">
        <v>115.04428</v>
      </c>
      <c r="AM289" s="93">
        <v>14.955719999999999</v>
      </c>
      <c r="AN289" s="93">
        <v>130</v>
      </c>
      <c r="AO289" s="93">
        <v>-3.22123893710113E-5</v>
      </c>
      <c r="AP289" s="90" t="s">
        <v>94</v>
      </c>
      <c r="AQ289" s="90" t="s">
        <v>5541</v>
      </c>
      <c r="AR289" s="90"/>
      <c r="AS289" s="90"/>
      <c r="AT289" s="90"/>
      <c r="AU289" s="90"/>
      <c r="AV289" s="90"/>
      <c r="AW289" s="90"/>
      <c r="AX289" s="90"/>
      <c r="AY289" s="90" t="s">
        <v>5230</v>
      </c>
      <c r="AZ289" s="90"/>
      <c r="BA289" s="90" t="s">
        <v>5561</v>
      </c>
      <c r="BB289" s="91">
        <v>45902.4897569444</v>
      </c>
      <c r="BC289" s="90" t="s">
        <v>402</v>
      </c>
      <c r="BD289" s="90"/>
      <c r="BE289" s="90"/>
      <c r="BF289" s="90" t="s">
        <v>5562</v>
      </c>
    </row>
    <row r="290" spans="1:58" ht="24.75" customHeight="1">
      <c r="A290" s="90" t="s">
        <v>5247</v>
      </c>
      <c r="B290" s="90"/>
      <c r="C290" s="90"/>
      <c r="D290" s="91">
        <v>45929.447025463</v>
      </c>
      <c r="E290" s="90" t="s">
        <v>5222</v>
      </c>
      <c r="F290" s="92"/>
      <c r="G290" s="90" t="s">
        <v>5563</v>
      </c>
      <c r="H290" s="90" t="s">
        <v>5524</v>
      </c>
      <c r="I290" s="90" t="s">
        <v>5525</v>
      </c>
      <c r="J290" s="90" t="s">
        <v>5377</v>
      </c>
      <c r="K290" s="93">
        <v>3</v>
      </c>
      <c r="L290" s="93">
        <v>4</v>
      </c>
      <c r="M290" s="93">
        <v>12</v>
      </c>
      <c r="N290" s="93">
        <v>12</v>
      </c>
      <c r="O290" s="90" t="s">
        <v>5226</v>
      </c>
      <c r="P290" s="90"/>
      <c r="Q290" s="90" t="s">
        <v>5227</v>
      </c>
      <c r="R290" s="90"/>
      <c r="S290" s="90"/>
      <c r="T290" s="90"/>
      <c r="U290" s="90"/>
      <c r="V290" s="90" t="s">
        <v>5385</v>
      </c>
      <c r="W290" s="90" t="s">
        <v>94</v>
      </c>
      <c r="X290" s="90" t="s">
        <v>117</v>
      </c>
      <c r="Y290" s="90" t="s">
        <v>5564</v>
      </c>
      <c r="Z290" s="90"/>
      <c r="AA290" s="93">
        <v>12</v>
      </c>
      <c r="AB290" s="93">
        <v>12</v>
      </c>
      <c r="AC290" s="93">
        <v>0</v>
      </c>
      <c r="AD290" s="93">
        <v>0</v>
      </c>
      <c r="AE290" s="90"/>
      <c r="AF290" s="90"/>
      <c r="AG290" s="90"/>
      <c r="AH290" s="90"/>
      <c r="AI290" s="93">
        <v>0</v>
      </c>
      <c r="AJ290" s="93">
        <v>4</v>
      </c>
      <c r="AK290" s="93">
        <v>0</v>
      </c>
      <c r="AL290" s="93">
        <v>12</v>
      </c>
      <c r="AM290" s="93">
        <v>0</v>
      </c>
      <c r="AN290" s="93">
        <v>12</v>
      </c>
      <c r="AO290" s="93">
        <v>0</v>
      </c>
      <c r="AP290" s="90" t="s">
        <v>94</v>
      </c>
      <c r="AQ290" s="90" t="s">
        <v>5239</v>
      </c>
      <c r="AR290" s="90"/>
      <c r="AS290" s="90"/>
      <c r="AT290" s="90"/>
      <c r="AU290" s="90"/>
      <c r="AV290" s="90"/>
      <c r="AW290" s="90"/>
      <c r="AX290" s="90"/>
      <c r="AY290" s="90" t="s">
        <v>5230</v>
      </c>
      <c r="AZ290" s="90"/>
      <c r="BA290" s="90" t="s">
        <v>5564</v>
      </c>
      <c r="BB290" s="91">
        <v>45910.458483796298</v>
      </c>
      <c r="BC290" s="90" t="s">
        <v>404</v>
      </c>
      <c r="BD290" s="90"/>
      <c r="BE290" s="90"/>
      <c r="BF290" s="90" t="s">
        <v>5565</v>
      </c>
    </row>
    <row r="291" spans="1:58" ht="24.75" customHeight="1">
      <c r="A291" s="90" t="s">
        <v>5247</v>
      </c>
      <c r="B291" s="90"/>
      <c r="C291" s="90"/>
      <c r="D291" s="91">
        <v>45929.447025463</v>
      </c>
      <c r="E291" s="90" t="s">
        <v>5222</v>
      </c>
      <c r="F291" s="92"/>
      <c r="G291" s="90" t="s">
        <v>5563</v>
      </c>
      <c r="H291" s="90" t="s">
        <v>5542</v>
      </c>
      <c r="I291" s="90" t="s">
        <v>5543</v>
      </c>
      <c r="J291" s="90"/>
      <c r="K291" s="93">
        <v>2</v>
      </c>
      <c r="L291" s="93">
        <v>1</v>
      </c>
      <c r="M291" s="93">
        <v>2</v>
      </c>
      <c r="N291" s="93">
        <v>2</v>
      </c>
      <c r="O291" s="90" t="s">
        <v>5226</v>
      </c>
      <c r="P291" s="90"/>
      <c r="Q291" s="90" t="s">
        <v>5227</v>
      </c>
      <c r="R291" s="90"/>
      <c r="S291" s="90"/>
      <c r="T291" s="90"/>
      <c r="U291" s="90"/>
      <c r="V291" s="90" t="s">
        <v>5252</v>
      </c>
      <c r="W291" s="90" t="s">
        <v>94</v>
      </c>
      <c r="X291" s="90" t="s">
        <v>117</v>
      </c>
      <c r="Y291" s="90" t="s">
        <v>5564</v>
      </c>
      <c r="Z291" s="90"/>
      <c r="AA291" s="93">
        <v>1.76991150442478</v>
      </c>
      <c r="AB291" s="93">
        <v>1.76991150442478</v>
      </c>
      <c r="AC291" s="93">
        <v>13</v>
      </c>
      <c r="AD291" s="93">
        <v>0.23008849557522101</v>
      </c>
      <c r="AE291" s="90"/>
      <c r="AF291" s="90"/>
      <c r="AG291" s="90"/>
      <c r="AH291" s="90"/>
      <c r="AI291" s="93">
        <v>0</v>
      </c>
      <c r="AJ291" s="93">
        <v>1</v>
      </c>
      <c r="AK291" s="93">
        <v>13</v>
      </c>
      <c r="AL291" s="93">
        <v>1.7699119999999999</v>
      </c>
      <c r="AM291" s="93">
        <v>0.23008799999999999</v>
      </c>
      <c r="AN291" s="93">
        <v>2</v>
      </c>
      <c r="AO291" s="93">
        <v>-4.9557522108223395E-7</v>
      </c>
      <c r="AP291" s="90" t="s">
        <v>94</v>
      </c>
      <c r="AQ291" s="90" t="s">
        <v>5239</v>
      </c>
      <c r="AR291" s="90"/>
      <c r="AS291" s="90"/>
      <c r="AT291" s="90"/>
      <c r="AU291" s="90"/>
      <c r="AV291" s="90"/>
      <c r="AW291" s="90"/>
      <c r="AX291" s="90"/>
      <c r="AY291" s="90" t="s">
        <v>5230</v>
      </c>
      <c r="AZ291" s="90"/>
      <c r="BA291" s="90" t="s">
        <v>5564</v>
      </c>
      <c r="BB291" s="91">
        <v>45896.323865740698</v>
      </c>
      <c r="BC291" s="90" t="s">
        <v>402</v>
      </c>
      <c r="BD291" s="90"/>
      <c r="BE291" s="90"/>
      <c r="BF291" s="90" t="s">
        <v>5565</v>
      </c>
    </row>
    <row r="292" spans="1:58" ht="24.75" customHeight="1">
      <c r="A292" s="90" t="s">
        <v>5221</v>
      </c>
      <c r="B292" s="90"/>
      <c r="C292" s="90"/>
      <c r="D292" s="91">
        <v>45929.450497685197</v>
      </c>
      <c r="E292" s="90" t="s">
        <v>5222</v>
      </c>
      <c r="F292" s="92"/>
      <c r="G292" s="90" t="s">
        <v>5566</v>
      </c>
      <c r="H292" s="90" t="s">
        <v>5380</v>
      </c>
      <c r="I292" s="90" t="s">
        <v>5381</v>
      </c>
      <c r="J292" s="90" t="s">
        <v>5351</v>
      </c>
      <c r="K292" s="93">
        <v>1.5</v>
      </c>
      <c r="L292" s="93">
        <v>120</v>
      </c>
      <c r="M292" s="93">
        <v>180</v>
      </c>
      <c r="N292" s="93">
        <v>180</v>
      </c>
      <c r="O292" s="90" t="s">
        <v>5226</v>
      </c>
      <c r="P292" s="90"/>
      <c r="Q292" s="90" t="s">
        <v>5227</v>
      </c>
      <c r="R292" s="90"/>
      <c r="S292" s="90"/>
      <c r="T292" s="90"/>
      <c r="U292" s="90"/>
      <c r="V292" s="90"/>
      <c r="W292" s="90" t="s">
        <v>5271</v>
      </c>
      <c r="X292" s="90" t="s">
        <v>162</v>
      </c>
      <c r="Y292" s="90" t="s">
        <v>408</v>
      </c>
      <c r="Z292" s="90"/>
      <c r="AA292" s="93">
        <v>159.29203539823001</v>
      </c>
      <c r="AB292" s="93">
        <v>159.29203539823001</v>
      </c>
      <c r="AC292" s="93">
        <v>13</v>
      </c>
      <c r="AD292" s="93">
        <v>20.707964601769898</v>
      </c>
      <c r="AE292" s="90"/>
      <c r="AF292" s="90"/>
      <c r="AG292" s="90"/>
      <c r="AH292" s="90"/>
      <c r="AI292" s="93">
        <v>0</v>
      </c>
      <c r="AJ292" s="93">
        <v>120</v>
      </c>
      <c r="AK292" s="93">
        <v>13</v>
      </c>
      <c r="AL292" s="93">
        <v>159.292035</v>
      </c>
      <c r="AM292" s="93">
        <v>20.707965000000002</v>
      </c>
      <c r="AN292" s="93">
        <v>180</v>
      </c>
      <c r="AO292" s="93">
        <v>3.98230099563079E-7</v>
      </c>
      <c r="AP292" s="90" t="s">
        <v>5271</v>
      </c>
      <c r="AQ292" s="90" t="s">
        <v>5239</v>
      </c>
      <c r="AR292" s="90"/>
      <c r="AS292" s="90"/>
      <c r="AT292" s="90"/>
      <c r="AU292" s="90"/>
      <c r="AV292" s="90"/>
      <c r="AW292" s="90"/>
      <c r="AX292" s="90"/>
      <c r="AY292" s="90" t="s">
        <v>5230</v>
      </c>
      <c r="AZ292" s="90"/>
      <c r="BA292" s="90" t="s">
        <v>408</v>
      </c>
      <c r="BB292" s="91">
        <v>45929.450034722198</v>
      </c>
      <c r="BC292" s="90" t="s">
        <v>401</v>
      </c>
      <c r="BD292" s="90"/>
      <c r="BE292" s="90"/>
      <c r="BF292" s="90" t="s">
        <v>5231</v>
      </c>
    </row>
    <row r="293" spans="1:58" ht="24.75" customHeight="1">
      <c r="A293" s="90" t="s">
        <v>5221</v>
      </c>
      <c r="B293" s="90"/>
      <c r="C293" s="90"/>
      <c r="D293" s="91">
        <v>45929.450497685197</v>
      </c>
      <c r="E293" s="90" t="s">
        <v>5222</v>
      </c>
      <c r="F293" s="92"/>
      <c r="G293" s="90" t="s">
        <v>5566</v>
      </c>
      <c r="H293" s="90" t="s">
        <v>5383</v>
      </c>
      <c r="I293" s="90" t="s">
        <v>5384</v>
      </c>
      <c r="J293" s="90" t="s">
        <v>5351</v>
      </c>
      <c r="K293" s="93">
        <v>0.8</v>
      </c>
      <c r="L293" s="93">
        <v>130</v>
      </c>
      <c r="M293" s="93">
        <v>104</v>
      </c>
      <c r="N293" s="93">
        <v>104</v>
      </c>
      <c r="O293" s="90" t="s">
        <v>5226</v>
      </c>
      <c r="P293" s="90"/>
      <c r="Q293" s="90" t="s">
        <v>5227</v>
      </c>
      <c r="R293" s="90"/>
      <c r="S293" s="90"/>
      <c r="T293" s="90"/>
      <c r="U293" s="90"/>
      <c r="V293" s="90" t="s">
        <v>5385</v>
      </c>
      <c r="W293" s="90" t="s">
        <v>5271</v>
      </c>
      <c r="X293" s="90" t="s">
        <v>162</v>
      </c>
      <c r="Y293" s="90" t="s">
        <v>408</v>
      </c>
      <c r="Z293" s="90"/>
      <c r="AA293" s="93">
        <v>92.035398230088504</v>
      </c>
      <c r="AB293" s="93">
        <v>92.035398230088504</v>
      </c>
      <c r="AC293" s="93">
        <v>13</v>
      </c>
      <c r="AD293" s="93">
        <v>11.9646017699115</v>
      </c>
      <c r="AE293" s="90"/>
      <c r="AF293" s="90"/>
      <c r="AG293" s="90"/>
      <c r="AH293" s="90"/>
      <c r="AI293" s="93">
        <v>0</v>
      </c>
      <c r="AJ293" s="93">
        <v>130</v>
      </c>
      <c r="AK293" s="93">
        <v>13</v>
      </c>
      <c r="AL293" s="93">
        <v>92.035398400000005</v>
      </c>
      <c r="AM293" s="93">
        <v>11.9646016</v>
      </c>
      <c r="AN293" s="93">
        <v>104</v>
      </c>
      <c r="AO293" s="93">
        <v>-1.6991150175726901E-7</v>
      </c>
      <c r="AP293" s="90" t="s">
        <v>5271</v>
      </c>
      <c r="AQ293" s="90" t="s">
        <v>5229</v>
      </c>
      <c r="AR293" s="90"/>
      <c r="AS293" s="90"/>
      <c r="AT293" s="90"/>
      <c r="AU293" s="90"/>
      <c r="AV293" s="90"/>
      <c r="AW293" s="90"/>
      <c r="AX293" s="90"/>
      <c r="AY293" s="90" t="s">
        <v>5230</v>
      </c>
      <c r="AZ293" s="90"/>
      <c r="BA293" s="90" t="s">
        <v>408</v>
      </c>
      <c r="BB293" s="91">
        <v>45929.450034722198</v>
      </c>
      <c r="BC293" s="90" t="s">
        <v>401</v>
      </c>
      <c r="BD293" s="90"/>
      <c r="BE293" s="90"/>
      <c r="BF293" s="90" t="s">
        <v>5231</v>
      </c>
    </row>
    <row r="294" spans="1:58" ht="24.75" customHeight="1">
      <c r="A294" s="90" t="s">
        <v>5221</v>
      </c>
      <c r="B294" s="90"/>
      <c r="C294" s="90"/>
      <c r="D294" s="91">
        <v>45929.453831018502</v>
      </c>
      <c r="E294" s="90" t="s">
        <v>5222</v>
      </c>
      <c r="F294" s="92"/>
      <c r="G294" s="90" t="s">
        <v>5567</v>
      </c>
      <c r="H294" s="90" t="s">
        <v>5380</v>
      </c>
      <c r="I294" s="90" t="s">
        <v>5381</v>
      </c>
      <c r="J294" s="90" t="s">
        <v>5351</v>
      </c>
      <c r="K294" s="93">
        <v>3.7</v>
      </c>
      <c r="L294" s="93">
        <v>120</v>
      </c>
      <c r="M294" s="93">
        <v>444</v>
      </c>
      <c r="N294" s="93">
        <v>444</v>
      </c>
      <c r="O294" s="90" t="s">
        <v>5226</v>
      </c>
      <c r="P294" s="90"/>
      <c r="Q294" s="90" t="s">
        <v>5227</v>
      </c>
      <c r="R294" s="90"/>
      <c r="S294" s="90"/>
      <c r="T294" s="90"/>
      <c r="U294" s="90"/>
      <c r="V294" s="90"/>
      <c r="W294" s="90" t="s">
        <v>5271</v>
      </c>
      <c r="X294" s="90" t="s">
        <v>162</v>
      </c>
      <c r="Y294" s="90" t="s">
        <v>408</v>
      </c>
      <c r="Z294" s="90"/>
      <c r="AA294" s="93">
        <v>392.92035398230098</v>
      </c>
      <c r="AB294" s="93">
        <v>392.92035398230098</v>
      </c>
      <c r="AC294" s="93">
        <v>13</v>
      </c>
      <c r="AD294" s="93">
        <v>51.079646017699098</v>
      </c>
      <c r="AE294" s="90"/>
      <c r="AF294" s="90"/>
      <c r="AG294" s="90"/>
      <c r="AH294" s="90"/>
      <c r="AI294" s="93">
        <v>0</v>
      </c>
      <c r="AJ294" s="93">
        <v>120</v>
      </c>
      <c r="AK294" s="93">
        <v>13</v>
      </c>
      <c r="AL294" s="93">
        <v>392.92035299999998</v>
      </c>
      <c r="AM294" s="93">
        <v>51.079647000000001</v>
      </c>
      <c r="AN294" s="93">
        <v>444</v>
      </c>
      <c r="AO294" s="93">
        <v>9.8230094636164701E-7</v>
      </c>
      <c r="AP294" s="90" t="s">
        <v>5271</v>
      </c>
      <c r="AQ294" s="90" t="s">
        <v>5239</v>
      </c>
      <c r="AR294" s="90"/>
      <c r="AS294" s="90"/>
      <c r="AT294" s="90"/>
      <c r="AU294" s="90"/>
      <c r="AV294" s="90"/>
      <c r="AW294" s="90"/>
      <c r="AX294" s="90"/>
      <c r="AY294" s="90" t="s">
        <v>5230</v>
      </c>
      <c r="AZ294" s="90"/>
      <c r="BA294" s="90" t="s">
        <v>408</v>
      </c>
      <c r="BB294" s="91">
        <v>45929.453414351898</v>
      </c>
      <c r="BC294" s="90" t="s">
        <v>401</v>
      </c>
      <c r="BD294" s="90"/>
      <c r="BE294" s="90"/>
      <c r="BF294" s="90" t="s">
        <v>5231</v>
      </c>
    </row>
    <row r="295" spans="1:58" ht="24.75" customHeight="1">
      <c r="A295" s="90" t="s">
        <v>5247</v>
      </c>
      <c r="B295" s="90"/>
      <c r="C295" s="90"/>
      <c r="D295" s="91">
        <v>45929.447025463</v>
      </c>
      <c r="E295" s="90" t="s">
        <v>5222</v>
      </c>
      <c r="F295" s="92"/>
      <c r="G295" s="90" t="s">
        <v>5563</v>
      </c>
      <c r="H295" s="90" t="s">
        <v>5324</v>
      </c>
      <c r="I295" s="90" t="s">
        <v>5325</v>
      </c>
      <c r="J295" s="90" t="s">
        <v>5326</v>
      </c>
      <c r="K295" s="93">
        <v>0.4</v>
      </c>
      <c r="L295" s="93">
        <v>28</v>
      </c>
      <c r="M295" s="93">
        <v>11.2</v>
      </c>
      <c r="N295" s="93">
        <v>11.2</v>
      </c>
      <c r="O295" s="90" t="s">
        <v>5226</v>
      </c>
      <c r="P295" s="90"/>
      <c r="Q295" s="90" t="s">
        <v>5227</v>
      </c>
      <c r="R295" s="90"/>
      <c r="S295" s="90"/>
      <c r="T295" s="90"/>
      <c r="U295" s="90"/>
      <c r="V295" s="90" t="s">
        <v>5252</v>
      </c>
      <c r="W295" s="90" t="s">
        <v>94</v>
      </c>
      <c r="X295" s="90" t="s">
        <v>117</v>
      </c>
      <c r="Y295" s="90" t="s">
        <v>5564</v>
      </c>
      <c r="Z295" s="90"/>
      <c r="AA295" s="93">
        <v>9.9115044247787605</v>
      </c>
      <c r="AB295" s="93">
        <v>9.9115044247787605</v>
      </c>
      <c r="AC295" s="93">
        <v>13</v>
      </c>
      <c r="AD295" s="93">
        <v>1.2884955752212399</v>
      </c>
      <c r="AE295" s="90"/>
      <c r="AF295" s="90"/>
      <c r="AG295" s="90"/>
      <c r="AH295" s="90"/>
      <c r="AI295" s="93">
        <v>0</v>
      </c>
      <c r="AJ295" s="93">
        <v>28</v>
      </c>
      <c r="AK295" s="93">
        <v>13</v>
      </c>
      <c r="AL295" s="93">
        <v>9.9115044000000001</v>
      </c>
      <c r="AM295" s="93">
        <v>1.2884956000000001</v>
      </c>
      <c r="AN295" s="93">
        <v>11.2</v>
      </c>
      <c r="AO295" s="93">
        <v>2.4778762153232499E-8</v>
      </c>
      <c r="AP295" s="90" t="s">
        <v>94</v>
      </c>
      <c r="AQ295" s="90" t="s">
        <v>5239</v>
      </c>
      <c r="AR295" s="90"/>
      <c r="AS295" s="90"/>
      <c r="AT295" s="90"/>
      <c r="AU295" s="90"/>
      <c r="AV295" s="90"/>
      <c r="AW295" s="90"/>
      <c r="AX295" s="90"/>
      <c r="AY295" s="90" t="s">
        <v>5230</v>
      </c>
      <c r="AZ295" s="90"/>
      <c r="BA295" s="90" t="s">
        <v>5564</v>
      </c>
      <c r="BB295" s="91">
        <v>45902.4897569444</v>
      </c>
      <c r="BC295" s="90" t="s">
        <v>402</v>
      </c>
      <c r="BD295" s="90"/>
      <c r="BE295" s="90"/>
      <c r="BF295" s="90" t="s">
        <v>5565</v>
      </c>
    </row>
    <row r="296" spans="1:58" ht="24.75" customHeight="1">
      <c r="A296" s="90" t="s">
        <v>5247</v>
      </c>
      <c r="B296" s="90"/>
      <c r="C296" s="90"/>
      <c r="D296" s="91">
        <v>45929.447025463</v>
      </c>
      <c r="E296" s="90" t="s">
        <v>5222</v>
      </c>
      <c r="F296" s="92"/>
      <c r="G296" s="90" t="s">
        <v>5563</v>
      </c>
      <c r="H296" s="90" t="s">
        <v>5546</v>
      </c>
      <c r="I296" s="90" t="s">
        <v>5547</v>
      </c>
      <c r="J296" s="90" t="s">
        <v>5548</v>
      </c>
      <c r="K296" s="93">
        <v>20</v>
      </c>
      <c r="L296" s="93">
        <v>2</v>
      </c>
      <c r="M296" s="93">
        <v>40</v>
      </c>
      <c r="N296" s="93">
        <v>40</v>
      </c>
      <c r="O296" s="90" t="s">
        <v>5226</v>
      </c>
      <c r="P296" s="90"/>
      <c r="Q296" s="90" t="s">
        <v>5227</v>
      </c>
      <c r="R296" s="90"/>
      <c r="S296" s="90"/>
      <c r="T296" s="90"/>
      <c r="U296" s="90"/>
      <c r="V296" s="90" t="s">
        <v>5385</v>
      </c>
      <c r="W296" s="90" t="s">
        <v>94</v>
      </c>
      <c r="X296" s="90" t="s">
        <v>117</v>
      </c>
      <c r="Y296" s="90" t="s">
        <v>5564</v>
      </c>
      <c r="Z296" s="90"/>
      <c r="AA296" s="93">
        <v>35.398230088495602</v>
      </c>
      <c r="AB296" s="93">
        <v>35.398230088495602</v>
      </c>
      <c r="AC296" s="93">
        <v>13</v>
      </c>
      <c r="AD296" s="93">
        <v>4.6017699115044204</v>
      </c>
      <c r="AE296" s="90"/>
      <c r="AF296" s="90"/>
      <c r="AG296" s="90"/>
      <c r="AH296" s="90"/>
      <c r="AI296" s="93">
        <v>0</v>
      </c>
      <c r="AJ296" s="93">
        <v>2</v>
      </c>
      <c r="AK296" s="93">
        <v>13</v>
      </c>
      <c r="AL296" s="93">
        <v>35.398240000000001</v>
      </c>
      <c r="AM296" s="93">
        <v>4.6017599999999996</v>
      </c>
      <c r="AN296" s="93">
        <v>40</v>
      </c>
      <c r="AO296" s="93">
        <v>-9.9115044207565006E-6</v>
      </c>
      <c r="AP296" s="90" t="s">
        <v>94</v>
      </c>
      <c r="AQ296" s="90" t="s">
        <v>5239</v>
      </c>
      <c r="AR296" s="90"/>
      <c r="AS296" s="90"/>
      <c r="AT296" s="90"/>
      <c r="AU296" s="90"/>
      <c r="AV296" s="90"/>
      <c r="AW296" s="90"/>
      <c r="AX296" s="90"/>
      <c r="AY296" s="90" t="s">
        <v>5230</v>
      </c>
      <c r="AZ296" s="90"/>
      <c r="BA296" s="90" t="s">
        <v>5564</v>
      </c>
      <c r="BB296" s="91">
        <v>45902.4897569444</v>
      </c>
      <c r="BC296" s="90" t="s">
        <v>402</v>
      </c>
      <c r="BD296" s="90"/>
      <c r="BE296" s="90"/>
      <c r="BF296" s="90" t="s">
        <v>5565</v>
      </c>
    </row>
    <row r="297" spans="1:58" ht="24.75" customHeight="1">
      <c r="A297" s="90" t="s">
        <v>5247</v>
      </c>
      <c r="B297" s="90"/>
      <c r="C297" s="90"/>
      <c r="D297" s="91">
        <v>45929.447025463</v>
      </c>
      <c r="E297" s="90" t="s">
        <v>5222</v>
      </c>
      <c r="F297" s="92"/>
      <c r="G297" s="90" t="s">
        <v>5563</v>
      </c>
      <c r="H297" s="90" t="s">
        <v>5538</v>
      </c>
      <c r="I297" s="90" t="s">
        <v>5539</v>
      </c>
      <c r="J297" s="90" t="s">
        <v>5267</v>
      </c>
      <c r="K297" s="93">
        <v>160</v>
      </c>
      <c r="L297" s="93">
        <v>0.5</v>
      </c>
      <c r="M297" s="93">
        <v>80</v>
      </c>
      <c r="N297" s="93">
        <v>80</v>
      </c>
      <c r="O297" s="90" t="s">
        <v>5226</v>
      </c>
      <c r="P297" s="90"/>
      <c r="Q297" s="90" t="s">
        <v>5227</v>
      </c>
      <c r="R297" s="90"/>
      <c r="S297" s="90"/>
      <c r="T297" s="90"/>
      <c r="U297" s="90"/>
      <c r="V297" s="90" t="s">
        <v>5540</v>
      </c>
      <c r="W297" s="90" t="s">
        <v>94</v>
      </c>
      <c r="X297" s="90" t="s">
        <v>117</v>
      </c>
      <c r="Y297" s="90" t="s">
        <v>5564</v>
      </c>
      <c r="Z297" s="90"/>
      <c r="AA297" s="93">
        <v>70.796460176991204</v>
      </c>
      <c r="AB297" s="93">
        <v>70.796460176991204</v>
      </c>
      <c r="AC297" s="93">
        <v>13</v>
      </c>
      <c r="AD297" s="93">
        <v>9.2035398230088497</v>
      </c>
      <c r="AE297" s="90"/>
      <c r="AF297" s="90"/>
      <c r="AG297" s="90"/>
      <c r="AH297" s="90"/>
      <c r="AI297" s="93">
        <v>0</v>
      </c>
      <c r="AJ297" s="93">
        <v>0.5</v>
      </c>
      <c r="AK297" s="93">
        <v>13</v>
      </c>
      <c r="AL297" s="93">
        <v>70.796480000000003</v>
      </c>
      <c r="AM297" s="93">
        <v>9.2035199999999993</v>
      </c>
      <c r="AN297" s="93">
        <v>80</v>
      </c>
      <c r="AO297" s="93">
        <v>-1.9823008841513001E-5</v>
      </c>
      <c r="AP297" s="90" t="s">
        <v>94</v>
      </c>
      <c r="AQ297" s="90" t="s">
        <v>5541</v>
      </c>
      <c r="AR297" s="90"/>
      <c r="AS297" s="90"/>
      <c r="AT297" s="90"/>
      <c r="AU297" s="90"/>
      <c r="AV297" s="90"/>
      <c r="AW297" s="90"/>
      <c r="AX297" s="90"/>
      <c r="AY297" s="90" t="s">
        <v>5230</v>
      </c>
      <c r="AZ297" s="90"/>
      <c r="BA297" s="90" t="s">
        <v>5564</v>
      </c>
      <c r="BB297" s="91">
        <v>45902.4897569444</v>
      </c>
      <c r="BC297" s="90" t="s">
        <v>402</v>
      </c>
      <c r="BD297" s="90"/>
      <c r="BE297" s="90"/>
      <c r="BF297" s="90" t="s">
        <v>5565</v>
      </c>
    </row>
    <row r="298" spans="1:58" ht="24.75" customHeight="1">
      <c r="A298" s="90" t="s">
        <v>5247</v>
      </c>
      <c r="B298" s="90"/>
      <c r="C298" s="90"/>
      <c r="D298" s="91">
        <v>45929.447592592602</v>
      </c>
      <c r="E298" s="90" t="s">
        <v>5222</v>
      </c>
      <c r="F298" s="92"/>
      <c r="G298" s="90" t="s">
        <v>5568</v>
      </c>
      <c r="H298" s="90" t="s">
        <v>5524</v>
      </c>
      <c r="I298" s="90" t="s">
        <v>5525</v>
      </c>
      <c r="J298" s="90" t="s">
        <v>5377</v>
      </c>
      <c r="K298" s="93">
        <v>4</v>
      </c>
      <c r="L298" s="93">
        <v>4</v>
      </c>
      <c r="M298" s="93">
        <v>16</v>
      </c>
      <c r="N298" s="93">
        <v>16</v>
      </c>
      <c r="O298" s="90" t="s">
        <v>5226</v>
      </c>
      <c r="P298" s="90"/>
      <c r="Q298" s="90" t="s">
        <v>5227</v>
      </c>
      <c r="R298" s="90"/>
      <c r="S298" s="90"/>
      <c r="T298" s="90"/>
      <c r="U298" s="90"/>
      <c r="V298" s="90" t="s">
        <v>5385</v>
      </c>
      <c r="W298" s="90" t="s">
        <v>94</v>
      </c>
      <c r="X298" s="90" t="s">
        <v>114</v>
      </c>
      <c r="Y298" s="90" t="s">
        <v>5569</v>
      </c>
      <c r="Z298" s="90"/>
      <c r="AA298" s="93">
        <v>16</v>
      </c>
      <c r="AB298" s="93">
        <v>16</v>
      </c>
      <c r="AC298" s="93">
        <v>0</v>
      </c>
      <c r="AD298" s="93">
        <v>0</v>
      </c>
      <c r="AE298" s="90"/>
      <c r="AF298" s="90"/>
      <c r="AG298" s="90"/>
      <c r="AH298" s="90"/>
      <c r="AI298" s="93">
        <v>0</v>
      </c>
      <c r="AJ298" s="93">
        <v>4</v>
      </c>
      <c r="AK298" s="93">
        <v>0</v>
      </c>
      <c r="AL298" s="93">
        <v>16</v>
      </c>
      <c r="AM298" s="93">
        <v>0</v>
      </c>
      <c r="AN298" s="93">
        <v>16</v>
      </c>
      <c r="AO298" s="93">
        <v>0</v>
      </c>
      <c r="AP298" s="90" t="s">
        <v>94</v>
      </c>
      <c r="AQ298" s="90" t="s">
        <v>5239</v>
      </c>
      <c r="AR298" s="90"/>
      <c r="AS298" s="90"/>
      <c r="AT298" s="90"/>
      <c r="AU298" s="90"/>
      <c r="AV298" s="90"/>
      <c r="AW298" s="90"/>
      <c r="AX298" s="90"/>
      <c r="AY298" s="90" t="s">
        <v>5230</v>
      </c>
      <c r="AZ298" s="90"/>
      <c r="BA298" s="90" t="s">
        <v>5569</v>
      </c>
      <c r="BB298" s="91">
        <v>45910.458483796298</v>
      </c>
      <c r="BC298" s="90" t="s">
        <v>404</v>
      </c>
      <c r="BD298" s="90"/>
      <c r="BE298" s="90"/>
      <c r="BF298" s="90" t="s">
        <v>5570</v>
      </c>
    </row>
    <row r="299" spans="1:58" ht="24.75" customHeight="1">
      <c r="A299" s="90" t="s">
        <v>5247</v>
      </c>
      <c r="B299" s="90"/>
      <c r="C299" s="90"/>
      <c r="D299" s="91">
        <v>45929.447592592602</v>
      </c>
      <c r="E299" s="90" t="s">
        <v>5222</v>
      </c>
      <c r="F299" s="92"/>
      <c r="G299" s="90" t="s">
        <v>5568</v>
      </c>
      <c r="H299" s="90" t="s">
        <v>5529</v>
      </c>
      <c r="I299" s="90" t="s">
        <v>5530</v>
      </c>
      <c r="J299" s="90"/>
      <c r="K299" s="93">
        <v>1</v>
      </c>
      <c r="L299" s="93">
        <v>5.5</v>
      </c>
      <c r="M299" s="93">
        <v>5.5</v>
      </c>
      <c r="N299" s="93">
        <v>5.5</v>
      </c>
      <c r="O299" s="90" t="s">
        <v>5226</v>
      </c>
      <c r="P299" s="90"/>
      <c r="Q299" s="90" t="s">
        <v>5227</v>
      </c>
      <c r="R299" s="90"/>
      <c r="S299" s="90"/>
      <c r="T299" s="90"/>
      <c r="U299" s="90"/>
      <c r="V299" s="90" t="s">
        <v>5531</v>
      </c>
      <c r="W299" s="90" t="s">
        <v>94</v>
      </c>
      <c r="X299" s="90" t="s">
        <v>114</v>
      </c>
      <c r="Y299" s="90" t="s">
        <v>5569</v>
      </c>
      <c r="Z299" s="90"/>
      <c r="AA299" s="93">
        <v>4.8672566371681398</v>
      </c>
      <c r="AB299" s="93">
        <v>4.8672566371681398</v>
      </c>
      <c r="AC299" s="93">
        <v>13</v>
      </c>
      <c r="AD299" s="93">
        <v>0.63274336283185795</v>
      </c>
      <c r="AE299" s="90"/>
      <c r="AF299" s="90"/>
      <c r="AG299" s="90"/>
      <c r="AH299" s="90"/>
      <c r="AI299" s="93">
        <v>0</v>
      </c>
      <c r="AJ299" s="93">
        <v>5.5</v>
      </c>
      <c r="AK299" s="93">
        <v>13</v>
      </c>
      <c r="AL299" s="93">
        <v>4.8672570000000004</v>
      </c>
      <c r="AM299" s="93">
        <v>0.63274300000000006</v>
      </c>
      <c r="AN299" s="93">
        <v>5.5</v>
      </c>
      <c r="AO299" s="93">
        <v>-3.6283185878005503E-7</v>
      </c>
      <c r="AP299" s="90" t="s">
        <v>94</v>
      </c>
      <c r="AQ299" s="90" t="s">
        <v>498</v>
      </c>
      <c r="AR299" s="90"/>
      <c r="AS299" s="90"/>
      <c r="AT299" s="90"/>
      <c r="AU299" s="90"/>
      <c r="AV299" s="90"/>
      <c r="AW299" s="90"/>
      <c r="AX299" s="90"/>
      <c r="AY299" s="90" t="s">
        <v>5230</v>
      </c>
      <c r="AZ299" s="90"/>
      <c r="BA299" s="90" t="s">
        <v>5569</v>
      </c>
      <c r="BB299" s="91">
        <v>45902.4897569444</v>
      </c>
      <c r="BC299" s="90" t="s">
        <v>402</v>
      </c>
      <c r="BD299" s="90"/>
      <c r="BE299" s="90"/>
      <c r="BF299" s="90" t="s">
        <v>5570</v>
      </c>
    </row>
    <row r="300" spans="1:58" ht="24.75" customHeight="1">
      <c r="A300" s="90" t="s">
        <v>5247</v>
      </c>
      <c r="B300" s="90"/>
      <c r="C300" s="90"/>
      <c r="D300" s="91">
        <v>45929.447592592602</v>
      </c>
      <c r="E300" s="90" t="s">
        <v>5222</v>
      </c>
      <c r="F300" s="92"/>
      <c r="G300" s="90" t="s">
        <v>5568</v>
      </c>
      <c r="H300" s="90" t="s">
        <v>5324</v>
      </c>
      <c r="I300" s="90" t="s">
        <v>5325</v>
      </c>
      <c r="J300" s="90" t="s">
        <v>5326</v>
      </c>
      <c r="K300" s="93">
        <v>0.4</v>
      </c>
      <c r="L300" s="93">
        <v>28</v>
      </c>
      <c r="M300" s="93">
        <v>11.2</v>
      </c>
      <c r="N300" s="93">
        <v>11.2</v>
      </c>
      <c r="O300" s="90" t="s">
        <v>5226</v>
      </c>
      <c r="P300" s="90"/>
      <c r="Q300" s="90" t="s">
        <v>5227</v>
      </c>
      <c r="R300" s="90"/>
      <c r="S300" s="90"/>
      <c r="T300" s="90"/>
      <c r="U300" s="90"/>
      <c r="V300" s="90" t="s">
        <v>5252</v>
      </c>
      <c r="W300" s="90" t="s">
        <v>94</v>
      </c>
      <c r="X300" s="90" t="s">
        <v>114</v>
      </c>
      <c r="Y300" s="90" t="s">
        <v>5569</v>
      </c>
      <c r="Z300" s="90"/>
      <c r="AA300" s="93">
        <v>9.9115044247787605</v>
      </c>
      <c r="AB300" s="93">
        <v>9.9115044247787605</v>
      </c>
      <c r="AC300" s="93">
        <v>13</v>
      </c>
      <c r="AD300" s="93">
        <v>1.2884955752212399</v>
      </c>
      <c r="AE300" s="90"/>
      <c r="AF300" s="90"/>
      <c r="AG300" s="90"/>
      <c r="AH300" s="90"/>
      <c r="AI300" s="93">
        <v>0</v>
      </c>
      <c r="AJ300" s="93">
        <v>28</v>
      </c>
      <c r="AK300" s="93">
        <v>13</v>
      </c>
      <c r="AL300" s="93">
        <v>9.9115044000000001</v>
      </c>
      <c r="AM300" s="93">
        <v>1.2884956000000001</v>
      </c>
      <c r="AN300" s="93">
        <v>11.2</v>
      </c>
      <c r="AO300" s="93">
        <v>2.4778762153232499E-8</v>
      </c>
      <c r="AP300" s="90" t="s">
        <v>94</v>
      </c>
      <c r="AQ300" s="90" t="s">
        <v>5239</v>
      </c>
      <c r="AR300" s="90"/>
      <c r="AS300" s="90"/>
      <c r="AT300" s="90"/>
      <c r="AU300" s="90"/>
      <c r="AV300" s="90"/>
      <c r="AW300" s="90"/>
      <c r="AX300" s="90"/>
      <c r="AY300" s="90" t="s">
        <v>5230</v>
      </c>
      <c r="AZ300" s="90"/>
      <c r="BA300" s="90" t="s">
        <v>5569</v>
      </c>
      <c r="BB300" s="91">
        <v>45902.4897569444</v>
      </c>
      <c r="BC300" s="90" t="s">
        <v>402</v>
      </c>
      <c r="BD300" s="90"/>
      <c r="BE300" s="90"/>
      <c r="BF300" s="90" t="s">
        <v>5570</v>
      </c>
    </row>
    <row r="301" spans="1:58" ht="24.75" customHeight="1">
      <c r="A301" s="90" t="s">
        <v>5247</v>
      </c>
      <c r="B301" s="90"/>
      <c r="C301" s="90"/>
      <c r="D301" s="91">
        <v>45929.447592592602</v>
      </c>
      <c r="E301" s="90" t="s">
        <v>5222</v>
      </c>
      <c r="F301" s="92"/>
      <c r="G301" s="90" t="s">
        <v>5568</v>
      </c>
      <c r="H301" s="90" t="s">
        <v>5546</v>
      </c>
      <c r="I301" s="90" t="s">
        <v>5547</v>
      </c>
      <c r="J301" s="90" t="s">
        <v>5548</v>
      </c>
      <c r="K301" s="93">
        <v>30</v>
      </c>
      <c r="L301" s="93">
        <v>2</v>
      </c>
      <c r="M301" s="93">
        <v>60</v>
      </c>
      <c r="N301" s="93">
        <v>60</v>
      </c>
      <c r="O301" s="90" t="s">
        <v>5226</v>
      </c>
      <c r="P301" s="90"/>
      <c r="Q301" s="90" t="s">
        <v>5227</v>
      </c>
      <c r="R301" s="90"/>
      <c r="S301" s="90"/>
      <c r="T301" s="90"/>
      <c r="U301" s="90"/>
      <c r="V301" s="90" t="s">
        <v>5385</v>
      </c>
      <c r="W301" s="90" t="s">
        <v>94</v>
      </c>
      <c r="X301" s="90" t="s">
        <v>114</v>
      </c>
      <c r="Y301" s="90" t="s">
        <v>5569</v>
      </c>
      <c r="Z301" s="90"/>
      <c r="AA301" s="93">
        <v>53.097345132743399</v>
      </c>
      <c r="AB301" s="93">
        <v>53.097345132743399</v>
      </c>
      <c r="AC301" s="93">
        <v>13</v>
      </c>
      <c r="AD301" s="93">
        <v>6.9026548672566301</v>
      </c>
      <c r="AE301" s="90"/>
      <c r="AF301" s="90"/>
      <c r="AG301" s="90"/>
      <c r="AH301" s="90"/>
      <c r="AI301" s="93">
        <v>0</v>
      </c>
      <c r="AJ301" s="93">
        <v>2</v>
      </c>
      <c r="AK301" s="93">
        <v>13</v>
      </c>
      <c r="AL301" s="93">
        <v>53.097360000000002</v>
      </c>
      <c r="AM301" s="93">
        <v>6.9026399999999999</v>
      </c>
      <c r="AN301" s="93">
        <v>60</v>
      </c>
      <c r="AO301" s="93">
        <v>-1.48672566240293E-5</v>
      </c>
      <c r="AP301" s="90" t="s">
        <v>94</v>
      </c>
      <c r="AQ301" s="90" t="s">
        <v>5239</v>
      </c>
      <c r="AR301" s="90"/>
      <c r="AS301" s="90"/>
      <c r="AT301" s="90"/>
      <c r="AU301" s="90"/>
      <c r="AV301" s="90"/>
      <c r="AW301" s="90"/>
      <c r="AX301" s="90"/>
      <c r="AY301" s="90" t="s">
        <v>5230</v>
      </c>
      <c r="AZ301" s="90"/>
      <c r="BA301" s="90" t="s">
        <v>5569</v>
      </c>
      <c r="BB301" s="91">
        <v>45902.4897569444</v>
      </c>
      <c r="BC301" s="90" t="s">
        <v>402</v>
      </c>
      <c r="BD301" s="90"/>
      <c r="BE301" s="90"/>
      <c r="BF301" s="90" t="s">
        <v>5570</v>
      </c>
    </row>
    <row r="302" spans="1:58" ht="24.75" customHeight="1">
      <c r="A302" s="90" t="s">
        <v>5247</v>
      </c>
      <c r="B302" s="90"/>
      <c r="C302" s="90"/>
      <c r="D302" s="91">
        <v>45929.447592592602</v>
      </c>
      <c r="E302" s="90" t="s">
        <v>5222</v>
      </c>
      <c r="F302" s="92"/>
      <c r="G302" s="90" t="s">
        <v>5568</v>
      </c>
      <c r="H302" s="90" t="s">
        <v>5538</v>
      </c>
      <c r="I302" s="90" t="s">
        <v>5539</v>
      </c>
      <c r="J302" s="90" t="s">
        <v>5267</v>
      </c>
      <c r="K302" s="93">
        <v>260</v>
      </c>
      <c r="L302" s="93">
        <v>0.5</v>
      </c>
      <c r="M302" s="93">
        <v>130</v>
      </c>
      <c r="N302" s="93">
        <v>130</v>
      </c>
      <c r="O302" s="90" t="s">
        <v>5226</v>
      </c>
      <c r="P302" s="90"/>
      <c r="Q302" s="90" t="s">
        <v>5227</v>
      </c>
      <c r="R302" s="90"/>
      <c r="S302" s="90"/>
      <c r="T302" s="90"/>
      <c r="U302" s="90"/>
      <c r="V302" s="90" t="s">
        <v>5540</v>
      </c>
      <c r="W302" s="90" t="s">
        <v>94</v>
      </c>
      <c r="X302" s="90" t="s">
        <v>114</v>
      </c>
      <c r="Y302" s="90" t="s">
        <v>5569</v>
      </c>
      <c r="Z302" s="90"/>
      <c r="AA302" s="93">
        <v>115.044247787611</v>
      </c>
      <c r="AB302" s="93">
        <v>115.044247787611</v>
      </c>
      <c r="AC302" s="93">
        <v>13</v>
      </c>
      <c r="AD302" s="93">
        <v>14.955752212389401</v>
      </c>
      <c r="AE302" s="90"/>
      <c r="AF302" s="90"/>
      <c r="AG302" s="90"/>
      <c r="AH302" s="90"/>
      <c r="AI302" s="93">
        <v>0</v>
      </c>
      <c r="AJ302" s="93">
        <v>0.5</v>
      </c>
      <c r="AK302" s="93">
        <v>13</v>
      </c>
      <c r="AL302" s="93">
        <v>115.04428</v>
      </c>
      <c r="AM302" s="93">
        <v>14.955719999999999</v>
      </c>
      <c r="AN302" s="93">
        <v>130</v>
      </c>
      <c r="AO302" s="93">
        <v>-3.22123893710113E-5</v>
      </c>
      <c r="AP302" s="90" t="s">
        <v>94</v>
      </c>
      <c r="AQ302" s="90" t="s">
        <v>5541</v>
      </c>
      <c r="AR302" s="90"/>
      <c r="AS302" s="90"/>
      <c r="AT302" s="90"/>
      <c r="AU302" s="90"/>
      <c r="AV302" s="90"/>
      <c r="AW302" s="90"/>
      <c r="AX302" s="90"/>
      <c r="AY302" s="90" t="s">
        <v>5230</v>
      </c>
      <c r="AZ302" s="90"/>
      <c r="BA302" s="90" t="s">
        <v>5569</v>
      </c>
      <c r="BB302" s="91">
        <v>45902.4897569444</v>
      </c>
      <c r="BC302" s="90" t="s">
        <v>402</v>
      </c>
      <c r="BD302" s="90"/>
      <c r="BE302" s="90"/>
      <c r="BF302" s="90" t="s">
        <v>5570</v>
      </c>
    </row>
    <row r="303" spans="1:58" ht="24.75" customHeight="1">
      <c r="A303" s="90" t="s">
        <v>5247</v>
      </c>
      <c r="B303" s="90"/>
      <c r="C303" s="90"/>
      <c r="D303" s="91">
        <v>45929.448402777802</v>
      </c>
      <c r="E303" s="90" t="s">
        <v>5222</v>
      </c>
      <c r="F303" s="92"/>
      <c r="G303" s="90" t="s">
        <v>5571</v>
      </c>
      <c r="H303" s="90" t="s">
        <v>5524</v>
      </c>
      <c r="I303" s="90" t="s">
        <v>5525</v>
      </c>
      <c r="J303" s="90" t="s">
        <v>5377</v>
      </c>
      <c r="K303" s="93">
        <v>4</v>
      </c>
      <c r="L303" s="93">
        <v>4</v>
      </c>
      <c r="M303" s="93">
        <v>16</v>
      </c>
      <c r="N303" s="93">
        <v>16</v>
      </c>
      <c r="O303" s="90" t="s">
        <v>5226</v>
      </c>
      <c r="P303" s="90"/>
      <c r="Q303" s="90" t="s">
        <v>5227</v>
      </c>
      <c r="R303" s="90"/>
      <c r="S303" s="90"/>
      <c r="T303" s="90"/>
      <c r="U303" s="90"/>
      <c r="V303" s="90" t="s">
        <v>5385</v>
      </c>
      <c r="W303" s="90" t="s">
        <v>94</v>
      </c>
      <c r="X303" s="90" t="s">
        <v>111</v>
      </c>
      <c r="Y303" s="90" t="s">
        <v>5572</v>
      </c>
      <c r="Z303" s="90"/>
      <c r="AA303" s="93">
        <v>16</v>
      </c>
      <c r="AB303" s="93">
        <v>16</v>
      </c>
      <c r="AC303" s="93">
        <v>0</v>
      </c>
      <c r="AD303" s="93">
        <v>0</v>
      </c>
      <c r="AE303" s="90"/>
      <c r="AF303" s="90"/>
      <c r="AG303" s="90"/>
      <c r="AH303" s="90"/>
      <c r="AI303" s="93">
        <v>0</v>
      </c>
      <c r="AJ303" s="93">
        <v>4</v>
      </c>
      <c r="AK303" s="93">
        <v>0</v>
      </c>
      <c r="AL303" s="93">
        <v>16</v>
      </c>
      <c r="AM303" s="93">
        <v>0</v>
      </c>
      <c r="AN303" s="93">
        <v>16</v>
      </c>
      <c r="AO303" s="93">
        <v>0</v>
      </c>
      <c r="AP303" s="90" t="s">
        <v>94</v>
      </c>
      <c r="AQ303" s="90" t="s">
        <v>5239</v>
      </c>
      <c r="AR303" s="90"/>
      <c r="AS303" s="90"/>
      <c r="AT303" s="90"/>
      <c r="AU303" s="90"/>
      <c r="AV303" s="90"/>
      <c r="AW303" s="90"/>
      <c r="AX303" s="90"/>
      <c r="AY303" s="90" t="s">
        <v>5230</v>
      </c>
      <c r="AZ303" s="90"/>
      <c r="BA303" s="90" t="s">
        <v>5572</v>
      </c>
      <c r="BB303" s="91">
        <v>45910.458483796298</v>
      </c>
      <c r="BC303" s="90" t="s">
        <v>404</v>
      </c>
      <c r="BD303" s="90"/>
      <c r="BE303" s="90"/>
      <c r="BF303" s="90" t="s">
        <v>5537</v>
      </c>
    </row>
    <row r="304" spans="1:58" ht="24.75" customHeight="1">
      <c r="A304" s="90" t="s">
        <v>5247</v>
      </c>
      <c r="B304" s="90"/>
      <c r="C304" s="90"/>
      <c r="D304" s="91">
        <v>45929.448402777802</v>
      </c>
      <c r="E304" s="90" t="s">
        <v>5222</v>
      </c>
      <c r="F304" s="92"/>
      <c r="G304" s="90" t="s">
        <v>5571</v>
      </c>
      <c r="H304" s="90" t="s">
        <v>5503</v>
      </c>
      <c r="I304" s="90" t="s">
        <v>5504</v>
      </c>
      <c r="J304" s="90"/>
      <c r="K304" s="93">
        <v>0.6</v>
      </c>
      <c r="L304" s="93">
        <v>18</v>
      </c>
      <c r="M304" s="93">
        <v>10.8</v>
      </c>
      <c r="N304" s="93">
        <v>10.8</v>
      </c>
      <c r="O304" s="90" t="s">
        <v>5226</v>
      </c>
      <c r="P304" s="90"/>
      <c r="Q304" s="90" t="s">
        <v>5227</v>
      </c>
      <c r="R304" s="90"/>
      <c r="S304" s="90"/>
      <c r="T304" s="90"/>
      <c r="U304" s="90"/>
      <c r="V304" s="90" t="s">
        <v>5252</v>
      </c>
      <c r="W304" s="90" t="s">
        <v>94</v>
      </c>
      <c r="X304" s="90" t="s">
        <v>111</v>
      </c>
      <c r="Y304" s="90" t="s">
        <v>5572</v>
      </c>
      <c r="Z304" s="90"/>
      <c r="AA304" s="93">
        <v>9.5575221238938095</v>
      </c>
      <c r="AB304" s="93">
        <v>9.5575221238938095</v>
      </c>
      <c r="AC304" s="93">
        <v>13</v>
      </c>
      <c r="AD304" s="93">
        <v>1.2424778761061901</v>
      </c>
      <c r="AE304" s="90"/>
      <c r="AF304" s="90"/>
      <c r="AG304" s="90"/>
      <c r="AH304" s="90"/>
      <c r="AI304" s="93">
        <v>0</v>
      </c>
      <c r="AJ304" s="93">
        <v>18</v>
      </c>
      <c r="AK304" s="93">
        <v>13</v>
      </c>
      <c r="AL304" s="93">
        <v>9.5575223999999999</v>
      </c>
      <c r="AM304" s="93">
        <v>1.2424776</v>
      </c>
      <c r="AN304" s="93">
        <v>10.8</v>
      </c>
      <c r="AO304" s="93">
        <v>-2.7610619390827699E-7</v>
      </c>
      <c r="AP304" s="90" t="s">
        <v>94</v>
      </c>
      <c r="AQ304" s="90" t="s">
        <v>5239</v>
      </c>
      <c r="AR304" s="90"/>
      <c r="AS304" s="90"/>
      <c r="AT304" s="90"/>
      <c r="AU304" s="90"/>
      <c r="AV304" s="90"/>
      <c r="AW304" s="90"/>
      <c r="AX304" s="90"/>
      <c r="AY304" s="90" t="s">
        <v>5230</v>
      </c>
      <c r="AZ304" s="90"/>
      <c r="BA304" s="90" t="s">
        <v>5572</v>
      </c>
      <c r="BB304" s="91">
        <v>45902.4897569444</v>
      </c>
      <c r="BC304" s="90" t="s">
        <v>402</v>
      </c>
      <c r="BD304" s="90"/>
      <c r="BE304" s="90"/>
      <c r="BF304" s="90" t="s">
        <v>5537</v>
      </c>
    </row>
    <row r="305" spans="1:58" ht="24.75" customHeight="1">
      <c r="A305" s="90" t="s">
        <v>5247</v>
      </c>
      <c r="B305" s="90"/>
      <c r="C305" s="90"/>
      <c r="D305" s="91">
        <v>45929.448402777802</v>
      </c>
      <c r="E305" s="90" t="s">
        <v>5222</v>
      </c>
      <c r="F305" s="92"/>
      <c r="G305" s="90" t="s">
        <v>5571</v>
      </c>
      <c r="H305" s="90" t="s">
        <v>5546</v>
      </c>
      <c r="I305" s="90" t="s">
        <v>5547</v>
      </c>
      <c r="J305" s="90" t="s">
        <v>5548</v>
      </c>
      <c r="K305" s="93">
        <v>35</v>
      </c>
      <c r="L305" s="93">
        <v>2</v>
      </c>
      <c r="M305" s="93">
        <v>70</v>
      </c>
      <c r="N305" s="93">
        <v>70</v>
      </c>
      <c r="O305" s="90" t="s">
        <v>5226</v>
      </c>
      <c r="P305" s="90"/>
      <c r="Q305" s="90" t="s">
        <v>5227</v>
      </c>
      <c r="R305" s="90"/>
      <c r="S305" s="90"/>
      <c r="T305" s="90"/>
      <c r="U305" s="90"/>
      <c r="V305" s="90" t="s">
        <v>5385</v>
      </c>
      <c r="W305" s="90" t="s">
        <v>94</v>
      </c>
      <c r="X305" s="90" t="s">
        <v>111</v>
      </c>
      <c r="Y305" s="90" t="s">
        <v>5572</v>
      </c>
      <c r="Z305" s="90"/>
      <c r="AA305" s="93">
        <v>61.946902654867301</v>
      </c>
      <c r="AB305" s="93">
        <v>61.946902654867301</v>
      </c>
      <c r="AC305" s="93">
        <v>13</v>
      </c>
      <c r="AD305" s="93">
        <v>8.0530973451327394</v>
      </c>
      <c r="AE305" s="90"/>
      <c r="AF305" s="90"/>
      <c r="AG305" s="90"/>
      <c r="AH305" s="90"/>
      <c r="AI305" s="93">
        <v>0</v>
      </c>
      <c r="AJ305" s="93">
        <v>2</v>
      </c>
      <c r="AK305" s="93">
        <v>13</v>
      </c>
      <c r="AL305" s="93">
        <v>61.946919999999999</v>
      </c>
      <c r="AM305" s="93">
        <v>8.0530799999999996</v>
      </c>
      <c r="AN305" s="93">
        <v>70</v>
      </c>
      <c r="AO305" s="93">
        <v>-1.73451327327712E-5</v>
      </c>
      <c r="AP305" s="90" t="s">
        <v>94</v>
      </c>
      <c r="AQ305" s="90" t="s">
        <v>5239</v>
      </c>
      <c r="AR305" s="90"/>
      <c r="AS305" s="90"/>
      <c r="AT305" s="90"/>
      <c r="AU305" s="90"/>
      <c r="AV305" s="90"/>
      <c r="AW305" s="90"/>
      <c r="AX305" s="90"/>
      <c r="AY305" s="90" t="s">
        <v>5230</v>
      </c>
      <c r="AZ305" s="90"/>
      <c r="BA305" s="90" t="s">
        <v>5572</v>
      </c>
      <c r="BB305" s="91">
        <v>45902.4897569444</v>
      </c>
      <c r="BC305" s="90" t="s">
        <v>402</v>
      </c>
      <c r="BD305" s="90"/>
      <c r="BE305" s="90"/>
      <c r="BF305" s="90" t="s">
        <v>5537</v>
      </c>
    </row>
    <row r="306" spans="1:58" ht="24.75" customHeight="1">
      <c r="A306" s="90" t="s">
        <v>5247</v>
      </c>
      <c r="B306" s="90"/>
      <c r="C306" s="90"/>
      <c r="D306" s="91">
        <v>45929.448402777802</v>
      </c>
      <c r="E306" s="90" t="s">
        <v>5222</v>
      </c>
      <c r="F306" s="92"/>
      <c r="G306" s="90" t="s">
        <v>5571</v>
      </c>
      <c r="H306" s="90" t="s">
        <v>5538</v>
      </c>
      <c r="I306" s="90" t="s">
        <v>5539</v>
      </c>
      <c r="J306" s="90" t="s">
        <v>5267</v>
      </c>
      <c r="K306" s="93">
        <v>300</v>
      </c>
      <c r="L306" s="93">
        <v>0.5</v>
      </c>
      <c r="M306" s="93">
        <v>150</v>
      </c>
      <c r="N306" s="93">
        <v>150</v>
      </c>
      <c r="O306" s="90" t="s">
        <v>5226</v>
      </c>
      <c r="P306" s="90"/>
      <c r="Q306" s="90" t="s">
        <v>5227</v>
      </c>
      <c r="R306" s="90"/>
      <c r="S306" s="90"/>
      <c r="T306" s="90"/>
      <c r="U306" s="90"/>
      <c r="V306" s="90" t="s">
        <v>5540</v>
      </c>
      <c r="W306" s="90" t="s">
        <v>94</v>
      </c>
      <c r="X306" s="90" t="s">
        <v>111</v>
      </c>
      <c r="Y306" s="90" t="s">
        <v>5572</v>
      </c>
      <c r="Z306" s="90"/>
      <c r="AA306" s="93">
        <v>132.74336283185801</v>
      </c>
      <c r="AB306" s="93">
        <v>132.74336283185801</v>
      </c>
      <c r="AC306" s="93">
        <v>13</v>
      </c>
      <c r="AD306" s="93">
        <v>17.256637168141602</v>
      </c>
      <c r="AE306" s="90"/>
      <c r="AF306" s="90"/>
      <c r="AG306" s="90"/>
      <c r="AH306" s="90"/>
      <c r="AI306" s="93">
        <v>0</v>
      </c>
      <c r="AJ306" s="93">
        <v>0.5</v>
      </c>
      <c r="AK306" s="93">
        <v>13</v>
      </c>
      <c r="AL306" s="93">
        <v>132.74340000000001</v>
      </c>
      <c r="AM306" s="93">
        <v>17.256599999999999</v>
      </c>
      <c r="AN306" s="93">
        <v>150</v>
      </c>
      <c r="AO306" s="93">
        <v>-3.71681416027059E-5</v>
      </c>
      <c r="AP306" s="90" t="s">
        <v>94</v>
      </c>
      <c r="AQ306" s="90" t="s">
        <v>5541</v>
      </c>
      <c r="AR306" s="90"/>
      <c r="AS306" s="90"/>
      <c r="AT306" s="90"/>
      <c r="AU306" s="90"/>
      <c r="AV306" s="90"/>
      <c r="AW306" s="90"/>
      <c r="AX306" s="90"/>
      <c r="AY306" s="90" t="s">
        <v>5230</v>
      </c>
      <c r="AZ306" s="90"/>
      <c r="BA306" s="90" t="s">
        <v>5572</v>
      </c>
      <c r="BB306" s="91">
        <v>45902.4897569444</v>
      </c>
      <c r="BC306" s="90" t="s">
        <v>402</v>
      </c>
      <c r="BD306" s="90"/>
      <c r="BE306" s="90"/>
      <c r="BF306" s="90" t="s">
        <v>5537</v>
      </c>
    </row>
    <row r="307" spans="1:58" ht="24.75" customHeight="1">
      <c r="A307" s="90" t="s">
        <v>5247</v>
      </c>
      <c r="B307" s="90"/>
      <c r="C307" s="90"/>
      <c r="D307" s="91">
        <v>45929.449131944399</v>
      </c>
      <c r="E307" s="90" t="s">
        <v>5222</v>
      </c>
      <c r="F307" s="92"/>
      <c r="G307" s="90" t="s">
        <v>5573</v>
      </c>
      <c r="H307" s="90" t="s">
        <v>5524</v>
      </c>
      <c r="I307" s="90" t="s">
        <v>5525</v>
      </c>
      <c r="J307" s="90" t="s">
        <v>5377</v>
      </c>
      <c r="K307" s="93">
        <v>4</v>
      </c>
      <c r="L307" s="93">
        <v>4</v>
      </c>
      <c r="M307" s="93">
        <v>16</v>
      </c>
      <c r="N307" s="93">
        <v>16</v>
      </c>
      <c r="O307" s="90" t="s">
        <v>5226</v>
      </c>
      <c r="P307" s="90"/>
      <c r="Q307" s="90" t="s">
        <v>5227</v>
      </c>
      <c r="R307" s="90"/>
      <c r="S307" s="90"/>
      <c r="T307" s="90"/>
      <c r="U307" s="90"/>
      <c r="V307" s="90" t="s">
        <v>5385</v>
      </c>
      <c r="W307" s="90" t="s">
        <v>94</v>
      </c>
      <c r="X307" s="90" t="s">
        <v>109</v>
      </c>
      <c r="Y307" s="90" t="s">
        <v>5574</v>
      </c>
      <c r="Z307" s="90"/>
      <c r="AA307" s="93">
        <v>16</v>
      </c>
      <c r="AB307" s="93">
        <v>16</v>
      </c>
      <c r="AC307" s="93">
        <v>0</v>
      </c>
      <c r="AD307" s="93">
        <v>0</v>
      </c>
      <c r="AE307" s="90"/>
      <c r="AF307" s="90"/>
      <c r="AG307" s="90"/>
      <c r="AH307" s="90"/>
      <c r="AI307" s="93">
        <v>0</v>
      </c>
      <c r="AJ307" s="93">
        <v>4</v>
      </c>
      <c r="AK307" s="93">
        <v>0</v>
      </c>
      <c r="AL307" s="93">
        <v>16</v>
      </c>
      <c r="AM307" s="93">
        <v>0</v>
      </c>
      <c r="AN307" s="93">
        <v>16</v>
      </c>
      <c r="AO307" s="93">
        <v>0</v>
      </c>
      <c r="AP307" s="90" t="s">
        <v>94</v>
      </c>
      <c r="AQ307" s="90" t="s">
        <v>5239</v>
      </c>
      <c r="AR307" s="90"/>
      <c r="AS307" s="90"/>
      <c r="AT307" s="90"/>
      <c r="AU307" s="90"/>
      <c r="AV307" s="90"/>
      <c r="AW307" s="90"/>
      <c r="AX307" s="90"/>
      <c r="AY307" s="90" t="s">
        <v>5230</v>
      </c>
      <c r="AZ307" s="90"/>
      <c r="BA307" s="90" t="s">
        <v>5574</v>
      </c>
      <c r="BB307" s="91">
        <v>45910.458483796298</v>
      </c>
      <c r="BC307" s="90" t="s">
        <v>404</v>
      </c>
      <c r="BD307" s="90"/>
      <c r="BE307" s="90"/>
      <c r="BF307" s="90" t="s">
        <v>5575</v>
      </c>
    </row>
    <row r="308" spans="1:58" ht="24.75" customHeight="1">
      <c r="A308" s="90" t="s">
        <v>5247</v>
      </c>
      <c r="B308" s="90"/>
      <c r="C308" s="90"/>
      <c r="D308" s="91">
        <v>45929.449131944399</v>
      </c>
      <c r="E308" s="90" t="s">
        <v>5222</v>
      </c>
      <c r="F308" s="92"/>
      <c r="G308" s="90" t="s">
        <v>5573</v>
      </c>
      <c r="H308" s="90" t="s">
        <v>5503</v>
      </c>
      <c r="I308" s="90" t="s">
        <v>5504</v>
      </c>
      <c r="J308" s="90"/>
      <c r="K308" s="93">
        <v>0.6</v>
      </c>
      <c r="L308" s="93">
        <v>18</v>
      </c>
      <c r="M308" s="93">
        <v>10.8</v>
      </c>
      <c r="N308" s="93">
        <v>10.8</v>
      </c>
      <c r="O308" s="90" t="s">
        <v>5226</v>
      </c>
      <c r="P308" s="90"/>
      <c r="Q308" s="90" t="s">
        <v>5227</v>
      </c>
      <c r="R308" s="90"/>
      <c r="S308" s="90"/>
      <c r="T308" s="90"/>
      <c r="U308" s="90"/>
      <c r="V308" s="90" t="s">
        <v>5252</v>
      </c>
      <c r="W308" s="90" t="s">
        <v>94</v>
      </c>
      <c r="X308" s="90" t="s">
        <v>109</v>
      </c>
      <c r="Y308" s="90" t="s">
        <v>5574</v>
      </c>
      <c r="Z308" s="90"/>
      <c r="AA308" s="93">
        <v>9.5575221238938095</v>
      </c>
      <c r="AB308" s="93">
        <v>9.5575221238938095</v>
      </c>
      <c r="AC308" s="93">
        <v>13</v>
      </c>
      <c r="AD308" s="93">
        <v>1.2424778761061901</v>
      </c>
      <c r="AE308" s="90"/>
      <c r="AF308" s="90"/>
      <c r="AG308" s="90"/>
      <c r="AH308" s="90"/>
      <c r="AI308" s="93">
        <v>0</v>
      </c>
      <c r="AJ308" s="93">
        <v>18</v>
      </c>
      <c r="AK308" s="93">
        <v>13</v>
      </c>
      <c r="AL308" s="93">
        <v>9.5575223999999999</v>
      </c>
      <c r="AM308" s="93">
        <v>1.2424776</v>
      </c>
      <c r="AN308" s="93">
        <v>10.8</v>
      </c>
      <c r="AO308" s="93">
        <v>-2.7610619390827699E-7</v>
      </c>
      <c r="AP308" s="90" t="s">
        <v>94</v>
      </c>
      <c r="AQ308" s="90" t="s">
        <v>5239</v>
      </c>
      <c r="AR308" s="90"/>
      <c r="AS308" s="90"/>
      <c r="AT308" s="90"/>
      <c r="AU308" s="90"/>
      <c r="AV308" s="90"/>
      <c r="AW308" s="90"/>
      <c r="AX308" s="90"/>
      <c r="AY308" s="90" t="s">
        <v>5230</v>
      </c>
      <c r="AZ308" s="90"/>
      <c r="BA308" s="90" t="s">
        <v>5574</v>
      </c>
      <c r="BB308" s="91">
        <v>45902.4897569444</v>
      </c>
      <c r="BC308" s="90" t="s">
        <v>402</v>
      </c>
      <c r="BD308" s="90"/>
      <c r="BE308" s="90"/>
      <c r="BF308" s="90" t="s">
        <v>5575</v>
      </c>
    </row>
    <row r="309" spans="1:58" ht="24.75" customHeight="1">
      <c r="A309" s="90" t="s">
        <v>5247</v>
      </c>
      <c r="B309" s="90"/>
      <c r="C309" s="90"/>
      <c r="D309" s="91">
        <v>45929.449131944399</v>
      </c>
      <c r="E309" s="90" t="s">
        <v>5222</v>
      </c>
      <c r="F309" s="92"/>
      <c r="G309" s="90" t="s">
        <v>5573</v>
      </c>
      <c r="H309" s="90" t="s">
        <v>5546</v>
      </c>
      <c r="I309" s="90" t="s">
        <v>5547</v>
      </c>
      <c r="J309" s="90" t="s">
        <v>5548</v>
      </c>
      <c r="K309" s="93">
        <v>20</v>
      </c>
      <c r="L309" s="93">
        <v>2</v>
      </c>
      <c r="M309" s="93">
        <v>40</v>
      </c>
      <c r="N309" s="93">
        <v>40</v>
      </c>
      <c r="O309" s="90" t="s">
        <v>5226</v>
      </c>
      <c r="P309" s="90"/>
      <c r="Q309" s="90" t="s">
        <v>5227</v>
      </c>
      <c r="R309" s="90"/>
      <c r="S309" s="90"/>
      <c r="T309" s="90"/>
      <c r="U309" s="90"/>
      <c r="V309" s="90" t="s">
        <v>5385</v>
      </c>
      <c r="W309" s="90" t="s">
        <v>94</v>
      </c>
      <c r="X309" s="90" t="s">
        <v>109</v>
      </c>
      <c r="Y309" s="90" t="s">
        <v>5574</v>
      </c>
      <c r="Z309" s="90"/>
      <c r="AA309" s="93">
        <v>35.398230088495602</v>
      </c>
      <c r="AB309" s="93">
        <v>35.398230088495602</v>
      </c>
      <c r="AC309" s="93">
        <v>13</v>
      </c>
      <c r="AD309" s="93">
        <v>4.6017699115044204</v>
      </c>
      <c r="AE309" s="90"/>
      <c r="AF309" s="90"/>
      <c r="AG309" s="90"/>
      <c r="AH309" s="90"/>
      <c r="AI309" s="93">
        <v>0</v>
      </c>
      <c r="AJ309" s="93">
        <v>2</v>
      </c>
      <c r="AK309" s="93">
        <v>13</v>
      </c>
      <c r="AL309" s="93">
        <v>35.398240000000001</v>
      </c>
      <c r="AM309" s="93">
        <v>4.6017599999999996</v>
      </c>
      <c r="AN309" s="93">
        <v>40</v>
      </c>
      <c r="AO309" s="93">
        <v>-9.9115044207565006E-6</v>
      </c>
      <c r="AP309" s="90" t="s">
        <v>94</v>
      </c>
      <c r="AQ309" s="90" t="s">
        <v>5239</v>
      </c>
      <c r="AR309" s="90"/>
      <c r="AS309" s="90"/>
      <c r="AT309" s="90"/>
      <c r="AU309" s="90"/>
      <c r="AV309" s="90"/>
      <c r="AW309" s="90"/>
      <c r="AX309" s="90"/>
      <c r="AY309" s="90" t="s">
        <v>5230</v>
      </c>
      <c r="AZ309" s="90"/>
      <c r="BA309" s="90" t="s">
        <v>5574</v>
      </c>
      <c r="BB309" s="91">
        <v>45902.4897569444</v>
      </c>
      <c r="BC309" s="90" t="s">
        <v>402</v>
      </c>
      <c r="BD309" s="90"/>
      <c r="BE309" s="90"/>
      <c r="BF309" s="90" t="s">
        <v>5575</v>
      </c>
    </row>
    <row r="310" spans="1:58" ht="24.75" customHeight="1">
      <c r="A310" s="90" t="s">
        <v>5247</v>
      </c>
      <c r="B310" s="90"/>
      <c r="C310" s="90"/>
      <c r="D310" s="91">
        <v>45929.449131944399</v>
      </c>
      <c r="E310" s="90" t="s">
        <v>5222</v>
      </c>
      <c r="F310" s="92"/>
      <c r="G310" s="90" t="s">
        <v>5573</v>
      </c>
      <c r="H310" s="90" t="s">
        <v>5538</v>
      </c>
      <c r="I310" s="90" t="s">
        <v>5539</v>
      </c>
      <c r="J310" s="90" t="s">
        <v>5267</v>
      </c>
      <c r="K310" s="93">
        <v>260</v>
      </c>
      <c r="L310" s="93">
        <v>0.5</v>
      </c>
      <c r="M310" s="93">
        <v>130</v>
      </c>
      <c r="N310" s="93">
        <v>130</v>
      </c>
      <c r="O310" s="90" t="s">
        <v>5226</v>
      </c>
      <c r="P310" s="90"/>
      <c r="Q310" s="90" t="s">
        <v>5227</v>
      </c>
      <c r="R310" s="90"/>
      <c r="S310" s="90"/>
      <c r="T310" s="90"/>
      <c r="U310" s="90"/>
      <c r="V310" s="90" t="s">
        <v>5540</v>
      </c>
      <c r="W310" s="90" t="s">
        <v>94</v>
      </c>
      <c r="X310" s="90" t="s">
        <v>109</v>
      </c>
      <c r="Y310" s="90" t="s">
        <v>5574</v>
      </c>
      <c r="Z310" s="90"/>
      <c r="AA310" s="93">
        <v>115.044247787611</v>
      </c>
      <c r="AB310" s="93">
        <v>115.044247787611</v>
      </c>
      <c r="AC310" s="93">
        <v>13</v>
      </c>
      <c r="AD310" s="93">
        <v>14.955752212389401</v>
      </c>
      <c r="AE310" s="90"/>
      <c r="AF310" s="90"/>
      <c r="AG310" s="90"/>
      <c r="AH310" s="90"/>
      <c r="AI310" s="93">
        <v>0</v>
      </c>
      <c r="AJ310" s="93">
        <v>0.5</v>
      </c>
      <c r="AK310" s="93">
        <v>13</v>
      </c>
      <c r="AL310" s="93">
        <v>115.04428</v>
      </c>
      <c r="AM310" s="93">
        <v>14.955719999999999</v>
      </c>
      <c r="AN310" s="93">
        <v>130</v>
      </c>
      <c r="AO310" s="93">
        <v>-3.22123893710113E-5</v>
      </c>
      <c r="AP310" s="90" t="s">
        <v>94</v>
      </c>
      <c r="AQ310" s="90" t="s">
        <v>5541</v>
      </c>
      <c r="AR310" s="90"/>
      <c r="AS310" s="90"/>
      <c r="AT310" s="90"/>
      <c r="AU310" s="90"/>
      <c r="AV310" s="90"/>
      <c r="AW310" s="90"/>
      <c r="AX310" s="90"/>
      <c r="AY310" s="90" t="s">
        <v>5230</v>
      </c>
      <c r="AZ310" s="90"/>
      <c r="BA310" s="90" t="s">
        <v>5574</v>
      </c>
      <c r="BB310" s="91">
        <v>45902.4897569444</v>
      </c>
      <c r="BC310" s="90" t="s">
        <v>402</v>
      </c>
      <c r="BD310" s="90"/>
      <c r="BE310" s="90"/>
      <c r="BF310" s="90" t="s">
        <v>5575</v>
      </c>
    </row>
    <row r="311" spans="1:58" ht="24.75" customHeight="1">
      <c r="A311" s="90" t="s">
        <v>5247</v>
      </c>
      <c r="B311" s="90"/>
      <c r="C311" s="90"/>
      <c r="D311" s="91">
        <v>45929.449131944399</v>
      </c>
      <c r="E311" s="90" t="s">
        <v>5222</v>
      </c>
      <c r="F311" s="92"/>
      <c r="G311" s="90" t="s">
        <v>5573</v>
      </c>
      <c r="H311" s="90" t="s">
        <v>5508</v>
      </c>
      <c r="I311" s="90" t="s">
        <v>5509</v>
      </c>
      <c r="J311" s="90"/>
      <c r="K311" s="93">
        <v>1</v>
      </c>
      <c r="L311" s="93">
        <v>1</v>
      </c>
      <c r="M311" s="93">
        <v>1</v>
      </c>
      <c r="N311" s="93">
        <v>1</v>
      </c>
      <c r="O311" s="90" t="s">
        <v>5226</v>
      </c>
      <c r="P311" s="90"/>
      <c r="Q311" s="90" t="s">
        <v>5227</v>
      </c>
      <c r="R311" s="90"/>
      <c r="S311" s="90"/>
      <c r="T311" s="90"/>
      <c r="U311" s="90"/>
      <c r="V311" s="90" t="s">
        <v>5510</v>
      </c>
      <c r="W311" s="90" t="s">
        <v>94</v>
      </c>
      <c r="X311" s="90" t="s">
        <v>109</v>
      </c>
      <c r="Y311" s="90" t="s">
        <v>5574</v>
      </c>
      <c r="Z311" s="90"/>
      <c r="AA311" s="93">
        <v>0.88495575221238898</v>
      </c>
      <c r="AB311" s="93">
        <v>0.88495575221238898</v>
      </c>
      <c r="AC311" s="93">
        <v>13</v>
      </c>
      <c r="AD311" s="93">
        <v>0.11504424778761101</v>
      </c>
      <c r="AE311" s="90"/>
      <c r="AF311" s="90"/>
      <c r="AG311" s="90"/>
      <c r="AH311" s="90"/>
      <c r="AI311" s="93">
        <v>0</v>
      </c>
      <c r="AJ311" s="93">
        <v>1</v>
      </c>
      <c r="AK311" s="93">
        <v>13</v>
      </c>
      <c r="AL311" s="93">
        <v>0.88495599999999996</v>
      </c>
      <c r="AM311" s="93">
        <v>0.11504399999999999</v>
      </c>
      <c r="AN311" s="93">
        <v>1</v>
      </c>
      <c r="AO311" s="93">
        <v>-2.4778761054111698E-7</v>
      </c>
      <c r="AP311" s="90" t="s">
        <v>94</v>
      </c>
      <c r="AQ311" s="90" t="s">
        <v>5239</v>
      </c>
      <c r="AR311" s="90"/>
      <c r="AS311" s="90"/>
      <c r="AT311" s="90"/>
      <c r="AU311" s="90"/>
      <c r="AV311" s="90"/>
      <c r="AW311" s="90"/>
      <c r="AX311" s="90"/>
      <c r="AY311" s="90" t="s">
        <v>5230</v>
      </c>
      <c r="AZ311" s="90"/>
      <c r="BA311" s="90" t="s">
        <v>5574</v>
      </c>
      <c r="BB311" s="91">
        <v>45902.4897569444</v>
      </c>
      <c r="BC311" s="90" t="s">
        <v>402</v>
      </c>
      <c r="BD311" s="90"/>
      <c r="BE311" s="90"/>
      <c r="BF311" s="90" t="s">
        <v>5575</v>
      </c>
    </row>
    <row r="312" spans="1:58" ht="24.75" customHeight="1">
      <c r="A312" s="90" t="s">
        <v>5247</v>
      </c>
      <c r="B312" s="90"/>
      <c r="C312" s="90"/>
      <c r="D312" s="91">
        <v>45929.449618055602</v>
      </c>
      <c r="E312" s="90" t="s">
        <v>5222</v>
      </c>
      <c r="F312" s="92"/>
      <c r="G312" s="90" t="s">
        <v>5576</v>
      </c>
      <c r="H312" s="90" t="s">
        <v>5577</v>
      </c>
      <c r="I312" s="90" t="s">
        <v>5578</v>
      </c>
      <c r="J312" s="90"/>
      <c r="K312" s="93">
        <v>4</v>
      </c>
      <c r="L312" s="93">
        <v>9.5</v>
      </c>
      <c r="M312" s="93">
        <v>38</v>
      </c>
      <c r="N312" s="93">
        <v>38</v>
      </c>
      <c r="O312" s="90" t="s">
        <v>5226</v>
      </c>
      <c r="P312" s="90"/>
      <c r="Q312" s="90" t="s">
        <v>5227</v>
      </c>
      <c r="R312" s="90"/>
      <c r="S312" s="90"/>
      <c r="T312" s="90"/>
      <c r="U312" s="90"/>
      <c r="V312" s="90" t="s">
        <v>5579</v>
      </c>
      <c r="W312" s="90" t="s">
        <v>94</v>
      </c>
      <c r="X312" s="90" t="s">
        <v>5237</v>
      </c>
      <c r="Y312" s="90" t="s">
        <v>5238</v>
      </c>
      <c r="Z312" s="90"/>
      <c r="AA312" s="93">
        <v>33.628318584070797</v>
      </c>
      <c r="AB312" s="93">
        <v>33.628318584070797</v>
      </c>
      <c r="AC312" s="93">
        <v>13</v>
      </c>
      <c r="AD312" s="93">
        <v>4.3716814159292001</v>
      </c>
      <c r="AE312" s="90"/>
      <c r="AF312" s="90"/>
      <c r="AG312" s="90"/>
      <c r="AH312" s="90"/>
      <c r="AI312" s="93">
        <v>0</v>
      </c>
      <c r="AJ312" s="93">
        <v>9.5</v>
      </c>
      <c r="AK312" s="93">
        <v>13</v>
      </c>
      <c r="AL312" s="93">
        <v>33.628320000000002</v>
      </c>
      <c r="AM312" s="93">
        <v>4.3716799999999996</v>
      </c>
      <c r="AN312" s="93">
        <v>38</v>
      </c>
      <c r="AO312" s="93">
        <v>-1.4159292049953401E-6</v>
      </c>
      <c r="AP312" s="90" t="s">
        <v>94</v>
      </c>
      <c r="AQ312" s="90" t="s">
        <v>5239</v>
      </c>
      <c r="AR312" s="90"/>
      <c r="AS312" s="90"/>
      <c r="AT312" s="90"/>
      <c r="AU312" s="90"/>
      <c r="AV312" s="90"/>
      <c r="AW312" s="90"/>
      <c r="AX312" s="90"/>
      <c r="AY312" s="90" t="s">
        <v>5230</v>
      </c>
      <c r="AZ312" s="90"/>
      <c r="BA312" s="90" t="s">
        <v>5238</v>
      </c>
      <c r="BB312" s="91">
        <v>45905.433981481503</v>
      </c>
      <c r="BC312" s="90" t="s">
        <v>402</v>
      </c>
      <c r="BD312" s="90"/>
      <c r="BE312" s="90"/>
      <c r="BF312" s="90" t="s">
        <v>5242</v>
      </c>
    </row>
    <row r="313" spans="1:58" ht="24.75" customHeight="1">
      <c r="A313" s="90" t="s">
        <v>5247</v>
      </c>
      <c r="B313" s="90"/>
      <c r="C313" s="90"/>
      <c r="D313" s="91">
        <v>45929.449618055602</v>
      </c>
      <c r="E313" s="90" t="s">
        <v>5222</v>
      </c>
      <c r="F313" s="92"/>
      <c r="G313" s="90" t="s">
        <v>5576</v>
      </c>
      <c r="H313" s="90" t="s">
        <v>5529</v>
      </c>
      <c r="I313" s="90" t="s">
        <v>5530</v>
      </c>
      <c r="J313" s="90"/>
      <c r="K313" s="93">
        <v>13</v>
      </c>
      <c r="L313" s="93">
        <v>5.5</v>
      </c>
      <c r="M313" s="93">
        <v>71.5</v>
      </c>
      <c r="N313" s="93">
        <v>71.5</v>
      </c>
      <c r="O313" s="90" t="s">
        <v>5226</v>
      </c>
      <c r="P313" s="90"/>
      <c r="Q313" s="90" t="s">
        <v>5227</v>
      </c>
      <c r="R313" s="90"/>
      <c r="S313" s="90"/>
      <c r="T313" s="90"/>
      <c r="U313" s="90"/>
      <c r="V313" s="90" t="s">
        <v>5531</v>
      </c>
      <c r="W313" s="90" t="s">
        <v>94</v>
      </c>
      <c r="X313" s="90" t="s">
        <v>5237</v>
      </c>
      <c r="Y313" s="90" t="s">
        <v>5238</v>
      </c>
      <c r="Z313" s="90"/>
      <c r="AA313" s="93">
        <v>63.274336283185797</v>
      </c>
      <c r="AB313" s="93">
        <v>63.274336283185797</v>
      </c>
      <c r="AC313" s="93">
        <v>13</v>
      </c>
      <c r="AD313" s="93">
        <v>8.2256637168141609</v>
      </c>
      <c r="AE313" s="90"/>
      <c r="AF313" s="90"/>
      <c r="AG313" s="90"/>
      <c r="AH313" s="90"/>
      <c r="AI313" s="93">
        <v>0</v>
      </c>
      <c r="AJ313" s="93">
        <v>5.5</v>
      </c>
      <c r="AK313" s="93">
        <v>13</v>
      </c>
      <c r="AL313" s="93">
        <v>63.274341</v>
      </c>
      <c r="AM313" s="93">
        <v>8.2256590000000003</v>
      </c>
      <c r="AN313" s="93">
        <v>71.5</v>
      </c>
      <c r="AO313" s="93">
        <v>-4.7168141605880001E-6</v>
      </c>
      <c r="AP313" s="90" t="s">
        <v>94</v>
      </c>
      <c r="AQ313" s="90" t="s">
        <v>498</v>
      </c>
      <c r="AR313" s="90"/>
      <c r="AS313" s="90"/>
      <c r="AT313" s="90"/>
      <c r="AU313" s="90"/>
      <c r="AV313" s="90"/>
      <c r="AW313" s="90"/>
      <c r="AX313" s="90"/>
      <c r="AY313" s="90" t="s">
        <v>5230</v>
      </c>
      <c r="AZ313" s="90"/>
      <c r="BA313" s="90" t="s">
        <v>5238</v>
      </c>
      <c r="BB313" s="91">
        <v>45902.4897569444</v>
      </c>
      <c r="BC313" s="90" t="s">
        <v>402</v>
      </c>
      <c r="BD313" s="90"/>
      <c r="BE313" s="90"/>
      <c r="BF313" s="90" t="s">
        <v>5242</v>
      </c>
    </row>
    <row r="314" spans="1:58" ht="24.75" customHeight="1">
      <c r="A314" s="90" t="s">
        <v>5247</v>
      </c>
      <c r="B314" s="90"/>
      <c r="C314" s="90"/>
      <c r="D314" s="91">
        <v>45929.449618055602</v>
      </c>
      <c r="E314" s="90" t="s">
        <v>5222</v>
      </c>
      <c r="F314" s="92"/>
      <c r="G314" s="90" t="s">
        <v>5576</v>
      </c>
      <c r="H314" s="90" t="s">
        <v>5546</v>
      </c>
      <c r="I314" s="90" t="s">
        <v>5547</v>
      </c>
      <c r="J314" s="90" t="s">
        <v>5548</v>
      </c>
      <c r="K314" s="93">
        <v>5</v>
      </c>
      <c r="L314" s="93">
        <v>2</v>
      </c>
      <c r="M314" s="93">
        <v>10</v>
      </c>
      <c r="N314" s="93">
        <v>10</v>
      </c>
      <c r="O314" s="90" t="s">
        <v>5226</v>
      </c>
      <c r="P314" s="90"/>
      <c r="Q314" s="90" t="s">
        <v>5227</v>
      </c>
      <c r="R314" s="90"/>
      <c r="S314" s="90"/>
      <c r="T314" s="90"/>
      <c r="U314" s="90"/>
      <c r="V314" s="90" t="s">
        <v>5385</v>
      </c>
      <c r="W314" s="90" t="s">
        <v>94</v>
      </c>
      <c r="X314" s="90" t="s">
        <v>5237</v>
      </c>
      <c r="Y314" s="90" t="s">
        <v>5238</v>
      </c>
      <c r="Z314" s="90"/>
      <c r="AA314" s="93">
        <v>8.8495575221239005</v>
      </c>
      <c r="AB314" s="93">
        <v>8.8495575221239005</v>
      </c>
      <c r="AC314" s="93">
        <v>13</v>
      </c>
      <c r="AD314" s="93">
        <v>1.15044247787611</v>
      </c>
      <c r="AE314" s="90"/>
      <c r="AF314" s="90"/>
      <c r="AG314" s="90"/>
      <c r="AH314" s="90"/>
      <c r="AI314" s="93">
        <v>0</v>
      </c>
      <c r="AJ314" s="93">
        <v>2</v>
      </c>
      <c r="AK314" s="93">
        <v>13</v>
      </c>
      <c r="AL314" s="93">
        <v>8.8495600000000003</v>
      </c>
      <c r="AM314" s="93">
        <v>1.1504399999999999</v>
      </c>
      <c r="AN314" s="93">
        <v>10</v>
      </c>
      <c r="AO314" s="93">
        <v>-2.4778761051891298E-6</v>
      </c>
      <c r="AP314" s="90" t="s">
        <v>94</v>
      </c>
      <c r="AQ314" s="90" t="s">
        <v>5239</v>
      </c>
      <c r="AR314" s="90"/>
      <c r="AS314" s="90"/>
      <c r="AT314" s="90"/>
      <c r="AU314" s="90"/>
      <c r="AV314" s="90"/>
      <c r="AW314" s="90"/>
      <c r="AX314" s="90"/>
      <c r="AY314" s="90" t="s">
        <v>5230</v>
      </c>
      <c r="AZ314" s="90"/>
      <c r="BA314" s="90" t="s">
        <v>5238</v>
      </c>
      <c r="BB314" s="91">
        <v>45902.4897569444</v>
      </c>
      <c r="BC314" s="90" t="s">
        <v>402</v>
      </c>
      <c r="BD314" s="90"/>
      <c r="BE314" s="90"/>
      <c r="BF314" s="90" t="s">
        <v>5242</v>
      </c>
    </row>
    <row r="315" spans="1:58" ht="24.75" customHeight="1">
      <c r="A315" s="90" t="s">
        <v>5247</v>
      </c>
      <c r="B315" s="90"/>
      <c r="C315" s="90"/>
      <c r="D315" s="91">
        <v>45929.449618055602</v>
      </c>
      <c r="E315" s="90" t="s">
        <v>5222</v>
      </c>
      <c r="F315" s="92"/>
      <c r="G315" s="90" t="s">
        <v>5576</v>
      </c>
      <c r="H315" s="90" t="s">
        <v>5503</v>
      </c>
      <c r="I315" s="90" t="s">
        <v>5504</v>
      </c>
      <c r="J315" s="90"/>
      <c r="K315" s="93">
        <v>0.2</v>
      </c>
      <c r="L315" s="93">
        <v>18</v>
      </c>
      <c r="M315" s="93">
        <v>3.6</v>
      </c>
      <c r="N315" s="93">
        <v>3.6</v>
      </c>
      <c r="O315" s="90" t="s">
        <v>5226</v>
      </c>
      <c r="P315" s="90"/>
      <c r="Q315" s="90" t="s">
        <v>5227</v>
      </c>
      <c r="R315" s="90"/>
      <c r="S315" s="90"/>
      <c r="T315" s="90"/>
      <c r="U315" s="90"/>
      <c r="V315" s="90" t="s">
        <v>5252</v>
      </c>
      <c r="W315" s="90" t="s">
        <v>94</v>
      </c>
      <c r="X315" s="90" t="s">
        <v>5237</v>
      </c>
      <c r="Y315" s="90" t="s">
        <v>5238</v>
      </c>
      <c r="Z315" s="90"/>
      <c r="AA315" s="93">
        <v>3.1858407079646001</v>
      </c>
      <c r="AB315" s="93">
        <v>3.1858407079646001</v>
      </c>
      <c r="AC315" s="93">
        <v>13</v>
      </c>
      <c r="AD315" s="93">
        <v>0.41415929203539797</v>
      </c>
      <c r="AE315" s="90"/>
      <c r="AF315" s="90"/>
      <c r="AG315" s="90"/>
      <c r="AH315" s="90"/>
      <c r="AI315" s="93">
        <v>0</v>
      </c>
      <c r="AJ315" s="93">
        <v>18</v>
      </c>
      <c r="AK315" s="93">
        <v>13</v>
      </c>
      <c r="AL315" s="93">
        <v>3.1858407999999998</v>
      </c>
      <c r="AM315" s="93">
        <v>0.41415920000000001</v>
      </c>
      <c r="AN315" s="93">
        <v>3.6</v>
      </c>
      <c r="AO315" s="93">
        <v>-9.2035397969425503E-8</v>
      </c>
      <c r="AP315" s="90" t="s">
        <v>94</v>
      </c>
      <c r="AQ315" s="90" t="s">
        <v>5239</v>
      </c>
      <c r="AR315" s="90"/>
      <c r="AS315" s="90"/>
      <c r="AT315" s="90"/>
      <c r="AU315" s="90"/>
      <c r="AV315" s="90"/>
      <c r="AW315" s="90"/>
      <c r="AX315" s="90"/>
      <c r="AY315" s="90" t="s">
        <v>5230</v>
      </c>
      <c r="AZ315" s="90"/>
      <c r="BA315" s="90" t="s">
        <v>5238</v>
      </c>
      <c r="BB315" s="91">
        <v>45902.4897569444</v>
      </c>
      <c r="BC315" s="90" t="s">
        <v>402</v>
      </c>
      <c r="BD315" s="90"/>
      <c r="BE315" s="90"/>
      <c r="BF315" s="90" t="s">
        <v>5242</v>
      </c>
    </row>
    <row r="316" spans="1:58" ht="24.75" customHeight="1">
      <c r="A316" s="90" t="s">
        <v>5247</v>
      </c>
      <c r="B316" s="90"/>
      <c r="C316" s="90"/>
      <c r="D316" s="91">
        <v>45929.449618055602</v>
      </c>
      <c r="E316" s="90" t="s">
        <v>5222</v>
      </c>
      <c r="F316" s="92"/>
      <c r="G316" s="90" t="s">
        <v>5576</v>
      </c>
      <c r="H316" s="90" t="s">
        <v>5538</v>
      </c>
      <c r="I316" s="90" t="s">
        <v>5539</v>
      </c>
      <c r="J316" s="90" t="s">
        <v>5267</v>
      </c>
      <c r="K316" s="93">
        <v>100</v>
      </c>
      <c r="L316" s="93">
        <v>0.5</v>
      </c>
      <c r="M316" s="93">
        <v>50</v>
      </c>
      <c r="N316" s="93">
        <v>50</v>
      </c>
      <c r="O316" s="90" t="s">
        <v>5226</v>
      </c>
      <c r="P316" s="90"/>
      <c r="Q316" s="90" t="s">
        <v>5227</v>
      </c>
      <c r="R316" s="90"/>
      <c r="S316" s="90"/>
      <c r="T316" s="90"/>
      <c r="U316" s="90"/>
      <c r="V316" s="90" t="s">
        <v>5540</v>
      </c>
      <c r="W316" s="90" t="s">
        <v>94</v>
      </c>
      <c r="X316" s="90" t="s">
        <v>5237</v>
      </c>
      <c r="Y316" s="90" t="s">
        <v>5238</v>
      </c>
      <c r="Z316" s="90"/>
      <c r="AA316" s="93">
        <v>44.247787610619497</v>
      </c>
      <c r="AB316" s="93">
        <v>44.247787610619497</v>
      </c>
      <c r="AC316" s="93">
        <v>13</v>
      </c>
      <c r="AD316" s="93">
        <v>5.7522123893805297</v>
      </c>
      <c r="AE316" s="90"/>
      <c r="AF316" s="90"/>
      <c r="AG316" s="90"/>
      <c r="AH316" s="90"/>
      <c r="AI316" s="93">
        <v>0</v>
      </c>
      <c r="AJ316" s="93">
        <v>0.5</v>
      </c>
      <c r="AK316" s="93">
        <v>13</v>
      </c>
      <c r="AL316" s="93">
        <v>44.247799999999998</v>
      </c>
      <c r="AM316" s="93">
        <v>5.7522000000000002</v>
      </c>
      <c r="AN316" s="93">
        <v>50</v>
      </c>
      <c r="AO316" s="93">
        <v>-1.23893805223929E-5</v>
      </c>
      <c r="AP316" s="90" t="s">
        <v>94</v>
      </c>
      <c r="AQ316" s="90" t="s">
        <v>5541</v>
      </c>
      <c r="AR316" s="90"/>
      <c r="AS316" s="90"/>
      <c r="AT316" s="90"/>
      <c r="AU316" s="90"/>
      <c r="AV316" s="90"/>
      <c r="AW316" s="90"/>
      <c r="AX316" s="90"/>
      <c r="AY316" s="90" t="s">
        <v>5230</v>
      </c>
      <c r="AZ316" s="90"/>
      <c r="BA316" s="90" t="s">
        <v>5238</v>
      </c>
      <c r="BB316" s="91">
        <v>45902.4897569444</v>
      </c>
      <c r="BC316" s="90" t="s">
        <v>402</v>
      </c>
      <c r="BD316" s="90"/>
      <c r="BE316" s="90"/>
      <c r="BF316" s="90" t="s">
        <v>5242</v>
      </c>
    </row>
    <row r="317" spans="1:58" ht="24.75" customHeight="1">
      <c r="A317" s="90" t="s">
        <v>5247</v>
      </c>
      <c r="B317" s="90"/>
      <c r="C317" s="90"/>
      <c r="D317" s="91">
        <v>45929.451736111099</v>
      </c>
      <c r="E317" s="90" t="s">
        <v>5222</v>
      </c>
      <c r="F317" s="92"/>
      <c r="G317" s="90" t="s">
        <v>5580</v>
      </c>
      <c r="H317" s="90" t="s">
        <v>5581</v>
      </c>
      <c r="I317" s="90" t="s">
        <v>5582</v>
      </c>
      <c r="J317" s="90"/>
      <c r="K317" s="93">
        <v>5</v>
      </c>
      <c r="L317" s="93">
        <v>1.5</v>
      </c>
      <c r="M317" s="93">
        <v>7.5</v>
      </c>
      <c r="N317" s="93">
        <v>7.5</v>
      </c>
      <c r="O317" s="90" t="s">
        <v>5226</v>
      </c>
      <c r="P317" s="90"/>
      <c r="Q317" s="90" t="s">
        <v>5227</v>
      </c>
      <c r="R317" s="90"/>
      <c r="S317" s="90"/>
      <c r="T317" s="90"/>
      <c r="U317" s="90"/>
      <c r="V317" s="90" t="s">
        <v>5385</v>
      </c>
      <c r="W317" s="90" t="s">
        <v>94</v>
      </c>
      <c r="X317" s="90" t="s">
        <v>162</v>
      </c>
      <c r="Y317" s="90" t="s">
        <v>408</v>
      </c>
      <c r="Z317" s="90"/>
      <c r="AA317" s="93">
        <v>6.6371681415929196</v>
      </c>
      <c r="AB317" s="93">
        <v>6.6371681415929196</v>
      </c>
      <c r="AC317" s="93">
        <v>13</v>
      </c>
      <c r="AD317" s="93">
        <v>0.86283185840707899</v>
      </c>
      <c r="AE317" s="90"/>
      <c r="AF317" s="90"/>
      <c r="AG317" s="90"/>
      <c r="AH317" s="90"/>
      <c r="AI317" s="93">
        <v>0</v>
      </c>
      <c r="AJ317" s="93">
        <v>1.5</v>
      </c>
      <c r="AK317" s="93">
        <v>13</v>
      </c>
      <c r="AL317" s="93">
        <v>6.6371700000000002</v>
      </c>
      <c r="AM317" s="93">
        <v>0.86282999999999999</v>
      </c>
      <c r="AN317" s="93">
        <v>7.5</v>
      </c>
      <c r="AO317" s="93">
        <v>-1.8584070788918401E-6</v>
      </c>
      <c r="AP317" s="90" t="s">
        <v>94</v>
      </c>
      <c r="AQ317" s="90" t="s">
        <v>5239</v>
      </c>
      <c r="AR317" s="90"/>
      <c r="AS317" s="90"/>
      <c r="AT317" s="90"/>
      <c r="AU317" s="90"/>
      <c r="AV317" s="90"/>
      <c r="AW317" s="90"/>
      <c r="AX317" s="90"/>
      <c r="AY317" s="90" t="s">
        <v>5230</v>
      </c>
      <c r="AZ317" s="90"/>
      <c r="BA317" s="90" t="s">
        <v>408</v>
      </c>
      <c r="BB317" s="91">
        <v>45873.434953703698</v>
      </c>
      <c r="BC317" s="90" t="s">
        <v>402</v>
      </c>
      <c r="BD317" s="90"/>
      <c r="BE317" s="90"/>
      <c r="BF317" s="90" t="s">
        <v>5231</v>
      </c>
    </row>
    <row r="318" spans="1:58" ht="24.75" customHeight="1">
      <c r="A318" s="90" t="s">
        <v>5247</v>
      </c>
      <c r="B318" s="90"/>
      <c r="C318" s="90"/>
      <c r="D318" s="91">
        <v>45929.451736111099</v>
      </c>
      <c r="E318" s="90" t="s">
        <v>5222</v>
      </c>
      <c r="F318" s="92"/>
      <c r="G318" s="90" t="s">
        <v>5580</v>
      </c>
      <c r="H318" s="90" t="s">
        <v>5581</v>
      </c>
      <c r="I318" s="90" t="s">
        <v>5582</v>
      </c>
      <c r="J318" s="90"/>
      <c r="K318" s="93">
        <v>25</v>
      </c>
      <c r="L318" s="93">
        <v>1.5</v>
      </c>
      <c r="M318" s="93">
        <v>37.5</v>
      </c>
      <c r="N318" s="93">
        <v>37.5</v>
      </c>
      <c r="O318" s="90" t="s">
        <v>5226</v>
      </c>
      <c r="P318" s="90"/>
      <c r="Q318" s="90" t="s">
        <v>5227</v>
      </c>
      <c r="R318" s="90"/>
      <c r="S318" s="90"/>
      <c r="T318" s="90"/>
      <c r="U318" s="90"/>
      <c r="V318" s="90" t="s">
        <v>5385</v>
      </c>
      <c r="W318" s="90" t="s">
        <v>94</v>
      </c>
      <c r="X318" s="90" t="s">
        <v>162</v>
      </c>
      <c r="Y318" s="90" t="s">
        <v>408</v>
      </c>
      <c r="Z318" s="90"/>
      <c r="AA318" s="93">
        <v>33.185840707964601</v>
      </c>
      <c r="AB318" s="93">
        <v>33.185840707964601</v>
      </c>
      <c r="AC318" s="93">
        <v>13</v>
      </c>
      <c r="AD318" s="93">
        <v>4.3141592920354004</v>
      </c>
      <c r="AE318" s="90"/>
      <c r="AF318" s="90"/>
      <c r="AG318" s="90"/>
      <c r="AH318" s="90"/>
      <c r="AI318" s="93">
        <v>0</v>
      </c>
      <c r="AJ318" s="93">
        <v>1.5</v>
      </c>
      <c r="AK318" s="93">
        <v>13</v>
      </c>
      <c r="AL318" s="93">
        <v>33.185850000000002</v>
      </c>
      <c r="AM318" s="93">
        <v>4.3141499999999997</v>
      </c>
      <c r="AN318" s="93">
        <v>37.5</v>
      </c>
      <c r="AO318" s="93">
        <v>-9.29203540067647E-6</v>
      </c>
      <c r="AP318" s="90" t="s">
        <v>94</v>
      </c>
      <c r="AQ318" s="90" t="s">
        <v>5239</v>
      </c>
      <c r="AR318" s="90"/>
      <c r="AS318" s="90"/>
      <c r="AT318" s="90"/>
      <c r="AU318" s="90"/>
      <c r="AV318" s="90"/>
      <c r="AW318" s="90"/>
      <c r="AX318" s="90"/>
      <c r="AY318" s="90" t="s">
        <v>5230</v>
      </c>
      <c r="AZ318" s="90"/>
      <c r="BA318" s="90" t="s">
        <v>408</v>
      </c>
      <c r="BB318" s="91">
        <v>45902.4897569444</v>
      </c>
      <c r="BC318" s="90" t="s">
        <v>402</v>
      </c>
      <c r="BD318" s="90"/>
      <c r="BE318" s="90"/>
      <c r="BF318" s="90" t="s">
        <v>5231</v>
      </c>
    </row>
    <row r="319" spans="1:58" ht="24.75" customHeight="1">
      <c r="A319" s="90" t="s">
        <v>5247</v>
      </c>
      <c r="B319" s="90"/>
      <c r="C319" s="90"/>
      <c r="D319" s="91">
        <v>45929.451736111099</v>
      </c>
      <c r="E319" s="90" t="s">
        <v>5222</v>
      </c>
      <c r="F319" s="92"/>
      <c r="G319" s="90" t="s">
        <v>5580</v>
      </c>
      <c r="H319" s="90" t="s">
        <v>5508</v>
      </c>
      <c r="I319" s="90" t="s">
        <v>5509</v>
      </c>
      <c r="J319" s="90"/>
      <c r="K319" s="93">
        <v>5</v>
      </c>
      <c r="L319" s="93">
        <v>1</v>
      </c>
      <c r="M319" s="93">
        <v>5</v>
      </c>
      <c r="N319" s="93">
        <v>5</v>
      </c>
      <c r="O319" s="90" t="s">
        <v>5226</v>
      </c>
      <c r="P319" s="90"/>
      <c r="Q319" s="90" t="s">
        <v>5227</v>
      </c>
      <c r="R319" s="90"/>
      <c r="S319" s="90"/>
      <c r="T319" s="90"/>
      <c r="U319" s="90"/>
      <c r="V319" s="90" t="s">
        <v>5510</v>
      </c>
      <c r="W319" s="90" t="s">
        <v>94</v>
      </c>
      <c r="X319" s="90" t="s">
        <v>162</v>
      </c>
      <c r="Y319" s="90" t="s">
        <v>408</v>
      </c>
      <c r="Z319" s="90"/>
      <c r="AA319" s="93">
        <v>4.4247787610619502</v>
      </c>
      <c r="AB319" s="93">
        <v>4.4247787610619502</v>
      </c>
      <c r="AC319" s="93">
        <v>13</v>
      </c>
      <c r="AD319" s="93">
        <v>0.57522123893805299</v>
      </c>
      <c r="AE319" s="90"/>
      <c r="AF319" s="90"/>
      <c r="AG319" s="90"/>
      <c r="AH319" s="90"/>
      <c r="AI319" s="93">
        <v>0</v>
      </c>
      <c r="AJ319" s="93">
        <v>1</v>
      </c>
      <c r="AK319" s="93">
        <v>13</v>
      </c>
      <c r="AL319" s="93">
        <v>4.4247800000000002</v>
      </c>
      <c r="AM319" s="93">
        <v>0.57521999999999995</v>
      </c>
      <c r="AN319" s="93">
        <v>5</v>
      </c>
      <c r="AO319" s="93">
        <v>-1.23893805259456E-6</v>
      </c>
      <c r="AP319" s="90" t="s">
        <v>94</v>
      </c>
      <c r="AQ319" s="90" t="s">
        <v>5239</v>
      </c>
      <c r="AR319" s="90"/>
      <c r="AS319" s="90"/>
      <c r="AT319" s="90"/>
      <c r="AU319" s="90"/>
      <c r="AV319" s="90"/>
      <c r="AW319" s="90"/>
      <c r="AX319" s="90"/>
      <c r="AY319" s="90" t="s">
        <v>5230</v>
      </c>
      <c r="AZ319" s="90"/>
      <c r="BA319" s="90" t="s">
        <v>408</v>
      </c>
      <c r="BB319" s="91">
        <v>45902.4897569444</v>
      </c>
      <c r="BC319" s="90" t="s">
        <v>402</v>
      </c>
      <c r="BD319" s="90"/>
      <c r="BE319" s="90"/>
      <c r="BF319" s="90" t="s">
        <v>5231</v>
      </c>
    </row>
    <row r="320" spans="1:58" ht="24.75" customHeight="1">
      <c r="A320" s="90" t="s">
        <v>5247</v>
      </c>
      <c r="B320" s="90"/>
      <c r="C320" s="90"/>
      <c r="D320" s="91">
        <v>45929.451736111099</v>
      </c>
      <c r="E320" s="90" t="s">
        <v>5222</v>
      </c>
      <c r="F320" s="92"/>
      <c r="G320" s="90" t="s">
        <v>5580</v>
      </c>
      <c r="H320" s="90" t="s">
        <v>5583</v>
      </c>
      <c r="I320" s="90" t="s">
        <v>5584</v>
      </c>
      <c r="J320" s="90"/>
      <c r="K320" s="93">
        <v>24</v>
      </c>
      <c r="L320" s="93">
        <v>8</v>
      </c>
      <c r="M320" s="93">
        <v>192</v>
      </c>
      <c r="N320" s="93">
        <v>192</v>
      </c>
      <c r="O320" s="90" t="s">
        <v>5226</v>
      </c>
      <c r="P320" s="90"/>
      <c r="Q320" s="90" t="s">
        <v>5227</v>
      </c>
      <c r="R320" s="90"/>
      <c r="S320" s="90"/>
      <c r="T320" s="90"/>
      <c r="U320" s="90" t="s">
        <v>5356</v>
      </c>
      <c r="V320" s="90" t="s">
        <v>5228</v>
      </c>
      <c r="W320" s="90" t="s">
        <v>94</v>
      </c>
      <c r="X320" s="90" t="s">
        <v>162</v>
      </c>
      <c r="Y320" s="90" t="s">
        <v>408</v>
      </c>
      <c r="Z320" s="90"/>
      <c r="AA320" s="93">
        <v>169.911504424779</v>
      </c>
      <c r="AB320" s="93">
        <v>169.911504424779</v>
      </c>
      <c r="AC320" s="93">
        <v>13</v>
      </c>
      <c r="AD320" s="93">
        <v>22.088495575221199</v>
      </c>
      <c r="AE320" s="90"/>
      <c r="AF320" s="90"/>
      <c r="AG320" s="90"/>
      <c r="AH320" s="90"/>
      <c r="AI320" s="93">
        <v>0</v>
      </c>
      <c r="AJ320" s="93">
        <v>8</v>
      </c>
      <c r="AK320" s="93">
        <v>13</v>
      </c>
      <c r="AL320" s="93">
        <v>169.91150400000001</v>
      </c>
      <c r="AM320" s="93">
        <v>22.088495999999999</v>
      </c>
      <c r="AN320" s="93">
        <v>192</v>
      </c>
      <c r="AO320" s="93">
        <v>4.24778761498601E-7</v>
      </c>
      <c r="AP320" s="90" t="s">
        <v>94</v>
      </c>
      <c r="AQ320" s="90" t="s">
        <v>5239</v>
      </c>
      <c r="AR320" s="90"/>
      <c r="AS320" s="90"/>
      <c r="AT320" s="90"/>
      <c r="AU320" s="90"/>
      <c r="AV320" s="90"/>
      <c r="AW320" s="90"/>
      <c r="AX320" s="90"/>
      <c r="AY320" s="90" t="s">
        <v>5230</v>
      </c>
      <c r="AZ320" s="90"/>
      <c r="BA320" s="90" t="s">
        <v>408</v>
      </c>
      <c r="BB320" s="91">
        <v>45902.4897569444</v>
      </c>
      <c r="BC320" s="90" t="s">
        <v>402</v>
      </c>
      <c r="BD320" s="90"/>
      <c r="BE320" s="90"/>
      <c r="BF320" s="90" t="s">
        <v>5231</v>
      </c>
    </row>
    <row r="321" spans="1:58" ht="24.75" customHeight="1">
      <c r="A321" s="90" t="s">
        <v>5247</v>
      </c>
      <c r="B321" s="90"/>
      <c r="C321" s="90"/>
      <c r="D321" s="91">
        <v>45929.451736111099</v>
      </c>
      <c r="E321" s="90" t="s">
        <v>5222</v>
      </c>
      <c r="F321" s="92"/>
      <c r="G321" s="90" t="s">
        <v>5580</v>
      </c>
      <c r="H321" s="90" t="s">
        <v>5529</v>
      </c>
      <c r="I321" s="90" t="s">
        <v>5530</v>
      </c>
      <c r="J321" s="90"/>
      <c r="K321" s="93">
        <v>2</v>
      </c>
      <c r="L321" s="93">
        <v>5.5</v>
      </c>
      <c r="M321" s="93">
        <v>11</v>
      </c>
      <c r="N321" s="93">
        <v>11</v>
      </c>
      <c r="O321" s="90" t="s">
        <v>5226</v>
      </c>
      <c r="P321" s="90"/>
      <c r="Q321" s="90" t="s">
        <v>5227</v>
      </c>
      <c r="R321" s="90"/>
      <c r="S321" s="90"/>
      <c r="T321" s="90"/>
      <c r="U321" s="90"/>
      <c r="V321" s="90" t="s">
        <v>5531</v>
      </c>
      <c r="W321" s="90" t="s">
        <v>94</v>
      </c>
      <c r="X321" s="90" t="s">
        <v>162</v>
      </c>
      <c r="Y321" s="90" t="s">
        <v>408</v>
      </c>
      <c r="Z321" s="90"/>
      <c r="AA321" s="93">
        <v>9.7345132743362797</v>
      </c>
      <c r="AB321" s="93">
        <v>9.7345132743362797</v>
      </c>
      <c r="AC321" s="93">
        <v>13</v>
      </c>
      <c r="AD321" s="93">
        <v>1.2654867256637199</v>
      </c>
      <c r="AE321" s="90"/>
      <c r="AF321" s="90"/>
      <c r="AG321" s="90"/>
      <c r="AH321" s="90"/>
      <c r="AI321" s="93">
        <v>0</v>
      </c>
      <c r="AJ321" s="93">
        <v>5.5</v>
      </c>
      <c r="AK321" s="93">
        <v>13</v>
      </c>
      <c r="AL321" s="93">
        <v>9.7345140000000008</v>
      </c>
      <c r="AM321" s="93">
        <v>1.2654860000000001</v>
      </c>
      <c r="AN321" s="93">
        <v>11</v>
      </c>
      <c r="AO321" s="93">
        <v>-7.2566371756011005E-7</v>
      </c>
      <c r="AP321" s="90" t="s">
        <v>94</v>
      </c>
      <c r="AQ321" s="90" t="s">
        <v>498</v>
      </c>
      <c r="AR321" s="90"/>
      <c r="AS321" s="90"/>
      <c r="AT321" s="90"/>
      <c r="AU321" s="90"/>
      <c r="AV321" s="90"/>
      <c r="AW321" s="90"/>
      <c r="AX321" s="90"/>
      <c r="AY321" s="90" t="s">
        <v>5230</v>
      </c>
      <c r="AZ321" s="90"/>
      <c r="BA321" s="90" t="s">
        <v>408</v>
      </c>
      <c r="BB321" s="91">
        <v>45902.4897569444</v>
      </c>
      <c r="BC321" s="90" t="s">
        <v>402</v>
      </c>
      <c r="BD321" s="90"/>
      <c r="BE321" s="90"/>
      <c r="BF321" s="90" t="s">
        <v>5231</v>
      </c>
    </row>
    <row r="322" spans="1:58" ht="24.75" customHeight="1">
      <c r="A322" s="90" t="s">
        <v>5247</v>
      </c>
      <c r="B322" s="90"/>
      <c r="C322" s="90"/>
      <c r="D322" s="91">
        <v>45929.451736111099</v>
      </c>
      <c r="E322" s="90" t="s">
        <v>5222</v>
      </c>
      <c r="F322" s="92"/>
      <c r="G322" s="90" t="s">
        <v>5580</v>
      </c>
      <c r="H322" s="90" t="s">
        <v>5499</v>
      </c>
      <c r="I322" s="90" t="s">
        <v>5500</v>
      </c>
      <c r="J322" s="90"/>
      <c r="K322" s="93">
        <v>8</v>
      </c>
      <c r="L322" s="93">
        <v>7.5</v>
      </c>
      <c r="M322" s="93">
        <v>60</v>
      </c>
      <c r="N322" s="93">
        <v>60</v>
      </c>
      <c r="O322" s="90" t="s">
        <v>5226</v>
      </c>
      <c r="P322" s="90"/>
      <c r="Q322" s="90" t="s">
        <v>5227</v>
      </c>
      <c r="R322" s="90"/>
      <c r="S322" s="90"/>
      <c r="T322" s="90"/>
      <c r="U322" s="90"/>
      <c r="V322" s="90" t="s">
        <v>5252</v>
      </c>
      <c r="W322" s="90" t="s">
        <v>94</v>
      </c>
      <c r="X322" s="90" t="s">
        <v>162</v>
      </c>
      <c r="Y322" s="90" t="s">
        <v>408</v>
      </c>
      <c r="Z322" s="90"/>
      <c r="AA322" s="93">
        <v>53.097345132743399</v>
      </c>
      <c r="AB322" s="93">
        <v>53.097345132743399</v>
      </c>
      <c r="AC322" s="93">
        <v>13</v>
      </c>
      <c r="AD322" s="93">
        <v>6.9026548672566301</v>
      </c>
      <c r="AE322" s="90"/>
      <c r="AF322" s="90"/>
      <c r="AG322" s="90"/>
      <c r="AH322" s="90"/>
      <c r="AI322" s="93">
        <v>0</v>
      </c>
      <c r="AJ322" s="93">
        <v>7.5</v>
      </c>
      <c r="AK322" s="93">
        <v>13</v>
      </c>
      <c r="AL322" s="93">
        <v>53.097344</v>
      </c>
      <c r="AM322" s="93">
        <v>6.9026560000000003</v>
      </c>
      <c r="AN322" s="93">
        <v>60</v>
      </c>
      <c r="AO322" s="93">
        <v>1.1327433711016999E-6</v>
      </c>
      <c r="AP322" s="90" t="s">
        <v>94</v>
      </c>
      <c r="AQ322" s="90" t="s">
        <v>5239</v>
      </c>
      <c r="AR322" s="90"/>
      <c r="AS322" s="90"/>
      <c r="AT322" s="90"/>
      <c r="AU322" s="90"/>
      <c r="AV322" s="90"/>
      <c r="AW322" s="90"/>
      <c r="AX322" s="90"/>
      <c r="AY322" s="90" t="s">
        <v>5230</v>
      </c>
      <c r="AZ322" s="90"/>
      <c r="BA322" s="90" t="s">
        <v>408</v>
      </c>
      <c r="BB322" s="91">
        <v>45902.4897569444</v>
      </c>
      <c r="BC322" s="90" t="s">
        <v>402</v>
      </c>
      <c r="BD322" s="90"/>
      <c r="BE322" s="90"/>
      <c r="BF322" s="90" t="s">
        <v>5231</v>
      </c>
    </row>
    <row r="323" spans="1:58" ht="24.75" customHeight="1">
      <c r="A323" s="90" t="s">
        <v>5247</v>
      </c>
      <c r="B323" s="90"/>
      <c r="C323" s="90"/>
      <c r="D323" s="91">
        <v>45929.451736111099</v>
      </c>
      <c r="E323" s="90" t="s">
        <v>5222</v>
      </c>
      <c r="F323" s="92"/>
      <c r="G323" s="90" t="s">
        <v>5580</v>
      </c>
      <c r="H323" s="90" t="s">
        <v>5506</v>
      </c>
      <c r="I323" s="90" t="s">
        <v>5507</v>
      </c>
      <c r="J323" s="90"/>
      <c r="K323" s="93">
        <v>9</v>
      </c>
      <c r="L323" s="93">
        <v>2.5</v>
      </c>
      <c r="M323" s="93">
        <v>22.5</v>
      </c>
      <c r="N323" s="93">
        <v>22.5</v>
      </c>
      <c r="O323" s="90" t="s">
        <v>5226</v>
      </c>
      <c r="P323" s="90"/>
      <c r="Q323" s="90" t="s">
        <v>5227</v>
      </c>
      <c r="R323" s="90"/>
      <c r="S323" s="90"/>
      <c r="T323" s="90"/>
      <c r="U323" s="90"/>
      <c r="V323" s="90" t="s">
        <v>5385</v>
      </c>
      <c r="W323" s="90" t="s">
        <v>94</v>
      </c>
      <c r="X323" s="90" t="s">
        <v>162</v>
      </c>
      <c r="Y323" s="90" t="s">
        <v>408</v>
      </c>
      <c r="Z323" s="90"/>
      <c r="AA323" s="93">
        <v>19.911504424778801</v>
      </c>
      <c r="AB323" s="93">
        <v>19.911504424778801</v>
      </c>
      <c r="AC323" s="93">
        <v>13</v>
      </c>
      <c r="AD323" s="93">
        <v>2.58849557522124</v>
      </c>
      <c r="AE323" s="90"/>
      <c r="AF323" s="90"/>
      <c r="AG323" s="90"/>
      <c r="AH323" s="90"/>
      <c r="AI323" s="93">
        <v>0</v>
      </c>
      <c r="AJ323" s="93">
        <v>2.5</v>
      </c>
      <c r="AK323" s="93">
        <v>13</v>
      </c>
      <c r="AL323" s="93">
        <v>19.911501000000001</v>
      </c>
      <c r="AM323" s="93">
        <v>2.5884990000000001</v>
      </c>
      <c r="AN323" s="93">
        <v>22.5</v>
      </c>
      <c r="AO323" s="93">
        <v>3.4247787610297598E-6</v>
      </c>
      <c r="AP323" s="90" t="s">
        <v>94</v>
      </c>
      <c r="AQ323" s="90" t="s">
        <v>5239</v>
      </c>
      <c r="AR323" s="90"/>
      <c r="AS323" s="90"/>
      <c r="AT323" s="90"/>
      <c r="AU323" s="90"/>
      <c r="AV323" s="90"/>
      <c r="AW323" s="90"/>
      <c r="AX323" s="90"/>
      <c r="AY323" s="90" t="s">
        <v>5230</v>
      </c>
      <c r="AZ323" s="90"/>
      <c r="BA323" s="90" t="s">
        <v>408</v>
      </c>
      <c r="BB323" s="91">
        <v>45902.4897569444</v>
      </c>
      <c r="BC323" s="90" t="s">
        <v>402</v>
      </c>
      <c r="BD323" s="90"/>
      <c r="BE323" s="90"/>
      <c r="BF323" s="90" t="s">
        <v>5231</v>
      </c>
    </row>
    <row r="324" spans="1:58" ht="24.75" customHeight="1">
      <c r="A324" s="90" t="s">
        <v>5247</v>
      </c>
      <c r="B324" s="90"/>
      <c r="C324" s="90"/>
      <c r="D324" s="91">
        <v>45929.453321759298</v>
      </c>
      <c r="E324" s="90" t="s">
        <v>5222</v>
      </c>
      <c r="F324" s="92"/>
      <c r="G324" s="90" t="s">
        <v>5585</v>
      </c>
      <c r="H324" s="90" t="s">
        <v>5542</v>
      </c>
      <c r="I324" s="90" t="s">
        <v>5543</v>
      </c>
      <c r="J324" s="90"/>
      <c r="K324" s="93">
        <v>5</v>
      </c>
      <c r="L324" s="93">
        <v>1</v>
      </c>
      <c r="M324" s="93">
        <v>5</v>
      </c>
      <c r="N324" s="93">
        <v>5</v>
      </c>
      <c r="O324" s="90" t="s">
        <v>5226</v>
      </c>
      <c r="P324" s="90"/>
      <c r="Q324" s="90" t="s">
        <v>5227</v>
      </c>
      <c r="R324" s="90"/>
      <c r="S324" s="90"/>
      <c r="T324" s="90"/>
      <c r="U324" s="90"/>
      <c r="V324" s="90" t="s">
        <v>5252</v>
      </c>
      <c r="W324" s="90" t="s">
        <v>94</v>
      </c>
      <c r="X324" s="90" t="s">
        <v>143</v>
      </c>
      <c r="Y324" s="90" t="s">
        <v>5253</v>
      </c>
      <c r="Z324" s="90"/>
      <c r="AA324" s="93">
        <v>4.4247787610619502</v>
      </c>
      <c r="AB324" s="93">
        <v>4.4247787610619502</v>
      </c>
      <c r="AC324" s="93">
        <v>13</v>
      </c>
      <c r="AD324" s="93">
        <v>0.57522123893805299</v>
      </c>
      <c r="AE324" s="90"/>
      <c r="AF324" s="90"/>
      <c r="AG324" s="90"/>
      <c r="AH324" s="90"/>
      <c r="AI324" s="93">
        <v>0</v>
      </c>
      <c r="AJ324" s="93">
        <v>1</v>
      </c>
      <c r="AK324" s="93">
        <v>13</v>
      </c>
      <c r="AL324" s="93">
        <v>4.4247800000000002</v>
      </c>
      <c r="AM324" s="93">
        <v>0.57521999999999995</v>
      </c>
      <c r="AN324" s="93">
        <v>5</v>
      </c>
      <c r="AO324" s="93">
        <v>-1.23893805259456E-6</v>
      </c>
      <c r="AP324" s="90" t="s">
        <v>94</v>
      </c>
      <c r="AQ324" s="90" t="s">
        <v>5239</v>
      </c>
      <c r="AR324" s="90"/>
      <c r="AS324" s="90"/>
      <c r="AT324" s="90"/>
      <c r="AU324" s="90"/>
      <c r="AV324" s="90"/>
      <c r="AW324" s="90"/>
      <c r="AX324" s="90"/>
      <c r="AY324" s="90" t="s">
        <v>5230</v>
      </c>
      <c r="AZ324" s="90"/>
      <c r="BA324" s="90" t="s">
        <v>5253</v>
      </c>
      <c r="BB324" s="91">
        <v>45896.323865740698</v>
      </c>
      <c r="BC324" s="90" t="s">
        <v>402</v>
      </c>
      <c r="BD324" s="90"/>
      <c r="BE324" s="90"/>
      <c r="BF324" s="90" t="s">
        <v>5254</v>
      </c>
    </row>
    <row r="325" spans="1:58" ht="24.75" customHeight="1">
      <c r="A325" s="90" t="s">
        <v>5247</v>
      </c>
      <c r="B325" s="90"/>
      <c r="C325" s="90"/>
      <c r="D325" s="91">
        <v>45929.453321759298</v>
      </c>
      <c r="E325" s="90" t="s">
        <v>5222</v>
      </c>
      <c r="F325" s="92"/>
      <c r="G325" s="90" t="s">
        <v>5585</v>
      </c>
      <c r="H325" s="90" t="s">
        <v>5506</v>
      </c>
      <c r="I325" s="90" t="s">
        <v>5507</v>
      </c>
      <c r="J325" s="90"/>
      <c r="K325" s="93">
        <v>7</v>
      </c>
      <c r="L325" s="93">
        <v>2.5</v>
      </c>
      <c r="M325" s="93">
        <v>17.5</v>
      </c>
      <c r="N325" s="93">
        <v>17.5</v>
      </c>
      <c r="O325" s="90" t="s">
        <v>5226</v>
      </c>
      <c r="P325" s="90"/>
      <c r="Q325" s="90" t="s">
        <v>5227</v>
      </c>
      <c r="R325" s="90"/>
      <c r="S325" s="90"/>
      <c r="T325" s="90"/>
      <c r="U325" s="90"/>
      <c r="V325" s="90" t="s">
        <v>5385</v>
      </c>
      <c r="W325" s="90" t="s">
        <v>94</v>
      </c>
      <c r="X325" s="90" t="s">
        <v>143</v>
      </c>
      <c r="Y325" s="90" t="s">
        <v>5253</v>
      </c>
      <c r="Z325" s="90"/>
      <c r="AA325" s="93">
        <v>15.4867256637168</v>
      </c>
      <c r="AB325" s="93">
        <v>15.4867256637168</v>
      </c>
      <c r="AC325" s="93">
        <v>13</v>
      </c>
      <c r="AD325" s="93">
        <v>2.0132743362831902</v>
      </c>
      <c r="AE325" s="90"/>
      <c r="AF325" s="90"/>
      <c r="AG325" s="90"/>
      <c r="AH325" s="90"/>
      <c r="AI325" s="93">
        <v>0</v>
      </c>
      <c r="AJ325" s="93">
        <v>2.5</v>
      </c>
      <c r="AK325" s="93">
        <v>13</v>
      </c>
      <c r="AL325" s="93">
        <v>15.486723</v>
      </c>
      <c r="AM325" s="93">
        <v>2.013277</v>
      </c>
      <c r="AN325" s="93">
        <v>17.5</v>
      </c>
      <c r="AO325" s="93">
        <v>2.6637168168974801E-6</v>
      </c>
      <c r="AP325" s="90" t="s">
        <v>94</v>
      </c>
      <c r="AQ325" s="90" t="s">
        <v>5239</v>
      </c>
      <c r="AR325" s="90"/>
      <c r="AS325" s="90"/>
      <c r="AT325" s="90"/>
      <c r="AU325" s="90"/>
      <c r="AV325" s="90"/>
      <c r="AW325" s="90"/>
      <c r="AX325" s="90"/>
      <c r="AY325" s="90" t="s">
        <v>5230</v>
      </c>
      <c r="AZ325" s="90"/>
      <c r="BA325" s="90" t="s">
        <v>5253</v>
      </c>
      <c r="BB325" s="91">
        <v>45902.4897569444</v>
      </c>
      <c r="BC325" s="90" t="s">
        <v>402</v>
      </c>
      <c r="BD325" s="90"/>
      <c r="BE325" s="90"/>
      <c r="BF325" s="90" t="s">
        <v>5254</v>
      </c>
    </row>
    <row r="326" spans="1:58" ht="24.75" customHeight="1">
      <c r="A326" s="90" t="s">
        <v>5247</v>
      </c>
      <c r="B326" s="90"/>
      <c r="C326" s="90"/>
      <c r="D326" s="91">
        <v>45929.453321759298</v>
      </c>
      <c r="E326" s="90" t="s">
        <v>5222</v>
      </c>
      <c r="F326" s="92"/>
      <c r="G326" s="90" t="s">
        <v>5585</v>
      </c>
      <c r="H326" s="90" t="s">
        <v>5511</v>
      </c>
      <c r="I326" s="90" t="s">
        <v>5512</v>
      </c>
      <c r="J326" s="90" t="s">
        <v>5513</v>
      </c>
      <c r="K326" s="93">
        <v>6</v>
      </c>
      <c r="L326" s="93">
        <v>10</v>
      </c>
      <c r="M326" s="93">
        <v>60</v>
      </c>
      <c r="N326" s="93">
        <v>60</v>
      </c>
      <c r="O326" s="90" t="s">
        <v>5226</v>
      </c>
      <c r="P326" s="90"/>
      <c r="Q326" s="90" t="s">
        <v>5227</v>
      </c>
      <c r="R326" s="90"/>
      <c r="S326" s="90"/>
      <c r="T326" s="90"/>
      <c r="U326" s="90"/>
      <c r="V326" s="90" t="s">
        <v>5260</v>
      </c>
      <c r="W326" s="90" t="s">
        <v>94</v>
      </c>
      <c r="X326" s="90" t="s">
        <v>143</v>
      </c>
      <c r="Y326" s="90" t="s">
        <v>5253</v>
      </c>
      <c r="Z326" s="90"/>
      <c r="AA326" s="93">
        <v>53.097345132743399</v>
      </c>
      <c r="AB326" s="93">
        <v>53.097345132743399</v>
      </c>
      <c r="AC326" s="93">
        <v>13</v>
      </c>
      <c r="AD326" s="93">
        <v>6.9026548672566301</v>
      </c>
      <c r="AE326" s="90"/>
      <c r="AF326" s="90"/>
      <c r="AG326" s="90"/>
      <c r="AH326" s="90"/>
      <c r="AI326" s="93">
        <v>0</v>
      </c>
      <c r="AJ326" s="93">
        <v>10</v>
      </c>
      <c r="AK326" s="93">
        <v>13</v>
      </c>
      <c r="AL326" s="93">
        <v>53.097347999999997</v>
      </c>
      <c r="AM326" s="93">
        <v>6.9026519999999998</v>
      </c>
      <c r="AN326" s="93">
        <v>60</v>
      </c>
      <c r="AO326" s="93">
        <v>-2.8672566259047E-6</v>
      </c>
      <c r="AP326" s="90" t="s">
        <v>94</v>
      </c>
      <c r="AQ326" s="90" t="s">
        <v>5239</v>
      </c>
      <c r="AR326" s="90"/>
      <c r="AS326" s="90"/>
      <c r="AT326" s="90"/>
      <c r="AU326" s="90"/>
      <c r="AV326" s="90"/>
      <c r="AW326" s="90"/>
      <c r="AX326" s="90"/>
      <c r="AY326" s="90" t="s">
        <v>5230</v>
      </c>
      <c r="AZ326" s="90"/>
      <c r="BA326" s="90" t="s">
        <v>5253</v>
      </c>
      <c r="BB326" s="91">
        <v>45873.434953703698</v>
      </c>
      <c r="BC326" s="90" t="s">
        <v>402</v>
      </c>
      <c r="BD326" s="90"/>
      <c r="BE326" s="90"/>
      <c r="BF326" s="90" t="s">
        <v>5254</v>
      </c>
    </row>
    <row r="327" spans="1:58" ht="24.75" customHeight="1">
      <c r="A327" s="90" t="s">
        <v>5247</v>
      </c>
      <c r="B327" s="90"/>
      <c r="C327" s="90"/>
      <c r="D327" s="91">
        <v>45929.453321759298</v>
      </c>
      <c r="E327" s="90" t="s">
        <v>5222</v>
      </c>
      <c r="F327" s="92"/>
      <c r="G327" s="90" t="s">
        <v>5585</v>
      </c>
      <c r="H327" s="90" t="s">
        <v>5511</v>
      </c>
      <c r="I327" s="90" t="s">
        <v>5512</v>
      </c>
      <c r="J327" s="90" t="s">
        <v>5513</v>
      </c>
      <c r="K327" s="93">
        <v>40</v>
      </c>
      <c r="L327" s="93">
        <v>10</v>
      </c>
      <c r="M327" s="93">
        <v>400</v>
      </c>
      <c r="N327" s="93">
        <v>400</v>
      </c>
      <c r="O327" s="90" t="s">
        <v>5226</v>
      </c>
      <c r="P327" s="90"/>
      <c r="Q327" s="90" t="s">
        <v>5227</v>
      </c>
      <c r="R327" s="90"/>
      <c r="S327" s="90"/>
      <c r="T327" s="90"/>
      <c r="U327" s="90"/>
      <c r="V327" s="90" t="s">
        <v>5260</v>
      </c>
      <c r="W327" s="90" t="s">
        <v>94</v>
      </c>
      <c r="X327" s="90" t="s">
        <v>143</v>
      </c>
      <c r="Y327" s="90" t="s">
        <v>5253</v>
      </c>
      <c r="Z327" s="90"/>
      <c r="AA327" s="93">
        <v>353.98230088495598</v>
      </c>
      <c r="AB327" s="93">
        <v>353.98230088495598</v>
      </c>
      <c r="AC327" s="93">
        <v>13</v>
      </c>
      <c r="AD327" s="93">
        <v>46.017699115044202</v>
      </c>
      <c r="AE327" s="90"/>
      <c r="AF327" s="90"/>
      <c r="AG327" s="90"/>
      <c r="AH327" s="90"/>
      <c r="AI327" s="93">
        <v>0</v>
      </c>
      <c r="AJ327" s="93">
        <v>10</v>
      </c>
      <c r="AK327" s="93">
        <v>13</v>
      </c>
      <c r="AL327" s="93">
        <v>353.98232000000002</v>
      </c>
      <c r="AM327" s="93">
        <v>46.017679999999999</v>
      </c>
      <c r="AN327" s="93">
        <v>400</v>
      </c>
      <c r="AO327" s="93">
        <v>-1.91150442105936E-5</v>
      </c>
      <c r="AP327" s="90" t="s">
        <v>94</v>
      </c>
      <c r="AQ327" s="90" t="s">
        <v>5239</v>
      </c>
      <c r="AR327" s="90"/>
      <c r="AS327" s="90"/>
      <c r="AT327" s="90"/>
      <c r="AU327" s="90"/>
      <c r="AV327" s="90"/>
      <c r="AW327" s="90"/>
      <c r="AX327" s="90"/>
      <c r="AY327" s="90" t="s">
        <v>5230</v>
      </c>
      <c r="AZ327" s="90"/>
      <c r="BA327" s="90" t="s">
        <v>5253</v>
      </c>
      <c r="BB327" s="91">
        <v>45902.4897569444</v>
      </c>
      <c r="BC327" s="90" t="s">
        <v>402</v>
      </c>
      <c r="BD327" s="90"/>
      <c r="BE327" s="90"/>
      <c r="BF327" s="90" t="s">
        <v>5254</v>
      </c>
    </row>
    <row r="328" spans="1:58" ht="24.75" customHeight="1">
      <c r="A328" s="90" t="s">
        <v>5247</v>
      </c>
      <c r="B328" s="90"/>
      <c r="C328" s="90"/>
      <c r="D328" s="91">
        <v>45929.453321759298</v>
      </c>
      <c r="E328" s="90" t="s">
        <v>5222</v>
      </c>
      <c r="F328" s="92"/>
      <c r="G328" s="90" t="s">
        <v>5585</v>
      </c>
      <c r="H328" s="90" t="s">
        <v>5503</v>
      </c>
      <c r="I328" s="90" t="s">
        <v>5504</v>
      </c>
      <c r="J328" s="90"/>
      <c r="K328" s="93">
        <v>1</v>
      </c>
      <c r="L328" s="93">
        <v>18</v>
      </c>
      <c r="M328" s="93">
        <v>18</v>
      </c>
      <c r="N328" s="93">
        <v>18</v>
      </c>
      <c r="O328" s="90" t="s">
        <v>5226</v>
      </c>
      <c r="P328" s="90"/>
      <c r="Q328" s="90" t="s">
        <v>5227</v>
      </c>
      <c r="R328" s="90"/>
      <c r="S328" s="90"/>
      <c r="T328" s="90"/>
      <c r="U328" s="90"/>
      <c r="V328" s="90" t="s">
        <v>5252</v>
      </c>
      <c r="W328" s="90" t="s">
        <v>94</v>
      </c>
      <c r="X328" s="90" t="s">
        <v>143</v>
      </c>
      <c r="Y328" s="90" t="s">
        <v>5253</v>
      </c>
      <c r="Z328" s="90"/>
      <c r="AA328" s="93">
        <v>15.929203539823</v>
      </c>
      <c r="AB328" s="93">
        <v>15.929203539823</v>
      </c>
      <c r="AC328" s="93">
        <v>13</v>
      </c>
      <c r="AD328" s="93">
        <v>2.0707964601769899</v>
      </c>
      <c r="AE328" s="90"/>
      <c r="AF328" s="90"/>
      <c r="AG328" s="90"/>
      <c r="AH328" s="90"/>
      <c r="AI328" s="93">
        <v>0</v>
      </c>
      <c r="AJ328" s="93">
        <v>18</v>
      </c>
      <c r="AK328" s="93">
        <v>13</v>
      </c>
      <c r="AL328" s="93">
        <v>15.929204</v>
      </c>
      <c r="AM328" s="93">
        <v>2.0707960000000001</v>
      </c>
      <c r="AN328" s="93">
        <v>18</v>
      </c>
      <c r="AO328" s="93">
        <v>-4.6017698984712799E-7</v>
      </c>
      <c r="AP328" s="90" t="s">
        <v>94</v>
      </c>
      <c r="AQ328" s="90" t="s">
        <v>5239</v>
      </c>
      <c r="AR328" s="90"/>
      <c r="AS328" s="90"/>
      <c r="AT328" s="90"/>
      <c r="AU328" s="90"/>
      <c r="AV328" s="90"/>
      <c r="AW328" s="90"/>
      <c r="AX328" s="90"/>
      <c r="AY328" s="90" t="s">
        <v>5230</v>
      </c>
      <c r="AZ328" s="90"/>
      <c r="BA328" s="90" t="s">
        <v>5253</v>
      </c>
      <c r="BB328" s="91">
        <v>45911.320416666698</v>
      </c>
      <c r="BC328" s="90" t="s">
        <v>402</v>
      </c>
      <c r="BD328" s="90"/>
      <c r="BE328" s="90"/>
      <c r="BF328" s="90" t="s">
        <v>5254</v>
      </c>
    </row>
    <row r="329" spans="1:58" ht="24.75" customHeight="1">
      <c r="A329" s="90" t="s">
        <v>5247</v>
      </c>
      <c r="B329" s="90"/>
      <c r="C329" s="90"/>
      <c r="D329" s="91">
        <v>45929.453321759298</v>
      </c>
      <c r="E329" s="90" t="s">
        <v>5222</v>
      </c>
      <c r="F329" s="92"/>
      <c r="G329" s="90" t="s">
        <v>5585</v>
      </c>
      <c r="H329" s="90" t="s">
        <v>5508</v>
      </c>
      <c r="I329" s="90" t="s">
        <v>5509</v>
      </c>
      <c r="J329" s="90"/>
      <c r="K329" s="93">
        <v>15</v>
      </c>
      <c r="L329" s="93">
        <v>1</v>
      </c>
      <c r="M329" s="93">
        <v>15</v>
      </c>
      <c r="N329" s="93">
        <v>15</v>
      </c>
      <c r="O329" s="90" t="s">
        <v>5226</v>
      </c>
      <c r="P329" s="90"/>
      <c r="Q329" s="90" t="s">
        <v>5227</v>
      </c>
      <c r="R329" s="90"/>
      <c r="S329" s="90"/>
      <c r="T329" s="90"/>
      <c r="U329" s="90"/>
      <c r="V329" s="90" t="s">
        <v>5510</v>
      </c>
      <c r="W329" s="90" t="s">
        <v>94</v>
      </c>
      <c r="X329" s="90" t="s">
        <v>143</v>
      </c>
      <c r="Y329" s="90" t="s">
        <v>5253</v>
      </c>
      <c r="Z329" s="90"/>
      <c r="AA329" s="93">
        <v>13.2743362831858</v>
      </c>
      <c r="AB329" s="93">
        <v>13.2743362831858</v>
      </c>
      <c r="AC329" s="93">
        <v>13</v>
      </c>
      <c r="AD329" s="93">
        <v>1.72566371681416</v>
      </c>
      <c r="AE329" s="90"/>
      <c r="AF329" s="90"/>
      <c r="AG329" s="90"/>
      <c r="AH329" s="90"/>
      <c r="AI329" s="93">
        <v>0</v>
      </c>
      <c r="AJ329" s="93">
        <v>1</v>
      </c>
      <c r="AK329" s="93">
        <v>13</v>
      </c>
      <c r="AL329" s="93">
        <v>13.27434</v>
      </c>
      <c r="AM329" s="93">
        <v>1.72566</v>
      </c>
      <c r="AN329" s="93">
        <v>15</v>
      </c>
      <c r="AO329" s="93">
        <v>-3.71681415600733E-6</v>
      </c>
      <c r="AP329" s="90" t="s">
        <v>94</v>
      </c>
      <c r="AQ329" s="90" t="s">
        <v>5239</v>
      </c>
      <c r="AR329" s="90"/>
      <c r="AS329" s="90"/>
      <c r="AT329" s="90"/>
      <c r="AU329" s="90"/>
      <c r="AV329" s="90"/>
      <c r="AW329" s="90"/>
      <c r="AX329" s="90"/>
      <c r="AY329" s="90" t="s">
        <v>5230</v>
      </c>
      <c r="AZ329" s="90"/>
      <c r="BA329" s="90" t="s">
        <v>5253</v>
      </c>
      <c r="BB329" s="91">
        <v>45902.4897569444</v>
      </c>
      <c r="BC329" s="90" t="s">
        <v>402</v>
      </c>
      <c r="BD329" s="90"/>
      <c r="BE329" s="90"/>
      <c r="BF329" s="90" t="s">
        <v>5254</v>
      </c>
    </row>
    <row r="330" spans="1:58" ht="24.75" customHeight="1">
      <c r="A330" s="90" t="s">
        <v>5247</v>
      </c>
      <c r="B330" s="90"/>
      <c r="C330" s="90"/>
      <c r="D330" s="91">
        <v>45929.453321759298</v>
      </c>
      <c r="E330" s="90" t="s">
        <v>5222</v>
      </c>
      <c r="F330" s="92"/>
      <c r="G330" s="90" t="s">
        <v>5585</v>
      </c>
      <c r="H330" s="90" t="s">
        <v>5524</v>
      </c>
      <c r="I330" s="90" t="s">
        <v>5525</v>
      </c>
      <c r="J330" s="90" t="s">
        <v>5377</v>
      </c>
      <c r="K330" s="93">
        <v>4</v>
      </c>
      <c r="L330" s="93">
        <v>4</v>
      </c>
      <c r="M330" s="93">
        <v>16</v>
      </c>
      <c r="N330" s="93">
        <v>16</v>
      </c>
      <c r="O330" s="90" t="s">
        <v>5226</v>
      </c>
      <c r="P330" s="90"/>
      <c r="Q330" s="90" t="s">
        <v>5227</v>
      </c>
      <c r="R330" s="90"/>
      <c r="S330" s="90"/>
      <c r="T330" s="90"/>
      <c r="U330" s="90"/>
      <c r="V330" s="90" t="s">
        <v>5385</v>
      </c>
      <c r="W330" s="90" t="s">
        <v>94</v>
      </c>
      <c r="X330" s="90" t="s">
        <v>143</v>
      </c>
      <c r="Y330" s="90" t="s">
        <v>5253</v>
      </c>
      <c r="Z330" s="90"/>
      <c r="AA330" s="93">
        <v>16</v>
      </c>
      <c r="AB330" s="93">
        <v>16</v>
      </c>
      <c r="AC330" s="93">
        <v>0</v>
      </c>
      <c r="AD330" s="93">
        <v>0</v>
      </c>
      <c r="AE330" s="90"/>
      <c r="AF330" s="90"/>
      <c r="AG330" s="90"/>
      <c r="AH330" s="90"/>
      <c r="AI330" s="93">
        <v>0</v>
      </c>
      <c r="AJ330" s="93">
        <v>4</v>
      </c>
      <c r="AK330" s="93">
        <v>0</v>
      </c>
      <c r="AL330" s="93">
        <v>16</v>
      </c>
      <c r="AM330" s="93">
        <v>0</v>
      </c>
      <c r="AN330" s="93">
        <v>16</v>
      </c>
      <c r="AO330" s="93">
        <v>0</v>
      </c>
      <c r="AP330" s="90" t="s">
        <v>94</v>
      </c>
      <c r="AQ330" s="90" t="s">
        <v>5239</v>
      </c>
      <c r="AR330" s="90"/>
      <c r="AS330" s="90"/>
      <c r="AT330" s="90"/>
      <c r="AU330" s="90"/>
      <c r="AV330" s="90"/>
      <c r="AW330" s="90"/>
      <c r="AX330" s="90"/>
      <c r="AY330" s="90" t="s">
        <v>5230</v>
      </c>
      <c r="AZ330" s="90"/>
      <c r="BA330" s="90" t="s">
        <v>5253</v>
      </c>
      <c r="BB330" s="91">
        <v>45910.458483796298</v>
      </c>
      <c r="BC330" s="90" t="s">
        <v>404</v>
      </c>
      <c r="BD330" s="90"/>
      <c r="BE330" s="90"/>
      <c r="BF330" s="90" t="s">
        <v>5254</v>
      </c>
    </row>
    <row r="331" spans="1:58" ht="24.75" customHeight="1">
      <c r="A331" s="90" t="s">
        <v>5247</v>
      </c>
      <c r="B331" s="90"/>
      <c r="C331" s="90"/>
      <c r="D331" s="91">
        <v>45929.453321759298</v>
      </c>
      <c r="E331" s="90" t="s">
        <v>5222</v>
      </c>
      <c r="F331" s="92"/>
      <c r="G331" s="90" t="s">
        <v>5585</v>
      </c>
      <c r="H331" s="90" t="s">
        <v>5538</v>
      </c>
      <c r="I331" s="90" t="s">
        <v>5539</v>
      </c>
      <c r="J331" s="90" t="s">
        <v>5267</v>
      </c>
      <c r="K331" s="93">
        <v>3840</v>
      </c>
      <c r="L331" s="93">
        <v>0.5</v>
      </c>
      <c r="M331" s="93">
        <v>1920</v>
      </c>
      <c r="N331" s="93">
        <v>1920</v>
      </c>
      <c r="O331" s="90" t="s">
        <v>5226</v>
      </c>
      <c r="P331" s="90"/>
      <c r="Q331" s="90" t="s">
        <v>5227</v>
      </c>
      <c r="R331" s="90"/>
      <c r="S331" s="90"/>
      <c r="T331" s="90"/>
      <c r="U331" s="90"/>
      <c r="V331" s="90" t="s">
        <v>5540</v>
      </c>
      <c r="W331" s="90" t="s">
        <v>94</v>
      </c>
      <c r="X331" s="90" t="s">
        <v>143</v>
      </c>
      <c r="Y331" s="90" t="s">
        <v>5253</v>
      </c>
      <c r="Z331" s="90"/>
      <c r="AA331" s="93">
        <v>1699.1150442477899</v>
      </c>
      <c r="AB331" s="93">
        <v>1699.1150442477899</v>
      </c>
      <c r="AC331" s="93">
        <v>13</v>
      </c>
      <c r="AD331" s="93">
        <v>220.88495575221199</v>
      </c>
      <c r="AE331" s="90"/>
      <c r="AF331" s="90"/>
      <c r="AG331" s="90"/>
      <c r="AH331" s="90"/>
      <c r="AI331" s="93">
        <v>0</v>
      </c>
      <c r="AJ331" s="93">
        <v>0.5</v>
      </c>
      <c r="AK331" s="93">
        <v>13</v>
      </c>
      <c r="AL331" s="93">
        <v>1699.1155200000001</v>
      </c>
      <c r="AM331" s="93">
        <v>220.88448</v>
      </c>
      <c r="AN331" s="93">
        <v>1920</v>
      </c>
      <c r="AO331" s="93">
        <v>-4.7575221196893797E-4</v>
      </c>
      <c r="AP331" s="90" t="s">
        <v>94</v>
      </c>
      <c r="AQ331" s="90" t="s">
        <v>5541</v>
      </c>
      <c r="AR331" s="90"/>
      <c r="AS331" s="90"/>
      <c r="AT331" s="90"/>
      <c r="AU331" s="90"/>
      <c r="AV331" s="90"/>
      <c r="AW331" s="90"/>
      <c r="AX331" s="90"/>
      <c r="AY331" s="90" t="s">
        <v>5230</v>
      </c>
      <c r="AZ331" s="90"/>
      <c r="BA331" s="90" t="s">
        <v>5253</v>
      </c>
      <c r="BB331" s="91">
        <v>45902.4897569444</v>
      </c>
      <c r="BC331" s="90" t="s">
        <v>402</v>
      </c>
      <c r="BD331" s="90"/>
      <c r="BE331" s="90"/>
      <c r="BF331" s="90" t="s">
        <v>5254</v>
      </c>
    </row>
    <row r="332" spans="1:58" ht="24.75" customHeight="1">
      <c r="A332" s="90" t="s">
        <v>5247</v>
      </c>
      <c r="B332" s="90"/>
      <c r="C332" s="90"/>
      <c r="D332" s="91">
        <v>45929.453321759298</v>
      </c>
      <c r="E332" s="90" t="s">
        <v>5222</v>
      </c>
      <c r="F332" s="92"/>
      <c r="G332" s="90" t="s">
        <v>5585</v>
      </c>
      <c r="H332" s="90" t="s">
        <v>5538</v>
      </c>
      <c r="I332" s="90" t="s">
        <v>5539</v>
      </c>
      <c r="J332" s="90" t="s">
        <v>5267</v>
      </c>
      <c r="K332" s="93">
        <v>1000</v>
      </c>
      <c r="L332" s="93">
        <v>0.5</v>
      </c>
      <c r="M332" s="93">
        <v>500</v>
      </c>
      <c r="N332" s="93">
        <v>500</v>
      </c>
      <c r="O332" s="90" t="s">
        <v>5226</v>
      </c>
      <c r="P332" s="90"/>
      <c r="Q332" s="90" t="s">
        <v>5227</v>
      </c>
      <c r="R332" s="90"/>
      <c r="S332" s="90"/>
      <c r="T332" s="90"/>
      <c r="U332" s="90"/>
      <c r="V332" s="90" t="s">
        <v>5540</v>
      </c>
      <c r="W332" s="90" t="s">
        <v>94</v>
      </c>
      <c r="X332" s="90" t="s">
        <v>143</v>
      </c>
      <c r="Y332" s="90" t="s">
        <v>5253</v>
      </c>
      <c r="Z332" s="90"/>
      <c r="AA332" s="93">
        <v>442.47787610619503</v>
      </c>
      <c r="AB332" s="93">
        <v>442.47787610619503</v>
      </c>
      <c r="AC332" s="93">
        <v>13</v>
      </c>
      <c r="AD332" s="93">
        <v>57.522123893805301</v>
      </c>
      <c r="AE332" s="90"/>
      <c r="AF332" s="90"/>
      <c r="AG332" s="90"/>
      <c r="AH332" s="90"/>
      <c r="AI332" s="93">
        <v>0</v>
      </c>
      <c r="AJ332" s="93">
        <v>0.5</v>
      </c>
      <c r="AK332" s="93">
        <v>13</v>
      </c>
      <c r="AL332" s="93">
        <v>442.47800000000001</v>
      </c>
      <c r="AM332" s="93">
        <v>57.521999999999998</v>
      </c>
      <c r="AN332" s="93">
        <v>500</v>
      </c>
      <c r="AO332" s="93">
        <v>-1.2389380526656201E-4</v>
      </c>
      <c r="AP332" s="90" t="s">
        <v>94</v>
      </c>
      <c r="AQ332" s="90" t="s">
        <v>5541</v>
      </c>
      <c r="AR332" s="90"/>
      <c r="AS332" s="90"/>
      <c r="AT332" s="90"/>
      <c r="AU332" s="90"/>
      <c r="AV332" s="90"/>
      <c r="AW332" s="90"/>
      <c r="AX332" s="90"/>
      <c r="AY332" s="90" t="s">
        <v>5230</v>
      </c>
      <c r="AZ332" s="90"/>
      <c r="BA332" s="90" t="s">
        <v>5253</v>
      </c>
      <c r="BB332" s="91">
        <v>45923.503125000003</v>
      </c>
      <c r="BC332" s="90" t="s">
        <v>402</v>
      </c>
      <c r="BD332" s="90"/>
      <c r="BE332" s="90"/>
      <c r="BF332" s="90" t="s">
        <v>5254</v>
      </c>
    </row>
    <row r="333" spans="1:58" ht="24.75" customHeight="1">
      <c r="A333" s="90" t="s">
        <v>5221</v>
      </c>
      <c r="B333" s="90"/>
      <c r="C333" s="90"/>
      <c r="D333" s="91">
        <v>45929.670671296299</v>
      </c>
      <c r="E333" s="90" t="s">
        <v>5222</v>
      </c>
      <c r="F333" s="92"/>
      <c r="G333" s="90" t="s">
        <v>5586</v>
      </c>
      <c r="H333" s="90" t="s">
        <v>5453</v>
      </c>
      <c r="I333" s="90" t="s">
        <v>5454</v>
      </c>
      <c r="J333" s="90"/>
      <c r="K333" s="93">
        <v>4</v>
      </c>
      <c r="L333" s="93">
        <v>57</v>
      </c>
      <c r="M333" s="93">
        <v>228</v>
      </c>
      <c r="N333" s="93">
        <v>228</v>
      </c>
      <c r="O333" s="90" t="s">
        <v>5226</v>
      </c>
      <c r="P333" s="90"/>
      <c r="Q333" s="90" t="s">
        <v>5227</v>
      </c>
      <c r="R333" s="90"/>
      <c r="S333" s="90"/>
      <c r="T333" s="90"/>
      <c r="U333" s="90"/>
      <c r="V333" s="90" t="s">
        <v>5228</v>
      </c>
      <c r="W333" s="90" t="s">
        <v>5271</v>
      </c>
      <c r="X333" s="90" t="s">
        <v>162</v>
      </c>
      <c r="Y333" s="90" t="s">
        <v>408</v>
      </c>
      <c r="Z333" s="90"/>
      <c r="AA333" s="93">
        <v>201.76991150442501</v>
      </c>
      <c r="AB333" s="93">
        <v>201.76991150442501</v>
      </c>
      <c r="AC333" s="93">
        <v>13</v>
      </c>
      <c r="AD333" s="93">
        <v>26.230088495575199</v>
      </c>
      <c r="AE333" s="90"/>
      <c r="AF333" s="90"/>
      <c r="AG333" s="90"/>
      <c r="AH333" s="90"/>
      <c r="AI333" s="93">
        <v>0</v>
      </c>
      <c r="AJ333" s="93">
        <v>57</v>
      </c>
      <c r="AK333" s="93">
        <v>13</v>
      </c>
      <c r="AL333" s="93">
        <v>201.76991200000001</v>
      </c>
      <c r="AM333" s="93">
        <v>26.230087999999999</v>
      </c>
      <c r="AN333" s="93">
        <v>228</v>
      </c>
      <c r="AO333" s="93">
        <v>-4.9557519332665802E-7</v>
      </c>
      <c r="AP333" s="90" t="s">
        <v>5271</v>
      </c>
      <c r="AQ333" s="90" t="s">
        <v>5229</v>
      </c>
      <c r="AR333" s="90"/>
      <c r="AS333" s="90"/>
      <c r="AT333" s="90"/>
      <c r="AU333" s="90"/>
      <c r="AV333" s="90"/>
      <c r="AW333" s="90"/>
      <c r="AX333" s="90"/>
      <c r="AY333" s="90" t="s">
        <v>5230</v>
      </c>
      <c r="AZ333" s="90"/>
      <c r="BA333" s="90" t="s">
        <v>408</v>
      </c>
      <c r="BB333" s="91">
        <v>45911.624340277798</v>
      </c>
      <c r="BC333" s="90" t="s">
        <v>405</v>
      </c>
      <c r="BD333" s="90"/>
      <c r="BE333" s="90"/>
      <c r="BF333" s="90" t="s">
        <v>5231</v>
      </c>
    </row>
    <row r="334" spans="1:58" ht="24.75" customHeight="1">
      <c r="A334" s="90" t="s">
        <v>5221</v>
      </c>
      <c r="B334" s="90"/>
      <c r="C334" s="90"/>
      <c r="D334" s="91">
        <v>45929.453831018502</v>
      </c>
      <c r="E334" s="90" t="s">
        <v>5222</v>
      </c>
      <c r="F334" s="92"/>
      <c r="G334" s="90" t="s">
        <v>5567</v>
      </c>
      <c r="H334" s="90" t="s">
        <v>5383</v>
      </c>
      <c r="I334" s="90" t="s">
        <v>5384</v>
      </c>
      <c r="J334" s="90" t="s">
        <v>5351</v>
      </c>
      <c r="K334" s="93">
        <v>0.7</v>
      </c>
      <c r="L334" s="93">
        <v>130</v>
      </c>
      <c r="M334" s="93">
        <v>91</v>
      </c>
      <c r="N334" s="93">
        <v>91</v>
      </c>
      <c r="O334" s="90" t="s">
        <v>5226</v>
      </c>
      <c r="P334" s="90"/>
      <c r="Q334" s="90" t="s">
        <v>5227</v>
      </c>
      <c r="R334" s="90"/>
      <c r="S334" s="90"/>
      <c r="T334" s="90"/>
      <c r="U334" s="90"/>
      <c r="V334" s="90" t="s">
        <v>5385</v>
      </c>
      <c r="W334" s="90" t="s">
        <v>5271</v>
      </c>
      <c r="X334" s="90" t="s">
        <v>162</v>
      </c>
      <c r="Y334" s="90" t="s">
        <v>408</v>
      </c>
      <c r="Z334" s="90"/>
      <c r="AA334" s="93">
        <v>80.530973451327398</v>
      </c>
      <c r="AB334" s="93">
        <v>80.530973451327398</v>
      </c>
      <c r="AC334" s="93">
        <v>13</v>
      </c>
      <c r="AD334" s="93">
        <v>10.4690265486726</v>
      </c>
      <c r="AE334" s="90"/>
      <c r="AF334" s="90"/>
      <c r="AG334" s="90"/>
      <c r="AH334" s="90"/>
      <c r="AI334" s="93">
        <v>0</v>
      </c>
      <c r="AJ334" s="93">
        <v>130</v>
      </c>
      <c r="AK334" s="93">
        <v>13</v>
      </c>
      <c r="AL334" s="93">
        <v>80.530973599999996</v>
      </c>
      <c r="AM334" s="93">
        <v>10.469026400000001</v>
      </c>
      <c r="AN334" s="93">
        <v>91</v>
      </c>
      <c r="AO334" s="93">
        <v>-1.4867255515582701E-7</v>
      </c>
      <c r="AP334" s="90" t="s">
        <v>5271</v>
      </c>
      <c r="AQ334" s="90" t="s">
        <v>5229</v>
      </c>
      <c r="AR334" s="90"/>
      <c r="AS334" s="90"/>
      <c r="AT334" s="90"/>
      <c r="AU334" s="90"/>
      <c r="AV334" s="90"/>
      <c r="AW334" s="90"/>
      <c r="AX334" s="90"/>
      <c r="AY334" s="90" t="s">
        <v>5230</v>
      </c>
      <c r="AZ334" s="90"/>
      <c r="BA334" s="90" t="s">
        <v>408</v>
      </c>
      <c r="BB334" s="91">
        <v>45929.453414351898</v>
      </c>
      <c r="BC334" s="90" t="s">
        <v>401</v>
      </c>
      <c r="BD334" s="90"/>
      <c r="BE334" s="90"/>
      <c r="BF334" s="90" t="s">
        <v>5231</v>
      </c>
    </row>
    <row r="335" spans="1:58" ht="24.75" customHeight="1">
      <c r="A335" s="90" t="s">
        <v>5221</v>
      </c>
      <c r="B335" s="90"/>
      <c r="C335" s="90"/>
      <c r="D335" s="91">
        <v>45929.687303240702</v>
      </c>
      <c r="E335" s="90" t="s">
        <v>5222</v>
      </c>
      <c r="F335" s="92"/>
      <c r="G335" s="90" t="s">
        <v>5587</v>
      </c>
      <c r="H335" s="90" t="s">
        <v>5588</v>
      </c>
      <c r="I335" s="90" t="s">
        <v>5589</v>
      </c>
      <c r="J335" s="90"/>
      <c r="K335" s="93">
        <v>1400</v>
      </c>
      <c r="L335" s="93">
        <v>1.5</v>
      </c>
      <c r="M335" s="93">
        <v>2100</v>
      </c>
      <c r="N335" s="93">
        <v>2100</v>
      </c>
      <c r="O335" s="90" t="s">
        <v>5226</v>
      </c>
      <c r="P335" s="90"/>
      <c r="Q335" s="90" t="s">
        <v>5227</v>
      </c>
      <c r="R335" s="90"/>
      <c r="S335" s="90"/>
      <c r="T335" s="90"/>
      <c r="U335" s="90"/>
      <c r="V335" s="90" t="s">
        <v>5228</v>
      </c>
      <c r="W335" s="90" t="s">
        <v>93</v>
      </c>
      <c r="X335" s="90" t="s">
        <v>162</v>
      </c>
      <c r="Y335" s="90" t="s">
        <v>408</v>
      </c>
      <c r="Z335" s="90"/>
      <c r="AA335" s="93">
        <v>1858.4070796460201</v>
      </c>
      <c r="AB335" s="93">
        <v>1858.4070796460201</v>
      </c>
      <c r="AC335" s="93">
        <v>13</v>
      </c>
      <c r="AD335" s="93">
        <v>241.59292035398201</v>
      </c>
      <c r="AE335" s="90"/>
      <c r="AF335" s="90"/>
      <c r="AG335" s="90"/>
      <c r="AH335" s="90"/>
      <c r="AI335" s="93">
        <v>0</v>
      </c>
      <c r="AJ335" s="93">
        <v>1.5</v>
      </c>
      <c r="AK335" s="93">
        <v>13</v>
      </c>
      <c r="AL335" s="93">
        <v>1858.4076</v>
      </c>
      <c r="AM335" s="93">
        <v>241.5924</v>
      </c>
      <c r="AN335" s="93">
        <v>2100</v>
      </c>
      <c r="AO335" s="93">
        <v>-5.2035398221050898E-4</v>
      </c>
      <c r="AP335" s="90" t="s">
        <v>93</v>
      </c>
      <c r="AQ335" s="90" t="s">
        <v>5229</v>
      </c>
      <c r="AR335" s="90"/>
      <c r="AS335" s="90"/>
      <c r="AT335" s="90"/>
      <c r="AU335" s="90"/>
      <c r="AV335" s="90"/>
      <c r="AW335" s="90"/>
      <c r="AX335" s="90"/>
      <c r="AY335" s="90" t="s">
        <v>5230</v>
      </c>
      <c r="AZ335" s="90"/>
      <c r="BA335" s="90" t="s">
        <v>408</v>
      </c>
      <c r="BB335" s="91">
        <v>45538.814409722203</v>
      </c>
      <c r="BC335" s="90" t="s">
        <v>405</v>
      </c>
      <c r="BD335" s="90"/>
      <c r="BE335" s="90"/>
      <c r="BF335" s="90" t="s">
        <v>5231</v>
      </c>
    </row>
    <row r="336" spans="1:58" ht="24.75" customHeight="1">
      <c r="A336" s="90" t="s">
        <v>5221</v>
      </c>
      <c r="B336" s="90"/>
      <c r="C336" s="90"/>
      <c r="D336" s="91">
        <v>45929.637303240699</v>
      </c>
      <c r="E336" s="90" t="s">
        <v>5222</v>
      </c>
      <c r="F336" s="92"/>
      <c r="G336" s="90" t="s">
        <v>5590</v>
      </c>
      <c r="H336" s="90" t="s">
        <v>5380</v>
      </c>
      <c r="I336" s="90" t="s">
        <v>5381</v>
      </c>
      <c r="J336" s="90" t="s">
        <v>5351</v>
      </c>
      <c r="K336" s="93">
        <v>2.9</v>
      </c>
      <c r="L336" s="93">
        <v>120</v>
      </c>
      <c r="M336" s="93">
        <v>348</v>
      </c>
      <c r="N336" s="93">
        <v>348</v>
      </c>
      <c r="O336" s="90" t="s">
        <v>5226</v>
      </c>
      <c r="P336" s="90"/>
      <c r="Q336" s="90" t="s">
        <v>5227</v>
      </c>
      <c r="R336" s="90"/>
      <c r="S336" s="90"/>
      <c r="T336" s="90"/>
      <c r="U336" s="90"/>
      <c r="V336" s="90"/>
      <c r="W336" s="90" t="s">
        <v>5271</v>
      </c>
      <c r="X336" s="90" t="s">
        <v>162</v>
      </c>
      <c r="Y336" s="90" t="s">
        <v>408</v>
      </c>
      <c r="Z336" s="90"/>
      <c r="AA336" s="93">
        <v>307.96460176991201</v>
      </c>
      <c r="AB336" s="93">
        <v>307.96460176991201</v>
      </c>
      <c r="AC336" s="93">
        <v>13</v>
      </c>
      <c r="AD336" s="93">
        <v>40.035398230088497</v>
      </c>
      <c r="AE336" s="90"/>
      <c r="AF336" s="90"/>
      <c r="AG336" s="90"/>
      <c r="AH336" s="90"/>
      <c r="AI336" s="93">
        <v>0</v>
      </c>
      <c r="AJ336" s="93">
        <v>120</v>
      </c>
      <c r="AK336" s="93">
        <v>13</v>
      </c>
      <c r="AL336" s="93">
        <v>307.96460100000002</v>
      </c>
      <c r="AM336" s="93">
        <v>40.035398999999998</v>
      </c>
      <c r="AN336" s="93">
        <v>348</v>
      </c>
      <c r="AO336" s="93">
        <v>7.6991159403405597E-7</v>
      </c>
      <c r="AP336" s="90" t="s">
        <v>5271</v>
      </c>
      <c r="AQ336" s="90" t="s">
        <v>5239</v>
      </c>
      <c r="AR336" s="90"/>
      <c r="AS336" s="90"/>
      <c r="AT336" s="90"/>
      <c r="AU336" s="90"/>
      <c r="AV336" s="90"/>
      <c r="AW336" s="90"/>
      <c r="AX336" s="90"/>
      <c r="AY336" s="90" t="s">
        <v>5230</v>
      </c>
      <c r="AZ336" s="90"/>
      <c r="BA336" s="90" t="s">
        <v>408</v>
      </c>
      <c r="BB336" s="91">
        <v>45929.636863425898</v>
      </c>
      <c r="BC336" s="90" t="s">
        <v>401</v>
      </c>
      <c r="BD336" s="90"/>
      <c r="BE336" s="90"/>
      <c r="BF336" s="90" t="s">
        <v>5231</v>
      </c>
    </row>
    <row r="337" spans="1:58" ht="24.75" customHeight="1">
      <c r="A337" s="90" t="s">
        <v>5221</v>
      </c>
      <c r="B337" s="90"/>
      <c r="C337" s="90"/>
      <c r="D337" s="91">
        <v>45929.637303240699</v>
      </c>
      <c r="E337" s="90" t="s">
        <v>5222</v>
      </c>
      <c r="F337" s="92"/>
      <c r="G337" s="90" t="s">
        <v>5590</v>
      </c>
      <c r="H337" s="90" t="s">
        <v>5383</v>
      </c>
      <c r="I337" s="90" t="s">
        <v>5384</v>
      </c>
      <c r="J337" s="90" t="s">
        <v>5351</v>
      </c>
      <c r="K337" s="93">
        <v>0.9</v>
      </c>
      <c r="L337" s="93">
        <v>130</v>
      </c>
      <c r="M337" s="93">
        <v>117</v>
      </c>
      <c r="N337" s="93">
        <v>117</v>
      </c>
      <c r="O337" s="90" t="s">
        <v>5226</v>
      </c>
      <c r="P337" s="90"/>
      <c r="Q337" s="90" t="s">
        <v>5227</v>
      </c>
      <c r="R337" s="90"/>
      <c r="S337" s="90"/>
      <c r="T337" s="90"/>
      <c r="U337" s="90"/>
      <c r="V337" s="90" t="s">
        <v>5385</v>
      </c>
      <c r="W337" s="90" t="s">
        <v>5271</v>
      </c>
      <c r="X337" s="90" t="s">
        <v>162</v>
      </c>
      <c r="Y337" s="90" t="s">
        <v>408</v>
      </c>
      <c r="Z337" s="90"/>
      <c r="AA337" s="93">
        <v>103.53982300884999</v>
      </c>
      <c r="AB337" s="93">
        <v>103.53982300884999</v>
      </c>
      <c r="AC337" s="93">
        <v>13</v>
      </c>
      <c r="AD337" s="93">
        <v>13.4601769911504</v>
      </c>
      <c r="AE337" s="90"/>
      <c r="AF337" s="90"/>
      <c r="AG337" s="90"/>
      <c r="AH337" s="90"/>
      <c r="AI337" s="93">
        <v>0</v>
      </c>
      <c r="AJ337" s="93">
        <v>130</v>
      </c>
      <c r="AK337" s="93">
        <v>13</v>
      </c>
      <c r="AL337" s="93">
        <v>103.5398232</v>
      </c>
      <c r="AM337" s="93">
        <v>13.460176799999999</v>
      </c>
      <c r="AN337" s="93">
        <v>117</v>
      </c>
      <c r="AO337" s="93">
        <v>-1.9115043414785799E-7</v>
      </c>
      <c r="AP337" s="90" t="s">
        <v>5271</v>
      </c>
      <c r="AQ337" s="90" t="s">
        <v>5229</v>
      </c>
      <c r="AR337" s="90"/>
      <c r="AS337" s="90"/>
      <c r="AT337" s="90"/>
      <c r="AU337" s="90"/>
      <c r="AV337" s="90"/>
      <c r="AW337" s="90"/>
      <c r="AX337" s="90"/>
      <c r="AY337" s="90" t="s">
        <v>5230</v>
      </c>
      <c r="AZ337" s="90"/>
      <c r="BA337" s="90" t="s">
        <v>408</v>
      </c>
      <c r="BB337" s="91">
        <v>45929.636863425898</v>
      </c>
      <c r="BC337" s="90" t="s">
        <v>401</v>
      </c>
      <c r="BD337" s="90"/>
      <c r="BE337" s="90"/>
      <c r="BF337" s="90" t="s">
        <v>5231</v>
      </c>
    </row>
    <row r="338" spans="1:58" ht="24.75" customHeight="1">
      <c r="A338" s="90" t="s">
        <v>5221</v>
      </c>
      <c r="B338" s="90"/>
      <c r="C338" s="90"/>
      <c r="D338" s="91">
        <v>45929.646539351903</v>
      </c>
      <c r="E338" s="90" t="s">
        <v>5222</v>
      </c>
      <c r="F338" s="92"/>
      <c r="G338" s="90" t="s">
        <v>5591</v>
      </c>
      <c r="H338" s="90" t="s">
        <v>5383</v>
      </c>
      <c r="I338" s="90" t="s">
        <v>5384</v>
      </c>
      <c r="J338" s="90" t="s">
        <v>5351</v>
      </c>
      <c r="K338" s="93">
        <v>0.9</v>
      </c>
      <c r="L338" s="93">
        <v>130</v>
      </c>
      <c r="M338" s="93">
        <v>117</v>
      </c>
      <c r="N338" s="93">
        <v>117</v>
      </c>
      <c r="O338" s="90" t="s">
        <v>5226</v>
      </c>
      <c r="P338" s="90"/>
      <c r="Q338" s="90" t="s">
        <v>5227</v>
      </c>
      <c r="R338" s="90"/>
      <c r="S338" s="90"/>
      <c r="T338" s="90"/>
      <c r="U338" s="90"/>
      <c r="V338" s="90" t="s">
        <v>5385</v>
      </c>
      <c r="W338" s="90" t="s">
        <v>5271</v>
      </c>
      <c r="X338" s="90" t="s">
        <v>162</v>
      </c>
      <c r="Y338" s="90" t="s">
        <v>408</v>
      </c>
      <c r="Z338" s="90"/>
      <c r="AA338" s="93">
        <v>103.53982300884999</v>
      </c>
      <c r="AB338" s="93">
        <v>103.53982300884999</v>
      </c>
      <c r="AC338" s="93">
        <v>13</v>
      </c>
      <c r="AD338" s="93">
        <v>13.4601769911504</v>
      </c>
      <c r="AE338" s="90"/>
      <c r="AF338" s="90"/>
      <c r="AG338" s="90"/>
      <c r="AH338" s="90"/>
      <c r="AI338" s="93">
        <v>0</v>
      </c>
      <c r="AJ338" s="93">
        <v>130</v>
      </c>
      <c r="AK338" s="93">
        <v>13</v>
      </c>
      <c r="AL338" s="93">
        <v>103.5398232</v>
      </c>
      <c r="AM338" s="93">
        <v>13.460176799999999</v>
      </c>
      <c r="AN338" s="93">
        <v>117</v>
      </c>
      <c r="AO338" s="93">
        <v>-1.9115043414785799E-7</v>
      </c>
      <c r="AP338" s="90" t="s">
        <v>5271</v>
      </c>
      <c r="AQ338" s="90" t="s">
        <v>5229</v>
      </c>
      <c r="AR338" s="90"/>
      <c r="AS338" s="90"/>
      <c r="AT338" s="90"/>
      <c r="AU338" s="90"/>
      <c r="AV338" s="90"/>
      <c r="AW338" s="90"/>
      <c r="AX338" s="90"/>
      <c r="AY338" s="90" t="s">
        <v>5230</v>
      </c>
      <c r="AZ338" s="90"/>
      <c r="BA338" s="90" t="s">
        <v>408</v>
      </c>
      <c r="BB338" s="91">
        <v>45929.6463194444</v>
      </c>
      <c r="BC338" s="90" t="s">
        <v>401</v>
      </c>
      <c r="BD338" s="90"/>
      <c r="BE338" s="90"/>
      <c r="BF338" s="90" t="s">
        <v>5231</v>
      </c>
    </row>
    <row r="339" spans="1:58" ht="24.75" customHeight="1">
      <c r="A339" s="90" t="s">
        <v>5221</v>
      </c>
      <c r="B339" s="90"/>
      <c r="C339" s="90"/>
      <c r="D339" s="91">
        <v>45929.646539351903</v>
      </c>
      <c r="E339" s="90" t="s">
        <v>5222</v>
      </c>
      <c r="F339" s="92"/>
      <c r="G339" s="90" t="s">
        <v>5591</v>
      </c>
      <c r="H339" s="90" t="s">
        <v>5380</v>
      </c>
      <c r="I339" s="90" t="s">
        <v>5381</v>
      </c>
      <c r="J339" s="90" t="s">
        <v>5351</v>
      </c>
      <c r="K339" s="93">
        <v>0.7</v>
      </c>
      <c r="L339" s="93">
        <v>120</v>
      </c>
      <c r="M339" s="93">
        <v>84</v>
      </c>
      <c r="N339" s="93">
        <v>84</v>
      </c>
      <c r="O339" s="90" t="s">
        <v>5226</v>
      </c>
      <c r="P339" s="90"/>
      <c r="Q339" s="90" t="s">
        <v>5227</v>
      </c>
      <c r="R339" s="90"/>
      <c r="S339" s="90"/>
      <c r="T339" s="90"/>
      <c r="U339" s="90"/>
      <c r="V339" s="90"/>
      <c r="W339" s="90" t="s">
        <v>5271</v>
      </c>
      <c r="X339" s="90" t="s">
        <v>162</v>
      </c>
      <c r="Y339" s="90" t="s">
        <v>408</v>
      </c>
      <c r="Z339" s="90"/>
      <c r="AA339" s="93">
        <v>74.336283185840699</v>
      </c>
      <c r="AB339" s="93">
        <v>74.336283185840699</v>
      </c>
      <c r="AC339" s="93">
        <v>13</v>
      </c>
      <c r="AD339" s="93">
        <v>9.6637168141592902</v>
      </c>
      <c r="AE339" s="90"/>
      <c r="AF339" s="90"/>
      <c r="AG339" s="90"/>
      <c r="AH339" s="90"/>
      <c r="AI339" s="93">
        <v>0</v>
      </c>
      <c r="AJ339" s="93">
        <v>120</v>
      </c>
      <c r="AK339" s="93">
        <v>13</v>
      </c>
      <c r="AL339" s="93">
        <v>74.336282999999995</v>
      </c>
      <c r="AM339" s="93">
        <v>9.6637170000000001</v>
      </c>
      <c r="AN339" s="93">
        <v>84</v>
      </c>
      <c r="AO339" s="93">
        <v>1.85840718813779E-7</v>
      </c>
      <c r="AP339" s="90" t="s">
        <v>5271</v>
      </c>
      <c r="AQ339" s="90" t="s">
        <v>5239</v>
      </c>
      <c r="AR339" s="90"/>
      <c r="AS339" s="90"/>
      <c r="AT339" s="90"/>
      <c r="AU339" s="90"/>
      <c r="AV339" s="90"/>
      <c r="AW339" s="90"/>
      <c r="AX339" s="90"/>
      <c r="AY339" s="90" t="s">
        <v>5230</v>
      </c>
      <c r="AZ339" s="90"/>
      <c r="BA339" s="90" t="s">
        <v>408</v>
      </c>
      <c r="BB339" s="91">
        <v>45929.6463194444</v>
      </c>
      <c r="BC339" s="90" t="s">
        <v>401</v>
      </c>
      <c r="BD339" s="90"/>
      <c r="BE339" s="90"/>
      <c r="BF339" s="90" t="s">
        <v>5231</v>
      </c>
    </row>
    <row r="340" spans="1:58" ht="24.75" customHeight="1">
      <c r="A340" s="90" t="s">
        <v>5221</v>
      </c>
      <c r="B340" s="90"/>
      <c r="C340" s="90"/>
      <c r="D340" s="91">
        <v>45930.631064814799</v>
      </c>
      <c r="E340" s="90" t="s">
        <v>5222</v>
      </c>
      <c r="F340" s="92"/>
      <c r="G340" s="90" t="s">
        <v>5592</v>
      </c>
      <c r="H340" s="90" t="s">
        <v>5311</v>
      </c>
      <c r="I340" s="90" t="s">
        <v>5312</v>
      </c>
      <c r="J340" s="90"/>
      <c r="K340" s="93">
        <v>6</v>
      </c>
      <c r="L340" s="93">
        <v>120</v>
      </c>
      <c r="M340" s="93">
        <v>720</v>
      </c>
      <c r="N340" s="93">
        <v>720</v>
      </c>
      <c r="O340" s="90" t="s">
        <v>5226</v>
      </c>
      <c r="P340" s="90"/>
      <c r="Q340" s="90" t="s">
        <v>5227</v>
      </c>
      <c r="R340" s="90"/>
      <c r="S340" s="90"/>
      <c r="T340" s="90"/>
      <c r="U340" s="90"/>
      <c r="V340" s="90" t="s">
        <v>5275</v>
      </c>
      <c r="W340" s="90" t="s">
        <v>93</v>
      </c>
      <c r="X340" s="90" t="s">
        <v>162</v>
      </c>
      <c r="Y340" s="90" t="s">
        <v>408</v>
      </c>
      <c r="Z340" s="90"/>
      <c r="AA340" s="93">
        <v>637.16814159292005</v>
      </c>
      <c r="AB340" s="93">
        <v>637.16814159292005</v>
      </c>
      <c r="AC340" s="93">
        <v>13</v>
      </c>
      <c r="AD340" s="93">
        <v>82.831858407079594</v>
      </c>
      <c r="AE340" s="90"/>
      <c r="AF340" s="90"/>
      <c r="AG340" s="90"/>
      <c r="AH340" s="90"/>
      <c r="AI340" s="93">
        <v>0</v>
      </c>
      <c r="AJ340" s="93">
        <v>120</v>
      </c>
      <c r="AK340" s="93">
        <v>13</v>
      </c>
      <c r="AL340" s="93">
        <v>637.16813999999999</v>
      </c>
      <c r="AM340" s="93">
        <v>82.831860000000006</v>
      </c>
      <c r="AN340" s="93">
        <v>720</v>
      </c>
      <c r="AO340" s="93">
        <v>1.59292039825232E-6</v>
      </c>
      <c r="AP340" s="90" t="s">
        <v>93</v>
      </c>
      <c r="AQ340" s="90" t="s">
        <v>5229</v>
      </c>
      <c r="AR340" s="90"/>
      <c r="AS340" s="90"/>
      <c r="AT340" s="90"/>
      <c r="AU340" s="90"/>
      <c r="AV340" s="90"/>
      <c r="AW340" s="90"/>
      <c r="AX340" s="90"/>
      <c r="AY340" s="90" t="s">
        <v>5230</v>
      </c>
      <c r="AZ340" s="90"/>
      <c r="BA340" s="90" t="s">
        <v>408</v>
      </c>
      <c r="BB340" s="91">
        <v>45869.5789814815</v>
      </c>
      <c r="BC340" s="90" t="s">
        <v>405</v>
      </c>
      <c r="BD340" s="90"/>
      <c r="BE340" s="90"/>
      <c r="BF340" s="90" t="s">
        <v>5231</v>
      </c>
    </row>
    <row r="341" spans="1:58" ht="24.75" customHeight="1">
      <c r="A341" s="90" t="s">
        <v>5221</v>
      </c>
      <c r="B341" s="90"/>
      <c r="C341" s="90"/>
      <c r="D341" s="91">
        <v>45930.631064814799</v>
      </c>
      <c r="E341" s="90" t="s">
        <v>5222</v>
      </c>
      <c r="F341" s="92"/>
      <c r="G341" s="90" t="s">
        <v>5592</v>
      </c>
      <c r="H341" s="90" t="s">
        <v>5593</v>
      </c>
      <c r="I341" s="90" t="s">
        <v>5594</v>
      </c>
      <c r="J341" s="90"/>
      <c r="K341" s="93">
        <v>8</v>
      </c>
      <c r="L341" s="93">
        <v>82</v>
      </c>
      <c r="M341" s="93">
        <v>656</v>
      </c>
      <c r="N341" s="93">
        <v>656</v>
      </c>
      <c r="O341" s="90" t="s">
        <v>5226</v>
      </c>
      <c r="P341" s="90"/>
      <c r="Q341" s="90" t="s">
        <v>5227</v>
      </c>
      <c r="R341" s="90"/>
      <c r="S341" s="90"/>
      <c r="T341" s="90"/>
      <c r="U341" s="90"/>
      <c r="V341" s="90" t="s">
        <v>5228</v>
      </c>
      <c r="W341" s="90" t="s">
        <v>93</v>
      </c>
      <c r="X341" s="90" t="s">
        <v>162</v>
      </c>
      <c r="Y341" s="90" t="s">
        <v>408</v>
      </c>
      <c r="Z341" s="90"/>
      <c r="AA341" s="93">
        <v>580.53097345132699</v>
      </c>
      <c r="AB341" s="93">
        <v>580.53097345132699</v>
      </c>
      <c r="AC341" s="93">
        <v>13</v>
      </c>
      <c r="AD341" s="93">
        <v>75.469026548672502</v>
      </c>
      <c r="AE341" s="90"/>
      <c r="AF341" s="90"/>
      <c r="AG341" s="90"/>
      <c r="AH341" s="90"/>
      <c r="AI341" s="93">
        <v>0</v>
      </c>
      <c r="AJ341" s="93">
        <v>82</v>
      </c>
      <c r="AK341" s="93">
        <v>13</v>
      </c>
      <c r="AL341" s="93">
        <v>580.53097600000001</v>
      </c>
      <c r="AM341" s="93">
        <v>75.469024000000005</v>
      </c>
      <c r="AN341" s="93">
        <v>656</v>
      </c>
      <c r="AO341" s="93">
        <v>-2.5486725689916099E-6</v>
      </c>
      <c r="AP341" s="90" t="s">
        <v>93</v>
      </c>
      <c r="AQ341" s="90" t="s">
        <v>5229</v>
      </c>
      <c r="AR341" s="90"/>
      <c r="AS341" s="90"/>
      <c r="AT341" s="90"/>
      <c r="AU341" s="90"/>
      <c r="AV341" s="90"/>
      <c r="AW341" s="90"/>
      <c r="AX341" s="90"/>
      <c r="AY341" s="90" t="s">
        <v>5230</v>
      </c>
      <c r="AZ341" s="90"/>
      <c r="BA341" s="90" t="s">
        <v>408</v>
      </c>
      <c r="BB341" s="91">
        <v>45573.792581018497</v>
      </c>
      <c r="BC341" s="90" t="s">
        <v>405</v>
      </c>
      <c r="BD341" s="90"/>
      <c r="BE341" s="90"/>
      <c r="BF341" s="90" t="s">
        <v>5231</v>
      </c>
    </row>
    <row r="342" spans="1:58" ht="24.75" customHeight="1">
      <c r="A342" s="90" t="s">
        <v>5221</v>
      </c>
      <c r="B342" s="90"/>
      <c r="C342" s="90"/>
      <c r="D342" s="91">
        <v>45930.631064814799</v>
      </c>
      <c r="E342" s="90" t="s">
        <v>5222</v>
      </c>
      <c r="F342" s="92"/>
      <c r="G342" s="90" t="s">
        <v>5592</v>
      </c>
      <c r="H342" s="90" t="s">
        <v>5595</v>
      </c>
      <c r="I342" s="90" t="s">
        <v>5596</v>
      </c>
      <c r="J342" s="90"/>
      <c r="K342" s="93">
        <v>8</v>
      </c>
      <c r="L342" s="93">
        <v>190</v>
      </c>
      <c r="M342" s="93">
        <v>1520</v>
      </c>
      <c r="N342" s="93">
        <v>1520</v>
      </c>
      <c r="O342" s="90" t="s">
        <v>5226</v>
      </c>
      <c r="P342" s="90"/>
      <c r="Q342" s="90" t="s">
        <v>5227</v>
      </c>
      <c r="R342" s="90"/>
      <c r="S342" s="90"/>
      <c r="T342" s="90"/>
      <c r="U342" s="90"/>
      <c r="V342" s="90" t="s">
        <v>5597</v>
      </c>
      <c r="W342" s="90" t="s">
        <v>93</v>
      </c>
      <c r="X342" s="90" t="s">
        <v>162</v>
      </c>
      <c r="Y342" s="90" t="s">
        <v>408</v>
      </c>
      <c r="Z342" s="90"/>
      <c r="AA342" s="93">
        <v>1345.1327433628301</v>
      </c>
      <c r="AB342" s="93">
        <v>1345.1327433628301</v>
      </c>
      <c r="AC342" s="93">
        <v>13</v>
      </c>
      <c r="AD342" s="93">
        <v>174.867256637168</v>
      </c>
      <c r="AE342" s="90"/>
      <c r="AF342" s="90"/>
      <c r="AG342" s="90"/>
      <c r="AH342" s="90"/>
      <c r="AI342" s="93">
        <v>0</v>
      </c>
      <c r="AJ342" s="93">
        <v>190</v>
      </c>
      <c r="AK342" s="93">
        <v>13</v>
      </c>
      <c r="AL342" s="93">
        <v>1345.132744</v>
      </c>
      <c r="AM342" s="93">
        <v>174.867256</v>
      </c>
      <c r="AN342" s="93">
        <v>1520</v>
      </c>
      <c r="AO342" s="93">
        <v>-6.3716811382619198E-7</v>
      </c>
      <c r="AP342" s="90" t="s">
        <v>93</v>
      </c>
      <c r="AQ342" s="90" t="s">
        <v>5229</v>
      </c>
      <c r="AR342" s="90"/>
      <c r="AS342" s="90"/>
      <c r="AT342" s="90"/>
      <c r="AU342" s="90"/>
      <c r="AV342" s="90"/>
      <c r="AW342" s="90"/>
      <c r="AX342" s="90"/>
      <c r="AY342" s="90" t="s">
        <v>5230</v>
      </c>
      <c r="AZ342" s="90"/>
      <c r="BA342" s="90" t="s">
        <v>408</v>
      </c>
      <c r="BB342" s="91">
        <v>45930.6253125</v>
      </c>
      <c r="BC342" s="90" t="s">
        <v>405</v>
      </c>
      <c r="BD342" s="90"/>
      <c r="BE342" s="90"/>
      <c r="BF342" s="90" t="s">
        <v>5231</v>
      </c>
    </row>
    <row r="343" spans="1:58" ht="24.75" customHeight="1">
      <c r="A343" s="90" t="s">
        <v>5221</v>
      </c>
      <c r="B343" s="90"/>
      <c r="C343" s="90"/>
      <c r="D343" s="91">
        <v>45930.631064814799</v>
      </c>
      <c r="E343" s="90" t="s">
        <v>5222</v>
      </c>
      <c r="F343" s="92"/>
      <c r="G343" s="90" t="s">
        <v>5592</v>
      </c>
      <c r="H343" s="90" t="s">
        <v>5305</v>
      </c>
      <c r="I343" s="90" t="s">
        <v>5306</v>
      </c>
      <c r="J343" s="90"/>
      <c r="K343" s="93">
        <v>18</v>
      </c>
      <c r="L343" s="93">
        <v>95</v>
      </c>
      <c r="M343" s="93">
        <v>1710</v>
      </c>
      <c r="N343" s="93">
        <v>1710</v>
      </c>
      <c r="O343" s="90" t="s">
        <v>5226</v>
      </c>
      <c r="P343" s="90"/>
      <c r="Q343" s="90" t="s">
        <v>5227</v>
      </c>
      <c r="R343" s="90"/>
      <c r="S343" s="90"/>
      <c r="T343" s="90"/>
      <c r="U343" s="90"/>
      <c r="V343" s="90" t="s">
        <v>5228</v>
      </c>
      <c r="W343" s="90" t="s">
        <v>93</v>
      </c>
      <c r="X343" s="90" t="s">
        <v>162</v>
      </c>
      <c r="Y343" s="90" t="s">
        <v>408</v>
      </c>
      <c r="Z343" s="90"/>
      <c r="AA343" s="93">
        <v>1513.27433628319</v>
      </c>
      <c r="AB343" s="93">
        <v>1513.27433628319</v>
      </c>
      <c r="AC343" s="93">
        <v>13</v>
      </c>
      <c r="AD343" s="93">
        <v>196.72566371681401</v>
      </c>
      <c r="AE343" s="90"/>
      <c r="AF343" s="90"/>
      <c r="AG343" s="90"/>
      <c r="AH343" s="90"/>
      <c r="AI343" s="93">
        <v>0</v>
      </c>
      <c r="AJ343" s="93">
        <v>95</v>
      </c>
      <c r="AK343" s="93">
        <v>13</v>
      </c>
      <c r="AL343" s="93">
        <v>1513.274328</v>
      </c>
      <c r="AM343" s="93">
        <v>196.725672</v>
      </c>
      <c r="AN343" s="93">
        <v>1710</v>
      </c>
      <c r="AO343" s="93">
        <v>8.2831859344878501E-6</v>
      </c>
      <c r="AP343" s="90" t="s">
        <v>93</v>
      </c>
      <c r="AQ343" s="90" t="s">
        <v>5229</v>
      </c>
      <c r="AR343" s="90"/>
      <c r="AS343" s="90"/>
      <c r="AT343" s="90"/>
      <c r="AU343" s="90"/>
      <c r="AV343" s="90"/>
      <c r="AW343" s="90"/>
      <c r="AX343" s="90"/>
      <c r="AY343" s="90" t="s">
        <v>5230</v>
      </c>
      <c r="AZ343" s="90"/>
      <c r="BA343" s="90" t="s">
        <v>408</v>
      </c>
      <c r="BB343" s="91">
        <v>45900.826493055603</v>
      </c>
      <c r="BC343" s="90" t="s">
        <v>405</v>
      </c>
      <c r="BD343" s="90"/>
      <c r="BE343" s="90"/>
      <c r="BF343" s="90" t="s">
        <v>5231</v>
      </c>
    </row>
    <row r="344" spans="1:58" ht="24.75" customHeight="1">
      <c r="A344" s="90" t="s">
        <v>5221</v>
      </c>
      <c r="B344" s="90"/>
      <c r="C344" s="90"/>
      <c r="D344" s="91">
        <v>45930.631064814799</v>
      </c>
      <c r="E344" s="90" t="s">
        <v>5222</v>
      </c>
      <c r="F344" s="92"/>
      <c r="G344" s="90" t="s">
        <v>5592</v>
      </c>
      <c r="H344" s="90" t="s">
        <v>5453</v>
      </c>
      <c r="I344" s="90" t="s">
        <v>5454</v>
      </c>
      <c r="J344" s="90"/>
      <c r="K344" s="93">
        <v>12</v>
      </c>
      <c r="L344" s="93">
        <v>57</v>
      </c>
      <c r="M344" s="93">
        <v>684</v>
      </c>
      <c r="N344" s="93">
        <v>684</v>
      </c>
      <c r="O344" s="90" t="s">
        <v>5226</v>
      </c>
      <c r="P344" s="90"/>
      <c r="Q344" s="90" t="s">
        <v>5227</v>
      </c>
      <c r="R344" s="90"/>
      <c r="S344" s="90"/>
      <c r="T344" s="90"/>
      <c r="U344" s="90"/>
      <c r="V344" s="90" t="s">
        <v>5228</v>
      </c>
      <c r="W344" s="90" t="s">
        <v>93</v>
      </c>
      <c r="X344" s="90" t="s">
        <v>162</v>
      </c>
      <c r="Y344" s="90" t="s">
        <v>408</v>
      </c>
      <c r="Z344" s="90"/>
      <c r="AA344" s="93">
        <v>605.30973451327395</v>
      </c>
      <c r="AB344" s="93">
        <v>605.30973451327395</v>
      </c>
      <c r="AC344" s="93">
        <v>13</v>
      </c>
      <c r="AD344" s="93">
        <v>78.690265486725593</v>
      </c>
      <c r="AE344" s="90"/>
      <c r="AF344" s="90"/>
      <c r="AG344" s="90"/>
      <c r="AH344" s="90"/>
      <c r="AI344" s="93">
        <v>0</v>
      </c>
      <c r="AJ344" s="93">
        <v>57</v>
      </c>
      <c r="AK344" s="93">
        <v>13</v>
      </c>
      <c r="AL344" s="93">
        <v>605.30973600000004</v>
      </c>
      <c r="AM344" s="93">
        <v>78.690263999999999</v>
      </c>
      <c r="AN344" s="93">
        <v>684</v>
      </c>
      <c r="AO344" s="93">
        <v>-1.4867256368233901E-6</v>
      </c>
      <c r="AP344" s="90" t="s">
        <v>93</v>
      </c>
      <c r="AQ344" s="90" t="s">
        <v>5229</v>
      </c>
      <c r="AR344" s="90"/>
      <c r="AS344" s="90"/>
      <c r="AT344" s="90"/>
      <c r="AU344" s="90"/>
      <c r="AV344" s="90"/>
      <c r="AW344" s="90"/>
      <c r="AX344" s="90"/>
      <c r="AY344" s="90" t="s">
        <v>5230</v>
      </c>
      <c r="AZ344" s="90"/>
      <c r="BA344" s="90" t="s">
        <v>408</v>
      </c>
      <c r="BB344" s="91">
        <v>45911.624340277798</v>
      </c>
      <c r="BC344" s="90" t="s">
        <v>405</v>
      </c>
      <c r="BD344" s="90"/>
      <c r="BE344" s="90"/>
      <c r="BF344" s="90" t="s">
        <v>5231</v>
      </c>
    </row>
    <row r="345" spans="1:58" ht="24.75" customHeight="1">
      <c r="A345" s="90" t="s">
        <v>5221</v>
      </c>
      <c r="B345" s="90"/>
      <c r="C345" s="90"/>
      <c r="D345" s="91">
        <v>45930.631064814799</v>
      </c>
      <c r="E345" s="90" t="s">
        <v>5222</v>
      </c>
      <c r="F345" s="92"/>
      <c r="G345" s="90" t="s">
        <v>5592</v>
      </c>
      <c r="H345" s="90" t="s">
        <v>5309</v>
      </c>
      <c r="I345" s="90" t="s">
        <v>5310</v>
      </c>
      <c r="J345" s="90" t="s">
        <v>5267</v>
      </c>
      <c r="K345" s="93">
        <v>12</v>
      </c>
      <c r="L345" s="93">
        <v>31</v>
      </c>
      <c r="M345" s="93">
        <v>372</v>
      </c>
      <c r="N345" s="93">
        <v>372</v>
      </c>
      <c r="O345" s="90" t="s">
        <v>5226</v>
      </c>
      <c r="P345" s="90"/>
      <c r="Q345" s="90" t="s">
        <v>5227</v>
      </c>
      <c r="R345" s="90"/>
      <c r="S345" s="90"/>
      <c r="T345" s="90"/>
      <c r="U345" s="90"/>
      <c r="V345" s="90"/>
      <c r="W345" s="90" t="s">
        <v>93</v>
      </c>
      <c r="X345" s="90" t="s">
        <v>162</v>
      </c>
      <c r="Y345" s="90" t="s">
        <v>408</v>
      </c>
      <c r="Z345" s="90"/>
      <c r="AA345" s="93">
        <v>329.20353982300901</v>
      </c>
      <c r="AB345" s="93">
        <v>329.20353982300901</v>
      </c>
      <c r="AC345" s="93">
        <v>13</v>
      </c>
      <c r="AD345" s="93">
        <v>42.796460176991097</v>
      </c>
      <c r="AE345" s="90"/>
      <c r="AF345" s="90"/>
      <c r="AG345" s="90"/>
      <c r="AH345" s="90"/>
      <c r="AI345" s="93">
        <v>0</v>
      </c>
      <c r="AJ345" s="93">
        <v>31</v>
      </c>
      <c r="AK345" s="93">
        <v>13</v>
      </c>
      <c r="AL345" s="93">
        <v>329.20353599999999</v>
      </c>
      <c r="AM345" s="93">
        <v>42.796464</v>
      </c>
      <c r="AN345" s="93">
        <v>372</v>
      </c>
      <c r="AO345" s="93">
        <v>3.8230089103308299E-6</v>
      </c>
      <c r="AP345" s="90" t="s">
        <v>93</v>
      </c>
      <c r="AQ345" s="90" t="s">
        <v>498</v>
      </c>
      <c r="AR345" s="90"/>
      <c r="AS345" s="90"/>
      <c r="AT345" s="90"/>
      <c r="AU345" s="90"/>
      <c r="AV345" s="90"/>
      <c r="AW345" s="90"/>
      <c r="AX345" s="90"/>
      <c r="AY345" s="90" t="s">
        <v>5230</v>
      </c>
      <c r="AZ345" s="90"/>
      <c r="BA345" s="90" t="s">
        <v>408</v>
      </c>
      <c r="BB345" s="91">
        <v>45900.826493055603</v>
      </c>
      <c r="BC345" s="90" t="s">
        <v>405</v>
      </c>
      <c r="BD345" s="90"/>
      <c r="BE345" s="90"/>
      <c r="BF345" s="90" t="s">
        <v>5231</v>
      </c>
    </row>
    <row r="346" spans="1:58" ht="24.75" customHeight="1">
      <c r="A346" s="90" t="s">
        <v>5221</v>
      </c>
      <c r="B346" s="90"/>
      <c r="C346" s="90"/>
      <c r="D346" s="91">
        <v>45930.631064814799</v>
      </c>
      <c r="E346" s="90" t="s">
        <v>5222</v>
      </c>
      <c r="F346" s="92"/>
      <c r="G346" s="90" t="s">
        <v>5592</v>
      </c>
      <c r="H346" s="90" t="s">
        <v>5307</v>
      </c>
      <c r="I346" s="90" t="s">
        <v>5308</v>
      </c>
      <c r="J346" s="90" t="s">
        <v>5267</v>
      </c>
      <c r="K346" s="93">
        <v>12</v>
      </c>
      <c r="L346" s="93">
        <v>34</v>
      </c>
      <c r="M346" s="93">
        <v>408</v>
      </c>
      <c r="N346" s="93">
        <v>408</v>
      </c>
      <c r="O346" s="90" t="s">
        <v>5226</v>
      </c>
      <c r="P346" s="90"/>
      <c r="Q346" s="90" t="s">
        <v>5227</v>
      </c>
      <c r="R346" s="90"/>
      <c r="S346" s="90"/>
      <c r="T346" s="90"/>
      <c r="U346" s="90"/>
      <c r="V346" s="90"/>
      <c r="W346" s="90" t="s">
        <v>93</v>
      </c>
      <c r="X346" s="90" t="s">
        <v>162</v>
      </c>
      <c r="Y346" s="90" t="s">
        <v>408</v>
      </c>
      <c r="Z346" s="90"/>
      <c r="AA346" s="93">
        <v>361.061946902655</v>
      </c>
      <c r="AB346" s="93">
        <v>361.061946902655</v>
      </c>
      <c r="AC346" s="93">
        <v>13</v>
      </c>
      <c r="AD346" s="93">
        <v>46.938053097345097</v>
      </c>
      <c r="AE346" s="90"/>
      <c r="AF346" s="90"/>
      <c r="AG346" s="90"/>
      <c r="AH346" s="90"/>
      <c r="AI346" s="93">
        <v>0</v>
      </c>
      <c r="AJ346" s="93">
        <v>34</v>
      </c>
      <c r="AK346" s="93">
        <v>13</v>
      </c>
      <c r="AL346" s="93">
        <v>361.06195200000002</v>
      </c>
      <c r="AM346" s="93">
        <v>46.938048000000002</v>
      </c>
      <c r="AN346" s="93">
        <v>408</v>
      </c>
      <c r="AO346" s="93">
        <v>-5.0973451379832096E-6</v>
      </c>
      <c r="AP346" s="90" t="s">
        <v>93</v>
      </c>
      <c r="AQ346" s="90" t="s">
        <v>498</v>
      </c>
      <c r="AR346" s="90"/>
      <c r="AS346" s="90"/>
      <c r="AT346" s="90"/>
      <c r="AU346" s="90"/>
      <c r="AV346" s="90"/>
      <c r="AW346" s="90"/>
      <c r="AX346" s="90"/>
      <c r="AY346" s="90" t="s">
        <v>5230</v>
      </c>
      <c r="AZ346" s="90"/>
      <c r="BA346" s="90" t="s">
        <v>408</v>
      </c>
      <c r="BB346" s="91">
        <v>45900.826493055603</v>
      </c>
      <c r="BC346" s="90" t="s">
        <v>405</v>
      </c>
      <c r="BD346" s="90"/>
      <c r="BE346" s="90"/>
      <c r="BF346" s="90" t="s">
        <v>5231</v>
      </c>
    </row>
    <row r="347" spans="1:58" ht="24.75" customHeight="1">
      <c r="A347" s="90" t="s">
        <v>5221</v>
      </c>
      <c r="B347" s="90"/>
      <c r="C347" s="90"/>
      <c r="D347" s="91">
        <v>45930.631064814799</v>
      </c>
      <c r="E347" s="90" t="s">
        <v>5222</v>
      </c>
      <c r="F347" s="92"/>
      <c r="G347" s="90" t="s">
        <v>5592</v>
      </c>
      <c r="H347" s="90" t="s">
        <v>5342</v>
      </c>
      <c r="I347" s="90" t="s">
        <v>5343</v>
      </c>
      <c r="J347" s="90"/>
      <c r="K347" s="93">
        <v>20</v>
      </c>
      <c r="L347" s="93">
        <v>100</v>
      </c>
      <c r="M347" s="93">
        <v>2000</v>
      </c>
      <c r="N347" s="93">
        <v>2000</v>
      </c>
      <c r="O347" s="90" t="s">
        <v>5226</v>
      </c>
      <c r="P347" s="90"/>
      <c r="Q347" s="90" t="s">
        <v>5227</v>
      </c>
      <c r="R347" s="90"/>
      <c r="S347" s="90"/>
      <c r="T347" s="90"/>
      <c r="U347" s="90"/>
      <c r="V347" s="90" t="s">
        <v>5275</v>
      </c>
      <c r="W347" s="90" t="s">
        <v>93</v>
      </c>
      <c r="X347" s="90" t="s">
        <v>162</v>
      </c>
      <c r="Y347" s="90" t="s">
        <v>408</v>
      </c>
      <c r="Z347" s="90"/>
      <c r="AA347" s="93">
        <v>1769.9115044247801</v>
      </c>
      <c r="AB347" s="93">
        <v>1769.9115044247801</v>
      </c>
      <c r="AC347" s="93">
        <v>13</v>
      </c>
      <c r="AD347" s="93">
        <v>230.088495575221</v>
      </c>
      <c r="AE347" s="90"/>
      <c r="AF347" s="90"/>
      <c r="AG347" s="90"/>
      <c r="AH347" s="90"/>
      <c r="AI347" s="93">
        <v>0</v>
      </c>
      <c r="AJ347" s="93">
        <v>100</v>
      </c>
      <c r="AK347" s="93">
        <v>13</v>
      </c>
      <c r="AL347" s="93">
        <v>1769.9114999999999</v>
      </c>
      <c r="AM347" s="93">
        <v>230.08850000000001</v>
      </c>
      <c r="AN347" s="93">
        <v>2000</v>
      </c>
      <c r="AO347" s="93">
        <v>4.4247788082429898E-6</v>
      </c>
      <c r="AP347" s="90" t="s">
        <v>93</v>
      </c>
      <c r="AQ347" s="90" t="s">
        <v>5229</v>
      </c>
      <c r="AR347" s="90"/>
      <c r="AS347" s="90"/>
      <c r="AT347" s="90"/>
      <c r="AU347" s="90"/>
      <c r="AV347" s="90"/>
      <c r="AW347" s="90"/>
      <c r="AX347" s="90"/>
      <c r="AY347" s="90" t="s">
        <v>5230</v>
      </c>
      <c r="AZ347" s="90"/>
      <c r="BA347" s="90" t="s">
        <v>408</v>
      </c>
      <c r="BB347" s="91">
        <v>45869.5789814815</v>
      </c>
      <c r="BC347" s="90" t="s">
        <v>405</v>
      </c>
      <c r="BD347" s="90"/>
      <c r="BE347" s="90"/>
      <c r="BF347" s="90" t="s">
        <v>5231</v>
      </c>
    </row>
    <row r="348" spans="1:58" ht="24.75" customHeight="1">
      <c r="A348" s="90" t="s">
        <v>5221</v>
      </c>
      <c r="B348" s="90"/>
      <c r="C348" s="90"/>
      <c r="D348" s="91">
        <v>45930.631064814799</v>
      </c>
      <c r="E348" s="90" t="s">
        <v>5222</v>
      </c>
      <c r="F348" s="92"/>
      <c r="G348" s="90" t="s">
        <v>5592</v>
      </c>
      <c r="H348" s="90" t="s">
        <v>5344</v>
      </c>
      <c r="I348" s="90" t="s">
        <v>5345</v>
      </c>
      <c r="J348" s="90"/>
      <c r="K348" s="93">
        <v>96</v>
      </c>
      <c r="L348" s="93">
        <v>7</v>
      </c>
      <c r="M348" s="93">
        <v>672</v>
      </c>
      <c r="N348" s="93">
        <v>672</v>
      </c>
      <c r="O348" s="90" t="s">
        <v>5226</v>
      </c>
      <c r="P348" s="90"/>
      <c r="Q348" s="90" t="s">
        <v>5227</v>
      </c>
      <c r="R348" s="90"/>
      <c r="S348" s="90"/>
      <c r="T348" s="90"/>
      <c r="U348" s="90"/>
      <c r="V348" s="90" t="s">
        <v>5275</v>
      </c>
      <c r="W348" s="90" t="s">
        <v>93</v>
      </c>
      <c r="X348" s="90" t="s">
        <v>162</v>
      </c>
      <c r="Y348" s="90" t="s">
        <v>408</v>
      </c>
      <c r="Z348" s="90"/>
      <c r="AA348" s="93">
        <v>594.69026548672605</v>
      </c>
      <c r="AB348" s="93">
        <v>594.69026548672605</v>
      </c>
      <c r="AC348" s="93">
        <v>13</v>
      </c>
      <c r="AD348" s="93">
        <v>77.309734513274293</v>
      </c>
      <c r="AE348" s="90"/>
      <c r="AF348" s="90"/>
      <c r="AG348" s="90"/>
      <c r="AH348" s="90"/>
      <c r="AI348" s="93">
        <v>0</v>
      </c>
      <c r="AJ348" s="93">
        <v>7</v>
      </c>
      <c r="AK348" s="93">
        <v>13</v>
      </c>
      <c r="AL348" s="93">
        <v>594.69024000000002</v>
      </c>
      <c r="AM348" s="93">
        <v>77.309759999999997</v>
      </c>
      <c r="AN348" s="93">
        <v>672</v>
      </c>
      <c r="AO348" s="93">
        <v>2.5486725803602901E-5</v>
      </c>
      <c r="AP348" s="90" t="s">
        <v>93</v>
      </c>
      <c r="AQ348" s="90" t="s">
        <v>5229</v>
      </c>
      <c r="AR348" s="90"/>
      <c r="AS348" s="90"/>
      <c r="AT348" s="90"/>
      <c r="AU348" s="90"/>
      <c r="AV348" s="90"/>
      <c r="AW348" s="90"/>
      <c r="AX348" s="90"/>
      <c r="AY348" s="90" t="s">
        <v>5230</v>
      </c>
      <c r="AZ348" s="90"/>
      <c r="BA348" s="90" t="s">
        <v>408</v>
      </c>
      <c r="BB348" s="91">
        <v>45896.752638888902</v>
      </c>
      <c r="BC348" s="90" t="s">
        <v>405</v>
      </c>
      <c r="BD348" s="90"/>
      <c r="BE348" s="90"/>
      <c r="BF348" s="90" t="s">
        <v>5231</v>
      </c>
    </row>
    <row r="349" spans="1:58" ht="24.75" customHeight="1">
      <c r="A349" s="90" t="s">
        <v>5221</v>
      </c>
      <c r="B349" s="90"/>
      <c r="C349" s="90"/>
      <c r="D349" s="91">
        <v>45930.631064814799</v>
      </c>
      <c r="E349" s="90" t="s">
        <v>5222</v>
      </c>
      <c r="F349" s="92"/>
      <c r="G349" s="90" t="s">
        <v>5592</v>
      </c>
      <c r="H349" s="90" t="s">
        <v>5316</v>
      </c>
      <c r="I349" s="90" t="s">
        <v>5317</v>
      </c>
      <c r="J349" s="90"/>
      <c r="K349" s="93">
        <v>3</v>
      </c>
      <c r="L349" s="93">
        <v>86</v>
      </c>
      <c r="M349" s="93">
        <v>258</v>
      </c>
      <c r="N349" s="93">
        <v>258</v>
      </c>
      <c r="O349" s="90" t="s">
        <v>5226</v>
      </c>
      <c r="P349" s="90"/>
      <c r="Q349" s="90" t="s">
        <v>5227</v>
      </c>
      <c r="R349" s="90"/>
      <c r="S349" s="90"/>
      <c r="T349" s="90"/>
      <c r="U349" s="90"/>
      <c r="V349" s="90" t="s">
        <v>5228</v>
      </c>
      <c r="W349" s="90" t="s">
        <v>93</v>
      </c>
      <c r="X349" s="90" t="s">
        <v>162</v>
      </c>
      <c r="Y349" s="90" t="s">
        <v>408</v>
      </c>
      <c r="Z349" s="90"/>
      <c r="AA349" s="93">
        <v>228.31858407079599</v>
      </c>
      <c r="AB349" s="93">
        <v>228.31858407079599</v>
      </c>
      <c r="AC349" s="93">
        <v>13</v>
      </c>
      <c r="AD349" s="93">
        <v>29.681415929203499</v>
      </c>
      <c r="AE349" s="90"/>
      <c r="AF349" s="90"/>
      <c r="AG349" s="90"/>
      <c r="AH349" s="90"/>
      <c r="AI349" s="93">
        <v>0</v>
      </c>
      <c r="AJ349" s="93">
        <v>86</v>
      </c>
      <c r="AK349" s="93">
        <v>13</v>
      </c>
      <c r="AL349" s="93">
        <v>228.31858500000001</v>
      </c>
      <c r="AM349" s="93">
        <v>29.681415000000001</v>
      </c>
      <c r="AN349" s="93">
        <v>258</v>
      </c>
      <c r="AO349" s="93">
        <v>-9.2920350880376603E-7</v>
      </c>
      <c r="AP349" s="90" t="s">
        <v>93</v>
      </c>
      <c r="AQ349" s="90" t="s">
        <v>5229</v>
      </c>
      <c r="AR349" s="90"/>
      <c r="AS349" s="90"/>
      <c r="AT349" s="90"/>
      <c r="AU349" s="90"/>
      <c r="AV349" s="90"/>
      <c r="AW349" s="90"/>
      <c r="AX349" s="90"/>
      <c r="AY349" s="90" t="s">
        <v>5230</v>
      </c>
      <c r="AZ349" s="90"/>
      <c r="BA349" s="90" t="s">
        <v>408</v>
      </c>
      <c r="BB349" s="91">
        <v>45900.826493055603</v>
      </c>
      <c r="BC349" s="90" t="s">
        <v>405</v>
      </c>
      <c r="BD349" s="90"/>
      <c r="BE349" s="90"/>
      <c r="BF349" s="90" t="s">
        <v>5231</v>
      </c>
    </row>
    <row r="350" spans="1:58" ht="24.75" customHeight="1">
      <c r="A350" s="90" t="s">
        <v>5221</v>
      </c>
      <c r="B350" s="90"/>
      <c r="C350" s="90"/>
      <c r="D350" s="91">
        <v>45930.631064814799</v>
      </c>
      <c r="E350" s="90" t="s">
        <v>5222</v>
      </c>
      <c r="F350" s="92"/>
      <c r="G350" s="90" t="s">
        <v>5592</v>
      </c>
      <c r="H350" s="90" t="s">
        <v>5303</v>
      </c>
      <c r="I350" s="90" t="s">
        <v>5304</v>
      </c>
      <c r="J350" s="90"/>
      <c r="K350" s="93">
        <v>36</v>
      </c>
      <c r="L350" s="93">
        <v>180</v>
      </c>
      <c r="M350" s="93">
        <v>6480</v>
      </c>
      <c r="N350" s="93">
        <v>6480</v>
      </c>
      <c r="O350" s="90" t="s">
        <v>5226</v>
      </c>
      <c r="P350" s="90"/>
      <c r="Q350" s="90" t="s">
        <v>5227</v>
      </c>
      <c r="R350" s="90"/>
      <c r="S350" s="90"/>
      <c r="T350" s="90"/>
      <c r="U350" s="90"/>
      <c r="V350" s="90" t="s">
        <v>5228</v>
      </c>
      <c r="W350" s="90" t="s">
        <v>93</v>
      </c>
      <c r="X350" s="90" t="s">
        <v>162</v>
      </c>
      <c r="Y350" s="90" t="s">
        <v>408</v>
      </c>
      <c r="Z350" s="90"/>
      <c r="AA350" s="93">
        <v>5734.5132743362801</v>
      </c>
      <c r="AB350" s="93">
        <v>5734.5132743362801</v>
      </c>
      <c r="AC350" s="93">
        <v>13</v>
      </c>
      <c r="AD350" s="93">
        <v>745.48672566371602</v>
      </c>
      <c r="AE350" s="90"/>
      <c r="AF350" s="90"/>
      <c r="AG350" s="90"/>
      <c r="AH350" s="90"/>
      <c r="AI350" s="93">
        <v>0</v>
      </c>
      <c r="AJ350" s="93">
        <v>180</v>
      </c>
      <c r="AK350" s="93">
        <v>13</v>
      </c>
      <c r="AL350" s="93">
        <v>5734.5132599999997</v>
      </c>
      <c r="AM350" s="93">
        <v>745.48674000000005</v>
      </c>
      <c r="AN350" s="93">
        <v>6480</v>
      </c>
      <c r="AO350" s="93">
        <v>1.43362840390182E-5</v>
      </c>
      <c r="AP350" s="90" t="s">
        <v>93</v>
      </c>
      <c r="AQ350" s="90" t="s">
        <v>5229</v>
      </c>
      <c r="AR350" s="90"/>
      <c r="AS350" s="90"/>
      <c r="AT350" s="90"/>
      <c r="AU350" s="90"/>
      <c r="AV350" s="90"/>
      <c r="AW350" s="90"/>
      <c r="AX350" s="90"/>
      <c r="AY350" s="90" t="s">
        <v>5230</v>
      </c>
      <c r="AZ350" s="90"/>
      <c r="BA350" s="90" t="s">
        <v>408</v>
      </c>
      <c r="BB350" s="91">
        <v>45900.826493055603</v>
      </c>
      <c r="BC350" s="90" t="s">
        <v>405</v>
      </c>
      <c r="BD350" s="90"/>
      <c r="BE350" s="90"/>
      <c r="BF350" s="90" t="s">
        <v>5231</v>
      </c>
    </row>
    <row r="351" spans="1:58" ht="24.75" customHeight="1">
      <c r="A351" s="90" t="s">
        <v>5598</v>
      </c>
      <c r="B351" s="90"/>
      <c r="C351" s="90"/>
      <c r="D351" s="91">
        <v>45930.489733796298</v>
      </c>
      <c r="E351" s="90" t="s">
        <v>5222</v>
      </c>
      <c r="F351" s="92"/>
      <c r="G351" s="90" t="s">
        <v>5599</v>
      </c>
      <c r="H351" s="90" t="s">
        <v>5600</v>
      </c>
      <c r="I351" s="90" t="s">
        <v>5601</v>
      </c>
      <c r="J351" s="90"/>
      <c r="K351" s="93">
        <v>1</v>
      </c>
      <c r="L351" s="93">
        <v>0.17</v>
      </c>
      <c r="M351" s="93">
        <v>0.17</v>
      </c>
      <c r="N351" s="93">
        <v>0.17</v>
      </c>
      <c r="O351" s="90" t="s">
        <v>5226</v>
      </c>
      <c r="P351" s="90"/>
      <c r="Q351" s="90" t="s">
        <v>5227</v>
      </c>
      <c r="R351" s="90"/>
      <c r="S351" s="90"/>
      <c r="T351" s="90"/>
      <c r="U351" s="90"/>
      <c r="V351" s="90"/>
      <c r="W351" s="90" t="s">
        <v>201</v>
      </c>
      <c r="X351" s="90" t="s">
        <v>675</v>
      </c>
      <c r="Y351" s="90" t="s">
        <v>380</v>
      </c>
      <c r="Z351" s="90"/>
      <c r="AA351" s="93">
        <v>0.15044247787610601</v>
      </c>
      <c r="AB351" s="93">
        <v>0.15044247787610601</v>
      </c>
      <c r="AC351" s="93">
        <v>13</v>
      </c>
      <c r="AD351" s="93">
        <v>1.9557522123893799E-2</v>
      </c>
      <c r="AE351" s="90"/>
      <c r="AF351" s="90"/>
      <c r="AG351" s="90"/>
      <c r="AH351" s="90"/>
      <c r="AI351" s="93">
        <v>0</v>
      </c>
      <c r="AJ351" s="93">
        <v>0.17</v>
      </c>
      <c r="AK351" s="93">
        <v>13</v>
      </c>
      <c r="AL351" s="93">
        <v>0.15044199999999999</v>
      </c>
      <c r="AM351" s="93">
        <v>1.9557999999999999E-2</v>
      </c>
      <c r="AN351" s="93">
        <v>0.17</v>
      </c>
      <c r="AO351" s="93">
        <v>4.7787610621408096E-7</v>
      </c>
      <c r="AP351" s="90" t="s">
        <v>201</v>
      </c>
      <c r="AQ351" s="90" t="s">
        <v>498</v>
      </c>
      <c r="AR351" s="90"/>
      <c r="AS351" s="90"/>
      <c r="AT351" s="90"/>
      <c r="AU351" s="90"/>
      <c r="AV351" s="90"/>
      <c r="AW351" s="90"/>
      <c r="AX351" s="90"/>
      <c r="AY351" s="90" t="s">
        <v>5230</v>
      </c>
      <c r="AZ351" s="90"/>
      <c r="BA351" s="90" t="s">
        <v>380</v>
      </c>
      <c r="BB351" s="91">
        <v>45930.489282407398</v>
      </c>
      <c r="BC351" s="90" t="s">
        <v>5602</v>
      </c>
      <c r="BD351" s="90" t="s">
        <v>5603</v>
      </c>
      <c r="BE351" s="90"/>
      <c r="BF351" s="90" t="s">
        <v>5604</v>
      </c>
    </row>
    <row r="352" spans="1:58" ht="24.75" customHeight="1">
      <c r="A352" s="90" t="s">
        <v>5605</v>
      </c>
      <c r="B352" s="90"/>
      <c r="C352" s="90"/>
      <c r="D352" s="91">
        <v>45930.478020833303</v>
      </c>
      <c r="E352" s="90" t="s">
        <v>5222</v>
      </c>
      <c r="F352" s="92"/>
      <c r="G352" s="90" t="s">
        <v>5606</v>
      </c>
      <c r="H352" s="90" t="s">
        <v>5607</v>
      </c>
      <c r="I352" s="90" t="s">
        <v>5608</v>
      </c>
      <c r="J352" s="90"/>
      <c r="K352" s="93">
        <v>11.03</v>
      </c>
      <c r="L352" s="93">
        <v>5</v>
      </c>
      <c r="M352" s="93">
        <v>55.15</v>
      </c>
      <c r="N352" s="93">
        <v>55.15</v>
      </c>
      <c r="O352" s="90" t="s">
        <v>5226</v>
      </c>
      <c r="P352" s="90"/>
      <c r="Q352" s="90" t="s">
        <v>5227</v>
      </c>
      <c r="R352" s="90"/>
      <c r="S352" s="90"/>
      <c r="T352" s="90"/>
      <c r="U352" s="90"/>
      <c r="V352" s="90"/>
      <c r="W352" s="90" t="s">
        <v>201</v>
      </c>
      <c r="X352" s="90" t="s">
        <v>675</v>
      </c>
      <c r="Y352" s="90" t="s">
        <v>380</v>
      </c>
      <c r="Z352" s="90"/>
      <c r="AA352" s="93">
        <v>48.805309734513301</v>
      </c>
      <c r="AB352" s="93">
        <v>48.805309734513301</v>
      </c>
      <c r="AC352" s="93">
        <v>13</v>
      </c>
      <c r="AD352" s="93">
        <v>6.3446902654867197</v>
      </c>
      <c r="AE352" s="90"/>
      <c r="AF352" s="90"/>
      <c r="AG352" s="90"/>
      <c r="AH352" s="90"/>
      <c r="AI352" s="93">
        <v>0</v>
      </c>
      <c r="AJ352" s="93">
        <v>5</v>
      </c>
      <c r="AK352" s="93">
        <v>13</v>
      </c>
      <c r="AL352" s="93">
        <v>48.805312370000003</v>
      </c>
      <c r="AM352" s="93">
        <v>6.3446876300000001</v>
      </c>
      <c r="AN352" s="93">
        <v>55.15</v>
      </c>
      <c r="AO352" s="93">
        <v>-2.6354867159739098E-6</v>
      </c>
      <c r="AP352" s="90" t="s">
        <v>201</v>
      </c>
      <c r="AQ352" s="90" t="s">
        <v>498</v>
      </c>
      <c r="AR352" s="90"/>
      <c r="AS352" s="90"/>
      <c r="AT352" s="90"/>
      <c r="AU352" s="90"/>
      <c r="AV352" s="90"/>
      <c r="AW352" s="90"/>
      <c r="AX352" s="90"/>
      <c r="AY352" s="90" t="s">
        <v>5230</v>
      </c>
      <c r="AZ352" s="90"/>
      <c r="BA352" s="90" t="s">
        <v>380</v>
      </c>
      <c r="BB352" s="91">
        <v>45930.477384259299</v>
      </c>
      <c r="BC352" s="90" t="s">
        <v>5609</v>
      </c>
      <c r="BD352" s="90" t="s">
        <v>5610</v>
      </c>
      <c r="BE352" s="90"/>
      <c r="BF352" s="90" t="s">
        <v>5604</v>
      </c>
    </row>
    <row r="353" spans="1:58" ht="24.75" customHeight="1">
      <c r="A353" s="90" t="s">
        <v>5605</v>
      </c>
      <c r="B353" s="90"/>
      <c r="C353" s="90"/>
      <c r="D353" s="91">
        <v>45930.478020833303</v>
      </c>
      <c r="E353" s="90" t="s">
        <v>5222</v>
      </c>
      <c r="F353" s="92"/>
      <c r="G353" s="90" t="s">
        <v>5606</v>
      </c>
      <c r="H353" s="90" t="s">
        <v>5611</v>
      </c>
      <c r="I353" s="90" t="s">
        <v>5612</v>
      </c>
      <c r="J353" s="90"/>
      <c r="K353" s="93">
        <v>110</v>
      </c>
      <c r="L353" s="93">
        <v>1.8</v>
      </c>
      <c r="M353" s="93">
        <v>198</v>
      </c>
      <c r="N353" s="93">
        <v>198</v>
      </c>
      <c r="O353" s="90" t="s">
        <v>5226</v>
      </c>
      <c r="P353" s="90"/>
      <c r="Q353" s="90" t="s">
        <v>5227</v>
      </c>
      <c r="R353" s="90"/>
      <c r="S353" s="90"/>
      <c r="T353" s="90"/>
      <c r="U353" s="90"/>
      <c r="V353" s="90"/>
      <c r="W353" s="90" t="s">
        <v>201</v>
      </c>
      <c r="X353" s="90" t="s">
        <v>675</v>
      </c>
      <c r="Y353" s="90" t="s">
        <v>380</v>
      </c>
      <c r="Z353" s="90"/>
      <c r="AA353" s="93">
        <v>175.22123893805301</v>
      </c>
      <c r="AB353" s="93">
        <v>175.22123893805301</v>
      </c>
      <c r="AC353" s="93">
        <v>13</v>
      </c>
      <c r="AD353" s="93">
        <v>22.778761061946899</v>
      </c>
      <c r="AE353" s="90"/>
      <c r="AF353" s="90"/>
      <c r="AG353" s="90"/>
      <c r="AH353" s="90"/>
      <c r="AI353" s="93">
        <v>0</v>
      </c>
      <c r="AJ353" s="93">
        <v>1.8</v>
      </c>
      <c r="AK353" s="93">
        <v>13</v>
      </c>
      <c r="AL353" s="93">
        <v>175.22120000000001</v>
      </c>
      <c r="AM353" s="93">
        <v>22.7788</v>
      </c>
      <c r="AN353" s="93">
        <v>198</v>
      </c>
      <c r="AO353" s="93">
        <v>3.8938053137371801E-5</v>
      </c>
      <c r="AP353" s="90" t="s">
        <v>201</v>
      </c>
      <c r="AQ353" s="90" t="s">
        <v>498</v>
      </c>
      <c r="AR353" s="90"/>
      <c r="AS353" s="90"/>
      <c r="AT353" s="90"/>
      <c r="AU353" s="90"/>
      <c r="AV353" s="90"/>
      <c r="AW353" s="90"/>
      <c r="AX353" s="90"/>
      <c r="AY353" s="90" t="s">
        <v>5230</v>
      </c>
      <c r="AZ353" s="90"/>
      <c r="BA353" s="90" t="s">
        <v>380</v>
      </c>
      <c r="BB353" s="91">
        <v>45930.477384259299</v>
      </c>
      <c r="BC353" s="90" t="s">
        <v>5609</v>
      </c>
      <c r="BD353" s="90" t="s">
        <v>5610</v>
      </c>
      <c r="BE353" s="90"/>
      <c r="BF353" s="90" t="s">
        <v>5604</v>
      </c>
    </row>
    <row r="354" spans="1:58" ht="24.75" customHeight="1">
      <c r="A354" s="90" t="s">
        <v>5605</v>
      </c>
      <c r="B354" s="90"/>
      <c r="C354" s="90"/>
      <c r="D354" s="91">
        <v>45930.478020833303</v>
      </c>
      <c r="E354" s="90" t="s">
        <v>5222</v>
      </c>
      <c r="F354" s="92"/>
      <c r="G354" s="90" t="s">
        <v>5606</v>
      </c>
      <c r="H354" s="90" t="s">
        <v>5613</v>
      </c>
      <c r="I354" s="90" t="s">
        <v>5614</v>
      </c>
      <c r="J354" s="90"/>
      <c r="K354" s="93">
        <v>60</v>
      </c>
      <c r="L354" s="93">
        <v>0.12</v>
      </c>
      <c r="M354" s="93">
        <v>7.2</v>
      </c>
      <c r="N354" s="93">
        <v>7.2</v>
      </c>
      <c r="O354" s="90" t="s">
        <v>5226</v>
      </c>
      <c r="P354" s="90"/>
      <c r="Q354" s="90" t="s">
        <v>5227</v>
      </c>
      <c r="R354" s="90"/>
      <c r="S354" s="90"/>
      <c r="T354" s="90"/>
      <c r="U354" s="90"/>
      <c r="V354" s="90"/>
      <c r="W354" s="90" t="s">
        <v>201</v>
      </c>
      <c r="X354" s="90" t="s">
        <v>675</v>
      </c>
      <c r="Y354" s="90" t="s">
        <v>380</v>
      </c>
      <c r="Z354" s="90"/>
      <c r="AA354" s="93">
        <v>6.3716814159292001</v>
      </c>
      <c r="AB354" s="93">
        <v>6.3716814159292001</v>
      </c>
      <c r="AC354" s="93">
        <v>13</v>
      </c>
      <c r="AD354" s="93">
        <v>0.82831858407079595</v>
      </c>
      <c r="AE354" s="90"/>
      <c r="AF354" s="90"/>
      <c r="AG354" s="90"/>
      <c r="AH354" s="90"/>
      <c r="AI354" s="93">
        <v>0</v>
      </c>
      <c r="AJ354" s="93">
        <v>0.12</v>
      </c>
      <c r="AK354" s="93">
        <v>13</v>
      </c>
      <c r="AL354" s="93">
        <v>6.3716999999999997</v>
      </c>
      <c r="AM354" s="93">
        <v>0.82830000000000004</v>
      </c>
      <c r="AN354" s="93">
        <v>7.2</v>
      </c>
      <c r="AO354" s="93">
        <v>-1.85840707960239E-5</v>
      </c>
      <c r="AP354" s="90" t="s">
        <v>201</v>
      </c>
      <c r="AQ354" s="90" t="s">
        <v>498</v>
      </c>
      <c r="AR354" s="90"/>
      <c r="AS354" s="90"/>
      <c r="AT354" s="90"/>
      <c r="AU354" s="90"/>
      <c r="AV354" s="90"/>
      <c r="AW354" s="90"/>
      <c r="AX354" s="90"/>
      <c r="AY354" s="90" t="s">
        <v>5230</v>
      </c>
      <c r="AZ354" s="90"/>
      <c r="BA354" s="90" t="s">
        <v>380</v>
      </c>
      <c r="BB354" s="91">
        <v>45930.477384259299</v>
      </c>
      <c r="BC354" s="90" t="s">
        <v>5609</v>
      </c>
      <c r="BD354" s="90" t="s">
        <v>5610</v>
      </c>
      <c r="BE354" s="90"/>
      <c r="BF354" s="90" t="s">
        <v>5604</v>
      </c>
    </row>
    <row r="355" spans="1:58" ht="24.75" customHeight="1">
      <c r="A355" s="90" t="s">
        <v>5605</v>
      </c>
      <c r="B355" s="90"/>
      <c r="C355" s="90"/>
      <c r="D355" s="91">
        <v>45930.478020833303</v>
      </c>
      <c r="E355" s="90" t="s">
        <v>5222</v>
      </c>
      <c r="F355" s="92"/>
      <c r="G355" s="90" t="s">
        <v>5606</v>
      </c>
      <c r="H355" s="90" t="s">
        <v>5615</v>
      </c>
      <c r="I355" s="90" t="s">
        <v>5616</v>
      </c>
      <c r="J355" s="90"/>
      <c r="K355" s="93">
        <v>20</v>
      </c>
      <c r="L355" s="93">
        <v>0.7</v>
      </c>
      <c r="M355" s="93">
        <v>14</v>
      </c>
      <c r="N355" s="93">
        <v>14</v>
      </c>
      <c r="O355" s="90" t="s">
        <v>5226</v>
      </c>
      <c r="P355" s="90"/>
      <c r="Q355" s="90" t="s">
        <v>5227</v>
      </c>
      <c r="R355" s="90"/>
      <c r="S355" s="90"/>
      <c r="T355" s="90"/>
      <c r="U355" s="90"/>
      <c r="V355" s="90"/>
      <c r="W355" s="90" t="s">
        <v>201</v>
      </c>
      <c r="X355" s="90" t="s">
        <v>675</v>
      </c>
      <c r="Y355" s="90" t="s">
        <v>380</v>
      </c>
      <c r="Z355" s="90"/>
      <c r="AA355" s="93">
        <v>12.389380530973501</v>
      </c>
      <c r="AB355" s="93">
        <v>12.389380530973501</v>
      </c>
      <c r="AC355" s="93">
        <v>13</v>
      </c>
      <c r="AD355" s="93">
        <v>1.6106194690265501</v>
      </c>
      <c r="AE355" s="90"/>
      <c r="AF355" s="90"/>
      <c r="AG355" s="90"/>
      <c r="AH355" s="90"/>
      <c r="AI355" s="93">
        <v>0</v>
      </c>
      <c r="AJ355" s="93">
        <v>0.7</v>
      </c>
      <c r="AK355" s="93">
        <v>13</v>
      </c>
      <c r="AL355" s="93">
        <v>12.389379999999999</v>
      </c>
      <c r="AM355" s="93">
        <v>1.6106199999999999</v>
      </c>
      <c r="AN355" s="93">
        <v>14</v>
      </c>
      <c r="AO355" s="93">
        <v>5.3097345187325097E-7</v>
      </c>
      <c r="AP355" s="90" t="s">
        <v>201</v>
      </c>
      <c r="AQ355" s="90" t="s">
        <v>498</v>
      </c>
      <c r="AR355" s="90"/>
      <c r="AS355" s="90"/>
      <c r="AT355" s="90"/>
      <c r="AU355" s="90"/>
      <c r="AV355" s="90"/>
      <c r="AW355" s="90"/>
      <c r="AX355" s="90"/>
      <c r="AY355" s="90" t="s">
        <v>5230</v>
      </c>
      <c r="AZ355" s="90"/>
      <c r="BA355" s="90" t="s">
        <v>380</v>
      </c>
      <c r="BB355" s="91">
        <v>45930.477384259299</v>
      </c>
      <c r="BC355" s="90" t="s">
        <v>5609</v>
      </c>
      <c r="BD355" s="90" t="s">
        <v>5610</v>
      </c>
      <c r="BE355" s="90"/>
      <c r="BF355" s="90" t="s">
        <v>5604</v>
      </c>
    </row>
    <row r="356" spans="1:58" ht="24.75" customHeight="1">
      <c r="A356" s="90" t="s">
        <v>5605</v>
      </c>
      <c r="B356" s="90"/>
      <c r="C356" s="90"/>
      <c r="D356" s="91">
        <v>45930.478020833303</v>
      </c>
      <c r="E356" s="90" t="s">
        <v>5222</v>
      </c>
      <c r="F356" s="92"/>
      <c r="G356" s="90" t="s">
        <v>5606</v>
      </c>
      <c r="H356" s="90" t="s">
        <v>5617</v>
      </c>
      <c r="I356" s="90" t="s">
        <v>5618</v>
      </c>
      <c r="J356" s="90"/>
      <c r="K356" s="93">
        <v>6</v>
      </c>
      <c r="L356" s="93">
        <v>50</v>
      </c>
      <c r="M356" s="93">
        <v>300</v>
      </c>
      <c r="N356" s="93">
        <v>300</v>
      </c>
      <c r="O356" s="90" t="s">
        <v>5226</v>
      </c>
      <c r="P356" s="90"/>
      <c r="Q356" s="90" t="s">
        <v>5227</v>
      </c>
      <c r="R356" s="90"/>
      <c r="S356" s="90"/>
      <c r="T356" s="90"/>
      <c r="U356" s="90"/>
      <c r="V356" s="90"/>
      <c r="W356" s="90" t="s">
        <v>201</v>
      </c>
      <c r="X356" s="90" t="s">
        <v>675</v>
      </c>
      <c r="Y356" s="90" t="s">
        <v>380</v>
      </c>
      <c r="Z356" s="90"/>
      <c r="AA356" s="93">
        <v>265.48672566371698</v>
      </c>
      <c r="AB356" s="93">
        <v>265.48672566371698</v>
      </c>
      <c r="AC356" s="93">
        <v>13</v>
      </c>
      <c r="AD356" s="93">
        <v>34.513274336283203</v>
      </c>
      <c r="AE356" s="90"/>
      <c r="AF356" s="90"/>
      <c r="AG356" s="90"/>
      <c r="AH356" s="90"/>
      <c r="AI356" s="93">
        <v>0</v>
      </c>
      <c r="AJ356" s="93">
        <v>50</v>
      </c>
      <c r="AK356" s="93">
        <v>13</v>
      </c>
      <c r="AL356" s="93">
        <v>265.48672800000003</v>
      </c>
      <c r="AM356" s="93">
        <v>34.513272000000001</v>
      </c>
      <c r="AN356" s="93">
        <v>300</v>
      </c>
      <c r="AO356" s="93">
        <v>-2.3362831598206E-6</v>
      </c>
      <c r="AP356" s="90" t="s">
        <v>201</v>
      </c>
      <c r="AQ356" s="90" t="s">
        <v>498</v>
      </c>
      <c r="AR356" s="90"/>
      <c r="AS356" s="90"/>
      <c r="AT356" s="90"/>
      <c r="AU356" s="90"/>
      <c r="AV356" s="90"/>
      <c r="AW356" s="90"/>
      <c r="AX356" s="90"/>
      <c r="AY356" s="90" t="s">
        <v>5230</v>
      </c>
      <c r="AZ356" s="90"/>
      <c r="BA356" s="90" t="s">
        <v>380</v>
      </c>
      <c r="BB356" s="91">
        <v>45930.477384259299</v>
      </c>
      <c r="BC356" s="90" t="s">
        <v>5609</v>
      </c>
      <c r="BD356" s="90" t="s">
        <v>5610</v>
      </c>
      <c r="BE356" s="90"/>
      <c r="BF356" s="90" t="s">
        <v>5604</v>
      </c>
    </row>
    <row r="357" spans="1:58" ht="24.75" customHeight="1">
      <c r="A357" s="90" t="s">
        <v>5605</v>
      </c>
      <c r="B357" s="90"/>
      <c r="C357" s="90"/>
      <c r="D357" s="91">
        <v>45930.478020833303</v>
      </c>
      <c r="E357" s="90" t="s">
        <v>5222</v>
      </c>
      <c r="F357" s="92"/>
      <c r="G357" s="90" t="s">
        <v>5606</v>
      </c>
      <c r="H357" s="90" t="s">
        <v>5619</v>
      </c>
      <c r="I357" s="90" t="s">
        <v>5620</v>
      </c>
      <c r="J357" s="90"/>
      <c r="K357" s="93">
        <v>2</v>
      </c>
      <c r="L357" s="93">
        <v>75</v>
      </c>
      <c r="M357" s="93">
        <v>150</v>
      </c>
      <c r="N357" s="93">
        <v>150</v>
      </c>
      <c r="O357" s="90" t="s">
        <v>5226</v>
      </c>
      <c r="P357" s="90"/>
      <c r="Q357" s="90" t="s">
        <v>5227</v>
      </c>
      <c r="R357" s="90"/>
      <c r="S357" s="90"/>
      <c r="T357" s="90"/>
      <c r="U357" s="90"/>
      <c r="V357" s="90"/>
      <c r="W357" s="90" t="s">
        <v>201</v>
      </c>
      <c r="X357" s="90" t="s">
        <v>675</v>
      </c>
      <c r="Y357" s="90" t="s">
        <v>380</v>
      </c>
      <c r="Z357" s="90"/>
      <c r="AA357" s="93">
        <v>132.74336283185801</v>
      </c>
      <c r="AB357" s="93">
        <v>132.74336283185801</v>
      </c>
      <c r="AC357" s="93">
        <v>13</v>
      </c>
      <c r="AD357" s="93">
        <v>17.256637168141602</v>
      </c>
      <c r="AE357" s="90"/>
      <c r="AF357" s="90"/>
      <c r="AG357" s="90"/>
      <c r="AH357" s="90"/>
      <c r="AI357" s="93">
        <v>0</v>
      </c>
      <c r="AJ357" s="93">
        <v>75</v>
      </c>
      <c r="AK357" s="93">
        <v>13</v>
      </c>
      <c r="AL357" s="93">
        <v>132.74336199999999</v>
      </c>
      <c r="AM357" s="93">
        <v>17.256637999999999</v>
      </c>
      <c r="AN357" s="93">
        <v>150</v>
      </c>
      <c r="AO357" s="93">
        <v>8.3185841504018796E-7</v>
      </c>
      <c r="AP357" s="90" t="s">
        <v>201</v>
      </c>
      <c r="AQ357" s="90" t="s">
        <v>498</v>
      </c>
      <c r="AR357" s="90"/>
      <c r="AS357" s="90"/>
      <c r="AT357" s="90"/>
      <c r="AU357" s="90"/>
      <c r="AV357" s="90"/>
      <c r="AW357" s="90"/>
      <c r="AX357" s="90"/>
      <c r="AY357" s="90" t="s">
        <v>5230</v>
      </c>
      <c r="AZ357" s="90"/>
      <c r="BA357" s="90" t="s">
        <v>380</v>
      </c>
      <c r="BB357" s="91">
        <v>45930.477384259299</v>
      </c>
      <c r="BC357" s="90" t="s">
        <v>5609</v>
      </c>
      <c r="BD357" s="90" t="s">
        <v>5610</v>
      </c>
      <c r="BE357" s="90"/>
      <c r="BF357" s="90" t="s">
        <v>5604</v>
      </c>
    </row>
    <row r="358" spans="1:58" ht="24.75" customHeight="1">
      <c r="A358" s="90" t="s">
        <v>5605</v>
      </c>
      <c r="B358" s="90"/>
      <c r="C358" s="90"/>
      <c r="D358" s="91">
        <v>45930.478020833303</v>
      </c>
      <c r="E358" s="90" t="s">
        <v>5222</v>
      </c>
      <c r="F358" s="92"/>
      <c r="G358" s="90" t="s">
        <v>5606</v>
      </c>
      <c r="H358" s="90" t="s">
        <v>5621</v>
      </c>
      <c r="I358" s="90" t="s">
        <v>5622</v>
      </c>
      <c r="J358" s="90"/>
      <c r="K358" s="93">
        <v>40</v>
      </c>
      <c r="L358" s="93">
        <v>10</v>
      </c>
      <c r="M358" s="93">
        <v>400</v>
      </c>
      <c r="N358" s="93">
        <v>400</v>
      </c>
      <c r="O358" s="90" t="s">
        <v>5226</v>
      </c>
      <c r="P358" s="90"/>
      <c r="Q358" s="90" t="s">
        <v>5227</v>
      </c>
      <c r="R358" s="90"/>
      <c r="S358" s="90"/>
      <c r="T358" s="90"/>
      <c r="U358" s="90"/>
      <c r="V358" s="90"/>
      <c r="W358" s="90" t="s">
        <v>201</v>
      </c>
      <c r="X358" s="90" t="s">
        <v>675</v>
      </c>
      <c r="Y358" s="90" t="s">
        <v>380</v>
      </c>
      <c r="Z358" s="90"/>
      <c r="AA358" s="93">
        <v>353.98230088495598</v>
      </c>
      <c r="AB358" s="93">
        <v>353.98230088495598</v>
      </c>
      <c r="AC358" s="93">
        <v>13</v>
      </c>
      <c r="AD358" s="93">
        <v>46.017699115044202</v>
      </c>
      <c r="AE358" s="90"/>
      <c r="AF358" s="90"/>
      <c r="AG358" s="90"/>
      <c r="AH358" s="90"/>
      <c r="AI358" s="93">
        <v>0</v>
      </c>
      <c r="AJ358" s="93">
        <v>10</v>
      </c>
      <c r="AK358" s="93">
        <v>13</v>
      </c>
      <c r="AL358" s="93">
        <v>353.98232000000002</v>
      </c>
      <c r="AM358" s="93">
        <v>46.017679999999999</v>
      </c>
      <c r="AN358" s="93">
        <v>400</v>
      </c>
      <c r="AO358" s="93">
        <v>-1.91150442105936E-5</v>
      </c>
      <c r="AP358" s="90" t="s">
        <v>201</v>
      </c>
      <c r="AQ358" s="90" t="s">
        <v>498</v>
      </c>
      <c r="AR358" s="90"/>
      <c r="AS358" s="90"/>
      <c r="AT358" s="90"/>
      <c r="AU358" s="90"/>
      <c r="AV358" s="90"/>
      <c r="AW358" s="90"/>
      <c r="AX358" s="90"/>
      <c r="AY358" s="90" t="s">
        <v>5230</v>
      </c>
      <c r="AZ358" s="90"/>
      <c r="BA358" s="90" t="s">
        <v>380</v>
      </c>
      <c r="BB358" s="91">
        <v>45930.477384259299</v>
      </c>
      <c r="BC358" s="90" t="s">
        <v>5609</v>
      </c>
      <c r="BD358" s="90" t="s">
        <v>5610</v>
      </c>
      <c r="BE358" s="90"/>
      <c r="BF358" s="90" t="s">
        <v>5604</v>
      </c>
    </row>
    <row r="359" spans="1:58" ht="24.75" customHeight="1">
      <c r="A359" s="90" t="s">
        <v>5605</v>
      </c>
      <c r="B359" s="90"/>
      <c r="C359" s="90"/>
      <c r="D359" s="91">
        <v>45930.478020833303</v>
      </c>
      <c r="E359" s="90" t="s">
        <v>5222</v>
      </c>
      <c r="F359" s="92"/>
      <c r="G359" s="90" t="s">
        <v>5606</v>
      </c>
      <c r="H359" s="90" t="s">
        <v>5623</v>
      </c>
      <c r="I359" s="90" t="s">
        <v>5624</v>
      </c>
      <c r="J359" s="90"/>
      <c r="K359" s="93">
        <v>12</v>
      </c>
      <c r="L359" s="93">
        <v>6.5</v>
      </c>
      <c r="M359" s="93">
        <v>78</v>
      </c>
      <c r="N359" s="93">
        <v>78</v>
      </c>
      <c r="O359" s="90" t="s">
        <v>5226</v>
      </c>
      <c r="P359" s="90"/>
      <c r="Q359" s="90" t="s">
        <v>5227</v>
      </c>
      <c r="R359" s="90"/>
      <c r="S359" s="90"/>
      <c r="T359" s="90"/>
      <c r="U359" s="90"/>
      <c r="V359" s="90"/>
      <c r="W359" s="90" t="s">
        <v>201</v>
      </c>
      <c r="X359" s="90" t="s">
        <v>675</v>
      </c>
      <c r="Y359" s="90" t="s">
        <v>380</v>
      </c>
      <c r="Z359" s="90"/>
      <c r="AA359" s="93">
        <v>69.026548672566406</v>
      </c>
      <c r="AB359" s="93">
        <v>69.026548672566406</v>
      </c>
      <c r="AC359" s="93">
        <v>13</v>
      </c>
      <c r="AD359" s="93">
        <v>8.9734513274336294</v>
      </c>
      <c r="AE359" s="90"/>
      <c r="AF359" s="90"/>
      <c r="AG359" s="90"/>
      <c r="AH359" s="90"/>
      <c r="AI359" s="93">
        <v>0</v>
      </c>
      <c r="AJ359" s="93">
        <v>6.5</v>
      </c>
      <c r="AK359" s="93">
        <v>13</v>
      </c>
      <c r="AL359" s="93">
        <v>69.026544000000001</v>
      </c>
      <c r="AM359" s="93">
        <v>8.9734560000000005</v>
      </c>
      <c r="AN359" s="93">
        <v>78</v>
      </c>
      <c r="AO359" s="93">
        <v>4.6725663764846104E-6</v>
      </c>
      <c r="AP359" s="90" t="s">
        <v>201</v>
      </c>
      <c r="AQ359" s="90" t="s">
        <v>498</v>
      </c>
      <c r="AR359" s="90"/>
      <c r="AS359" s="90"/>
      <c r="AT359" s="90"/>
      <c r="AU359" s="90"/>
      <c r="AV359" s="90"/>
      <c r="AW359" s="90"/>
      <c r="AX359" s="90"/>
      <c r="AY359" s="90" t="s">
        <v>5230</v>
      </c>
      <c r="AZ359" s="90"/>
      <c r="BA359" s="90" t="s">
        <v>380</v>
      </c>
      <c r="BB359" s="91">
        <v>45930.477384259299</v>
      </c>
      <c r="BC359" s="90" t="s">
        <v>5609</v>
      </c>
      <c r="BD359" s="90" t="s">
        <v>5610</v>
      </c>
      <c r="BE359" s="90"/>
      <c r="BF359" s="90" t="s">
        <v>5604</v>
      </c>
    </row>
    <row r="360" spans="1:58" ht="24.75" customHeight="1">
      <c r="A360" s="90" t="s">
        <v>5605</v>
      </c>
      <c r="B360" s="90"/>
      <c r="C360" s="90"/>
      <c r="D360" s="91">
        <v>45930.478020833303</v>
      </c>
      <c r="E360" s="90" t="s">
        <v>5222</v>
      </c>
      <c r="F360" s="92"/>
      <c r="G360" s="90" t="s">
        <v>5606</v>
      </c>
      <c r="H360" s="90" t="s">
        <v>5600</v>
      </c>
      <c r="I360" s="90" t="s">
        <v>5601</v>
      </c>
      <c r="J360" s="90"/>
      <c r="K360" s="93">
        <v>50</v>
      </c>
      <c r="L360" s="93">
        <v>0.17</v>
      </c>
      <c r="M360" s="93">
        <v>8.5</v>
      </c>
      <c r="N360" s="93">
        <v>8.5</v>
      </c>
      <c r="O360" s="90" t="s">
        <v>5226</v>
      </c>
      <c r="P360" s="90"/>
      <c r="Q360" s="90" t="s">
        <v>5227</v>
      </c>
      <c r="R360" s="90"/>
      <c r="S360" s="90"/>
      <c r="T360" s="90"/>
      <c r="U360" s="90"/>
      <c r="V360" s="90"/>
      <c r="W360" s="90" t="s">
        <v>201</v>
      </c>
      <c r="X360" s="90" t="s">
        <v>675</v>
      </c>
      <c r="Y360" s="90" t="s">
        <v>380</v>
      </c>
      <c r="Z360" s="90"/>
      <c r="AA360" s="93">
        <v>7.5221238938053103</v>
      </c>
      <c r="AB360" s="93">
        <v>7.5221238938053103</v>
      </c>
      <c r="AC360" s="93">
        <v>13</v>
      </c>
      <c r="AD360" s="93">
        <v>0.97787610619469001</v>
      </c>
      <c r="AE360" s="90"/>
      <c r="AF360" s="90"/>
      <c r="AG360" s="90"/>
      <c r="AH360" s="90"/>
      <c r="AI360" s="93">
        <v>0</v>
      </c>
      <c r="AJ360" s="93">
        <v>0.17</v>
      </c>
      <c r="AK360" s="93">
        <v>13</v>
      </c>
      <c r="AL360" s="93">
        <v>7.5221</v>
      </c>
      <c r="AM360" s="93">
        <v>0.97789999999999999</v>
      </c>
      <c r="AN360" s="93">
        <v>8.5</v>
      </c>
      <c r="AO360" s="93">
        <v>2.3893805310315499E-5</v>
      </c>
      <c r="AP360" s="90" t="s">
        <v>201</v>
      </c>
      <c r="AQ360" s="90" t="s">
        <v>498</v>
      </c>
      <c r="AR360" s="90"/>
      <c r="AS360" s="90"/>
      <c r="AT360" s="90"/>
      <c r="AU360" s="90"/>
      <c r="AV360" s="90"/>
      <c r="AW360" s="90"/>
      <c r="AX360" s="90"/>
      <c r="AY360" s="90" t="s">
        <v>5230</v>
      </c>
      <c r="AZ360" s="90"/>
      <c r="BA360" s="90" t="s">
        <v>380</v>
      </c>
      <c r="BB360" s="91">
        <v>45930.477384259299</v>
      </c>
      <c r="BC360" s="90" t="s">
        <v>5609</v>
      </c>
      <c r="BD360" s="90" t="s">
        <v>5610</v>
      </c>
      <c r="BE360" s="90"/>
      <c r="BF360" s="90" t="s">
        <v>5604</v>
      </c>
    </row>
    <row r="361" spans="1:58" ht="24.75" customHeight="1">
      <c r="A361" s="90" t="s">
        <v>5598</v>
      </c>
      <c r="B361" s="90"/>
      <c r="C361" s="90"/>
      <c r="D361" s="91">
        <v>45930.4838773148</v>
      </c>
      <c r="E361" s="90" t="s">
        <v>5222</v>
      </c>
      <c r="F361" s="92"/>
      <c r="G361" s="90" t="s">
        <v>5625</v>
      </c>
      <c r="H361" s="90" t="s">
        <v>5626</v>
      </c>
      <c r="I361" s="90" t="s">
        <v>5627</v>
      </c>
      <c r="J361" s="90"/>
      <c r="K361" s="93">
        <v>18</v>
      </c>
      <c r="L361" s="93">
        <v>130</v>
      </c>
      <c r="M361" s="93">
        <v>2340</v>
      </c>
      <c r="N361" s="93">
        <v>2340</v>
      </c>
      <c r="O361" s="90" t="s">
        <v>5226</v>
      </c>
      <c r="P361" s="90"/>
      <c r="Q361" s="90" t="s">
        <v>5227</v>
      </c>
      <c r="R361" s="90"/>
      <c r="S361" s="90"/>
      <c r="T361" s="90"/>
      <c r="U361" s="90"/>
      <c r="V361" s="90"/>
      <c r="W361" s="90" t="s">
        <v>201</v>
      </c>
      <c r="X361" s="90" t="s">
        <v>675</v>
      </c>
      <c r="Y361" s="90" t="s">
        <v>380</v>
      </c>
      <c r="Z361" s="90"/>
      <c r="AA361" s="93">
        <v>2070.79646017699</v>
      </c>
      <c r="AB361" s="93">
        <v>2070.79646017699</v>
      </c>
      <c r="AC361" s="93">
        <v>13</v>
      </c>
      <c r="AD361" s="93">
        <v>269.20353982300901</v>
      </c>
      <c r="AE361" s="90"/>
      <c r="AF361" s="90"/>
      <c r="AG361" s="90"/>
      <c r="AH361" s="90"/>
      <c r="AI361" s="93">
        <v>0</v>
      </c>
      <c r="AJ361" s="93">
        <v>130</v>
      </c>
      <c r="AK361" s="93">
        <v>13</v>
      </c>
      <c r="AL361" s="93">
        <v>2070.796464</v>
      </c>
      <c r="AM361" s="93">
        <v>269.20353599999999</v>
      </c>
      <c r="AN361" s="93">
        <v>2340</v>
      </c>
      <c r="AO361" s="93">
        <v>-3.8230086829571502E-6</v>
      </c>
      <c r="AP361" s="90" t="s">
        <v>201</v>
      </c>
      <c r="AQ361" s="90" t="s">
        <v>498</v>
      </c>
      <c r="AR361" s="90"/>
      <c r="AS361" s="90"/>
      <c r="AT361" s="90"/>
      <c r="AU361" s="90"/>
      <c r="AV361" s="90"/>
      <c r="AW361" s="90"/>
      <c r="AX361" s="90"/>
      <c r="AY361" s="90" t="s">
        <v>5230</v>
      </c>
      <c r="AZ361" s="90"/>
      <c r="BA361" s="90" t="s">
        <v>380</v>
      </c>
      <c r="BB361" s="91">
        <v>45930.483368055597</v>
      </c>
      <c r="BC361" s="90" t="s">
        <v>5628</v>
      </c>
      <c r="BD361" s="90" t="s">
        <v>5603</v>
      </c>
      <c r="BE361" s="90"/>
      <c r="BF361" s="90" t="s">
        <v>5604</v>
      </c>
    </row>
    <row r="362" spans="1:58" ht="24.75" customHeight="1">
      <c r="A362" s="90" t="s">
        <v>5598</v>
      </c>
      <c r="B362" s="90"/>
      <c r="C362" s="90"/>
      <c r="D362" s="91">
        <v>45930.4838773148</v>
      </c>
      <c r="E362" s="90" t="s">
        <v>5222</v>
      </c>
      <c r="F362" s="92"/>
      <c r="G362" s="90" t="s">
        <v>5625</v>
      </c>
      <c r="H362" s="90" t="s">
        <v>5629</v>
      </c>
      <c r="I362" s="90" t="s">
        <v>5630</v>
      </c>
      <c r="J362" s="90"/>
      <c r="K362" s="93">
        <v>19</v>
      </c>
      <c r="L362" s="93">
        <v>480</v>
      </c>
      <c r="M362" s="93">
        <v>9120</v>
      </c>
      <c r="N362" s="93">
        <v>9120</v>
      </c>
      <c r="O362" s="90" t="s">
        <v>5226</v>
      </c>
      <c r="P362" s="90"/>
      <c r="Q362" s="90" t="s">
        <v>5227</v>
      </c>
      <c r="R362" s="90"/>
      <c r="S362" s="90"/>
      <c r="T362" s="90"/>
      <c r="U362" s="90"/>
      <c r="V362" s="90"/>
      <c r="W362" s="90" t="s">
        <v>201</v>
      </c>
      <c r="X362" s="90" t="s">
        <v>675</v>
      </c>
      <c r="Y362" s="90" t="s">
        <v>380</v>
      </c>
      <c r="Z362" s="90"/>
      <c r="AA362" s="93">
        <v>8070.79646017699</v>
      </c>
      <c r="AB362" s="93">
        <v>8070.79646017699</v>
      </c>
      <c r="AC362" s="93">
        <v>13</v>
      </c>
      <c r="AD362" s="93">
        <v>1049.20353982301</v>
      </c>
      <c r="AE362" s="90"/>
      <c r="AF362" s="90"/>
      <c r="AG362" s="90"/>
      <c r="AH362" s="90"/>
      <c r="AI362" s="93">
        <v>0</v>
      </c>
      <c r="AJ362" s="93">
        <v>480</v>
      </c>
      <c r="AK362" s="93">
        <v>13</v>
      </c>
      <c r="AL362" s="93">
        <v>8070.7964590000001</v>
      </c>
      <c r="AM362" s="93">
        <v>1049.2035410000001</v>
      </c>
      <c r="AN362" s="93">
        <v>9120</v>
      </c>
      <c r="AO362" s="93">
        <v>1.17699255497428E-6</v>
      </c>
      <c r="AP362" s="90" t="s">
        <v>201</v>
      </c>
      <c r="AQ362" s="90" t="s">
        <v>498</v>
      </c>
      <c r="AR362" s="90"/>
      <c r="AS362" s="90"/>
      <c r="AT362" s="90"/>
      <c r="AU362" s="90"/>
      <c r="AV362" s="90"/>
      <c r="AW362" s="90"/>
      <c r="AX362" s="90"/>
      <c r="AY362" s="90" t="s">
        <v>5230</v>
      </c>
      <c r="AZ362" s="90"/>
      <c r="BA362" s="90" t="s">
        <v>380</v>
      </c>
      <c r="BB362" s="91">
        <v>45930.483368055597</v>
      </c>
      <c r="BC362" s="90" t="s">
        <v>5628</v>
      </c>
      <c r="BD362" s="90" t="s">
        <v>5603</v>
      </c>
      <c r="BE362" s="90"/>
      <c r="BF362" s="90" t="s">
        <v>5604</v>
      </c>
    </row>
    <row r="363" spans="1:58" ht="24.75" customHeight="1">
      <c r="A363" s="90" t="s">
        <v>5598</v>
      </c>
      <c r="B363" s="90"/>
      <c r="C363" s="90"/>
      <c r="D363" s="91">
        <v>45930.4838773148</v>
      </c>
      <c r="E363" s="90" t="s">
        <v>5222</v>
      </c>
      <c r="F363" s="92"/>
      <c r="G363" s="90" t="s">
        <v>5625</v>
      </c>
      <c r="H363" s="90" t="s">
        <v>5631</v>
      </c>
      <c r="I363" s="90" t="s">
        <v>5632</v>
      </c>
      <c r="J363" s="90"/>
      <c r="K363" s="93">
        <v>15</v>
      </c>
      <c r="L363" s="93">
        <v>140</v>
      </c>
      <c r="M363" s="93">
        <v>2100</v>
      </c>
      <c r="N363" s="93">
        <v>2100</v>
      </c>
      <c r="O363" s="90" t="s">
        <v>5226</v>
      </c>
      <c r="P363" s="90"/>
      <c r="Q363" s="90" t="s">
        <v>5227</v>
      </c>
      <c r="R363" s="90"/>
      <c r="S363" s="90"/>
      <c r="T363" s="90"/>
      <c r="U363" s="90"/>
      <c r="V363" s="90"/>
      <c r="W363" s="90" t="s">
        <v>201</v>
      </c>
      <c r="X363" s="90" t="s">
        <v>675</v>
      </c>
      <c r="Y363" s="90" t="s">
        <v>380</v>
      </c>
      <c r="Z363" s="90"/>
      <c r="AA363" s="93">
        <v>1858.4070796460201</v>
      </c>
      <c r="AB363" s="93">
        <v>1858.4070796460201</v>
      </c>
      <c r="AC363" s="93">
        <v>13</v>
      </c>
      <c r="AD363" s="93">
        <v>241.59292035398201</v>
      </c>
      <c r="AE363" s="90"/>
      <c r="AF363" s="90"/>
      <c r="AG363" s="90"/>
      <c r="AH363" s="90"/>
      <c r="AI363" s="93">
        <v>0</v>
      </c>
      <c r="AJ363" s="93">
        <v>140</v>
      </c>
      <c r="AK363" s="93">
        <v>13</v>
      </c>
      <c r="AL363" s="93">
        <v>1858.4070750000001</v>
      </c>
      <c r="AM363" s="93">
        <v>241.59292500000001</v>
      </c>
      <c r="AN363" s="93">
        <v>2100</v>
      </c>
      <c r="AO363" s="93">
        <v>4.6460177145490897E-6</v>
      </c>
      <c r="AP363" s="90" t="s">
        <v>201</v>
      </c>
      <c r="AQ363" s="90" t="s">
        <v>498</v>
      </c>
      <c r="AR363" s="90"/>
      <c r="AS363" s="90"/>
      <c r="AT363" s="90"/>
      <c r="AU363" s="90"/>
      <c r="AV363" s="90"/>
      <c r="AW363" s="90"/>
      <c r="AX363" s="90"/>
      <c r="AY363" s="90" t="s">
        <v>5230</v>
      </c>
      <c r="AZ363" s="90"/>
      <c r="BA363" s="90" t="s">
        <v>380</v>
      </c>
      <c r="BB363" s="91">
        <v>45930.483368055597</v>
      </c>
      <c r="BC363" s="90" t="s">
        <v>5628</v>
      </c>
      <c r="BD363" s="90" t="s">
        <v>5603</v>
      </c>
      <c r="BE363" s="90"/>
      <c r="BF363" s="90" t="s">
        <v>5604</v>
      </c>
    </row>
    <row r="364" spans="1:58" ht="24.75" customHeight="1">
      <c r="A364" s="90" t="s">
        <v>5598</v>
      </c>
      <c r="B364" s="90"/>
      <c r="C364" s="90"/>
      <c r="D364" s="91">
        <v>45930.4838773148</v>
      </c>
      <c r="E364" s="90" t="s">
        <v>5222</v>
      </c>
      <c r="F364" s="92"/>
      <c r="G364" s="90" t="s">
        <v>5625</v>
      </c>
      <c r="H364" s="90" t="s">
        <v>5633</v>
      </c>
      <c r="I364" s="90" t="s">
        <v>5634</v>
      </c>
      <c r="J364" s="90"/>
      <c r="K364" s="93">
        <v>16</v>
      </c>
      <c r="L364" s="93">
        <v>140</v>
      </c>
      <c r="M364" s="93">
        <v>2240</v>
      </c>
      <c r="N364" s="93">
        <v>2240</v>
      </c>
      <c r="O364" s="90" t="s">
        <v>5226</v>
      </c>
      <c r="P364" s="90"/>
      <c r="Q364" s="90" t="s">
        <v>5227</v>
      </c>
      <c r="R364" s="90"/>
      <c r="S364" s="90"/>
      <c r="T364" s="90"/>
      <c r="U364" s="90"/>
      <c r="V364" s="90"/>
      <c r="W364" s="90" t="s">
        <v>201</v>
      </c>
      <c r="X364" s="90" t="s">
        <v>675</v>
      </c>
      <c r="Y364" s="90" t="s">
        <v>380</v>
      </c>
      <c r="Z364" s="90"/>
      <c r="AA364" s="93">
        <v>1982.30088495575</v>
      </c>
      <c r="AB364" s="93">
        <v>1982.30088495575</v>
      </c>
      <c r="AC364" s="93">
        <v>13</v>
      </c>
      <c r="AD364" s="93">
        <v>257.699115044248</v>
      </c>
      <c r="AE364" s="90"/>
      <c r="AF364" s="90"/>
      <c r="AG364" s="90"/>
      <c r="AH364" s="90"/>
      <c r="AI364" s="93">
        <v>0</v>
      </c>
      <c r="AJ364" s="93">
        <v>140</v>
      </c>
      <c r="AK364" s="93">
        <v>13</v>
      </c>
      <c r="AL364" s="93">
        <v>1982.30088</v>
      </c>
      <c r="AM364" s="93">
        <v>257.69911999999999</v>
      </c>
      <c r="AN364" s="93">
        <v>2240</v>
      </c>
      <c r="AO364" s="93">
        <v>4.9557525017007703E-6</v>
      </c>
      <c r="AP364" s="90" t="s">
        <v>201</v>
      </c>
      <c r="AQ364" s="90" t="s">
        <v>498</v>
      </c>
      <c r="AR364" s="90"/>
      <c r="AS364" s="90"/>
      <c r="AT364" s="90"/>
      <c r="AU364" s="90"/>
      <c r="AV364" s="90"/>
      <c r="AW364" s="90"/>
      <c r="AX364" s="90"/>
      <c r="AY364" s="90" t="s">
        <v>5230</v>
      </c>
      <c r="AZ364" s="90"/>
      <c r="BA364" s="90" t="s">
        <v>380</v>
      </c>
      <c r="BB364" s="91">
        <v>45930.483368055597</v>
      </c>
      <c r="BC364" s="90" t="s">
        <v>5628</v>
      </c>
      <c r="BD364" s="90" t="s">
        <v>5603</v>
      </c>
      <c r="BE364" s="90"/>
      <c r="BF364" s="90" t="s">
        <v>5604</v>
      </c>
    </row>
    <row r="365" spans="1:58" ht="24.75" customHeight="1">
      <c r="A365" s="90" t="s">
        <v>5598</v>
      </c>
      <c r="B365" s="90"/>
      <c r="C365" s="90"/>
      <c r="D365" s="91">
        <v>45930.4838773148</v>
      </c>
      <c r="E365" s="90" t="s">
        <v>5222</v>
      </c>
      <c r="F365" s="92"/>
      <c r="G365" s="90" t="s">
        <v>5625</v>
      </c>
      <c r="H365" s="90" t="s">
        <v>5635</v>
      </c>
      <c r="I365" s="90" t="s">
        <v>5636</v>
      </c>
      <c r="J365" s="90"/>
      <c r="K365" s="93">
        <v>17</v>
      </c>
      <c r="L365" s="93">
        <v>15</v>
      </c>
      <c r="M365" s="93">
        <v>255</v>
      </c>
      <c r="N365" s="93">
        <v>255</v>
      </c>
      <c r="O365" s="90" t="s">
        <v>5226</v>
      </c>
      <c r="P365" s="90"/>
      <c r="Q365" s="90" t="s">
        <v>5227</v>
      </c>
      <c r="R365" s="90"/>
      <c r="S365" s="90"/>
      <c r="T365" s="90"/>
      <c r="U365" s="90"/>
      <c r="V365" s="90"/>
      <c r="W365" s="90" t="s">
        <v>201</v>
      </c>
      <c r="X365" s="90" t="s">
        <v>675</v>
      </c>
      <c r="Y365" s="90" t="s">
        <v>380</v>
      </c>
      <c r="Z365" s="90"/>
      <c r="AA365" s="93">
        <v>225.66371681415899</v>
      </c>
      <c r="AB365" s="93">
        <v>225.66371681415899</v>
      </c>
      <c r="AC365" s="93">
        <v>13</v>
      </c>
      <c r="AD365" s="93">
        <v>29.336283185840699</v>
      </c>
      <c r="AE365" s="90"/>
      <c r="AF365" s="90"/>
      <c r="AG365" s="90"/>
      <c r="AH365" s="90"/>
      <c r="AI365" s="93">
        <v>0</v>
      </c>
      <c r="AJ365" s="93">
        <v>15</v>
      </c>
      <c r="AK365" s="93">
        <v>13</v>
      </c>
      <c r="AL365" s="93">
        <v>225.663712</v>
      </c>
      <c r="AM365" s="93">
        <v>29.336288</v>
      </c>
      <c r="AN365" s="93">
        <v>255</v>
      </c>
      <c r="AO365" s="93">
        <v>4.8141592969841398E-6</v>
      </c>
      <c r="AP365" s="90" t="s">
        <v>201</v>
      </c>
      <c r="AQ365" s="90" t="s">
        <v>498</v>
      </c>
      <c r="AR365" s="90"/>
      <c r="AS365" s="90"/>
      <c r="AT365" s="90"/>
      <c r="AU365" s="90"/>
      <c r="AV365" s="90"/>
      <c r="AW365" s="90"/>
      <c r="AX365" s="90"/>
      <c r="AY365" s="90" t="s">
        <v>5230</v>
      </c>
      <c r="AZ365" s="90"/>
      <c r="BA365" s="90" t="s">
        <v>380</v>
      </c>
      <c r="BB365" s="91">
        <v>45930.483368055597</v>
      </c>
      <c r="BC365" s="90" t="s">
        <v>5628</v>
      </c>
      <c r="BD365" s="90" t="s">
        <v>5603</v>
      </c>
      <c r="BE365" s="90"/>
      <c r="BF365" s="90" t="s">
        <v>5604</v>
      </c>
    </row>
    <row r="366" spans="1:58" ht="24.75" customHeight="1">
      <c r="A366" s="90" t="s">
        <v>5598</v>
      </c>
      <c r="B366" s="90"/>
      <c r="C366" s="90"/>
      <c r="D366" s="91">
        <v>45930.4838773148</v>
      </c>
      <c r="E366" s="90" t="s">
        <v>5222</v>
      </c>
      <c r="F366" s="92"/>
      <c r="G366" s="90" t="s">
        <v>5625</v>
      </c>
      <c r="H366" s="90" t="s">
        <v>5637</v>
      </c>
      <c r="I366" s="90" t="s">
        <v>5638</v>
      </c>
      <c r="J366" s="90"/>
      <c r="K366" s="93">
        <v>21</v>
      </c>
      <c r="L366" s="93">
        <v>110</v>
      </c>
      <c r="M366" s="93">
        <v>2310</v>
      </c>
      <c r="N366" s="93">
        <v>2310</v>
      </c>
      <c r="O366" s="90" t="s">
        <v>5226</v>
      </c>
      <c r="P366" s="90"/>
      <c r="Q366" s="90" t="s">
        <v>5227</v>
      </c>
      <c r="R366" s="90"/>
      <c r="S366" s="90"/>
      <c r="T366" s="90"/>
      <c r="U366" s="90"/>
      <c r="V366" s="90"/>
      <c r="W366" s="90" t="s">
        <v>201</v>
      </c>
      <c r="X366" s="90" t="s">
        <v>675</v>
      </c>
      <c r="Y366" s="90" t="s">
        <v>380</v>
      </c>
      <c r="Z366" s="90"/>
      <c r="AA366" s="93">
        <v>2044.24778761062</v>
      </c>
      <c r="AB366" s="93">
        <v>2044.24778761062</v>
      </c>
      <c r="AC366" s="93">
        <v>13</v>
      </c>
      <c r="AD366" s="93">
        <v>265.75221238938002</v>
      </c>
      <c r="AE366" s="90"/>
      <c r="AF366" s="90"/>
      <c r="AG366" s="90"/>
      <c r="AH366" s="90"/>
      <c r="AI366" s="93">
        <v>0</v>
      </c>
      <c r="AJ366" s="93">
        <v>110</v>
      </c>
      <c r="AK366" s="93">
        <v>13</v>
      </c>
      <c r="AL366" s="93">
        <v>2044.247793</v>
      </c>
      <c r="AM366" s="93">
        <v>265.752207</v>
      </c>
      <c r="AN366" s="93">
        <v>2310</v>
      </c>
      <c r="AO366" s="93">
        <v>-5.3893802487436898E-6</v>
      </c>
      <c r="AP366" s="90" t="s">
        <v>201</v>
      </c>
      <c r="AQ366" s="90" t="s">
        <v>498</v>
      </c>
      <c r="AR366" s="90"/>
      <c r="AS366" s="90"/>
      <c r="AT366" s="90"/>
      <c r="AU366" s="90"/>
      <c r="AV366" s="90"/>
      <c r="AW366" s="90"/>
      <c r="AX366" s="90"/>
      <c r="AY366" s="90" t="s">
        <v>5230</v>
      </c>
      <c r="AZ366" s="90"/>
      <c r="BA366" s="90" t="s">
        <v>380</v>
      </c>
      <c r="BB366" s="91">
        <v>45930.483368055597</v>
      </c>
      <c r="BC366" s="90" t="s">
        <v>5628</v>
      </c>
      <c r="BD366" s="90" t="s">
        <v>5603</v>
      </c>
      <c r="BE366" s="90"/>
      <c r="BF366" s="90" t="s">
        <v>5604</v>
      </c>
    </row>
    <row r="367" spans="1:58" ht="24.75" customHeight="1">
      <c r="A367" s="90" t="s">
        <v>5598</v>
      </c>
      <c r="B367" s="90"/>
      <c r="C367" s="90"/>
      <c r="D367" s="91">
        <v>45930.4838773148</v>
      </c>
      <c r="E367" s="90" t="s">
        <v>5222</v>
      </c>
      <c r="F367" s="92"/>
      <c r="G367" s="90" t="s">
        <v>5625</v>
      </c>
      <c r="H367" s="90" t="s">
        <v>5639</v>
      </c>
      <c r="I367" s="90" t="s">
        <v>5640</v>
      </c>
      <c r="J367" s="90"/>
      <c r="K367" s="93">
        <v>15</v>
      </c>
      <c r="L367" s="93">
        <v>200</v>
      </c>
      <c r="M367" s="93">
        <v>3000</v>
      </c>
      <c r="N367" s="93">
        <v>3000</v>
      </c>
      <c r="O367" s="90" t="s">
        <v>5226</v>
      </c>
      <c r="P367" s="90"/>
      <c r="Q367" s="90" t="s">
        <v>5227</v>
      </c>
      <c r="R367" s="90"/>
      <c r="S367" s="90"/>
      <c r="T367" s="90"/>
      <c r="U367" s="90"/>
      <c r="V367" s="90"/>
      <c r="W367" s="90" t="s">
        <v>201</v>
      </c>
      <c r="X367" s="90" t="s">
        <v>675</v>
      </c>
      <c r="Y367" s="90" t="s">
        <v>380</v>
      </c>
      <c r="Z367" s="90"/>
      <c r="AA367" s="93">
        <v>2654.8672566371702</v>
      </c>
      <c r="AB367" s="93">
        <v>2654.8672566371702</v>
      </c>
      <c r="AC367" s="93">
        <v>13</v>
      </c>
      <c r="AD367" s="93">
        <v>345.132743362832</v>
      </c>
      <c r="AE367" s="90"/>
      <c r="AF367" s="90"/>
      <c r="AG367" s="90"/>
      <c r="AH367" s="90"/>
      <c r="AI367" s="93">
        <v>0</v>
      </c>
      <c r="AJ367" s="93">
        <v>200</v>
      </c>
      <c r="AK367" s="93">
        <v>13</v>
      </c>
      <c r="AL367" s="93">
        <v>2654.8672499999998</v>
      </c>
      <c r="AM367" s="93">
        <v>345.13274999999999</v>
      </c>
      <c r="AN367" s="93">
        <v>3000</v>
      </c>
      <c r="AO367" s="93">
        <v>6.6371680986776499E-6</v>
      </c>
      <c r="AP367" s="90" t="s">
        <v>201</v>
      </c>
      <c r="AQ367" s="90" t="s">
        <v>498</v>
      </c>
      <c r="AR367" s="90"/>
      <c r="AS367" s="90"/>
      <c r="AT367" s="90"/>
      <c r="AU367" s="90"/>
      <c r="AV367" s="90"/>
      <c r="AW367" s="90"/>
      <c r="AX367" s="90"/>
      <c r="AY367" s="90" t="s">
        <v>5230</v>
      </c>
      <c r="AZ367" s="90"/>
      <c r="BA367" s="90" t="s">
        <v>380</v>
      </c>
      <c r="BB367" s="91">
        <v>45930.483368055597</v>
      </c>
      <c r="BC367" s="90" t="s">
        <v>5628</v>
      </c>
      <c r="BD367" s="90" t="s">
        <v>5603</v>
      </c>
      <c r="BE367" s="90"/>
      <c r="BF367" s="90" t="s">
        <v>5604</v>
      </c>
    </row>
    <row r="368" spans="1:58" ht="24.75" customHeight="1">
      <c r="A368" s="90" t="s">
        <v>5598</v>
      </c>
      <c r="B368" s="90"/>
      <c r="C368" s="90"/>
      <c r="D368" s="91">
        <v>45930.4838773148</v>
      </c>
      <c r="E368" s="90" t="s">
        <v>5222</v>
      </c>
      <c r="F368" s="92"/>
      <c r="G368" s="90" t="s">
        <v>5625</v>
      </c>
      <c r="H368" s="90" t="s">
        <v>5641</v>
      </c>
      <c r="I368" s="90" t="s">
        <v>5642</v>
      </c>
      <c r="J368" s="90"/>
      <c r="K368" s="93">
        <v>10</v>
      </c>
      <c r="L368" s="93">
        <v>2.5</v>
      </c>
      <c r="M368" s="93">
        <v>25</v>
      </c>
      <c r="N368" s="93">
        <v>25</v>
      </c>
      <c r="O368" s="90" t="s">
        <v>5226</v>
      </c>
      <c r="P368" s="90"/>
      <c r="Q368" s="90" t="s">
        <v>5227</v>
      </c>
      <c r="R368" s="90"/>
      <c r="S368" s="90"/>
      <c r="T368" s="90"/>
      <c r="U368" s="90"/>
      <c r="V368" s="90"/>
      <c r="W368" s="90" t="s">
        <v>201</v>
      </c>
      <c r="X368" s="90" t="s">
        <v>675</v>
      </c>
      <c r="Y368" s="90" t="s">
        <v>380</v>
      </c>
      <c r="Z368" s="90"/>
      <c r="AA368" s="93">
        <v>22.123893805309699</v>
      </c>
      <c r="AB368" s="93">
        <v>22.123893805309699</v>
      </c>
      <c r="AC368" s="93">
        <v>13</v>
      </c>
      <c r="AD368" s="93">
        <v>2.87610619469026</v>
      </c>
      <c r="AE368" s="90"/>
      <c r="AF368" s="90"/>
      <c r="AG368" s="90"/>
      <c r="AH368" s="90"/>
      <c r="AI368" s="93">
        <v>0</v>
      </c>
      <c r="AJ368" s="93">
        <v>2.5</v>
      </c>
      <c r="AK368" s="93">
        <v>13</v>
      </c>
      <c r="AL368" s="93">
        <v>22.123889999999999</v>
      </c>
      <c r="AM368" s="93">
        <v>2.8761100000000002</v>
      </c>
      <c r="AN368" s="93">
        <v>25</v>
      </c>
      <c r="AO368" s="93">
        <v>3.8053097384249702E-6</v>
      </c>
      <c r="AP368" s="90" t="s">
        <v>201</v>
      </c>
      <c r="AQ368" s="90" t="s">
        <v>498</v>
      </c>
      <c r="AR368" s="90"/>
      <c r="AS368" s="90"/>
      <c r="AT368" s="90"/>
      <c r="AU368" s="90"/>
      <c r="AV368" s="90"/>
      <c r="AW368" s="90"/>
      <c r="AX368" s="90"/>
      <c r="AY368" s="90" t="s">
        <v>5230</v>
      </c>
      <c r="AZ368" s="90"/>
      <c r="BA368" s="90" t="s">
        <v>380</v>
      </c>
      <c r="BB368" s="91">
        <v>45930.483368055597</v>
      </c>
      <c r="BC368" s="90" t="s">
        <v>5628</v>
      </c>
      <c r="BD368" s="90" t="s">
        <v>5603</v>
      </c>
      <c r="BE368" s="90"/>
      <c r="BF368" s="90" t="s">
        <v>5604</v>
      </c>
    </row>
    <row r="369" spans="1:58" ht="24.75" customHeight="1">
      <c r="A369" s="90" t="s">
        <v>5598</v>
      </c>
      <c r="B369" s="90"/>
      <c r="C369" s="90"/>
      <c r="D369" s="91">
        <v>45930.4838773148</v>
      </c>
      <c r="E369" s="90" t="s">
        <v>5222</v>
      </c>
      <c r="F369" s="92"/>
      <c r="G369" s="90" t="s">
        <v>5625</v>
      </c>
      <c r="H369" s="90" t="s">
        <v>5643</v>
      </c>
      <c r="I369" s="90" t="s">
        <v>5644</v>
      </c>
      <c r="J369" s="90"/>
      <c r="K369" s="93">
        <v>18.100000000000001</v>
      </c>
      <c r="L369" s="93">
        <v>120</v>
      </c>
      <c r="M369" s="93">
        <v>2172</v>
      </c>
      <c r="N369" s="93">
        <v>2172</v>
      </c>
      <c r="O369" s="90" t="s">
        <v>5226</v>
      </c>
      <c r="P369" s="90"/>
      <c r="Q369" s="90" t="s">
        <v>5227</v>
      </c>
      <c r="R369" s="90"/>
      <c r="S369" s="90"/>
      <c r="T369" s="90"/>
      <c r="U369" s="90"/>
      <c r="V369" s="90"/>
      <c r="W369" s="90" t="s">
        <v>201</v>
      </c>
      <c r="X369" s="90" t="s">
        <v>675</v>
      </c>
      <c r="Y369" s="90" t="s">
        <v>380</v>
      </c>
      <c r="Z369" s="90"/>
      <c r="AA369" s="93">
        <v>1922.12389380531</v>
      </c>
      <c r="AB369" s="93">
        <v>1922.12389380531</v>
      </c>
      <c r="AC369" s="93">
        <v>13</v>
      </c>
      <c r="AD369" s="93">
        <v>249.87610619469001</v>
      </c>
      <c r="AE369" s="90"/>
      <c r="AF369" s="90"/>
      <c r="AG369" s="90"/>
      <c r="AH369" s="90"/>
      <c r="AI369" s="93">
        <v>0</v>
      </c>
      <c r="AJ369" s="93">
        <v>120</v>
      </c>
      <c r="AK369" s="93">
        <v>13</v>
      </c>
      <c r="AL369" s="93">
        <v>1922.123889</v>
      </c>
      <c r="AM369" s="93">
        <v>249.87611100000001</v>
      </c>
      <c r="AN369" s="93">
        <v>2172</v>
      </c>
      <c r="AO369" s="93">
        <v>4.8053100272227303E-6</v>
      </c>
      <c r="AP369" s="90" t="s">
        <v>201</v>
      </c>
      <c r="AQ369" s="90" t="s">
        <v>498</v>
      </c>
      <c r="AR369" s="90"/>
      <c r="AS369" s="90"/>
      <c r="AT369" s="90"/>
      <c r="AU369" s="90"/>
      <c r="AV369" s="90"/>
      <c r="AW369" s="90"/>
      <c r="AX369" s="90"/>
      <c r="AY369" s="90" t="s">
        <v>5230</v>
      </c>
      <c r="AZ369" s="90"/>
      <c r="BA369" s="90" t="s">
        <v>380</v>
      </c>
      <c r="BB369" s="91">
        <v>45930.483368055597</v>
      </c>
      <c r="BC369" s="90" t="s">
        <v>5628</v>
      </c>
      <c r="BD369" s="90" t="s">
        <v>5603</v>
      </c>
      <c r="BE369" s="90"/>
      <c r="BF369" s="90" t="s">
        <v>5604</v>
      </c>
    </row>
    <row r="370" spans="1:58" ht="24.75" customHeight="1">
      <c r="A370" s="90" t="s">
        <v>5598</v>
      </c>
      <c r="B370" s="90"/>
      <c r="C370" s="90"/>
      <c r="D370" s="91">
        <v>45930.489733796298</v>
      </c>
      <c r="E370" s="90" t="s">
        <v>5222</v>
      </c>
      <c r="F370" s="92"/>
      <c r="G370" s="90" t="s">
        <v>5599</v>
      </c>
      <c r="H370" s="90" t="s">
        <v>5645</v>
      </c>
      <c r="I370" s="90" t="s">
        <v>5646</v>
      </c>
      <c r="J370" s="90"/>
      <c r="K370" s="93">
        <v>16.010000000000002</v>
      </c>
      <c r="L370" s="93">
        <v>70</v>
      </c>
      <c r="M370" s="93">
        <v>1120.7</v>
      </c>
      <c r="N370" s="93">
        <v>1120.7</v>
      </c>
      <c r="O370" s="90" t="s">
        <v>5226</v>
      </c>
      <c r="P370" s="90"/>
      <c r="Q370" s="90" t="s">
        <v>5227</v>
      </c>
      <c r="R370" s="90"/>
      <c r="S370" s="90"/>
      <c r="T370" s="90"/>
      <c r="U370" s="90"/>
      <c r="V370" s="90"/>
      <c r="W370" s="90" t="s">
        <v>201</v>
      </c>
      <c r="X370" s="90" t="s">
        <v>675</v>
      </c>
      <c r="Y370" s="90" t="s">
        <v>380</v>
      </c>
      <c r="Z370" s="90"/>
      <c r="AA370" s="93">
        <v>991.76991150442495</v>
      </c>
      <c r="AB370" s="93">
        <v>991.76991150442495</v>
      </c>
      <c r="AC370" s="93">
        <v>13</v>
      </c>
      <c r="AD370" s="93">
        <v>128.93008849557501</v>
      </c>
      <c r="AE370" s="90"/>
      <c r="AF370" s="90"/>
      <c r="AG370" s="90"/>
      <c r="AH370" s="90"/>
      <c r="AI370" s="93">
        <v>0</v>
      </c>
      <c r="AJ370" s="93">
        <v>70</v>
      </c>
      <c r="AK370" s="93">
        <v>13</v>
      </c>
      <c r="AL370" s="93">
        <v>991.76991702999999</v>
      </c>
      <c r="AM370" s="93">
        <v>128.93008297</v>
      </c>
      <c r="AN370" s="93">
        <v>1120.7</v>
      </c>
      <c r="AO370" s="93">
        <v>-5.5255751476579496E-6</v>
      </c>
      <c r="AP370" s="90" t="s">
        <v>201</v>
      </c>
      <c r="AQ370" s="90" t="s">
        <v>498</v>
      </c>
      <c r="AR370" s="90"/>
      <c r="AS370" s="90"/>
      <c r="AT370" s="90"/>
      <c r="AU370" s="90"/>
      <c r="AV370" s="90"/>
      <c r="AW370" s="90"/>
      <c r="AX370" s="90"/>
      <c r="AY370" s="90" t="s">
        <v>5230</v>
      </c>
      <c r="AZ370" s="90"/>
      <c r="BA370" s="90" t="s">
        <v>380</v>
      </c>
      <c r="BB370" s="91">
        <v>45930.489282407398</v>
      </c>
      <c r="BC370" s="90" t="s">
        <v>5602</v>
      </c>
      <c r="BD370" s="90" t="s">
        <v>5603</v>
      </c>
      <c r="BE370" s="90"/>
      <c r="BF370" s="90" t="s">
        <v>5604</v>
      </c>
    </row>
    <row r="371" spans="1:58" ht="24.75" customHeight="1">
      <c r="A371" s="90" t="s">
        <v>5598</v>
      </c>
      <c r="B371" s="90"/>
      <c r="C371" s="90"/>
      <c r="D371" s="91">
        <v>45930.489733796298</v>
      </c>
      <c r="E371" s="90" t="s">
        <v>5222</v>
      </c>
      <c r="F371" s="92"/>
      <c r="G371" s="90" t="s">
        <v>5599</v>
      </c>
      <c r="H371" s="90" t="s">
        <v>5631</v>
      </c>
      <c r="I371" s="90" t="s">
        <v>5632</v>
      </c>
      <c r="J371" s="90"/>
      <c r="K371" s="93">
        <v>3</v>
      </c>
      <c r="L371" s="93">
        <v>140</v>
      </c>
      <c r="M371" s="93">
        <v>420</v>
      </c>
      <c r="N371" s="93">
        <v>420</v>
      </c>
      <c r="O371" s="90" t="s">
        <v>5226</v>
      </c>
      <c r="P371" s="90"/>
      <c r="Q371" s="90" t="s">
        <v>5227</v>
      </c>
      <c r="R371" s="90"/>
      <c r="S371" s="90"/>
      <c r="T371" s="90"/>
      <c r="U371" s="90"/>
      <c r="V371" s="90"/>
      <c r="W371" s="90" t="s">
        <v>201</v>
      </c>
      <c r="X371" s="90" t="s">
        <v>675</v>
      </c>
      <c r="Y371" s="90" t="s">
        <v>380</v>
      </c>
      <c r="Z371" s="90"/>
      <c r="AA371" s="93">
        <v>371.68141592920398</v>
      </c>
      <c r="AB371" s="93">
        <v>371.68141592920398</v>
      </c>
      <c r="AC371" s="93">
        <v>13</v>
      </c>
      <c r="AD371" s="93">
        <v>48.318584070796398</v>
      </c>
      <c r="AE371" s="90"/>
      <c r="AF371" s="90"/>
      <c r="AG371" s="90"/>
      <c r="AH371" s="90"/>
      <c r="AI371" s="93">
        <v>0</v>
      </c>
      <c r="AJ371" s="93">
        <v>140</v>
      </c>
      <c r="AK371" s="93">
        <v>13</v>
      </c>
      <c r="AL371" s="93">
        <v>371.68141500000002</v>
      </c>
      <c r="AM371" s="93">
        <v>48.318584999999999</v>
      </c>
      <c r="AN371" s="93">
        <v>420</v>
      </c>
      <c r="AO371" s="93">
        <v>9.29203565647185E-7</v>
      </c>
      <c r="AP371" s="90" t="s">
        <v>201</v>
      </c>
      <c r="AQ371" s="90" t="s">
        <v>498</v>
      </c>
      <c r="AR371" s="90"/>
      <c r="AS371" s="90"/>
      <c r="AT371" s="90"/>
      <c r="AU371" s="90"/>
      <c r="AV371" s="90"/>
      <c r="AW371" s="90"/>
      <c r="AX371" s="90"/>
      <c r="AY371" s="90" t="s">
        <v>5230</v>
      </c>
      <c r="AZ371" s="90"/>
      <c r="BA371" s="90" t="s">
        <v>380</v>
      </c>
      <c r="BB371" s="91">
        <v>45930.489282407398</v>
      </c>
      <c r="BC371" s="90" t="s">
        <v>5602</v>
      </c>
      <c r="BD371" s="90" t="s">
        <v>5603</v>
      </c>
      <c r="BE371" s="90"/>
      <c r="BF371" s="90" t="s">
        <v>5604</v>
      </c>
    </row>
    <row r="372" spans="1:58" ht="24.75" customHeight="1">
      <c r="A372" s="90" t="s">
        <v>5598</v>
      </c>
      <c r="B372" s="90"/>
      <c r="C372" s="90"/>
      <c r="D372" s="91">
        <v>45930.489733796298</v>
      </c>
      <c r="E372" s="90" t="s">
        <v>5222</v>
      </c>
      <c r="F372" s="92"/>
      <c r="G372" s="90" t="s">
        <v>5599</v>
      </c>
      <c r="H372" s="90" t="s">
        <v>5635</v>
      </c>
      <c r="I372" s="90" t="s">
        <v>5636</v>
      </c>
      <c r="J372" s="90"/>
      <c r="K372" s="93">
        <v>4</v>
      </c>
      <c r="L372" s="93">
        <v>15</v>
      </c>
      <c r="M372" s="93">
        <v>60</v>
      </c>
      <c r="N372" s="93">
        <v>60</v>
      </c>
      <c r="O372" s="90" t="s">
        <v>5226</v>
      </c>
      <c r="P372" s="90"/>
      <c r="Q372" s="90" t="s">
        <v>5227</v>
      </c>
      <c r="R372" s="90"/>
      <c r="S372" s="90"/>
      <c r="T372" s="90"/>
      <c r="U372" s="90"/>
      <c r="V372" s="90"/>
      <c r="W372" s="90" t="s">
        <v>201</v>
      </c>
      <c r="X372" s="90" t="s">
        <v>675</v>
      </c>
      <c r="Y372" s="90" t="s">
        <v>380</v>
      </c>
      <c r="Z372" s="90"/>
      <c r="AA372" s="93">
        <v>53.097345132743399</v>
      </c>
      <c r="AB372" s="93">
        <v>53.097345132743399</v>
      </c>
      <c r="AC372" s="93">
        <v>13</v>
      </c>
      <c r="AD372" s="93">
        <v>6.9026548672566301</v>
      </c>
      <c r="AE372" s="90"/>
      <c r="AF372" s="90"/>
      <c r="AG372" s="90"/>
      <c r="AH372" s="90"/>
      <c r="AI372" s="93">
        <v>0</v>
      </c>
      <c r="AJ372" s="93">
        <v>15</v>
      </c>
      <c r="AK372" s="93">
        <v>13</v>
      </c>
      <c r="AL372" s="93">
        <v>53.097344</v>
      </c>
      <c r="AM372" s="93">
        <v>6.9026560000000003</v>
      </c>
      <c r="AN372" s="93">
        <v>60</v>
      </c>
      <c r="AO372" s="93">
        <v>1.1327433711016999E-6</v>
      </c>
      <c r="AP372" s="90" t="s">
        <v>201</v>
      </c>
      <c r="AQ372" s="90" t="s">
        <v>498</v>
      </c>
      <c r="AR372" s="90"/>
      <c r="AS372" s="90"/>
      <c r="AT372" s="90"/>
      <c r="AU372" s="90"/>
      <c r="AV372" s="90"/>
      <c r="AW372" s="90"/>
      <c r="AX372" s="90"/>
      <c r="AY372" s="90" t="s">
        <v>5230</v>
      </c>
      <c r="AZ372" s="90"/>
      <c r="BA372" s="90" t="s">
        <v>380</v>
      </c>
      <c r="BB372" s="91">
        <v>45930.489282407398</v>
      </c>
      <c r="BC372" s="90" t="s">
        <v>5602</v>
      </c>
      <c r="BD372" s="90" t="s">
        <v>5603</v>
      </c>
      <c r="BE372" s="90"/>
      <c r="BF372" s="90" t="s">
        <v>5604</v>
      </c>
    </row>
    <row r="373" spans="1:58" ht="24.75" customHeight="1">
      <c r="A373" s="90" t="s">
        <v>5598</v>
      </c>
      <c r="B373" s="90"/>
      <c r="C373" s="90"/>
      <c r="D373" s="91">
        <v>45930.489733796298</v>
      </c>
      <c r="E373" s="90" t="s">
        <v>5222</v>
      </c>
      <c r="F373" s="92"/>
      <c r="G373" s="90" t="s">
        <v>5599</v>
      </c>
      <c r="H373" s="90" t="s">
        <v>5647</v>
      </c>
      <c r="I373" s="90" t="s">
        <v>5648</v>
      </c>
      <c r="J373" s="90"/>
      <c r="K373" s="93">
        <v>25</v>
      </c>
      <c r="L373" s="93">
        <v>2</v>
      </c>
      <c r="M373" s="93">
        <v>50</v>
      </c>
      <c r="N373" s="93">
        <v>50</v>
      </c>
      <c r="O373" s="90" t="s">
        <v>5226</v>
      </c>
      <c r="P373" s="90"/>
      <c r="Q373" s="90" t="s">
        <v>5227</v>
      </c>
      <c r="R373" s="90"/>
      <c r="S373" s="90"/>
      <c r="T373" s="90"/>
      <c r="U373" s="90"/>
      <c r="V373" s="90"/>
      <c r="W373" s="90" t="s">
        <v>201</v>
      </c>
      <c r="X373" s="90" t="s">
        <v>675</v>
      </c>
      <c r="Y373" s="90" t="s">
        <v>380</v>
      </c>
      <c r="Z373" s="90"/>
      <c r="AA373" s="93">
        <v>44.247787610619497</v>
      </c>
      <c r="AB373" s="93">
        <v>44.247787610619497</v>
      </c>
      <c r="AC373" s="93">
        <v>13</v>
      </c>
      <c r="AD373" s="93">
        <v>5.7522123893805297</v>
      </c>
      <c r="AE373" s="90"/>
      <c r="AF373" s="90"/>
      <c r="AG373" s="90"/>
      <c r="AH373" s="90"/>
      <c r="AI373" s="93">
        <v>0</v>
      </c>
      <c r="AJ373" s="93">
        <v>2</v>
      </c>
      <c r="AK373" s="93">
        <v>13</v>
      </c>
      <c r="AL373" s="93">
        <v>44.247799999999998</v>
      </c>
      <c r="AM373" s="93">
        <v>5.7522000000000002</v>
      </c>
      <c r="AN373" s="93">
        <v>50</v>
      </c>
      <c r="AO373" s="93">
        <v>-1.23893805223929E-5</v>
      </c>
      <c r="AP373" s="90" t="s">
        <v>201</v>
      </c>
      <c r="AQ373" s="90" t="s">
        <v>498</v>
      </c>
      <c r="AR373" s="90"/>
      <c r="AS373" s="90"/>
      <c r="AT373" s="90"/>
      <c r="AU373" s="90"/>
      <c r="AV373" s="90"/>
      <c r="AW373" s="90"/>
      <c r="AX373" s="90"/>
      <c r="AY373" s="90" t="s">
        <v>5230</v>
      </c>
      <c r="AZ373" s="90"/>
      <c r="BA373" s="90" t="s">
        <v>380</v>
      </c>
      <c r="BB373" s="91">
        <v>45930.489282407398</v>
      </c>
      <c r="BC373" s="90" t="s">
        <v>5602</v>
      </c>
      <c r="BD373" s="90" t="s">
        <v>5603</v>
      </c>
      <c r="BE373" s="90"/>
      <c r="BF373" s="90" t="s">
        <v>5604</v>
      </c>
    </row>
    <row r="374" spans="1:58" ht="24.75" customHeight="1">
      <c r="A374" s="90" t="s">
        <v>5598</v>
      </c>
      <c r="B374" s="90"/>
      <c r="C374" s="90"/>
      <c r="D374" s="91">
        <v>45930.489733796298</v>
      </c>
      <c r="E374" s="90" t="s">
        <v>5222</v>
      </c>
      <c r="F374" s="92"/>
      <c r="G374" s="90" t="s">
        <v>5599</v>
      </c>
      <c r="H374" s="90" t="s">
        <v>5649</v>
      </c>
      <c r="I374" s="90" t="s">
        <v>5650</v>
      </c>
      <c r="J374" s="90"/>
      <c r="K374" s="93">
        <v>17</v>
      </c>
      <c r="L374" s="93">
        <v>280</v>
      </c>
      <c r="M374" s="93">
        <v>4760</v>
      </c>
      <c r="N374" s="93">
        <v>4760</v>
      </c>
      <c r="O374" s="90" t="s">
        <v>5226</v>
      </c>
      <c r="P374" s="90"/>
      <c r="Q374" s="90" t="s">
        <v>5227</v>
      </c>
      <c r="R374" s="90"/>
      <c r="S374" s="90"/>
      <c r="T374" s="90"/>
      <c r="U374" s="90"/>
      <c r="V374" s="90"/>
      <c r="W374" s="90" t="s">
        <v>201</v>
      </c>
      <c r="X374" s="90" t="s">
        <v>675</v>
      </c>
      <c r="Y374" s="90" t="s">
        <v>380</v>
      </c>
      <c r="Z374" s="90"/>
      <c r="AA374" s="93">
        <v>4212.3893805309699</v>
      </c>
      <c r="AB374" s="93">
        <v>4212.3893805309699</v>
      </c>
      <c r="AC374" s="93">
        <v>13</v>
      </c>
      <c r="AD374" s="93">
        <v>547.61061946902601</v>
      </c>
      <c r="AE374" s="90"/>
      <c r="AF374" s="90"/>
      <c r="AG374" s="90"/>
      <c r="AH374" s="90"/>
      <c r="AI374" s="93">
        <v>0</v>
      </c>
      <c r="AJ374" s="93">
        <v>280</v>
      </c>
      <c r="AK374" s="93">
        <v>13</v>
      </c>
      <c r="AL374" s="93">
        <v>4212.3893870000002</v>
      </c>
      <c r="AM374" s="93">
        <v>547.61061299999994</v>
      </c>
      <c r="AN374" s="93">
        <v>4760</v>
      </c>
      <c r="AO374" s="93">
        <v>-6.4690266299294299E-6</v>
      </c>
      <c r="AP374" s="90" t="s">
        <v>201</v>
      </c>
      <c r="AQ374" s="90" t="s">
        <v>498</v>
      </c>
      <c r="AR374" s="90"/>
      <c r="AS374" s="90"/>
      <c r="AT374" s="90"/>
      <c r="AU374" s="90"/>
      <c r="AV374" s="90"/>
      <c r="AW374" s="90"/>
      <c r="AX374" s="90"/>
      <c r="AY374" s="90" t="s">
        <v>5230</v>
      </c>
      <c r="AZ374" s="90"/>
      <c r="BA374" s="90" t="s">
        <v>380</v>
      </c>
      <c r="BB374" s="91">
        <v>45930.489282407398</v>
      </c>
      <c r="BC374" s="90" t="s">
        <v>5602</v>
      </c>
      <c r="BD374" s="90" t="s">
        <v>5603</v>
      </c>
      <c r="BE374" s="90"/>
      <c r="BF374" s="90" t="s">
        <v>5604</v>
      </c>
    </row>
    <row r="375" spans="1:58" ht="24.75" customHeight="1">
      <c r="A375" s="90" t="s">
        <v>5598</v>
      </c>
      <c r="B375" s="90"/>
      <c r="C375" s="90"/>
      <c r="D375" s="91">
        <v>45930.489733796298</v>
      </c>
      <c r="E375" s="90" t="s">
        <v>5222</v>
      </c>
      <c r="F375" s="92"/>
      <c r="G375" s="90" t="s">
        <v>5599</v>
      </c>
      <c r="H375" s="90" t="s">
        <v>5651</v>
      </c>
      <c r="I375" s="90" t="s">
        <v>5652</v>
      </c>
      <c r="J375" s="90"/>
      <c r="K375" s="93">
        <v>15</v>
      </c>
      <c r="L375" s="93">
        <v>219.8</v>
      </c>
      <c r="M375" s="93">
        <v>3297</v>
      </c>
      <c r="N375" s="93">
        <v>3297</v>
      </c>
      <c r="O375" s="90" t="s">
        <v>5226</v>
      </c>
      <c r="P375" s="90"/>
      <c r="Q375" s="90" t="s">
        <v>5227</v>
      </c>
      <c r="R375" s="90"/>
      <c r="S375" s="90"/>
      <c r="T375" s="90"/>
      <c r="U375" s="90"/>
      <c r="V375" s="90"/>
      <c r="W375" s="90" t="s">
        <v>201</v>
      </c>
      <c r="X375" s="90" t="s">
        <v>675</v>
      </c>
      <c r="Y375" s="90" t="s">
        <v>380</v>
      </c>
      <c r="Z375" s="90"/>
      <c r="AA375" s="93">
        <v>2917.69911504425</v>
      </c>
      <c r="AB375" s="93">
        <v>2917.69911504425</v>
      </c>
      <c r="AC375" s="93">
        <v>13</v>
      </c>
      <c r="AD375" s="93">
        <v>379.300884955752</v>
      </c>
      <c r="AE375" s="90"/>
      <c r="AF375" s="90"/>
      <c r="AG375" s="90"/>
      <c r="AH375" s="90"/>
      <c r="AI375" s="93">
        <v>0</v>
      </c>
      <c r="AJ375" s="93">
        <v>219.8</v>
      </c>
      <c r="AK375" s="93">
        <v>13</v>
      </c>
      <c r="AL375" s="93">
        <v>2917.69911</v>
      </c>
      <c r="AM375" s="93">
        <v>379.30088999999998</v>
      </c>
      <c r="AN375" s="93">
        <v>3297</v>
      </c>
      <c r="AO375" s="93">
        <v>5.0442481551726797E-6</v>
      </c>
      <c r="AP375" s="90" t="s">
        <v>201</v>
      </c>
      <c r="AQ375" s="90" t="s">
        <v>498</v>
      </c>
      <c r="AR375" s="90"/>
      <c r="AS375" s="90"/>
      <c r="AT375" s="90"/>
      <c r="AU375" s="90"/>
      <c r="AV375" s="90"/>
      <c r="AW375" s="90"/>
      <c r="AX375" s="90"/>
      <c r="AY375" s="90" t="s">
        <v>5230</v>
      </c>
      <c r="AZ375" s="90"/>
      <c r="BA375" s="90" t="s">
        <v>380</v>
      </c>
      <c r="BB375" s="91">
        <v>45930.489282407398</v>
      </c>
      <c r="BC375" s="90" t="s">
        <v>5602</v>
      </c>
      <c r="BD375" s="90" t="s">
        <v>5603</v>
      </c>
      <c r="BE375" s="90"/>
      <c r="BF375" s="90" t="s">
        <v>5604</v>
      </c>
    </row>
    <row r="376" spans="1:58" ht="24.75" customHeight="1">
      <c r="A376" s="90" t="s">
        <v>5232</v>
      </c>
      <c r="B376" s="90"/>
      <c r="C376" s="90"/>
      <c r="D376" s="91">
        <v>45930.537557870397</v>
      </c>
      <c r="E376" s="90" t="s">
        <v>5222</v>
      </c>
      <c r="F376" s="92"/>
      <c r="G376" s="90" t="s">
        <v>5653</v>
      </c>
      <c r="H376" s="90" t="s">
        <v>5654</v>
      </c>
      <c r="I376" s="90" t="s">
        <v>5655</v>
      </c>
      <c r="J376" s="90"/>
      <c r="K376" s="93">
        <v>1</v>
      </c>
      <c r="L376" s="93">
        <v>52</v>
      </c>
      <c r="M376" s="93">
        <v>52</v>
      </c>
      <c r="N376" s="93">
        <v>52</v>
      </c>
      <c r="O376" s="90" t="s">
        <v>5226</v>
      </c>
      <c r="P376" s="90"/>
      <c r="Q376" s="90" t="s">
        <v>5227</v>
      </c>
      <c r="R376" s="90"/>
      <c r="S376" s="90"/>
      <c r="T376" s="90"/>
      <c r="U376" s="90"/>
      <c r="V376" s="90" t="s">
        <v>5656</v>
      </c>
      <c r="W376" s="90" t="s">
        <v>99</v>
      </c>
      <c r="X376" s="90" t="s">
        <v>5237</v>
      </c>
      <c r="Y376" s="90" t="s">
        <v>5238</v>
      </c>
      <c r="Z376" s="90"/>
      <c r="AA376" s="93">
        <v>46.017699115044302</v>
      </c>
      <c r="AB376" s="93">
        <v>46.017699115044302</v>
      </c>
      <c r="AC376" s="93">
        <v>13</v>
      </c>
      <c r="AD376" s="93">
        <v>5.98230088495575</v>
      </c>
      <c r="AE376" s="90"/>
      <c r="AF376" s="90"/>
      <c r="AG376" s="90"/>
      <c r="AH376" s="90"/>
      <c r="AI376" s="93">
        <v>0</v>
      </c>
      <c r="AJ376" s="93">
        <v>52</v>
      </c>
      <c r="AK376" s="93">
        <v>13</v>
      </c>
      <c r="AL376" s="93">
        <v>46.017699</v>
      </c>
      <c r="AM376" s="93">
        <v>5.9823009999999996</v>
      </c>
      <c r="AN376" s="93">
        <v>52</v>
      </c>
      <c r="AO376" s="93">
        <v>1.1504425145858501E-7</v>
      </c>
      <c r="AP376" s="90" t="s">
        <v>99</v>
      </c>
      <c r="AQ376" s="90" t="s">
        <v>5657</v>
      </c>
      <c r="AR376" s="90"/>
      <c r="AS376" s="90"/>
      <c r="AT376" s="90"/>
      <c r="AU376" s="90"/>
      <c r="AV376" s="90"/>
      <c r="AW376" s="90"/>
      <c r="AX376" s="90"/>
      <c r="AY376" s="90" t="s">
        <v>5240</v>
      </c>
      <c r="AZ376" s="90"/>
      <c r="BA376" s="90" t="s">
        <v>5238</v>
      </c>
      <c r="BB376" s="91">
        <v>45900.642638888901</v>
      </c>
      <c r="BC376" s="90" t="s">
        <v>405</v>
      </c>
      <c r="BD376" s="90" t="s">
        <v>5406</v>
      </c>
      <c r="BE376" s="90"/>
      <c r="BF376" s="90" t="s">
        <v>5242</v>
      </c>
    </row>
    <row r="377" spans="1:58" ht="24.75" customHeight="1">
      <c r="A377" s="90" t="s">
        <v>5658</v>
      </c>
      <c r="B377" s="90"/>
      <c r="C377" s="90"/>
      <c r="D377" s="91">
        <v>45907.541122685201</v>
      </c>
      <c r="E377" s="90" t="s">
        <v>5222</v>
      </c>
      <c r="F377" s="92"/>
      <c r="G377" s="90" t="s">
        <v>5659</v>
      </c>
      <c r="H377" s="90" t="s">
        <v>5660</v>
      </c>
      <c r="I377" s="90" t="s">
        <v>5661</v>
      </c>
      <c r="J377" s="90"/>
      <c r="K377" s="93">
        <v>2</v>
      </c>
      <c r="L377" s="93">
        <v>17</v>
      </c>
      <c r="M377" s="93">
        <v>34</v>
      </c>
      <c r="N377" s="93">
        <v>34</v>
      </c>
      <c r="O377" s="90" t="s">
        <v>5226</v>
      </c>
      <c r="P377" s="90"/>
      <c r="Q377" s="90" t="s">
        <v>5227</v>
      </c>
      <c r="R377" s="90"/>
      <c r="S377" s="90"/>
      <c r="T377" s="90"/>
      <c r="U377" s="90"/>
      <c r="V377" s="90" t="s">
        <v>5252</v>
      </c>
      <c r="W377" s="90" t="s">
        <v>201</v>
      </c>
      <c r="X377" s="90" t="s">
        <v>212</v>
      </c>
      <c r="Y377" s="90" t="s">
        <v>46</v>
      </c>
      <c r="Z377" s="90"/>
      <c r="AA377" s="93">
        <v>30.088495575221199</v>
      </c>
      <c r="AB377" s="93">
        <v>30.088495575221199</v>
      </c>
      <c r="AC377" s="93">
        <v>13</v>
      </c>
      <c r="AD377" s="93">
        <v>3.91150442477876</v>
      </c>
      <c r="AE377" s="90"/>
      <c r="AF377" s="90"/>
      <c r="AG377" s="90"/>
      <c r="AH377" s="90"/>
      <c r="AI377" s="93">
        <v>0</v>
      </c>
      <c r="AJ377" s="93">
        <v>17</v>
      </c>
      <c r="AK377" s="93">
        <v>13</v>
      </c>
      <c r="AL377" s="93">
        <v>30.088495999999999</v>
      </c>
      <c r="AM377" s="93">
        <v>3.9115039999999999</v>
      </c>
      <c r="AN377" s="93">
        <v>34</v>
      </c>
      <c r="AO377" s="93">
        <v>-4.24778757945887E-7</v>
      </c>
      <c r="AP377" s="90" t="s">
        <v>201</v>
      </c>
      <c r="AQ377" s="90" t="s">
        <v>5662</v>
      </c>
      <c r="AR377" s="90"/>
      <c r="AS377" s="90"/>
      <c r="AT377" s="90"/>
      <c r="AU377" s="90"/>
      <c r="AV377" s="90"/>
      <c r="AW377" s="90"/>
      <c r="AX377" s="90"/>
      <c r="AY377" s="90" t="s">
        <v>5663</v>
      </c>
      <c r="AZ377" s="90"/>
      <c r="BA377" s="90" t="s">
        <v>46</v>
      </c>
      <c r="BB377" s="91">
        <v>45718.542789351799</v>
      </c>
      <c r="BC377" s="90" t="s">
        <v>5664</v>
      </c>
      <c r="BD377" s="90" t="s">
        <v>518</v>
      </c>
      <c r="BE377" s="90"/>
      <c r="BF377" s="90" t="s">
        <v>5665</v>
      </c>
    </row>
    <row r="378" spans="1:58" ht="24.75" customHeight="1">
      <c r="A378" s="90" t="s">
        <v>5658</v>
      </c>
      <c r="B378" s="90"/>
      <c r="C378" s="90"/>
      <c r="D378" s="91">
        <v>45913.596921296303</v>
      </c>
      <c r="E378" s="90" t="s">
        <v>5222</v>
      </c>
      <c r="F378" s="92"/>
      <c r="G378" s="90" t="s">
        <v>5666</v>
      </c>
      <c r="H378" s="90" t="s">
        <v>5660</v>
      </c>
      <c r="I378" s="90" t="s">
        <v>5661</v>
      </c>
      <c r="J378" s="90"/>
      <c r="K378" s="93">
        <v>1</v>
      </c>
      <c r="L378" s="93">
        <v>17</v>
      </c>
      <c r="M378" s="93">
        <v>17</v>
      </c>
      <c r="N378" s="93">
        <v>17</v>
      </c>
      <c r="O378" s="90" t="s">
        <v>5226</v>
      </c>
      <c r="P378" s="90"/>
      <c r="Q378" s="90" t="s">
        <v>5227</v>
      </c>
      <c r="R378" s="90"/>
      <c r="S378" s="90"/>
      <c r="T378" s="90"/>
      <c r="U378" s="90"/>
      <c r="V378" s="90" t="s">
        <v>5252</v>
      </c>
      <c r="W378" s="90" t="s">
        <v>201</v>
      </c>
      <c r="X378" s="90" t="s">
        <v>212</v>
      </c>
      <c r="Y378" s="90" t="s">
        <v>46</v>
      </c>
      <c r="Z378" s="90"/>
      <c r="AA378" s="93">
        <v>15.044247787610599</v>
      </c>
      <c r="AB378" s="93">
        <v>15.044247787610599</v>
      </c>
      <c r="AC378" s="93">
        <v>13</v>
      </c>
      <c r="AD378" s="93">
        <v>1.95575221238938</v>
      </c>
      <c r="AE378" s="90"/>
      <c r="AF378" s="90"/>
      <c r="AG378" s="90"/>
      <c r="AH378" s="90"/>
      <c r="AI378" s="93">
        <v>0</v>
      </c>
      <c r="AJ378" s="93">
        <v>17</v>
      </c>
      <c r="AK378" s="93">
        <v>13</v>
      </c>
      <c r="AL378" s="93">
        <v>15.044248</v>
      </c>
      <c r="AM378" s="93">
        <v>1.9557519999999999</v>
      </c>
      <c r="AN378" s="93">
        <v>17</v>
      </c>
      <c r="AO378" s="93">
        <v>-2.12389378972944E-7</v>
      </c>
      <c r="AP378" s="90" t="s">
        <v>201</v>
      </c>
      <c r="AQ378" s="90" t="s">
        <v>5662</v>
      </c>
      <c r="AR378" s="90"/>
      <c r="AS378" s="90"/>
      <c r="AT378" s="90"/>
      <c r="AU378" s="90"/>
      <c r="AV378" s="90"/>
      <c r="AW378" s="90"/>
      <c r="AX378" s="90"/>
      <c r="AY378" s="90" t="s">
        <v>5663</v>
      </c>
      <c r="AZ378" s="90"/>
      <c r="BA378" s="90" t="s">
        <v>46</v>
      </c>
      <c r="BB378" s="91">
        <v>45718.542789351799</v>
      </c>
      <c r="BC378" s="90" t="s">
        <v>5664</v>
      </c>
      <c r="BD378" s="90" t="s">
        <v>518</v>
      </c>
      <c r="BE378" s="90"/>
      <c r="BF378" s="90" t="s">
        <v>5665</v>
      </c>
    </row>
    <row r="379" spans="1:58" ht="24.75" customHeight="1">
      <c r="A379" s="90" t="s">
        <v>5658</v>
      </c>
      <c r="B379" s="90"/>
      <c r="C379" s="90"/>
      <c r="D379" s="91">
        <v>45916.578912037003</v>
      </c>
      <c r="E379" s="90" t="s">
        <v>5222</v>
      </c>
      <c r="F379" s="92"/>
      <c r="G379" s="90" t="s">
        <v>5667</v>
      </c>
      <c r="H379" s="90" t="s">
        <v>5660</v>
      </c>
      <c r="I379" s="90" t="s">
        <v>5661</v>
      </c>
      <c r="J379" s="90"/>
      <c r="K379" s="93">
        <v>1</v>
      </c>
      <c r="L379" s="93">
        <v>17</v>
      </c>
      <c r="M379" s="93">
        <v>17</v>
      </c>
      <c r="N379" s="93">
        <v>17</v>
      </c>
      <c r="O379" s="90" t="s">
        <v>5226</v>
      </c>
      <c r="P379" s="90"/>
      <c r="Q379" s="90" t="s">
        <v>5227</v>
      </c>
      <c r="R379" s="90"/>
      <c r="S379" s="90"/>
      <c r="T379" s="90"/>
      <c r="U379" s="90"/>
      <c r="V379" s="90" t="s">
        <v>5252</v>
      </c>
      <c r="W379" s="90" t="s">
        <v>201</v>
      </c>
      <c r="X379" s="90" t="s">
        <v>222</v>
      </c>
      <c r="Y379" s="90" t="s">
        <v>229</v>
      </c>
      <c r="Z379" s="90"/>
      <c r="AA379" s="93">
        <v>15.044247787610599</v>
      </c>
      <c r="AB379" s="93">
        <v>15.044247787610599</v>
      </c>
      <c r="AC379" s="93">
        <v>13</v>
      </c>
      <c r="AD379" s="93">
        <v>1.95575221238938</v>
      </c>
      <c r="AE379" s="90"/>
      <c r="AF379" s="90"/>
      <c r="AG379" s="90"/>
      <c r="AH379" s="90"/>
      <c r="AI379" s="93">
        <v>0</v>
      </c>
      <c r="AJ379" s="93">
        <v>17</v>
      </c>
      <c r="AK379" s="93">
        <v>13</v>
      </c>
      <c r="AL379" s="93">
        <v>15.044248</v>
      </c>
      <c r="AM379" s="93">
        <v>1.9557519999999999</v>
      </c>
      <c r="AN379" s="93">
        <v>17</v>
      </c>
      <c r="AO379" s="93">
        <v>-2.12389378972944E-7</v>
      </c>
      <c r="AP379" s="90" t="s">
        <v>201</v>
      </c>
      <c r="AQ379" s="90" t="s">
        <v>5662</v>
      </c>
      <c r="AR379" s="90"/>
      <c r="AS379" s="90"/>
      <c r="AT379" s="90"/>
      <c r="AU379" s="90"/>
      <c r="AV379" s="90"/>
      <c r="AW379" s="90"/>
      <c r="AX379" s="90"/>
      <c r="AY379" s="90" t="s">
        <v>5663</v>
      </c>
      <c r="AZ379" s="90"/>
      <c r="BA379" s="90" t="s">
        <v>229</v>
      </c>
      <c r="BB379" s="91">
        <v>45718.542789351799</v>
      </c>
      <c r="BC379" s="90" t="s">
        <v>5664</v>
      </c>
      <c r="BD379" s="90" t="s">
        <v>518</v>
      </c>
      <c r="BE379" s="90"/>
      <c r="BF379" s="90" t="s">
        <v>5668</v>
      </c>
    </row>
    <row r="380" spans="1:58" ht="24.75" customHeight="1">
      <c r="A380" s="90" t="s">
        <v>5658</v>
      </c>
      <c r="B380" s="90"/>
      <c r="C380" s="90"/>
      <c r="D380" s="91">
        <v>45919.465844907398</v>
      </c>
      <c r="E380" s="90" t="s">
        <v>5222</v>
      </c>
      <c r="F380" s="92"/>
      <c r="G380" s="90" t="s">
        <v>5669</v>
      </c>
      <c r="H380" s="90" t="s">
        <v>5660</v>
      </c>
      <c r="I380" s="90" t="s">
        <v>5661</v>
      </c>
      <c r="J380" s="90"/>
      <c r="K380" s="93">
        <v>1</v>
      </c>
      <c r="L380" s="93">
        <v>17</v>
      </c>
      <c r="M380" s="93">
        <v>17</v>
      </c>
      <c r="N380" s="93">
        <v>17</v>
      </c>
      <c r="O380" s="90" t="s">
        <v>5226</v>
      </c>
      <c r="P380" s="90"/>
      <c r="Q380" s="90" t="s">
        <v>5227</v>
      </c>
      <c r="R380" s="90"/>
      <c r="S380" s="90"/>
      <c r="T380" s="90"/>
      <c r="U380" s="90"/>
      <c r="V380" s="90" t="s">
        <v>5252</v>
      </c>
      <c r="W380" s="90" t="s">
        <v>201</v>
      </c>
      <c r="X380" s="90" t="s">
        <v>212</v>
      </c>
      <c r="Y380" s="90" t="s">
        <v>46</v>
      </c>
      <c r="Z380" s="90"/>
      <c r="AA380" s="93">
        <v>15.044247787610599</v>
      </c>
      <c r="AB380" s="93">
        <v>15.044247787610599</v>
      </c>
      <c r="AC380" s="93">
        <v>13</v>
      </c>
      <c r="AD380" s="93">
        <v>1.95575221238938</v>
      </c>
      <c r="AE380" s="90"/>
      <c r="AF380" s="90"/>
      <c r="AG380" s="90"/>
      <c r="AH380" s="90"/>
      <c r="AI380" s="93">
        <v>0</v>
      </c>
      <c r="AJ380" s="93">
        <v>17</v>
      </c>
      <c r="AK380" s="93">
        <v>13</v>
      </c>
      <c r="AL380" s="93">
        <v>15.044248</v>
      </c>
      <c r="AM380" s="93">
        <v>1.9557519999999999</v>
      </c>
      <c r="AN380" s="93">
        <v>17</v>
      </c>
      <c r="AO380" s="93">
        <v>-2.12389378972944E-7</v>
      </c>
      <c r="AP380" s="90" t="s">
        <v>201</v>
      </c>
      <c r="AQ380" s="90" t="s">
        <v>5662</v>
      </c>
      <c r="AR380" s="90"/>
      <c r="AS380" s="90"/>
      <c r="AT380" s="90"/>
      <c r="AU380" s="90"/>
      <c r="AV380" s="90"/>
      <c r="AW380" s="90"/>
      <c r="AX380" s="90"/>
      <c r="AY380" s="90" t="s">
        <v>5663</v>
      </c>
      <c r="AZ380" s="90"/>
      <c r="BA380" s="90" t="s">
        <v>46</v>
      </c>
      <c r="BB380" s="91">
        <v>45718.542789351799</v>
      </c>
      <c r="BC380" s="90" t="s">
        <v>5664</v>
      </c>
      <c r="BD380" s="90" t="s">
        <v>518</v>
      </c>
      <c r="BE380" s="90"/>
      <c r="BF380" s="90" t="s">
        <v>5665</v>
      </c>
    </row>
    <row r="381" spans="1:58" ht="24.75" customHeight="1">
      <c r="A381" s="90" t="s">
        <v>5247</v>
      </c>
      <c r="B381" s="90"/>
      <c r="C381" s="90"/>
      <c r="D381" s="91">
        <v>45913.595937500002</v>
      </c>
      <c r="E381" s="90" t="s">
        <v>5222</v>
      </c>
      <c r="F381" s="92"/>
      <c r="G381" s="90" t="s">
        <v>5670</v>
      </c>
      <c r="H381" s="90" t="s">
        <v>5529</v>
      </c>
      <c r="I381" s="90" t="s">
        <v>5530</v>
      </c>
      <c r="J381" s="90"/>
      <c r="K381" s="93">
        <v>1</v>
      </c>
      <c r="L381" s="93">
        <v>5.5</v>
      </c>
      <c r="M381" s="93">
        <v>5.5</v>
      </c>
      <c r="N381" s="93">
        <v>5.5</v>
      </c>
      <c r="O381" s="90" t="s">
        <v>5226</v>
      </c>
      <c r="P381" s="90"/>
      <c r="Q381" s="90" t="s">
        <v>5227</v>
      </c>
      <c r="R381" s="90"/>
      <c r="S381" s="90"/>
      <c r="T381" s="90"/>
      <c r="U381" s="90"/>
      <c r="V381" s="90" t="s">
        <v>5531</v>
      </c>
      <c r="W381" s="90" t="s">
        <v>201</v>
      </c>
      <c r="X381" s="90" t="s">
        <v>224</v>
      </c>
      <c r="Y381" s="90" t="s">
        <v>5671</v>
      </c>
      <c r="Z381" s="90"/>
      <c r="AA381" s="93">
        <v>4.8672566371681398</v>
      </c>
      <c r="AB381" s="93">
        <v>4.8672566371681398</v>
      </c>
      <c r="AC381" s="93">
        <v>13</v>
      </c>
      <c r="AD381" s="93">
        <v>0.63274336283185795</v>
      </c>
      <c r="AE381" s="90"/>
      <c r="AF381" s="90"/>
      <c r="AG381" s="90"/>
      <c r="AH381" s="90"/>
      <c r="AI381" s="93">
        <v>0</v>
      </c>
      <c r="AJ381" s="93">
        <v>5.5</v>
      </c>
      <c r="AK381" s="93">
        <v>13</v>
      </c>
      <c r="AL381" s="93">
        <v>4.8672570000000004</v>
      </c>
      <c r="AM381" s="93">
        <v>0.63274300000000006</v>
      </c>
      <c r="AN381" s="93">
        <v>5.5</v>
      </c>
      <c r="AO381" s="93">
        <v>-3.6283185878005503E-7</v>
      </c>
      <c r="AP381" s="90" t="s">
        <v>201</v>
      </c>
      <c r="AQ381" s="90" t="s">
        <v>498</v>
      </c>
      <c r="AR381" s="90"/>
      <c r="AS381" s="90"/>
      <c r="AT381" s="90"/>
      <c r="AU381" s="90"/>
      <c r="AV381" s="90"/>
      <c r="AW381" s="90"/>
      <c r="AX381" s="90"/>
      <c r="AY381" s="90" t="s">
        <v>5230</v>
      </c>
      <c r="AZ381" s="90"/>
      <c r="BA381" s="90" t="s">
        <v>5671</v>
      </c>
      <c r="BB381" s="91">
        <v>45786.800787036998</v>
      </c>
      <c r="BC381" s="90" t="s">
        <v>402</v>
      </c>
      <c r="BD381" s="90"/>
      <c r="BE381" s="90"/>
      <c r="BF381" s="90" t="s">
        <v>5672</v>
      </c>
    </row>
    <row r="382" spans="1:58" ht="24.75" customHeight="1">
      <c r="A382" s="90" t="s">
        <v>5658</v>
      </c>
      <c r="B382" s="90"/>
      <c r="C382" s="90"/>
      <c r="D382" s="91">
        <v>45919.465844907398</v>
      </c>
      <c r="E382" s="90" t="s">
        <v>5222</v>
      </c>
      <c r="F382" s="92"/>
      <c r="G382" s="90" t="s">
        <v>5669</v>
      </c>
      <c r="H382" s="90" t="s">
        <v>5660</v>
      </c>
      <c r="I382" s="90" t="s">
        <v>5661</v>
      </c>
      <c r="J382" s="90"/>
      <c r="K382" s="93">
        <v>1</v>
      </c>
      <c r="L382" s="93">
        <v>17</v>
      </c>
      <c r="M382" s="93">
        <v>17</v>
      </c>
      <c r="N382" s="93">
        <v>17</v>
      </c>
      <c r="O382" s="90" t="s">
        <v>5226</v>
      </c>
      <c r="P382" s="90"/>
      <c r="Q382" s="90" t="s">
        <v>5227</v>
      </c>
      <c r="R382" s="90"/>
      <c r="S382" s="90"/>
      <c r="T382" s="90"/>
      <c r="U382" s="90"/>
      <c r="V382" s="90" t="s">
        <v>5252</v>
      </c>
      <c r="W382" s="90" t="s">
        <v>201</v>
      </c>
      <c r="X382" s="90" t="s">
        <v>212</v>
      </c>
      <c r="Y382" s="90" t="s">
        <v>46</v>
      </c>
      <c r="Z382" s="90"/>
      <c r="AA382" s="93">
        <v>15.044247787610599</v>
      </c>
      <c r="AB382" s="93">
        <v>15.044247787610599</v>
      </c>
      <c r="AC382" s="93">
        <v>13</v>
      </c>
      <c r="AD382" s="93">
        <v>1.95575221238938</v>
      </c>
      <c r="AE382" s="90"/>
      <c r="AF382" s="90"/>
      <c r="AG382" s="90"/>
      <c r="AH382" s="90"/>
      <c r="AI382" s="93">
        <v>0</v>
      </c>
      <c r="AJ382" s="93">
        <v>17</v>
      </c>
      <c r="AK382" s="93">
        <v>13</v>
      </c>
      <c r="AL382" s="93">
        <v>15.044248</v>
      </c>
      <c r="AM382" s="93">
        <v>1.9557519999999999</v>
      </c>
      <c r="AN382" s="93">
        <v>17</v>
      </c>
      <c r="AO382" s="93">
        <v>-2.12389378972944E-7</v>
      </c>
      <c r="AP382" s="90" t="s">
        <v>201</v>
      </c>
      <c r="AQ382" s="90" t="s">
        <v>5662</v>
      </c>
      <c r="AR382" s="90"/>
      <c r="AS382" s="90"/>
      <c r="AT382" s="90"/>
      <c r="AU382" s="90"/>
      <c r="AV382" s="90"/>
      <c r="AW382" s="90"/>
      <c r="AX382" s="90"/>
      <c r="AY382" s="90" t="s">
        <v>5663</v>
      </c>
      <c r="AZ382" s="90"/>
      <c r="BA382" s="90" t="s">
        <v>46</v>
      </c>
      <c r="BB382" s="91">
        <v>45805.474467592598</v>
      </c>
      <c r="BC382" s="90" t="s">
        <v>5664</v>
      </c>
      <c r="BD382" s="90" t="s">
        <v>518</v>
      </c>
      <c r="BE382" s="90"/>
      <c r="BF382" s="90" t="s">
        <v>5665</v>
      </c>
    </row>
    <row r="383" spans="1:58" ht="24.75" customHeight="1">
      <c r="A383" s="90" t="s">
        <v>5232</v>
      </c>
      <c r="B383" s="90"/>
      <c r="C383" s="90"/>
      <c r="D383" s="91">
        <v>45904.731157407397</v>
      </c>
      <c r="E383" s="90" t="s">
        <v>5222</v>
      </c>
      <c r="F383" s="92"/>
      <c r="G383" s="90" t="s">
        <v>5673</v>
      </c>
      <c r="H383" s="90" t="s">
        <v>5674</v>
      </c>
      <c r="I383" s="90" t="s">
        <v>5675</v>
      </c>
      <c r="J383" s="90"/>
      <c r="K383" s="93">
        <v>1</v>
      </c>
      <c r="L383" s="93">
        <v>44</v>
      </c>
      <c r="M383" s="93">
        <v>44</v>
      </c>
      <c r="N383" s="93">
        <v>44</v>
      </c>
      <c r="O383" s="90" t="s">
        <v>5226</v>
      </c>
      <c r="P383" s="90"/>
      <c r="Q383" s="90" t="s">
        <v>5227</v>
      </c>
      <c r="R383" s="90"/>
      <c r="S383" s="90"/>
      <c r="T383" s="90"/>
      <c r="U383" s="90"/>
      <c r="V383" s="90"/>
      <c r="W383" s="90" t="s">
        <v>201</v>
      </c>
      <c r="X383" s="90" t="s">
        <v>222</v>
      </c>
      <c r="Y383" s="90" t="s">
        <v>229</v>
      </c>
      <c r="Z383" s="90"/>
      <c r="AA383" s="93">
        <v>38.938053097345097</v>
      </c>
      <c r="AB383" s="93">
        <v>38.938053097345097</v>
      </c>
      <c r="AC383" s="93">
        <v>13</v>
      </c>
      <c r="AD383" s="93">
        <v>5.0619469026548698</v>
      </c>
      <c r="AE383" s="90"/>
      <c r="AF383" s="90"/>
      <c r="AG383" s="90"/>
      <c r="AH383" s="90"/>
      <c r="AI383" s="93">
        <v>0</v>
      </c>
      <c r="AJ383" s="93">
        <v>44</v>
      </c>
      <c r="AK383" s="93">
        <v>13</v>
      </c>
      <c r="AL383" s="93">
        <v>38.938052999999996</v>
      </c>
      <c r="AM383" s="93">
        <v>5.061947</v>
      </c>
      <c r="AN383" s="93">
        <v>44</v>
      </c>
      <c r="AO383" s="93">
        <v>9.7345136396143101E-8</v>
      </c>
      <c r="AP383" s="90" t="s">
        <v>201</v>
      </c>
      <c r="AQ383" s="90"/>
      <c r="AR383" s="90"/>
      <c r="AS383" s="90"/>
      <c r="AT383" s="90"/>
      <c r="AU383" s="90"/>
      <c r="AV383" s="90"/>
      <c r="AW383" s="90"/>
      <c r="AX383" s="90"/>
      <c r="AY383" s="90" t="s">
        <v>5230</v>
      </c>
      <c r="AZ383" s="90"/>
      <c r="BA383" s="90" t="s">
        <v>229</v>
      </c>
      <c r="BB383" s="91">
        <v>45904.730659722198</v>
      </c>
      <c r="BC383" s="90" t="s">
        <v>405</v>
      </c>
      <c r="BD383" s="90" t="s">
        <v>5676</v>
      </c>
      <c r="BE383" s="90"/>
      <c r="BF383" s="90" t="s">
        <v>5668</v>
      </c>
    </row>
    <row r="384" spans="1:58" ht="24.75" customHeight="1">
      <c r="A384" s="90" t="s">
        <v>5247</v>
      </c>
      <c r="B384" s="90"/>
      <c r="C384" s="90"/>
      <c r="D384" s="91">
        <v>45909.743287037003</v>
      </c>
      <c r="E384" s="90" t="s">
        <v>5222</v>
      </c>
      <c r="F384" s="92"/>
      <c r="G384" s="90" t="s">
        <v>5677</v>
      </c>
      <c r="H384" s="90" t="s">
        <v>5546</v>
      </c>
      <c r="I384" s="90" t="s">
        <v>5547</v>
      </c>
      <c r="J384" s="90" t="s">
        <v>5548</v>
      </c>
      <c r="K384" s="93">
        <v>150</v>
      </c>
      <c r="L384" s="93">
        <v>2</v>
      </c>
      <c r="M384" s="93">
        <v>300</v>
      </c>
      <c r="N384" s="93">
        <v>300</v>
      </c>
      <c r="O384" s="90" t="s">
        <v>5226</v>
      </c>
      <c r="P384" s="90"/>
      <c r="Q384" s="90" t="s">
        <v>5227</v>
      </c>
      <c r="R384" s="90"/>
      <c r="S384" s="90"/>
      <c r="T384" s="90"/>
      <c r="U384" s="90"/>
      <c r="V384" s="90" t="s">
        <v>5385</v>
      </c>
      <c r="W384" s="90" t="s">
        <v>201</v>
      </c>
      <c r="X384" s="90" t="s">
        <v>222</v>
      </c>
      <c r="Y384" s="90" t="s">
        <v>229</v>
      </c>
      <c r="Z384" s="90"/>
      <c r="AA384" s="93">
        <v>265.48672566371698</v>
      </c>
      <c r="AB384" s="93">
        <v>265.48672566371698</v>
      </c>
      <c r="AC384" s="93">
        <v>13</v>
      </c>
      <c r="AD384" s="93">
        <v>34.513274336283203</v>
      </c>
      <c r="AE384" s="90"/>
      <c r="AF384" s="90"/>
      <c r="AG384" s="90"/>
      <c r="AH384" s="90"/>
      <c r="AI384" s="93">
        <v>0</v>
      </c>
      <c r="AJ384" s="93">
        <v>2</v>
      </c>
      <c r="AK384" s="93">
        <v>13</v>
      </c>
      <c r="AL384" s="93">
        <v>265.48680000000002</v>
      </c>
      <c r="AM384" s="93">
        <v>34.513199999999998</v>
      </c>
      <c r="AN384" s="93">
        <v>300</v>
      </c>
      <c r="AO384" s="93">
        <v>-7.4336283205411706E-5</v>
      </c>
      <c r="AP384" s="90" t="s">
        <v>201</v>
      </c>
      <c r="AQ384" s="90" t="s">
        <v>5239</v>
      </c>
      <c r="AR384" s="90"/>
      <c r="AS384" s="90"/>
      <c r="AT384" s="90"/>
      <c r="AU384" s="90"/>
      <c r="AV384" s="90"/>
      <c r="AW384" s="90"/>
      <c r="AX384" s="90"/>
      <c r="AY384" s="90" t="s">
        <v>5230</v>
      </c>
      <c r="AZ384" s="90"/>
      <c r="BA384" s="90" t="s">
        <v>229</v>
      </c>
      <c r="BB384" s="91">
        <v>45909.7427314815</v>
      </c>
      <c r="BC384" s="90" t="s">
        <v>402</v>
      </c>
      <c r="BD384" s="90"/>
      <c r="BE384" s="90"/>
      <c r="BF384" s="90" t="s">
        <v>5668</v>
      </c>
    </row>
    <row r="385" spans="1:58" ht="24.75" customHeight="1">
      <c r="A385" s="90" t="s">
        <v>5247</v>
      </c>
      <c r="B385" s="90"/>
      <c r="C385" s="90"/>
      <c r="D385" s="91">
        <v>45911.383750000001</v>
      </c>
      <c r="E385" s="90" t="s">
        <v>5222</v>
      </c>
      <c r="F385" s="92"/>
      <c r="G385" s="90" t="s">
        <v>5678</v>
      </c>
      <c r="H385" s="90" t="s">
        <v>5517</v>
      </c>
      <c r="I385" s="90" t="s">
        <v>5518</v>
      </c>
      <c r="J385" s="90" t="s">
        <v>5519</v>
      </c>
      <c r="K385" s="93">
        <v>1000</v>
      </c>
      <c r="L385" s="93">
        <v>0.55000000000000004</v>
      </c>
      <c r="M385" s="93">
        <v>550</v>
      </c>
      <c r="N385" s="93">
        <v>550</v>
      </c>
      <c r="O385" s="90" t="s">
        <v>5226</v>
      </c>
      <c r="P385" s="90"/>
      <c r="Q385" s="90" t="s">
        <v>5227</v>
      </c>
      <c r="R385" s="90"/>
      <c r="S385" s="90"/>
      <c r="T385" s="90"/>
      <c r="U385" s="90"/>
      <c r="V385" s="90" t="s">
        <v>5385</v>
      </c>
      <c r="W385" s="90" t="s">
        <v>201</v>
      </c>
      <c r="X385" s="90" t="s">
        <v>212</v>
      </c>
      <c r="Y385" s="90" t="s">
        <v>46</v>
      </c>
      <c r="Z385" s="90"/>
      <c r="AA385" s="93">
        <v>486.72566371681398</v>
      </c>
      <c r="AB385" s="93">
        <v>486.72566371681398</v>
      </c>
      <c r="AC385" s="93">
        <v>13</v>
      </c>
      <c r="AD385" s="93">
        <v>63.274336283185797</v>
      </c>
      <c r="AE385" s="90"/>
      <c r="AF385" s="90"/>
      <c r="AG385" s="90"/>
      <c r="AH385" s="90"/>
      <c r="AI385" s="93">
        <v>0</v>
      </c>
      <c r="AJ385" s="93">
        <v>0.55000000000000004</v>
      </c>
      <c r="AK385" s="93">
        <v>13</v>
      </c>
      <c r="AL385" s="93">
        <v>486.726</v>
      </c>
      <c r="AM385" s="93">
        <v>63.274000000000001</v>
      </c>
      <c r="AN385" s="93">
        <v>550</v>
      </c>
      <c r="AO385" s="93">
        <v>-3.3628318578848799E-4</v>
      </c>
      <c r="AP385" s="90" t="s">
        <v>201</v>
      </c>
      <c r="AQ385" s="90" t="s">
        <v>5239</v>
      </c>
      <c r="AR385" s="90"/>
      <c r="AS385" s="90"/>
      <c r="AT385" s="90"/>
      <c r="AU385" s="90"/>
      <c r="AV385" s="90"/>
      <c r="AW385" s="90"/>
      <c r="AX385" s="90"/>
      <c r="AY385" s="90" t="s">
        <v>5230</v>
      </c>
      <c r="AZ385" s="90"/>
      <c r="BA385" s="90" t="s">
        <v>46</v>
      </c>
      <c r="BB385" s="91">
        <v>45911.383101851898</v>
      </c>
      <c r="BC385" s="90" t="s">
        <v>5679</v>
      </c>
      <c r="BD385" s="90" t="s">
        <v>5680</v>
      </c>
      <c r="BE385" s="90"/>
      <c r="BF385" s="90" t="s">
        <v>5665</v>
      </c>
    </row>
    <row r="386" spans="1:58" ht="24.75" customHeight="1">
      <c r="A386" s="90" t="s">
        <v>5232</v>
      </c>
      <c r="B386" s="90"/>
      <c r="C386" s="90"/>
      <c r="D386" s="91">
        <v>45911.535104166702</v>
      </c>
      <c r="E386" s="90" t="s">
        <v>5222</v>
      </c>
      <c r="F386" s="92"/>
      <c r="G386" s="90" t="s">
        <v>5681</v>
      </c>
      <c r="H386" s="90" t="s">
        <v>5682</v>
      </c>
      <c r="I386" s="90" t="s">
        <v>5683</v>
      </c>
      <c r="J386" s="90"/>
      <c r="K386" s="93">
        <v>1</v>
      </c>
      <c r="L386" s="93">
        <v>2000</v>
      </c>
      <c r="M386" s="93">
        <v>2000</v>
      </c>
      <c r="N386" s="93">
        <v>2000</v>
      </c>
      <c r="O386" s="90" t="s">
        <v>5226</v>
      </c>
      <c r="P386" s="90"/>
      <c r="Q386" s="90" t="s">
        <v>5227</v>
      </c>
      <c r="R386" s="90"/>
      <c r="S386" s="90"/>
      <c r="T386" s="90"/>
      <c r="U386" s="90"/>
      <c r="V386" s="90"/>
      <c r="W386" s="90" t="s">
        <v>201</v>
      </c>
      <c r="X386" s="90" t="s">
        <v>222</v>
      </c>
      <c r="Y386" s="90" t="s">
        <v>229</v>
      </c>
      <c r="Z386" s="90"/>
      <c r="AA386" s="93">
        <v>1769.9115044247801</v>
      </c>
      <c r="AB386" s="93">
        <v>1769.9115044247801</v>
      </c>
      <c r="AC386" s="93">
        <v>13</v>
      </c>
      <c r="AD386" s="93">
        <v>230.088495575221</v>
      </c>
      <c r="AE386" s="90"/>
      <c r="AF386" s="90"/>
      <c r="AG386" s="90"/>
      <c r="AH386" s="90"/>
      <c r="AI386" s="93">
        <v>0</v>
      </c>
      <c r="AJ386" s="93">
        <v>2000</v>
      </c>
      <c r="AK386" s="93">
        <v>13</v>
      </c>
      <c r="AL386" s="93">
        <v>1769.9115039999999</v>
      </c>
      <c r="AM386" s="93">
        <v>230.08849599999999</v>
      </c>
      <c r="AN386" s="93">
        <v>2000</v>
      </c>
      <c r="AO386" s="93">
        <v>4.2477904571569498E-7</v>
      </c>
      <c r="AP386" s="90" t="s">
        <v>201</v>
      </c>
      <c r="AQ386" s="90" t="s">
        <v>5684</v>
      </c>
      <c r="AR386" s="90"/>
      <c r="AS386" s="90"/>
      <c r="AT386" s="90"/>
      <c r="AU386" s="90"/>
      <c r="AV386" s="90"/>
      <c r="AW386" s="90"/>
      <c r="AX386" s="90"/>
      <c r="AY386" s="90" t="s">
        <v>5230</v>
      </c>
      <c r="AZ386" s="90"/>
      <c r="BA386" s="90" t="s">
        <v>229</v>
      </c>
      <c r="BB386" s="91">
        <v>45911.534351851798</v>
      </c>
      <c r="BC386" s="90" t="s">
        <v>405</v>
      </c>
      <c r="BD386" s="90" t="s">
        <v>5685</v>
      </c>
      <c r="BE386" s="90"/>
      <c r="BF386" s="90" t="s">
        <v>5668</v>
      </c>
    </row>
    <row r="387" spans="1:58" ht="24.75" customHeight="1">
      <c r="A387" s="90" t="s">
        <v>5232</v>
      </c>
      <c r="B387" s="90"/>
      <c r="C387" s="90"/>
      <c r="D387" s="91">
        <v>45911.535104166702</v>
      </c>
      <c r="E387" s="90" t="s">
        <v>5222</v>
      </c>
      <c r="F387" s="92"/>
      <c r="G387" s="90" t="s">
        <v>5681</v>
      </c>
      <c r="H387" s="90" t="s">
        <v>5682</v>
      </c>
      <c r="I387" s="90" t="s">
        <v>5683</v>
      </c>
      <c r="J387" s="90"/>
      <c r="K387" s="93">
        <v>1</v>
      </c>
      <c r="L387" s="93">
        <v>2000</v>
      </c>
      <c r="M387" s="93">
        <v>2000</v>
      </c>
      <c r="N387" s="93">
        <v>2000</v>
      </c>
      <c r="O387" s="90" t="s">
        <v>5226</v>
      </c>
      <c r="P387" s="90"/>
      <c r="Q387" s="90" t="s">
        <v>5227</v>
      </c>
      <c r="R387" s="90"/>
      <c r="S387" s="90"/>
      <c r="T387" s="90"/>
      <c r="U387" s="90"/>
      <c r="V387" s="90"/>
      <c r="W387" s="90" t="s">
        <v>201</v>
      </c>
      <c r="X387" s="90" t="s">
        <v>222</v>
      </c>
      <c r="Y387" s="90" t="s">
        <v>229</v>
      </c>
      <c r="Z387" s="90"/>
      <c r="AA387" s="93">
        <v>1769.9115044247801</v>
      </c>
      <c r="AB387" s="93">
        <v>1769.9115044247801</v>
      </c>
      <c r="AC387" s="93">
        <v>13</v>
      </c>
      <c r="AD387" s="93">
        <v>230.088495575221</v>
      </c>
      <c r="AE387" s="90"/>
      <c r="AF387" s="90"/>
      <c r="AG387" s="90"/>
      <c r="AH387" s="90"/>
      <c r="AI387" s="93">
        <v>0</v>
      </c>
      <c r="AJ387" s="93">
        <v>2000</v>
      </c>
      <c r="AK387" s="93">
        <v>13</v>
      </c>
      <c r="AL387" s="93">
        <v>1769.9115039999999</v>
      </c>
      <c r="AM387" s="93">
        <v>230.08849599999999</v>
      </c>
      <c r="AN387" s="93">
        <v>2000</v>
      </c>
      <c r="AO387" s="93">
        <v>4.2477904571569498E-7</v>
      </c>
      <c r="AP387" s="90" t="s">
        <v>201</v>
      </c>
      <c r="AQ387" s="90" t="s">
        <v>5684</v>
      </c>
      <c r="AR387" s="90"/>
      <c r="AS387" s="90"/>
      <c r="AT387" s="90"/>
      <c r="AU387" s="90"/>
      <c r="AV387" s="90"/>
      <c r="AW387" s="90"/>
      <c r="AX387" s="90"/>
      <c r="AY387" s="90" t="s">
        <v>5230</v>
      </c>
      <c r="AZ387" s="90"/>
      <c r="BA387" s="90" t="s">
        <v>229</v>
      </c>
      <c r="BB387" s="91">
        <v>45911.534479166701</v>
      </c>
      <c r="BC387" s="90" t="s">
        <v>405</v>
      </c>
      <c r="BD387" s="90" t="s">
        <v>5685</v>
      </c>
      <c r="BE387" s="90"/>
      <c r="BF387" s="90" t="s">
        <v>5668</v>
      </c>
    </row>
    <row r="388" spans="1:58" ht="24.75" customHeight="1">
      <c r="A388" s="90" t="s">
        <v>5247</v>
      </c>
      <c r="B388" s="90"/>
      <c r="C388" s="90"/>
      <c r="D388" s="91">
        <v>45920.594305555598</v>
      </c>
      <c r="E388" s="90" t="s">
        <v>5222</v>
      </c>
      <c r="F388" s="92"/>
      <c r="G388" s="90" t="s">
        <v>5686</v>
      </c>
      <c r="H388" s="90" t="s">
        <v>5687</v>
      </c>
      <c r="I388" s="90" t="s">
        <v>5688</v>
      </c>
      <c r="J388" s="90" t="s">
        <v>5267</v>
      </c>
      <c r="K388" s="93">
        <v>1</v>
      </c>
      <c r="L388" s="93">
        <v>75</v>
      </c>
      <c r="M388" s="93">
        <v>75</v>
      </c>
      <c r="N388" s="93">
        <v>75</v>
      </c>
      <c r="O388" s="90" t="s">
        <v>5226</v>
      </c>
      <c r="P388" s="90"/>
      <c r="Q388" s="90" t="s">
        <v>5227</v>
      </c>
      <c r="R388" s="90"/>
      <c r="S388" s="90"/>
      <c r="T388" s="90"/>
      <c r="U388" s="90"/>
      <c r="V388" s="90" t="s">
        <v>5385</v>
      </c>
      <c r="W388" s="90" t="s">
        <v>202</v>
      </c>
      <c r="X388" s="90" t="s">
        <v>228</v>
      </c>
      <c r="Y388" s="90" t="s">
        <v>5689</v>
      </c>
      <c r="Z388" s="90"/>
      <c r="AA388" s="93">
        <v>66.371681415929203</v>
      </c>
      <c r="AB388" s="93">
        <v>66.371681415929203</v>
      </c>
      <c r="AC388" s="93">
        <v>13</v>
      </c>
      <c r="AD388" s="93">
        <v>8.6283185840707901</v>
      </c>
      <c r="AE388" s="90"/>
      <c r="AF388" s="90"/>
      <c r="AG388" s="90"/>
      <c r="AH388" s="90"/>
      <c r="AI388" s="93">
        <v>0</v>
      </c>
      <c r="AJ388" s="93">
        <v>75</v>
      </c>
      <c r="AK388" s="93">
        <v>13</v>
      </c>
      <c r="AL388" s="93">
        <v>66.371680999999995</v>
      </c>
      <c r="AM388" s="93">
        <v>8.6283189999999994</v>
      </c>
      <c r="AN388" s="93">
        <v>75</v>
      </c>
      <c r="AO388" s="93">
        <v>4.1592920752009398E-7</v>
      </c>
      <c r="AP388" s="90" t="s">
        <v>202</v>
      </c>
      <c r="AQ388" s="90" t="s">
        <v>5239</v>
      </c>
      <c r="AR388" s="90"/>
      <c r="AS388" s="90"/>
      <c r="AT388" s="90"/>
      <c r="AU388" s="90"/>
      <c r="AV388" s="90"/>
      <c r="AW388" s="90"/>
      <c r="AX388" s="90"/>
      <c r="AY388" s="90" t="s">
        <v>5230</v>
      </c>
      <c r="AZ388" s="90"/>
      <c r="BA388" s="90" t="s">
        <v>5689</v>
      </c>
      <c r="BB388" s="91">
        <v>45920.5936574074</v>
      </c>
      <c r="BC388" s="90" t="s">
        <v>5679</v>
      </c>
      <c r="BD388" s="90" t="s">
        <v>5690</v>
      </c>
      <c r="BE388" s="90"/>
      <c r="BF388" s="90" t="s">
        <v>5691</v>
      </c>
    </row>
    <row r="389" spans="1:58" ht="24.75" customHeight="1">
      <c r="A389" s="90" t="s">
        <v>5247</v>
      </c>
      <c r="B389" s="90"/>
      <c r="C389" s="90"/>
      <c r="D389" s="91">
        <v>45922.632222222201</v>
      </c>
      <c r="E389" s="90" t="s">
        <v>5222</v>
      </c>
      <c r="F389" s="92"/>
      <c r="G389" s="90" t="s">
        <v>5692</v>
      </c>
      <c r="H389" s="90" t="s">
        <v>5693</v>
      </c>
      <c r="I389" s="90" t="s">
        <v>5694</v>
      </c>
      <c r="J389" s="90"/>
      <c r="K389" s="93">
        <v>8</v>
      </c>
      <c r="L389" s="93">
        <v>8</v>
      </c>
      <c r="M389" s="93">
        <v>64</v>
      </c>
      <c r="N389" s="93">
        <v>64</v>
      </c>
      <c r="O389" s="90" t="s">
        <v>5226</v>
      </c>
      <c r="P389" s="90"/>
      <c r="Q389" s="90" t="s">
        <v>5227</v>
      </c>
      <c r="R389" s="90"/>
      <c r="S389" s="90"/>
      <c r="T389" s="90"/>
      <c r="U389" s="90"/>
      <c r="V389" s="90"/>
      <c r="W389" s="90" t="s">
        <v>201</v>
      </c>
      <c r="X389" s="90" t="s">
        <v>5695</v>
      </c>
      <c r="Y389" s="90" t="s">
        <v>229</v>
      </c>
      <c r="Z389" s="90"/>
      <c r="AA389" s="93">
        <v>56.637168141592902</v>
      </c>
      <c r="AB389" s="93">
        <v>56.637168141592902</v>
      </c>
      <c r="AC389" s="93">
        <v>13</v>
      </c>
      <c r="AD389" s="93">
        <v>7.3628318584070804</v>
      </c>
      <c r="AE389" s="90"/>
      <c r="AF389" s="90"/>
      <c r="AG389" s="90"/>
      <c r="AH389" s="90"/>
      <c r="AI389" s="93">
        <v>0</v>
      </c>
      <c r="AJ389" s="93">
        <v>8</v>
      </c>
      <c r="AK389" s="93">
        <v>13</v>
      </c>
      <c r="AL389" s="93">
        <v>56.637168000000003</v>
      </c>
      <c r="AM389" s="93">
        <v>7.362832</v>
      </c>
      <c r="AN389" s="93">
        <v>64</v>
      </c>
      <c r="AO389" s="93">
        <v>1.4159292049953399E-7</v>
      </c>
      <c r="AP389" s="90" t="s">
        <v>201</v>
      </c>
      <c r="AQ389" s="90"/>
      <c r="AR389" s="90"/>
      <c r="AS389" s="90"/>
      <c r="AT389" s="90"/>
      <c r="AU389" s="90"/>
      <c r="AV389" s="90"/>
      <c r="AW389" s="90"/>
      <c r="AX389" s="90"/>
      <c r="AY389" s="90"/>
      <c r="AZ389" s="90"/>
      <c r="BA389" s="90" t="s">
        <v>229</v>
      </c>
      <c r="BB389" s="91">
        <v>45922.631168981497</v>
      </c>
      <c r="BC389" s="90" t="s">
        <v>402</v>
      </c>
      <c r="BD389" s="90"/>
      <c r="BE389" s="90"/>
      <c r="BF389" s="90" t="s">
        <v>5668</v>
      </c>
    </row>
    <row r="390" spans="1:58" ht="24.75" customHeight="1">
      <c r="A390" s="90" t="s">
        <v>5247</v>
      </c>
      <c r="B390" s="90"/>
      <c r="C390" s="90"/>
      <c r="D390" s="91">
        <v>45922.693090277797</v>
      </c>
      <c r="E390" s="90" t="s">
        <v>5222</v>
      </c>
      <c r="F390" s="92"/>
      <c r="G390" s="90" t="s">
        <v>5696</v>
      </c>
      <c r="H390" s="90" t="s">
        <v>5687</v>
      </c>
      <c r="I390" s="90" t="s">
        <v>5688</v>
      </c>
      <c r="J390" s="90" t="s">
        <v>5267</v>
      </c>
      <c r="K390" s="93">
        <v>5</v>
      </c>
      <c r="L390" s="93">
        <v>75</v>
      </c>
      <c r="M390" s="93">
        <v>375</v>
      </c>
      <c r="N390" s="93">
        <v>375</v>
      </c>
      <c r="O390" s="90" t="s">
        <v>5226</v>
      </c>
      <c r="P390" s="90"/>
      <c r="Q390" s="90" t="s">
        <v>5227</v>
      </c>
      <c r="R390" s="90"/>
      <c r="S390" s="90"/>
      <c r="T390" s="90"/>
      <c r="U390" s="90"/>
      <c r="V390" s="90" t="s">
        <v>5385</v>
      </c>
      <c r="W390" s="90" t="s">
        <v>201</v>
      </c>
      <c r="X390" s="90" t="s">
        <v>5695</v>
      </c>
      <c r="Y390" s="90" t="s">
        <v>229</v>
      </c>
      <c r="Z390" s="90"/>
      <c r="AA390" s="93">
        <v>331.85840707964599</v>
      </c>
      <c r="AB390" s="93">
        <v>331.85840707964599</v>
      </c>
      <c r="AC390" s="93">
        <v>13</v>
      </c>
      <c r="AD390" s="93">
        <v>43.141592920354</v>
      </c>
      <c r="AE390" s="90"/>
      <c r="AF390" s="90"/>
      <c r="AG390" s="90"/>
      <c r="AH390" s="90"/>
      <c r="AI390" s="93">
        <v>0</v>
      </c>
      <c r="AJ390" s="93">
        <v>75</v>
      </c>
      <c r="AK390" s="93">
        <v>13</v>
      </c>
      <c r="AL390" s="93">
        <v>331.858405</v>
      </c>
      <c r="AM390" s="93">
        <v>43.141595000000002</v>
      </c>
      <c r="AN390" s="93">
        <v>375</v>
      </c>
      <c r="AO390" s="93">
        <v>2.0796460944438898E-6</v>
      </c>
      <c r="AP390" s="90" t="s">
        <v>201</v>
      </c>
      <c r="AQ390" s="90" t="s">
        <v>5239</v>
      </c>
      <c r="AR390" s="90"/>
      <c r="AS390" s="90"/>
      <c r="AT390" s="90"/>
      <c r="AU390" s="90"/>
      <c r="AV390" s="90"/>
      <c r="AW390" s="90"/>
      <c r="AX390" s="90"/>
      <c r="AY390" s="90" t="s">
        <v>5230</v>
      </c>
      <c r="AZ390" s="90"/>
      <c r="BA390" s="90" t="s">
        <v>229</v>
      </c>
      <c r="BB390" s="91">
        <v>45922.692650463003</v>
      </c>
      <c r="BC390" s="90" t="s">
        <v>5679</v>
      </c>
      <c r="BD390" s="90" t="s">
        <v>5697</v>
      </c>
      <c r="BE390" s="90"/>
      <c r="BF390" s="90" t="s">
        <v>5668</v>
      </c>
    </row>
    <row r="391" spans="1:58" ht="24.75" customHeight="1">
      <c r="A391" s="90" t="s">
        <v>5232</v>
      </c>
      <c r="B391" s="90"/>
      <c r="C391" s="90"/>
      <c r="D391" s="91">
        <v>45923.6633912037</v>
      </c>
      <c r="E391" s="90" t="s">
        <v>5222</v>
      </c>
      <c r="F391" s="92"/>
      <c r="G391" s="90" t="s">
        <v>5698</v>
      </c>
      <c r="H391" s="90" t="s">
        <v>5682</v>
      </c>
      <c r="I391" s="90" t="s">
        <v>5683</v>
      </c>
      <c r="J391" s="90"/>
      <c r="K391" s="93">
        <v>1</v>
      </c>
      <c r="L391" s="93">
        <v>2000</v>
      </c>
      <c r="M391" s="93">
        <v>2000</v>
      </c>
      <c r="N391" s="93">
        <v>2000</v>
      </c>
      <c r="O391" s="90" t="s">
        <v>5226</v>
      </c>
      <c r="P391" s="90"/>
      <c r="Q391" s="90" t="s">
        <v>5227</v>
      </c>
      <c r="R391" s="90"/>
      <c r="S391" s="90"/>
      <c r="T391" s="90"/>
      <c r="U391" s="90"/>
      <c r="V391" s="90"/>
      <c r="W391" s="90" t="s">
        <v>201</v>
      </c>
      <c r="X391" s="90" t="s">
        <v>5695</v>
      </c>
      <c r="Y391" s="90" t="s">
        <v>229</v>
      </c>
      <c r="Z391" s="90"/>
      <c r="AA391" s="93">
        <v>1769.9115044247801</v>
      </c>
      <c r="AB391" s="93">
        <v>1769.9115044247801</v>
      </c>
      <c r="AC391" s="93">
        <v>13</v>
      </c>
      <c r="AD391" s="93">
        <v>230.088495575221</v>
      </c>
      <c r="AE391" s="90"/>
      <c r="AF391" s="90"/>
      <c r="AG391" s="90"/>
      <c r="AH391" s="90"/>
      <c r="AI391" s="93">
        <v>0</v>
      </c>
      <c r="AJ391" s="93">
        <v>2000</v>
      </c>
      <c r="AK391" s="93">
        <v>13</v>
      </c>
      <c r="AL391" s="93">
        <v>1769.9115039999999</v>
      </c>
      <c r="AM391" s="93">
        <v>230.08849599999999</v>
      </c>
      <c r="AN391" s="93">
        <v>2000</v>
      </c>
      <c r="AO391" s="93">
        <v>4.2477904571569498E-7</v>
      </c>
      <c r="AP391" s="90" t="s">
        <v>201</v>
      </c>
      <c r="AQ391" s="90" t="s">
        <v>5684</v>
      </c>
      <c r="AR391" s="90"/>
      <c r="AS391" s="90"/>
      <c r="AT391" s="90"/>
      <c r="AU391" s="90"/>
      <c r="AV391" s="90"/>
      <c r="AW391" s="90"/>
      <c r="AX391" s="90"/>
      <c r="AY391" s="90" t="s">
        <v>5230</v>
      </c>
      <c r="AZ391" s="90"/>
      <c r="BA391" s="90" t="s">
        <v>229</v>
      </c>
      <c r="BB391" s="91">
        <v>45923.653796296298</v>
      </c>
      <c r="BC391" s="90" t="s">
        <v>405</v>
      </c>
      <c r="BD391" s="90" t="s">
        <v>5699</v>
      </c>
      <c r="BE391" s="90"/>
      <c r="BF391" s="90" t="s">
        <v>5668</v>
      </c>
    </row>
    <row r="392" spans="1:58" ht="24.75" customHeight="1">
      <c r="A392" s="90" t="s">
        <v>5221</v>
      </c>
      <c r="B392" s="90"/>
      <c r="C392" s="90"/>
      <c r="D392" s="91">
        <v>45928.496354166702</v>
      </c>
      <c r="E392" s="90" t="s">
        <v>5222</v>
      </c>
      <c r="F392" s="92"/>
      <c r="G392" s="90" t="s">
        <v>5700</v>
      </c>
      <c r="H392" s="90" t="s">
        <v>5224</v>
      </c>
      <c r="I392" s="90" t="s">
        <v>5225</v>
      </c>
      <c r="J392" s="90"/>
      <c r="K392" s="93">
        <v>16</v>
      </c>
      <c r="L392" s="93">
        <v>190</v>
      </c>
      <c r="M392" s="93">
        <v>3040</v>
      </c>
      <c r="N392" s="93">
        <v>3040</v>
      </c>
      <c r="O392" s="90" t="s">
        <v>5226</v>
      </c>
      <c r="P392" s="90"/>
      <c r="Q392" s="90" t="s">
        <v>5227</v>
      </c>
      <c r="R392" s="90"/>
      <c r="S392" s="90"/>
      <c r="T392" s="90"/>
      <c r="U392" s="90"/>
      <c r="V392" s="90" t="s">
        <v>5228</v>
      </c>
      <c r="W392" s="90" t="s">
        <v>201</v>
      </c>
      <c r="X392" s="90" t="s">
        <v>5695</v>
      </c>
      <c r="Y392" s="90" t="s">
        <v>229</v>
      </c>
      <c r="Z392" s="90"/>
      <c r="AA392" s="93">
        <v>2690.2654867256601</v>
      </c>
      <c r="AB392" s="93">
        <v>2690.2654867256601</v>
      </c>
      <c r="AC392" s="93">
        <v>13</v>
      </c>
      <c r="AD392" s="93">
        <v>349.734513274336</v>
      </c>
      <c r="AE392" s="90"/>
      <c r="AF392" s="90"/>
      <c r="AG392" s="90"/>
      <c r="AH392" s="90"/>
      <c r="AI392" s="93">
        <v>0</v>
      </c>
      <c r="AJ392" s="93">
        <v>190</v>
      </c>
      <c r="AK392" s="93">
        <v>13</v>
      </c>
      <c r="AL392" s="93">
        <v>2690.265488</v>
      </c>
      <c r="AM392" s="93">
        <v>349.734512</v>
      </c>
      <c r="AN392" s="93">
        <v>3040</v>
      </c>
      <c r="AO392" s="93">
        <v>-1.2743362276523799E-6</v>
      </c>
      <c r="AP392" s="90" t="s">
        <v>201</v>
      </c>
      <c r="AQ392" s="90" t="s">
        <v>5229</v>
      </c>
      <c r="AR392" s="90"/>
      <c r="AS392" s="90"/>
      <c r="AT392" s="90"/>
      <c r="AU392" s="90"/>
      <c r="AV392" s="90"/>
      <c r="AW392" s="90"/>
      <c r="AX392" s="90"/>
      <c r="AY392" s="90" t="s">
        <v>5230</v>
      </c>
      <c r="AZ392" s="90"/>
      <c r="BA392" s="90" t="s">
        <v>229</v>
      </c>
      <c r="BB392" s="91">
        <v>45928.495937500003</v>
      </c>
      <c r="BC392" s="90" t="s">
        <v>405</v>
      </c>
      <c r="BD392" s="90" t="s">
        <v>5701</v>
      </c>
      <c r="BE392" s="90"/>
      <c r="BF392" s="90" t="s">
        <v>5668</v>
      </c>
    </row>
    <row r="393" spans="1:58" ht="24.75" customHeight="1">
      <c r="A393" s="90" t="s">
        <v>5221</v>
      </c>
      <c r="B393" s="90"/>
      <c r="C393" s="90"/>
      <c r="D393" s="91">
        <v>45928.496354166702</v>
      </c>
      <c r="E393" s="90" t="s">
        <v>5222</v>
      </c>
      <c r="F393" s="92"/>
      <c r="G393" s="90" t="s">
        <v>5700</v>
      </c>
      <c r="H393" s="90" t="s">
        <v>5305</v>
      </c>
      <c r="I393" s="90" t="s">
        <v>5306</v>
      </c>
      <c r="J393" s="90"/>
      <c r="K393" s="93">
        <v>20</v>
      </c>
      <c r="L393" s="93">
        <v>95</v>
      </c>
      <c r="M393" s="93">
        <v>1900</v>
      </c>
      <c r="N393" s="93">
        <v>1900</v>
      </c>
      <c r="O393" s="90" t="s">
        <v>5226</v>
      </c>
      <c r="P393" s="90"/>
      <c r="Q393" s="90" t="s">
        <v>5227</v>
      </c>
      <c r="R393" s="90"/>
      <c r="S393" s="90"/>
      <c r="T393" s="90"/>
      <c r="U393" s="90"/>
      <c r="V393" s="90" t="s">
        <v>5228</v>
      </c>
      <c r="W393" s="90" t="s">
        <v>201</v>
      </c>
      <c r="X393" s="90" t="s">
        <v>5695</v>
      </c>
      <c r="Y393" s="90" t="s">
        <v>229</v>
      </c>
      <c r="Z393" s="90"/>
      <c r="AA393" s="93">
        <v>1681.4159292035399</v>
      </c>
      <c r="AB393" s="93">
        <v>1681.4159292035399</v>
      </c>
      <c r="AC393" s="93">
        <v>13</v>
      </c>
      <c r="AD393" s="93">
        <v>218.58407079646</v>
      </c>
      <c r="AE393" s="90"/>
      <c r="AF393" s="90"/>
      <c r="AG393" s="90"/>
      <c r="AH393" s="90"/>
      <c r="AI393" s="93">
        <v>0</v>
      </c>
      <c r="AJ393" s="93">
        <v>95</v>
      </c>
      <c r="AK393" s="93">
        <v>13</v>
      </c>
      <c r="AL393" s="93">
        <v>1681.4159199999999</v>
      </c>
      <c r="AM393" s="93">
        <v>218.58408</v>
      </c>
      <c r="AN393" s="93">
        <v>1900</v>
      </c>
      <c r="AO393" s="93">
        <v>9.2035400029999403E-6</v>
      </c>
      <c r="AP393" s="90" t="s">
        <v>201</v>
      </c>
      <c r="AQ393" s="90" t="s">
        <v>5229</v>
      </c>
      <c r="AR393" s="90"/>
      <c r="AS393" s="90"/>
      <c r="AT393" s="90"/>
      <c r="AU393" s="90"/>
      <c r="AV393" s="90"/>
      <c r="AW393" s="90"/>
      <c r="AX393" s="90"/>
      <c r="AY393" s="90" t="s">
        <v>5230</v>
      </c>
      <c r="AZ393" s="90"/>
      <c r="BA393" s="90" t="s">
        <v>229</v>
      </c>
      <c r="BB393" s="91">
        <v>45928.495937500003</v>
      </c>
      <c r="BC393" s="90" t="s">
        <v>405</v>
      </c>
      <c r="BD393" s="90" t="s">
        <v>5701</v>
      </c>
      <c r="BE393" s="90"/>
      <c r="BF393" s="90" t="s">
        <v>5668</v>
      </c>
    </row>
    <row r="394" spans="1:58" ht="24.75" customHeight="1">
      <c r="A394" s="90" t="s">
        <v>5247</v>
      </c>
      <c r="B394" s="90"/>
      <c r="C394" s="90"/>
      <c r="D394" s="91">
        <v>45929.569803240702</v>
      </c>
      <c r="E394" s="90" t="s">
        <v>5222</v>
      </c>
      <c r="F394" s="92"/>
      <c r="G394" s="90" t="s">
        <v>5702</v>
      </c>
      <c r="H394" s="90" t="s">
        <v>5703</v>
      </c>
      <c r="I394" s="90" t="s">
        <v>5704</v>
      </c>
      <c r="J394" s="90"/>
      <c r="K394" s="93">
        <v>1</v>
      </c>
      <c r="L394" s="93">
        <v>652</v>
      </c>
      <c r="M394" s="93">
        <v>652</v>
      </c>
      <c r="N394" s="93">
        <v>652</v>
      </c>
      <c r="O394" s="90" t="s">
        <v>5226</v>
      </c>
      <c r="P394" s="90"/>
      <c r="Q394" s="90" t="s">
        <v>5227</v>
      </c>
      <c r="R394" s="90"/>
      <c r="S394" s="90"/>
      <c r="T394" s="90"/>
      <c r="U394" s="90"/>
      <c r="V394" s="90" t="s">
        <v>5705</v>
      </c>
      <c r="W394" s="90" t="s">
        <v>201</v>
      </c>
      <c r="X394" s="90" t="s">
        <v>5695</v>
      </c>
      <c r="Y394" s="90" t="s">
        <v>229</v>
      </c>
      <c r="Z394" s="90"/>
      <c r="AA394" s="93">
        <v>576.99115044247799</v>
      </c>
      <c r="AB394" s="93">
        <v>576.99115044247799</v>
      </c>
      <c r="AC394" s="93">
        <v>13</v>
      </c>
      <c r="AD394" s="93">
        <v>75.008849557522097</v>
      </c>
      <c r="AE394" s="90"/>
      <c r="AF394" s="90"/>
      <c r="AG394" s="90"/>
      <c r="AH394" s="90"/>
      <c r="AI394" s="93">
        <v>0</v>
      </c>
      <c r="AJ394" s="93">
        <v>652</v>
      </c>
      <c r="AK394" s="93">
        <v>13</v>
      </c>
      <c r="AL394" s="93">
        <v>576.99114999999995</v>
      </c>
      <c r="AM394" s="93">
        <v>75.008849999999995</v>
      </c>
      <c r="AN394" s="93">
        <v>652</v>
      </c>
      <c r="AO394" s="93">
        <v>4.4247792629903399E-7</v>
      </c>
      <c r="AP394" s="90" t="s">
        <v>201</v>
      </c>
      <c r="AQ394" s="90" t="s">
        <v>5706</v>
      </c>
      <c r="AR394" s="90"/>
      <c r="AS394" s="90"/>
      <c r="AT394" s="90"/>
      <c r="AU394" s="90"/>
      <c r="AV394" s="90"/>
      <c r="AW394" s="90"/>
      <c r="AX394" s="90"/>
      <c r="AY394" s="90" t="s">
        <v>5230</v>
      </c>
      <c r="AZ394" s="90"/>
      <c r="BA394" s="90" t="s">
        <v>229</v>
      </c>
      <c r="BB394" s="91">
        <v>45929.568182870396</v>
      </c>
      <c r="BC394" s="90" t="s">
        <v>405</v>
      </c>
      <c r="BD394" s="90"/>
      <c r="BE394" s="90"/>
      <c r="BF394" s="90" t="s">
        <v>5668</v>
      </c>
    </row>
    <row r="395" spans="1:58" ht="24.75" customHeight="1">
      <c r="A395" s="90" t="s">
        <v>5247</v>
      </c>
      <c r="B395" s="90"/>
      <c r="C395" s="90"/>
      <c r="D395" s="91">
        <v>45929.575706018499</v>
      </c>
      <c r="E395" s="90" t="s">
        <v>5222</v>
      </c>
      <c r="F395" s="92"/>
      <c r="G395" s="90" t="s">
        <v>5707</v>
      </c>
      <c r="H395" s="90" t="s">
        <v>5703</v>
      </c>
      <c r="I395" s="90" t="s">
        <v>5704</v>
      </c>
      <c r="J395" s="90"/>
      <c r="K395" s="93">
        <v>-1</v>
      </c>
      <c r="L395" s="93">
        <v>652</v>
      </c>
      <c r="M395" s="93">
        <v>-652</v>
      </c>
      <c r="N395" s="93">
        <v>-652</v>
      </c>
      <c r="O395" s="90" t="s">
        <v>5708</v>
      </c>
      <c r="P395" s="90"/>
      <c r="Q395" s="90" t="s">
        <v>5227</v>
      </c>
      <c r="R395" s="90"/>
      <c r="S395" s="90"/>
      <c r="T395" s="90"/>
      <c r="U395" s="90"/>
      <c r="V395" s="90" t="s">
        <v>5705</v>
      </c>
      <c r="W395" s="90" t="s">
        <v>201</v>
      </c>
      <c r="X395" s="90" t="s">
        <v>5695</v>
      </c>
      <c r="Y395" s="90" t="s">
        <v>229</v>
      </c>
      <c r="Z395" s="90"/>
      <c r="AA395" s="93">
        <v>-576.99115044247799</v>
      </c>
      <c r="AB395" s="93">
        <v>-576.99115044247799</v>
      </c>
      <c r="AC395" s="93">
        <v>13</v>
      </c>
      <c r="AD395" s="93">
        <v>-75.008849557522097</v>
      </c>
      <c r="AE395" s="90"/>
      <c r="AF395" s="90"/>
      <c r="AG395" s="90"/>
      <c r="AH395" s="90"/>
      <c r="AI395" s="93">
        <v>0</v>
      </c>
      <c r="AJ395" s="93">
        <v>652</v>
      </c>
      <c r="AK395" s="93">
        <v>13</v>
      </c>
      <c r="AL395" s="93">
        <v>-576.99114999999995</v>
      </c>
      <c r="AM395" s="93">
        <v>-75.008849999999995</v>
      </c>
      <c r="AN395" s="93">
        <v>-652</v>
      </c>
      <c r="AO395" s="93">
        <v>-4.4247792629903399E-7</v>
      </c>
      <c r="AP395" s="90" t="s">
        <v>201</v>
      </c>
      <c r="AQ395" s="90" t="s">
        <v>5706</v>
      </c>
      <c r="AR395" s="90"/>
      <c r="AS395" s="90"/>
      <c r="AT395" s="90"/>
      <c r="AU395" s="90"/>
      <c r="AV395" s="90"/>
      <c r="AW395" s="90"/>
      <c r="AX395" s="90"/>
      <c r="AY395" s="90" t="s">
        <v>5230</v>
      </c>
      <c r="AZ395" s="90" t="s">
        <v>5709</v>
      </c>
      <c r="BA395" s="90" t="s">
        <v>229</v>
      </c>
      <c r="BB395" s="91">
        <v>45929.568182870396</v>
      </c>
      <c r="BC395" s="90" t="s">
        <v>405</v>
      </c>
      <c r="BD395" s="90"/>
      <c r="BE395" s="90" t="s">
        <v>5710</v>
      </c>
      <c r="BF395" s="90" t="s">
        <v>5668</v>
      </c>
    </row>
    <row r="396" spans="1:58" ht="24.75" customHeight="1">
      <c r="A396" s="90" t="s">
        <v>5232</v>
      </c>
      <c r="B396" s="90"/>
      <c r="C396" s="90"/>
      <c r="D396" s="91">
        <v>45929.576354166697</v>
      </c>
      <c r="E396" s="90" t="s">
        <v>5222</v>
      </c>
      <c r="F396" s="92"/>
      <c r="G396" s="90" t="s">
        <v>5711</v>
      </c>
      <c r="H396" s="90" t="s">
        <v>5703</v>
      </c>
      <c r="I396" s="90" t="s">
        <v>5704</v>
      </c>
      <c r="J396" s="90"/>
      <c r="K396" s="93">
        <v>1</v>
      </c>
      <c r="L396" s="93">
        <v>652</v>
      </c>
      <c r="M396" s="93">
        <v>652</v>
      </c>
      <c r="N396" s="93">
        <v>652</v>
      </c>
      <c r="O396" s="90" t="s">
        <v>5226</v>
      </c>
      <c r="P396" s="90"/>
      <c r="Q396" s="90" t="s">
        <v>5227</v>
      </c>
      <c r="R396" s="90"/>
      <c r="S396" s="90"/>
      <c r="T396" s="90"/>
      <c r="U396" s="90"/>
      <c r="V396" s="90" t="s">
        <v>5705</v>
      </c>
      <c r="W396" s="90" t="s">
        <v>201</v>
      </c>
      <c r="X396" s="90" t="s">
        <v>5695</v>
      </c>
      <c r="Y396" s="90" t="s">
        <v>229</v>
      </c>
      <c r="Z396" s="90"/>
      <c r="AA396" s="93">
        <v>576.99115044247799</v>
      </c>
      <c r="AB396" s="93">
        <v>576.99115044247799</v>
      </c>
      <c r="AC396" s="93">
        <v>13</v>
      </c>
      <c r="AD396" s="93">
        <v>75.008849557522097</v>
      </c>
      <c r="AE396" s="90"/>
      <c r="AF396" s="90"/>
      <c r="AG396" s="90"/>
      <c r="AH396" s="90"/>
      <c r="AI396" s="93">
        <v>0</v>
      </c>
      <c r="AJ396" s="93">
        <v>652</v>
      </c>
      <c r="AK396" s="93">
        <v>13</v>
      </c>
      <c r="AL396" s="93">
        <v>576.99114999999995</v>
      </c>
      <c r="AM396" s="93">
        <v>75.008849999999995</v>
      </c>
      <c r="AN396" s="93">
        <v>652</v>
      </c>
      <c r="AO396" s="93">
        <v>4.4247792629903399E-7</v>
      </c>
      <c r="AP396" s="90" t="s">
        <v>201</v>
      </c>
      <c r="AQ396" s="90" t="s">
        <v>5706</v>
      </c>
      <c r="AR396" s="90"/>
      <c r="AS396" s="90"/>
      <c r="AT396" s="90"/>
      <c r="AU396" s="90"/>
      <c r="AV396" s="90"/>
      <c r="AW396" s="90"/>
      <c r="AX396" s="90"/>
      <c r="AY396" s="90" t="s">
        <v>5230</v>
      </c>
      <c r="AZ396" s="90"/>
      <c r="BA396" s="90" t="s">
        <v>229</v>
      </c>
      <c r="BB396" s="91">
        <v>45929.576157407399</v>
      </c>
      <c r="BC396" s="90" t="s">
        <v>405</v>
      </c>
      <c r="BD396" s="90"/>
      <c r="BE396" s="90"/>
      <c r="BF396" s="90" t="s">
        <v>5668</v>
      </c>
    </row>
    <row r="397" spans="1:58" ht="24.75" customHeight="1">
      <c r="A397" s="90" t="s">
        <v>5247</v>
      </c>
      <c r="B397" s="90"/>
      <c r="C397" s="90"/>
      <c r="D397" s="91">
        <v>45930.3675</v>
      </c>
      <c r="E397" s="90" t="s">
        <v>5222</v>
      </c>
      <c r="F397" s="92"/>
      <c r="G397" s="90" t="s">
        <v>5712</v>
      </c>
      <c r="H397" s="90" t="s">
        <v>5713</v>
      </c>
      <c r="I397" s="90" t="s">
        <v>5714</v>
      </c>
      <c r="J397" s="90"/>
      <c r="K397" s="93">
        <v>50</v>
      </c>
      <c r="L397" s="93">
        <v>9</v>
      </c>
      <c r="M397" s="93">
        <v>450</v>
      </c>
      <c r="N397" s="93">
        <v>450</v>
      </c>
      <c r="O397" s="90" t="s">
        <v>5226</v>
      </c>
      <c r="P397" s="90"/>
      <c r="Q397" s="90" t="s">
        <v>5227</v>
      </c>
      <c r="R397" s="90"/>
      <c r="S397" s="90"/>
      <c r="T397" s="90"/>
      <c r="U397" s="90"/>
      <c r="V397" s="90"/>
      <c r="W397" s="90" t="s">
        <v>202</v>
      </c>
      <c r="X397" s="90" t="s">
        <v>201</v>
      </c>
      <c r="Y397" s="90" t="s">
        <v>381</v>
      </c>
      <c r="Z397" s="90"/>
      <c r="AA397" s="93">
        <v>398.23008849557499</v>
      </c>
      <c r="AB397" s="93">
        <v>398.23008849557499</v>
      </c>
      <c r="AC397" s="93">
        <v>13</v>
      </c>
      <c r="AD397" s="93">
        <v>51.769911504424797</v>
      </c>
      <c r="AE397" s="90"/>
      <c r="AF397" s="90"/>
      <c r="AG397" s="90"/>
      <c r="AH397" s="90"/>
      <c r="AI397" s="93">
        <v>0</v>
      </c>
      <c r="AJ397" s="93">
        <v>9</v>
      </c>
      <c r="AK397" s="93">
        <v>13</v>
      </c>
      <c r="AL397" s="93">
        <v>398.23009999999999</v>
      </c>
      <c r="AM397" s="93">
        <v>51.7699</v>
      </c>
      <c r="AN397" s="93">
        <v>450</v>
      </c>
      <c r="AO397" s="93">
        <v>-1.15044247195328E-5</v>
      </c>
      <c r="AP397" s="90" t="s">
        <v>202</v>
      </c>
      <c r="AQ397" s="90" t="s">
        <v>5239</v>
      </c>
      <c r="AR397" s="90"/>
      <c r="AS397" s="90"/>
      <c r="AT397" s="90"/>
      <c r="AU397" s="90"/>
      <c r="AV397" s="90"/>
      <c r="AW397" s="90"/>
      <c r="AX397" s="90"/>
      <c r="AY397" s="90" t="s">
        <v>5230</v>
      </c>
      <c r="AZ397" s="90"/>
      <c r="BA397" s="90" t="s">
        <v>381</v>
      </c>
      <c r="BB397" s="91">
        <v>45929.6774421296</v>
      </c>
      <c r="BC397" s="90" t="s">
        <v>405</v>
      </c>
      <c r="BD397" s="90" t="s">
        <v>5715</v>
      </c>
      <c r="BE397" s="90"/>
      <c r="BF397" s="90" t="s">
        <v>5716</v>
      </c>
    </row>
    <row r="398" spans="1:58" ht="24.75" customHeight="1">
      <c r="A398" s="90" t="s">
        <v>5247</v>
      </c>
      <c r="B398" s="90"/>
      <c r="C398" s="90"/>
      <c r="D398" s="91">
        <v>45930.585972222201</v>
      </c>
      <c r="E398" s="90" t="s">
        <v>5222</v>
      </c>
      <c r="F398" s="92"/>
      <c r="G398" s="90" t="s">
        <v>5717</v>
      </c>
      <c r="H398" s="90" t="s">
        <v>5286</v>
      </c>
      <c r="I398" s="90" t="s">
        <v>5287</v>
      </c>
      <c r="J398" s="90"/>
      <c r="K398" s="93">
        <v>1</v>
      </c>
      <c r="L398" s="93">
        <v>65</v>
      </c>
      <c r="M398" s="93">
        <v>65</v>
      </c>
      <c r="N398" s="93">
        <v>65</v>
      </c>
      <c r="O398" s="90" t="s">
        <v>5226</v>
      </c>
      <c r="P398" s="90"/>
      <c r="Q398" s="90" t="s">
        <v>5227</v>
      </c>
      <c r="R398" s="90"/>
      <c r="S398" s="90"/>
      <c r="T398" s="90"/>
      <c r="U398" s="90"/>
      <c r="V398" s="90" t="s">
        <v>5252</v>
      </c>
      <c r="W398" s="90" t="s">
        <v>202</v>
      </c>
      <c r="X398" s="90" t="s">
        <v>222</v>
      </c>
      <c r="Y398" s="90" t="s">
        <v>229</v>
      </c>
      <c r="Z398" s="90"/>
      <c r="AA398" s="93">
        <v>57.522123893805301</v>
      </c>
      <c r="AB398" s="93">
        <v>57.522123893805301</v>
      </c>
      <c r="AC398" s="93">
        <v>13</v>
      </c>
      <c r="AD398" s="93">
        <v>7.4778761061946897</v>
      </c>
      <c r="AE398" s="90"/>
      <c r="AF398" s="90"/>
      <c r="AG398" s="90"/>
      <c r="AH398" s="90"/>
      <c r="AI398" s="93">
        <v>0</v>
      </c>
      <c r="AJ398" s="93">
        <v>65</v>
      </c>
      <c r="AK398" s="93">
        <v>13</v>
      </c>
      <c r="AL398" s="93">
        <v>57.522123999999998</v>
      </c>
      <c r="AM398" s="93">
        <v>7.4778760000000002</v>
      </c>
      <c r="AN398" s="93">
        <v>65</v>
      </c>
      <c r="AO398" s="93">
        <v>-1.06194683269223E-7</v>
      </c>
      <c r="AP398" s="90" t="s">
        <v>202</v>
      </c>
      <c r="AQ398" s="90" t="s">
        <v>5239</v>
      </c>
      <c r="AR398" s="90"/>
      <c r="AS398" s="90"/>
      <c r="AT398" s="90"/>
      <c r="AU398" s="90"/>
      <c r="AV398" s="90"/>
      <c r="AW398" s="90"/>
      <c r="AX398" s="90"/>
      <c r="AY398" s="90" t="s">
        <v>5230</v>
      </c>
      <c r="AZ398" s="90"/>
      <c r="BA398" s="90" t="s">
        <v>229</v>
      </c>
      <c r="BB398" s="91">
        <v>45930.585833333302</v>
      </c>
      <c r="BC398" s="90" t="s">
        <v>5679</v>
      </c>
      <c r="BD398" s="90"/>
      <c r="BE398" s="90"/>
      <c r="BF398" s="90" t="s">
        <v>5668</v>
      </c>
    </row>
    <row r="399" spans="1:58" ht="24.75" customHeight="1">
      <c r="A399" s="90" t="s">
        <v>5247</v>
      </c>
      <c r="B399" s="90"/>
      <c r="C399" s="90"/>
      <c r="D399" s="91">
        <v>45930.602997685201</v>
      </c>
      <c r="E399" s="90" t="s">
        <v>5222</v>
      </c>
      <c r="F399" s="92"/>
      <c r="G399" s="90" t="s">
        <v>5718</v>
      </c>
      <c r="H399" s="90" t="s">
        <v>5687</v>
      </c>
      <c r="I399" s="90" t="s">
        <v>5688</v>
      </c>
      <c r="J399" s="90" t="s">
        <v>5267</v>
      </c>
      <c r="K399" s="93">
        <v>2</v>
      </c>
      <c r="L399" s="93">
        <v>75</v>
      </c>
      <c r="M399" s="93">
        <v>150</v>
      </c>
      <c r="N399" s="93">
        <v>150</v>
      </c>
      <c r="O399" s="90" t="s">
        <v>5226</v>
      </c>
      <c r="P399" s="90"/>
      <c r="Q399" s="90" t="s">
        <v>5227</v>
      </c>
      <c r="R399" s="90"/>
      <c r="S399" s="90"/>
      <c r="T399" s="90"/>
      <c r="U399" s="90"/>
      <c r="V399" s="90" t="s">
        <v>5385</v>
      </c>
      <c r="W399" s="90" t="s">
        <v>202</v>
      </c>
      <c r="X399" s="90" t="s">
        <v>222</v>
      </c>
      <c r="Y399" s="90" t="s">
        <v>229</v>
      </c>
      <c r="Z399" s="90"/>
      <c r="AA399" s="93">
        <v>132.74336283185801</v>
      </c>
      <c r="AB399" s="93">
        <v>132.74336283185801</v>
      </c>
      <c r="AC399" s="93">
        <v>13</v>
      </c>
      <c r="AD399" s="93">
        <v>17.256637168141602</v>
      </c>
      <c r="AE399" s="90"/>
      <c r="AF399" s="90"/>
      <c r="AG399" s="90"/>
      <c r="AH399" s="90"/>
      <c r="AI399" s="93">
        <v>0</v>
      </c>
      <c r="AJ399" s="93">
        <v>75</v>
      </c>
      <c r="AK399" s="93">
        <v>13</v>
      </c>
      <c r="AL399" s="93">
        <v>132.74336199999999</v>
      </c>
      <c r="AM399" s="93">
        <v>17.256637999999999</v>
      </c>
      <c r="AN399" s="93">
        <v>150</v>
      </c>
      <c r="AO399" s="93">
        <v>8.3185841504018796E-7</v>
      </c>
      <c r="AP399" s="90" t="s">
        <v>202</v>
      </c>
      <c r="AQ399" s="90" t="s">
        <v>5239</v>
      </c>
      <c r="AR399" s="90"/>
      <c r="AS399" s="90"/>
      <c r="AT399" s="90"/>
      <c r="AU399" s="90"/>
      <c r="AV399" s="90"/>
      <c r="AW399" s="90"/>
      <c r="AX399" s="90"/>
      <c r="AY399" s="90" t="s">
        <v>5230</v>
      </c>
      <c r="AZ399" s="90"/>
      <c r="BA399" s="90" t="s">
        <v>229</v>
      </c>
      <c r="BB399" s="91">
        <v>45930.6014236111</v>
      </c>
      <c r="BC399" s="90" t="s">
        <v>5679</v>
      </c>
      <c r="BD399" s="90"/>
      <c r="BE399" s="90"/>
      <c r="BF399" s="90" t="s">
        <v>5668</v>
      </c>
    </row>
  </sheetData>
  <autoFilter ref="G1:BE399" xr:uid="{00000000-0009-0000-0000-00001B000000}"/>
  <phoneticPr fontId="5" type="noConversion"/>
  <pageMargins left="0.69930555555555596" right="0.69930555555555596"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rgb="FF00B0F0"/>
  </sheetPr>
  <dimension ref="B2:I8"/>
  <sheetViews>
    <sheetView workbookViewId="0">
      <selection activeCell="F12" sqref="F12"/>
    </sheetView>
  </sheetViews>
  <sheetFormatPr defaultColWidth="9" defaultRowHeight="14.4"/>
  <cols>
    <col min="3" max="3" width="10.44140625" customWidth="1"/>
    <col min="6" max="7" width="10.44140625" customWidth="1"/>
  </cols>
  <sheetData>
    <row r="2" spans="2:9" ht="19.5" customHeight="1">
      <c r="B2" s="2122" t="s">
        <v>5719</v>
      </c>
      <c r="C2" s="2119" t="s">
        <v>5720</v>
      </c>
      <c r="D2" s="2119"/>
      <c r="E2" s="2119"/>
      <c r="F2" s="2119" t="s">
        <v>5721</v>
      </c>
      <c r="G2" s="2119"/>
      <c r="H2" s="2119"/>
      <c r="I2" s="74" t="s">
        <v>274</v>
      </c>
    </row>
    <row r="3" spans="2:9" ht="20.399999999999999" customHeight="1">
      <c r="B3" s="2123"/>
      <c r="C3" s="75" t="s">
        <v>5722</v>
      </c>
      <c r="D3" s="75" t="s">
        <v>5723</v>
      </c>
      <c r="E3" s="75" t="s">
        <v>272</v>
      </c>
      <c r="F3" s="75" t="s">
        <v>5722</v>
      </c>
      <c r="G3" s="75" t="s">
        <v>5723</v>
      </c>
      <c r="H3" s="75" t="s">
        <v>272</v>
      </c>
      <c r="I3" s="76" t="s">
        <v>272</v>
      </c>
    </row>
    <row r="4" spans="2:9" ht="21.75" customHeight="1">
      <c r="B4" s="2123" t="s">
        <v>5724</v>
      </c>
      <c r="C4" s="75" t="s">
        <v>5725</v>
      </c>
      <c r="D4" s="77">
        <v>0</v>
      </c>
      <c r="E4" s="78">
        <v>1.4E-2</v>
      </c>
      <c r="F4" s="75" t="s">
        <v>5726</v>
      </c>
      <c r="G4" s="77">
        <v>0</v>
      </c>
      <c r="H4" s="79">
        <v>0.04</v>
      </c>
      <c r="I4" s="2125">
        <v>5.0000000000000001E-3</v>
      </c>
    </row>
    <row r="5" spans="2:9" ht="24">
      <c r="B5" s="2123"/>
      <c r="C5" s="80" t="s">
        <v>5727</v>
      </c>
      <c r="D5" s="79">
        <v>0.85</v>
      </c>
      <c r="E5" s="78">
        <v>1.6E-2</v>
      </c>
      <c r="F5" s="80" t="s">
        <v>5728</v>
      </c>
      <c r="G5" s="79">
        <v>0.85</v>
      </c>
      <c r="H5" s="79">
        <v>0.06</v>
      </c>
      <c r="I5" s="2125"/>
    </row>
    <row r="6" spans="2:9">
      <c r="B6" s="2123"/>
      <c r="C6" s="75" t="s">
        <v>5729</v>
      </c>
      <c r="D6" s="77">
        <v>1</v>
      </c>
      <c r="E6" s="78">
        <v>1.7999999999999999E-2</v>
      </c>
      <c r="F6" s="75" t="s">
        <v>5730</v>
      </c>
      <c r="G6" s="77">
        <v>1</v>
      </c>
      <c r="H6" s="79">
        <v>0.08</v>
      </c>
      <c r="I6" s="2125"/>
    </row>
    <row r="7" spans="2:9" ht="24.75" customHeight="1">
      <c r="B7" s="2123" t="s">
        <v>304</v>
      </c>
      <c r="C7" s="2120" t="s">
        <v>5731</v>
      </c>
      <c r="D7" s="2120"/>
      <c r="E7" s="2120"/>
      <c r="F7" s="2120"/>
      <c r="G7" s="2120"/>
      <c r="H7" s="81"/>
      <c r="I7" s="82"/>
    </row>
    <row r="8" spans="2:9" ht="21.75" customHeight="1">
      <c r="B8" s="2124"/>
      <c r="C8" s="2121" t="s">
        <v>5732</v>
      </c>
      <c r="D8" s="2121"/>
      <c r="E8" s="2121"/>
      <c r="F8" s="2121"/>
      <c r="G8" s="2121"/>
      <c r="H8" s="83"/>
      <c r="I8" s="84"/>
    </row>
  </sheetData>
  <mergeCells count="8">
    <mergeCell ref="I4:I6"/>
    <mergeCell ref="C2:E2"/>
    <mergeCell ref="F2:H2"/>
    <mergeCell ref="C7:G7"/>
    <mergeCell ref="C8:G8"/>
    <mergeCell ref="B2:B3"/>
    <mergeCell ref="B4:B6"/>
    <mergeCell ref="B7:B8"/>
  </mergeCells>
  <phoneticPr fontId="5" type="noConversion"/>
  <pageMargins left="0.69930555555555596" right="0.69930555555555596"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3"/>
  <dimension ref="A1:Q182"/>
  <sheetViews>
    <sheetView workbookViewId="0">
      <selection activeCell="P29" sqref="P29"/>
    </sheetView>
  </sheetViews>
  <sheetFormatPr defaultColWidth="9" defaultRowHeight="14.4"/>
  <cols>
    <col min="1" max="1" width="12.21875" style="30" customWidth="1"/>
    <col min="2" max="2" width="11.109375" style="42" customWidth="1"/>
    <col min="3" max="3" width="14" style="30" customWidth="1"/>
    <col min="4" max="4" width="14.77734375" style="30" customWidth="1"/>
    <col min="5" max="5" width="14.77734375" style="42" customWidth="1"/>
    <col min="6" max="6" width="11.21875" style="42" customWidth="1"/>
    <col min="7" max="8" width="10.109375" style="30" customWidth="1"/>
    <col min="9" max="9" width="8.88671875" style="42" customWidth="1"/>
    <col min="10" max="10" width="9.21875" style="30" customWidth="1"/>
    <col min="11" max="11" width="11.77734375" style="43" customWidth="1"/>
    <col min="12" max="12" width="8.88671875" style="44" customWidth="1"/>
    <col min="13" max="14" width="8.88671875" style="30" customWidth="1"/>
    <col min="15" max="15" width="8.88671875" style="42" customWidth="1"/>
    <col min="16" max="16" width="14.88671875" style="42" customWidth="1"/>
    <col min="17" max="17" width="7.6640625" style="30" customWidth="1"/>
    <col min="18" max="18" width="9" style="30" customWidth="1"/>
    <col min="19" max="19" width="11.88671875" style="30" customWidth="1"/>
    <col min="20" max="22" width="9" style="30" customWidth="1"/>
    <col min="23" max="24" width="9" style="30"/>
    <col min="25" max="25" width="12.6640625" style="30" customWidth="1"/>
    <col min="26" max="16384" width="9" style="30"/>
  </cols>
  <sheetData>
    <row r="1" spans="1:17" s="41" customFormat="1" ht="21.15" customHeight="1">
      <c r="A1" s="2126" t="s">
        <v>5733</v>
      </c>
      <c r="B1" s="2126"/>
      <c r="C1" s="2126"/>
      <c r="D1" s="2126"/>
      <c r="E1" s="2126"/>
      <c r="F1" s="2126"/>
      <c r="G1" s="2126"/>
      <c r="H1" s="2126"/>
      <c r="I1" s="2126"/>
      <c r="J1" s="2126"/>
      <c r="K1" s="2126"/>
      <c r="L1" s="2126"/>
      <c r="M1" s="2126"/>
      <c r="N1" s="2126"/>
      <c r="O1" s="2126"/>
      <c r="P1" s="2126"/>
      <c r="Q1" s="2126"/>
    </row>
    <row r="2" spans="1:17" s="41" customFormat="1" ht="20.100000000000001" customHeight="1">
      <c r="A2" s="2132" t="s">
        <v>5108</v>
      </c>
      <c r="B2" s="2127" t="s">
        <v>5734</v>
      </c>
      <c r="C2" s="2127" t="s">
        <v>5735</v>
      </c>
      <c r="D2" s="2127"/>
      <c r="E2" s="2127"/>
      <c r="F2" s="2127"/>
      <c r="G2" s="2127" t="s">
        <v>5736</v>
      </c>
      <c r="H2" s="2127"/>
      <c r="I2" s="2127"/>
      <c r="J2" s="2127"/>
      <c r="K2" s="45" t="s">
        <v>5737</v>
      </c>
      <c r="L2" s="2128" t="s">
        <v>268</v>
      </c>
      <c r="M2" s="2128"/>
      <c r="N2" s="2129" t="s">
        <v>5738</v>
      </c>
      <c r="O2" s="2130"/>
      <c r="P2" s="2130"/>
      <c r="Q2" s="2131"/>
    </row>
    <row r="3" spans="1:17" s="41" customFormat="1" ht="20.100000000000001" customHeight="1">
      <c r="A3" s="2132"/>
      <c r="B3" s="2127"/>
      <c r="C3" s="45" t="s">
        <v>5739</v>
      </c>
      <c r="D3" s="45" t="s">
        <v>519</v>
      </c>
      <c r="E3" s="45" t="s">
        <v>522</v>
      </c>
      <c r="F3" s="45" t="s">
        <v>5740</v>
      </c>
      <c r="G3" s="45" t="s">
        <v>307</v>
      </c>
      <c r="H3" s="45" t="s">
        <v>308</v>
      </c>
      <c r="I3" s="45" t="s">
        <v>293</v>
      </c>
      <c r="J3" s="45" t="s">
        <v>5741</v>
      </c>
      <c r="K3" s="45" t="s">
        <v>5742</v>
      </c>
      <c r="L3" s="45" t="s">
        <v>5743</v>
      </c>
      <c r="M3" s="45" t="s">
        <v>5744</v>
      </c>
      <c r="N3" s="45" t="s">
        <v>4535</v>
      </c>
      <c r="O3" s="45" t="s">
        <v>5745</v>
      </c>
      <c r="P3" s="45" t="s">
        <v>5746</v>
      </c>
      <c r="Q3" s="45" t="s">
        <v>5747</v>
      </c>
    </row>
    <row r="4" spans="1:17" s="41" customFormat="1" ht="20.100000000000001" customHeight="1">
      <c r="A4" s="46" t="s">
        <v>5748</v>
      </c>
      <c r="B4" s="47">
        <v>4473828.1473160498</v>
      </c>
      <c r="C4" s="48">
        <v>863867.51760920906</v>
      </c>
      <c r="D4" s="47">
        <v>1873945.7</v>
      </c>
      <c r="E4" s="47">
        <v>390621.29166666698</v>
      </c>
      <c r="F4" s="47">
        <v>3128434.5092758802</v>
      </c>
      <c r="G4" s="47">
        <v>196005.10555782501</v>
      </c>
      <c r="H4" s="47">
        <v>149388.532482348</v>
      </c>
      <c r="I4" s="47">
        <v>0</v>
      </c>
      <c r="J4" s="47">
        <v>345393.63804017298</v>
      </c>
      <c r="K4" s="47">
        <v>1000000</v>
      </c>
      <c r="L4" s="49">
        <v>2896</v>
      </c>
      <c r="M4" s="49">
        <v>2896</v>
      </c>
      <c r="N4" s="49">
        <v>200</v>
      </c>
      <c r="O4" s="47">
        <v>270</v>
      </c>
      <c r="P4" s="47">
        <v>0</v>
      </c>
      <c r="Q4" s="50">
        <v>357</v>
      </c>
    </row>
    <row r="5" spans="1:17" s="41" customFormat="1" ht="20.100000000000001" customHeight="1">
      <c r="A5" s="51" t="s">
        <v>5749</v>
      </c>
      <c r="B5" s="52">
        <v>4810852.79</v>
      </c>
      <c r="C5" s="53">
        <v>821381.74800000002</v>
      </c>
      <c r="D5" s="53">
        <v>1845204</v>
      </c>
      <c r="E5" s="53">
        <v>556195.73</v>
      </c>
      <c r="F5" s="54">
        <v>3222781.4780000001</v>
      </c>
      <c r="G5" s="53">
        <v>209010.97200000001</v>
      </c>
      <c r="H5" s="53">
        <v>123579.93</v>
      </c>
      <c r="I5" s="53">
        <v>0</v>
      </c>
      <c r="J5" s="55">
        <v>332590.902</v>
      </c>
      <c r="K5" s="55">
        <v>1255480.4099999999</v>
      </c>
      <c r="L5" s="55">
        <v>2750</v>
      </c>
      <c r="M5" s="55">
        <v>2800</v>
      </c>
      <c r="N5" s="55">
        <v>202</v>
      </c>
      <c r="O5" s="55">
        <v>286</v>
      </c>
      <c r="P5" s="55">
        <v>0</v>
      </c>
      <c r="Q5" s="55">
        <v>424</v>
      </c>
    </row>
    <row r="6" spans="1:17" s="41" customFormat="1" ht="20.100000000000001" customHeight="1">
      <c r="A6" s="56" t="s">
        <v>5750</v>
      </c>
      <c r="B6" s="57">
        <v>1</v>
      </c>
      <c r="C6" s="57">
        <v>1</v>
      </c>
      <c r="D6" s="58">
        <v>1</v>
      </c>
      <c r="E6" s="58">
        <v>1</v>
      </c>
      <c r="F6" s="58">
        <v>1</v>
      </c>
      <c r="G6" s="58">
        <v>1</v>
      </c>
      <c r="H6" s="58">
        <v>1</v>
      </c>
      <c r="I6" s="58">
        <v>1</v>
      </c>
      <c r="J6" s="58">
        <v>1</v>
      </c>
      <c r="K6" s="58">
        <v>1</v>
      </c>
      <c r="L6" s="58">
        <v>1</v>
      </c>
      <c r="M6" s="58">
        <v>1</v>
      </c>
      <c r="N6" s="58">
        <v>1</v>
      </c>
      <c r="O6" s="58">
        <v>1</v>
      </c>
      <c r="P6" s="58">
        <v>1</v>
      </c>
      <c r="Q6" s="58">
        <v>1</v>
      </c>
    </row>
    <row r="7" spans="1:17" s="41" customFormat="1" ht="20.100000000000001" customHeight="1">
      <c r="A7" s="59" t="s">
        <v>5751</v>
      </c>
      <c r="B7" s="60">
        <v>1.0753324963736299</v>
      </c>
      <c r="C7" s="60">
        <v>0.95081911433967303</v>
      </c>
      <c r="D7" s="59">
        <v>0.98466246914198197</v>
      </c>
      <c r="E7" s="59">
        <v>1.42387458611607</v>
      </c>
      <c r="F7" s="59">
        <v>1.0301578851800699</v>
      </c>
      <c r="G7" s="60">
        <v>1.06635473298086</v>
      </c>
      <c r="H7" s="59">
        <v>0.82723839605695604</v>
      </c>
      <c r="I7" s="59" t="e">
        <v>#DIV/0!</v>
      </c>
      <c r="J7" s="59">
        <v>0.96293291297194095</v>
      </c>
      <c r="K7" s="59">
        <v>1.2554804100000001</v>
      </c>
      <c r="L7" s="59">
        <v>0.949585635359116</v>
      </c>
      <c r="M7" s="59">
        <v>0.96685082872928196</v>
      </c>
      <c r="N7" s="59">
        <v>1.01</v>
      </c>
      <c r="O7" s="59">
        <v>1.05925925925926</v>
      </c>
      <c r="P7" s="59" t="e">
        <v>#DIV/0!</v>
      </c>
      <c r="Q7" s="59">
        <v>1.1876750700280101</v>
      </c>
    </row>
    <row r="8" spans="1:17" ht="21.15" customHeight="1">
      <c r="A8" s="61"/>
      <c r="B8" s="62"/>
      <c r="C8" s="61"/>
      <c r="D8" s="61"/>
      <c r="E8" s="62"/>
      <c r="F8" s="62"/>
      <c r="G8" s="61"/>
      <c r="H8" s="61"/>
      <c r="I8" s="62"/>
      <c r="J8" s="61"/>
      <c r="K8" s="63"/>
      <c r="L8" s="64"/>
      <c r="M8" s="61"/>
      <c r="N8" s="61"/>
      <c r="O8" s="62"/>
      <c r="P8" s="62"/>
    </row>
    <row r="9" spans="1:17">
      <c r="F9" s="65"/>
    </row>
    <row r="10" spans="1:17" ht="20.100000000000001" customHeight="1">
      <c r="B10" s="2050" t="s">
        <v>5752</v>
      </c>
      <c r="C10" s="2050"/>
      <c r="D10" s="2050"/>
      <c r="E10" s="2050"/>
      <c r="F10" s="2050"/>
      <c r="G10" s="2050"/>
      <c r="H10" s="2050"/>
      <c r="I10" s="2050"/>
      <c r="J10" s="2050"/>
    </row>
    <row r="11" spans="1:17" ht="18" customHeight="1">
      <c r="B11" s="66" t="s">
        <v>781</v>
      </c>
      <c r="C11" s="67" t="s">
        <v>33</v>
      </c>
      <c r="D11" s="66" t="s">
        <v>5753</v>
      </c>
      <c r="E11" s="66" t="s">
        <v>5754</v>
      </c>
      <c r="F11" s="66" t="s">
        <v>5755</v>
      </c>
      <c r="G11" s="66" t="s">
        <v>5756</v>
      </c>
      <c r="H11" s="66" t="s">
        <v>5754</v>
      </c>
      <c r="I11" s="66" t="s">
        <v>5755</v>
      </c>
      <c r="J11" s="66" t="s">
        <v>311</v>
      </c>
    </row>
    <row r="12" spans="1:17" ht="15.75" customHeight="1">
      <c r="B12" s="68" t="s">
        <v>789</v>
      </c>
      <c r="C12" s="68" t="s">
        <v>3959</v>
      </c>
      <c r="D12" s="69"/>
      <c r="E12" s="70" t="s">
        <v>5757</v>
      </c>
      <c r="F12" s="68"/>
      <c r="G12" s="68"/>
      <c r="H12" s="70" t="s">
        <v>5758</v>
      </c>
      <c r="I12" s="68"/>
      <c r="J12" s="71"/>
      <c r="K12" s="43">
        <f>SUMIF(综合考核!A:A,C12,综合考核!L:L)</f>
        <v>0</v>
      </c>
    </row>
    <row r="13" spans="1:17" ht="15.75" customHeight="1">
      <c r="B13" s="68" t="s">
        <v>566</v>
      </c>
      <c r="C13" s="68" t="s">
        <v>36</v>
      </c>
      <c r="D13" s="69"/>
      <c r="E13" s="70" t="s">
        <v>5757</v>
      </c>
      <c r="F13" s="68"/>
      <c r="G13" s="68"/>
      <c r="H13" s="70" t="s">
        <v>5758</v>
      </c>
      <c r="I13" s="68"/>
      <c r="J13" s="71"/>
      <c r="K13" s="43">
        <f>SUMIF(综合考核!A:A,C13,综合考核!L:L)</f>
        <v>0</v>
      </c>
    </row>
    <row r="14" spans="1:17" ht="15.75" customHeight="1">
      <c r="B14" s="68" t="s">
        <v>5759</v>
      </c>
      <c r="C14" s="68" t="s">
        <v>5760</v>
      </c>
      <c r="D14" s="69"/>
      <c r="E14" s="70" t="s">
        <v>5757</v>
      </c>
      <c r="F14" s="68"/>
      <c r="G14" s="68"/>
      <c r="H14" s="70" t="s">
        <v>5758</v>
      </c>
      <c r="I14" s="68"/>
      <c r="J14" s="71"/>
      <c r="K14" s="43">
        <f>SUMIF(综合考核!A:A,C14,综合考核!L:L)</f>
        <v>0</v>
      </c>
      <c r="M14" s="30">
        <f>J14-K14</f>
        <v>0</v>
      </c>
    </row>
    <row r="15" spans="1:17" ht="15.75" customHeight="1">
      <c r="B15" s="68" t="s">
        <v>5761</v>
      </c>
      <c r="C15" s="68" t="s">
        <v>5762</v>
      </c>
      <c r="D15" s="69"/>
      <c r="E15" s="70" t="s">
        <v>5757</v>
      </c>
      <c r="F15" s="68"/>
      <c r="G15" s="68"/>
      <c r="H15" s="70" t="s">
        <v>5758</v>
      </c>
      <c r="I15" s="68"/>
      <c r="J15" s="71"/>
      <c r="K15" s="43">
        <f>SUMIF(综合考核!A:A,C15,综合考核!L:L)</f>
        <v>0</v>
      </c>
      <c r="M15" s="30">
        <f t="shared" ref="M15:M67" si="0">J15-K15</f>
        <v>0</v>
      </c>
    </row>
    <row r="16" spans="1:17" ht="15.75" customHeight="1">
      <c r="B16" s="68" t="s">
        <v>594</v>
      </c>
      <c r="C16" s="68" t="s">
        <v>93</v>
      </c>
      <c r="D16" s="69"/>
      <c r="E16" s="70" t="s">
        <v>5757</v>
      </c>
      <c r="F16" s="68"/>
      <c r="G16" s="68"/>
      <c r="H16" s="70" t="s">
        <v>5758</v>
      </c>
      <c r="I16" s="68"/>
      <c r="J16" s="71"/>
      <c r="K16" s="43">
        <f>SUMIF(综合考核!A:A,C16,综合考核!L:L)</f>
        <v>0</v>
      </c>
      <c r="M16" s="30">
        <f t="shared" si="0"/>
        <v>0</v>
      </c>
    </row>
    <row r="17" spans="2:13" ht="15.75" customHeight="1">
      <c r="B17" s="68" t="s">
        <v>5763</v>
      </c>
      <c r="C17" s="68" t="s">
        <v>90</v>
      </c>
      <c r="D17" s="69"/>
      <c r="E17" s="70" t="s">
        <v>5757</v>
      </c>
      <c r="F17" s="68"/>
      <c r="G17" s="68"/>
      <c r="H17" s="70" t="s">
        <v>5758</v>
      </c>
      <c r="I17" s="68"/>
      <c r="J17" s="71"/>
      <c r="K17" s="43">
        <f>SUMIF(综合考核!A:A,C17,综合考核!L:L)</f>
        <v>0</v>
      </c>
      <c r="M17" s="30">
        <f t="shared" si="0"/>
        <v>0</v>
      </c>
    </row>
    <row r="18" spans="2:13" ht="15.75" customHeight="1">
      <c r="B18" s="68" t="s">
        <v>598</v>
      </c>
      <c r="C18" s="68" t="s">
        <v>5764</v>
      </c>
      <c r="D18" s="69"/>
      <c r="E18" s="70" t="s">
        <v>5765</v>
      </c>
      <c r="F18" s="68"/>
      <c r="G18" s="68"/>
      <c r="H18" s="70"/>
      <c r="I18" s="68"/>
      <c r="J18" s="71"/>
      <c r="K18" s="43">
        <f>SUMIF(综合考核!A:A,C18,综合考核!L:L)</f>
        <v>0</v>
      </c>
      <c r="M18" s="30">
        <f t="shared" si="0"/>
        <v>0</v>
      </c>
    </row>
    <row r="19" spans="2:13" ht="15.75" customHeight="1">
      <c r="B19" s="68" t="s">
        <v>5766</v>
      </c>
      <c r="C19" s="68" t="s">
        <v>101</v>
      </c>
      <c r="D19" s="69"/>
      <c r="E19" s="70" t="s">
        <v>5765</v>
      </c>
      <c r="F19" s="68"/>
      <c r="G19" s="68"/>
      <c r="H19" s="70"/>
      <c r="I19" s="68"/>
      <c r="J19" s="71"/>
      <c r="K19" s="43">
        <f>SUMIF(综合考核!A:A,C19,综合考核!L:L)</f>
        <v>0</v>
      </c>
      <c r="M19" s="30">
        <f t="shared" si="0"/>
        <v>0</v>
      </c>
    </row>
    <row r="20" spans="2:13" ht="15.75" customHeight="1">
      <c r="B20" s="68" t="s">
        <v>5767</v>
      </c>
      <c r="C20" s="68" t="s">
        <v>105</v>
      </c>
      <c r="D20" s="69"/>
      <c r="E20" s="70" t="s">
        <v>5765</v>
      </c>
      <c r="F20" s="68"/>
      <c r="G20" s="68"/>
      <c r="H20" s="70"/>
      <c r="I20" s="68"/>
      <c r="J20" s="71"/>
      <c r="K20" s="43">
        <f>SUMIF(综合考核!A:A,C20,综合考核!L:L)</f>
        <v>0</v>
      </c>
      <c r="M20" s="30">
        <f t="shared" si="0"/>
        <v>0</v>
      </c>
    </row>
    <row r="21" spans="2:13" ht="15.75" customHeight="1">
      <c r="B21" s="68" t="s">
        <v>5768</v>
      </c>
      <c r="C21" s="68" t="s">
        <v>107</v>
      </c>
      <c r="D21" s="69"/>
      <c r="E21" s="70" t="s">
        <v>5765</v>
      </c>
      <c r="F21" s="68"/>
      <c r="G21" s="68"/>
      <c r="H21" s="70"/>
      <c r="I21" s="68"/>
      <c r="J21" s="71"/>
      <c r="K21" s="43">
        <f>SUMIF(综合考核!A:A,C21,综合考核!L:L)</f>
        <v>0</v>
      </c>
      <c r="M21" s="30">
        <f t="shared" si="0"/>
        <v>0</v>
      </c>
    </row>
    <row r="22" spans="2:13" ht="15.75" customHeight="1">
      <c r="B22" s="2133" t="s">
        <v>46</v>
      </c>
      <c r="C22" s="68" t="s">
        <v>5769</v>
      </c>
      <c r="D22" s="69"/>
      <c r="E22" s="70" t="s">
        <v>5770</v>
      </c>
      <c r="F22" s="68"/>
      <c r="G22" s="68"/>
      <c r="H22" s="70" t="s">
        <v>5770</v>
      </c>
      <c r="I22" s="68"/>
      <c r="J22" s="71"/>
      <c r="K22" s="43">
        <f>SUMIF(综合考核!A:A,C22,综合考核!L:L)</f>
        <v>0</v>
      </c>
      <c r="M22" s="30">
        <f t="shared" si="0"/>
        <v>0</v>
      </c>
    </row>
    <row r="23" spans="2:13" ht="15.75" customHeight="1">
      <c r="B23" s="2133"/>
      <c r="C23" s="68" t="s">
        <v>60</v>
      </c>
      <c r="D23" s="69"/>
      <c r="E23" s="70" t="s">
        <v>5770</v>
      </c>
      <c r="F23" s="70"/>
      <c r="G23" s="68"/>
      <c r="H23" s="70" t="s">
        <v>5770</v>
      </c>
      <c r="I23" s="70"/>
      <c r="J23" s="71"/>
      <c r="K23" s="43">
        <f>SUMIF(综合考核!A:A,C23,综合考核!L:L)</f>
        <v>0</v>
      </c>
      <c r="M23" s="30">
        <f t="shared" si="0"/>
        <v>0</v>
      </c>
    </row>
    <row r="24" spans="2:13" ht="15.75" customHeight="1">
      <c r="B24" s="2133"/>
      <c r="C24" s="68" t="s">
        <v>5771</v>
      </c>
      <c r="D24" s="69"/>
      <c r="E24" s="70" t="s">
        <v>5770</v>
      </c>
      <c r="F24" s="70"/>
      <c r="G24" s="68"/>
      <c r="H24" s="70" t="s">
        <v>5772</v>
      </c>
      <c r="I24" s="70"/>
      <c r="J24" s="71"/>
      <c r="K24" s="43">
        <f>SUMIF(综合考核!A:A,C24,综合考核!L:L)</f>
        <v>0</v>
      </c>
      <c r="M24" s="30">
        <f t="shared" si="0"/>
        <v>0</v>
      </c>
    </row>
    <row r="25" spans="2:13" ht="15.75" customHeight="1">
      <c r="B25" s="2133"/>
      <c r="C25" s="68" t="s">
        <v>5773</v>
      </c>
      <c r="D25" s="69"/>
      <c r="E25" s="70" t="s">
        <v>5770</v>
      </c>
      <c r="F25" s="70"/>
      <c r="G25" s="68"/>
      <c r="H25" s="70" t="s">
        <v>5774</v>
      </c>
      <c r="I25" s="70"/>
      <c r="J25" s="71"/>
      <c r="K25" s="43">
        <f>SUMIF(综合考核!A:A,C25,综合考核!L:L)</f>
        <v>0</v>
      </c>
      <c r="M25" s="30">
        <f t="shared" si="0"/>
        <v>0</v>
      </c>
    </row>
    <row r="26" spans="2:13" ht="15.75" customHeight="1">
      <c r="B26" s="2133"/>
      <c r="C26" s="68" t="s">
        <v>5775</v>
      </c>
      <c r="D26" s="69"/>
      <c r="E26" s="70" t="s">
        <v>5770</v>
      </c>
      <c r="F26" s="70"/>
      <c r="G26" s="68"/>
      <c r="H26" s="70" t="s">
        <v>5774</v>
      </c>
      <c r="I26" s="70"/>
      <c r="J26" s="71"/>
      <c r="K26" s="43">
        <f>SUMIF(综合考核!A:A,C26,综合考核!L:L)</f>
        <v>0</v>
      </c>
      <c r="M26" s="30">
        <f t="shared" si="0"/>
        <v>0</v>
      </c>
    </row>
    <row r="27" spans="2:13" ht="15.75" customHeight="1">
      <c r="B27" s="2133"/>
      <c r="C27" s="68" t="s">
        <v>5776</v>
      </c>
      <c r="D27" s="69"/>
      <c r="E27" s="70" t="s">
        <v>5774</v>
      </c>
      <c r="F27" s="70"/>
      <c r="G27" s="68"/>
      <c r="H27" s="70" t="s">
        <v>5770</v>
      </c>
      <c r="I27" s="70"/>
      <c r="J27" s="71"/>
      <c r="K27" s="43">
        <f>SUMIF(综合考核!A:A,C27,综合考核!L:L)</f>
        <v>0</v>
      </c>
      <c r="M27" s="30">
        <f t="shared" si="0"/>
        <v>0</v>
      </c>
    </row>
    <row r="28" spans="2:13" ht="15.75" customHeight="1">
      <c r="B28" s="2133"/>
      <c r="C28" s="68" t="s">
        <v>200</v>
      </c>
      <c r="D28" s="69"/>
      <c r="E28" s="70" t="s">
        <v>5777</v>
      </c>
      <c r="F28" s="70"/>
      <c r="G28" s="68"/>
      <c r="H28" s="70" t="s">
        <v>5770</v>
      </c>
      <c r="I28" s="70"/>
      <c r="J28" s="71"/>
      <c r="K28" s="43">
        <f>SUMIF(综合考核!A:A,C28,综合考核!L:L)</f>
        <v>0</v>
      </c>
      <c r="M28" s="30">
        <f t="shared" si="0"/>
        <v>0</v>
      </c>
    </row>
    <row r="29" spans="2:13" ht="15.75" customHeight="1">
      <c r="B29" s="2133"/>
      <c r="C29" s="68" t="s">
        <v>5778</v>
      </c>
      <c r="D29" s="69"/>
      <c r="E29" s="70" t="s">
        <v>5777</v>
      </c>
      <c r="F29" s="70"/>
      <c r="G29" s="68"/>
      <c r="H29" s="70" t="s">
        <v>5774</v>
      </c>
      <c r="I29" s="70"/>
      <c r="J29" s="71"/>
      <c r="K29" s="43">
        <f>SUMIF(综合考核!A:A,C29,综合考核!L:L)</f>
        <v>0</v>
      </c>
      <c r="M29" s="30">
        <f t="shared" si="0"/>
        <v>0</v>
      </c>
    </row>
    <row r="30" spans="2:13" ht="15.75" customHeight="1">
      <c r="B30" s="2133"/>
      <c r="C30" s="68" t="s">
        <v>5779</v>
      </c>
      <c r="D30" s="69"/>
      <c r="E30" s="70" t="s">
        <v>5777</v>
      </c>
      <c r="F30" s="70"/>
      <c r="G30" s="68"/>
      <c r="H30" s="70" t="s">
        <v>5770</v>
      </c>
      <c r="I30" s="70"/>
      <c r="J30" s="71"/>
      <c r="K30" s="43">
        <f>SUMIF(综合考核!A:A,C30,综合考核!L:L)</f>
        <v>0</v>
      </c>
      <c r="M30" s="30">
        <f t="shared" si="0"/>
        <v>0</v>
      </c>
    </row>
    <row r="31" spans="2:13" ht="15.75" customHeight="1">
      <c r="B31" s="2133"/>
      <c r="C31" s="68" t="s">
        <v>212</v>
      </c>
      <c r="D31" s="69"/>
      <c r="E31" s="70" t="s">
        <v>5780</v>
      </c>
      <c r="F31" s="70"/>
      <c r="G31" s="68"/>
      <c r="H31" s="70" t="s">
        <v>5774</v>
      </c>
      <c r="I31" s="70"/>
      <c r="J31" s="71"/>
      <c r="K31" s="43">
        <f>SUMIF(综合考核!A:A,C31,综合考核!L:L)</f>
        <v>0</v>
      </c>
      <c r="M31" s="30">
        <f t="shared" si="0"/>
        <v>0</v>
      </c>
    </row>
    <row r="32" spans="2:13" ht="15.75" customHeight="1">
      <c r="B32" s="2134"/>
      <c r="C32" s="68" t="s">
        <v>5781</v>
      </c>
      <c r="D32" s="69"/>
      <c r="E32" s="70"/>
      <c r="F32" s="70"/>
      <c r="G32" s="68"/>
      <c r="H32" s="70" t="s">
        <v>5770</v>
      </c>
      <c r="I32" s="70"/>
      <c r="J32" s="71"/>
      <c r="K32" s="43">
        <f>SUMIF(综合考核!A:A,C32,综合考核!L:L)</f>
        <v>0</v>
      </c>
      <c r="M32" s="30">
        <f t="shared" si="0"/>
        <v>0</v>
      </c>
    </row>
    <row r="33" spans="2:13" ht="15.75" customHeight="1">
      <c r="B33" s="2135" t="s">
        <v>5129</v>
      </c>
      <c r="C33" s="68" t="s">
        <v>5782</v>
      </c>
      <c r="D33" s="2137"/>
      <c r="E33" s="2140" t="s">
        <v>5770</v>
      </c>
      <c r="F33" s="2140"/>
      <c r="G33" s="68"/>
      <c r="H33" s="71"/>
      <c r="I33" s="71"/>
      <c r="J33" s="71"/>
      <c r="K33" s="43">
        <f>SUMIF(综合考核!A:A,C33,综合考核!L:L)</f>
        <v>0</v>
      </c>
      <c r="M33" s="30">
        <f t="shared" si="0"/>
        <v>0</v>
      </c>
    </row>
    <row r="34" spans="2:13" ht="15.75" customHeight="1">
      <c r="B34" s="2136"/>
      <c r="C34" s="68" t="s">
        <v>5783</v>
      </c>
      <c r="D34" s="2138"/>
      <c r="E34" s="2141"/>
      <c r="F34" s="2141"/>
      <c r="G34" s="68"/>
      <c r="H34" s="71"/>
      <c r="I34" s="71"/>
      <c r="J34" s="71"/>
      <c r="K34" s="43">
        <f>SUMIF(综合考核!A:A,C34,综合考核!L:L)</f>
        <v>0</v>
      </c>
      <c r="M34" s="30">
        <f t="shared" si="0"/>
        <v>0</v>
      </c>
    </row>
    <row r="35" spans="2:13" ht="15.75" customHeight="1">
      <c r="B35" s="2136"/>
      <c r="C35" s="68" t="s">
        <v>152</v>
      </c>
      <c r="D35" s="2137"/>
      <c r="E35" s="2140" t="s">
        <v>5770</v>
      </c>
      <c r="F35" s="2140"/>
      <c r="G35" s="68"/>
      <c r="H35" s="71"/>
      <c r="I35" s="71"/>
      <c r="J35" s="71"/>
      <c r="K35" s="43">
        <f>SUMIF(综合考核!A:A,C35,综合考核!L:L)</f>
        <v>0</v>
      </c>
      <c r="M35" s="30">
        <f t="shared" si="0"/>
        <v>0</v>
      </c>
    </row>
    <row r="36" spans="2:13" ht="15.75" customHeight="1">
      <c r="B36" s="2136"/>
      <c r="C36" s="68" t="s">
        <v>147</v>
      </c>
      <c r="D36" s="2139"/>
      <c r="E36" s="2142"/>
      <c r="F36" s="2142"/>
      <c r="G36" s="68"/>
      <c r="H36" s="71"/>
      <c r="I36" s="71"/>
      <c r="J36" s="71"/>
      <c r="K36" s="43">
        <f>SUMIF(综合考核!A:A,C36,综合考核!L:L)</f>
        <v>0</v>
      </c>
      <c r="M36" s="30">
        <f t="shared" si="0"/>
        <v>0</v>
      </c>
    </row>
    <row r="37" spans="2:13" ht="15.75" customHeight="1">
      <c r="B37" s="2136"/>
      <c r="C37" s="68" t="s">
        <v>150</v>
      </c>
      <c r="D37" s="2139"/>
      <c r="E37" s="2142"/>
      <c r="F37" s="2142"/>
      <c r="G37" s="68"/>
      <c r="H37" s="71"/>
      <c r="I37" s="71"/>
      <c r="J37" s="71"/>
      <c r="K37" s="43">
        <f>SUMIF(综合考核!A:A,C37,综合考核!L:L)</f>
        <v>0</v>
      </c>
      <c r="M37" s="30">
        <f t="shared" si="0"/>
        <v>0</v>
      </c>
    </row>
    <row r="38" spans="2:13" ht="15.75" customHeight="1">
      <c r="B38" s="2136"/>
      <c r="C38" s="68" t="s">
        <v>148</v>
      </c>
      <c r="D38" s="2138"/>
      <c r="E38" s="2141"/>
      <c r="F38" s="2141"/>
      <c r="G38" s="68"/>
      <c r="H38" s="71"/>
      <c r="I38" s="71"/>
      <c r="J38" s="71"/>
      <c r="K38" s="43">
        <f>SUMIF(综合考核!A:A,C38,综合考核!L:L)</f>
        <v>0</v>
      </c>
      <c r="M38" s="30">
        <f t="shared" si="0"/>
        <v>0</v>
      </c>
    </row>
    <row r="39" spans="2:13" ht="15.75" customHeight="1">
      <c r="B39" s="2136"/>
      <c r="C39" s="68" t="s">
        <v>4524</v>
      </c>
      <c r="D39" s="69"/>
      <c r="E39" s="70" t="s">
        <v>5774</v>
      </c>
      <c r="F39" s="70"/>
      <c r="G39" s="68"/>
      <c r="H39" s="71"/>
      <c r="I39" s="71"/>
      <c r="J39" s="71"/>
      <c r="K39" s="43">
        <f>SUMIF(综合考核!A:A,C39,综合考核!L:L)</f>
        <v>0</v>
      </c>
      <c r="M39" s="30">
        <f t="shared" si="0"/>
        <v>0</v>
      </c>
    </row>
    <row r="40" spans="2:13" ht="15.75" customHeight="1">
      <c r="B40" s="2136"/>
      <c r="C40" s="68" t="s">
        <v>222</v>
      </c>
      <c r="D40" s="69"/>
      <c r="E40" s="70" t="s">
        <v>5774</v>
      </c>
      <c r="F40" s="70"/>
      <c r="G40" s="68"/>
      <c r="H40" s="71"/>
      <c r="I40" s="71"/>
      <c r="J40" s="71"/>
      <c r="K40" s="43">
        <f>SUMIF(综合考核!A:A,C40,综合考核!L:L)</f>
        <v>0</v>
      </c>
      <c r="M40" s="30">
        <f t="shared" si="0"/>
        <v>0</v>
      </c>
    </row>
    <row r="41" spans="2:13" ht="15.75" customHeight="1">
      <c r="B41" s="2136"/>
      <c r="C41" s="68" t="s">
        <v>117</v>
      </c>
      <c r="D41" s="2137"/>
      <c r="E41" s="2140" t="s">
        <v>5774</v>
      </c>
      <c r="F41" s="70"/>
      <c r="G41" s="68"/>
      <c r="H41" s="71"/>
      <c r="I41" s="71"/>
      <c r="J41" s="71"/>
      <c r="K41" s="43">
        <f>SUMIF(综合考核!A:A,C41,综合考核!L:L)</f>
        <v>0</v>
      </c>
      <c r="M41" s="30">
        <f t="shared" si="0"/>
        <v>0</v>
      </c>
    </row>
    <row r="42" spans="2:13" ht="15.75" customHeight="1">
      <c r="B42" s="2136"/>
      <c r="C42" s="68" t="s">
        <v>68</v>
      </c>
      <c r="D42" s="2139"/>
      <c r="E42" s="2142"/>
      <c r="F42" s="70"/>
      <c r="G42" s="68"/>
      <c r="H42" s="71"/>
      <c r="I42" s="71"/>
      <c r="J42" s="71"/>
      <c r="K42" s="43">
        <f>SUMIF(综合考核!A:A,C42,综合考核!L:L)</f>
        <v>0</v>
      </c>
      <c r="M42" s="30">
        <f t="shared" si="0"/>
        <v>0</v>
      </c>
    </row>
    <row r="43" spans="2:13" ht="15.75" customHeight="1">
      <c r="B43" s="2136"/>
      <c r="C43" s="68" t="s">
        <v>5784</v>
      </c>
      <c r="D43" s="2138"/>
      <c r="E43" s="2141"/>
      <c r="F43" s="70"/>
      <c r="G43" s="68"/>
      <c r="H43" s="71"/>
      <c r="I43" s="71"/>
      <c r="J43" s="71"/>
      <c r="K43" s="43">
        <f>SUMIF(综合考核!A:A,C43,综合考核!L:L)</f>
        <v>0</v>
      </c>
      <c r="M43" s="30">
        <f t="shared" si="0"/>
        <v>0</v>
      </c>
    </row>
    <row r="44" spans="2:13" ht="15.75" customHeight="1">
      <c r="B44" s="2136"/>
      <c r="C44" s="68" t="s">
        <v>5785</v>
      </c>
      <c r="D44" s="2137"/>
      <c r="E44" s="2140" t="s">
        <v>5774</v>
      </c>
      <c r="F44" s="70"/>
      <c r="G44" s="68"/>
      <c r="H44" s="71"/>
      <c r="I44" s="71"/>
      <c r="J44" s="71"/>
      <c r="K44" s="43">
        <f>SUMIF(综合考核!A:A,C44,综合考核!L:L)</f>
        <v>0</v>
      </c>
      <c r="M44" s="30">
        <f t="shared" si="0"/>
        <v>0</v>
      </c>
    </row>
    <row r="45" spans="2:13" ht="15.75" customHeight="1">
      <c r="B45" s="2136"/>
      <c r="C45" s="68" t="s">
        <v>226</v>
      </c>
      <c r="D45" s="2139"/>
      <c r="E45" s="2142"/>
      <c r="F45" s="70"/>
      <c r="G45" s="68"/>
      <c r="H45" s="71"/>
      <c r="I45" s="71"/>
      <c r="J45" s="71"/>
      <c r="K45" s="43">
        <f>SUMIF(综合考核!A:A,C45,综合考核!L:L)</f>
        <v>0</v>
      </c>
      <c r="M45" s="30">
        <f t="shared" si="0"/>
        <v>0</v>
      </c>
    </row>
    <row r="46" spans="2:13" ht="15.75" customHeight="1">
      <c r="B46" s="2136"/>
      <c r="C46" s="68" t="s">
        <v>5786</v>
      </c>
      <c r="D46" s="2138"/>
      <c r="E46" s="2141"/>
      <c r="F46" s="70"/>
      <c r="G46" s="68"/>
      <c r="H46" s="71"/>
      <c r="I46" s="71"/>
      <c r="J46" s="71"/>
      <c r="K46" s="43">
        <f>SUMIF(综合考核!A:A,C46,综合考核!L:L)</f>
        <v>0</v>
      </c>
      <c r="M46" s="30">
        <f t="shared" si="0"/>
        <v>0</v>
      </c>
    </row>
    <row r="47" spans="2:13" ht="15.75" customHeight="1">
      <c r="B47" s="2136"/>
      <c r="C47" s="68" t="s">
        <v>143</v>
      </c>
      <c r="D47" s="2137"/>
      <c r="E47" s="2140" t="s">
        <v>5774</v>
      </c>
      <c r="F47" s="70"/>
      <c r="G47" s="68"/>
      <c r="H47" s="71"/>
      <c r="I47" s="71"/>
      <c r="J47" s="71"/>
      <c r="K47" s="43">
        <f>SUMIF(综合考核!A:A,C47,综合考核!L:L)</f>
        <v>0</v>
      </c>
      <c r="M47" s="30">
        <f t="shared" si="0"/>
        <v>0</v>
      </c>
    </row>
    <row r="48" spans="2:13" ht="15.75" customHeight="1">
      <c r="B48" s="2136"/>
      <c r="C48" s="68" t="s">
        <v>5787</v>
      </c>
      <c r="D48" s="2139"/>
      <c r="E48" s="2142"/>
      <c r="F48" s="70"/>
      <c r="G48" s="68"/>
      <c r="H48" s="71"/>
      <c r="I48" s="71"/>
      <c r="J48" s="71"/>
      <c r="K48" s="43">
        <f>SUMIF(综合考核!A:A,C48,综合考核!L:L)</f>
        <v>0</v>
      </c>
      <c r="M48" s="30">
        <f t="shared" si="0"/>
        <v>0</v>
      </c>
    </row>
    <row r="49" spans="2:13" ht="15.75" customHeight="1">
      <c r="B49" s="2136"/>
      <c r="C49" s="68" t="s">
        <v>5788</v>
      </c>
      <c r="D49" s="2139"/>
      <c r="E49" s="2142"/>
      <c r="F49" s="70"/>
      <c r="G49" s="68"/>
      <c r="H49" s="71"/>
      <c r="I49" s="71"/>
      <c r="J49" s="71"/>
      <c r="K49" s="43">
        <f>SUMIF(综合考核!A:A,C49,综合考核!L:L)</f>
        <v>0</v>
      </c>
      <c r="M49" s="30">
        <f t="shared" si="0"/>
        <v>0</v>
      </c>
    </row>
    <row r="50" spans="2:13" ht="15.75" customHeight="1">
      <c r="B50" s="2136"/>
      <c r="C50" s="68" t="s">
        <v>5789</v>
      </c>
      <c r="D50" s="2138"/>
      <c r="E50" s="2141"/>
      <c r="F50" s="70"/>
      <c r="G50" s="68"/>
      <c r="H50" s="71"/>
      <c r="I50" s="71"/>
      <c r="J50" s="71"/>
      <c r="K50" s="43">
        <f>SUMIF(综合考核!A:A,C50,综合考核!L:L)</f>
        <v>0</v>
      </c>
      <c r="M50" s="30">
        <f t="shared" si="0"/>
        <v>0</v>
      </c>
    </row>
    <row r="51" spans="2:13" ht="15.75" customHeight="1">
      <c r="B51" s="2136"/>
      <c r="C51" s="68" t="s">
        <v>5790</v>
      </c>
      <c r="D51" s="2137"/>
      <c r="E51" s="2140" t="s">
        <v>5774</v>
      </c>
      <c r="F51" s="70"/>
      <c r="G51" s="68"/>
      <c r="H51" s="71"/>
      <c r="I51" s="71"/>
      <c r="J51" s="71"/>
      <c r="K51" s="43">
        <f>SUMIF(综合考核!A:A,C51,综合考核!L:L)</f>
        <v>0</v>
      </c>
      <c r="M51" s="30">
        <f t="shared" si="0"/>
        <v>0</v>
      </c>
    </row>
    <row r="52" spans="2:13" ht="15.75" customHeight="1">
      <c r="B52" s="2136"/>
      <c r="C52" s="68" t="s">
        <v>129</v>
      </c>
      <c r="D52" s="2138"/>
      <c r="E52" s="2141"/>
      <c r="F52" s="70"/>
      <c r="G52" s="68"/>
      <c r="H52" s="71"/>
      <c r="I52" s="71"/>
      <c r="J52" s="71"/>
      <c r="K52" s="43">
        <f>SUMIF(综合考核!A:A,C52,综合考核!L:L)</f>
        <v>0</v>
      </c>
      <c r="M52" s="30">
        <f t="shared" si="0"/>
        <v>0</v>
      </c>
    </row>
    <row r="53" spans="2:13" ht="15.75" customHeight="1">
      <c r="B53" s="2136"/>
      <c r="C53" s="68" t="s">
        <v>5791</v>
      </c>
      <c r="D53" s="2137"/>
      <c r="E53" s="2140" t="s">
        <v>5777</v>
      </c>
      <c r="F53" s="2140"/>
      <c r="G53" s="68"/>
      <c r="H53" s="71"/>
      <c r="I53" s="71"/>
      <c r="J53" s="71"/>
      <c r="K53" s="43">
        <f>SUMIF(综合考核!A:A,C53,综合考核!L:L)</f>
        <v>0</v>
      </c>
      <c r="M53" s="30">
        <f t="shared" si="0"/>
        <v>0</v>
      </c>
    </row>
    <row r="54" spans="2:13" ht="15.75" customHeight="1">
      <c r="B54" s="2136"/>
      <c r="C54" s="68" t="s">
        <v>136</v>
      </c>
      <c r="D54" s="2138"/>
      <c r="E54" s="2141"/>
      <c r="F54" s="2141"/>
      <c r="G54" s="68"/>
      <c r="H54" s="71"/>
      <c r="I54" s="71"/>
      <c r="J54" s="71"/>
      <c r="K54" s="43">
        <f>SUMIF(综合考核!A:A,C54,综合考核!L:L)</f>
        <v>0</v>
      </c>
      <c r="M54" s="30">
        <f t="shared" si="0"/>
        <v>0</v>
      </c>
    </row>
    <row r="55" spans="2:13" ht="15.75" customHeight="1">
      <c r="B55" s="2136"/>
      <c r="C55" s="68" t="s">
        <v>5165</v>
      </c>
      <c r="D55" s="2137"/>
      <c r="E55" s="2140" t="s">
        <v>5777</v>
      </c>
      <c r="F55" s="2140"/>
      <c r="G55" s="68"/>
      <c r="H55" s="71"/>
      <c r="I55" s="71"/>
      <c r="J55" s="71"/>
      <c r="K55" s="43">
        <f>SUMIF(综合考核!A:A,C55,综合考核!L:L)</f>
        <v>0</v>
      </c>
      <c r="M55" s="30">
        <f t="shared" si="0"/>
        <v>0</v>
      </c>
    </row>
    <row r="56" spans="2:13" ht="15.75" customHeight="1">
      <c r="B56" s="2136"/>
      <c r="C56" s="68" t="s">
        <v>373</v>
      </c>
      <c r="D56" s="2138"/>
      <c r="E56" s="2141"/>
      <c r="F56" s="2141"/>
      <c r="G56" s="68"/>
      <c r="H56" s="71"/>
      <c r="I56" s="71"/>
      <c r="J56" s="71"/>
      <c r="K56" s="43">
        <f>SUMIF(综合考核!A:A,C56,综合考核!L:L)</f>
        <v>0</v>
      </c>
      <c r="M56" s="30">
        <f t="shared" si="0"/>
        <v>0</v>
      </c>
    </row>
    <row r="57" spans="2:13" ht="15.75" customHeight="1">
      <c r="B57" s="2136"/>
      <c r="C57" s="68" t="s">
        <v>102</v>
      </c>
      <c r="D57" s="2137"/>
      <c r="E57" s="2140" t="s">
        <v>5777</v>
      </c>
      <c r="F57" s="2140"/>
      <c r="G57" s="68"/>
      <c r="H57" s="71"/>
      <c r="I57" s="71"/>
      <c r="J57" s="71"/>
      <c r="K57" s="43">
        <f>SUMIF(综合考核!A:A,C57,综合考核!L:L)</f>
        <v>0</v>
      </c>
      <c r="M57" s="30">
        <f t="shared" si="0"/>
        <v>0</v>
      </c>
    </row>
    <row r="58" spans="2:13" ht="15.75" customHeight="1">
      <c r="B58" s="2136"/>
      <c r="C58" s="68" t="s">
        <v>5792</v>
      </c>
      <c r="D58" s="2139"/>
      <c r="E58" s="2142"/>
      <c r="F58" s="2142"/>
      <c r="G58" s="68"/>
      <c r="H58" s="71"/>
      <c r="I58" s="71"/>
      <c r="J58" s="71"/>
      <c r="K58" s="43">
        <f>SUMIF(综合考核!A:A,C58,综合考核!L:L)</f>
        <v>0</v>
      </c>
      <c r="M58" s="30">
        <f t="shared" si="0"/>
        <v>0</v>
      </c>
    </row>
    <row r="59" spans="2:13" ht="15.75" customHeight="1">
      <c r="B59" s="2136"/>
      <c r="C59" s="68" t="s">
        <v>224</v>
      </c>
      <c r="D59" s="2138"/>
      <c r="E59" s="2141"/>
      <c r="F59" s="2141"/>
      <c r="G59" s="68"/>
      <c r="H59" s="71"/>
      <c r="I59" s="71"/>
      <c r="J59" s="71"/>
      <c r="K59" s="43">
        <f>SUMIF(综合考核!A:A,C59,综合考核!L:L)</f>
        <v>0</v>
      </c>
      <c r="M59" s="30">
        <f t="shared" si="0"/>
        <v>0</v>
      </c>
    </row>
    <row r="60" spans="2:13" ht="15.75" customHeight="1">
      <c r="B60" s="2136"/>
      <c r="C60" s="68" t="s">
        <v>5793</v>
      </c>
      <c r="D60" s="69"/>
      <c r="E60" s="70" t="s">
        <v>5780</v>
      </c>
      <c r="F60" s="70"/>
      <c r="G60" s="68"/>
      <c r="H60" s="71"/>
      <c r="I60" s="71"/>
      <c r="J60" s="71"/>
      <c r="K60" s="43">
        <f>SUMIF(综合考核!A:A,C60,综合考核!L:L)</f>
        <v>0</v>
      </c>
      <c r="M60" s="30">
        <f t="shared" si="0"/>
        <v>0</v>
      </c>
    </row>
    <row r="61" spans="2:13" ht="15.75" customHeight="1">
      <c r="B61" s="72" t="s">
        <v>5794</v>
      </c>
      <c r="C61" s="68" t="s">
        <v>48</v>
      </c>
      <c r="D61" s="2137"/>
      <c r="E61" s="70"/>
      <c r="F61" s="2140"/>
      <c r="G61" s="68"/>
      <c r="H61" s="71"/>
      <c r="I61" s="71"/>
      <c r="J61" s="71"/>
      <c r="K61" s="43">
        <f>SUMIF(综合考核!A:A,C61,综合考核!L:L)</f>
        <v>0</v>
      </c>
      <c r="M61" s="30">
        <f t="shared" si="0"/>
        <v>0</v>
      </c>
    </row>
    <row r="62" spans="2:13" ht="15.75" customHeight="1">
      <c r="B62" s="72"/>
      <c r="C62" s="68" t="s">
        <v>5795</v>
      </c>
      <c r="D62" s="2139"/>
      <c r="E62" s="70"/>
      <c r="F62" s="2142"/>
      <c r="G62" s="68"/>
      <c r="H62" s="71"/>
      <c r="I62" s="71"/>
      <c r="J62" s="71"/>
      <c r="K62" s="43">
        <f>SUMIF(综合考核!A:A,C62,综合考核!L:L)</f>
        <v>0</v>
      </c>
      <c r="M62" s="30">
        <f t="shared" si="0"/>
        <v>0</v>
      </c>
    </row>
    <row r="63" spans="2:13" ht="15.75" customHeight="1">
      <c r="B63" s="72"/>
      <c r="C63" s="68" t="s">
        <v>5796</v>
      </c>
      <c r="D63" s="2139"/>
      <c r="E63" s="70"/>
      <c r="F63" s="2142"/>
      <c r="G63" s="68"/>
      <c r="H63" s="71"/>
      <c r="I63" s="71"/>
      <c r="J63" s="71"/>
      <c r="K63" s="43">
        <f>SUMIF(综合考核!A:A,C63,综合考核!L:L)</f>
        <v>0</v>
      </c>
      <c r="M63" s="30">
        <f t="shared" si="0"/>
        <v>0</v>
      </c>
    </row>
    <row r="64" spans="2:13" ht="15.75" customHeight="1">
      <c r="B64" s="72"/>
      <c r="C64" s="68" t="s">
        <v>5797</v>
      </c>
      <c r="D64" s="2138"/>
      <c r="E64" s="70"/>
      <c r="F64" s="2141"/>
      <c r="G64" s="68"/>
      <c r="H64" s="71"/>
      <c r="I64" s="71"/>
      <c r="J64" s="71"/>
      <c r="K64" s="43">
        <f>SUMIF(综合考核!A:A,C64,综合考核!L:L)</f>
        <v>0</v>
      </c>
      <c r="M64" s="30">
        <f t="shared" si="0"/>
        <v>0</v>
      </c>
    </row>
    <row r="65" spans="2:13" ht="15.75" customHeight="1">
      <c r="B65" s="72" t="s">
        <v>5798</v>
      </c>
      <c r="C65" s="68" t="s">
        <v>5799</v>
      </c>
      <c r="D65" s="2137"/>
      <c r="E65" s="70"/>
      <c r="F65" s="2140"/>
      <c r="G65" s="68"/>
      <c r="H65" s="71"/>
      <c r="I65" s="71"/>
      <c r="J65" s="71"/>
      <c r="K65" s="43">
        <f>SUMIF(综合考核!A:A,C65,综合考核!L:L)</f>
        <v>0</v>
      </c>
      <c r="M65" s="30">
        <f t="shared" si="0"/>
        <v>0</v>
      </c>
    </row>
    <row r="66" spans="2:13" ht="15.75" customHeight="1">
      <c r="B66" s="72"/>
      <c r="C66" s="68" t="s">
        <v>5800</v>
      </c>
      <c r="D66" s="2139"/>
      <c r="E66" s="70"/>
      <c r="F66" s="2142"/>
      <c r="G66" s="68"/>
      <c r="H66" s="71"/>
      <c r="I66" s="71"/>
      <c r="J66" s="71"/>
      <c r="K66" s="43">
        <f>SUMIF(综合考核!A:A,C66,综合考核!L:L)</f>
        <v>0</v>
      </c>
      <c r="M66" s="30">
        <f t="shared" si="0"/>
        <v>0</v>
      </c>
    </row>
    <row r="67" spans="2:13" ht="15.75" customHeight="1">
      <c r="B67" s="72"/>
      <c r="C67" s="68" t="s">
        <v>2135</v>
      </c>
      <c r="D67" s="2138"/>
      <c r="E67" s="70"/>
      <c r="F67" s="2141"/>
      <c r="G67" s="68"/>
      <c r="H67" s="71"/>
      <c r="I67" s="71"/>
      <c r="J67" s="71"/>
      <c r="K67" s="43">
        <f>SUMIF(综合考核!A:A,C67,综合考核!L:L)</f>
        <v>0</v>
      </c>
      <c r="M67" s="30">
        <f t="shared" si="0"/>
        <v>0</v>
      </c>
    </row>
    <row r="68" spans="2:13" ht="15.75" customHeight="1">
      <c r="B68" s="51" t="s">
        <v>311</v>
      </c>
      <c r="C68" s="51"/>
      <c r="D68" s="51"/>
      <c r="E68" s="51"/>
      <c r="F68" s="51"/>
      <c r="G68" s="51"/>
      <c r="H68" s="51"/>
      <c r="I68" s="51"/>
      <c r="J68" s="51">
        <f>SUM(J12:J67)</f>
        <v>0</v>
      </c>
    </row>
    <row r="70" spans="2:13">
      <c r="C70" s="73"/>
    </row>
    <row r="71" spans="2:13">
      <c r="C71" s="73"/>
    </row>
    <row r="72" spans="2:13">
      <c r="C72" s="73"/>
    </row>
    <row r="73" spans="2:13">
      <c r="C73" s="73"/>
    </row>
    <row r="74" spans="2:13">
      <c r="C74" s="73"/>
    </row>
    <row r="75" spans="2:13">
      <c r="C75" s="73"/>
    </row>
    <row r="76" spans="2:13">
      <c r="C76" s="73"/>
    </row>
    <row r="77" spans="2:13">
      <c r="C77" s="73"/>
    </row>
    <row r="78" spans="2:13">
      <c r="C78" s="73"/>
    </row>
    <row r="79" spans="2:13">
      <c r="C79" s="73"/>
    </row>
    <row r="80" spans="2:13">
      <c r="C80" s="73"/>
    </row>
    <row r="81" spans="3:3">
      <c r="C81" s="73"/>
    </row>
    <row r="82" spans="3:3">
      <c r="C82" s="73"/>
    </row>
    <row r="83" spans="3:3">
      <c r="C83" s="73"/>
    </row>
    <row r="84" spans="3:3">
      <c r="C84" s="73"/>
    </row>
    <row r="85" spans="3:3">
      <c r="C85" s="73"/>
    </row>
    <row r="86" spans="3:3">
      <c r="C86" s="73"/>
    </row>
    <row r="87" spans="3:3">
      <c r="C87" s="73"/>
    </row>
    <row r="88" spans="3:3">
      <c r="C88" s="73"/>
    </row>
    <row r="89" spans="3:3">
      <c r="C89" s="73"/>
    </row>
    <row r="90" spans="3:3">
      <c r="C90" s="73"/>
    </row>
    <row r="91" spans="3:3">
      <c r="C91" s="73"/>
    </row>
    <row r="92" spans="3:3">
      <c r="C92" s="73"/>
    </row>
    <row r="93" spans="3:3">
      <c r="C93" s="73"/>
    </row>
    <row r="94" spans="3:3">
      <c r="C94" s="73"/>
    </row>
    <row r="95" spans="3:3">
      <c r="C95" s="73"/>
    </row>
    <row r="96" spans="3:3">
      <c r="C96" s="73"/>
    </row>
    <row r="97" spans="3:3">
      <c r="C97" s="73"/>
    </row>
    <row r="98" spans="3:3">
      <c r="C98" s="73"/>
    </row>
    <row r="99" spans="3:3">
      <c r="C99" s="73"/>
    </row>
    <row r="100" spans="3:3">
      <c r="C100" s="73"/>
    </row>
    <row r="101" spans="3:3">
      <c r="C101" s="73"/>
    </row>
    <row r="102" spans="3:3">
      <c r="C102" s="73"/>
    </row>
    <row r="103" spans="3:3">
      <c r="C103" s="73"/>
    </row>
    <row r="104" spans="3:3">
      <c r="C104" s="73"/>
    </row>
    <row r="105" spans="3:3">
      <c r="C105" s="73"/>
    </row>
    <row r="106" spans="3:3">
      <c r="C106" s="73"/>
    </row>
    <row r="107" spans="3:3">
      <c r="C107" s="73"/>
    </row>
    <row r="108" spans="3:3">
      <c r="C108" s="73"/>
    </row>
    <row r="109" spans="3:3">
      <c r="C109" s="73"/>
    </row>
    <row r="110" spans="3:3">
      <c r="C110" s="73"/>
    </row>
    <row r="111" spans="3:3">
      <c r="C111" s="73"/>
    </row>
    <row r="112" spans="3:3">
      <c r="C112" s="73"/>
    </row>
    <row r="113" spans="3:3">
      <c r="C113" s="73"/>
    </row>
    <row r="114" spans="3:3">
      <c r="C114" s="73"/>
    </row>
    <row r="115" spans="3:3">
      <c r="C115" s="73"/>
    </row>
    <row r="116" spans="3:3">
      <c r="C116" s="73"/>
    </row>
    <row r="117" spans="3:3">
      <c r="C117" s="73"/>
    </row>
    <row r="118" spans="3:3">
      <c r="C118" s="73"/>
    </row>
    <row r="119" spans="3:3">
      <c r="C119" s="73"/>
    </row>
    <row r="120" spans="3:3">
      <c r="C120" s="73"/>
    </row>
    <row r="121" spans="3:3">
      <c r="C121" s="73"/>
    </row>
    <row r="122" spans="3:3">
      <c r="C122" s="73"/>
    </row>
    <row r="123" spans="3:3">
      <c r="C123" s="73"/>
    </row>
    <row r="124" spans="3:3">
      <c r="C124" s="73"/>
    </row>
    <row r="125" spans="3:3">
      <c r="C125" s="73"/>
    </row>
    <row r="126" spans="3:3">
      <c r="C126" s="73"/>
    </row>
    <row r="127" spans="3:3">
      <c r="C127" s="73"/>
    </row>
    <row r="128" spans="3:3">
      <c r="C128" s="73"/>
    </row>
    <row r="129" spans="3:3">
      <c r="C129" s="73"/>
    </row>
    <row r="130" spans="3:3">
      <c r="C130" s="73"/>
    </row>
    <row r="131" spans="3:3">
      <c r="C131" s="73"/>
    </row>
    <row r="132" spans="3:3">
      <c r="C132" s="73"/>
    </row>
    <row r="133" spans="3:3">
      <c r="C133" s="73"/>
    </row>
    <row r="134" spans="3:3">
      <c r="C134" s="73"/>
    </row>
    <row r="135" spans="3:3">
      <c r="C135" s="73"/>
    </row>
    <row r="136" spans="3:3">
      <c r="C136" s="73"/>
    </row>
    <row r="137" spans="3:3">
      <c r="C137" s="73"/>
    </row>
    <row r="138" spans="3:3">
      <c r="C138" s="73"/>
    </row>
    <row r="139" spans="3:3">
      <c r="C139" s="73"/>
    </row>
    <row r="140" spans="3:3">
      <c r="C140" s="73"/>
    </row>
    <row r="141" spans="3:3">
      <c r="C141" s="73"/>
    </row>
    <row r="142" spans="3:3">
      <c r="C142" s="73"/>
    </row>
    <row r="143" spans="3:3">
      <c r="C143" s="73"/>
    </row>
    <row r="144" spans="3:3">
      <c r="C144" s="73"/>
    </row>
    <row r="145" spans="3:3">
      <c r="C145" s="73"/>
    </row>
    <row r="146" spans="3:3">
      <c r="C146" s="73"/>
    </row>
    <row r="147" spans="3:3">
      <c r="C147" s="73"/>
    </row>
    <row r="148" spans="3:3">
      <c r="C148" s="73"/>
    </row>
    <row r="149" spans="3:3">
      <c r="C149" s="73"/>
    </row>
    <row r="150" spans="3:3">
      <c r="C150" s="73"/>
    </row>
    <row r="151" spans="3:3">
      <c r="C151" s="73"/>
    </row>
    <row r="152" spans="3:3">
      <c r="C152" s="73"/>
    </row>
    <row r="153" spans="3:3">
      <c r="C153" s="73"/>
    </row>
    <row r="154" spans="3:3">
      <c r="C154" s="73"/>
    </row>
    <row r="155" spans="3:3">
      <c r="C155" s="73"/>
    </row>
    <row r="156" spans="3:3">
      <c r="C156" s="73"/>
    </row>
    <row r="157" spans="3:3">
      <c r="C157" s="73"/>
    </row>
    <row r="158" spans="3:3">
      <c r="C158" s="73"/>
    </row>
    <row r="159" spans="3:3">
      <c r="C159" s="73"/>
    </row>
    <row r="160" spans="3:3">
      <c r="C160" s="73"/>
    </row>
    <row r="161" spans="3:3">
      <c r="C161" s="73"/>
    </row>
    <row r="162" spans="3:3">
      <c r="C162" s="73"/>
    </row>
    <row r="163" spans="3:3">
      <c r="C163" s="73"/>
    </row>
    <row r="164" spans="3:3">
      <c r="C164" s="73"/>
    </row>
    <row r="165" spans="3:3">
      <c r="C165" s="73"/>
    </row>
    <row r="166" spans="3:3">
      <c r="C166" s="73"/>
    </row>
    <row r="167" spans="3:3">
      <c r="C167" s="73"/>
    </row>
    <row r="168" spans="3:3">
      <c r="C168" s="73"/>
    </row>
    <row r="169" spans="3:3">
      <c r="C169" s="73"/>
    </row>
    <row r="170" spans="3:3">
      <c r="C170" s="73"/>
    </row>
    <row r="171" spans="3:3">
      <c r="C171" s="73"/>
    </row>
    <row r="172" spans="3:3">
      <c r="C172" s="73"/>
    </row>
    <row r="173" spans="3:3">
      <c r="C173" s="73"/>
    </row>
    <row r="174" spans="3:3">
      <c r="C174" s="73"/>
    </row>
    <row r="175" spans="3:3">
      <c r="C175" s="73"/>
    </row>
    <row r="176" spans="3:3">
      <c r="C176" s="73"/>
    </row>
    <row r="177" spans="3:3">
      <c r="C177" s="73"/>
    </row>
    <row r="178" spans="3:3">
      <c r="C178" s="73"/>
    </row>
    <row r="179" spans="3:3">
      <c r="C179" s="73"/>
    </row>
    <row r="180" spans="3:3">
      <c r="C180" s="73"/>
    </row>
    <row r="181" spans="3:3">
      <c r="C181" s="73"/>
    </row>
    <row r="182" spans="3:3">
      <c r="C182" s="73"/>
    </row>
  </sheetData>
  <mergeCells count="37">
    <mergeCell ref="F53:F54"/>
    <mergeCell ref="F55:F56"/>
    <mergeCell ref="F57:F59"/>
    <mergeCell ref="F61:F64"/>
    <mergeCell ref="F65:F67"/>
    <mergeCell ref="D61:D64"/>
    <mergeCell ref="D65:D67"/>
    <mergeCell ref="E33:E34"/>
    <mergeCell ref="E35:E38"/>
    <mergeCell ref="E41:E43"/>
    <mergeCell ref="E44:E46"/>
    <mergeCell ref="E47:E50"/>
    <mergeCell ref="E51:E52"/>
    <mergeCell ref="E53:E54"/>
    <mergeCell ref="E55:E56"/>
    <mergeCell ref="E57:E59"/>
    <mergeCell ref="B10:J10"/>
    <mergeCell ref="A2:A3"/>
    <mergeCell ref="B2:B3"/>
    <mergeCell ref="B22:B32"/>
    <mergeCell ref="B33:B60"/>
    <mergeCell ref="D33:D34"/>
    <mergeCell ref="D35:D38"/>
    <mergeCell ref="D41:D43"/>
    <mergeCell ref="D44:D46"/>
    <mergeCell ref="D47:D50"/>
    <mergeCell ref="D51:D52"/>
    <mergeCell ref="D53:D54"/>
    <mergeCell ref="D55:D56"/>
    <mergeCell ref="D57:D59"/>
    <mergeCell ref="F33:F34"/>
    <mergeCell ref="F35:F38"/>
    <mergeCell ref="A1:Q1"/>
    <mergeCell ref="C2:F2"/>
    <mergeCell ref="G2:J2"/>
    <mergeCell ref="L2:M2"/>
    <mergeCell ref="N2:Q2"/>
  </mergeCells>
  <phoneticPr fontId="5" type="noConversion"/>
  <conditionalFormatting sqref="C12:C188">
    <cfRule type="duplicateValues" dxfId="57" priority="1"/>
  </conditionalFormatting>
  <pageMargins left="0.69930555555555596" right="0.69930555555555596" top="0.75" bottom="0.75" header="0.3" footer="0.3"/>
  <pageSetup paperSize="11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4"/>
  <dimension ref="A1:P25"/>
  <sheetViews>
    <sheetView workbookViewId="0">
      <selection activeCell="F10" sqref="F10"/>
    </sheetView>
  </sheetViews>
  <sheetFormatPr defaultColWidth="9" defaultRowHeight="14.4"/>
  <cols>
    <col min="2" max="2" width="11.6640625" style="31" customWidth="1"/>
    <col min="3" max="3" width="12" style="31" customWidth="1"/>
    <col min="4" max="4" width="11.6640625" style="31" customWidth="1"/>
    <col min="5" max="5" width="15.88671875" style="31" customWidth="1"/>
    <col min="6" max="6" width="11.44140625" style="31" customWidth="1"/>
    <col min="7" max="7" width="11.6640625" style="31" customWidth="1"/>
    <col min="8" max="8" width="13.88671875" style="31" customWidth="1"/>
    <col min="9" max="9" width="14.21875" style="31" customWidth="1"/>
    <col min="10" max="11" width="13.88671875" style="31" customWidth="1"/>
    <col min="12" max="13" width="11.6640625" style="31" customWidth="1"/>
    <col min="16" max="16" width="11.6640625" customWidth="1"/>
  </cols>
  <sheetData>
    <row r="1" spans="1:16" ht="41.25" customHeight="1">
      <c r="A1" s="32" t="s">
        <v>5801</v>
      </c>
      <c r="B1" s="33" t="s">
        <v>5802</v>
      </c>
      <c r="C1" s="33" t="s">
        <v>324</v>
      </c>
      <c r="D1" s="33" t="s">
        <v>984</v>
      </c>
      <c r="E1" s="33" t="s">
        <v>5803</v>
      </c>
      <c r="F1" s="33" t="s">
        <v>324</v>
      </c>
      <c r="G1" s="33" t="s">
        <v>984</v>
      </c>
      <c r="H1" s="33" t="s">
        <v>5804</v>
      </c>
      <c r="I1" s="33" t="s">
        <v>324</v>
      </c>
      <c r="J1" s="33" t="s">
        <v>984</v>
      </c>
      <c r="K1" s="33" t="s">
        <v>4876</v>
      </c>
      <c r="L1" s="33" t="s">
        <v>5805</v>
      </c>
      <c r="M1" s="33" t="s">
        <v>5806</v>
      </c>
    </row>
    <row r="2" spans="1:16" s="30" customFormat="1" ht="26.4" customHeight="1">
      <c r="A2" s="34">
        <v>5</v>
      </c>
      <c r="B2" s="35">
        <f>C11</f>
        <v>4048</v>
      </c>
      <c r="C2" s="35">
        <v>1.2</v>
      </c>
      <c r="D2" s="35">
        <f>C2*B2</f>
        <v>4857.6000000000004</v>
      </c>
      <c r="E2" s="35">
        <f>D11</f>
        <v>77</v>
      </c>
      <c r="F2" s="35">
        <v>2</v>
      </c>
      <c r="G2" s="35">
        <f>F2*E2</f>
        <v>154</v>
      </c>
      <c r="H2" s="35">
        <f>E11</f>
        <v>62019</v>
      </c>
      <c r="I2" s="36">
        <v>3.0000000000000001E-3</v>
      </c>
      <c r="J2" s="35">
        <f>I2*H2</f>
        <v>186.05699999999999</v>
      </c>
      <c r="K2" s="37">
        <f>(J2+G2+D2)</f>
        <v>5197.6570000000002</v>
      </c>
      <c r="L2" s="35">
        <v>1700</v>
      </c>
      <c r="M2" s="35">
        <f>L2+K2</f>
        <v>6897.6570000000002</v>
      </c>
      <c r="P2" s="38"/>
    </row>
    <row r="3" spans="1:16" ht="24.75" customHeight="1"/>
    <row r="10" spans="1:16" ht="19.2" customHeight="1">
      <c r="B10" s="39" t="s">
        <v>5801</v>
      </c>
      <c r="C10" s="39" t="s">
        <v>5802</v>
      </c>
      <c r="D10" s="39" t="s">
        <v>5803</v>
      </c>
      <c r="E10" s="39" t="s">
        <v>5804</v>
      </c>
    </row>
    <row r="11" spans="1:16" ht="19.2" customHeight="1">
      <c r="B11" s="39" t="s">
        <v>5807</v>
      </c>
      <c r="C11" s="39">
        <v>4048</v>
      </c>
      <c r="D11" s="39">
        <v>77</v>
      </c>
      <c r="E11" s="40">
        <v>62019</v>
      </c>
    </row>
    <row r="25" ht="12.9" customHeight="1"/>
  </sheetData>
  <phoneticPr fontId="5" type="noConversion"/>
  <pageMargins left="0.69930555555555596" right="0.69930555555555596" top="0.75" bottom="0.75" header="0.3" footer="0.3"/>
  <pageSetup paperSize="119"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5"/>
  <dimension ref="A1:R234"/>
  <sheetViews>
    <sheetView topLeftCell="C48" zoomScale="80" zoomScaleNormal="80" workbookViewId="0">
      <selection activeCell="Q67" sqref="Q67"/>
    </sheetView>
  </sheetViews>
  <sheetFormatPr defaultColWidth="9" defaultRowHeight="15.6"/>
  <cols>
    <col min="1" max="2" width="11.77734375" style="2" customWidth="1"/>
    <col min="3" max="3" width="9" style="2"/>
    <col min="4" max="4" width="8.44140625" style="3" customWidth="1"/>
    <col min="5" max="5" width="9.44140625" style="4" customWidth="1"/>
    <col min="6" max="7" width="14.88671875" style="5" customWidth="1"/>
    <col min="8" max="8" width="13.77734375" style="4" customWidth="1"/>
    <col min="9" max="9" width="10.88671875" style="4" customWidth="1"/>
    <col min="10" max="10" width="11.109375" style="4" customWidth="1"/>
    <col min="11" max="11" width="10.6640625" style="6" customWidth="1"/>
    <col min="12" max="12" width="11.109375" style="4" customWidth="1"/>
    <col min="13" max="13" width="13.44140625" style="4" customWidth="1"/>
    <col min="14" max="14" width="15.21875" style="6" customWidth="1"/>
    <col min="15" max="15" width="12" style="7" customWidth="1"/>
    <col min="16" max="16" width="9" style="7"/>
    <col min="17" max="17" width="15.33203125" style="7" customWidth="1"/>
    <col min="18" max="18" width="15.44140625" style="7" customWidth="1"/>
    <col min="19" max="16384" width="9" style="7"/>
  </cols>
  <sheetData>
    <row r="1" spans="1:18" ht="33.75" customHeight="1">
      <c r="A1" s="2143" t="s">
        <v>5808</v>
      </c>
      <c r="B1" s="2143"/>
      <c r="C1" s="2143"/>
      <c r="D1" s="2144"/>
      <c r="E1" s="2145"/>
      <c r="F1" s="2146"/>
      <c r="G1" s="2146"/>
      <c r="H1" s="2145"/>
      <c r="I1" s="8"/>
      <c r="J1" s="8"/>
      <c r="L1" s="8"/>
      <c r="M1" s="8"/>
    </row>
    <row r="2" spans="1:18" ht="47.1" customHeight="1">
      <c r="A2" s="9" t="s">
        <v>316</v>
      </c>
      <c r="B2" s="9" t="s">
        <v>5809</v>
      </c>
      <c r="C2" s="9" t="s">
        <v>33</v>
      </c>
      <c r="D2" s="10" t="s">
        <v>5810</v>
      </c>
      <c r="E2" s="11" t="s">
        <v>5811</v>
      </c>
      <c r="F2" s="11" t="s">
        <v>5812</v>
      </c>
      <c r="G2" s="11" t="s">
        <v>5813</v>
      </c>
      <c r="H2" s="11" t="s">
        <v>5814</v>
      </c>
      <c r="I2" s="11" t="s">
        <v>5815</v>
      </c>
      <c r="J2" s="11" t="s">
        <v>3149</v>
      </c>
      <c r="K2" s="12" t="s">
        <v>5816</v>
      </c>
      <c r="L2" s="11" t="s">
        <v>5817</v>
      </c>
      <c r="M2" s="11" t="s">
        <v>5818</v>
      </c>
      <c r="N2" s="12" t="s">
        <v>5817</v>
      </c>
      <c r="O2" s="6"/>
      <c r="Q2" s="7" t="s">
        <v>5819</v>
      </c>
      <c r="R2" s="7" t="s">
        <v>5817</v>
      </c>
    </row>
    <row r="3" spans="1:18">
      <c r="A3" s="13" t="s">
        <v>5820</v>
      </c>
      <c r="B3" s="13" t="s">
        <v>5821</v>
      </c>
      <c r="C3" s="14" t="s">
        <v>943</v>
      </c>
      <c r="D3" s="15">
        <v>1</v>
      </c>
      <c r="E3" s="16"/>
      <c r="F3" s="17">
        <f>D3*E3</f>
        <v>0</v>
      </c>
      <c r="G3" s="17">
        <f>F3</f>
        <v>0</v>
      </c>
      <c r="H3" s="17">
        <f>F3-G3</f>
        <v>0</v>
      </c>
      <c r="I3" s="17"/>
      <c r="J3" s="17"/>
      <c r="K3" s="18">
        <f>J3*0.5</f>
        <v>0</v>
      </c>
      <c r="L3" s="17">
        <f>J3*0.5</f>
        <v>0</v>
      </c>
      <c r="M3" s="17">
        <f>SUM(G3,K3)</f>
        <v>0</v>
      </c>
      <c r="N3" s="18">
        <f>SUM(H3,L3)</f>
        <v>0</v>
      </c>
      <c r="O3" s="6"/>
      <c r="P3" s="7" t="s">
        <v>5821</v>
      </c>
      <c r="Q3" s="6">
        <f t="shared" ref="Q3:Q13" si="0">SUMIF(B:B,P3,M:M)</f>
        <v>0</v>
      </c>
      <c r="R3" s="6">
        <f t="shared" ref="R3:R13" si="1">SUMIF(B:B,P3,N:N)</f>
        <v>0</v>
      </c>
    </row>
    <row r="4" spans="1:18">
      <c r="A4" s="13" t="s">
        <v>5820</v>
      </c>
      <c r="B4" s="13" t="s">
        <v>5821</v>
      </c>
      <c r="C4" s="14" t="s">
        <v>945</v>
      </c>
      <c r="D4" s="15">
        <v>1</v>
      </c>
      <c r="E4" s="16"/>
      <c r="F4" s="17">
        <f t="shared" ref="F4:F35" si="2">D4*E4</f>
        <v>0</v>
      </c>
      <c r="G4" s="17">
        <f>F4</f>
        <v>0</v>
      </c>
      <c r="H4" s="17">
        <f t="shared" ref="H4:H35" si="3">F4-G4</f>
        <v>0</v>
      </c>
      <c r="I4" s="17"/>
      <c r="J4" s="17"/>
      <c r="K4" s="18">
        <f t="shared" ref="K4:K67" si="4">J4*0.5</f>
        <v>0</v>
      </c>
      <c r="L4" s="17">
        <f t="shared" ref="L4:L67" si="5">J4*0.5</f>
        <v>0</v>
      </c>
      <c r="M4" s="17">
        <f t="shared" ref="M4:M67" si="6">SUM(G4,K4)</f>
        <v>0</v>
      </c>
      <c r="N4" s="18">
        <f t="shared" ref="N4:N67" si="7">SUM(H4,L4)</f>
        <v>0</v>
      </c>
      <c r="O4" s="6"/>
      <c r="P4" s="7" t="s">
        <v>873</v>
      </c>
      <c r="Q4" s="6">
        <f t="shared" si="0"/>
        <v>0</v>
      </c>
      <c r="R4" s="6">
        <f t="shared" si="1"/>
        <v>0</v>
      </c>
    </row>
    <row r="5" spans="1:18">
      <c r="A5" s="13" t="s">
        <v>5820</v>
      </c>
      <c r="B5" s="13" t="s">
        <v>5821</v>
      </c>
      <c r="C5" s="14" t="s">
        <v>3959</v>
      </c>
      <c r="D5" s="15">
        <v>2</v>
      </c>
      <c r="E5" s="16"/>
      <c r="F5" s="17">
        <f t="shared" si="2"/>
        <v>0</v>
      </c>
      <c r="G5" s="17">
        <f t="shared" ref="G5:G35" si="8">F5*0.5</f>
        <v>0</v>
      </c>
      <c r="H5" s="17">
        <f t="shared" si="3"/>
        <v>0</v>
      </c>
      <c r="I5" s="17"/>
      <c r="J5" s="17"/>
      <c r="K5" s="18">
        <f t="shared" si="4"/>
        <v>0</v>
      </c>
      <c r="L5" s="17">
        <f t="shared" si="5"/>
        <v>0</v>
      </c>
      <c r="M5" s="17">
        <f t="shared" si="6"/>
        <v>0</v>
      </c>
      <c r="N5" s="18">
        <f t="shared" si="7"/>
        <v>0</v>
      </c>
      <c r="O5" s="6"/>
      <c r="P5" s="7" t="s">
        <v>5822</v>
      </c>
      <c r="Q5" s="6">
        <f t="shared" si="0"/>
        <v>0</v>
      </c>
      <c r="R5" s="6">
        <f t="shared" si="1"/>
        <v>0</v>
      </c>
    </row>
    <row r="6" spans="1:18">
      <c r="A6" s="13" t="s">
        <v>5820</v>
      </c>
      <c r="B6" s="13" t="s">
        <v>5821</v>
      </c>
      <c r="C6" s="14" t="s">
        <v>947</v>
      </c>
      <c r="D6" s="15">
        <v>2</v>
      </c>
      <c r="E6" s="16"/>
      <c r="F6" s="17">
        <f t="shared" si="2"/>
        <v>0</v>
      </c>
      <c r="G6" s="17">
        <f t="shared" si="8"/>
        <v>0</v>
      </c>
      <c r="H6" s="17">
        <f t="shared" si="3"/>
        <v>0</v>
      </c>
      <c r="I6" s="17"/>
      <c r="J6" s="17"/>
      <c r="K6" s="18">
        <f t="shared" si="4"/>
        <v>0</v>
      </c>
      <c r="L6" s="17">
        <f t="shared" si="5"/>
        <v>0</v>
      </c>
      <c r="M6" s="17">
        <f t="shared" si="6"/>
        <v>0</v>
      </c>
      <c r="N6" s="18">
        <f t="shared" si="7"/>
        <v>0</v>
      </c>
      <c r="O6" s="6"/>
      <c r="P6" s="7" t="s">
        <v>4446</v>
      </c>
      <c r="Q6" s="6">
        <f t="shared" si="0"/>
        <v>0</v>
      </c>
      <c r="R6" s="6">
        <f t="shared" si="1"/>
        <v>0</v>
      </c>
    </row>
    <row r="7" spans="1:18">
      <c r="A7" s="13" t="s">
        <v>5820</v>
      </c>
      <c r="B7" s="13" t="s">
        <v>5821</v>
      </c>
      <c r="C7" s="14" t="s">
        <v>949</v>
      </c>
      <c r="D7" s="15">
        <v>2</v>
      </c>
      <c r="E7" s="16"/>
      <c r="F7" s="17">
        <f t="shared" si="2"/>
        <v>0</v>
      </c>
      <c r="G7" s="17">
        <f t="shared" si="8"/>
        <v>0</v>
      </c>
      <c r="H7" s="17">
        <f t="shared" si="3"/>
        <v>0</v>
      </c>
      <c r="I7" s="17"/>
      <c r="J7" s="17"/>
      <c r="K7" s="18">
        <f t="shared" si="4"/>
        <v>0</v>
      </c>
      <c r="L7" s="17">
        <f t="shared" si="5"/>
        <v>0</v>
      </c>
      <c r="M7" s="17">
        <f t="shared" si="6"/>
        <v>0</v>
      </c>
      <c r="N7" s="18">
        <f t="shared" si="7"/>
        <v>0</v>
      </c>
      <c r="O7" s="6"/>
      <c r="P7" s="7" t="s">
        <v>5823</v>
      </c>
      <c r="Q7" s="6">
        <f t="shared" si="0"/>
        <v>0</v>
      </c>
      <c r="R7" s="6">
        <f t="shared" si="1"/>
        <v>0</v>
      </c>
    </row>
    <row r="8" spans="1:18">
      <c r="A8" s="13" t="s">
        <v>5820</v>
      </c>
      <c r="B8" s="13" t="s">
        <v>5821</v>
      </c>
      <c r="C8" s="14" t="s">
        <v>5824</v>
      </c>
      <c r="D8" s="15">
        <v>2</v>
      </c>
      <c r="E8" s="16"/>
      <c r="F8" s="17">
        <f t="shared" si="2"/>
        <v>0</v>
      </c>
      <c r="G8" s="17">
        <f t="shared" si="8"/>
        <v>0</v>
      </c>
      <c r="H8" s="17">
        <f t="shared" si="3"/>
        <v>0</v>
      </c>
      <c r="I8" s="17"/>
      <c r="J8" s="17"/>
      <c r="K8" s="18">
        <f t="shared" si="4"/>
        <v>0</v>
      </c>
      <c r="L8" s="17">
        <f t="shared" si="5"/>
        <v>0</v>
      </c>
      <c r="M8" s="17">
        <f t="shared" si="6"/>
        <v>0</v>
      </c>
      <c r="N8" s="18">
        <f t="shared" si="7"/>
        <v>0</v>
      </c>
      <c r="O8" s="6"/>
      <c r="P8" s="7" t="s">
        <v>5825</v>
      </c>
      <c r="Q8" s="6">
        <f t="shared" si="0"/>
        <v>0</v>
      </c>
      <c r="R8" s="6">
        <f t="shared" si="1"/>
        <v>0</v>
      </c>
    </row>
    <row r="9" spans="1:18">
      <c r="A9" s="13" t="s">
        <v>5826</v>
      </c>
      <c r="B9" s="13" t="s">
        <v>5821</v>
      </c>
      <c r="C9" s="14" t="s">
        <v>4363</v>
      </c>
      <c r="D9" s="15">
        <v>2</v>
      </c>
      <c r="E9" s="16"/>
      <c r="F9" s="17">
        <f t="shared" si="2"/>
        <v>0</v>
      </c>
      <c r="G9" s="17">
        <f t="shared" si="8"/>
        <v>0</v>
      </c>
      <c r="H9" s="17">
        <f t="shared" si="3"/>
        <v>0</v>
      </c>
      <c r="I9" s="17"/>
      <c r="J9" s="17"/>
      <c r="K9" s="18">
        <f t="shared" si="4"/>
        <v>0</v>
      </c>
      <c r="L9" s="17">
        <f t="shared" si="5"/>
        <v>0</v>
      </c>
      <c r="M9" s="17">
        <f t="shared" si="6"/>
        <v>0</v>
      </c>
      <c r="N9" s="18">
        <f t="shared" si="7"/>
        <v>0</v>
      </c>
      <c r="O9" s="6"/>
      <c r="P9" s="7" t="s">
        <v>5827</v>
      </c>
      <c r="Q9" s="6">
        <f t="shared" si="0"/>
        <v>0</v>
      </c>
      <c r="R9" s="6">
        <f t="shared" si="1"/>
        <v>0</v>
      </c>
    </row>
    <row r="10" spans="1:18">
      <c r="A10" s="13" t="s">
        <v>5828</v>
      </c>
      <c r="B10" s="13" t="s">
        <v>5821</v>
      </c>
      <c r="C10" s="19" t="s">
        <v>788</v>
      </c>
      <c r="D10" s="15">
        <v>2</v>
      </c>
      <c r="E10" s="16"/>
      <c r="F10" s="17">
        <f t="shared" si="2"/>
        <v>0</v>
      </c>
      <c r="G10" s="17">
        <f t="shared" si="8"/>
        <v>0</v>
      </c>
      <c r="H10" s="17">
        <f t="shared" si="3"/>
        <v>0</v>
      </c>
      <c r="I10" s="17"/>
      <c r="J10" s="17"/>
      <c r="K10" s="18">
        <f t="shared" si="4"/>
        <v>0</v>
      </c>
      <c r="L10" s="17">
        <f t="shared" si="5"/>
        <v>0</v>
      </c>
      <c r="M10" s="17">
        <f t="shared" si="6"/>
        <v>0</v>
      </c>
      <c r="N10" s="18">
        <f t="shared" si="7"/>
        <v>0</v>
      </c>
      <c r="O10" s="6"/>
      <c r="P10" s="7" t="s">
        <v>4659</v>
      </c>
      <c r="Q10" s="6">
        <f t="shared" si="0"/>
        <v>0</v>
      </c>
      <c r="R10" s="6">
        <f t="shared" si="1"/>
        <v>0</v>
      </c>
    </row>
    <row r="11" spans="1:18">
      <c r="A11" s="13" t="s">
        <v>42</v>
      </c>
      <c r="B11" s="13" t="s">
        <v>5821</v>
      </c>
      <c r="C11" s="14" t="s">
        <v>791</v>
      </c>
      <c r="D11" s="15">
        <v>2</v>
      </c>
      <c r="E11" s="16"/>
      <c r="F11" s="17">
        <f t="shared" si="2"/>
        <v>0</v>
      </c>
      <c r="G11" s="17">
        <f t="shared" si="8"/>
        <v>0</v>
      </c>
      <c r="H11" s="17">
        <f t="shared" si="3"/>
        <v>0</v>
      </c>
      <c r="I11" s="17"/>
      <c r="J11" s="17"/>
      <c r="K11" s="18">
        <f t="shared" si="4"/>
        <v>0</v>
      </c>
      <c r="L11" s="17">
        <f t="shared" si="5"/>
        <v>0</v>
      </c>
      <c r="M11" s="17">
        <f t="shared" si="6"/>
        <v>0</v>
      </c>
      <c r="N11" s="18">
        <f t="shared" si="7"/>
        <v>0</v>
      </c>
      <c r="O11" s="6"/>
      <c r="P11" s="7" t="s">
        <v>4579</v>
      </c>
      <c r="Q11" s="6">
        <f t="shared" si="0"/>
        <v>0</v>
      </c>
      <c r="R11" s="6">
        <f t="shared" si="1"/>
        <v>0</v>
      </c>
    </row>
    <row r="12" spans="1:18">
      <c r="A12" s="13" t="s">
        <v>42</v>
      </c>
      <c r="B12" s="13" t="s">
        <v>5821</v>
      </c>
      <c r="C12" s="14" t="s">
        <v>794</v>
      </c>
      <c r="D12" s="15">
        <v>2</v>
      </c>
      <c r="E12" s="16"/>
      <c r="F12" s="17">
        <f t="shared" si="2"/>
        <v>0</v>
      </c>
      <c r="G12" s="17">
        <f t="shared" si="8"/>
        <v>0</v>
      </c>
      <c r="H12" s="17">
        <f t="shared" si="3"/>
        <v>0</v>
      </c>
      <c r="I12" s="17"/>
      <c r="J12" s="17"/>
      <c r="K12" s="18">
        <f t="shared" si="4"/>
        <v>0</v>
      </c>
      <c r="L12" s="17">
        <f t="shared" si="5"/>
        <v>0</v>
      </c>
      <c r="M12" s="17">
        <f t="shared" si="6"/>
        <v>0</v>
      </c>
      <c r="N12" s="18">
        <f t="shared" si="7"/>
        <v>0</v>
      </c>
      <c r="O12" s="6"/>
      <c r="P12" s="7" t="s">
        <v>5829</v>
      </c>
      <c r="Q12" s="6">
        <f t="shared" si="0"/>
        <v>0</v>
      </c>
      <c r="R12" s="6">
        <f t="shared" si="1"/>
        <v>0</v>
      </c>
    </row>
    <row r="13" spans="1:18">
      <c r="A13" s="13" t="s">
        <v>807</v>
      </c>
      <c r="B13" s="13" t="s">
        <v>5821</v>
      </c>
      <c r="C13" s="14" t="s">
        <v>808</v>
      </c>
      <c r="D13" s="15">
        <v>1</v>
      </c>
      <c r="E13" s="16"/>
      <c r="F13" s="17">
        <f t="shared" si="2"/>
        <v>0</v>
      </c>
      <c r="G13" s="17">
        <f>F13</f>
        <v>0</v>
      </c>
      <c r="H13" s="17">
        <f t="shared" si="3"/>
        <v>0</v>
      </c>
      <c r="I13" s="17"/>
      <c r="J13" s="17"/>
      <c r="K13" s="18">
        <f t="shared" si="4"/>
        <v>0</v>
      </c>
      <c r="L13" s="17">
        <f t="shared" si="5"/>
        <v>0</v>
      </c>
      <c r="M13" s="17">
        <f t="shared" si="6"/>
        <v>0</v>
      </c>
      <c r="N13" s="18">
        <f t="shared" si="7"/>
        <v>0</v>
      </c>
      <c r="O13" s="6"/>
      <c r="P13" s="7" t="s">
        <v>5830</v>
      </c>
      <c r="Q13" s="6">
        <f t="shared" si="0"/>
        <v>0</v>
      </c>
      <c r="R13" s="6">
        <f t="shared" si="1"/>
        <v>0</v>
      </c>
    </row>
    <row r="14" spans="1:18">
      <c r="A14" s="13" t="s">
        <v>822</v>
      </c>
      <c r="B14" s="13" t="s">
        <v>5821</v>
      </c>
      <c r="C14" s="14" t="s">
        <v>823</v>
      </c>
      <c r="D14" s="15">
        <v>2</v>
      </c>
      <c r="E14" s="16"/>
      <c r="F14" s="17">
        <f t="shared" si="2"/>
        <v>0</v>
      </c>
      <c r="G14" s="17">
        <f t="shared" si="8"/>
        <v>0</v>
      </c>
      <c r="H14" s="17">
        <f t="shared" si="3"/>
        <v>0</v>
      </c>
      <c r="I14" s="17"/>
      <c r="J14" s="17"/>
      <c r="K14" s="18">
        <f t="shared" si="4"/>
        <v>0</v>
      </c>
      <c r="L14" s="17">
        <f t="shared" si="5"/>
        <v>0</v>
      </c>
      <c r="M14" s="17">
        <f t="shared" si="6"/>
        <v>0</v>
      </c>
      <c r="N14" s="18">
        <f t="shared" si="7"/>
        <v>0</v>
      </c>
      <c r="O14" s="6"/>
      <c r="R14" s="6"/>
    </row>
    <row r="15" spans="1:18">
      <c r="A15" s="13" t="s">
        <v>834</v>
      </c>
      <c r="B15" s="13" t="s">
        <v>5821</v>
      </c>
      <c r="C15" s="14" t="s">
        <v>845</v>
      </c>
      <c r="D15" s="15">
        <v>2</v>
      </c>
      <c r="E15" s="16"/>
      <c r="F15" s="17">
        <f t="shared" si="2"/>
        <v>0</v>
      </c>
      <c r="G15" s="17">
        <f t="shared" si="8"/>
        <v>0</v>
      </c>
      <c r="H15" s="17">
        <f t="shared" si="3"/>
        <v>0</v>
      </c>
      <c r="I15" s="17"/>
      <c r="J15" s="17"/>
      <c r="K15" s="18">
        <f t="shared" si="4"/>
        <v>0</v>
      </c>
      <c r="L15" s="17">
        <f t="shared" si="5"/>
        <v>0</v>
      </c>
      <c r="M15" s="17">
        <f t="shared" si="6"/>
        <v>0</v>
      </c>
      <c r="N15" s="18">
        <f t="shared" si="7"/>
        <v>0</v>
      </c>
      <c r="O15" s="6"/>
    </row>
    <row r="16" spans="1:18">
      <c r="A16" s="14" t="s">
        <v>5831</v>
      </c>
      <c r="B16" s="14" t="s">
        <v>873</v>
      </c>
      <c r="C16" s="14" t="s">
        <v>874</v>
      </c>
      <c r="D16" s="15">
        <v>2</v>
      </c>
      <c r="E16" s="16"/>
      <c r="F16" s="17">
        <f t="shared" si="2"/>
        <v>0</v>
      </c>
      <c r="G16" s="17">
        <f t="shared" si="8"/>
        <v>0</v>
      </c>
      <c r="H16" s="17">
        <f t="shared" si="3"/>
        <v>0</v>
      </c>
      <c r="I16" s="17"/>
      <c r="J16" s="17"/>
      <c r="K16" s="18">
        <f t="shared" si="4"/>
        <v>0</v>
      </c>
      <c r="L16" s="17">
        <f t="shared" si="5"/>
        <v>0</v>
      </c>
      <c r="M16" s="17">
        <f t="shared" si="6"/>
        <v>0</v>
      </c>
      <c r="N16" s="18">
        <f t="shared" si="7"/>
        <v>0</v>
      </c>
      <c r="O16" s="6"/>
      <c r="P16" s="7" t="s">
        <v>311</v>
      </c>
      <c r="Q16" s="6">
        <f>SUM(Q3:Q15)</f>
        <v>0</v>
      </c>
      <c r="R16" s="6">
        <f>SUM(R3:R15)</f>
        <v>0</v>
      </c>
    </row>
    <row r="17" spans="1:17">
      <c r="A17" s="13" t="s">
        <v>5826</v>
      </c>
      <c r="B17" s="13" t="s">
        <v>5821</v>
      </c>
      <c r="C17" s="14" t="s">
        <v>5832</v>
      </c>
      <c r="D17" s="15">
        <v>2</v>
      </c>
      <c r="E17" s="16"/>
      <c r="F17" s="17">
        <f t="shared" si="2"/>
        <v>0</v>
      </c>
      <c r="G17" s="17">
        <f t="shared" si="8"/>
        <v>0</v>
      </c>
      <c r="H17" s="17">
        <f t="shared" si="3"/>
        <v>0</v>
      </c>
      <c r="I17" s="17"/>
      <c r="J17" s="17"/>
      <c r="K17" s="18">
        <f t="shared" si="4"/>
        <v>0</v>
      </c>
      <c r="L17" s="17">
        <f t="shared" si="5"/>
        <v>0</v>
      </c>
      <c r="M17" s="17">
        <f t="shared" si="6"/>
        <v>0</v>
      </c>
      <c r="N17" s="18">
        <f t="shared" si="7"/>
        <v>0</v>
      </c>
      <c r="O17" s="6"/>
    </row>
    <row r="18" spans="1:17">
      <c r="A18" s="13" t="s">
        <v>42</v>
      </c>
      <c r="B18" s="13" t="s">
        <v>5821</v>
      </c>
      <c r="C18" s="14" t="s">
        <v>5833</v>
      </c>
      <c r="D18" s="15">
        <v>2</v>
      </c>
      <c r="E18" s="16"/>
      <c r="F18" s="17">
        <f t="shared" si="2"/>
        <v>0</v>
      </c>
      <c r="G18" s="17">
        <f t="shared" si="8"/>
        <v>0</v>
      </c>
      <c r="H18" s="17">
        <f t="shared" si="3"/>
        <v>0</v>
      </c>
      <c r="I18" s="17"/>
      <c r="J18" s="17"/>
      <c r="K18" s="18">
        <f t="shared" si="4"/>
        <v>0</v>
      </c>
      <c r="L18" s="17">
        <f t="shared" si="5"/>
        <v>0</v>
      </c>
      <c r="M18" s="17">
        <f t="shared" si="6"/>
        <v>0</v>
      </c>
      <c r="N18" s="18">
        <f t="shared" si="7"/>
        <v>0</v>
      </c>
      <c r="O18" s="6"/>
    </row>
    <row r="19" spans="1:17">
      <c r="A19" s="13" t="s">
        <v>42</v>
      </c>
      <c r="B19" s="13" t="s">
        <v>5821</v>
      </c>
      <c r="C19" s="14" t="s">
        <v>5834</v>
      </c>
      <c r="D19" s="15">
        <v>2</v>
      </c>
      <c r="E19" s="16"/>
      <c r="F19" s="17">
        <f t="shared" si="2"/>
        <v>0</v>
      </c>
      <c r="G19" s="17">
        <f t="shared" si="8"/>
        <v>0</v>
      </c>
      <c r="H19" s="17">
        <f t="shared" si="3"/>
        <v>0</v>
      </c>
      <c r="I19" s="17"/>
      <c r="J19" s="17"/>
      <c r="K19" s="18">
        <f t="shared" si="4"/>
        <v>0</v>
      </c>
      <c r="L19" s="17">
        <f t="shared" si="5"/>
        <v>0</v>
      </c>
      <c r="M19" s="17">
        <f t="shared" si="6"/>
        <v>0</v>
      </c>
      <c r="N19" s="18">
        <f t="shared" si="7"/>
        <v>0</v>
      </c>
      <c r="O19" s="6"/>
    </row>
    <row r="20" spans="1:17">
      <c r="A20" s="13" t="s">
        <v>807</v>
      </c>
      <c r="B20" s="13" t="s">
        <v>5821</v>
      </c>
      <c r="C20" s="14" t="s">
        <v>810</v>
      </c>
      <c r="D20" s="15">
        <v>1</v>
      </c>
      <c r="E20" s="16"/>
      <c r="F20" s="17">
        <f t="shared" si="2"/>
        <v>0</v>
      </c>
      <c r="G20" s="17">
        <f>F20</f>
        <v>0</v>
      </c>
      <c r="H20" s="17">
        <f t="shared" si="3"/>
        <v>0</v>
      </c>
      <c r="I20" s="17"/>
      <c r="J20" s="17"/>
      <c r="K20" s="18">
        <f t="shared" si="4"/>
        <v>0</v>
      </c>
      <c r="L20" s="17">
        <f t="shared" si="5"/>
        <v>0</v>
      </c>
      <c r="M20" s="17">
        <f t="shared" si="6"/>
        <v>0</v>
      </c>
      <c r="N20" s="18">
        <f t="shared" si="7"/>
        <v>0</v>
      </c>
      <c r="O20" s="6"/>
    </row>
    <row r="21" spans="1:17">
      <c r="A21" s="13" t="s">
        <v>807</v>
      </c>
      <c r="B21" s="13" t="s">
        <v>5821</v>
      </c>
      <c r="C21" s="14" t="s">
        <v>814</v>
      </c>
      <c r="D21" s="15">
        <v>2</v>
      </c>
      <c r="E21" s="16"/>
      <c r="F21" s="17">
        <f t="shared" si="2"/>
        <v>0</v>
      </c>
      <c r="G21" s="17">
        <f t="shared" si="8"/>
        <v>0</v>
      </c>
      <c r="H21" s="17">
        <f t="shared" si="3"/>
        <v>0</v>
      </c>
      <c r="I21" s="17"/>
      <c r="J21" s="17"/>
      <c r="K21" s="18">
        <f t="shared" si="4"/>
        <v>0</v>
      </c>
      <c r="L21" s="17">
        <f t="shared" si="5"/>
        <v>0</v>
      </c>
      <c r="M21" s="17">
        <f t="shared" si="6"/>
        <v>0</v>
      </c>
      <c r="N21" s="18">
        <f t="shared" si="7"/>
        <v>0</v>
      </c>
      <c r="O21" s="6"/>
      <c r="Q21" s="7" t="s">
        <v>5835</v>
      </c>
    </row>
    <row r="22" spans="1:17">
      <c r="A22" s="13" t="s">
        <v>5794</v>
      </c>
      <c r="B22" s="13" t="s">
        <v>5821</v>
      </c>
      <c r="C22" s="14" t="s">
        <v>819</v>
      </c>
      <c r="D22" s="15">
        <v>2</v>
      </c>
      <c r="E22" s="16"/>
      <c r="F22" s="17">
        <f t="shared" si="2"/>
        <v>0</v>
      </c>
      <c r="G22" s="17">
        <f t="shared" si="8"/>
        <v>0</v>
      </c>
      <c r="H22" s="17">
        <f t="shared" si="3"/>
        <v>0</v>
      </c>
      <c r="I22" s="17"/>
      <c r="J22" s="17"/>
      <c r="K22" s="18">
        <f t="shared" si="4"/>
        <v>0</v>
      </c>
      <c r="L22" s="17">
        <f t="shared" si="5"/>
        <v>0</v>
      </c>
      <c r="M22" s="17">
        <f t="shared" si="6"/>
        <v>0</v>
      </c>
      <c r="N22" s="18">
        <f t="shared" si="7"/>
        <v>0</v>
      </c>
      <c r="O22" s="6"/>
    </row>
    <row r="23" spans="1:17">
      <c r="A23" s="13" t="s">
        <v>822</v>
      </c>
      <c r="B23" s="13" t="s">
        <v>5821</v>
      </c>
      <c r="C23" s="14" t="s">
        <v>829</v>
      </c>
      <c r="D23" s="15">
        <v>2</v>
      </c>
      <c r="E23" s="16"/>
      <c r="F23" s="17">
        <f t="shared" si="2"/>
        <v>0</v>
      </c>
      <c r="G23" s="17">
        <f t="shared" si="8"/>
        <v>0</v>
      </c>
      <c r="H23" s="17">
        <f t="shared" si="3"/>
        <v>0</v>
      </c>
      <c r="I23" s="17"/>
      <c r="J23" s="17"/>
      <c r="K23" s="18">
        <f t="shared" si="4"/>
        <v>0</v>
      </c>
      <c r="L23" s="17">
        <f t="shared" si="5"/>
        <v>0</v>
      </c>
      <c r="M23" s="17">
        <f t="shared" si="6"/>
        <v>0</v>
      </c>
      <c r="N23" s="18">
        <f t="shared" si="7"/>
        <v>0</v>
      </c>
      <c r="O23" s="6"/>
    </row>
    <row r="24" spans="1:17">
      <c r="A24" s="13" t="s">
        <v>831</v>
      </c>
      <c r="B24" s="13" t="s">
        <v>5821</v>
      </c>
      <c r="C24" s="14" t="s">
        <v>832</v>
      </c>
      <c r="D24" s="15">
        <v>2</v>
      </c>
      <c r="E24" s="16"/>
      <c r="F24" s="17">
        <f t="shared" si="2"/>
        <v>0</v>
      </c>
      <c r="G24" s="17">
        <f t="shared" si="8"/>
        <v>0</v>
      </c>
      <c r="H24" s="17">
        <f t="shared" si="3"/>
        <v>0</v>
      </c>
      <c r="I24" s="17"/>
      <c r="J24" s="17"/>
      <c r="K24" s="18">
        <f t="shared" si="4"/>
        <v>0</v>
      </c>
      <c r="L24" s="17">
        <f t="shared" si="5"/>
        <v>0</v>
      </c>
      <c r="M24" s="17">
        <f t="shared" si="6"/>
        <v>0</v>
      </c>
      <c r="N24" s="18">
        <f t="shared" si="7"/>
        <v>0</v>
      </c>
      <c r="O24" s="6"/>
    </row>
    <row r="25" spans="1:17">
      <c r="A25" s="13" t="s">
        <v>831</v>
      </c>
      <c r="B25" s="13" t="s">
        <v>5821</v>
      </c>
      <c r="C25" s="14" t="s">
        <v>899</v>
      </c>
      <c r="D25" s="15">
        <v>1</v>
      </c>
      <c r="E25" s="16"/>
      <c r="F25" s="17">
        <f t="shared" si="2"/>
        <v>0</v>
      </c>
      <c r="G25" s="17">
        <f>F25</f>
        <v>0</v>
      </c>
      <c r="H25" s="17">
        <f t="shared" si="3"/>
        <v>0</v>
      </c>
      <c r="I25" s="17"/>
      <c r="J25" s="17"/>
      <c r="K25" s="18">
        <f t="shared" si="4"/>
        <v>0</v>
      </c>
      <c r="L25" s="17">
        <f t="shared" si="5"/>
        <v>0</v>
      </c>
      <c r="M25" s="17">
        <f t="shared" si="6"/>
        <v>0</v>
      </c>
      <c r="N25" s="18">
        <f t="shared" si="7"/>
        <v>0</v>
      </c>
      <c r="O25" s="6"/>
    </row>
    <row r="26" spans="1:17">
      <c r="A26" s="13" t="s">
        <v>831</v>
      </c>
      <c r="B26" s="13" t="s">
        <v>5821</v>
      </c>
      <c r="C26" s="14" t="s">
        <v>5836</v>
      </c>
      <c r="D26" s="15">
        <v>2</v>
      </c>
      <c r="E26" s="16"/>
      <c r="F26" s="17">
        <f t="shared" si="2"/>
        <v>0</v>
      </c>
      <c r="G26" s="17">
        <f t="shared" si="8"/>
        <v>0</v>
      </c>
      <c r="H26" s="17">
        <f t="shared" si="3"/>
        <v>0</v>
      </c>
      <c r="I26" s="17"/>
      <c r="J26" s="17"/>
      <c r="K26" s="18">
        <f t="shared" si="4"/>
        <v>0</v>
      </c>
      <c r="L26" s="17">
        <f t="shared" si="5"/>
        <v>0</v>
      </c>
      <c r="M26" s="17">
        <f t="shared" si="6"/>
        <v>0</v>
      </c>
      <c r="N26" s="18">
        <f t="shared" si="7"/>
        <v>0</v>
      </c>
      <c r="O26" s="6"/>
    </row>
    <row r="27" spans="1:17">
      <c r="A27" s="13" t="s">
        <v>831</v>
      </c>
      <c r="B27" s="13" t="s">
        <v>5821</v>
      </c>
      <c r="C27" s="14" t="s">
        <v>5837</v>
      </c>
      <c r="D27" s="15">
        <v>1</v>
      </c>
      <c r="E27" s="16"/>
      <c r="F27" s="17">
        <f t="shared" si="2"/>
        <v>0</v>
      </c>
      <c r="G27" s="17">
        <f>F27</f>
        <v>0</v>
      </c>
      <c r="H27" s="17">
        <f t="shared" si="3"/>
        <v>0</v>
      </c>
      <c r="I27" s="17"/>
      <c r="J27" s="17"/>
      <c r="K27" s="18">
        <f t="shared" si="4"/>
        <v>0</v>
      </c>
      <c r="L27" s="17">
        <f t="shared" si="5"/>
        <v>0</v>
      </c>
      <c r="M27" s="17">
        <f t="shared" si="6"/>
        <v>0</v>
      </c>
      <c r="N27" s="18">
        <f t="shared" si="7"/>
        <v>0</v>
      </c>
      <c r="O27" s="6"/>
    </row>
    <row r="28" spans="1:17">
      <c r="A28" s="13" t="s">
        <v>831</v>
      </c>
      <c r="B28" s="13" t="s">
        <v>5821</v>
      </c>
      <c r="C28" s="14" t="s">
        <v>910</v>
      </c>
      <c r="D28" s="15">
        <v>1</v>
      </c>
      <c r="E28" s="16"/>
      <c r="F28" s="17">
        <f t="shared" si="2"/>
        <v>0</v>
      </c>
      <c r="G28" s="17">
        <f>F28</f>
        <v>0</v>
      </c>
      <c r="H28" s="17">
        <f t="shared" si="3"/>
        <v>0</v>
      </c>
      <c r="I28" s="17"/>
      <c r="J28" s="17"/>
      <c r="K28" s="18">
        <f t="shared" si="4"/>
        <v>0</v>
      </c>
      <c r="L28" s="17">
        <f t="shared" si="5"/>
        <v>0</v>
      </c>
      <c r="M28" s="17">
        <f t="shared" si="6"/>
        <v>0</v>
      </c>
      <c r="N28" s="18">
        <f t="shared" si="7"/>
        <v>0</v>
      </c>
      <c r="O28" s="6"/>
    </row>
    <row r="29" spans="1:17">
      <c r="A29" s="13" t="s">
        <v>834</v>
      </c>
      <c r="B29" s="13" t="s">
        <v>5821</v>
      </c>
      <c r="C29" s="14" t="s">
        <v>835</v>
      </c>
      <c r="D29" s="15">
        <v>2</v>
      </c>
      <c r="E29" s="16"/>
      <c r="F29" s="17">
        <f t="shared" si="2"/>
        <v>0</v>
      </c>
      <c r="G29" s="17">
        <f t="shared" si="8"/>
        <v>0</v>
      </c>
      <c r="H29" s="17">
        <f t="shared" si="3"/>
        <v>0</v>
      </c>
      <c r="I29" s="17"/>
      <c r="J29" s="17"/>
      <c r="K29" s="18">
        <f t="shared" si="4"/>
        <v>0</v>
      </c>
      <c r="L29" s="17">
        <f t="shared" si="5"/>
        <v>0</v>
      </c>
      <c r="M29" s="17">
        <f t="shared" si="6"/>
        <v>0</v>
      </c>
      <c r="N29" s="18">
        <f t="shared" si="7"/>
        <v>0</v>
      </c>
      <c r="O29" s="6"/>
    </row>
    <row r="30" spans="1:17">
      <c r="A30" s="13" t="s">
        <v>834</v>
      </c>
      <c r="B30" s="13" t="s">
        <v>5821</v>
      </c>
      <c r="C30" s="14" t="s">
        <v>849</v>
      </c>
      <c r="D30" s="15">
        <v>2</v>
      </c>
      <c r="E30" s="16"/>
      <c r="F30" s="17">
        <f t="shared" si="2"/>
        <v>0</v>
      </c>
      <c r="G30" s="17">
        <f t="shared" si="8"/>
        <v>0</v>
      </c>
      <c r="H30" s="17">
        <f t="shared" si="3"/>
        <v>0</v>
      </c>
      <c r="I30" s="17"/>
      <c r="J30" s="17"/>
      <c r="K30" s="18">
        <f t="shared" si="4"/>
        <v>0</v>
      </c>
      <c r="L30" s="17">
        <f t="shared" si="5"/>
        <v>0</v>
      </c>
      <c r="M30" s="17">
        <f t="shared" si="6"/>
        <v>0</v>
      </c>
      <c r="N30" s="18">
        <f t="shared" si="7"/>
        <v>0</v>
      </c>
      <c r="O30" s="6"/>
    </row>
    <row r="31" spans="1:17">
      <c r="A31" s="13" t="s">
        <v>834</v>
      </c>
      <c r="B31" s="13" t="s">
        <v>5821</v>
      </c>
      <c r="C31" s="14" t="s">
        <v>841</v>
      </c>
      <c r="D31" s="15">
        <v>1</v>
      </c>
      <c r="E31" s="16"/>
      <c r="F31" s="17">
        <f t="shared" si="2"/>
        <v>0</v>
      </c>
      <c r="G31" s="17">
        <f>F31</f>
        <v>0</v>
      </c>
      <c r="H31" s="17">
        <f t="shared" si="3"/>
        <v>0</v>
      </c>
      <c r="I31" s="17"/>
      <c r="J31" s="17"/>
      <c r="K31" s="18">
        <f t="shared" si="4"/>
        <v>0</v>
      </c>
      <c r="L31" s="17">
        <f t="shared" si="5"/>
        <v>0</v>
      </c>
      <c r="M31" s="17">
        <f t="shared" si="6"/>
        <v>0</v>
      </c>
      <c r="N31" s="18">
        <f t="shared" si="7"/>
        <v>0</v>
      </c>
      <c r="O31" s="6"/>
    </row>
    <row r="32" spans="1:17">
      <c r="A32" s="13" t="s">
        <v>842</v>
      </c>
      <c r="B32" s="13" t="s">
        <v>5821</v>
      </c>
      <c r="C32" s="14" t="s">
        <v>843</v>
      </c>
      <c r="D32" s="15">
        <v>2</v>
      </c>
      <c r="E32" s="16"/>
      <c r="F32" s="17">
        <f t="shared" si="2"/>
        <v>0</v>
      </c>
      <c r="G32" s="17">
        <f t="shared" si="8"/>
        <v>0</v>
      </c>
      <c r="H32" s="17">
        <f t="shared" si="3"/>
        <v>0</v>
      </c>
      <c r="I32" s="17"/>
      <c r="J32" s="17"/>
      <c r="K32" s="18">
        <f t="shared" si="4"/>
        <v>0</v>
      </c>
      <c r="L32" s="17">
        <f t="shared" si="5"/>
        <v>0</v>
      </c>
      <c r="M32" s="17">
        <f t="shared" si="6"/>
        <v>0</v>
      </c>
      <c r="N32" s="18">
        <f t="shared" si="7"/>
        <v>0</v>
      </c>
      <c r="O32" s="6"/>
    </row>
    <row r="33" spans="1:15">
      <c r="A33" s="13" t="s">
        <v>842</v>
      </c>
      <c r="B33" s="13" t="s">
        <v>5821</v>
      </c>
      <c r="C33" s="14" t="s">
        <v>850</v>
      </c>
      <c r="D33" s="15">
        <v>2</v>
      </c>
      <c r="E33" s="16"/>
      <c r="F33" s="17">
        <f t="shared" si="2"/>
        <v>0</v>
      </c>
      <c r="G33" s="17">
        <f t="shared" si="8"/>
        <v>0</v>
      </c>
      <c r="H33" s="17">
        <f t="shared" si="3"/>
        <v>0</v>
      </c>
      <c r="I33" s="17"/>
      <c r="J33" s="17"/>
      <c r="K33" s="18">
        <f t="shared" si="4"/>
        <v>0</v>
      </c>
      <c r="L33" s="17">
        <f t="shared" si="5"/>
        <v>0</v>
      </c>
      <c r="M33" s="17">
        <f t="shared" si="6"/>
        <v>0</v>
      </c>
      <c r="N33" s="18">
        <f t="shared" si="7"/>
        <v>0</v>
      </c>
      <c r="O33" s="6"/>
    </row>
    <row r="34" spans="1:15">
      <c r="A34" s="13" t="s">
        <v>842</v>
      </c>
      <c r="B34" s="13" t="s">
        <v>5821</v>
      </c>
      <c r="C34" s="14" t="s">
        <v>852</v>
      </c>
      <c r="D34" s="15">
        <v>2</v>
      </c>
      <c r="E34" s="16"/>
      <c r="F34" s="17">
        <f t="shared" si="2"/>
        <v>0</v>
      </c>
      <c r="G34" s="17">
        <f t="shared" si="8"/>
        <v>0</v>
      </c>
      <c r="H34" s="17">
        <f t="shared" si="3"/>
        <v>0</v>
      </c>
      <c r="I34" s="17"/>
      <c r="J34" s="17"/>
      <c r="K34" s="18">
        <f t="shared" si="4"/>
        <v>0</v>
      </c>
      <c r="L34" s="17">
        <f t="shared" si="5"/>
        <v>0</v>
      </c>
      <c r="M34" s="17">
        <f t="shared" si="6"/>
        <v>0</v>
      </c>
      <c r="N34" s="18">
        <f t="shared" si="7"/>
        <v>0</v>
      </c>
      <c r="O34" s="6"/>
    </row>
    <row r="35" spans="1:15">
      <c r="A35" s="13" t="s">
        <v>842</v>
      </c>
      <c r="B35" s="13" t="s">
        <v>5821</v>
      </c>
      <c r="C35" s="14" t="s">
        <v>866</v>
      </c>
      <c r="D35" s="15">
        <v>2</v>
      </c>
      <c r="E35" s="16"/>
      <c r="F35" s="17">
        <f t="shared" si="2"/>
        <v>0</v>
      </c>
      <c r="G35" s="17">
        <f t="shared" si="8"/>
        <v>0</v>
      </c>
      <c r="H35" s="17">
        <f t="shared" si="3"/>
        <v>0</v>
      </c>
      <c r="I35" s="17"/>
      <c r="J35" s="17"/>
      <c r="K35" s="18">
        <f t="shared" si="4"/>
        <v>0</v>
      </c>
      <c r="L35" s="17">
        <f t="shared" si="5"/>
        <v>0</v>
      </c>
      <c r="M35" s="17">
        <f t="shared" si="6"/>
        <v>0</v>
      </c>
      <c r="N35" s="18">
        <f t="shared" si="7"/>
        <v>0</v>
      </c>
      <c r="O35" s="6"/>
    </row>
    <row r="36" spans="1:15">
      <c r="A36" s="13" t="s">
        <v>842</v>
      </c>
      <c r="B36" s="13" t="s">
        <v>5821</v>
      </c>
      <c r="C36" s="14" t="s">
        <v>871</v>
      </c>
      <c r="D36" s="15">
        <v>2</v>
      </c>
      <c r="E36" s="16"/>
      <c r="F36" s="17">
        <f t="shared" ref="F36:F67" si="9">D36*E36</f>
        <v>0</v>
      </c>
      <c r="G36" s="17">
        <f t="shared" ref="G36:G41" si="10">F36*0.5</f>
        <v>0</v>
      </c>
      <c r="H36" s="17">
        <f t="shared" ref="H36:H41" si="11">F36-G36</f>
        <v>0</v>
      </c>
      <c r="I36" s="17"/>
      <c r="J36" s="17"/>
      <c r="K36" s="18">
        <f t="shared" si="4"/>
        <v>0</v>
      </c>
      <c r="L36" s="17">
        <f t="shared" si="5"/>
        <v>0</v>
      </c>
      <c r="M36" s="17">
        <f t="shared" si="6"/>
        <v>0</v>
      </c>
      <c r="N36" s="18">
        <f t="shared" si="7"/>
        <v>0</v>
      </c>
      <c r="O36" s="6"/>
    </row>
    <row r="37" spans="1:15">
      <c r="A37" s="13" t="s">
        <v>345</v>
      </c>
      <c r="B37" s="13" t="s">
        <v>5821</v>
      </c>
      <c r="C37" s="14" t="s">
        <v>855</v>
      </c>
      <c r="D37" s="15">
        <v>2</v>
      </c>
      <c r="E37" s="16"/>
      <c r="F37" s="17">
        <f t="shared" si="9"/>
        <v>0</v>
      </c>
      <c r="G37" s="17">
        <f t="shared" si="10"/>
        <v>0</v>
      </c>
      <c r="H37" s="17">
        <f t="shared" si="11"/>
        <v>0</v>
      </c>
      <c r="I37" s="17"/>
      <c r="J37" s="17"/>
      <c r="K37" s="18">
        <f t="shared" si="4"/>
        <v>0</v>
      </c>
      <c r="L37" s="17">
        <f t="shared" si="5"/>
        <v>0</v>
      </c>
      <c r="M37" s="17">
        <f t="shared" si="6"/>
        <v>0</v>
      </c>
      <c r="N37" s="18">
        <f t="shared" si="7"/>
        <v>0</v>
      </c>
      <c r="O37" s="6"/>
    </row>
    <row r="38" spans="1:15">
      <c r="A38" s="13" t="s">
        <v>5838</v>
      </c>
      <c r="B38" s="13" t="s">
        <v>5821</v>
      </c>
      <c r="C38" s="14" t="s">
        <v>4434</v>
      </c>
      <c r="D38" s="15">
        <v>2</v>
      </c>
      <c r="E38" s="16"/>
      <c r="F38" s="17">
        <f t="shared" si="9"/>
        <v>0</v>
      </c>
      <c r="G38" s="17">
        <f t="shared" si="10"/>
        <v>0</v>
      </c>
      <c r="H38" s="17">
        <f t="shared" si="11"/>
        <v>0</v>
      </c>
      <c r="I38" s="17"/>
      <c r="J38" s="17"/>
      <c r="K38" s="18">
        <f t="shared" si="4"/>
        <v>0</v>
      </c>
      <c r="L38" s="17">
        <f t="shared" si="5"/>
        <v>0</v>
      </c>
      <c r="M38" s="17">
        <f t="shared" si="6"/>
        <v>0</v>
      </c>
      <c r="N38" s="18">
        <f t="shared" si="7"/>
        <v>0</v>
      </c>
      <c r="O38" s="6"/>
    </row>
    <row r="39" spans="1:15">
      <c r="A39" s="13" t="s">
        <v>5839</v>
      </c>
      <c r="B39" s="13" t="s">
        <v>5821</v>
      </c>
      <c r="C39" s="14" t="s">
        <v>5840</v>
      </c>
      <c r="D39" s="15">
        <v>2</v>
      </c>
      <c r="E39" s="16"/>
      <c r="F39" s="17">
        <f t="shared" si="9"/>
        <v>0</v>
      </c>
      <c r="G39" s="17">
        <f t="shared" si="10"/>
        <v>0</v>
      </c>
      <c r="H39" s="17">
        <f t="shared" si="11"/>
        <v>0</v>
      </c>
      <c r="I39" s="17"/>
      <c r="J39" s="17"/>
      <c r="K39" s="18">
        <f t="shared" si="4"/>
        <v>0</v>
      </c>
      <c r="L39" s="17">
        <f t="shared" si="5"/>
        <v>0</v>
      </c>
      <c r="M39" s="17">
        <f t="shared" si="6"/>
        <v>0</v>
      </c>
      <c r="N39" s="18">
        <f t="shared" si="7"/>
        <v>0</v>
      </c>
      <c r="O39" s="6"/>
    </row>
    <row r="40" spans="1:15">
      <c r="A40" s="13" t="s">
        <v>5839</v>
      </c>
      <c r="B40" s="13" t="s">
        <v>5821</v>
      </c>
      <c r="C40" s="14" t="s">
        <v>4227</v>
      </c>
      <c r="D40" s="15">
        <v>2</v>
      </c>
      <c r="E40" s="16"/>
      <c r="F40" s="17">
        <f t="shared" si="9"/>
        <v>0</v>
      </c>
      <c r="G40" s="17">
        <f t="shared" si="10"/>
        <v>0</v>
      </c>
      <c r="H40" s="17">
        <f t="shared" si="11"/>
        <v>0</v>
      </c>
      <c r="I40" s="17"/>
      <c r="J40" s="17"/>
      <c r="K40" s="18">
        <f t="shared" si="4"/>
        <v>0</v>
      </c>
      <c r="L40" s="17">
        <f t="shared" si="5"/>
        <v>0</v>
      </c>
      <c r="M40" s="17">
        <f t="shared" si="6"/>
        <v>0</v>
      </c>
      <c r="N40" s="18">
        <f t="shared" si="7"/>
        <v>0</v>
      </c>
      <c r="O40" s="6"/>
    </row>
    <row r="41" spans="1:15">
      <c r="A41" s="13" t="s">
        <v>5839</v>
      </c>
      <c r="B41" s="13" t="s">
        <v>5821</v>
      </c>
      <c r="C41" s="14" t="s">
        <v>4232</v>
      </c>
      <c r="D41" s="15">
        <v>2</v>
      </c>
      <c r="E41" s="16"/>
      <c r="F41" s="17">
        <f t="shared" si="9"/>
        <v>0</v>
      </c>
      <c r="G41" s="17">
        <f t="shared" si="10"/>
        <v>0</v>
      </c>
      <c r="H41" s="17">
        <f t="shared" si="11"/>
        <v>0</v>
      </c>
      <c r="I41" s="17"/>
      <c r="J41" s="17"/>
      <c r="K41" s="18">
        <f t="shared" si="4"/>
        <v>0</v>
      </c>
      <c r="L41" s="17">
        <f t="shared" si="5"/>
        <v>0</v>
      </c>
      <c r="M41" s="17">
        <f t="shared" si="6"/>
        <v>0</v>
      </c>
      <c r="N41" s="18">
        <f t="shared" si="7"/>
        <v>0</v>
      </c>
      <c r="O41" s="6"/>
    </row>
    <row r="42" spans="1:15">
      <c r="A42" s="13" t="s">
        <v>5839</v>
      </c>
      <c r="B42" s="13" t="s">
        <v>5821</v>
      </c>
      <c r="C42" s="14" t="s">
        <v>4236</v>
      </c>
      <c r="D42" s="15">
        <v>2</v>
      </c>
      <c r="E42" s="16"/>
      <c r="F42" s="17">
        <f t="shared" si="9"/>
        <v>0</v>
      </c>
      <c r="G42" s="17">
        <f t="shared" ref="G42:G49" si="12">F42*0.5</f>
        <v>0</v>
      </c>
      <c r="H42" s="17">
        <f t="shared" ref="H42:H49" si="13">F42-G42</f>
        <v>0</v>
      </c>
      <c r="I42" s="17"/>
      <c r="J42" s="17"/>
      <c r="K42" s="18">
        <f t="shared" si="4"/>
        <v>0</v>
      </c>
      <c r="L42" s="17">
        <f t="shared" si="5"/>
        <v>0</v>
      </c>
      <c r="M42" s="17">
        <f t="shared" si="6"/>
        <v>0</v>
      </c>
      <c r="N42" s="18">
        <f t="shared" si="7"/>
        <v>0</v>
      </c>
      <c r="O42" s="6"/>
    </row>
    <row r="43" spans="1:15">
      <c r="A43" s="13" t="s">
        <v>5839</v>
      </c>
      <c r="B43" s="13" t="s">
        <v>5821</v>
      </c>
      <c r="C43" s="14" t="s">
        <v>5841</v>
      </c>
      <c r="D43" s="15">
        <v>2</v>
      </c>
      <c r="E43" s="16"/>
      <c r="F43" s="17">
        <f t="shared" si="9"/>
        <v>0</v>
      </c>
      <c r="G43" s="17">
        <f t="shared" si="12"/>
        <v>0</v>
      </c>
      <c r="H43" s="17">
        <f t="shared" si="13"/>
        <v>0</v>
      </c>
      <c r="I43" s="17"/>
      <c r="J43" s="17"/>
      <c r="K43" s="18">
        <f t="shared" si="4"/>
        <v>0</v>
      </c>
      <c r="L43" s="17">
        <f t="shared" si="5"/>
        <v>0</v>
      </c>
      <c r="M43" s="17">
        <f t="shared" si="6"/>
        <v>0</v>
      </c>
      <c r="N43" s="18">
        <f t="shared" si="7"/>
        <v>0</v>
      </c>
      <c r="O43" s="6"/>
    </row>
    <row r="44" spans="1:15">
      <c r="A44" s="13" t="s">
        <v>5839</v>
      </c>
      <c r="B44" s="13" t="s">
        <v>5821</v>
      </c>
      <c r="C44" s="14" t="s">
        <v>5842</v>
      </c>
      <c r="D44" s="15">
        <v>2</v>
      </c>
      <c r="E44" s="16"/>
      <c r="F44" s="17">
        <f t="shared" si="9"/>
        <v>0</v>
      </c>
      <c r="G44" s="17">
        <f t="shared" si="12"/>
        <v>0</v>
      </c>
      <c r="H44" s="17">
        <f t="shared" si="13"/>
        <v>0</v>
      </c>
      <c r="I44" s="17"/>
      <c r="J44" s="17"/>
      <c r="K44" s="18">
        <f t="shared" si="4"/>
        <v>0</v>
      </c>
      <c r="L44" s="17">
        <f t="shared" si="5"/>
        <v>0</v>
      </c>
      <c r="M44" s="17">
        <f t="shared" si="6"/>
        <v>0</v>
      </c>
      <c r="N44" s="18">
        <f t="shared" si="7"/>
        <v>0</v>
      </c>
      <c r="O44" s="6"/>
    </row>
    <row r="45" spans="1:15">
      <c r="A45" s="13" t="s">
        <v>5839</v>
      </c>
      <c r="B45" s="13" t="s">
        <v>5821</v>
      </c>
      <c r="C45" s="14" t="s">
        <v>5843</v>
      </c>
      <c r="D45" s="15">
        <v>2</v>
      </c>
      <c r="E45" s="16"/>
      <c r="F45" s="17">
        <f t="shared" si="9"/>
        <v>0</v>
      </c>
      <c r="G45" s="17">
        <f t="shared" si="12"/>
        <v>0</v>
      </c>
      <c r="H45" s="17">
        <f t="shared" si="13"/>
        <v>0</v>
      </c>
      <c r="I45" s="17"/>
      <c r="J45" s="17"/>
      <c r="K45" s="18">
        <f t="shared" si="4"/>
        <v>0</v>
      </c>
      <c r="L45" s="17">
        <f t="shared" si="5"/>
        <v>0</v>
      </c>
      <c r="M45" s="17">
        <f t="shared" si="6"/>
        <v>0</v>
      </c>
      <c r="N45" s="18">
        <f t="shared" si="7"/>
        <v>0</v>
      </c>
      <c r="O45" s="6"/>
    </row>
    <row r="46" spans="1:15">
      <c r="A46" s="13" t="s">
        <v>5839</v>
      </c>
      <c r="B46" s="13" t="s">
        <v>5821</v>
      </c>
      <c r="C46" s="14" t="s">
        <v>5844</v>
      </c>
      <c r="D46" s="15">
        <v>2</v>
      </c>
      <c r="E46" s="16"/>
      <c r="F46" s="17">
        <f t="shared" si="9"/>
        <v>0</v>
      </c>
      <c r="G46" s="17">
        <f t="shared" si="12"/>
        <v>0</v>
      </c>
      <c r="H46" s="17">
        <f t="shared" si="13"/>
        <v>0</v>
      </c>
      <c r="I46" s="17"/>
      <c r="J46" s="17"/>
      <c r="K46" s="18">
        <f t="shared" si="4"/>
        <v>0</v>
      </c>
      <c r="L46" s="17">
        <f t="shared" si="5"/>
        <v>0</v>
      </c>
      <c r="M46" s="17">
        <f t="shared" si="6"/>
        <v>0</v>
      </c>
      <c r="N46" s="18">
        <f t="shared" si="7"/>
        <v>0</v>
      </c>
      <c r="O46" s="6"/>
    </row>
    <row r="47" spans="1:15">
      <c r="A47" s="13" t="s">
        <v>5839</v>
      </c>
      <c r="B47" s="13" t="s">
        <v>5821</v>
      </c>
      <c r="C47" s="14" t="s">
        <v>5845</v>
      </c>
      <c r="D47" s="15">
        <v>0</v>
      </c>
      <c r="E47" s="16"/>
      <c r="F47" s="17">
        <f t="shared" si="9"/>
        <v>0</v>
      </c>
      <c r="G47" s="17">
        <f t="shared" si="12"/>
        <v>0</v>
      </c>
      <c r="H47" s="17">
        <f t="shared" si="13"/>
        <v>0</v>
      </c>
      <c r="I47" s="17"/>
      <c r="J47" s="17"/>
      <c r="K47" s="18">
        <f t="shared" si="4"/>
        <v>0</v>
      </c>
      <c r="L47" s="17">
        <f t="shared" si="5"/>
        <v>0</v>
      </c>
      <c r="M47" s="17">
        <f t="shared" si="6"/>
        <v>0</v>
      </c>
      <c r="N47" s="18">
        <f t="shared" si="7"/>
        <v>0</v>
      </c>
      <c r="O47" s="6"/>
    </row>
    <row r="48" spans="1:15">
      <c r="A48" s="13" t="s">
        <v>5839</v>
      </c>
      <c r="B48" s="13" t="s">
        <v>5821</v>
      </c>
      <c r="C48" s="14" t="s">
        <v>4019</v>
      </c>
      <c r="D48" s="15">
        <v>0</v>
      </c>
      <c r="E48" s="16"/>
      <c r="F48" s="17">
        <f t="shared" si="9"/>
        <v>0</v>
      </c>
      <c r="G48" s="17">
        <f t="shared" si="12"/>
        <v>0</v>
      </c>
      <c r="H48" s="17">
        <f t="shared" si="13"/>
        <v>0</v>
      </c>
      <c r="I48" s="17"/>
      <c r="J48" s="17"/>
      <c r="K48" s="18">
        <f t="shared" si="4"/>
        <v>0</v>
      </c>
      <c r="L48" s="17">
        <f t="shared" si="5"/>
        <v>0</v>
      </c>
      <c r="M48" s="17">
        <f t="shared" si="6"/>
        <v>0</v>
      </c>
      <c r="N48" s="18">
        <f t="shared" si="7"/>
        <v>0</v>
      </c>
      <c r="O48" s="6"/>
    </row>
    <row r="49" spans="1:15">
      <c r="A49" s="13" t="s">
        <v>5839</v>
      </c>
      <c r="B49" s="13" t="s">
        <v>5821</v>
      </c>
      <c r="C49" s="14" t="s">
        <v>919</v>
      </c>
      <c r="D49" s="15">
        <v>0</v>
      </c>
      <c r="E49" s="16"/>
      <c r="F49" s="17">
        <f t="shared" si="9"/>
        <v>0</v>
      </c>
      <c r="G49" s="17">
        <f t="shared" si="12"/>
        <v>0</v>
      </c>
      <c r="H49" s="17">
        <f t="shared" si="13"/>
        <v>0</v>
      </c>
      <c r="I49" s="17"/>
      <c r="J49" s="17"/>
      <c r="K49" s="18">
        <f t="shared" si="4"/>
        <v>0</v>
      </c>
      <c r="L49" s="17">
        <f t="shared" si="5"/>
        <v>0</v>
      </c>
      <c r="M49" s="17">
        <f t="shared" si="6"/>
        <v>0</v>
      </c>
      <c r="N49" s="18">
        <f t="shared" si="7"/>
        <v>0</v>
      </c>
      <c r="O49" s="6"/>
    </row>
    <row r="50" spans="1:15">
      <c r="A50" s="13" t="s">
        <v>5846</v>
      </c>
      <c r="B50" s="13" t="s">
        <v>5821</v>
      </c>
      <c r="C50" s="14" t="s">
        <v>918</v>
      </c>
      <c r="D50" s="15">
        <v>2</v>
      </c>
      <c r="E50" s="16"/>
      <c r="F50" s="17">
        <f t="shared" si="9"/>
        <v>0</v>
      </c>
      <c r="G50" s="17">
        <f t="shared" ref="G50:G67" si="14">F50*0.5</f>
        <v>0</v>
      </c>
      <c r="H50" s="17">
        <f t="shared" ref="H50:H67" si="15">F50-G50</f>
        <v>0</v>
      </c>
      <c r="I50" s="17"/>
      <c r="J50" s="17"/>
      <c r="K50" s="18">
        <f t="shared" si="4"/>
        <v>0</v>
      </c>
      <c r="L50" s="17">
        <f t="shared" si="5"/>
        <v>0</v>
      </c>
      <c r="M50" s="17">
        <f t="shared" si="6"/>
        <v>0</v>
      </c>
      <c r="N50" s="18">
        <f t="shared" si="7"/>
        <v>0</v>
      </c>
      <c r="O50" s="6"/>
    </row>
    <row r="51" spans="1:15">
      <c r="A51" s="13" t="s">
        <v>5846</v>
      </c>
      <c r="B51" s="13" t="s">
        <v>5821</v>
      </c>
      <c r="C51" s="14" t="s">
        <v>3980</v>
      </c>
      <c r="D51" s="15">
        <v>2</v>
      </c>
      <c r="E51" s="16"/>
      <c r="F51" s="17">
        <f t="shared" si="9"/>
        <v>0</v>
      </c>
      <c r="G51" s="17">
        <f t="shared" si="14"/>
        <v>0</v>
      </c>
      <c r="H51" s="17">
        <f t="shared" si="15"/>
        <v>0</v>
      </c>
      <c r="I51" s="17"/>
      <c r="J51" s="17"/>
      <c r="K51" s="18">
        <f t="shared" si="4"/>
        <v>0</v>
      </c>
      <c r="L51" s="17">
        <f t="shared" si="5"/>
        <v>0</v>
      </c>
      <c r="M51" s="17">
        <f t="shared" si="6"/>
        <v>0</v>
      </c>
      <c r="N51" s="18">
        <f t="shared" si="7"/>
        <v>0</v>
      </c>
      <c r="O51" s="6"/>
    </row>
    <row r="52" spans="1:15">
      <c r="A52" s="13" t="s">
        <v>5846</v>
      </c>
      <c r="B52" s="13" t="s">
        <v>5821</v>
      </c>
      <c r="C52" s="14" t="s">
        <v>4253</v>
      </c>
      <c r="D52" s="15">
        <v>2</v>
      </c>
      <c r="E52" s="16"/>
      <c r="F52" s="17">
        <f t="shared" si="9"/>
        <v>0</v>
      </c>
      <c r="G52" s="17">
        <f t="shared" si="14"/>
        <v>0</v>
      </c>
      <c r="H52" s="17">
        <f t="shared" si="15"/>
        <v>0</v>
      </c>
      <c r="I52" s="17"/>
      <c r="J52" s="17"/>
      <c r="K52" s="18">
        <f t="shared" si="4"/>
        <v>0</v>
      </c>
      <c r="L52" s="17">
        <f t="shared" si="5"/>
        <v>0</v>
      </c>
      <c r="M52" s="17">
        <f t="shared" si="6"/>
        <v>0</v>
      </c>
      <c r="N52" s="18">
        <f t="shared" si="7"/>
        <v>0</v>
      </c>
      <c r="O52" s="6"/>
    </row>
    <row r="53" spans="1:15">
      <c r="A53" s="13" t="s">
        <v>5846</v>
      </c>
      <c r="B53" s="13" t="s">
        <v>5821</v>
      </c>
      <c r="C53" s="14" t="s">
        <v>4257</v>
      </c>
      <c r="D53" s="15">
        <v>2</v>
      </c>
      <c r="E53" s="16"/>
      <c r="F53" s="17">
        <f t="shared" si="9"/>
        <v>0</v>
      </c>
      <c r="G53" s="17">
        <f t="shared" si="14"/>
        <v>0</v>
      </c>
      <c r="H53" s="17">
        <f t="shared" si="15"/>
        <v>0</v>
      </c>
      <c r="I53" s="17"/>
      <c r="J53" s="17"/>
      <c r="K53" s="18">
        <f t="shared" si="4"/>
        <v>0</v>
      </c>
      <c r="L53" s="17">
        <f t="shared" si="5"/>
        <v>0</v>
      </c>
      <c r="M53" s="17">
        <f t="shared" si="6"/>
        <v>0</v>
      </c>
      <c r="N53" s="18">
        <f t="shared" si="7"/>
        <v>0</v>
      </c>
      <c r="O53" s="6"/>
    </row>
    <row r="54" spans="1:15">
      <c r="A54" s="13" t="s">
        <v>5846</v>
      </c>
      <c r="B54" s="13" t="s">
        <v>5821</v>
      </c>
      <c r="C54" s="14" t="s">
        <v>859</v>
      </c>
      <c r="D54" s="15">
        <v>2</v>
      </c>
      <c r="E54" s="16"/>
      <c r="F54" s="17">
        <f t="shared" si="9"/>
        <v>0</v>
      </c>
      <c r="G54" s="17">
        <f t="shared" si="14"/>
        <v>0</v>
      </c>
      <c r="H54" s="17">
        <f t="shared" si="15"/>
        <v>0</v>
      </c>
      <c r="I54" s="17"/>
      <c r="J54" s="17"/>
      <c r="K54" s="18">
        <f t="shared" si="4"/>
        <v>0</v>
      </c>
      <c r="L54" s="17">
        <f t="shared" si="5"/>
        <v>0</v>
      </c>
      <c r="M54" s="17">
        <f t="shared" si="6"/>
        <v>0</v>
      </c>
      <c r="N54" s="18">
        <f t="shared" si="7"/>
        <v>0</v>
      </c>
      <c r="O54" s="6"/>
    </row>
    <row r="55" spans="1:15">
      <c r="A55" s="13" t="s">
        <v>5846</v>
      </c>
      <c r="B55" s="13" t="s">
        <v>5821</v>
      </c>
      <c r="C55" s="14" t="s">
        <v>4055</v>
      </c>
      <c r="D55" s="15">
        <v>2</v>
      </c>
      <c r="E55" s="16"/>
      <c r="F55" s="17">
        <f t="shared" si="9"/>
        <v>0</v>
      </c>
      <c r="G55" s="17">
        <f t="shared" si="14"/>
        <v>0</v>
      </c>
      <c r="H55" s="17">
        <f t="shared" si="15"/>
        <v>0</v>
      </c>
      <c r="I55" s="17"/>
      <c r="J55" s="17"/>
      <c r="K55" s="18">
        <f t="shared" si="4"/>
        <v>0</v>
      </c>
      <c r="L55" s="17">
        <f t="shared" si="5"/>
        <v>0</v>
      </c>
      <c r="M55" s="17">
        <f t="shared" si="6"/>
        <v>0</v>
      </c>
      <c r="N55" s="18">
        <f t="shared" si="7"/>
        <v>0</v>
      </c>
      <c r="O55" s="6"/>
    </row>
    <row r="56" spans="1:15">
      <c r="A56" s="13" t="s">
        <v>5846</v>
      </c>
      <c r="B56" s="13" t="s">
        <v>5821</v>
      </c>
      <c r="C56" s="14" t="s">
        <v>922</v>
      </c>
      <c r="D56" s="15">
        <v>2</v>
      </c>
      <c r="E56" s="16"/>
      <c r="F56" s="17">
        <f t="shared" si="9"/>
        <v>0</v>
      </c>
      <c r="G56" s="17">
        <f>F56</f>
        <v>0</v>
      </c>
      <c r="H56" s="17">
        <f t="shared" si="15"/>
        <v>0</v>
      </c>
      <c r="I56" s="17"/>
      <c r="J56" s="17"/>
      <c r="K56" s="18">
        <f t="shared" si="4"/>
        <v>0</v>
      </c>
      <c r="L56" s="17">
        <f t="shared" si="5"/>
        <v>0</v>
      </c>
      <c r="M56" s="17">
        <f t="shared" si="6"/>
        <v>0</v>
      </c>
      <c r="N56" s="18">
        <f t="shared" si="7"/>
        <v>0</v>
      </c>
      <c r="O56" s="6"/>
    </row>
    <row r="57" spans="1:15">
      <c r="A57" s="13" t="s">
        <v>5846</v>
      </c>
      <c r="B57" s="13" t="s">
        <v>5821</v>
      </c>
      <c r="C57" s="14" t="s">
        <v>901</v>
      </c>
      <c r="D57" s="15">
        <v>2</v>
      </c>
      <c r="E57" s="16"/>
      <c r="F57" s="17">
        <f t="shared" si="9"/>
        <v>0</v>
      </c>
      <c r="G57" s="17">
        <f t="shared" si="14"/>
        <v>0</v>
      </c>
      <c r="H57" s="17">
        <f t="shared" si="15"/>
        <v>0</v>
      </c>
      <c r="I57" s="17"/>
      <c r="J57" s="17"/>
      <c r="K57" s="18">
        <f t="shared" si="4"/>
        <v>0</v>
      </c>
      <c r="L57" s="17">
        <f t="shared" si="5"/>
        <v>0</v>
      </c>
      <c r="M57" s="17">
        <f t="shared" si="6"/>
        <v>0</v>
      </c>
      <c r="N57" s="18">
        <f t="shared" si="7"/>
        <v>0</v>
      </c>
      <c r="O57" s="6"/>
    </row>
    <row r="58" spans="1:15">
      <c r="A58" s="13" t="s">
        <v>5846</v>
      </c>
      <c r="B58" s="13" t="s">
        <v>5821</v>
      </c>
      <c r="C58" s="14" t="s">
        <v>924</v>
      </c>
      <c r="D58" s="15">
        <v>2</v>
      </c>
      <c r="E58" s="16"/>
      <c r="F58" s="17">
        <f t="shared" si="9"/>
        <v>0</v>
      </c>
      <c r="G58" s="17">
        <f t="shared" si="14"/>
        <v>0</v>
      </c>
      <c r="H58" s="17">
        <f t="shared" si="15"/>
        <v>0</v>
      </c>
      <c r="I58" s="17"/>
      <c r="J58" s="17"/>
      <c r="K58" s="18">
        <f t="shared" si="4"/>
        <v>0</v>
      </c>
      <c r="L58" s="17">
        <f t="shared" si="5"/>
        <v>0</v>
      </c>
      <c r="M58" s="17">
        <f t="shared" si="6"/>
        <v>0</v>
      </c>
      <c r="N58" s="18">
        <f t="shared" si="7"/>
        <v>0</v>
      </c>
      <c r="O58" s="6"/>
    </row>
    <row r="59" spans="1:15">
      <c r="A59" s="13" t="s">
        <v>5846</v>
      </c>
      <c r="B59" s="13" t="s">
        <v>5821</v>
      </c>
      <c r="C59" s="14" t="s">
        <v>4285</v>
      </c>
      <c r="D59" s="15">
        <v>2</v>
      </c>
      <c r="E59" s="16"/>
      <c r="F59" s="17">
        <f t="shared" si="9"/>
        <v>0</v>
      </c>
      <c r="G59" s="17">
        <f t="shared" si="14"/>
        <v>0</v>
      </c>
      <c r="H59" s="17">
        <f t="shared" si="15"/>
        <v>0</v>
      </c>
      <c r="I59" s="17"/>
      <c r="J59" s="17"/>
      <c r="K59" s="18">
        <f t="shared" si="4"/>
        <v>0</v>
      </c>
      <c r="L59" s="17">
        <f t="shared" si="5"/>
        <v>0</v>
      </c>
      <c r="M59" s="17">
        <f t="shared" si="6"/>
        <v>0</v>
      </c>
      <c r="N59" s="18">
        <f t="shared" si="7"/>
        <v>0</v>
      </c>
      <c r="O59" s="6"/>
    </row>
    <row r="60" spans="1:15">
      <c r="A60" s="13" t="s">
        <v>5846</v>
      </c>
      <c r="B60" s="13" t="s">
        <v>5821</v>
      </c>
      <c r="C60" s="14" t="s">
        <v>4261</v>
      </c>
      <c r="D60" s="15">
        <v>2</v>
      </c>
      <c r="E60" s="16"/>
      <c r="F60" s="17">
        <f t="shared" si="9"/>
        <v>0</v>
      </c>
      <c r="G60" s="17">
        <f t="shared" si="14"/>
        <v>0</v>
      </c>
      <c r="H60" s="17">
        <f t="shared" si="15"/>
        <v>0</v>
      </c>
      <c r="I60" s="17"/>
      <c r="J60" s="17"/>
      <c r="K60" s="18">
        <f t="shared" si="4"/>
        <v>0</v>
      </c>
      <c r="L60" s="17">
        <f t="shared" si="5"/>
        <v>0</v>
      </c>
      <c r="M60" s="17">
        <f t="shared" si="6"/>
        <v>0</v>
      </c>
      <c r="N60" s="18">
        <f t="shared" si="7"/>
        <v>0</v>
      </c>
      <c r="O60" s="6"/>
    </row>
    <row r="61" spans="1:15">
      <c r="A61" s="13" t="s">
        <v>5831</v>
      </c>
      <c r="B61" s="13" t="s">
        <v>873</v>
      </c>
      <c r="C61" s="14" t="s">
        <v>4292</v>
      </c>
      <c r="D61" s="15">
        <v>2</v>
      </c>
      <c r="E61" s="16"/>
      <c r="F61" s="17">
        <f t="shared" si="9"/>
        <v>0</v>
      </c>
      <c r="G61" s="17">
        <f t="shared" si="14"/>
        <v>0</v>
      </c>
      <c r="H61" s="17">
        <f t="shared" si="15"/>
        <v>0</v>
      </c>
      <c r="I61" s="17"/>
      <c r="J61" s="17"/>
      <c r="K61" s="18">
        <f t="shared" si="4"/>
        <v>0</v>
      </c>
      <c r="L61" s="17">
        <f t="shared" si="5"/>
        <v>0</v>
      </c>
      <c r="M61" s="17">
        <f t="shared" si="6"/>
        <v>0</v>
      </c>
      <c r="N61" s="18">
        <f t="shared" si="7"/>
        <v>0</v>
      </c>
      <c r="O61" s="6"/>
    </row>
    <row r="62" spans="1:15">
      <c r="A62" s="13" t="s">
        <v>5831</v>
      </c>
      <c r="B62" s="13" t="s">
        <v>873</v>
      </c>
      <c r="C62" s="20" t="s">
        <v>5847</v>
      </c>
      <c r="D62" s="15">
        <v>2</v>
      </c>
      <c r="E62" s="16"/>
      <c r="F62" s="17">
        <f t="shared" si="9"/>
        <v>0</v>
      </c>
      <c r="G62" s="17">
        <f t="shared" si="14"/>
        <v>0</v>
      </c>
      <c r="H62" s="17">
        <f t="shared" si="15"/>
        <v>0</v>
      </c>
      <c r="I62" s="17"/>
      <c r="J62" s="17"/>
      <c r="K62" s="18">
        <f t="shared" si="4"/>
        <v>0</v>
      </c>
      <c r="L62" s="17">
        <f t="shared" si="5"/>
        <v>0</v>
      </c>
      <c r="M62" s="17">
        <f t="shared" si="6"/>
        <v>0</v>
      </c>
      <c r="N62" s="18">
        <f t="shared" si="7"/>
        <v>0</v>
      </c>
      <c r="O62" s="6"/>
    </row>
    <row r="63" spans="1:15">
      <c r="A63" s="13" t="s">
        <v>5831</v>
      </c>
      <c r="B63" s="13" t="s">
        <v>873</v>
      </c>
      <c r="C63" s="14" t="s">
        <v>4249</v>
      </c>
      <c r="D63" s="15">
        <v>2</v>
      </c>
      <c r="E63" s="16"/>
      <c r="F63" s="17">
        <f t="shared" si="9"/>
        <v>0</v>
      </c>
      <c r="G63" s="17">
        <f t="shared" si="14"/>
        <v>0</v>
      </c>
      <c r="H63" s="17">
        <f t="shared" si="15"/>
        <v>0</v>
      </c>
      <c r="I63" s="17"/>
      <c r="J63" s="17"/>
      <c r="K63" s="18">
        <f t="shared" si="4"/>
        <v>0</v>
      </c>
      <c r="L63" s="17">
        <f t="shared" si="5"/>
        <v>0</v>
      </c>
      <c r="M63" s="17">
        <f t="shared" si="6"/>
        <v>0</v>
      </c>
      <c r="N63" s="18">
        <f t="shared" si="7"/>
        <v>0</v>
      </c>
      <c r="O63" s="6"/>
    </row>
    <row r="64" spans="1:15">
      <c r="A64" s="13" t="s">
        <v>5831</v>
      </c>
      <c r="B64" s="13" t="s">
        <v>873</v>
      </c>
      <c r="C64" s="21" t="s">
        <v>5848</v>
      </c>
      <c r="D64" s="15">
        <v>0</v>
      </c>
      <c r="E64" s="16"/>
      <c r="F64" s="17">
        <f t="shared" si="9"/>
        <v>0</v>
      </c>
      <c r="G64" s="17">
        <f t="shared" si="14"/>
        <v>0</v>
      </c>
      <c r="H64" s="17">
        <f t="shared" si="15"/>
        <v>0</v>
      </c>
      <c r="I64" s="17"/>
      <c r="J64" s="17"/>
      <c r="K64" s="18">
        <f t="shared" si="4"/>
        <v>0</v>
      </c>
      <c r="L64" s="17">
        <f t="shared" si="5"/>
        <v>0</v>
      </c>
      <c r="M64" s="17">
        <f t="shared" si="6"/>
        <v>0</v>
      </c>
      <c r="N64" s="18">
        <f t="shared" si="7"/>
        <v>0</v>
      </c>
      <c r="O64" s="6"/>
    </row>
    <row r="65" spans="1:15">
      <c r="A65" s="13" t="s">
        <v>5831</v>
      </c>
      <c r="B65" s="13" t="s">
        <v>873</v>
      </c>
      <c r="C65" s="21" t="s">
        <v>5849</v>
      </c>
      <c r="D65" s="15">
        <v>0</v>
      </c>
      <c r="E65" s="16"/>
      <c r="F65" s="17">
        <f t="shared" si="9"/>
        <v>0</v>
      </c>
      <c r="G65" s="17">
        <f t="shared" si="14"/>
        <v>0</v>
      </c>
      <c r="H65" s="17">
        <f t="shared" si="15"/>
        <v>0</v>
      </c>
      <c r="I65" s="17"/>
      <c r="J65" s="17"/>
      <c r="K65" s="18">
        <f t="shared" si="4"/>
        <v>0</v>
      </c>
      <c r="L65" s="17">
        <f t="shared" si="5"/>
        <v>0</v>
      </c>
      <c r="M65" s="17">
        <f t="shared" si="6"/>
        <v>0</v>
      </c>
      <c r="N65" s="18">
        <f t="shared" si="7"/>
        <v>0</v>
      </c>
      <c r="O65" s="6"/>
    </row>
    <row r="66" spans="1:15">
      <c r="A66" s="13" t="s">
        <v>5831</v>
      </c>
      <c r="B66" s="13" t="s">
        <v>873</v>
      </c>
      <c r="C66" s="21" t="s">
        <v>1319</v>
      </c>
      <c r="D66" s="15">
        <v>0</v>
      </c>
      <c r="E66" s="16"/>
      <c r="F66" s="17">
        <f t="shared" si="9"/>
        <v>0</v>
      </c>
      <c r="G66" s="17">
        <f t="shared" si="14"/>
        <v>0</v>
      </c>
      <c r="H66" s="17">
        <f t="shared" si="15"/>
        <v>0</v>
      </c>
      <c r="I66" s="17"/>
      <c r="J66" s="17"/>
      <c r="K66" s="18">
        <f t="shared" si="4"/>
        <v>0</v>
      </c>
      <c r="L66" s="17">
        <f t="shared" si="5"/>
        <v>0</v>
      </c>
      <c r="M66" s="17">
        <f t="shared" si="6"/>
        <v>0</v>
      </c>
      <c r="N66" s="18">
        <f t="shared" si="7"/>
        <v>0</v>
      </c>
      <c r="O66" s="6"/>
    </row>
    <row r="67" spans="1:15">
      <c r="A67" s="13" t="s">
        <v>5831</v>
      </c>
      <c r="B67" s="13" t="s">
        <v>873</v>
      </c>
      <c r="C67" s="14" t="s">
        <v>4296</v>
      </c>
      <c r="D67" s="15">
        <v>0</v>
      </c>
      <c r="E67" s="16"/>
      <c r="F67" s="17">
        <f t="shared" si="9"/>
        <v>0</v>
      </c>
      <c r="G67" s="17">
        <f t="shared" si="14"/>
        <v>0</v>
      </c>
      <c r="H67" s="17">
        <f t="shared" si="15"/>
        <v>0</v>
      </c>
      <c r="I67" s="17"/>
      <c r="J67" s="17"/>
      <c r="K67" s="18">
        <f t="shared" si="4"/>
        <v>0</v>
      </c>
      <c r="L67" s="17">
        <f t="shared" si="5"/>
        <v>0</v>
      </c>
      <c r="M67" s="17">
        <f t="shared" si="6"/>
        <v>0</v>
      </c>
      <c r="N67" s="18">
        <f t="shared" si="7"/>
        <v>0</v>
      </c>
      <c r="O67" s="6"/>
    </row>
    <row r="68" spans="1:15">
      <c r="A68" s="13" t="s">
        <v>5846</v>
      </c>
      <c r="B68" s="13" t="s">
        <v>5821</v>
      </c>
      <c r="C68" s="14" t="s">
        <v>5850</v>
      </c>
      <c r="D68" s="15">
        <v>1</v>
      </c>
      <c r="E68" s="16"/>
      <c r="F68" s="17">
        <f t="shared" ref="F68:F84" si="16">D68*E68</f>
        <v>0</v>
      </c>
      <c r="G68" s="17">
        <f>F68</f>
        <v>0</v>
      </c>
      <c r="H68" s="17">
        <f t="shared" ref="H68:H74" si="17">F68-G68</f>
        <v>0</v>
      </c>
      <c r="I68" s="17"/>
      <c r="J68" s="17"/>
      <c r="K68" s="18">
        <f t="shared" ref="K68:K131" si="18">J68*0.5</f>
        <v>0</v>
      </c>
      <c r="L68" s="17">
        <f t="shared" ref="L68:L131" si="19">J68*0.5</f>
        <v>0</v>
      </c>
      <c r="M68" s="17">
        <f t="shared" ref="M68:M131" si="20">SUM(G68,K68)</f>
        <v>0</v>
      </c>
      <c r="N68" s="18">
        <f t="shared" ref="N68:N131" si="21">SUM(H68,L68)</f>
        <v>0</v>
      </c>
      <c r="O68" s="6"/>
    </row>
    <row r="69" spans="1:15">
      <c r="A69" s="13" t="s">
        <v>5846</v>
      </c>
      <c r="B69" s="13" t="s">
        <v>5821</v>
      </c>
      <c r="C69" s="14" t="s">
        <v>923</v>
      </c>
      <c r="D69" s="15">
        <v>1</v>
      </c>
      <c r="E69" s="16"/>
      <c r="F69" s="17">
        <f t="shared" si="16"/>
        <v>0</v>
      </c>
      <c r="G69" s="17">
        <f>F69</f>
        <v>0</v>
      </c>
      <c r="H69" s="17">
        <f t="shared" si="17"/>
        <v>0</v>
      </c>
      <c r="I69" s="17"/>
      <c r="J69" s="17"/>
      <c r="K69" s="18">
        <f t="shared" si="18"/>
        <v>0</v>
      </c>
      <c r="L69" s="17">
        <f t="shared" si="19"/>
        <v>0</v>
      </c>
      <c r="M69" s="17">
        <f t="shared" si="20"/>
        <v>0</v>
      </c>
      <c r="N69" s="18">
        <f t="shared" si="21"/>
        <v>0</v>
      </c>
      <c r="O69" s="6"/>
    </row>
    <row r="70" spans="1:15">
      <c r="A70" s="13" t="s">
        <v>5846</v>
      </c>
      <c r="B70" s="13" t="s">
        <v>5821</v>
      </c>
      <c r="C70" s="14" t="s">
        <v>4265</v>
      </c>
      <c r="D70" s="15">
        <v>2</v>
      </c>
      <c r="E70" s="16"/>
      <c r="F70" s="17">
        <f t="shared" si="16"/>
        <v>0</v>
      </c>
      <c r="G70" s="17">
        <f>F70*0.5</f>
        <v>0</v>
      </c>
      <c r="H70" s="17">
        <f t="shared" si="17"/>
        <v>0</v>
      </c>
      <c r="I70" s="17"/>
      <c r="J70" s="17"/>
      <c r="K70" s="18">
        <f t="shared" si="18"/>
        <v>0</v>
      </c>
      <c r="L70" s="17">
        <f t="shared" si="19"/>
        <v>0</v>
      </c>
      <c r="M70" s="17">
        <f t="shared" si="20"/>
        <v>0</v>
      </c>
      <c r="N70" s="18">
        <f t="shared" si="21"/>
        <v>0</v>
      </c>
      <c r="O70" s="6"/>
    </row>
    <row r="71" spans="1:15">
      <c r="A71" s="14" t="s">
        <v>5828</v>
      </c>
      <c r="B71" s="14" t="s">
        <v>5822</v>
      </c>
      <c r="C71" s="14" t="s">
        <v>905</v>
      </c>
      <c r="D71" s="15">
        <v>2</v>
      </c>
      <c r="E71" s="16"/>
      <c r="F71" s="17">
        <f t="shared" si="16"/>
        <v>0</v>
      </c>
      <c r="G71" s="17">
        <f>F71*0.5</f>
        <v>0</v>
      </c>
      <c r="H71" s="17">
        <f t="shared" si="17"/>
        <v>0</v>
      </c>
      <c r="I71" s="17"/>
      <c r="J71" s="17"/>
      <c r="K71" s="18">
        <f t="shared" si="18"/>
        <v>0</v>
      </c>
      <c r="L71" s="17">
        <f t="shared" si="19"/>
        <v>0</v>
      </c>
      <c r="M71" s="17">
        <f t="shared" si="20"/>
        <v>0</v>
      </c>
      <c r="N71" s="18">
        <f t="shared" si="21"/>
        <v>0</v>
      </c>
      <c r="O71" s="6"/>
    </row>
    <row r="72" spans="1:15">
      <c r="A72" s="14" t="s">
        <v>42</v>
      </c>
      <c r="B72" s="14" t="s">
        <v>5822</v>
      </c>
      <c r="C72" s="14" t="s">
        <v>796</v>
      </c>
      <c r="D72" s="15">
        <v>2</v>
      </c>
      <c r="E72" s="16"/>
      <c r="F72" s="17">
        <f t="shared" si="16"/>
        <v>0</v>
      </c>
      <c r="G72" s="17">
        <f>F72*0.5</f>
        <v>0</v>
      </c>
      <c r="H72" s="17">
        <f t="shared" si="17"/>
        <v>0</v>
      </c>
      <c r="I72" s="17"/>
      <c r="J72" s="17"/>
      <c r="K72" s="18">
        <f t="shared" si="18"/>
        <v>0</v>
      </c>
      <c r="L72" s="17">
        <f t="shared" si="19"/>
        <v>0</v>
      </c>
      <c r="M72" s="17">
        <f t="shared" si="20"/>
        <v>0</v>
      </c>
      <c r="N72" s="18">
        <f t="shared" si="21"/>
        <v>0</v>
      </c>
      <c r="O72" s="6"/>
    </row>
    <row r="73" spans="1:15">
      <c r="A73" s="14" t="s">
        <v>42</v>
      </c>
      <c r="B73" s="14" t="s">
        <v>5822</v>
      </c>
      <c r="C73" s="14" t="s">
        <v>798</v>
      </c>
      <c r="D73" s="15">
        <v>2</v>
      </c>
      <c r="E73" s="16"/>
      <c r="F73" s="17">
        <f t="shared" si="16"/>
        <v>0</v>
      </c>
      <c r="G73" s="17">
        <f>F73*0.5</f>
        <v>0</v>
      </c>
      <c r="H73" s="17">
        <f t="shared" si="17"/>
        <v>0</v>
      </c>
      <c r="I73" s="17"/>
      <c r="J73" s="17"/>
      <c r="K73" s="18">
        <f t="shared" si="18"/>
        <v>0</v>
      </c>
      <c r="L73" s="17">
        <f t="shared" si="19"/>
        <v>0</v>
      </c>
      <c r="M73" s="17">
        <f t="shared" si="20"/>
        <v>0</v>
      </c>
      <c r="N73" s="18">
        <f t="shared" si="21"/>
        <v>0</v>
      </c>
      <c r="O73" s="6"/>
    </row>
    <row r="74" spans="1:15">
      <c r="A74" s="14" t="s">
        <v>42</v>
      </c>
      <c r="B74" s="14" t="s">
        <v>5822</v>
      </c>
      <c r="C74" s="14" t="s">
        <v>5851</v>
      </c>
      <c r="D74" s="15">
        <v>2</v>
      </c>
      <c r="E74" s="16"/>
      <c r="F74" s="17">
        <f t="shared" si="16"/>
        <v>0</v>
      </c>
      <c r="G74" s="17">
        <f>F74*0.5</f>
        <v>0</v>
      </c>
      <c r="H74" s="17">
        <f t="shared" si="17"/>
        <v>0</v>
      </c>
      <c r="I74" s="17"/>
      <c r="J74" s="17"/>
      <c r="K74" s="18">
        <f t="shared" si="18"/>
        <v>0</v>
      </c>
      <c r="L74" s="17">
        <f t="shared" si="19"/>
        <v>0</v>
      </c>
      <c r="M74" s="17">
        <f t="shared" si="20"/>
        <v>0</v>
      </c>
      <c r="N74" s="18">
        <f t="shared" si="21"/>
        <v>0</v>
      </c>
      <c r="O74" s="6"/>
    </row>
    <row r="75" spans="1:15">
      <c r="A75" s="20" t="s">
        <v>42</v>
      </c>
      <c r="B75" s="14" t="s">
        <v>5822</v>
      </c>
      <c r="C75" s="14" t="s">
        <v>802</v>
      </c>
      <c r="D75" s="15">
        <v>2</v>
      </c>
      <c r="E75" s="16"/>
      <c r="F75" s="17">
        <f t="shared" si="16"/>
        <v>0</v>
      </c>
      <c r="G75" s="17">
        <f t="shared" ref="G75:G107" si="22">F75*0.5</f>
        <v>0</v>
      </c>
      <c r="H75" s="17">
        <f t="shared" ref="H75:H107" si="23">F75-G75</f>
        <v>0</v>
      </c>
      <c r="I75" s="17"/>
      <c r="J75" s="17"/>
      <c r="K75" s="18">
        <f t="shared" si="18"/>
        <v>0</v>
      </c>
      <c r="L75" s="17">
        <f t="shared" si="19"/>
        <v>0</v>
      </c>
      <c r="M75" s="17">
        <f t="shared" si="20"/>
        <v>0</v>
      </c>
      <c r="N75" s="18">
        <f t="shared" si="21"/>
        <v>0</v>
      </c>
      <c r="O75" s="6"/>
    </row>
    <row r="76" spans="1:15">
      <c r="A76" s="14" t="s">
        <v>807</v>
      </c>
      <c r="B76" s="14" t="s">
        <v>5822</v>
      </c>
      <c r="C76" s="14" t="s">
        <v>812</v>
      </c>
      <c r="D76" s="15">
        <v>2</v>
      </c>
      <c r="E76" s="16"/>
      <c r="F76" s="17">
        <f t="shared" si="16"/>
        <v>0</v>
      </c>
      <c r="G76" s="17">
        <f t="shared" si="22"/>
        <v>0</v>
      </c>
      <c r="H76" s="17">
        <f t="shared" si="23"/>
        <v>0</v>
      </c>
      <c r="I76" s="17"/>
      <c r="J76" s="17"/>
      <c r="K76" s="18">
        <f t="shared" si="18"/>
        <v>0</v>
      </c>
      <c r="L76" s="17">
        <f t="shared" si="19"/>
        <v>0</v>
      </c>
      <c r="M76" s="17">
        <f t="shared" si="20"/>
        <v>0</v>
      </c>
      <c r="N76" s="18">
        <f t="shared" si="21"/>
        <v>0</v>
      </c>
      <c r="O76" s="6"/>
    </row>
    <row r="77" spans="1:15">
      <c r="A77" s="14" t="s">
        <v>5794</v>
      </c>
      <c r="B77" s="14" t="s">
        <v>5822</v>
      </c>
      <c r="C77" s="14" t="s">
        <v>821</v>
      </c>
      <c r="D77" s="15">
        <v>2</v>
      </c>
      <c r="E77" s="16"/>
      <c r="F77" s="17">
        <f t="shared" si="16"/>
        <v>0</v>
      </c>
      <c r="G77" s="17">
        <f t="shared" si="22"/>
        <v>0</v>
      </c>
      <c r="H77" s="17">
        <f t="shared" si="23"/>
        <v>0</v>
      </c>
      <c r="I77" s="17"/>
      <c r="J77" s="17"/>
      <c r="K77" s="18">
        <f t="shared" si="18"/>
        <v>0</v>
      </c>
      <c r="L77" s="17">
        <f t="shared" si="19"/>
        <v>0</v>
      </c>
      <c r="M77" s="17">
        <f t="shared" si="20"/>
        <v>0</v>
      </c>
      <c r="N77" s="18">
        <f t="shared" si="21"/>
        <v>0</v>
      </c>
      <c r="O77" s="6"/>
    </row>
    <row r="78" spans="1:15">
      <c r="A78" s="14" t="s">
        <v>807</v>
      </c>
      <c r="B78" s="14" t="s">
        <v>5822</v>
      </c>
      <c r="C78" s="14" t="s">
        <v>816</v>
      </c>
      <c r="D78" s="15">
        <v>2</v>
      </c>
      <c r="E78" s="16"/>
      <c r="F78" s="17">
        <f t="shared" si="16"/>
        <v>0</v>
      </c>
      <c r="G78" s="17">
        <f t="shared" si="22"/>
        <v>0</v>
      </c>
      <c r="H78" s="17">
        <f t="shared" si="23"/>
        <v>0</v>
      </c>
      <c r="I78" s="17"/>
      <c r="J78" s="17"/>
      <c r="K78" s="18">
        <f t="shared" si="18"/>
        <v>0</v>
      </c>
      <c r="L78" s="17">
        <f t="shared" si="19"/>
        <v>0</v>
      </c>
      <c r="M78" s="17">
        <f t="shared" si="20"/>
        <v>0</v>
      </c>
      <c r="N78" s="18">
        <f t="shared" si="21"/>
        <v>0</v>
      </c>
      <c r="O78" s="6"/>
    </row>
    <row r="79" spans="1:15">
      <c r="A79" s="14" t="s">
        <v>822</v>
      </c>
      <c r="B79" s="14" t="s">
        <v>5822</v>
      </c>
      <c r="C79" s="14" t="s">
        <v>5852</v>
      </c>
      <c r="D79" s="15">
        <v>2</v>
      </c>
      <c r="E79" s="16"/>
      <c r="F79" s="17">
        <f t="shared" si="16"/>
        <v>0</v>
      </c>
      <c r="G79" s="17">
        <f t="shared" si="22"/>
        <v>0</v>
      </c>
      <c r="H79" s="17">
        <f t="shared" si="23"/>
        <v>0</v>
      </c>
      <c r="I79" s="17"/>
      <c r="J79" s="17"/>
      <c r="K79" s="18">
        <f t="shared" si="18"/>
        <v>0</v>
      </c>
      <c r="L79" s="17">
        <f t="shared" si="19"/>
        <v>0</v>
      </c>
      <c r="M79" s="17">
        <f t="shared" si="20"/>
        <v>0</v>
      </c>
      <c r="N79" s="18">
        <f t="shared" si="21"/>
        <v>0</v>
      </c>
      <c r="O79" s="6"/>
    </row>
    <row r="80" spans="1:15">
      <c r="A80" s="14" t="s">
        <v>822</v>
      </c>
      <c r="B80" s="14" t="s">
        <v>5822</v>
      </c>
      <c r="C80" s="14" t="s">
        <v>5853</v>
      </c>
      <c r="D80" s="15">
        <v>2</v>
      </c>
      <c r="E80" s="16"/>
      <c r="F80" s="17">
        <f t="shared" si="16"/>
        <v>0</v>
      </c>
      <c r="G80" s="17">
        <f t="shared" si="22"/>
        <v>0</v>
      </c>
      <c r="H80" s="17">
        <f t="shared" si="23"/>
        <v>0</v>
      </c>
      <c r="I80" s="17"/>
      <c r="J80" s="17"/>
      <c r="K80" s="18">
        <f t="shared" si="18"/>
        <v>0</v>
      </c>
      <c r="L80" s="17">
        <f t="shared" si="19"/>
        <v>0</v>
      </c>
      <c r="M80" s="17">
        <f t="shared" si="20"/>
        <v>0</v>
      </c>
      <c r="N80" s="18">
        <f t="shared" si="21"/>
        <v>0</v>
      </c>
      <c r="O80" s="6"/>
    </row>
    <row r="81" spans="1:15">
      <c r="A81" s="14" t="s">
        <v>822</v>
      </c>
      <c r="B81" s="14" t="s">
        <v>5822</v>
      </c>
      <c r="C81" s="14" t="s">
        <v>5854</v>
      </c>
      <c r="D81" s="15">
        <v>2</v>
      </c>
      <c r="E81" s="16"/>
      <c r="F81" s="17">
        <f t="shared" si="16"/>
        <v>0</v>
      </c>
      <c r="G81" s="17">
        <f t="shared" si="22"/>
        <v>0</v>
      </c>
      <c r="H81" s="17">
        <f t="shared" si="23"/>
        <v>0</v>
      </c>
      <c r="I81" s="17"/>
      <c r="J81" s="17"/>
      <c r="K81" s="18">
        <f t="shared" si="18"/>
        <v>0</v>
      </c>
      <c r="L81" s="17">
        <f t="shared" si="19"/>
        <v>0</v>
      </c>
      <c r="M81" s="17">
        <f t="shared" si="20"/>
        <v>0</v>
      </c>
      <c r="N81" s="18">
        <f t="shared" si="21"/>
        <v>0</v>
      </c>
      <c r="O81" s="6"/>
    </row>
    <row r="82" spans="1:15">
      <c r="A82" s="14" t="s">
        <v>834</v>
      </c>
      <c r="B82" s="14" t="s">
        <v>5822</v>
      </c>
      <c r="C82" s="14" t="s">
        <v>837</v>
      </c>
      <c r="D82" s="15">
        <v>2</v>
      </c>
      <c r="E82" s="16"/>
      <c r="F82" s="17">
        <f t="shared" si="16"/>
        <v>0</v>
      </c>
      <c r="G82" s="17">
        <f t="shared" si="22"/>
        <v>0</v>
      </c>
      <c r="H82" s="17">
        <f t="shared" si="23"/>
        <v>0</v>
      </c>
      <c r="I82" s="17"/>
      <c r="J82" s="17"/>
      <c r="K82" s="18">
        <f t="shared" si="18"/>
        <v>0</v>
      </c>
      <c r="L82" s="17">
        <f t="shared" si="19"/>
        <v>0</v>
      </c>
      <c r="M82" s="17">
        <f t="shared" si="20"/>
        <v>0</v>
      </c>
      <c r="N82" s="18">
        <f t="shared" si="21"/>
        <v>0</v>
      </c>
      <c r="O82" s="6"/>
    </row>
    <row r="83" spans="1:15">
      <c r="A83" s="14" t="s">
        <v>834</v>
      </c>
      <c r="B83" s="14" t="s">
        <v>5822</v>
      </c>
      <c r="C83" s="14" t="s">
        <v>839</v>
      </c>
      <c r="D83" s="15">
        <v>1</v>
      </c>
      <c r="E83" s="16"/>
      <c r="F83" s="17">
        <f t="shared" si="16"/>
        <v>0</v>
      </c>
      <c r="G83" s="17">
        <f>F83</f>
        <v>0</v>
      </c>
      <c r="H83" s="17">
        <f t="shared" si="23"/>
        <v>0</v>
      </c>
      <c r="I83" s="17"/>
      <c r="J83" s="17"/>
      <c r="K83" s="18">
        <f t="shared" si="18"/>
        <v>0</v>
      </c>
      <c r="L83" s="17">
        <f t="shared" si="19"/>
        <v>0</v>
      </c>
      <c r="M83" s="17">
        <f t="shared" si="20"/>
        <v>0</v>
      </c>
      <c r="N83" s="18">
        <f t="shared" si="21"/>
        <v>0</v>
      </c>
      <c r="O83" s="6"/>
    </row>
    <row r="84" spans="1:15">
      <c r="A84" s="14" t="s">
        <v>842</v>
      </c>
      <c r="B84" s="14" t="s">
        <v>5822</v>
      </c>
      <c r="C84" s="14" t="s">
        <v>847</v>
      </c>
      <c r="D84" s="15">
        <v>2</v>
      </c>
      <c r="E84" s="16"/>
      <c r="F84" s="17">
        <f t="shared" si="16"/>
        <v>0</v>
      </c>
      <c r="G84" s="17">
        <f t="shared" si="22"/>
        <v>0</v>
      </c>
      <c r="H84" s="17">
        <f t="shared" si="23"/>
        <v>0</v>
      </c>
      <c r="I84" s="17"/>
      <c r="J84" s="17"/>
      <c r="K84" s="18">
        <f t="shared" si="18"/>
        <v>0</v>
      </c>
      <c r="L84" s="17">
        <f t="shared" si="19"/>
        <v>0</v>
      </c>
      <c r="M84" s="17">
        <f t="shared" si="20"/>
        <v>0</v>
      </c>
      <c r="N84" s="18">
        <f t="shared" si="21"/>
        <v>0</v>
      </c>
      <c r="O84" s="6"/>
    </row>
    <row r="85" spans="1:15">
      <c r="A85" s="14" t="s">
        <v>842</v>
      </c>
      <c r="B85" s="14" t="s">
        <v>5822</v>
      </c>
      <c r="C85" s="14" t="s">
        <v>851</v>
      </c>
      <c r="D85" s="15">
        <v>2</v>
      </c>
      <c r="E85" s="16"/>
      <c r="F85" s="17">
        <f t="shared" ref="F85:F116" si="24">D85*E85</f>
        <v>0</v>
      </c>
      <c r="G85" s="17">
        <f t="shared" si="22"/>
        <v>0</v>
      </c>
      <c r="H85" s="17">
        <f t="shared" si="23"/>
        <v>0</v>
      </c>
      <c r="I85" s="17"/>
      <c r="J85" s="17"/>
      <c r="K85" s="18">
        <f t="shared" si="18"/>
        <v>0</v>
      </c>
      <c r="L85" s="17">
        <f t="shared" si="19"/>
        <v>0</v>
      </c>
      <c r="M85" s="17">
        <f t="shared" si="20"/>
        <v>0</v>
      </c>
      <c r="N85" s="18">
        <f t="shared" si="21"/>
        <v>0</v>
      </c>
      <c r="O85" s="6"/>
    </row>
    <row r="86" spans="1:15">
      <c r="A86" s="14" t="s">
        <v>842</v>
      </c>
      <c r="B86" s="14" t="s">
        <v>5822</v>
      </c>
      <c r="C86" s="14" t="s">
        <v>868</v>
      </c>
      <c r="D86" s="15">
        <v>2</v>
      </c>
      <c r="E86" s="16"/>
      <c r="F86" s="17">
        <f t="shared" si="24"/>
        <v>0</v>
      </c>
      <c r="G86" s="17">
        <f t="shared" si="22"/>
        <v>0</v>
      </c>
      <c r="H86" s="17">
        <f t="shared" si="23"/>
        <v>0</v>
      </c>
      <c r="I86" s="17"/>
      <c r="J86" s="17"/>
      <c r="K86" s="18">
        <f t="shared" si="18"/>
        <v>0</v>
      </c>
      <c r="L86" s="17">
        <f t="shared" si="19"/>
        <v>0</v>
      </c>
      <c r="M86" s="17">
        <f t="shared" si="20"/>
        <v>0</v>
      </c>
      <c r="N86" s="18">
        <f t="shared" si="21"/>
        <v>0</v>
      </c>
      <c r="O86" s="6"/>
    </row>
    <row r="87" spans="1:15">
      <c r="A87" s="14" t="s">
        <v>5855</v>
      </c>
      <c r="B87" s="14" t="s">
        <v>5822</v>
      </c>
      <c r="C87" s="14" t="s">
        <v>911</v>
      </c>
      <c r="D87" s="15">
        <v>2</v>
      </c>
      <c r="E87" s="16"/>
      <c r="F87" s="17">
        <f t="shared" si="24"/>
        <v>0</v>
      </c>
      <c r="G87" s="17">
        <f t="shared" si="22"/>
        <v>0</v>
      </c>
      <c r="H87" s="17">
        <f t="shared" si="23"/>
        <v>0</v>
      </c>
      <c r="I87" s="17"/>
      <c r="J87" s="17"/>
      <c r="K87" s="18">
        <f t="shared" si="18"/>
        <v>0</v>
      </c>
      <c r="L87" s="17">
        <f t="shared" si="19"/>
        <v>0</v>
      </c>
      <c r="M87" s="17">
        <f t="shared" si="20"/>
        <v>0</v>
      </c>
      <c r="N87" s="18">
        <f t="shared" si="21"/>
        <v>0</v>
      </c>
      <c r="O87" s="6"/>
    </row>
    <row r="88" spans="1:15">
      <c r="A88" s="14" t="s">
        <v>5855</v>
      </c>
      <c r="B88" s="14" t="s">
        <v>5822</v>
      </c>
      <c r="C88" s="14" t="s">
        <v>915</v>
      </c>
      <c r="D88" s="15">
        <v>2</v>
      </c>
      <c r="E88" s="16"/>
      <c r="F88" s="17">
        <f t="shared" si="24"/>
        <v>0</v>
      </c>
      <c r="G88" s="17">
        <f t="shared" si="22"/>
        <v>0</v>
      </c>
      <c r="H88" s="17">
        <f t="shared" si="23"/>
        <v>0</v>
      </c>
      <c r="I88" s="17"/>
      <c r="J88" s="17"/>
      <c r="K88" s="18">
        <f t="shared" si="18"/>
        <v>0</v>
      </c>
      <c r="L88" s="17">
        <f t="shared" si="19"/>
        <v>0</v>
      </c>
      <c r="M88" s="17">
        <f t="shared" si="20"/>
        <v>0</v>
      </c>
      <c r="N88" s="18">
        <f t="shared" si="21"/>
        <v>0</v>
      </c>
      <c r="O88" s="6"/>
    </row>
    <row r="89" spans="1:15">
      <c r="A89" s="14" t="s">
        <v>5855</v>
      </c>
      <c r="B89" s="14" t="s">
        <v>5822</v>
      </c>
      <c r="C89" s="14" t="s">
        <v>869</v>
      </c>
      <c r="D89" s="15">
        <v>2</v>
      </c>
      <c r="E89" s="16"/>
      <c r="F89" s="17">
        <f t="shared" si="24"/>
        <v>0</v>
      </c>
      <c r="G89" s="17">
        <f t="shared" si="22"/>
        <v>0</v>
      </c>
      <c r="H89" s="17">
        <f t="shared" si="23"/>
        <v>0</v>
      </c>
      <c r="I89" s="17"/>
      <c r="J89" s="17"/>
      <c r="K89" s="18">
        <f t="shared" si="18"/>
        <v>0</v>
      </c>
      <c r="L89" s="17">
        <f t="shared" si="19"/>
        <v>0</v>
      </c>
      <c r="M89" s="17">
        <f t="shared" si="20"/>
        <v>0</v>
      </c>
      <c r="N89" s="18">
        <f t="shared" si="21"/>
        <v>0</v>
      </c>
      <c r="O89" s="6"/>
    </row>
    <row r="90" spans="1:15">
      <c r="A90" s="14" t="s">
        <v>5855</v>
      </c>
      <c r="B90" s="14" t="s">
        <v>5822</v>
      </c>
      <c r="C90" s="14" t="s">
        <v>51</v>
      </c>
      <c r="D90" s="15">
        <v>2</v>
      </c>
      <c r="E90" s="16"/>
      <c r="F90" s="17">
        <f t="shared" si="24"/>
        <v>0</v>
      </c>
      <c r="G90" s="17">
        <f t="shared" si="22"/>
        <v>0</v>
      </c>
      <c r="H90" s="17">
        <f t="shared" si="23"/>
        <v>0</v>
      </c>
      <c r="I90" s="17"/>
      <c r="J90" s="17"/>
      <c r="K90" s="18">
        <f t="shared" si="18"/>
        <v>0</v>
      </c>
      <c r="L90" s="17">
        <f t="shared" si="19"/>
        <v>0</v>
      </c>
      <c r="M90" s="17">
        <f t="shared" si="20"/>
        <v>0</v>
      </c>
      <c r="N90" s="18">
        <f t="shared" si="21"/>
        <v>0</v>
      </c>
      <c r="O90" s="6"/>
    </row>
    <row r="91" spans="1:15">
      <c r="A91" s="14" t="s">
        <v>5855</v>
      </c>
      <c r="B91" s="14" t="s">
        <v>5822</v>
      </c>
      <c r="C91" s="14" t="s">
        <v>916</v>
      </c>
      <c r="D91" s="15">
        <v>2</v>
      </c>
      <c r="E91" s="16"/>
      <c r="F91" s="17">
        <f t="shared" si="24"/>
        <v>0</v>
      </c>
      <c r="G91" s="17">
        <f t="shared" si="22"/>
        <v>0</v>
      </c>
      <c r="H91" s="17">
        <f t="shared" si="23"/>
        <v>0</v>
      </c>
      <c r="I91" s="17"/>
      <c r="J91" s="17"/>
      <c r="K91" s="18">
        <f t="shared" si="18"/>
        <v>0</v>
      </c>
      <c r="L91" s="17">
        <f t="shared" si="19"/>
        <v>0</v>
      </c>
      <c r="M91" s="17">
        <f t="shared" si="20"/>
        <v>0</v>
      </c>
      <c r="N91" s="18">
        <f t="shared" si="21"/>
        <v>0</v>
      </c>
      <c r="O91" s="6"/>
    </row>
    <row r="92" spans="1:15">
      <c r="A92" s="14" t="s">
        <v>5855</v>
      </c>
      <c r="B92" s="14" t="s">
        <v>5822</v>
      </c>
      <c r="C92" s="14" t="s">
        <v>917</v>
      </c>
      <c r="D92" s="15">
        <v>2</v>
      </c>
      <c r="E92" s="16"/>
      <c r="F92" s="17">
        <f t="shared" si="24"/>
        <v>0</v>
      </c>
      <c r="G92" s="17">
        <f t="shared" si="22"/>
        <v>0</v>
      </c>
      <c r="H92" s="17">
        <f t="shared" si="23"/>
        <v>0</v>
      </c>
      <c r="I92" s="17"/>
      <c r="J92" s="17"/>
      <c r="K92" s="18">
        <f t="shared" si="18"/>
        <v>0</v>
      </c>
      <c r="L92" s="17">
        <f t="shared" si="19"/>
        <v>0</v>
      </c>
      <c r="M92" s="17">
        <f t="shared" si="20"/>
        <v>0</v>
      </c>
      <c r="N92" s="18">
        <f t="shared" si="21"/>
        <v>0</v>
      </c>
      <c r="O92" s="6"/>
    </row>
    <row r="93" spans="1:15">
      <c r="A93" s="14" t="s">
        <v>345</v>
      </c>
      <c r="B93" s="14" t="s">
        <v>5822</v>
      </c>
      <c r="C93" s="14" t="s">
        <v>888</v>
      </c>
      <c r="D93" s="15">
        <v>2</v>
      </c>
      <c r="E93" s="16"/>
      <c r="F93" s="17">
        <f t="shared" si="24"/>
        <v>0</v>
      </c>
      <c r="G93" s="17">
        <f t="shared" si="22"/>
        <v>0</v>
      </c>
      <c r="H93" s="17">
        <f t="shared" si="23"/>
        <v>0</v>
      </c>
      <c r="I93" s="17"/>
      <c r="J93" s="17"/>
      <c r="K93" s="18">
        <f t="shared" si="18"/>
        <v>0</v>
      </c>
      <c r="L93" s="17">
        <f t="shared" si="19"/>
        <v>0</v>
      </c>
      <c r="M93" s="17">
        <f t="shared" si="20"/>
        <v>0</v>
      </c>
      <c r="N93" s="18">
        <f t="shared" si="21"/>
        <v>0</v>
      </c>
      <c r="O93" s="6"/>
    </row>
    <row r="94" spans="1:15">
      <c r="A94" s="14" t="s">
        <v>5838</v>
      </c>
      <c r="B94" s="14" t="s">
        <v>5822</v>
      </c>
      <c r="C94" s="14" t="s">
        <v>926</v>
      </c>
      <c r="D94" s="15">
        <v>2</v>
      </c>
      <c r="E94" s="16"/>
      <c r="F94" s="17">
        <f t="shared" si="24"/>
        <v>0</v>
      </c>
      <c r="G94" s="17">
        <f t="shared" si="22"/>
        <v>0</v>
      </c>
      <c r="H94" s="17">
        <f t="shared" si="23"/>
        <v>0</v>
      </c>
      <c r="I94" s="17"/>
      <c r="J94" s="17"/>
      <c r="K94" s="18">
        <f t="shared" si="18"/>
        <v>0</v>
      </c>
      <c r="L94" s="17">
        <f t="shared" si="19"/>
        <v>0</v>
      </c>
      <c r="M94" s="17">
        <f t="shared" si="20"/>
        <v>0</v>
      </c>
      <c r="N94" s="18">
        <f t="shared" si="21"/>
        <v>0</v>
      </c>
      <c r="O94" s="6"/>
    </row>
    <row r="95" spans="1:15">
      <c r="A95" s="14" t="s">
        <v>5856</v>
      </c>
      <c r="B95" s="14" t="s">
        <v>5822</v>
      </c>
      <c r="C95" s="14" t="s">
        <v>861</v>
      </c>
      <c r="D95" s="15">
        <v>2</v>
      </c>
      <c r="E95" s="16"/>
      <c r="F95" s="17">
        <f t="shared" si="24"/>
        <v>0</v>
      </c>
      <c r="G95" s="17">
        <f t="shared" si="22"/>
        <v>0</v>
      </c>
      <c r="H95" s="17">
        <f t="shared" si="23"/>
        <v>0</v>
      </c>
      <c r="I95" s="17"/>
      <c r="J95" s="17"/>
      <c r="K95" s="18">
        <f t="shared" si="18"/>
        <v>0</v>
      </c>
      <c r="L95" s="17">
        <f t="shared" si="19"/>
        <v>0</v>
      </c>
      <c r="M95" s="17">
        <f t="shared" si="20"/>
        <v>0</v>
      </c>
      <c r="N95" s="18">
        <f t="shared" si="21"/>
        <v>0</v>
      </c>
      <c r="O95" s="6"/>
    </row>
    <row r="96" spans="1:15">
      <c r="A96" s="14" t="s">
        <v>5856</v>
      </c>
      <c r="B96" s="14" t="s">
        <v>5822</v>
      </c>
      <c r="C96" s="14" t="s">
        <v>907</v>
      </c>
      <c r="D96" s="15">
        <v>2</v>
      </c>
      <c r="E96" s="16"/>
      <c r="F96" s="17">
        <f t="shared" si="24"/>
        <v>0</v>
      </c>
      <c r="G96" s="17">
        <f t="shared" si="22"/>
        <v>0</v>
      </c>
      <c r="H96" s="17">
        <f t="shared" si="23"/>
        <v>0</v>
      </c>
      <c r="I96" s="17"/>
      <c r="J96" s="17"/>
      <c r="K96" s="18">
        <f t="shared" si="18"/>
        <v>0</v>
      </c>
      <c r="L96" s="17">
        <f t="shared" si="19"/>
        <v>0</v>
      </c>
      <c r="M96" s="17">
        <f t="shared" si="20"/>
        <v>0</v>
      </c>
      <c r="N96" s="18">
        <f t="shared" si="21"/>
        <v>0</v>
      </c>
      <c r="O96" s="6"/>
    </row>
    <row r="97" spans="1:15">
      <c r="A97" s="14" t="s">
        <v>5856</v>
      </c>
      <c r="B97" s="14" t="s">
        <v>5822</v>
      </c>
      <c r="C97" s="14" t="s">
        <v>3459</v>
      </c>
      <c r="D97" s="15">
        <v>2</v>
      </c>
      <c r="E97" s="16"/>
      <c r="F97" s="17">
        <f t="shared" si="24"/>
        <v>0</v>
      </c>
      <c r="G97" s="17">
        <f t="shared" si="22"/>
        <v>0</v>
      </c>
      <c r="H97" s="17">
        <f t="shared" si="23"/>
        <v>0</v>
      </c>
      <c r="I97" s="17"/>
      <c r="J97" s="17"/>
      <c r="K97" s="18">
        <f t="shared" si="18"/>
        <v>0</v>
      </c>
      <c r="L97" s="17">
        <f t="shared" si="19"/>
        <v>0</v>
      </c>
      <c r="M97" s="17">
        <f t="shared" si="20"/>
        <v>0</v>
      </c>
      <c r="N97" s="18">
        <f t="shared" si="21"/>
        <v>0</v>
      </c>
      <c r="O97" s="6"/>
    </row>
    <row r="98" spans="1:15">
      <c r="A98" s="14" t="s">
        <v>5856</v>
      </c>
      <c r="B98" s="14" t="s">
        <v>5822</v>
      </c>
      <c r="C98" s="14" t="s">
        <v>3266</v>
      </c>
      <c r="D98" s="15">
        <v>2</v>
      </c>
      <c r="E98" s="16"/>
      <c r="F98" s="17">
        <f t="shared" si="24"/>
        <v>0</v>
      </c>
      <c r="G98" s="17">
        <f t="shared" si="22"/>
        <v>0</v>
      </c>
      <c r="H98" s="17">
        <f t="shared" si="23"/>
        <v>0</v>
      </c>
      <c r="I98" s="17"/>
      <c r="J98" s="17"/>
      <c r="K98" s="18">
        <f t="shared" si="18"/>
        <v>0</v>
      </c>
      <c r="L98" s="17">
        <f t="shared" si="19"/>
        <v>0</v>
      </c>
      <c r="M98" s="17">
        <f t="shared" si="20"/>
        <v>0</v>
      </c>
      <c r="N98" s="18">
        <f t="shared" si="21"/>
        <v>0</v>
      </c>
      <c r="O98" s="6"/>
    </row>
    <row r="99" spans="1:15">
      <c r="A99" s="14" t="s">
        <v>5856</v>
      </c>
      <c r="B99" s="14" t="s">
        <v>5822</v>
      </c>
      <c r="C99" s="14" t="s">
        <v>5857</v>
      </c>
      <c r="D99" s="15">
        <v>2</v>
      </c>
      <c r="E99" s="16"/>
      <c r="F99" s="17">
        <f t="shared" si="24"/>
        <v>0</v>
      </c>
      <c r="G99" s="17">
        <f t="shared" si="22"/>
        <v>0</v>
      </c>
      <c r="H99" s="17">
        <f t="shared" si="23"/>
        <v>0</v>
      </c>
      <c r="I99" s="17"/>
      <c r="J99" s="17"/>
      <c r="K99" s="18">
        <f t="shared" si="18"/>
        <v>0</v>
      </c>
      <c r="L99" s="17">
        <f t="shared" si="19"/>
        <v>0</v>
      </c>
      <c r="M99" s="17">
        <f t="shared" si="20"/>
        <v>0</v>
      </c>
      <c r="N99" s="18">
        <f t="shared" si="21"/>
        <v>0</v>
      </c>
      <c r="O99" s="6"/>
    </row>
    <row r="100" spans="1:15">
      <c r="A100" s="14" t="s">
        <v>5856</v>
      </c>
      <c r="B100" s="14" t="s">
        <v>5822</v>
      </c>
      <c r="C100" s="14" t="s">
        <v>3624</v>
      </c>
      <c r="D100" s="15">
        <v>2</v>
      </c>
      <c r="E100" s="16"/>
      <c r="F100" s="17">
        <f t="shared" si="24"/>
        <v>0</v>
      </c>
      <c r="G100" s="17">
        <f t="shared" si="22"/>
        <v>0</v>
      </c>
      <c r="H100" s="17">
        <f t="shared" si="23"/>
        <v>0</v>
      </c>
      <c r="I100" s="17"/>
      <c r="J100" s="17"/>
      <c r="K100" s="18">
        <f t="shared" si="18"/>
        <v>0</v>
      </c>
      <c r="L100" s="17">
        <f t="shared" si="19"/>
        <v>0</v>
      </c>
      <c r="M100" s="17">
        <f t="shared" si="20"/>
        <v>0</v>
      </c>
      <c r="N100" s="18">
        <f t="shared" si="21"/>
        <v>0</v>
      </c>
      <c r="O100" s="6"/>
    </row>
    <row r="101" spans="1:15">
      <c r="A101" s="14" t="s">
        <v>5856</v>
      </c>
      <c r="B101" s="14" t="s">
        <v>5822</v>
      </c>
      <c r="C101" s="14" t="s">
        <v>3608</v>
      </c>
      <c r="D101" s="15">
        <v>2</v>
      </c>
      <c r="E101" s="16"/>
      <c r="F101" s="17">
        <f t="shared" si="24"/>
        <v>0</v>
      </c>
      <c r="G101" s="17">
        <f t="shared" si="22"/>
        <v>0</v>
      </c>
      <c r="H101" s="17">
        <f t="shared" si="23"/>
        <v>0</v>
      </c>
      <c r="I101" s="17"/>
      <c r="J101" s="17"/>
      <c r="K101" s="18">
        <f t="shared" si="18"/>
        <v>0</v>
      </c>
      <c r="L101" s="17">
        <f t="shared" si="19"/>
        <v>0</v>
      </c>
      <c r="M101" s="17">
        <f t="shared" si="20"/>
        <v>0</v>
      </c>
      <c r="N101" s="18">
        <f t="shared" si="21"/>
        <v>0</v>
      </c>
      <c r="O101" s="6"/>
    </row>
    <row r="102" spans="1:15">
      <c r="A102" s="14" t="s">
        <v>5856</v>
      </c>
      <c r="B102" s="14" t="s">
        <v>5822</v>
      </c>
      <c r="C102" s="14" t="s">
        <v>3612</v>
      </c>
      <c r="D102" s="15">
        <v>2</v>
      </c>
      <c r="E102" s="16"/>
      <c r="F102" s="17">
        <f t="shared" si="24"/>
        <v>0</v>
      </c>
      <c r="G102" s="17">
        <f t="shared" si="22"/>
        <v>0</v>
      </c>
      <c r="H102" s="17">
        <f t="shared" si="23"/>
        <v>0</v>
      </c>
      <c r="I102" s="17"/>
      <c r="J102" s="17"/>
      <c r="K102" s="18">
        <f t="shared" si="18"/>
        <v>0</v>
      </c>
      <c r="L102" s="17">
        <f t="shared" si="19"/>
        <v>0</v>
      </c>
      <c r="M102" s="17">
        <f t="shared" si="20"/>
        <v>0</v>
      </c>
      <c r="N102" s="18">
        <f t="shared" si="21"/>
        <v>0</v>
      </c>
      <c r="O102" s="6"/>
    </row>
    <row r="103" spans="1:15">
      <c r="A103" s="14" t="s">
        <v>5856</v>
      </c>
      <c r="B103" s="14" t="s">
        <v>5822</v>
      </c>
      <c r="C103" s="14" t="s">
        <v>864</v>
      </c>
      <c r="D103" s="15">
        <v>2</v>
      </c>
      <c r="E103" s="16"/>
      <c r="F103" s="17">
        <f t="shared" si="24"/>
        <v>0</v>
      </c>
      <c r="G103" s="17">
        <f t="shared" si="22"/>
        <v>0</v>
      </c>
      <c r="H103" s="17">
        <f t="shared" si="23"/>
        <v>0</v>
      </c>
      <c r="I103" s="17"/>
      <c r="J103" s="17"/>
      <c r="K103" s="18">
        <f t="shared" si="18"/>
        <v>0</v>
      </c>
      <c r="L103" s="17">
        <f t="shared" si="19"/>
        <v>0</v>
      </c>
      <c r="M103" s="17">
        <f t="shared" si="20"/>
        <v>0</v>
      </c>
      <c r="N103" s="18">
        <f t="shared" si="21"/>
        <v>0</v>
      </c>
      <c r="O103" s="6"/>
    </row>
    <row r="104" spans="1:15">
      <c r="A104" s="14" t="s">
        <v>5858</v>
      </c>
      <c r="B104" s="14" t="s">
        <v>5822</v>
      </c>
      <c r="C104" s="14" t="s">
        <v>2119</v>
      </c>
      <c r="D104" s="15">
        <v>2</v>
      </c>
      <c r="E104" s="16"/>
      <c r="F104" s="17">
        <f t="shared" si="24"/>
        <v>0</v>
      </c>
      <c r="G104" s="17">
        <f t="shared" si="22"/>
        <v>0</v>
      </c>
      <c r="H104" s="17">
        <f t="shared" si="23"/>
        <v>0</v>
      </c>
      <c r="I104" s="17"/>
      <c r="J104" s="17"/>
      <c r="K104" s="18">
        <f t="shared" si="18"/>
        <v>0</v>
      </c>
      <c r="L104" s="17">
        <f t="shared" si="19"/>
        <v>0</v>
      </c>
      <c r="M104" s="17">
        <f t="shared" si="20"/>
        <v>0</v>
      </c>
      <c r="N104" s="18">
        <f t="shared" si="21"/>
        <v>0</v>
      </c>
      <c r="O104" s="6"/>
    </row>
    <row r="105" spans="1:15">
      <c r="A105" s="14" t="s">
        <v>5858</v>
      </c>
      <c r="B105" s="14" t="s">
        <v>5822</v>
      </c>
      <c r="C105" s="14" t="s">
        <v>3604</v>
      </c>
      <c r="D105" s="15">
        <v>2</v>
      </c>
      <c r="E105" s="16"/>
      <c r="F105" s="17">
        <f t="shared" si="24"/>
        <v>0</v>
      </c>
      <c r="G105" s="17">
        <f t="shared" si="22"/>
        <v>0</v>
      </c>
      <c r="H105" s="17">
        <f t="shared" si="23"/>
        <v>0</v>
      </c>
      <c r="I105" s="17"/>
      <c r="J105" s="17"/>
      <c r="K105" s="18">
        <f t="shared" si="18"/>
        <v>0</v>
      </c>
      <c r="L105" s="17">
        <f t="shared" si="19"/>
        <v>0</v>
      </c>
      <c r="M105" s="17">
        <f t="shared" si="20"/>
        <v>0</v>
      </c>
      <c r="N105" s="18">
        <f t="shared" si="21"/>
        <v>0</v>
      </c>
      <c r="O105" s="6"/>
    </row>
    <row r="106" spans="1:15">
      <c r="A106" s="14" t="s">
        <v>5858</v>
      </c>
      <c r="B106" s="14" t="s">
        <v>5822</v>
      </c>
      <c r="C106" s="14" t="s">
        <v>3389</v>
      </c>
      <c r="D106" s="15">
        <v>2</v>
      </c>
      <c r="E106" s="16"/>
      <c r="F106" s="17">
        <f t="shared" si="24"/>
        <v>0</v>
      </c>
      <c r="G106" s="17">
        <f t="shared" si="22"/>
        <v>0</v>
      </c>
      <c r="H106" s="17">
        <f t="shared" si="23"/>
        <v>0</v>
      </c>
      <c r="I106" s="17"/>
      <c r="J106" s="17"/>
      <c r="K106" s="18">
        <f t="shared" si="18"/>
        <v>0</v>
      </c>
      <c r="L106" s="17">
        <f t="shared" si="19"/>
        <v>0</v>
      </c>
      <c r="M106" s="17">
        <f t="shared" si="20"/>
        <v>0</v>
      </c>
      <c r="N106" s="18">
        <f t="shared" si="21"/>
        <v>0</v>
      </c>
      <c r="O106" s="6"/>
    </row>
    <row r="107" spans="1:15">
      <c r="A107" s="14" t="s">
        <v>5858</v>
      </c>
      <c r="B107" s="14" t="s">
        <v>5822</v>
      </c>
      <c r="C107" s="14" t="s">
        <v>5859</v>
      </c>
      <c r="D107" s="15">
        <v>2</v>
      </c>
      <c r="E107" s="16"/>
      <c r="F107" s="17">
        <f t="shared" si="24"/>
        <v>0</v>
      </c>
      <c r="G107" s="17">
        <f t="shared" si="22"/>
        <v>0</v>
      </c>
      <c r="H107" s="17">
        <f t="shared" si="23"/>
        <v>0</v>
      </c>
      <c r="I107" s="17"/>
      <c r="J107" s="17"/>
      <c r="K107" s="18">
        <f t="shared" si="18"/>
        <v>0</v>
      </c>
      <c r="L107" s="17">
        <f t="shared" si="19"/>
        <v>0</v>
      </c>
      <c r="M107" s="17">
        <f t="shared" si="20"/>
        <v>0</v>
      </c>
      <c r="N107" s="18">
        <f t="shared" si="21"/>
        <v>0</v>
      </c>
      <c r="O107" s="6"/>
    </row>
    <row r="108" spans="1:15">
      <c r="A108" s="14" t="s">
        <v>5858</v>
      </c>
      <c r="B108" s="14" t="s">
        <v>5822</v>
      </c>
      <c r="C108" s="14" t="s">
        <v>3634</v>
      </c>
      <c r="D108" s="15">
        <v>2</v>
      </c>
      <c r="E108" s="16"/>
      <c r="F108" s="17">
        <f t="shared" si="24"/>
        <v>0</v>
      </c>
      <c r="G108" s="17">
        <f t="shared" ref="G108:G113" si="25">F108*0.5</f>
        <v>0</v>
      </c>
      <c r="H108" s="17">
        <f t="shared" ref="H108:H113" si="26">F108-G108</f>
        <v>0</v>
      </c>
      <c r="I108" s="17"/>
      <c r="J108" s="17"/>
      <c r="K108" s="18">
        <f t="shared" si="18"/>
        <v>0</v>
      </c>
      <c r="L108" s="17">
        <f t="shared" si="19"/>
        <v>0</v>
      </c>
      <c r="M108" s="17">
        <f t="shared" si="20"/>
        <v>0</v>
      </c>
      <c r="N108" s="18">
        <f t="shared" si="21"/>
        <v>0</v>
      </c>
      <c r="O108" s="6"/>
    </row>
    <row r="109" spans="1:15">
      <c r="A109" s="14" t="s">
        <v>5858</v>
      </c>
      <c r="B109" s="14" t="s">
        <v>5822</v>
      </c>
      <c r="C109" s="14" t="s">
        <v>5860</v>
      </c>
      <c r="D109" s="15">
        <v>2</v>
      </c>
      <c r="E109" s="16"/>
      <c r="F109" s="17">
        <f t="shared" si="24"/>
        <v>0</v>
      </c>
      <c r="G109" s="17">
        <f t="shared" si="25"/>
        <v>0</v>
      </c>
      <c r="H109" s="17">
        <f t="shared" si="26"/>
        <v>0</v>
      </c>
      <c r="I109" s="17"/>
      <c r="J109" s="17"/>
      <c r="K109" s="18">
        <f t="shared" si="18"/>
        <v>0</v>
      </c>
      <c r="L109" s="17">
        <f t="shared" si="19"/>
        <v>0</v>
      </c>
      <c r="M109" s="17">
        <f t="shared" si="20"/>
        <v>0</v>
      </c>
      <c r="N109" s="18">
        <f t="shared" si="21"/>
        <v>0</v>
      </c>
      <c r="O109" s="6"/>
    </row>
    <row r="110" spans="1:15">
      <c r="A110" s="14" t="s">
        <v>5858</v>
      </c>
      <c r="B110" s="14" t="s">
        <v>5822</v>
      </c>
      <c r="C110" s="14" t="s">
        <v>927</v>
      </c>
      <c r="D110" s="15">
        <v>2</v>
      </c>
      <c r="E110" s="16"/>
      <c r="F110" s="17">
        <f t="shared" si="24"/>
        <v>0</v>
      </c>
      <c r="G110" s="17">
        <f t="shared" si="25"/>
        <v>0</v>
      </c>
      <c r="H110" s="17">
        <f t="shared" si="26"/>
        <v>0</v>
      </c>
      <c r="I110" s="17"/>
      <c r="J110" s="17"/>
      <c r="K110" s="18">
        <f t="shared" si="18"/>
        <v>0</v>
      </c>
      <c r="L110" s="17">
        <f t="shared" si="19"/>
        <v>0</v>
      </c>
      <c r="M110" s="17">
        <f t="shared" si="20"/>
        <v>0</v>
      </c>
      <c r="N110" s="18">
        <f t="shared" si="21"/>
        <v>0</v>
      </c>
      <c r="O110" s="6"/>
    </row>
    <row r="111" spans="1:15">
      <c r="A111" s="14" t="s">
        <v>5858</v>
      </c>
      <c r="B111" s="14" t="s">
        <v>5822</v>
      </c>
      <c r="C111" s="14" t="s">
        <v>914</v>
      </c>
      <c r="D111" s="15">
        <v>2</v>
      </c>
      <c r="E111" s="16"/>
      <c r="F111" s="17">
        <f t="shared" si="24"/>
        <v>0</v>
      </c>
      <c r="G111" s="17">
        <f t="shared" si="25"/>
        <v>0</v>
      </c>
      <c r="H111" s="17">
        <f t="shared" si="26"/>
        <v>0</v>
      </c>
      <c r="I111" s="17"/>
      <c r="J111" s="17"/>
      <c r="K111" s="18">
        <f t="shared" si="18"/>
        <v>0</v>
      </c>
      <c r="L111" s="17">
        <f t="shared" si="19"/>
        <v>0</v>
      </c>
      <c r="M111" s="17">
        <f t="shared" si="20"/>
        <v>0</v>
      </c>
      <c r="N111" s="18">
        <f t="shared" si="21"/>
        <v>0</v>
      </c>
      <c r="O111" s="6"/>
    </row>
    <row r="112" spans="1:15">
      <c r="A112" s="14" t="s">
        <v>5858</v>
      </c>
      <c r="B112" s="14" t="s">
        <v>5822</v>
      </c>
      <c r="C112" s="14" t="s">
        <v>3301</v>
      </c>
      <c r="D112" s="15">
        <v>2</v>
      </c>
      <c r="E112" s="16"/>
      <c r="F112" s="17">
        <f t="shared" si="24"/>
        <v>0</v>
      </c>
      <c r="G112" s="17">
        <f t="shared" si="25"/>
        <v>0</v>
      </c>
      <c r="H112" s="17">
        <f t="shared" si="26"/>
        <v>0</v>
      </c>
      <c r="I112" s="17"/>
      <c r="J112" s="17"/>
      <c r="K112" s="18">
        <f t="shared" si="18"/>
        <v>0</v>
      </c>
      <c r="L112" s="17">
        <f t="shared" si="19"/>
        <v>0</v>
      </c>
      <c r="M112" s="17">
        <f t="shared" si="20"/>
        <v>0</v>
      </c>
      <c r="N112" s="18">
        <f t="shared" si="21"/>
        <v>0</v>
      </c>
      <c r="O112" s="6"/>
    </row>
    <row r="113" spans="1:15">
      <c r="A113" s="14" t="s">
        <v>5858</v>
      </c>
      <c r="B113" s="14" t="s">
        <v>5822</v>
      </c>
      <c r="C113" s="14" t="s">
        <v>5861</v>
      </c>
      <c r="D113" s="15">
        <v>0</v>
      </c>
      <c r="E113" s="16"/>
      <c r="F113" s="17">
        <f t="shared" si="24"/>
        <v>0</v>
      </c>
      <c r="G113" s="17">
        <f t="shared" si="25"/>
        <v>0</v>
      </c>
      <c r="H113" s="17">
        <f t="shared" si="26"/>
        <v>0</v>
      </c>
      <c r="I113" s="17"/>
      <c r="J113" s="17"/>
      <c r="K113" s="18">
        <f t="shared" si="18"/>
        <v>0</v>
      </c>
      <c r="L113" s="17">
        <f t="shared" si="19"/>
        <v>0</v>
      </c>
      <c r="M113" s="17">
        <f t="shared" si="20"/>
        <v>0</v>
      </c>
      <c r="N113" s="18">
        <f t="shared" si="21"/>
        <v>0</v>
      </c>
      <c r="O113" s="6"/>
    </row>
    <row r="114" spans="1:15">
      <c r="A114" s="14" t="s">
        <v>5858</v>
      </c>
      <c r="B114" s="14" t="s">
        <v>5822</v>
      </c>
      <c r="C114" s="14" t="s">
        <v>928</v>
      </c>
      <c r="D114" s="15">
        <v>2</v>
      </c>
      <c r="E114" s="16"/>
      <c r="F114" s="17">
        <f t="shared" si="24"/>
        <v>0</v>
      </c>
      <c r="G114" s="17">
        <f t="shared" ref="G114:G116" si="27">F114*0.5</f>
        <v>0</v>
      </c>
      <c r="H114" s="17">
        <f t="shared" ref="H114:H116" si="28">F114-G114</f>
        <v>0</v>
      </c>
      <c r="I114" s="17"/>
      <c r="J114" s="17"/>
      <c r="K114" s="18">
        <f t="shared" si="18"/>
        <v>0</v>
      </c>
      <c r="L114" s="17">
        <f t="shared" si="19"/>
        <v>0</v>
      </c>
      <c r="M114" s="17">
        <f t="shared" si="20"/>
        <v>0</v>
      </c>
      <c r="N114" s="18">
        <f t="shared" si="21"/>
        <v>0</v>
      </c>
      <c r="O114" s="6"/>
    </row>
    <row r="115" spans="1:15">
      <c r="A115" s="14" t="s">
        <v>5858</v>
      </c>
      <c r="B115" s="14" t="s">
        <v>5822</v>
      </c>
      <c r="C115" s="20" t="s">
        <v>3240</v>
      </c>
      <c r="D115" s="15">
        <v>2</v>
      </c>
      <c r="E115" s="16"/>
      <c r="F115" s="17">
        <f t="shared" si="24"/>
        <v>0</v>
      </c>
      <c r="G115" s="17">
        <f t="shared" si="27"/>
        <v>0</v>
      </c>
      <c r="H115" s="17">
        <f t="shared" si="28"/>
        <v>0</v>
      </c>
      <c r="I115" s="17"/>
      <c r="J115" s="17"/>
      <c r="K115" s="18">
        <f t="shared" si="18"/>
        <v>0</v>
      </c>
      <c r="L115" s="17">
        <f t="shared" si="19"/>
        <v>0</v>
      </c>
      <c r="M115" s="17">
        <f t="shared" si="20"/>
        <v>0</v>
      </c>
      <c r="N115" s="18">
        <f t="shared" si="21"/>
        <v>0</v>
      </c>
      <c r="O115" s="6"/>
    </row>
    <row r="116" spans="1:15">
      <c r="A116" s="14" t="s">
        <v>5858</v>
      </c>
      <c r="B116" s="14" t="s">
        <v>5822</v>
      </c>
      <c r="C116" s="20" t="s">
        <v>3638</v>
      </c>
      <c r="D116" s="15">
        <v>0</v>
      </c>
      <c r="E116" s="16"/>
      <c r="F116" s="17">
        <f t="shared" si="24"/>
        <v>0</v>
      </c>
      <c r="G116" s="17">
        <f t="shared" si="27"/>
        <v>0</v>
      </c>
      <c r="H116" s="17">
        <f t="shared" si="28"/>
        <v>0</v>
      </c>
      <c r="I116" s="17"/>
      <c r="J116" s="17"/>
      <c r="K116" s="18">
        <f t="shared" si="18"/>
        <v>0</v>
      </c>
      <c r="L116" s="17">
        <f t="shared" si="19"/>
        <v>0</v>
      </c>
      <c r="M116" s="17">
        <f t="shared" si="20"/>
        <v>0</v>
      </c>
      <c r="N116" s="18">
        <f t="shared" si="21"/>
        <v>0</v>
      </c>
      <c r="O116" s="6"/>
    </row>
    <row r="117" spans="1:15">
      <c r="A117" s="14" t="s">
        <v>5858</v>
      </c>
      <c r="B117" s="14" t="s">
        <v>5822</v>
      </c>
      <c r="C117" s="20" t="s">
        <v>5862</v>
      </c>
      <c r="D117" s="15">
        <v>2</v>
      </c>
      <c r="E117" s="16"/>
      <c r="F117" s="17">
        <f t="shared" ref="F117:F144" si="29">D117*E117</f>
        <v>0</v>
      </c>
      <c r="G117" s="17">
        <f t="shared" ref="G117:G130" si="30">F117*0.5</f>
        <v>0</v>
      </c>
      <c r="H117" s="17">
        <f t="shared" ref="H117:H130" si="31">F117-G117</f>
        <v>0</v>
      </c>
      <c r="I117" s="17"/>
      <c r="J117" s="17"/>
      <c r="K117" s="18">
        <f t="shared" si="18"/>
        <v>0</v>
      </c>
      <c r="L117" s="17">
        <f t="shared" si="19"/>
        <v>0</v>
      </c>
      <c r="M117" s="17">
        <f t="shared" si="20"/>
        <v>0</v>
      </c>
      <c r="N117" s="18">
        <f t="shared" si="21"/>
        <v>0</v>
      </c>
      <c r="O117" s="6"/>
    </row>
    <row r="118" spans="1:15">
      <c r="A118" s="14" t="s">
        <v>5863</v>
      </c>
      <c r="B118" s="14" t="s">
        <v>5829</v>
      </c>
      <c r="C118" s="14" t="s">
        <v>878</v>
      </c>
      <c r="D118" s="15">
        <v>2</v>
      </c>
      <c r="E118" s="16"/>
      <c r="F118" s="17">
        <f t="shared" si="29"/>
        <v>0</v>
      </c>
      <c r="G118" s="17">
        <f t="shared" si="30"/>
        <v>0</v>
      </c>
      <c r="H118" s="17">
        <f t="shared" si="31"/>
        <v>0</v>
      </c>
      <c r="I118" s="17"/>
      <c r="J118" s="17"/>
      <c r="K118" s="18">
        <f t="shared" si="18"/>
        <v>0</v>
      </c>
      <c r="L118" s="17">
        <f t="shared" si="19"/>
        <v>0</v>
      </c>
      <c r="M118" s="17">
        <f t="shared" si="20"/>
        <v>0</v>
      </c>
      <c r="N118" s="18">
        <f t="shared" si="21"/>
        <v>0</v>
      </c>
      <c r="O118" s="6"/>
    </row>
    <row r="119" spans="1:15">
      <c r="A119" s="14" t="s">
        <v>5864</v>
      </c>
      <c r="B119" s="14" t="s">
        <v>4579</v>
      </c>
      <c r="C119" s="14" t="s">
        <v>879</v>
      </c>
      <c r="D119" s="15">
        <v>2</v>
      </c>
      <c r="E119" s="16"/>
      <c r="F119" s="17">
        <f t="shared" si="29"/>
        <v>0</v>
      </c>
      <c r="G119" s="17">
        <f t="shared" si="30"/>
        <v>0</v>
      </c>
      <c r="H119" s="17">
        <f t="shared" si="31"/>
        <v>0</v>
      </c>
      <c r="I119" s="17"/>
      <c r="J119" s="17"/>
      <c r="K119" s="18">
        <f t="shared" si="18"/>
        <v>0</v>
      </c>
      <c r="L119" s="17">
        <f t="shared" si="19"/>
        <v>0</v>
      </c>
      <c r="M119" s="17">
        <f t="shared" si="20"/>
        <v>0</v>
      </c>
      <c r="N119" s="18">
        <f t="shared" si="21"/>
        <v>0</v>
      </c>
      <c r="O119" s="6"/>
    </row>
    <row r="120" spans="1:15">
      <c r="A120" s="14" t="s">
        <v>881</v>
      </c>
      <c r="B120" s="14" t="s">
        <v>5825</v>
      </c>
      <c r="C120" s="14" t="s">
        <v>882</v>
      </c>
      <c r="D120" s="15">
        <v>2</v>
      </c>
      <c r="E120" s="16"/>
      <c r="F120" s="17">
        <f t="shared" si="29"/>
        <v>0</v>
      </c>
      <c r="G120" s="17">
        <f t="shared" si="30"/>
        <v>0</v>
      </c>
      <c r="H120" s="17">
        <f t="shared" si="31"/>
        <v>0</v>
      </c>
      <c r="I120" s="17"/>
      <c r="J120" s="17"/>
      <c r="K120" s="18">
        <f t="shared" si="18"/>
        <v>0</v>
      </c>
      <c r="L120" s="17">
        <f t="shared" si="19"/>
        <v>0</v>
      </c>
      <c r="M120" s="17">
        <f t="shared" si="20"/>
        <v>0</v>
      </c>
      <c r="N120" s="18">
        <f t="shared" si="21"/>
        <v>0</v>
      </c>
      <c r="O120" s="6"/>
    </row>
    <row r="121" spans="1:15">
      <c r="A121" s="14" t="s">
        <v>881</v>
      </c>
      <c r="B121" s="14" t="s">
        <v>5825</v>
      </c>
      <c r="C121" s="14" t="s">
        <v>5865</v>
      </c>
      <c r="D121" s="15">
        <v>2</v>
      </c>
      <c r="E121" s="16"/>
      <c r="F121" s="17">
        <f t="shared" si="29"/>
        <v>0</v>
      </c>
      <c r="G121" s="17">
        <f t="shared" si="30"/>
        <v>0</v>
      </c>
      <c r="H121" s="17">
        <f t="shared" si="31"/>
        <v>0</v>
      </c>
      <c r="I121" s="17"/>
      <c r="J121" s="17"/>
      <c r="K121" s="18">
        <f t="shared" si="18"/>
        <v>0</v>
      </c>
      <c r="L121" s="17">
        <f t="shared" si="19"/>
        <v>0</v>
      </c>
      <c r="M121" s="17">
        <f t="shared" si="20"/>
        <v>0</v>
      </c>
      <c r="N121" s="18">
        <f t="shared" si="21"/>
        <v>0</v>
      </c>
      <c r="O121" s="6"/>
    </row>
    <row r="122" spans="1:15">
      <c r="A122" s="14" t="s">
        <v>881</v>
      </c>
      <c r="B122" s="14" t="s">
        <v>5825</v>
      </c>
      <c r="C122" s="14" t="s">
        <v>3448</v>
      </c>
      <c r="D122" s="15">
        <v>2</v>
      </c>
      <c r="E122" s="16"/>
      <c r="F122" s="17">
        <f t="shared" si="29"/>
        <v>0</v>
      </c>
      <c r="G122" s="17">
        <f t="shared" si="30"/>
        <v>0</v>
      </c>
      <c r="H122" s="17">
        <f t="shared" si="31"/>
        <v>0</v>
      </c>
      <c r="I122" s="17"/>
      <c r="J122" s="17"/>
      <c r="K122" s="18">
        <f t="shared" si="18"/>
        <v>0</v>
      </c>
      <c r="L122" s="17">
        <f t="shared" si="19"/>
        <v>0</v>
      </c>
      <c r="M122" s="17">
        <f t="shared" si="20"/>
        <v>0</v>
      </c>
      <c r="N122" s="18">
        <f t="shared" si="21"/>
        <v>0</v>
      </c>
      <c r="O122" s="6"/>
    </row>
    <row r="123" spans="1:15">
      <c r="A123" s="14" t="s">
        <v>881</v>
      </c>
      <c r="B123" s="14" t="s">
        <v>5825</v>
      </c>
      <c r="C123" s="14" t="s">
        <v>3669</v>
      </c>
      <c r="D123" s="15">
        <v>2</v>
      </c>
      <c r="E123" s="16"/>
      <c r="F123" s="17">
        <f t="shared" si="29"/>
        <v>0</v>
      </c>
      <c r="G123" s="17">
        <f t="shared" si="30"/>
        <v>0</v>
      </c>
      <c r="H123" s="17">
        <f t="shared" si="31"/>
        <v>0</v>
      </c>
      <c r="I123" s="17"/>
      <c r="J123" s="17"/>
      <c r="K123" s="18">
        <f t="shared" si="18"/>
        <v>0</v>
      </c>
      <c r="L123" s="17">
        <f t="shared" si="19"/>
        <v>0</v>
      </c>
      <c r="M123" s="17">
        <f t="shared" si="20"/>
        <v>0</v>
      </c>
      <c r="N123" s="18">
        <f t="shared" si="21"/>
        <v>0</v>
      </c>
      <c r="O123" s="6"/>
    </row>
    <row r="124" spans="1:15">
      <c r="A124" s="14" t="s">
        <v>881</v>
      </c>
      <c r="B124" s="14" t="s">
        <v>5825</v>
      </c>
      <c r="C124" s="14" t="s">
        <v>884</v>
      </c>
      <c r="D124" s="15">
        <v>2</v>
      </c>
      <c r="E124" s="16"/>
      <c r="F124" s="17">
        <f t="shared" si="29"/>
        <v>0</v>
      </c>
      <c r="G124" s="17">
        <f t="shared" si="30"/>
        <v>0</v>
      </c>
      <c r="H124" s="17">
        <f t="shared" si="31"/>
        <v>0</v>
      </c>
      <c r="I124" s="17"/>
      <c r="J124" s="17"/>
      <c r="K124" s="18">
        <f t="shared" si="18"/>
        <v>0</v>
      </c>
      <c r="L124" s="17">
        <f t="shared" si="19"/>
        <v>0</v>
      </c>
      <c r="M124" s="17">
        <f t="shared" si="20"/>
        <v>0</v>
      </c>
      <c r="N124" s="18">
        <f t="shared" si="21"/>
        <v>0</v>
      </c>
      <c r="O124" s="6"/>
    </row>
    <row r="125" spans="1:15">
      <c r="A125" s="14" t="s">
        <v>881</v>
      </c>
      <c r="B125" s="14" t="s">
        <v>5825</v>
      </c>
      <c r="C125" s="14" t="s">
        <v>3676</v>
      </c>
      <c r="D125" s="15">
        <v>2</v>
      </c>
      <c r="E125" s="16"/>
      <c r="F125" s="17">
        <f t="shared" si="29"/>
        <v>0</v>
      </c>
      <c r="G125" s="17">
        <f t="shared" si="30"/>
        <v>0</v>
      </c>
      <c r="H125" s="17">
        <f t="shared" si="31"/>
        <v>0</v>
      </c>
      <c r="I125" s="17"/>
      <c r="J125" s="17"/>
      <c r="K125" s="18">
        <f t="shared" si="18"/>
        <v>0</v>
      </c>
      <c r="L125" s="17">
        <f t="shared" si="19"/>
        <v>0</v>
      </c>
      <c r="M125" s="17">
        <f t="shared" si="20"/>
        <v>0</v>
      </c>
      <c r="N125" s="18">
        <f t="shared" si="21"/>
        <v>0</v>
      </c>
      <c r="O125" s="6"/>
    </row>
    <row r="126" spans="1:15">
      <c r="A126" s="14" t="s">
        <v>891</v>
      </c>
      <c r="B126" s="14" t="s">
        <v>4579</v>
      </c>
      <c r="C126" s="14" t="s">
        <v>889</v>
      </c>
      <c r="D126" s="15">
        <v>2</v>
      </c>
      <c r="E126" s="16"/>
      <c r="F126" s="17">
        <f t="shared" si="29"/>
        <v>0</v>
      </c>
      <c r="G126" s="17">
        <f t="shared" si="30"/>
        <v>0</v>
      </c>
      <c r="H126" s="17">
        <f t="shared" si="31"/>
        <v>0</v>
      </c>
      <c r="I126" s="17"/>
      <c r="J126" s="17"/>
      <c r="K126" s="18">
        <f t="shared" si="18"/>
        <v>0</v>
      </c>
      <c r="L126" s="17">
        <f t="shared" si="19"/>
        <v>0</v>
      </c>
      <c r="M126" s="17">
        <f t="shared" si="20"/>
        <v>0</v>
      </c>
      <c r="N126" s="18">
        <f t="shared" si="21"/>
        <v>0</v>
      </c>
      <c r="O126" s="6"/>
    </row>
    <row r="127" spans="1:15">
      <c r="A127" s="14" t="s">
        <v>891</v>
      </c>
      <c r="B127" s="14" t="s">
        <v>4579</v>
      </c>
      <c r="C127" s="14" t="s">
        <v>3687</v>
      </c>
      <c r="D127" s="15">
        <v>2</v>
      </c>
      <c r="E127" s="16"/>
      <c r="F127" s="17">
        <f t="shared" si="29"/>
        <v>0</v>
      </c>
      <c r="G127" s="17">
        <f t="shared" si="30"/>
        <v>0</v>
      </c>
      <c r="H127" s="17">
        <f t="shared" si="31"/>
        <v>0</v>
      </c>
      <c r="I127" s="17"/>
      <c r="J127" s="17"/>
      <c r="K127" s="18">
        <f t="shared" si="18"/>
        <v>0</v>
      </c>
      <c r="L127" s="17">
        <f t="shared" si="19"/>
        <v>0</v>
      </c>
      <c r="M127" s="17">
        <f t="shared" si="20"/>
        <v>0</v>
      </c>
      <c r="N127" s="18">
        <f t="shared" si="21"/>
        <v>0</v>
      </c>
      <c r="O127" s="6"/>
    </row>
    <row r="128" spans="1:15">
      <c r="A128" s="14" t="s">
        <v>891</v>
      </c>
      <c r="B128" s="14" t="s">
        <v>4579</v>
      </c>
      <c r="C128" s="14" t="s">
        <v>3692</v>
      </c>
      <c r="D128" s="15">
        <v>2</v>
      </c>
      <c r="E128" s="16"/>
      <c r="F128" s="17">
        <f t="shared" si="29"/>
        <v>0</v>
      </c>
      <c r="G128" s="17">
        <f t="shared" si="30"/>
        <v>0</v>
      </c>
      <c r="H128" s="17">
        <f t="shared" si="31"/>
        <v>0</v>
      </c>
      <c r="I128" s="17"/>
      <c r="J128" s="17"/>
      <c r="K128" s="18">
        <f t="shared" si="18"/>
        <v>0</v>
      </c>
      <c r="L128" s="17">
        <f t="shared" si="19"/>
        <v>0</v>
      </c>
      <c r="M128" s="17">
        <f t="shared" si="20"/>
        <v>0</v>
      </c>
      <c r="N128" s="18">
        <f t="shared" si="21"/>
        <v>0</v>
      </c>
      <c r="O128" s="6"/>
    </row>
    <row r="129" spans="1:15">
      <c r="A129" s="14" t="s">
        <v>891</v>
      </c>
      <c r="B129" s="14" t="s">
        <v>4579</v>
      </c>
      <c r="C129" s="14" t="s">
        <v>892</v>
      </c>
      <c r="D129" s="15">
        <v>2</v>
      </c>
      <c r="E129" s="16"/>
      <c r="F129" s="17">
        <f t="shared" si="29"/>
        <v>0</v>
      </c>
      <c r="G129" s="17">
        <f t="shared" si="30"/>
        <v>0</v>
      </c>
      <c r="H129" s="17">
        <f t="shared" si="31"/>
        <v>0</v>
      </c>
      <c r="I129" s="17"/>
      <c r="J129" s="17"/>
      <c r="K129" s="18">
        <f t="shared" si="18"/>
        <v>0</v>
      </c>
      <c r="L129" s="17">
        <f t="shared" si="19"/>
        <v>0</v>
      </c>
      <c r="M129" s="17">
        <f t="shared" si="20"/>
        <v>0</v>
      </c>
      <c r="N129" s="18">
        <f t="shared" si="21"/>
        <v>0</v>
      </c>
      <c r="O129" s="6"/>
    </row>
    <row r="130" spans="1:15">
      <c r="A130" s="14" t="s">
        <v>891</v>
      </c>
      <c r="B130" s="14" t="s">
        <v>4579</v>
      </c>
      <c r="C130" s="14" t="s">
        <v>3703</v>
      </c>
      <c r="D130" s="15">
        <v>0</v>
      </c>
      <c r="E130" s="16">
        <v>0</v>
      </c>
      <c r="F130" s="17">
        <f t="shared" si="29"/>
        <v>0</v>
      </c>
      <c r="G130" s="17">
        <f t="shared" si="30"/>
        <v>0</v>
      </c>
      <c r="H130" s="17">
        <f t="shared" si="31"/>
        <v>0</v>
      </c>
      <c r="I130" s="17"/>
      <c r="J130" s="17"/>
      <c r="K130" s="18">
        <f t="shared" si="18"/>
        <v>0</v>
      </c>
      <c r="L130" s="17">
        <f t="shared" si="19"/>
        <v>0</v>
      </c>
      <c r="M130" s="17">
        <f t="shared" si="20"/>
        <v>0</v>
      </c>
      <c r="N130" s="18">
        <f t="shared" si="21"/>
        <v>0</v>
      </c>
      <c r="O130" s="6"/>
    </row>
    <row r="131" spans="1:15">
      <c r="A131" s="14" t="s">
        <v>891</v>
      </c>
      <c r="B131" s="14" t="s">
        <v>4579</v>
      </c>
      <c r="C131" s="14" t="s">
        <v>3699</v>
      </c>
      <c r="D131" s="15">
        <v>2</v>
      </c>
      <c r="E131" s="16"/>
      <c r="F131" s="17">
        <f t="shared" si="29"/>
        <v>0</v>
      </c>
      <c r="G131" s="17">
        <f t="shared" ref="G131:G134" si="32">F131*0.5</f>
        <v>0</v>
      </c>
      <c r="H131" s="17">
        <f t="shared" ref="H131:H134" si="33">F131-G131</f>
        <v>0</v>
      </c>
      <c r="I131" s="17"/>
      <c r="J131" s="17"/>
      <c r="K131" s="18">
        <f t="shared" si="18"/>
        <v>0</v>
      </c>
      <c r="L131" s="17">
        <f t="shared" si="19"/>
        <v>0</v>
      </c>
      <c r="M131" s="17">
        <f t="shared" si="20"/>
        <v>0</v>
      </c>
      <c r="N131" s="18">
        <f t="shared" si="21"/>
        <v>0</v>
      </c>
      <c r="O131" s="6"/>
    </row>
    <row r="132" spans="1:15">
      <c r="A132" s="14" t="s">
        <v>893</v>
      </c>
      <c r="B132" s="14" t="s">
        <v>5829</v>
      </c>
      <c r="C132" s="14" t="s">
        <v>3906</v>
      </c>
      <c r="D132" s="15">
        <v>2</v>
      </c>
      <c r="E132" s="16"/>
      <c r="F132" s="17">
        <f t="shared" si="29"/>
        <v>0</v>
      </c>
      <c r="G132" s="17">
        <f t="shared" si="32"/>
        <v>0</v>
      </c>
      <c r="H132" s="17">
        <f t="shared" si="33"/>
        <v>0</v>
      </c>
      <c r="I132" s="17"/>
      <c r="J132" s="17"/>
      <c r="K132" s="18">
        <f t="shared" ref="K132:K194" si="34">J132*0.5</f>
        <v>0</v>
      </c>
      <c r="L132" s="17">
        <f t="shared" ref="L132:L194" si="35">J132*0.5</f>
        <v>0</v>
      </c>
      <c r="M132" s="17">
        <f t="shared" ref="M132:M194" si="36">SUM(G132,K132)</f>
        <v>0</v>
      </c>
      <c r="N132" s="18">
        <f t="shared" ref="N132:N194" si="37">SUM(H132,L132)</f>
        <v>0</v>
      </c>
      <c r="O132" s="6"/>
    </row>
    <row r="133" spans="1:15">
      <c r="A133" s="14" t="s">
        <v>893</v>
      </c>
      <c r="B133" s="14" t="s">
        <v>5829</v>
      </c>
      <c r="C133" s="14" t="s">
        <v>5866</v>
      </c>
      <c r="D133" s="15">
        <v>2</v>
      </c>
      <c r="E133" s="16"/>
      <c r="F133" s="17">
        <f t="shared" si="29"/>
        <v>0</v>
      </c>
      <c r="G133" s="17">
        <f t="shared" si="32"/>
        <v>0</v>
      </c>
      <c r="H133" s="17">
        <f t="shared" si="33"/>
        <v>0</v>
      </c>
      <c r="I133" s="17"/>
      <c r="J133" s="17"/>
      <c r="K133" s="18">
        <f t="shared" si="34"/>
        <v>0</v>
      </c>
      <c r="L133" s="17">
        <f t="shared" si="35"/>
        <v>0</v>
      </c>
      <c r="M133" s="17">
        <f t="shared" si="36"/>
        <v>0</v>
      </c>
      <c r="N133" s="18">
        <f t="shared" si="37"/>
        <v>0</v>
      </c>
      <c r="O133" s="6"/>
    </row>
    <row r="134" spans="1:15" s="1" customFormat="1">
      <c r="A134" s="22" t="s">
        <v>893</v>
      </c>
      <c r="B134" s="22" t="s">
        <v>5829</v>
      </c>
      <c r="C134" s="22" t="s">
        <v>3353</v>
      </c>
      <c r="D134" s="15">
        <v>0</v>
      </c>
      <c r="E134" s="16"/>
      <c r="F134" s="17">
        <f t="shared" si="29"/>
        <v>0</v>
      </c>
      <c r="G134" s="23">
        <f t="shared" si="32"/>
        <v>0</v>
      </c>
      <c r="H134" s="23">
        <f t="shared" si="33"/>
        <v>0</v>
      </c>
      <c r="I134" s="17"/>
      <c r="J134" s="17"/>
      <c r="K134" s="18">
        <f t="shared" si="34"/>
        <v>0</v>
      </c>
      <c r="L134" s="17">
        <f t="shared" si="35"/>
        <v>0</v>
      </c>
      <c r="M134" s="17">
        <f t="shared" si="36"/>
        <v>0</v>
      </c>
      <c r="N134" s="18">
        <f t="shared" si="37"/>
        <v>0</v>
      </c>
      <c r="O134" s="6"/>
    </row>
    <row r="135" spans="1:15">
      <c r="A135" s="14" t="s">
        <v>893</v>
      </c>
      <c r="B135" s="14" t="s">
        <v>5829</v>
      </c>
      <c r="C135" s="14" t="s">
        <v>3252</v>
      </c>
      <c r="D135" s="15">
        <v>2</v>
      </c>
      <c r="E135" s="16"/>
      <c r="F135" s="17">
        <f t="shared" si="29"/>
        <v>0</v>
      </c>
      <c r="G135" s="17">
        <f t="shared" ref="G135:G142" si="38">F135*0.5</f>
        <v>0</v>
      </c>
      <c r="H135" s="17">
        <f t="shared" ref="H135:H142" si="39">F135-G135</f>
        <v>0</v>
      </c>
      <c r="I135" s="17"/>
      <c r="J135" s="17"/>
      <c r="K135" s="18">
        <f t="shared" si="34"/>
        <v>0</v>
      </c>
      <c r="L135" s="17">
        <f t="shared" si="35"/>
        <v>0</v>
      </c>
      <c r="M135" s="17">
        <f t="shared" si="36"/>
        <v>0</v>
      </c>
      <c r="N135" s="18">
        <f t="shared" si="37"/>
        <v>0</v>
      </c>
      <c r="O135" s="6"/>
    </row>
    <row r="136" spans="1:15">
      <c r="A136" s="14" t="s">
        <v>893</v>
      </c>
      <c r="B136" s="14" t="s">
        <v>5829</v>
      </c>
      <c r="C136" s="14" t="s">
        <v>894</v>
      </c>
      <c r="D136" s="15">
        <v>2</v>
      </c>
      <c r="E136" s="16"/>
      <c r="F136" s="17">
        <f t="shared" si="29"/>
        <v>0</v>
      </c>
      <c r="G136" s="17">
        <f t="shared" si="38"/>
        <v>0</v>
      </c>
      <c r="H136" s="17">
        <f t="shared" si="39"/>
        <v>0</v>
      </c>
      <c r="I136" s="17"/>
      <c r="J136" s="17"/>
      <c r="K136" s="18">
        <f t="shared" si="34"/>
        <v>0</v>
      </c>
      <c r="L136" s="17">
        <f t="shared" si="35"/>
        <v>0</v>
      </c>
      <c r="M136" s="17">
        <f t="shared" si="36"/>
        <v>0</v>
      </c>
      <c r="N136" s="18">
        <f t="shared" si="37"/>
        <v>0</v>
      </c>
      <c r="O136" s="6"/>
    </row>
    <row r="137" spans="1:15">
      <c r="A137" s="14" t="s">
        <v>893</v>
      </c>
      <c r="B137" s="14" t="s">
        <v>5829</v>
      </c>
      <c r="C137" s="14" t="s">
        <v>3717</v>
      </c>
      <c r="D137" s="15">
        <v>2</v>
      </c>
      <c r="E137" s="16"/>
      <c r="F137" s="17">
        <f t="shared" si="29"/>
        <v>0</v>
      </c>
      <c r="G137" s="17">
        <f t="shared" si="38"/>
        <v>0</v>
      </c>
      <c r="H137" s="17">
        <f t="shared" si="39"/>
        <v>0</v>
      </c>
      <c r="I137" s="17"/>
      <c r="J137" s="17"/>
      <c r="K137" s="18">
        <f t="shared" si="34"/>
        <v>0</v>
      </c>
      <c r="L137" s="17">
        <f t="shared" si="35"/>
        <v>0</v>
      </c>
      <c r="M137" s="17">
        <f t="shared" si="36"/>
        <v>0</v>
      </c>
      <c r="N137" s="18">
        <f t="shared" si="37"/>
        <v>0</v>
      </c>
      <c r="O137" s="6"/>
    </row>
    <row r="138" spans="1:15">
      <c r="A138" s="14" t="s">
        <v>895</v>
      </c>
      <c r="B138" s="14" t="s">
        <v>4659</v>
      </c>
      <c r="C138" s="14" t="s">
        <v>896</v>
      </c>
      <c r="D138" s="15">
        <v>2</v>
      </c>
      <c r="E138" s="16"/>
      <c r="F138" s="17">
        <f t="shared" si="29"/>
        <v>0</v>
      </c>
      <c r="G138" s="17">
        <f t="shared" si="38"/>
        <v>0</v>
      </c>
      <c r="H138" s="17">
        <f t="shared" si="39"/>
        <v>0</v>
      </c>
      <c r="I138" s="17"/>
      <c r="J138" s="17"/>
      <c r="K138" s="18">
        <f t="shared" si="34"/>
        <v>0</v>
      </c>
      <c r="L138" s="17">
        <f t="shared" si="35"/>
        <v>0</v>
      </c>
      <c r="M138" s="17">
        <f t="shared" si="36"/>
        <v>0</v>
      </c>
      <c r="N138" s="18">
        <f t="shared" si="37"/>
        <v>0</v>
      </c>
      <c r="O138" s="6"/>
    </row>
    <row r="139" spans="1:15">
      <c r="A139" s="14" t="s">
        <v>895</v>
      </c>
      <c r="B139" s="14" t="s">
        <v>4659</v>
      </c>
      <c r="C139" s="14" t="s">
        <v>3489</v>
      </c>
      <c r="D139" s="15">
        <v>2</v>
      </c>
      <c r="E139" s="16"/>
      <c r="F139" s="17">
        <f t="shared" si="29"/>
        <v>0</v>
      </c>
      <c r="G139" s="17">
        <f t="shared" si="38"/>
        <v>0</v>
      </c>
      <c r="H139" s="17">
        <f t="shared" si="39"/>
        <v>0</v>
      </c>
      <c r="I139" s="17"/>
      <c r="J139" s="17"/>
      <c r="K139" s="18">
        <f t="shared" si="34"/>
        <v>0</v>
      </c>
      <c r="L139" s="17">
        <f t="shared" si="35"/>
        <v>0</v>
      </c>
      <c r="M139" s="17">
        <f t="shared" si="36"/>
        <v>0</v>
      </c>
      <c r="N139" s="18">
        <f t="shared" si="37"/>
        <v>0</v>
      </c>
      <c r="O139" s="6"/>
    </row>
    <row r="140" spans="1:15">
      <c r="A140" s="14" t="s">
        <v>895</v>
      </c>
      <c r="B140" s="14" t="s">
        <v>4659</v>
      </c>
      <c r="C140" s="14" t="s">
        <v>3493</v>
      </c>
      <c r="D140" s="15">
        <v>2</v>
      </c>
      <c r="E140" s="16"/>
      <c r="F140" s="17">
        <f t="shared" si="29"/>
        <v>0</v>
      </c>
      <c r="G140" s="17">
        <f t="shared" si="38"/>
        <v>0</v>
      </c>
      <c r="H140" s="17">
        <f t="shared" si="39"/>
        <v>0</v>
      </c>
      <c r="I140" s="17"/>
      <c r="J140" s="17"/>
      <c r="K140" s="18">
        <f t="shared" si="34"/>
        <v>0</v>
      </c>
      <c r="L140" s="17">
        <f t="shared" si="35"/>
        <v>0</v>
      </c>
      <c r="M140" s="17">
        <f t="shared" si="36"/>
        <v>0</v>
      </c>
      <c r="N140" s="18">
        <f t="shared" si="37"/>
        <v>0</v>
      </c>
      <c r="O140" s="6"/>
    </row>
    <row r="141" spans="1:15">
      <c r="A141" s="14" t="s">
        <v>895</v>
      </c>
      <c r="B141" s="14" t="s">
        <v>4659</v>
      </c>
      <c r="C141" s="14" t="s">
        <v>5867</v>
      </c>
      <c r="D141" s="15">
        <v>2</v>
      </c>
      <c r="E141" s="16"/>
      <c r="F141" s="17">
        <f t="shared" si="29"/>
        <v>0</v>
      </c>
      <c r="G141" s="17">
        <f t="shared" si="38"/>
        <v>0</v>
      </c>
      <c r="H141" s="17">
        <f t="shared" si="39"/>
        <v>0</v>
      </c>
      <c r="I141" s="17"/>
      <c r="J141" s="17"/>
      <c r="K141" s="18">
        <f t="shared" si="34"/>
        <v>0</v>
      </c>
      <c r="L141" s="17">
        <f t="shared" si="35"/>
        <v>0</v>
      </c>
      <c r="M141" s="17">
        <f t="shared" si="36"/>
        <v>0</v>
      </c>
      <c r="N141" s="18">
        <f t="shared" si="37"/>
        <v>0</v>
      </c>
      <c r="O141" s="6"/>
    </row>
    <row r="142" spans="1:15">
      <c r="A142" s="14" t="s">
        <v>895</v>
      </c>
      <c r="B142" s="14" t="s">
        <v>4659</v>
      </c>
      <c r="C142" s="14" t="s">
        <v>3471</v>
      </c>
      <c r="D142" s="15">
        <v>2</v>
      </c>
      <c r="E142" s="16"/>
      <c r="F142" s="17">
        <f t="shared" si="29"/>
        <v>0</v>
      </c>
      <c r="G142" s="17">
        <f t="shared" si="38"/>
        <v>0</v>
      </c>
      <c r="H142" s="17">
        <f t="shared" si="39"/>
        <v>0</v>
      </c>
      <c r="I142" s="17"/>
      <c r="J142" s="17"/>
      <c r="K142" s="18">
        <f t="shared" si="34"/>
        <v>0</v>
      </c>
      <c r="L142" s="17">
        <f t="shared" si="35"/>
        <v>0</v>
      </c>
      <c r="M142" s="17">
        <f t="shared" si="36"/>
        <v>0</v>
      </c>
      <c r="N142" s="18">
        <f t="shared" si="37"/>
        <v>0</v>
      </c>
      <c r="O142" s="6"/>
    </row>
    <row r="143" spans="1:15">
      <c r="A143" s="14" t="s">
        <v>897</v>
      </c>
      <c r="B143" s="14" t="s">
        <v>5827</v>
      </c>
      <c r="C143" s="14" t="s">
        <v>898</v>
      </c>
      <c r="D143" s="15">
        <v>2</v>
      </c>
      <c r="E143" s="16"/>
      <c r="F143" s="17">
        <f t="shared" si="29"/>
        <v>0</v>
      </c>
      <c r="G143" s="17">
        <f t="shared" ref="G143:G174" si="40">F143*0.5</f>
        <v>0</v>
      </c>
      <c r="H143" s="17">
        <f t="shared" ref="H143:H176" si="41">F143-G143</f>
        <v>0</v>
      </c>
      <c r="I143" s="17"/>
      <c r="J143" s="17"/>
      <c r="K143" s="18">
        <f t="shared" si="34"/>
        <v>0</v>
      </c>
      <c r="L143" s="17">
        <f t="shared" si="35"/>
        <v>0</v>
      </c>
      <c r="M143" s="17">
        <f t="shared" si="36"/>
        <v>0</v>
      </c>
      <c r="N143" s="18">
        <f t="shared" si="37"/>
        <v>0</v>
      </c>
      <c r="O143" s="6"/>
    </row>
    <row r="144" spans="1:15">
      <c r="A144" s="14" t="s">
        <v>897</v>
      </c>
      <c r="B144" s="14" t="s">
        <v>5827</v>
      </c>
      <c r="C144" s="14" t="s">
        <v>3475</v>
      </c>
      <c r="D144" s="15">
        <v>2</v>
      </c>
      <c r="E144" s="16"/>
      <c r="F144" s="17">
        <f t="shared" si="29"/>
        <v>0</v>
      </c>
      <c r="G144" s="17">
        <f t="shared" si="40"/>
        <v>0</v>
      </c>
      <c r="H144" s="17">
        <f t="shared" si="41"/>
        <v>0</v>
      </c>
      <c r="I144" s="17"/>
      <c r="J144" s="17"/>
      <c r="K144" s="18">
        <f t="shared" si="34"/>
        <v>0</v>
      </c>
      <c r="L144" s="17">
        <f t="shared" si="35"/>
        <v>0</v>
      </c>
      <c r="M144" s="17">
        <f t="shared" si="36"/>
        <v>0</v>
      </c>
      <c r="N144" s="18">
        <f t="shared" si="37"/>
        <v>0</v>
      </c>
      <c r="O144" s="6"/>
    </row>
    <row r="145" spans="1:15">
      <c r="A145" s="14" t="s">
        <v>897</v>
      </c>
      <c r="B145" s="14" t="s">
        <v>5827</v>
      </c>
      <c r="C145" s="14" t="s">
        <v>3479</v>
      </c>
      <c r="D145" s="15">
        <v>2</v>
      </c>
      <c r="E145" s="16"/>
      <c r="F145" s="17">
        <f t="shared" ref="F145:F176" si="42">D145*E145</f>
        <v>0</v>
      </c>
      <c r="G145" s="17">
        <f t="shared" si="40"/>
        <v>0</v>
      </c>
      <c r="H145" s="17">
        <f t="shared" si="41"/>
        <v>0</v>
      </c>
      <c r="I145" s="17"/>
      <c r="J145" s="17"/>
      <c r="K145" s="18">
        <f t="shared" si="34"/>
        <v>0</v>
      </c>
      <c r="L145" s="17">
        <f t="shared" si="35"/>
        <v>0</v>
      </c>
      <c r="M145" s="17">
        <f t="shared" si="36"/>
        <v>0</v>
      </c>
      <c r="N145" s="18">
        <f t="shared" si="37"/>
        <v>0</v>
      </c>
      <c r="O145" s="6"/>
    </row>
    <row r="146" spans="1:15">
      <c r="A146" s="14" t="s">
        <v>897</v>
      </c>
      <c r="B146" s="14" t="s">
        <v>5827</v>
      </c>
      <c r="C146" s="14" t="s">
        <v>3209</v>
      </c>
      <c r="D146" s="15">
        <v>2</v>
      </c>
      <c r="E146" s="16"/>
      <c r="F146" s="17">
        <f t="shared" si="42"/>
        <v>0</v>
      </c>
      <c r="G146" s="17">
        <f t="shared" si="40"/>
        <v>0</v>
      </c>
      <c r="H146" s="17">
        <f t="shared" si="41"/>
        <v>0</v>
      </c>
      <c r="I146" s="17"/>
      <c r="J146" s="17"/>
      <c r="K146" s="18">
        <f t="shared" si="34"/>
        <v>0</v>
      </c>
      <c r="L146" s="17">
        <f t="shared" si="35"/>
        <v>0</v>
      </c>
      <c r="M146" s="17">
        <f t="shared" si="36"/>
        <v>0</v>
      </c>
      <c r="N146" s="18">
        <f t="shared" si="37"/>
        <v>0</v>
      </c>
      <c r="O146" s="6"/>
    </row>
    <row r="147" spans="1:15">
      <c r="A147" s="14" t="s">
        <v>891</v>
      </c>
      <c r="B147" s="14" t="s">
        <v>4579</v>
      </c>
      <c r="C147" s="14" t="s">
        <v>5868</v>
      </c>
      <c r="D147" s="15">
        <v>1</v>
      </c>
      <c r="E147" s="16"/>
      <c r="F147" s="17">
        <f t="shared" si="42"/>
        <v>0</v>
      </c>
      <c r="G147" s="17">
        <f>F147</f>
        <v>0</v>
      </c>
      <c r="H147" s="17">
        <f t="shared" si="41"/>
        <v>0</v>
      </c>
      <c r="I147" s="17"/>
      <c r="J147" s="17"/>
      <c r="K147" s="18">
        <f t="shared" si="34"/>
        <v>0</v>
      </c>
      <c r="L147" s="17">
        <f t="shared" si="35"/>
        <v>0</v>
      </c>
      <c r="M147" s="17">
        <f t="shared" si="36"/>
        <v>0</v>
      </c>
      <c r="N147" s="18">
        <f t="shared" si="37"/>
        <v>0</v>
      </c>
      <c r="O147" s="6"/>
    </row>
    <row r="148" spans="1:15">
      <c r="A148" s="14" t="s">
        <v>893</v>
      </c>
      <c r="B148" s="14" t="s">
        <v>5829</v>
      </c>
      <c r="C148" s="14" t="s">
        <v>3721</v>
      </c>
      <c r="D148" s="15">
        <v>1</v>
      </c>
      <c r="E148" s="16"/>
      <c r="F148" s="17">
        <f t="shared" si="42"/>
        <v>0</v>
      </c>
      <c r="G148" s="17">
        <f>F148</f>
        <v>0</v>
      </c>
      <c r="H148" s="17">
        <f t="shared" si="41"/>
        <v>0</v>
      </c>
      <c r="I148" s="17"/>
      <c r="J148" s="17"/>
      <c r="K148" s="18">
        <f t="shared" si="34"/>
        <v>0</v>
      </c>
      <c r="L148" s="17">
        <f t="shared" si="35"/>
        <v>0</v>
      </c>
      <c r="M148" s="17">
        <f t="shared" si="36"/>
        <v>0</v>
      </c>
      <c r="N148" s="18">
        <f t="shared" si="37"/>
        <v>0</v>
      </c>
      <c r="O148" s="6"/>
    </row>
    <row r="149" spans="1:15">
      <c r="A149" s="20" t="s">
        <v>35</v>
      </c>
      <c r="B149" s="14" t="s">
        <v>4446</v>
      </c>
      <c r="C149" s="20" t="s">
        <v>37</v>
      </c>
      <c r="D149" s="15">
        <v>2</v>
      </c>
      <c r="E149" s="16"/>
      <c r="F149" s="17">
        <f t="shared" si="42"/>
        <v>0</v>
      </c>
      <c r="G149" s="17">
        <f t="shared" si="40"/>
        <v>0</v>
      </c>
      <c r="H149" s="17">
        <f t="shared" si="41"/>
        <v>0</v>
      </c>
      <c r="I149" s="17"/>
      <c r="J149" s="17"/>
      <c r="K149" s="18">
        <f t="shared" si="34"/>
        <v>0</v>
      </c>
      <c r="L149" s="17">
        <f t="shared" si="35"/>
        <v>0</v>
      </c>
      <c r="M149" s="17">
        <f t="shared" si="36"/>
        <v>0</v>
      </c>
      <c r="N149" s="18">
        <f t="shared" si="37"/>
        <v>0</v>
      </c>
      <c r="O149" s="6"/>
    </row>
    <row r="150" spans="1:15">
      <c r="A150" s="20" t="s">
        <v>35</v>
      </c>
      <c r="B150" s="14" t="s">
        <v>4446</v>
      </c>
      <c r="C150" s="20" t="s">
        <v>36</v>
      </c>
      <c r="D150" s="15">
        <v>2</v>
      </c>
      <c r="E150" s="16"/>
      <c r="F150" s="17">
        <f t="shared" si="42"/>
        <v>0</v>
      </c>
      <c r="G150" s="17">
        <f t="shared" si="40"/>
        <v>0</v>
      </c>
      <c r="H150" s="17">
        <f t="shared" si="41"/>
        <v>0</v>
      </c>
      <c r="I150" s="17"/>
      <c r="J150" s="17"/>
      <c r="K150" s="18">
        <f t="shared" si="34"/>
        <v>0</v>
      </c>
      <c r="L150" s="17">
        <f t="shared" si="35"/>
        <v>0</v>
      </c>
      <c r="M150" s="17">
        <f t="shared" si="36"/>
        <v>0</v>
      </c>
      <c r="N150" s="18">
        <f t="shared" si="37"/>
        <v>0</v>
      </c>
      <c r="O150" s="6"/>
    </row>
    <row r="151" spans="1:15">
      <c r="A151" s="20" t="s">
        <v>5869</v>
      </c>
      <c r="B151" s="20" t="s">
        <v>5823</v>
      </c>
      <c r="C151" s="20" t="s">
        <v>3257</v>
      </c>
      <c r="D151" s="15">
        <v>2</v>
      </c>
      <c r="E151" s="16"/>
      <c r="F151" s="17">
        <f t="shared" si="42"/>
        <v>0</v>
      </c>
      <c r="G151" s="17">
        <f t="shared" si="40"/>
        <v>0</v>
      </c>
      <c r="H151" s="17">
        <f t="shared" si="41"/>
        <v>0</v>
      </c>
      <c r="I151" s="17"/>
      <c r="J151" s="17"/>
      <c r="K151" s="18">
        <f t="shared" si="34"/>
        <v>0</v>
      </c>
      <c r="L151" s="17">
        <f t="shared" si="35"/>
        <v>0</v>
      </c>
      <c r="M151" s="17">
        <f t="shared" si="36"/>
        <v>0</v>
      </c>
      <c r="N151" s="18">
        <f t="shared" si="37"/>
        <v>0</v>
      </c>
      <c r="O151" s="6"/>
    </row>
    <row r="152" spans="1:15">
      <c r="A152" s="20" t="s">
        <v>35</v>
      </c>
      <c r="B152" s="20" t="s">
        <v>4446</v>
      </c>
      <c r="C152" s="20" t="s">
        <v>196</v>
      </c>
      <c r="D152" s="15">
        <v>2</v>
      </c>
      <c r="E152" s="16"/>
      <c r="F152" s="17">
        <f t="shared" si="42"/>
        <v>0</v>
      </c>
      <c r="G152" s="17">
        <f t="shared" si="40"/>
        <v>0</v>
      </c>
      <c r="H152" s="17">
        <f t="shared" si="41"/>
        <v>0</v>
      </c>
      <c r="I152" s="17"/>
      <c r="J152" s="17"/>
      <c r="K152" s="18">
        <f t="shared" si="34"/>
        <v>0</v>
      </c>
      <c r="L152" s="17">
        <f t="shared" si="35"/>
        <v>0</v>
      </c>
      <c r="M152" s="17">
        <f t="shared" si="36"/>
        <v>0</v>
      </c>
      <c r="N152" s="18">
        <f t="shared" si="37"/>
        <v>0</v>
      </c>
      <c r="O152" s="6"/>
    </row>
    <row r="153" spans="1:15">
      <c r="A153" s="20" t="s">
        <v>42</v>
      </c>
      <c r="B153" s="20" t="s">
        <v>4446</v>
      </c>
      <c r="C153" s="14" t="s">
        <v>804</v>
      </c>
      <c r="D153" s="15">
        <v>2</v>
      </c>
      <c r="E153" s="16"/>
      <c r="F153" s="17">
        <f t="shared" si="42"/>
        <v>0</v>
      </c>
      <c r="G153" s="17">
        <f t="shared" si="40"/>
        <v>0</v>
      </c>
      <c r="H153" s="17">
        <f t="shared" si="41"/>
        <v>0</v>
      </c>
      <c r="I153" s="17"/>
      <c r="J153" s="17"/>
      <c r="K153" s="18">
        <f t="shared" si="34"/>
        <v>0</v>
      </c>
      <c r="L153" s="17">
        <f t="shared" si="35"/>
        <v>0</v>
      </c>
      <c r="M153" s="17">
        <f t="shared" si="36"/>
        <v>0</v>
      </c>
      <c r="N153" s="18">
        <f t="shared" si="37"/>
        <v>0</v>
      </c>
      <c r="O153" s="6"/>
    </row>
    <row r="154" spans="1:15">
      <c r="A154" s="20" t="s">
        <v>42</v>
      </c>
      <c r="B154" s="20" t="s">
        <v>4446</v>
      </c>
      <c r="C154" s="20" t="s">
        <v>801</v>
      </c>
      <c r="D154" s="15">
        <v>2</v>
      </c>
      <c r="E154" s="16"/>
      <c r="F154" s="17">
        <f t="shared" si="42"/>
        <v>0</v>
      </c>
      <c r="G154" s="17">
        <f t="shared" si="40"/>
        <v>0</v>
      </c>
      <c r="H154" s="17">
        <f t="shared" si="41"/>
        <v>0</v>
      </c>
      <c r="I154" s="17"/>
      <c r="J154" s="17"/>
      <c r="K154" s="18">
        <f t="shared" si="34"/>
        <v>0</v>
      </c>
      <c r="L154" s="17">
        <f t="shared" si="35"/>
        <v>0</v>
      </c>
      <c r="M154" s="17">
        <f t="shared" si="36"/>
        <v>0</v>
      </c>
      <c r="N154" s="18">
        <f t="shared" si="37"/>
        <v>0</v>
      </c>
      <c r="O154" s="6"/>
    </row>
    <row r="155" spans="1:15">
      <c r="A155" s="20" t="s">
        <v>42</v>
      </c>
      <c r="B155" s="20" t="s">
        <v>4446</v>
      </c>
      <c r="C155" s="20" t="s">
        <v>44</v>
      </c>
      <c r="D155" s="15">
        <v>2</v>
      </c>
      <c r="E155" s="16"/>
      <c r="F155" s="17">
        <f t="shared" si="42"/>
        <v>0</v>
      </c>
      <c r="G155" s="17">
        <f t="shared" si="40"/>
        <v>0</v>
      </c>
      <c r="H155" s="17">
        <f t="shared" si="41"/>
        <v>0</v>
      </c>
      <c r="I155" s="17"/>
      <c r="J155" s="17"/>
      <c r="K155" s="18">
        <f t="shared" si="34"/>
        <v>0</v>
      </c>
      <c r="L155" s="17">
        <f t="shared" si="35"/>
        <v>0</v>
      </c>
      <c r="M155" s="17">
        <f t="shared" si="36"/>
        <v>0</v>
      </c>
      <c r="N155" s="18">
        <f t="shared" si="37"/>
        <v>0</v>
      </c>
      <c r="O155" s="6"/>
    </row>
    <row r="156" spans="1:15">
      <c r="A156" s="20" t="s">
        <v>587</v>
      </c>
      <c r="B156" s="20" t="s">
        <v>4446</v>
      </c>
      <c r="C156" s="20" t="s">
        <v>77</v>
      </c>
      <c r="D156" s="15">
        <v>2</v>
      </c>
      <c r="E156" s="16"/>
      <c r="F156" s="17">
        <f t="shared" si="42"/>
        <v>0</v>
      </c>
      <c r="G156" s="17">
        <f t="shared" si="40"/>
        <v>0</v>
      </c>
      <c r="H156" s="17">
        <f t="shared" si="41"/>
        <v>0</v>
      </c>
      <c r="I156" s="17"/>
      <c r="J156" s="17"/>
      <c r="K156" s="18">
        <f t="shared" si="34"/>
        <v>0</v>
      </c>
      <c r="L156" s="17">
        <f t="shared" si="35"/>
        <v>0</v>
      </c>
      <c r="M156" s="17">
        <f t="shared" si="36"/>
        <v>0</v>
      </c>
      <c r="N156" s="18">
        <f t="shared" si="37"/>
        <v>0</v>
      </c>
      <c r="O156" s="6"/>
    </row>
    <row r="157" spans="1:15">
      <c r="A157" s="20" t="s">
        <v>587</v>
      </c>
      <c r="B157" s="20" t="s">
        <v>4446</v>
      </c>
      <c r="C157" s="20" t="s">
        <v>78</v>
      </c>
      <c r="D157" s="15">
        <v>2</v>
      </c>
      <c r="E157" s="16"/>
      <c r="F157" s="17">
        <f t="shared" si="42"/>
        <v>0</v>
      </c>
      <c r="G157" s="17">
        <f t="shared" si="40"/>
        <v>0</v>
      </c>
      <c r="H157" s="17">
        <f t="shared" si="41"/>
        <v>0</v>
      </c>
      <c r="I157" s="17"/>
      <c r="J157" s="17"/>
      <c r="K157" s="18">
        <f t="shared" si="34"/>
        <v>0</v>
      </c>
      <c r="L157" s="17">
        <f t="shared" si="35"/>
        <v>0</v>
      </c>
      <c r="M157" s="17">
        <f t="shared" si="36"/>
        <v>0</v>
      </c>
      <c r="N157" s="18">
        <f t="shared" si="37"/>
        <v>0</v>
      </c>
      <c r="O157" s="6"/>
    </row>
    <row r="158" spans="1:15">
      <c r="A158" s="20" t="s">
        <v>587</v>
      </c>
      <c r="B158" s="20" t="s">
        <v>4446</v>
      </c>
      <c r="C158" s="20" t="s">
        <v>80</v>
      </c>
      <c r="D158" s="15">
        <v>2</v>
      </c>
      <c r="E158" s="16"/>
      <c r="F158" s="17">
        <f t="shared" si="42"/>
        <v>0</v>
      </c>
      <c r="G158" s="17">
        <f t="shared" si="40"/>
        <v>0</v>
      </c>
      <c r="H158" s="17">
        <f t="shared" si="41"/>
        <v>0</v>
      </c>
      <c r="I158" s="17"/>
      <c r="J158" s="17"/>
      <c r="K158" s="18">
        <f t="shared" si="34"/>
        <v>0</v>
      </c>
      <c r="L158" s="17">
        <f t="shared" si="35"/>
        <v>0</v>
      </c>
      <c r="M158" s="17">
        <f t="shared" si="36"/>
        <v>0</v>
      </c>
      <c r="N158" s="18">
        <f t="shared" si="37"/>
        <v>0</v>
      </c>
      <c r="O158" s="6"/>
    </row>
    <row r="159" spans="1:15">
      <c r="A159" s="20" t="s">
        <v>587</v>
      </c>
      <c r="B159" s="20" t="s">
        <v>4446</v>
      </c>
      <c r="C159" s="20" t="s">
        <v>3422</v>
      </c>
      <c r="D159" s="15">
        <v>2</v>
      </c>
      <c r="E159" s="16"/>
      <c r="F159" s="17">
        <f t="shared" si="42"/>
        <v>0</v>
      </c>
      <c r="G159" s="17">
        <f t="shared" si="40"/>
        <v>0</v>
      </c>
      <c r="H159" s="17">
        <f t="shared" si="41"/>
        <v>0</v>
      </c>
      <c r="I159" s="17"/>
      <c r="J159" s="17"/>
      <c r="K159" s="18">
        <f t="shared" si="34"/>
        <v>0</v>
      </c>
      <c r="L159" s="17">
        <f t="shared" si="35"/>
        <v>0</v>
      </c>
      <c r="M159" s="17">
        <f t="shared" si="36"/>
        <v>0</v>
      </c>
      <c r="N159" s="18">
        <f t="shared" si="37"/>
        <v>0</v>
      </c>
      <c r="O159" s="6"/>
    </row>
    <row r="160" spans="1:15">
      <c r="A160" s="20" t="s">
        <v>587</v>
      </c>
      <c r="B160" s="20" t="s">
        <v>4446</v>
      </c>
      <c r="C160" s="20" t="s">
        <v>81</v>
      </c>
      <c r="D160" s="15">
        <v>2</v>
      </c>
      <c r="E160" s="16"/>
      <c r="F160" s="17">
        <f t="shared" si="42"/>
        <v>0</v>
      </c>
      <c r="G160" s="17">
        <f t="shared" si="40"/>
        <v>0</v>
      </c>
      <c r="H160" s="17">
        <f t="shared" si="41"/>
        <v>0</v>
      </c>
      <c r="I160" s="17"/>
      <c r="J160" s="17"/>
      <c r="K160" s="18">
        <f t="shared" si="34"/>
        <v>0</v>
      </c>
      <c r="L160" s="17">
        <f t="shared" si="35"/>
        <v>0</v>
      </c>
      <c r="M160" s="17">
        <f t="shared" si="36"/>
        <v>0</v>
      </c>
      <c r="N160" s="18">
        <f t="shared" si="37"/>
        <v>0</v>
      </c>
      <c r="O160" s="6"/>
    </row>
    <row r="161" spans="1:15">
      <c r="A161" s="20" t="s">
        <v>587</v>
      </c>
      <c r="B161" s="20" t="s">
        <v>4446</v>
      </c>
      <c r="C161" s="20" t="s">
        <v>79</v>
      </c>
      <c r="D161" s="15">
        <v>2</v>
      </c>
      <c r="E161" s="16"/>
      <c r="F161" s="17">
        <f t="shared" si="42"/>
        <v>0</v>
      </c>
      <c r="G161" s="17">
        <f t="shared" si="40"/>
        <v>0</v>
      </c>
      <c r="H161" s="17">
        <f t="shared" si="41"/>
        <v>0</v>
      </c>
      <c r="I161" s="17"/>
      <c r="J161" s="17"/>
      <c r="K161" s="18">
        <f t="shared" si="34"/>
        <v>0</v>
      </c>
      <c r="L161" s="17">
        <f t="shared" si="35"/>
        <v>0</v>
      </c>
      <c r="M161" s="17">
        <f t="shared" si="36"/>
        <v>0</v>
      </c>
      <c r="N161" s="18">
        <f t="shared" si="37"/>
        <v>0</v>
      </c>
      <c r="O161" s="6"/>
    </row>
    <row r="162" spans="1:15">
      <c r="A162" s="20" t="s">
        <v>587</v>
      </c>
      <c r="B162" s="20" t="s">
        <v>4446</v>
      </c>
      <c r="C162" s="20" t="s">
        <v>88</v>
      </c>
      <c r="D162" s="15">
        <v>2</v>
      </c>
      <c r="E162" s="16"/>
      <c r="F162" s="17">
        <f t="shared" si="42"/>
        <v>0</v>
      </c>
      <c r="G162" s="17">
        <f t="shared" si="40"/>
        <v>0</v>
      </c>
      <c r="H162" s="17">
        <f t="shared" si="41"/>
        <v>0</v>
      </c>
      <c r="I162" s="17"/>
      <c r="J162" s="17"/>
      <c r="K162" s="18">
        <f t="shared" si="34"/>
        <v>0</v>
      </c>
      <c r="L162" s="17">
        <f t="shared" si="35"/>
        <v>0</v>
      </c>
      <c r="M162" s="17">
        <f t="shared" si="36"/>
        <v>0</v>
      </c>
      <c r="N162" s="18">
        <f t="shared" si="37"/>
        <v>0</v>
      </c>
      <c r="O162" s="6"/>
    </row>
    <row r="163" spans="1:15">
      <c r="A163" s="20" t="s">
        <v>587</v>
      </c>
      <c r="B163" s="20" t="s">
        <v>4446</v>
      </c>
      <c r="C163" s="14" t="s">
        <v>5870</v>
      </c>
      <c r="D163" s="15">
        <v>2</v>
      </c>
      <c r="E163" s="16"/>
      <c r="F163" s="17">
        <f t="shared" si="42"/>
        <v>0</v>
      </c>
      <c r="G163" s="17">
        <f t="shared" si="40"/>
        <v>0</v>
      </c>
      <c r="H163" s="17">
        <f t="shared" si="41"/>
        <v>0</v>
      </c>
      <c r="I163" s="17"/>
      <c r="J163" s="17"/>
      <c r="K163" s="18">
        <f t="shared" si="34"/>
        <v>0</v>
      </c>
      <c r="L163" s="17">
        <f t="shared" si="35"/>
        <v>0</v>
      </c>
      <c r="M163" s="17">
        <f t="shared" si="36"/>
        <v>0</v>
      </c>
      <c r="N163" s="18">
        <f t="shared" si="37"/>
        <v>0</v>
      </c>
      <c r="O163" s="6"/>
    </row>
    <row r="164" spans="1:15">
      <c r="A164" s="20" t="s">
        <v>5871</v>
      </c>
      <c r="B164" s="20" t="s">
        <v>4446</v>
      </c>
      <c r="C164" s="20" t="s">
        <v>60</v>
      </c>
      <c r="D164" s="15">
        <v>2</v>
      </c>
      <c r="E164" s="16"/>
      <c r="F164" s="17">
        <f t="shared" si="42"/>
        <v>0</v>
      </c>
      <c r="G164" s="17">
        <f t="shared" si="40"/>
        <v>0</v>
      </c>
      <c r="H164" s="17">
        <f t="shared" si="41"/>
        <v>0</v>
      </c>
      <c r="I164" s="17"/>
      <c r="J164" s="17"/>
      <c r="K164" s="18">
        <f t="shared" si="34"/>
        <v>0</v>
      </c>
      <c r="L164" s="17">
        <f t="shared" si="35"/>
        <v>0</v>
      </c>
      <c r="M164" s="17">
        <f t="shared" si="36"/>
        <v>0</v>
      </c>
      <c r="N164" s="18">
        <f t="shared" si="37"/>
        <v>0</v>
      </c>
      <c r="O164" s="6"/>
    </row>
    <row r="165" spans="1:15">
      <c r="A165" s="20" t="s">
        <v>5871</v>
      </c>
      <c r="B165" s="20" t="s">
        <v>4446</v>
      </c>
      <c r="C165" s="20" t="s">
        <v>212</v>
      </c>
      <c r="D165" s="15">
        <v>2</v>
      </c>
      <c r="E165" s="16"/>
      <c r="F165" s="17">
        <f t="shared" si="42"/>
        <v>0</v>
      </c>
      <c r="G165" s="17">
        <f t="shared" si="40"/>
        <v>0</v>
      </c>
      <c r="H165" s="17">
        <f t="shared" si="41"/>
        <v>0</v>
      </c>
      <c r="I165" s="17"/>
      <c r="J165" s="17"/>
      <c r="K165" s="18">
        <f t="shared" si="34"/>
        <v>0</v>
      </c>
      <c r="L165" s="17">
        <f t="shared" si="35"/>
        <v>0</v>
      </c>
      <c r="M165" s="17">
        <f t="shared" si="36"/>
        <v>0</v>
      </c>
      <c r="N165" s="18">
        <f t="shared" si="37"/>
        <v>0</v>
      </c>
      <c r="O165" s="6"/>
    </row>
    <row r="166" spans="1:15">
      <c r="A166" s="20" t="s">
        <v>5871</v>
      </c>
      <c r="B166" s="20" t="s">
        <v>4446</v>
      </c>
      <c r="C166" s="20" t="s">
        <v>76</v>
      </c>
      <c r="D166" s="15">
        <v>2</v>
      </c>
      <c r="E166" s="16"/>
      <c r="F166" s="17">
        <f t="shared" si="42"/>
        <v>0</v>
      </c>
      <c r="G166" s="17">
        <f t="shared" si="40"/>
        <v>0</v>
      </c>
      <c r="H166" s="17">
        <f t="shared" si="41"/>
        <v>0</v>
      </c>
      <c r="I166" s="17"/>
      <c r="J166" s="17"/>
      <c r="K166" s="18">
        <f t="shared" si="34"/>
        <v>0</v>
      </c>
      <c r="L166" s="17">
        <f t="shared" si="35"/>
        <v>0</v>
      </c>
      <c r="M166" s="17">
        <f t="shared" si="36"/>
        <v>0</v>
      </c>
      <c r="N166" s="18">
        <f t="shared" si="37"/>
        <v>0</v>
      </c>
      <c r="O166" s="6"/>
    </row>
    <row r="167" spans="1:15">
      <c r="A167" s="20" t="s">
        <v>5871</v>
      </c>
      <c r="B167" s="20" t="s">
        <v>4446</v>
      </c>
      <c r="C167" s="20" t="s">
        <v>45</v>
      </c>
      <c r="D167" s="15">
        <v>2</v>
      </c>
      <c r="E167" s="16"/>
      <c r="F167" s="17">
        <f t="shared" si="42"/>
        <v>0</v>
      </c>
      <c r="G167" s="17">
        <f t="shared" si="40"/>
        <v>0</v>
      </c>
      <c r="H167" s="17">
        <f t="shared" si="41"/>
        <v>0</v>
      </c>
      <c r="I167" s="17"/>
      <c r="J167" s="17"/>
      <c r="K167" s="18">
        <f t="shared" si="34"/>
        <v>0</v>
      </c>
      <c r="L167" s="17">
        <f t="shared" si="35"/>
        <v>0</v>
      </c>
      <c r="M167" s="17">
        <f t="shared" si="36"/>
        <v>0</v>
      </c>
      <c r="N167" s="18">
        <f t="shared" si="37"/>
        <v>0</v>
      </c>
      <c r="O167" s="6"/>
    </row>
    <row r="168" spans="1:15">
      <c r="A168" s="20" t="s">
        <v>5871</v>
      </c>
      <c r="B168" s="20" t="s">
        <v>4446</v>
      </c>
      <c r="C168" s="20" t="s">
        <v>5872</v>
      </c>
      <c r="D168" s="15">
        <v>2</v>
      </c>
      <c r="E168" s="16"/>
      <c r="F168" s="17">
        <f t="shared" si="42"/>
        <v>0</v>
      </c>
      <c r="G168" s="17">
        <f t="shared" si="40"/>
        <v>0</v>
      </c>
      <c r="H168" s="17">
        <f t="shared" si="41"/>
        <v>0</v>
      </c>
      <c r="I168" s="17"/>
      <c r="J168" s="17"/>
      <c r="K168" s="18">
        <f t="shared" si="34"/>
        <v>0</v>
      </c>
      <c r="L168" s="17">
        <f t="shared" si="35"/>
        <v>0</v>
      </c>
      <c r="M168" s="17">
        <f t="shared" si="36"/>
        <v>0</v>
      </c>
      <c r="N168" s="18">
        <f t="shared" si="37"/>
        <v>0</v>
      </c>
      <c r="O168" s="6"/>
    </row>
    <row r="169" spans="1:15">
      <c r="A169" s="20" t="s">
        <v>5871</v>
      </c>
      <c r="B169" s="20" t="s">
        <v>4446</v>
      </c>
      <c r="C169" s="20" t="s">
        <v>514</v>
      </c>
      <c r="D169" s="15">
        <v>2</v>
      </c>
      <c r="E169" s="16"/>
      <c r="F169" s="17">
        <f t="shared" si="42"/>
        <v>0</v>
      </c>
      <c r="G169" s="17">
        <f t="shared" si="40"/>
        <v>0</v>
      </c>
      <c r="H169" s="17">
        <f t="shared" si="41"/>
        <v>0</v>
      </c>
      <c r="I169" s="17"/>
      <c r="J169" s="17"/>
      <c r="K169" s="18">
        <f t="shared" si="34"/>
        <v>0</v>
      </c>
      <c r="L169" s="17">
        <f t="shared" si="35"/>
        <v>0</v>
      </c>
      <c r="M169" s="17">
        <f t="shared" si="36"/>
        <v>0</v>
      </c>
      <c r="N169" s="18">
        <f t="shared" si="37"/>
        <v>0</v>
      </c>
      <c r="O169" s="6"/>
    </row>
    <row r="170" spans="1:15">
      <c r="A170" s="20" t="s">
        <v>5871</v>
      </c>
      <c r="B170" s="20" t="s">
        <v>4446</v>
      </c>
      <c r="C170" s="20" t="s">
        <v>67</v>
      </c>
      <c r="D170" s="15">
        <v>2</v>
      </c>
      <c r="E170" s="16"/>
      <c r="F170" s="17">
        <f t="shared" si="42"/>
        <v>0</v>
      </c>
      <c r="G170" s="17">
        <f t="shared" si="40"/>
        <v>0</v>
      </c>
      <c r="H170" s="17">
        <f t="shared" si="41"/>
        <v>0</v>
      </c>
      <c r="I170" s="17"/>
      <c r="J170" s="17"/>
      <c r="K170" s="18">
        <f t="shared" si="34"/>
        <v>0</v>
      </c>
      <c r="L170" s="17">
        <f t="shared" si="35"/>
        <v>0</v>
      </c>
      <c r="M170" s="17">
        <f t="shared" si="36"/>
        <v>0</v>
      </c>
      <c r="N170" s="18">
        <f t="shared" si="37"/>
        <v>0</v>
      </c>
      <c r="O170" s="6"/>
    </row>
    <row r="171" spans="1:15">
      <c r="A171" s="20" t="s">
        <v>5871</v>
      </c>
      <c r="B171" s="20" t="s">
        <v>4446</v>
      </c>
      <c r="C171" s="20" t="s">
        <v>5873</v>
      </c>
      <c r="D171" s="15">
        <v>2</v>
      </c>
      <c r="E171" s="16"/>
      <c r="F171" s="17">
        <f t="shared" si="42"/>
        <v>0</v>
      </c>
      <c r="G171" s="17">
        <f t="shared" si="40"/>
        <v>0</v>
      </c>
      <c r="H171" s="17">
        <f t="shared" si="41"/>
        <v>0</v>
      </c>
      <c r="I171" s="17"/>
      <c r="J171" s="17"/>
      <c r="K171" s="18">
        <f t="shared" si="34"/>
        <v>0</v>
      </c>
      <c r="L171" s="17">
        <f t="shared" si="35"/>
        <v>0</v>
      </c>
      <c r="M171" s="17">
        <f t="shared" si="36"/>
        <v>0</v>
      </c>
      <c r="N171" s="18">
        <f t="shared" si="37"/>
        <v>0</v>
      </c>
      <c r="O171" s="6"/>
    </row>
    <row r="172" spans="1:15">
      <c r="A172" s="20" t="s">
        <v>5871</v>
      </c>
      <c r="B172" s="20" t="s">
        <v>4446</v>
      </c>
      <c r="C172" s="20" t="s">
        <v>63</v>
      </c>
      <c r="D172" s="15">
        <v>2</v>
      </c>
      <c r="E172" s="16"/>
      <c r="F172" s="17">
        <f t="shared" si="42"/>
        <v>0</v>
      </c>
      <c r="G172" s="17">
        <f t="shared" si="40"/>
        <v>0</v>
      </c>
      <c r="H172" s="17">
        <f t="shared" si="41"/>
        <v>0</v>
      </c>
      <c r="I172" s="17"/>
      <c r="J172" s="17"/>
      <c r="K172" s="18">
        <f t="shared" si="34"/>
        <v>0</v>
      </c>
      <c r="L172" s="17">
        <f t="shared" si="35"/>
        <v>0</v>
      </c>
      <c r="M172" s="17">
        <f t="shared" si="36"/>
        <v>0</v>
      </c>
      <c r="N172" s="18">
        <f t="shared" si="37"/>
        <v>0</v>
      </c>
      <c r="O172" s="6"/>
    </row>
    <row r="173" spans="1:15">
      <c r="A173" s="20" t="s">
        <v>345</v>
      </c>
      <c r="B173" s="20" t="s">
        <v>4446</v>
      </c>
      <c r="C173" s="20" t="s">
        <v>53</v>
      </c>
      <c r="D173" s="15">
        <v>2</v>
      </c>
      <c r="E173" s="16"/>
      <c r="F173" s="17">
        <f t="shared" si="42"/>
        <v>0</v>
      </c>
      <c r="G173" s="17">
        <f t="shared" si="40"/>
        <v>0</v>
      </c>
      <c r="H173" s="17">
        <f t="shared" si="41"/>
        <v>0</v>
      </c>
      <c r="I173" s="17"/>
      <c r="J173" s="17"/>
      <c r="K173" s="18">
        <f t="shared" si="34"/>
        <v>0</v>
      </c>
      <c r="L173" s="17">
        <f t="shared" si="35"/>
        <v>0</v>
      </c>
      <c r="M173" s="17">
        <f t="shared" si="36"/>
        <v>0</v>
      </c>
      <c r="N173" s="18">
        <f t="shared" si="37"/>
        <v>0</v>
      </c>
      <c r="O173" s="6"/>
    </row>
    <row r="174" spans="1:15">
      <c r="A174" s="14" t="s">
        <v>345</v>
      </c>
      <c r="B174" s="20" t="s">
        <v>4446</v>
      </c>
      <c r="C174" s="20" t="s">
        <v>55</v>
      </c>
      <c r="D174" s="15">
        <v>2</v>
      </c>
      <c r="E174" s="16"/>
      <c r="F174" s="17">
        <f t="shared" si="42"/>
        <v>0</v>
      </c>
      <c r="G174" s="17">
        <f t="shared" si="40"/>
        <v>0</v>
      </c>
      <c r="H174" s="17">
        <f t="shared" si="41"/>
        <v>0</v>
      </c>
      <c r="I174" s="17"/>
      <c r="J174" s="17"/>
      <c r="K174" s="18">
        <f t="shared" si="34"/>
        <v>0</v>
      </c>
      <c r="L174" s="17">
        <f t="shared" si="35"/>
        <v>0</v>
      </c>
      <c r="M174" s="17">
        <f t="shared" si="36"/>
        <v>0</v>
      </c>
      <c r="N174" s="18">
        <f t="shared" si="37"/>
        <v>0</v>
      </c>
      <c r="O174" s="6"/>
    </row>
    <row r="175" spans="1:15">
      <c r="A175" s="14" t="s">
        <v>345</v>
      </c>
      <c r="B175" s="20" t="s">
        <v>4446</v>
      </c>
      <c r="C175" s="20" t="s">
        <v>57</v>
      </c>
      <c r="D175" s="15">
        <v>2</v>
      </c>
      <c r="E175" s="16"/>
      <c r="F175" s="17">
        <f t="shared" si="42"/>
        <v>0</v>
      </c>
      <c r="G175" s="17">
        <f t="shared" ref="G175:G184" si="43">F175*0.5</f>
        <v>0</v>
      </c>
      <c r="H175" s="17">
        <f t="shared" si="41"/>
        <v>0</v>
      </c>
      <c r="I175" s="17"/>
      <c r="J175" s="17"/>
      <c r="K175" s="18">
        <f t="shared" si="34"/>
        <v>0</v>
      </c>
      <c r="L175" s="17">
        <f t="shared" si="35"/>
        <v>0</v>
      </c>
      <c r="M175" s="17">
        <f t="shared" si="36"/>
        <v>0</v>
      </c>
      <c r="N175" s="18">
        <f t="shared" si="37"/>
        <v>0</v>
      </c>
      <c r="O175" s="6"/>
    </row>
    <row r="176" spans="1:15">
      <c r="A176" s="14" t="s">
        <v>345</v>
      </c>
      <c r="B176" s="20" t="s">
        <v>4446</v>
      </c>
      <c r="C176" s="20" t="s">
        <v>58</v>
      </c>
      <c r="D176" s="15">
        <v>2</v>
      </c>
      <c r="E176" s="16"/>
      <c r="F176" s="17">
        <f t="shared" si="42"/>
        <v>0</v>
      </c>
      <c r="G176" s="17">
        <f t="shared" si="43"/>
        <v>0</v>
      </c>
      <c r="H176" s="17">
        <f t="shared" si="41"/>
        <v>0</v>
      </c>
      <c r="I176" s="17"/>
      <c r="J176" s="17"/>
      <c r="K176" s="18">
        <f t="shared" si="34"/>
        <v>0</v>
      </c>
      <c r="L176" s="17">
        <f t="shared" si="35"/>
        <v>0</v>
      </c>
      <c r="M176" s="17">
        <f t="shared" si="36"/>
        <v>0</v>
      </c>
      <c r="N176" s="18">
        <f t="shared" si="37"/>
        <v>0</v>
      </c>
      <c r="O176" s="6"/>
    </row>
    <row r="177" spans="1:15">
      <c r="A177" s="14" t="s">
        <v>345</v>
      </c>
      <c r="B177" s="20" t="s">
        <v>4446</v>
      </c>
      <c r="C177" s="20" t="s">
        <v>220</v>
      </c>
      <c r="D177" s="15">
        <v>2</v>
      </c>
      <c r="E177" s="16"/>
      <c r="F177" s="17">
        <f t="shared" ref="F177:F210" si="44">D177*E177</f>
        <v>0</v>
      </c>
      <c r="G177" s="17">
        <f t="shared" si="43"/>
        <v>0</v>
      </c>
      <c r="H177" s="17">
        <f t="shared" ref="H177:H201" si="45">F177-G177</f>
        <v>0</v>
      </c>
      <c r="I177" s="17"/>
      <c r="J177" s="17"/>
      <c r="K177" s="18">
        <f t="shared" si="34"/>
        <v>0</v>
      </c>
      <c r="L177" s="17">
        <f t="shared" si="35"/>
        <v>0</v>
      </c>
      <c r="M177" s="17">
        <f t="shared" si="36"/>
        <v>0</v>
      </c>
      <c r="N177" s="18">
        <f t="shared" si="37"/>
        <v>0</v>
      </c>
      <c r="O177" s="6"/>
    </row>
    <row r="178" spans="1:15">
      <c r="A178" s="20" t="s">
        <v>97</v>
      </c>
      <c r="B178" s="20" t="s">
        <v>4446</v>
      </c>
      <c r="C178" s="20" t="s">
        <v>90</v>
      </c>
      <c r="D178" s="15">
        <v>2</v>
      </c>
      <c r="E178" s="16"/>
      <c r="F178" s="17">
        <f t="shared" si="44"/>
        <v>0</v>
      </c>
      <c r="G178" s="17">
        <f t="shared" si="43"/>
        <v>0</v>
      </c>
      <c r="H178" s="17">
        <f t="shared" si="45"/>
        <v>0</v>
      </c>
      <c r="I178" s="17"/>
      <c r="J178" s="17"/>
      <c r="K178" s="18">
        <f t="shared" si="34"/>
        <v>0</v>
      </c>
      <c r="L178" s="17">
        <f t="shared" si="35"/>
        <v>0</v>
      </c>
      <c r="M178" s="17">
        <f t="shared" si="36"/>
        <v>0</v>
      </c>
      <c r="N178" s="18">
        <f t="shared" si="37"/>
        <v>0</v>
      </c>
      <c r="O178" s="6"/>
    </row>
    <row r="179" spans="1:15">
      <c r="A179" s="20" t="s">
        <v>97</v>
      </c>
      <c r="B179" s="20" t="s">
        <v>4446</v>
      </c>
      <c r="C179" s="20" t="s">
        <v>92</v>
      </c>
      <c r="D179" s="15">
        <v>2</v>
      </c>
      <c r="E179" s="16"/>
      <c r="F179" s="17">
        <f t="shared" si="44"/>
        <v>0</v>
      </c>
      <c r="G179" s="17">
        <f t="shared" si="43"/>
        <v>0</v>
      </c>
      <c r="H179" s="17">
        <f t="shared" si="45"/>
        <v>0</v>
      </c>
      <c r="I179" s="17"/>
      <c r="J179" s="17"/>
      <c r="K179" s="18">
        <f t="shared" si="34"/>
        <v>0</v>
      </c>
      <c r="L179" s="17">
        <f t="shared" si="35"/>
        <v>0</v>
      </c>
      <c r="M179" s="17">
        <f t="shared" si="36"/>
        <v>0</v>
      </c>
      <c r="N179" s="18">
        <f t="shared" si="37"/>
        <v>0</v>
      </c>
      <c r="O179" s="6"/>
    </row>
    <row r="180" spans="1:15">
      <c r="A180" s="20" t="s">
        <v>97</v>
      </c>
      <c r="B180" s="20" t="s">
        <v>4446</v>
      </c>
      <c r="C180" s="20" t="s">
        <v>91</v>
      </c>
      <c r="D180" s="15">
        <v>2</v>
      </c>
      <c r="E180" s="16"/>
      <c r="F180" s="17">
        <f t="shared" si="44"/>
        <v>0</v>
      </c>
      <c r="G180" s="17">
        <f t="shared" si="43"/>
        <v>0</v>
      </c>
      <c r="H180" s="17">
        <f t="shared" si="45"/>
        <v>0</v>
      </c>
      <c r="I180" s="17"/>
      <c r="J180" s="17"/>
      <c r="K180" s="18">
        <f t="shared" si="34"/>
        <v>0</v>
      </c>
      <c r="L180" s="17">
        <f t="shared" si="35"/>
        <v>0</v>
      </c>
      <c r="M180" s="17">
        <f t="shared" si="36"/>
        <v>0</v>
      </c>
      <c r="N180" s="18">
        <f t="shared" si="37"/>
        <v>0</v>
      </c>
      <c r="O180" s="6"/>
    </row>
    <row r="181" spans="1:15">
      <c r="A181" s="20" t="s">
        <v>46</v>
      </c>
      <c r="B181" s="20" t="s">
        <v>4446</v>
      </c>
      <c r="C181" s="20" t="s">
        <v>47</v>
      </c>
      <c r="D181" s="15">
        <v>2</v>
      </c>
      <c r="E181" s="16"/>
      <c r="F181" s="17">
        <f t="shared" si="44"/>
        <v>0</v>
      </c>
      <c r="G181" s="17">
        <f t="shared" si="43"/>
        <v>0</v>
      </c>
      <c r="H181" s="17">
        <f t="shared" si="45"/>
        <v>0</v>
      </c>
      <c r="I181" s="17"/>
      <c r="J181" s="17"/>
      <c r="K181" s="18">
        <f t="shared" si="34"/>
        <v>0</v>
      </c>
      <c r="L181" s="17">
        <f t="shared" si="35"/>
        <v>0</v>
      </c>
      <c r="M181" s="17">
        <f t="shared" si="36"/>
        <v>0</v>
      </c>
      <c r="N181" s="18">
        <f t="shared" si="37"/>
        <v>0</v>
      </c>
      <c r="O181" s="6"/>
    </row>
    <row r="182" spans="1:15">
      <c r="A182" s="20" t="s">
        <v>46</v>
      </c>
      <c r="B182" s="20" t="s">
        <v>4446</v>
      </c>
      <c r="C182" s="20" t="s">
        <v>38</v>
      </c>
      <c r="D182" s="15">
        <v>2</v>
      </c>
      <c r="E182" s="16"/>
      <c r="F182" s="17">
        <f t="shared" si="44"/>
        <v>0</v>
      </c>
      <c r="G182" s="17">
        <f t="shared" si="43"/>
        <v>0</v>
      </c>
      <c r="H182" s="17">
        <f t="shared" si="45"/>
        <v>0</v>
      </c>
      <c r="I182" s="17"/>
      <c r="J182" s="17"/>
      <c r="K182" s="18">
        <f t="shared" si="34"/>
        <v>0</v>
      </c>
      <c r="L182" s="17">
        <f t="shared" si="35"/>
        <v>0</v>
      </c>
      <c r="M182" s="17">
        <f t="shared" si="36"/>
        <v>0</v>
      </c>
      <c r="N182" s="18">
        <f t="shared" si="37"/>
        <v>0</v>
      </c>
      <c r="O182" s="6"/>
    </row>
    <row r="183" spans="1:15">
      <c r="A183" s="20" t="s">
        <v>46</v>
      </c>
      <c r="B183" s="20" t="s">
        <v>4446</v>
      </c>
      <c r="C183" s="20" t="s">
        <v>61</v>
      </c>
      <c r="D183" s="15">
        <v>2</v>
      </c>
      <c r="E183" s="16"/>
      <c r="F183" s="17">
        <f t="shared" si="44"/>
        <v>0</v>
      </c>
      <c r="G183" s="17">
        <f t="shared" si="43"/>
        <v>0</v>
      </c>
      <c r="H183" s="17">
        <f t="shared" si="45"/>
        <v>0</v>
      </c>
      <c r="I183" s="17"/>
      <c r="J183" s="17"/>
      <c r="K183" s="18">
        <f t="shared" si="34"/>
        <v>0</v>
      </c>
      <c r="L183" s="17">
        <f t="shared" si="35"/>
        <v>0</v>
      </c>
      <c r="M183" s="17">
        <f t="shared" si="36"/>
        <v>0</v>
      </c>
      <c r="N183" s="18">
        <f t="shared" si="37"/>
        <v>0</v>
      </c>
      <c r="O183" s="6"/>
    </row>
    <row r="184" spans="1:15">
      <c r="A184" s="20" t="s">
        <v>46</v>
      </c>
      <c r="B184" s="20" t="s">
        <v>4446</v>
      </c>
      <c r="C184" s="20" t="s">
        <v>206</v>
      </c>
      <c r="D184" s="15">
        <v>2</v>
      </c>
      <c r="E184" s="16"/>
      <c r="F184" s="17">
        <f t="shared" si="44"/>
        <v>0</v>
      </c>
      <c r="G184" s="17">
        <f t="shared" si="43"/>
        <v>0</v>
      </c>
      <c r="H184" s="17">
        <f t="shared" si="45"/>
        <v>0</v>
      </c>
      <c r="I184" s="17"/>
      <c r="J184" s="17"/>
      <c r="K184" s="18">
        <f t="shared" si="34"/>
        <v>0</v>
      </c>
      <c r="L184" s="17">
        <f t="shared" si="35"/>
        <v>0</v>
      </c>
      <c r="M184" s="17">
        <f t="shared" si="36"/>
        <v>0</v>
      </c>
      <c r="N184" s="18">
        <f t="shared" si="37"/>
        <v>0</v>
      </c>
      <c r="O184" s="6"/>
    </row>
    <row r="185" spans="1:15">
      <c r="A185" s="20" t="s">
        <v>46</v>
      </c>
      <c r="B185" s="20" t="s">
        <v>4446</v>
      </c>
      <c r="C185" s="20" t="s">
        <v>74</v>
      </c>
      <c r="D185" s="15">
        <v>2</v>
      </c>
      <c r="E185" s="16"/>
      <c r="F185" s="17">
        <f t="shared" si="44"/>
        <v>0</v>
      </c>
      <c r="G185" s="17">
        <f t="shared" ref="G185:G193" si="46">F185*0.5</f>
        <v>0</v>
      </c>
      <c r="H185" s="17">
        <f t="shared" si="45"/>
        <v>0</v>
      </c>
      <c r="I185" s="17"/>
      <c r="J185" s="17"/>
      <c r="K185" s="18">
        <f t="shared" si="34"/>
        <v>0</v>
      </c>
      <c r="L185" s="17">
        <f t="shared" si="35"/>
        <v>0</v>
      </c>
      <c r="M185" s="17">
        <f t="shared" si="36"/>
        <v>0</v>
      </c>
      <c r="N185" s="18">
        <f t="shared" si="37"/>
        <v>0</v>
      </c>
      <c r="O185" s="6"/>
    </row>
    <row r="186" spans="1:15">
      <c r="A186" s="20" t="s">
        <v>46</v>
      </c>
      <c r="B186" s="20" t="s">
        <v>4446</v>
      </c>
      <c r="C186" s="20" t="s">
        <v>62</v>
      </c>
      <c r="D186" s="15">
        <v>2</v>
      </c>
      <c r="E186" s="16"/>
      <c r="F186" s="17">
        <f t="shared" si="44"/>
        <v>0</v>
      </c>
      <c r="G186" s="17">
        <f t="shared" si="46"/>
        <v>0</v>
      </c>
      <c r="H186" s="17">
        <f t="shared" si="45"/>
        <v>0</v>
      </c>
      <c r="I186" s="17"/>
      <c r="J186" s="17"/>
      <c r="K186" s="18">
        <f t="shared" si="34"/>
        <v>0</v>
      </c>
      <c r="L186" s="17">
        <f t="shared" si="35"/>
        <v>0</v>
      </c>
      <c r="M186" s="17">
        <f t="shared" si="36"/>
        <v>0</v>
      </c>
      <c r="N186" s="18">
        <f t="shared" si="37"/>
        <v>0</v>
      </c>
      <c r="O186" s="6"/>
    </row>
    <row r="187" spans="1:15">
      <c r="A187" s="20" t="s">
        <v>46</v>
      </c>
      <c r="B187" s="20" t="s">
        <v>4446</v>
      </c>
      <c r="C187" s="20" t="s">
        <v>69</v>
      </c>
      <c r="D187" s="15">
        <v>2</v>
      </c>
      <c r="E187" s="16"/>
      <c r="F187" s="17">
        <f t="shared" si="44"/>
        <v>0</v>
      </c>
      <c r="G187" s="17">
        <f t="shared" si="46"/>
        <v>0</v>
      </c>
      <c r="H187" s="17">
        <f t="shared" si="45"/>
        <v>0</v>
      </c>
      <c r="I187" s="17"/>
      <c r="J187" s="17"/>
      <c r="K187" s="18">
        <f t="shared" si="34"/>
        <v>0</v>
      </c>
      <c r="L187" s="17">
        <f t="shared" si="35"/>
        <v>0</v>
      </c>
      <c r="M187" s="17">
        <f t="shared" si="36"/>
        <v>0</v>
      </c>
      <c r="N187" s="18">
        <f t="shared" si="37"/>
        <v>0</v>
      </c>
      <c r="O187" s="6"/>
    </row>
    <row r="188" spans="1:15">
      <c r="A188" s="20" t="s">
        <v>46</v>
      </c>
      <c r="B188" s="20" t="s">
        <v>4446</v>
      </c>
      <c r="C188" s="20" t="s">
        <v>3918</v>
      </c>
      <c r="D188" s="15">
        <v>1</v>
      </c>
      <c r="E188" s="16"/>
      <c r="F188" s="17">
        <f t="shared" si="44"/>
        <v>0</v>
      </c>
      <c r="G188" s="17">
        <f>F188</f>
        <v>0</v>
      </c>
      <c r="H188" s="17">
        <f t="shared" si="45"/>
        <v>0</v>
      </c>
      <c r="I188" s="17"/>
      <c r="J188" s="17"/>
      <c r="K188" s="18">
        <f t="shared" si="34"/>
        <v>0</v>
      </c>
      <c r="L188" s="17">
        <f t="shared" si="35"/>
        <v>0</v>
      </c>
      <c r="M188" s="17">
        <f t="shared" si="36"/>
        <v>0</v>
      </c>
      <c r="N188" s="18">
        <f t="shared" si="37"/>
        <v>0</v>
      </c>
      <c r="O188" s="6"/>
    </row>
    <row r="189" spans="1:15">
      <c r="A189" s="20" t="s">
        <v>46</v>
      </c>
      <c r="B189" s="20" t="s">
        <v>4446</v>
      </c>
      <c r="C189" s="14" t="s">
        <v>5874</v>
      </c>
      <c r="D189" s="15">
        <v>2</v>
      </c>
      <c r="E189" s="16"/>
      <c r="F189" s="17">
        <f t="shared" si="44"/>
        <v>0</v>
      </c>
      <c r="G189" s="17">
        <f t="shared" si="46"/>
        <v>0</v>
      </c>
      <c r="H189" s="17">
        <f t="shared" si="45"/>
        <v>0</v>
      </c>
      <c r="I189" s="17"/>
      <c r="J189" s="17"/>
      <c r="K189" s="18">
        <f t="shared" si="34"/>
        <v>0</v>
      </c>
      <c r="L189" s="17">
        <f t="shared" si="35"/>
        <v>0</v>
      </c>
      <c r="M189" s="17">
        <f t="shared" si="36"/>
        <v>0</v>
      </c>
      <c r="N189" s="18">
        <f t="shared" si="37"/>
        <v>0</v>
      </c>
      <c r="O189" s="6"/>
    </row>
    <row r="190" spans="1:15">
      <c r="A190" s="20" t="s">
        <v>27</v>
      </c>
      <c r="B190" s="20" t="s">
        <v>4446</v>
      </c>
      <c r="C190" s="20" t="s">
        <v>5875</v>
      </c>
      <c r="D190" s="15">
        <v>0</v>
      </c>
      <c r="E190" s="16"/>
      <c r="F190" s="17">
        <f t="shared" si="44"/>
        <v>0</v>
      </c>
      <c r="G190" s="17">
        <f t="shared" si="46"/>
        <v>0</v>
      </c>
      <c r="H190" s="17">
        <f t="shared" si="45"/>
        <v>0</v>
      </c>
      <c r="I190" s="17"/>
      <c r="J190" s="17"/>
      <c r="K190" s="18">
        <f t="shared" si="34"/>
        <v>0</v>
      </c>
      <c r="L190" s="17">
        <f t="shared" si="35"/>
        <v>0</v>
      </c>
      <c r="M190" s="17">
        <f t="shared" si="36"/>
        <v>0</v>
      </c>
      <c r="N190" s="18">
        <f t="shared" si="37"/>
        <v>0</v>
      </c>
      <c r="O190" s="6"/>
    </row>
    <row r="191" spans="1:15">
      <c r="A191" s="20" t="s">
        <v>27</v>
      </c>
      <c r="B191" s="20" t="s">
        <v>4446</v>
      </c>
      <c r="C191" s="20" t="s">
        <v>109</v>
      </c>
      <c r="D191" s="15">
        <v>0</v>
      </c>
      <c r="E191" s="16"/>
      <c r="F191" s="17">
        <f t="shared" si="44"/>
        <v>0</v>
      </c>
      <c r="G191" s="17">
        <f t="shared" si="46"/>
        <v>0</v>
      </c>
      <c r="H191" s="17">
        <f t="shared" si="45"/>
        <v>0</v>
      </c>
      <c r="I191" s="17"/>
      <c r="J191" s="17"/>
      <c r="K191" s="18">
        <f t="shared" si="34"/>
        <v>0</v>
      </c>
      <c r="L191" s="17">
        <f t="shared" si="35"/>
        <v>0</v>
      </c>
      <c r="M191" s="17">
        <f t="shared" si="36"/>
        <v>0</v>
      </c>
      <c r="N191" s="18">
        <f t="shared" si="37"/>
        <v>0</v>
      </c>
      <c r="O191" s="6"/>
    </row>
    <row r="192" spans="1:15">
      <c r="A192" s="20" t="s">
        <v>27</v>
      </c>
      <c r="B192" s="20" t="s">
        <v>4446</v>
      </c>
      <c r="C192" s="20" t="s">
        <v>5876</v>
      </c>
      <c r="D192" s="15">
        <v>0</v>
      </c>
      <c r="E192" s="16">
        <v>0</v>
      </c>
      <c r="F192" s="17">
        <f t="shared" si="44"/>
        <v>0</v>
      </c>
      <c r="G192" s="17">
        <f t="shared" si="46"/>
        <v>0</v>
      </c>
      <c r="H192" s="17">
        <f t="shared" si="45"/>
        <v>0</v>
      </c>
      <c r="I192" s="17"/>
      <c r="J192" s="17"/>
      <c r="K192" s="18">
        <f t="shared" si="34"/>
        <v>0</v>
      </c>
      <c r="L192" s="17">
        <f t="shared" si="35"/>
        <v>0</v>
      </c>
      <c r="M192" s="17">
        <f t="shared" si="36"/>
        <v>0</v>
      </c>
      <c r="N192" s="18">
        <f t="shared" si="37"/>
        <v>0</v>
      </c>
      <c r="O192" s="6"/>
    </row>
    <row r="193" spans="1:15">
      <c r="A193" s="20" t="s">
        <v>27</v>
      </c>
      <c r="B193" s="20" t="s">
        <v>4446</v>
      </c>
      <c r="C193" s="20" t="s">
        <v>1660</v>
      </c>
      <c r="D193" s="15">
        <v>0</v>
      </c>
      <c r="E193" s="16">
        <v>0</v>
      </c>
      <c r="F193" s="17">
        <f t="shared" si="44"/>
        <v>0</v>
      </c>
      <c r="G193" s="17">
        <f t="shared" si="46"/>
        <v>0</v>
      </c>
      <c r="H193" s="17">
        <f t="shared" si="45"/>
        <v>0</v>
      </c>
      <c r="I193" s="17"/>
      <c r="J193" s="17"/>
      <c r="K193" s="18">
        <f t="shared" si="34"/>
        <v>0</v>
      </c>
      <c r="L193" s="17">
        <f t="shared" si="35"/>
        <v>0</v>
      </c>
      <c r="M193" s="17">
        <f t="shared" si="36"/>
        <v>0</v>
      </c>
      <c r="N193" s="18">
        <f t="shared" si="37"/>
        <v>0</v>
      </c>
      <c r="O193" s="6"/>
    </row>
    <row r="194" spans="1:15">
      <c r="A194" s="20" t="s">
        <v>27</v>
      </c>
      <c r="B194" s="20" t="s">
        <v>4446</v>
      </c>
      <c r="C194" s="20" t="s">
        <v>4522</v>
      </c>
      <c r="D194" s="15">
        <v>0</v>
      </c>
      <c r="E194" s="16">
        <v>0</v>
      </c>
      <c r="F194" s="17">
        <f t="shared" si="44"/>
        <v>0</v>
      </c>
      <c r="G194" s="17">
        <f>F194</f>
        <v>0</v>
      </c>
      <c r="H194" s="17">
        <f t="shared" si="45"/>
        <v>0</v>
      </c>
      <c r="I194" s="17"/>
      <c r="J194" s="17"/>
      <c r="K194" s="18">
        <f t="shared" si="34"/>
        <v>0</v>
      </c>
      <c r="L194" s="17">
        <f t="shared" si="35"/>
        <v>0</v>
      </c>
      <c r="M194" s="17">
        <f t="shared" si="36"/>
        <v>0</v>
      </c>
      <c r="N194" s="18">
        <f t="shared" si="37"/>
        <v>0</v>
      </c>
      <c r="O194" s="6"/>
    </row>
    <row r="195" spans="1:15">
      <c r="A195" s="20" t="s">
        <v>27</v>
      </c>
      <c r="B195" s="20" t="s">
        <v>4446</v>
      </c>
      <c r="C195" s="14" t="s">
        <v>142</v>
      </c>
      <c r="D195" s="15">
        <v>0</v>
      </c>
      <c r="E195" s="16">
        <v>0</v>
      </c>
      <c r="F195" s="17">
        <f t="shared" si="44"/>
        <v>0</v>
      </c>
      <c r="G195" s="17">
        <f t="shared" ref="G195:G199" si="47">F195*0.5</f>
        <v>0</v>
      </c>
      <c r="H195" s="17">
        <f t="shared" si="45"/>
        <v>0</v>
      </c>
      <c r="I195" s="17"/>
      <c r="J195" s="17"/>
      <c r="K195" s="18">
        <f t="shared" ref="K195:K217" si="48">J195*0.5</f>
        <v>0</v>
      </c>
      <c r="L195" s="17">
        <f t="shared" ref="L195:L217" si="49">J195*0.5</f>
        <v>0</v>
      </c>
      <c r="M195" s="17">
        <f t="shared" ref="M195:M217" si="50">SUM(G195,K195)</f>
        <v>0</v>
      </c>
      <c r="N195" s="18">
        <f t="shared" ref="N195:N217" si="51">SUM(H195,L195)</f>
        <v>0</v>
      </c>
      <c r="O195" s="6"/>
    </row>
    <row r="196" spans="1:15">
      <c r="A196" s="20" t="s">
        <v>27</v>
      </c>
      <c r="B196" s="20" t="s">
        <v>4446</v>
      </c>
      <c r="C196" s="20" t="s">
        <v>138</v>
      </c>
      <c r="D196" s="15">
        <v>0</v>
      </c>
      <c r="E196" s="16">
        <v>0</v>
      </c>
      <c r="F196" s="17">
        <f t="shared" si="44"/>
        <v>0</v>
      </c>
      <c r="G196" s="17">
        <f t="shared" si="47"/>
        <v>0</v>
      </c>
      <c r="H196" s="17">
        <f t="shared" si="45"/>
        <v>0</v>
      </c>
      <c r="I196" s="17"/>
      <c r="J196" s="17"/>
      <c r="K196" s="18">
        <f t="shared" si="48"/>
        <v>0</v>
      </c>
      <c r="L196" s="17">
        <f t="shared" si="49"/>
        <v>0</v>
      </c>
      <c r="M196" s="17">
        <f t="shared" si="50"/>
        <v>0</v>
      </c>
      <c r="N196" s="18">
        <f t="shared" si="51"/>
        <v>0</v>
      </c>
      <c r="O196" s="6"/>
    </row>
    <row r="197" spans="1:15">
      <c r="A197" s="20" t="s">
        <v>27</v>
      </c>
      <c r="B197" s="20" t="s">
        <v>4446</v>
      </c>
      <c r="C197" s="20" t="s">
        <v>158</v>
      </c>
      <c r="D197" s="15">
        <v>0</v>
      </c>
      <c r="E197" s="16">
        <v>0</v>
      </c>
      <c r="F197" s="17">
        <f t="shared" si="44"/>
        <v>0</v>
      </c>
      <c r="G197" s="17">
        <f t="shared" si="47"/>
        <v>0</v>
      </c>
      <c r="H197" s="17">
        <f t="shared" si="45"/>
        <v>0</v>
      </c>
      <c r="I197" s="17"/>
      <c r="J197" s="17"/>
      <c r="K197" s="18">
        <f t="shared" si="48"/>
        <v>0</v>
      </c>
      <c r="L197" s="17">
        <f t="shared" si="49"/>
        <v>0</v>
      </c>
      <c r="M197" s="17">
        <f t="shared" si="50"/>
        <v>0</v>
      </c>
      <c r="N197" s="18">
        <f t="shared" si="51"/>
        <v>0</v>
      </c>
      <c r="O197" s="6"/>
    </row>
    <row r="198" spans="1:15">
      <c r="A198" s="20" t="s">
        <v>27</v>
      </c>
      <c r="B198" s="20" t="s">
        <v>4446</v>
      </c>
      <c r="C198" s="20" t="s">
        <v>5877</v>
      </c>
      <c r="D198" s="15">
        <v>0</v>
      </c>
      <c r="E198" s="16">
        <v>0</v>
      </c>
      <c r="F198" s="17">
        <f t="shared" si="44"/>
        <v>0</v>
      </c>
      <c r="G198" s="17">
        <f t="shared" si="47"/>
        <v>0</v>
      </c>
      <c r="H198" s="17">
        <f t="shared" si="45"/>
        <v>0</v>
      </c>
      <c r="I198" s="17"/>
      <c r="J198" s="17"/>
      <c r="K198" s="18">
        <f t="shared" si="48"/>
        <v>0</v>
      </c>
      <c r="L198" s="17">
        <f t="shared" si="49"/>
        <v>0</v>
      </c>
      <c r="M198" s="17">
        <f t="shared" si="50"/>
        <v>0</v>
      </c>
      <c r="N198" s="18">
        <f t="shared" si="51"/>
        <v>0</v>
      </c>
      <c r="O198" s="6"/>
    </row>
    <row r="199" spans="1:15">
      <c r="A199" s="20" t="s">
        <v>27</v>
      </c>
      <c r="B199" s="20" t="s">
        <v>4446</v>
      </c>
      <c r="C199" s="20" t="s">
        <v>165</v>
      </c>
      <c r="D199" s="15">
        <v>0</v>
      </c>
      <c r="E199" s="16">
        <v>0</v>
      </c>
      <c r="F199" s="17">
        <f t="shared" si="44"/>
        <v>0</v>
      </c>
      <c r="G199" s="17">
        <f t="shared" si="47"/>
        <v>0</v>
      </c>
      <c r="H199" s="17">
        <f t="shared" si="45"/>
        <v>0</v>
      </c>
      <c r="I199" s="17"/>
      <c r="J199" s="17"/>
      <c r="K199" s="18">
        <f t="shared" si="48"/>
        <v>0</v>
      </c>
      <c r="L199" s="17">
        <f t="shared" si="49"/>
        <v>0</v>
      </c>
      <c r="M199" s="17">
        <f t="shared" si="50"/>
        <v>0</v>
      </c>
      <c r="N199" s="18">
        <f t="shared" si="51"/>
        <v>0</v>
      </c>
      <c r="O199" s="6"/>
    </row>
    <row r="200" spans="1:15">
      <c r="A200" s="20" t="s">
        <v>27</v>
      </c>
      <c r="B200" s="20" t="s">
        <v>4446</v>
      </c>
      <c r="C200" s="20" t="s">
        <v>5878</v>
      </c>
      <c r="D200" s="15">
        <v>0</v>
      </c>
      <c r="E200" s="16">
        <v>0</v>
      </c>
      <c r="F200" s="17">
        <f t="shared" si="44"/>
        <v>0</v>
      </c>
      <c r="G200" s="17">
        <f>F200</f>
        <v>0</v>
      </c>
      <c r="H200" s="17">
        <f t="shared" si="45"/>
        <v>0</v>
      </c>
      <c r="I200" s="17"/>
      <c r="J200" s="17"/>
      <c r="K200" s="18">
        <f t="shared" si="48"/>
        <v>0</v>
      </c>
      <c r="L200" s="17">
        <f t="shared" si="49"/>
        <v>0</v>
      </c>
      <c r="M200" s="17">
        <f t="shared" si="50"/>
        <v>0</v>
      </c>
      <c r="N200" s="18">
        <f t="shared" si="51"/>
        <v>0</v>
      </c>
      <c r="O200" s="6"/>
    </row>
    <row r="201" spans="1:15">
      <c r="A201" s="20" t="s">
        <v>27</v>
      </c>
      <c r="B201" s="20" t="s">
        <v>4446</v>
      </c>
      <c r="C201" s="14" t="s">
        <v>167</v>
      </c>
      <c r="D201" s="15">
        <v>0</v>
      </c>
      <c r="E201" s="16">
        <v>0</v>
      </c>
      <c r="F201" s="17">
        <f t="shared" si="44"/>
        <v>0</v>
      </c>
      <c r="G201" s="17">
        <f>F201*0.5</f>
        <v>0</v>
      </c>
      <c r="H201" s="17">
        <f t="shared" si="45"/>
        <v>0</v>
      </c>
      <c r="I201" s="17"/>
      <c r="J201" s="17"/>
      <c r="K201" s="18">
        <f t="shared" si="48"/>
        <v>0</v>
      </c>
      <c r="L201" s="17">
        <f t="shared" si="49"/>
        <v>0</v>
      </c>
      <c r="M201" s="17">
        <f t="shared" si="50"/>
        <v>0</v>
      </c>
      <c r="N201" s="18">
        <f t="shared" si="51"/>
        <v>0</v>
      </c>
      <c r="O201" s="6"/>
    </row>
    <row r="202" spans="1:15">
      <c r="A202" s="20" t="s">
        <v>27</v>
      </c>
      <c r="B202" s="20" t="s">
        <v>4446</v>
      </c>
      <c r="C202" s="20" t="s">
        <v>5879</v>
      </c>
      <c r="D202" s="15">
        <v>0</v>
      </c>
      <c r="E202" s="16">
        <v>0</v>
      </c>
      <c r="F202" s="17">
        <f t="shared" si="44"/>
        <v>0</v>
      </c>
      <c r="G202" s="17">
        <f>F202*0.5</f>
        <v>0</v>
      </c>
      <c r="H202" s="17">
        <f t="shared" ref="H202:H217" si="52">F202-G202</f>
        <v>0</v>
      </c>
      <c r="I202" s="17"/>
      <c r="J202" s="17"/>
      <c r="K202" s="18">
        <f t="shared" si="48"/>
        <v>0</v>
      </c>
      <c r="L202" s="17">
        <f t="shared" si="49"/>
        <v>0</v>
      </c>
      <c r="M202" s="17">
        <f t="shared" si="50"/>
        <v>0</v>
      </c>
      <c r="N202" s="18">
        <f t="shared" si="51"/>
        <v>0</v>
      </c>
      <c r="O202" s="6"/>
    </row>
    <row r="203" spans="1:15">
      <c r="A203" s="20" t="s">
        <v>27</v>
      </c>
      <c r="B203" s="20" t="s">
        <v>4446</v>
      </c>
      <c r="C203" s="20" t="s">
        <v>168</v>
      </c>
      <c r="D203" s="15">
        <v>0</v>
      </c>
      <c r="E203" s="16">
        <v>0</v>
      </c>
      <c r="F203" s="17">
        <f t="shared" si="44"/>
        <v>0</v>
      </c>
      <c r="G203" s="17">
        <f>F203*0.5</f>
        <v>0</v>
      </c>
      <c r="H203" s="17">
        <f t="shared" si="52"/>
        <v>0</v>
      </c>
      <c r="I203" s="17"/>
      <c r="J203" s="17"/>
      <c r="K203" s="18">
        <f t="shared" si="48"/>
        <v>0</v>
      </c>
      <c r="L203" s="17">
        <f t="shared" si="49"/>
        <v>0</v>
      </c>
      <c r="M203" s="17">
        <f t="shared" si="50"/>
        <v>0</v>
      </c>
      <c r="N203" s="18">
        <f t="shared" si="51"/>
        <v>0</v>
      </c>
      <c r="O203" s="6"/>
    </row>
    <row r="204" spans="1:15">
      <c r="A204" s="20" t="s">
        <v>27</v>
      </c>
      <c r="B204" s="20" t="s">
        <v>4446</v>
      </c>
      <c r="C204" s="20" t="s">
        <v>170</v>
      </c>
      <c r="D204" s="15">
        <v>0</v>
      </c>
      <c r="E204" s="16">
        <v>0</v>
      </c>
      <c r="F204" s="17">
        <f t="shared" si="44"/>
        <v>0</v>
      </c>
      <c r="G204" s="17">
        <f>F204*0.5</f>
        <v>0</v>
      </c>
      <c r="H204" s="17">
        <f t="shared" si="52"/>
        <v>0</v>
      </c>
      <c r="I204" s="17"/>
      <c r="J204" s="17"/>
      <c r="K204" s="18">
        <f t="shared" si="48"/>
        <v>0</v>
      </c>
      <c r="L204" s="17">
        <f t="shared" si="49"/>
        <v>0</v>
      </c>
      <c r="M204" s="17">
        <f t="shared" si="50"/>
        <v>0</v>
      </c>
      <c r="N204" s="18">
        <f t="shared" si="51"/>
        <v>0</v>
      </c>
      <c r="O204" s="6"/>
    </row>
    <row r="205" spans="1:15">
      <c r="A205" s="20" t="s">
        <v>27</v>
      </c>
      <c r="B205" s="20" t="s">
        <v>4446</v>
      </c>
      <c r="C205" s="20" t="s">
        <v>5880</v>
      </c>
      <c r="D205" s="15">
        <v>0</v>
      </c>
      <c r="E205" s="16">
        <v>0</v>
      </c>
      <c r="F205" s="17">
        <f t="shared" si="44"/>
        <v>0</v>
      </c>
      <c r="G205" s="17">
        <f>F205*0.5</f>
        <v>0</v>
      </c>
      <c r="H205" s="17">
        <f t="shared" si="52"/>
        <v>0</v>
      </c>
      <c r="I205" s="17"/>
      <c r="J205" s="17"/>
      <c r="K205" s="18">
        <f t="shared" si="48"/>
        <v>0</v>
      </c>
      <c r="L205" s="17">
        <f t="shared" si="49"/>
        <v>0</v>
      </c>
      <c r="M205" s="17">
        <f t="shared" si="50"/>
        <v>0</v>
      </c>
      <c r="N205" s="18">
        <f t="shared" si="51"/>
        <v>0</v>
      </c>
      <c r="O205" s="6"/>
    </row>
    <row r="206" spans="1:15">
      <c r="A206" s="20" t="s">
        <v>27</v>
      </c>
      <c r="B206" s="20" t="s">
        <v>4446</v>
      </c>
      <c r="C206" s="20" t="s">
        <v>2871</v>
      </c>
      <c r="D206" s="15">
        <v>0</v>
      </c>
      <c r="E206" s="16">
        <v>0</v>
      </c>
      <c r="F206" s="17">
        <f t="shared" si="44"/>
        <v>0</v>
      </c>
      <c r="G206" s="17">
        <f>F206</f>
        <v>0</v>
      </c>
      <c r="H206" s="17">
        <f t="shared" si="52"/>
        <v>0</v>
      </c>
      <c r="I206" s="17"/>
      <c r="J206" s="17"/>
      <c r="K206" s="18">
        <f t="shared" si="48"/>
        <v>0</v>
      </c>
      <c r="L206" s="17">
        <f t="shared" si="49"/>
        <v>0</v>
      </c>
      <c r="M206" s="17">
        <f t="shared" si="50"/>
        <v>0</v>
      </c>
      <c r="N206" s="18">
        <f t="shared" si="51"/>
        <v>0</v>
      </c>
      <c r="O206" s="6"/>
    </row>
    <row r="207" spans="1:15">
      <c r="A207" s="20" t="s">
        <v>27</v>
      </c>
      <c r="B207" s="20" t="s">
        <v>4446</v>
      </c>
      <c r="C207" s="20" t="s">
        <v>134</v>
      </c>
      <c r="D207" s="15"/>
      <c r="E207" s="16"/>
      <c r="F207" s="17"/>
      <c r="G207" s="17"/>
      <c r="H207" s="17"/>
      <c r="I207" s="17"/>
      <c r="J207" s="17"/>
      <c r="K207" s="18">
        <f t="shared" si="48"/>
        <v>0</v>
      </c>
      <c r="L207" s="17">
        <f t="shared" ref="L207:L208" si="53">J207*0.5</f>
        <v>0</v>
      </c>
      <c r="M207" s="17">
        <f t="shared" ref="M207:M208" si="54">SUM(G207,K207)</f>
        <v>0</v>
      </c>
      <c r="N207" s="24">
        <f t="shared" ref="N207:N208" si="55">SUM(H207,L207)</f>
        <v>0</v>
      </c>
      <c r="O207" s="6"/>
    </row>
    <row r="208" spans="1:15">
      <c r="A208" s="20" t="s">
        <v>27</v>
      </c>
      <c r="B208" s="20" t="s">
        <v>4446</v>
      </c>
      <c r="C208" s="20" t="s">
        <v>119</v>
      </c>
      <c r="D208" s="15"/>
      <c r="E208" s="16"/>
      <c r="F208" s="17"/>
      <c r="G208" s="17"/>
      <c r="H208" s="17"/>
      <c r="I208" s="17"/>
      <c r="J208" s="17"/>
      <c r="K208" s="18">
        <f t="shared" si="48"/>
        <v>0</v>
      </c>
      <c r="L208" s="17">
        <f t="shared" si="53"/>
        <v>0</v>
      </c>
      <c r="M208" s="17">
        <f t="shared" si="54"/>
        <v>0</v>
      </c>
      <c r="N208" s="24">
        <f t="shared" si="55"/>
        <v>0</v>
      </c>
      <c r="O208" s="6"/>
    </row>
    <row r="209" spans="1:15">
      <c r="A209" s="20" t="s">
        <v>27</v>
      </c>
      <c r="B209" s="20" t="s">
        <v>4446</v>
      </c>
      <c r="C209" s="20" t="s">
        <v>59</v>
      </c>
      <c r="D209" s="15">
        <v>2</v>
      </c>
      <c r="E209" s="16"/>
      <c r="F209" s="17"/>
      <c r="G209" s="17"/>
      <c r="H209" s="17"/>
      <c r="I209" s="17"/>
      <c r="J209" s="17"/>
      <c r="K209" s="18"/>
      <c r="L209" s="17"/>
      <c r="M209" s="17"/>
      <c r="N209" s="24"/>
      <c r="O209" s="6"/>
    </row>
    <row r="210" spans="1:15">
      <c r="A210" s="20" t="s">
        <v>5881</v>
      </c>
      <c r="B210" s="20" t="s">
        <v>5823</v>
      </c>
      <c r="C210" s="20" t="s">
        <v>75</v>
      </c>
      <c r="D210" s="15">
        <v>2</v>
      </c>
      <c r="E210" s="16"/>
      <c r="F210" s="17">
        <f t="shared" si="44"/>
        <v>0</v>
      </c>
      <c r="G210" s="17">
        <f t="shared" ref="G210:G216" si="56">F210*0.5</f>
        <v>0</v>
      </c>
      <c r="H210" s="17">
        <f t="shared" si="52"/>
        <v>0</v>
      </c>
      <c r="I210" s="17"/>
      <c r="J210" s="17"/>
      <c r="K210" s="18">
        <f t="shared" si="48"/>
        <v>0</v>
      </c>
      <c r="L210" s="17">
        <f t="shared" si="49"/>
        <v>0</v>
      </c>
      <c r="M210" s="17">
        <f t="shared" si="50"/>
        <v>0</v>
      </c>
      <c r="N210" s="18">
        <f t="shared" si="51"/>
        <v>0</v>
      </c>
      <c r="O210" s="6"/>
    </row>
    <row r="211" spans="1:15">
      <c r="A211" s="20" t="s">
        <v>5882</v>
      </c>
      <c r="B211" s="20" t="s">
        <v>5823</v>
      </c>
      <c r="C211" s="20" t="s">
        <v>200</v>
      </c>
      <c r="D211" s="15">
        <v>2</v>
      </c>
      <c r="E211" s="16"/>
      <c r="F211" s="17">
        <f t="shared" ref="F211:F217" si="57">D211*E211</f>
        <v>0</v>
      </c>
      <c r="G211" s="17">
        <f t="shared" si="56"/>
        <v>0</v>
      </c>
      <c r="H211" s="17">
        <f t="shared" si="52"/>
        <v>0</v>
      </c>
      <c r="I211" s="17"/>
      <c r="J211" s="17"/>
      <c r="K211" s="18">
        <f t="shared" si="48"/>
        <v>0</v>
      </c>
      <c r="L211" s="17">
        <f t="shared" si="49"/>
        <v>0</v>
      </c>
      <c r="M211" s="17">
        <f t="shared" si="50"/>
        <v>0</v>
      </c>
      <c r="N211" s="18">
        <f t="shared" si="51"/>
        <v>0</v>
      </c>
      <c r="O211" s="6"/>
    </row>
    <row r="212" spans="1:15">
      <c r="A212" s="20" t="s">
        <v>5882</v>
      </c>
      <c r="B212" s="20" t="s">
        <v>5823</v>
      </c>
      <c r="C212" s="20" t="s">
        <v>5883</v>
      </c>
      <c r="D212" s="15">
        <v>2</v>
      </c>
      <c r="E212" s="16"/>
      <c r="F212" s="17">
        <f t="shared" si="57"/>
        <v>0</v>
      </c>
      <c r="G212" s="17">
        <f t="shared" si="56"/>
        <v>0</v>
      </c>
      <c r="H212" s="17">
        <f t="shared" si="52"/>
        <v>0</v>
      </c>
      <c r="I212" s="17"/>
      <c r="J212" s="17"/>
      <c r="K212" s="18">
        <f t="shared" si="48"/>
        <v>0</v>
      </c>
      <c r="L212" s="17">
        <f t="shared" si="49"/>
        <v>0</v>
      </c>
      <c r="M212" s="17">
        <f t="shared" si="50"/>
        <v>0</v>
      </c>
      <c r="N212" s="18">
        <f t="shared" si="51"/>
        <v>0</v>
      </c>
      <c r="O212" s="6"/>
    </row>
    <row r="213" spans="1:15">
      <c r="A213" s="20" t="s">
        <v>5882</v>
      </c>
      <c r="B213" s="20" t="s">
        <v>5823</v>
      </c>
      <c r="C213" s="20" t="s">
        <v>511</v>
      </c>
      <c r="D213" s="15">
        <v>2</v>
      </c>
      <c r="E213" s="16"/>
      <c r="F213" s="17">
        <f t="shared" si="57"/>
        <v>0</v>
      </c>
      <c r="G213" s="17">
        <f t="shared" si="56"/>
        <v>0</v>
      </c>
      <c r="H213" s="17">
        <f t="shared" si="52"/>
        <v>0</v>
      </c>
      <c r="I213" s="17"/>
      <c r="J213" s="17"/>
      <c r="K213" s="18">
        <f t="shared" si="48"/>
        <v>0</v>
      </c>
      <c r="L213" s="17">
        <f t="shared" si="49"/>
        <v>0</v>
      </c>
      <c r="M213" s="17">
        <f t="shared" si="50"/>
        <v>0</v>
      </c>
      <c r="N213" s="18">
        <f t="shared" si="51"/>
        <v>0</v>
      </c>
      <c r="O213" s="6"/>
    </row>
    <row r="214" spans="1:15">
      <c r="A214" s="20" t="s">
        <v>50</v>
      </c>
      <c r="B214" s="20" t="s">
        <v>4446</v>
      </c>
      <c r="C214" s="20" t="s">
        <v>49</v>
      </c>
      <c r="D214" s="15">
        <v>2</v>
      </c>
      <c r="E214" s="16"/>
      <c r="F214" s="17">
        <f t="shared" si="57"/>
        <v>0</v>
      </c>
      <c r="G214" s="17">
        <f t="shared" si="56"/>
        <v>0</v>
      </c>
      <c r="H214" s="17">
        <f t="shared" si="52"/>
        <v>0</v>
      </c>
      <c r="I214" s="17"/>
      <c r="J214" s="17"/>
      <c r="K214" s="18">
        <f t="shared" si="48"/>
        <v>0</v>
      </c>
      <c r="L214" s="17">
        <f t="shared" si="49"/>
        <v>0</v>
      </c>
      <c r="M214" s="17">
        <f t="shared" si="50"/>
        <v>0</v>
      </c>
      <c r="N214" s="18">
        <f t="shared" si="51"/>
        <v>0</v>
      </c>
      <c r="O214" s="6"/>
    </row>
    <row r="215" spans="1:15">
      <c r="A215" s="20" t="s">
        <v>50</v>
      </c>
      <c r="B215" s="20" t="s">
        <v>4446</v>
      </c>
      <c r="C215" s="20" t="s">
        <v>52</v>
      </c>
      <c r="D215" s="15">
        <v>2</v>
      </c>
      <c r="E215" s="16"/>
      <c r="F215" s="17">
        <f t="shared" si="57"/>
        <v>0</v>
      </c>
      <c r="G215" s="17">
        <f t="shared" si="56"/>
        <v>0</v>
      </c>
      <c r="H215" s="17">
        <f t="shared" si="52"/>
        <v>0</v>
      </c>
      <c r="I215" s="17"/>
      <c r="J215" s="17"/>
      <c r="K215" s="18">
        <f t="shared" si="48"/>
        <v>0</v>
      </c>
      <c r="L215" s="17">
        <f t="shared" si="49"/>
        <v>0</v>
      </c>
      <c r="M215" s="17">
        <f t="shared" si="50"/>
        <v>0</v>
      </c>
      <c r="N215" s="18">
        <f t="shared" si="51"/>
        <v>0</v>
      </c>
      <c r="O215" s="6"/>
    </row>
    <row r="216" spans="1:15">
      <c r="A216" s="20" t="s">
        <v>46</v>
      </c>
      <c r="B216" s="20" t="s">
        <v>4446</v>
      </c>
      <c r="C216" s="20" t="s">
        <v>71</v>
      </c>
      <c r="D216" s="15">
        <v>2</v>
      </c>
      <c r="E216" s="16"/>
      <c r="F216" s="17">
        <f t="shared" si="57"/>
        <v>0</v>
      </c>
      <c r="G216" s="17">
        <f t="shared" si="56"/>
        <v>0</v>
      </c>
      <c r="H216" s="17">
        <f t="shared" si="52"/>
        <v>0</v>
      </c>
      <c r="I216" s="17"/>
      <c r="J216" s="17"/>
      <c r="K216" s="18">
        <f t="shared" si="48"/>
        <v>0</v>
      </c>
      <c r="L216" s="17">
        <f t="shared" si="49"/>
        <v>0</v>
      </c>
      <c r="M216" s="17">
        <f t="shared" si="50"/>
        <v>0</v>
      </c>
      <c r="N216" s="18">
        <f t="shared" si="51"/>
        <v>0</v>
      </c>
      <c r="O216" s="6"/>
    </row>
    <row r="217" spans="1:15">
      <c r="A217" s="20" t="s">
        <v>50</v>
      </c>
      <c r="B217" s="20" t="s">
        <v>4446</v>
      </c>
      <c r="C217" s="20" t="s">
        <v>48</v>
      </c>
      <c r="D217" s="15">
        <v>1</v>
      </c>
      <c r="E217" s="16"/>
      <c r="F217" s="17">
        <f t="shared" si="57"/>
        <v>0</v>
      </c>
      <c r="G217" s="17">
        <f>F217</f>
        <v>0</v>
      </c>
      <c r="H217" s="17">
        <f t="shared" si="52"/>
        <v>0</v>
      </c>
      <c r="I217" s="17"/>
      <c r="J217" s="17"/>
      <c r="K217" s="18">
        <f t="shared" si="48"/>
        <v>0</v>
      </c>
      <c r="L217" s="17">
        <f t="shared" si="49"/>
        <v>0</v>
      </c>
      <c r="M217" s="17">
        <f t="shared" si="50"/>
        <v>0</v>
      </c>
      <c r="N217" s="18">
        <f t="shared" si="51"/>
        <v>0</v>
      </c>
      <c r="O217" s="6"/>
    </row>
    <row r="218" spans="1:15">
      <c r="A218" s="25" t="s">
        <v>311</v>
      </c>
      <c r="B218" s="25"/>
      <c r="C218" s="21"/>
      <c r="D218" s="26">
        <f>SUM(D3:D217)</f>
        <v>355</v>
      </c>
      <c r="E218" s="27"/>
      <c r="F218" s="27">
        <f>SUM(F3:F217)</f>
        <v>0</v>
      </c>
      <c r="G218" s="27">
        <f t="shared" ref="G218:N218" si="58">SUM(G3:G217)</f>
        <v>0</v>
      </c>
      <c r="H218" s="27">
        <f t="shared" si="58"/>
        <v>0</v>
      </c>
      <c r="I218" s="27">
        <f t="shared" si="58"/>
        <v>0</v>
      </c>
      <c r="J218" s="27">
        <f t="shared" si="58"/>
        <v>0</v>
      </c>
      <c r="K218" s="27">
        <f t="shared" si="58"/>
        <v>0</v>
      </c>
      <c r="L218" s="27">
        <f t="shared" si="58"/>
        <v>0</v>
      </c>
      <c r="M218" s="27">
        <f t="shared" si="58"/>
        <v>0</v>
      </c>
      <c r="N218" s="27">
        <f t="shared" si="58"/>
        <v>0</v>
      </c>
      <c r="O218" s="6"/>
    </row>
    <row r="219" spans="1:15">
      <c r="C219" s="28"/>
      <c r="L219" s="5"/>
      <c r="M219" s="5"/>
    </row>
    <row r="220" spans="1:15">
      <c r="C220" s="28"/>
      <c r="L220" s="5"/>
      <c r="M220" s="5"/>
    </row>
    <row r="221" spans="1:15">
      <c r="C221" s="28"/>
      <c r="L221" s="5"/>
      <c r="M221" s="5"/>
    </row>
    <row r="222" spans="1:15">
      <c r="C222" s="29"/>
      <c r="L222" s="5"/>
      <c r="M222" s="5"/>
    </row>
    <row r="223" spans="1:15">
      <c r="C223" s="28"/>
      <c r="L223" s="5"/>
      <c r="M223" s="5"/>
    </row>
    <row r="224" spans="1:15">
      <c r="C224" s="7"/>
      <c r="L224" s="5"/>
      <c r="M224" s="5"/>
    </row>
    <row r="225" spans="3:13">
      <c r="C225" s="7"/>
      <c r="L225" s="5"/>
      <c r="M225" s="5"/>
    </row>
    <row r="226" spans="3:13">
      <c r="C226" s="7"/>
      <c r="L226" s="5"/>
      <c r="M226" s="5"/>
    </row>
    <row r="227" spans="3:13">
      <c r="C227" s="7"/>
      <c r="L227" s="5"/>
      <c r="M227" s="5"/>
    </row>
    <row r="228" spans="3:13">
      <c r="C228" s="28"/>
      <c r="L228" s="5"/>
      <c r="M228" s="5"/>
    </row>
    <row r="229" spans="3:13">
      <c r="C229" s="28"/>
      <c r="L229" s="5"/>
      <c r="M229" s="5"/>
    </row>
    <row r="230" spans="3:13">
      <c r="C230" s="28"/>
      <c r="L230" s="5"/>
      <c r="M230" s="5"/>
    </row>
    <row r="231" spans="3:13">
      <c r="C231" s="28"/>
      <c r="L231" s="5"/>
      <c r="M231" s="5"/>
    </row>
    <row r="232" spans="3:13">
      <c r="C232" s="28"/>
      <c r="L232" s="5"/>
      <c r="M232" s="5"/>
    </row>
    <row r="233" spans="3:13">
      <c r="C233" s="28"/>
      <c r="L233" s="5"/>
      <c r="M233" s="5"/>
    </row>
    <row r="234" spans="3:13">
      <c r="C234" s="28"/>
    </row>
  </sheetData>
  <autoFilter ref="A2:XEW288" xr:uid="{00000000-0009-0000-0000-00001F000000}"/>
  <mergeCells count="1">
    <mergeCell ref="A1:H1"/>
  </mergeCells>
  <phoneticPr fontId="5" type="noConversion"/>
  <conditionalFormatting sqref="C1:C112 C114:C115 C117:C1048576">
    <cfRule type="duplicateValues" dxfId="56" priority="22"/>
  </conditionalFormatting>
  <conditionalFormatting sqref="C1:C1048576">
    <cfRule type="duplicateValues" dxfId="55" priority="1"/>
  </conditionalFormatting>
  <conditionalFormatting sqref="C3:C9">
    <cfRule type="duplicateValues" dxfId="54" priority="1501"/>
  </conditionalFormatting>
  <conditionalFormatting sqref="C3:C46 C50:C62">
    <cfRule type="duplicateValues" dxfId="53" priority="1500"/>
  </conditionalFormatting>
  <conditionalFormatting sqref="C47:C49">
    <cfRule type="duplicateValues" dxfId="52" priority="65"/>
  </conditionalFormatting>
  <conditionalFormatting sqref="C63 C68:C112 C114:C115 C117:C129 C135:C140 C131:C133">
    <cfRule type="duplicateValues" dxfId="51" priority="1481"/>
  </conditionalFormatting>
  <conditionalFormatting sqref="C63 C90:C107 C72:C77 C110 C135 C137:C140 C119:C124">
    <cfRule type="duplicateValues" dxfId="50" priority="1497"/>
  </conditionalFormatting>
  <conditionalFormatting sqref="C64">
    <cfRule type="duplicateValues" dxfId="49" priority="1447"/>
  </conditionalFormatting>
  <conditionalFormatting sqref="C66">
    <cfRule type="duplicateValues" dxfId="48" priority="592"/>
    <cfRule type="duplicateValues" dxfId="47" priority="624"/>
  </conditionalFormatting>
  <conditionalFormatting sqref="C67">
    <cfRule type="duplicateValues" dxfId="46" priority="552"/>
  </conditionalFormatting>
  <conditionalFormatting sqref="C108">
    <cfRule type="duplicateValues" dxfId="45" priority="1494"/>
  </conditionalFormatting>
  <conditionalFormatting sqref="C109">
    <cfRule type="duplicateValues" dxfId="44" priority="1491"/>
  </conditionalFormatting>
  <conditionalFormatting sqref="C111:C112 C114:C115 C117:C118">
    <cfRule type="duplicateValues" dxfId="43" priority="1488"/>
  </conditionalFormatting>
  <conditionalFormatting sqref="C113">
    <cfRule type="duplicateValues" dxfId="42" priority="12"/>
  </conditionalFormatting>
  <conditionalFormatting sqref="C116">
    <cfRule type="duplicateValues" dxfId="41" priority="2"/>
  </conditionalFormatting>
  <conditionalFormatting sqref="C125:C126 C128">
    <cfRule type="duplicateValues" dxfId="40" priority="1486"/>
  </conditionalFormatting>
  <conditionalFormatting sqref="C130">
    <cfRule type="duplicateValues" dxfId="39" priority="77"/>
  </conditionalFormatting>
  <conditionalFormatting sqref="C131">
    <cfRule type="duplicateValues" dxfId="38" priority="1485"/>
  </conditionalFormatting>
  <conditionalFormatting sqref="C132:C133">
    <cfRule type="duplicateValues" dxfId="37" priority="1487"/>
  </conditionalFormatting>
  <conditionalFormatting sqref="C134">
    <cfRule type="duplicateValues" dxfId="36" priority="71"/>
  </conditionalFormatting>
  <conditionalFormatting sqref="C136">
    <cfRule type="duplicateValues" dxfId="35" priority="1482"/>
  </conditionalFormatting>
  <conditionalFormatting sqref="C176">
    <cfRule type="duplicateValues" dxfId="34" priority="43"/>
  </conditionalFormatting>
  <conditionalFormatting sqref="C190:C195">
    <cfRule type="duplicateValues" dxfId="33" priority="23"/>
  </conditionalFormatting>
  <conditionalFormatting sqref="C196:C201">
    <cfRule type="duplicateValues" dxfId="32" priority="28"/>
  </conditionalFormatting>
  <conditionalFormatting sqref="C202:C209">
    <cfRule type="duplicateValues" dxfId="31" priority="11972"/>
  </conditionalFormatting>
  <conditionalFormatting sqref="C215:C216 C64:C65 C218 C228:C234 C220:C222">
    <cfRule type="duplicateValues" dxfId="30" priority="729"/>
  </conditionalFormatting>
  <conditionalFormatting sqref="C215:C216 C64:C65 C222 C228:C231 C233:C234">
    <cfRule type="duplicateValues" dxfId="29" priority="1261"/>
  </conditionalFormatting>
  <conditionalFormatting sqref="C215:C216 C65 C222 C229 C231">
    <cfRule type="duplicateValues" dxfId="28" priority="1473"/>
    <cfRule type="duplicateValues" dxfId="27" priority="1471"/>
  </conditionalFormatting>
  <conditionalFormatting sqref="C215:C216 C65 C222 C229:C231">
    <cfRule type="duplicateValues" dxfId="26" priority="1465"/>
  </conditionalFormatting>
  <conditionalFormatting sqref="C215:C222 C64:C65 C228:C234">
    <cfRule type="duplicateValues" dxfId="25" priority="660"/>
  </conditionalFormatting>
  <conditionalFormatting sqref="C215:C223 C64:C66 C228:C234">
    <cfRule type="duplicateValues" dxfId="24" priority="559"/>
  </conditionalFormatting>
  <conditionalFormatting sqref="C215:C223 C64:C67 C228:C234">
    <cfRule type="duplicateValues" dxfId="23" priority="508"/>
  </conditionalFormatting>
  <conditionalFormatting sqref="C217">
    <cfRule type="duplicateValues" dxfId="22" priority="692"/>
    <cfRule type="duplicateValues" dxfId="21" priority="661"/>
  </conditionalFormatting>
  <conditionalFormatting sqref="C218">
    <cfRule type="duplicateValues" dxfId="20" priority="1192"/>
  </conditionalFormatting>
  <conditionalFormatting sqref="C219">
    <cfRule type="duplicateValues" dxfId="19" priority="722"/>
    <cfRule type="duplicateValues" dxfId="18" priority="694"/>
  </conditionalFormatting>
  <conditionalFormatting sqref="C220">
    <cfRule type="duplicateValues" dxfId="17" priority="1065"/>
  </conditionalFormatting>
  <conditionalFormatting sqref="C221">
    <cfRule type="duplicateValues" dxfId="16" priority="820"/>
  </conditionalFormatting>
  <conditionalFormatting sqref="C223">
    <cfRule type="duplicateValues" dxfId="15" priority="658"/>
    <cfRule type="duplicateValues" dxfId="14" priority="626"/>
  </conditionalFormatting>
  <conditionalFormatting sqref="C228">
    <cfRule type="duplicateValues" dxfId="13" priority="1432"/>
    <cfRule type="duplicateValues" dxfId="12" priority="1436"/>
  </conditionalFormatting>
  <conditionalFormatting sqref="C228:C1048576 C1:C46 C50:C112 C114:C115 C117:C129 C131:C133 C210:C223 C177:C189 C135:C175">
    <cfRule type="duplicateValues" dxfId="11" priority="506"/>
  </conditionalFormatting>
  <conditionalFormatting sqref="C228:C1048576 C1:C46 C50:C112 C114:C115 C117:C133 C210:C223 C177:C189 C135:C175">
    <cfRule type="duplicateValues" dxfId="10" priority="76"/>
  </conditionalFormatting>
  <conditionalFormatting sqref="C228:C1048576 C1:C46 C50:C112 C114:C115 C117:C175 C210:C223 C177:C189">
    <cfRule type="duplicateValues" dxfId="9" priority="70"/>
  </conditionalFormatting>
  <conditionalFormatting sqref="C228:C1048576 C1:C112 C114:C115 C117:C175 C210:C223 C177:C189">
    <cfRule type="duplicateValues" dxfId="8" priority="64"/>
  </conditionalFormatting>
  <conditionalFormatting sqref="C230">
    <cfRule type="duplicateValues" dxfId="7" priority="1468"/>
    <cfRule type="duplicateValues" dxfId="6" priority="1469"/>
  </conditionalFormatting>
  <conditionalFormatting sqref="C232">
    <cfRule type="duplicateValues" dxfId="5" priority="818"/>
    <cfRule type="duplicateValues" dxfId="4" priority="789"/>
  </conditionalFormatting>
  <conditionalFormatting sqref="C233">
    <cfRule type="duplicateValues" dxfId="3" priority="1426"/>
    <cfRule type="duplicateValues" dxfId="2" priority="1430"/>
  </conditionalFormatting>
  <conditionalFormatting sqref="C234">
    <cfRule type="duplicateValues" dxfId="1" priority="1425"/>
    <cfRule type="duplicateValues" dxfId="0" priority="1418"/>
  </conditionalFormatting>
  <pageMargins left="0.69930555555555596" right="0.69930555555555596" top="0.75" bottom="0.75" header="0.3" footer="0.3"/>
  <pageSetup paperSize="9" orientation="portrait"/>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
  <sheetViews>
    <sheetView workbookViewId="0"/>
  </sheetViews>
  <sheetFormatPr defaultColWidth="8.88671875" defaultRowHeight="14.4"/>
  <sheetData/>
  <phoneticPr fontId="5"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86"/>
  <sheetViews>
    <sheetView workbookViewId="0">
      <selection activeCell="K10" sqref="K10"/>
    </sheetView>
  </sheetViews>
  <sheetFormatPr defaultColWidth="9" defaultRowHeight="14.4"/>
  <sheetData>
    <row r="1" spans="1:6">
      <c r="A1" t="s">
        <v>5808</v>
      </c>
    </row>
    <row r="2" spans="1:6">
      <c r="A2" t="s">
        <v>316</v>
      </c>
      <c r="B2" t="s">
        <v>33</v>
      </c>
      <c r="C2" t="s">
        <v>5810</v>
      </c>
      <c r="D2" t="s">
        <v>3149</v>
      </c>
      <c r="E2" t="s">
        <v>5812</v>
      </c>
      <c r="F2" t="s">
        <v>5884</v>
      </c>
    </row>
    <row r="3" spans="1:6">
      <c r="A3" t="s">
        <v>5820</v>
      </c>
      <c r="B3" t="s">
        <v>943</v>
      </c>
      <c r="C3">
        <v>1</v>
      </c>
      <c r="D3">
        <v>600</v>
      </c>
      <c r="E3">
        <v>600</v>
      </c>
      <c r="F3">
        <v>300</v>
      </c>
    </row>
    <row r="4" spans="1:6">
      <c r="A4" t="s">
        <v>5820</v>
      </c>
      <c r="B4" t="s">
        <v>945</v>
      </c>
      <c r="C4">
        <v>1</v>
      </c>
      <c r="D4">
        <v>590</v>
      </c>
      <c r="E4">
        <v>590</v>
      </c>
      <c r="F4">
        <v>295</v>
      </c>
    </row>
    <row r="5" spans="1:6">
      <c r="A5" t="s">
        <v>5820</v>
      </c>
      <c r="B5" t="s">
        <v>3959</v>
      </c>
      <c r="C5">
        <v>2</v>
      </c>
      <c r="D5">
        <v>600</v>
      </c>
      <c r="E5">
        <v>1200</v>
      </c>
      <c r="F5">
        <v>600</v>
      </c>
    </row>
    <row r="6" spans="1:6">
      <c r="A6" t="s">
        <v>5820</v>
      </c>
      <c r="B6" t="s">
        <v>947</v>
      </c>
      <c r="C6">
        <v>2</v>
      </c>
      <c r="D6">
        <v>600</v>
      </c>
      <c r="E6">
        <v>1200</v>
      </c>
      <c r="F6">
        <v>600</v>
      </c>
    </row>
    <row r="7" spans="1:6">
      <c r="A7" t="s">
        <v>5820</v>
      </c>
      <c r="B7" t="s">
        <v>949</v>
      </c>
      <c r="C7">
        <v>2</v>
      </c>
      <c r="D7">
        <v>600</v>
      </c>
      <c r="E7">
        <v>1200</v>
      </c>
      <c r="F7">
        <v>600</v>
      </c>
    </row>
    <row r="8" spans="1:6">
      <c r="A8" t="s">
        <v>5820</v>
      </c>
      <c r="B8" t="s">
        <v>5824</v>
      </c>
      <c r="C8">
        <v>2</v>
      </c>
      <c r="D8">
        <v>590</v>
      </c>
      <c r="E8">
        <v>1180</v>
      </c>
      <c r="F8">
        <v>590</v>
      </c>
    </row>
    <row r="9" spans="1:6">
      <c r="A9" t="s">
        <v>5826</v>
      </c>
      <c r="B9" t="s">
        <v>4363</v>
      </c>
      <c r="C9">
        <v>2</v>
      </c>
      <c r="D9">
        <v>600</v>
      </c>
      <c r="E9">
        <v>1200</v>
      </c>
      <c r="F9">
        <v>600</v>
      </c>
    </row>
    <row r="10" spans="1:6">
      <c r="A10" t="s">
        <v>5828</v>
      </c>
      <c r="B10" t="s">
        <v>788</v>
      </c>
      <c r="C10">
        <v>2</v>
      </c>
      <c r="D10">
        <v>600</v>
      </c>
      <c r="E10">
        <v>1200</v>
      </c>
      <c r="F10">
        <v>600</v>
      </c>
    </row>
    <row r="11" spans="1:6">
      <c r="A11" t="s">
        <v>42</v>
      </c>
      <c r="B11" t="s">
        <v>791</v>
      </c>
      <c r="C11">
        <v>2</v>
      </c>
      <c r="D11">
        <v>590</v>
      </c>
      <c r="E11">
        <v>1180</v>
      </c>
      <c r="F11">
        <v>590</v>
      </c>
    </row>
    <row r="12" spans="1:6">
      <c r="A12" t="s">
        <v>42</v>
      </c>
      <c r="B12" t="s">
        <v>794</v>
      </c>
      <c r="C12">
        <v>2</v>
      </c>
      <c r="D12">
        <v>590</v>
      </c>
      <c r="E12">
        <v>1180</v>
      </c>
      <c r="F12">
        <v>590</v>
      </c>
    </row>
    <row r="13" spans="1:6">
      <c r="A13" t="s">
        <v>807</v>
      </c>
      <c r="B13" t="s">
        <v>808</v>
      </c>
      <c r="C13">
        <v>1</v>
      </c>
      <c r="D13">
        <v>590</v>
      </c>
      <c r="E13">
        <v>590</v>
      </c>
      <c r="F13">
        <v>295</v>
      </c>
    </row>
    <row r="14" spans="1:6">
      <c r="A14" t="s">
        <v>822</v>
      </c>
      <c r="B14" t="s">
        <v>823</v>
      </c>
      <c r="C14">
        <v>2</v>
      </c>
      <c r="D14">
        <v>590</v>
      </c>
      <c r="E14">
        <v>1180</v>
      </c>
      <c r="F14">
        <v>590</v>
      </c>
    </row>
    <row r="15" spans="1:6">
      <c r="A15" t="s">
        <v>834</v>
      </c>
      <c r="B15" t="s">
        <v>845</v>
      </c>
      <c r="C15">
        <v>2</v>
      </c>
      <c r="D15">
        <v>590</v>
      </c>
      <c r="E15">
        <v>1180</v>
      </c>
      <c r="F15">
        <v>590</v>
      </c>
    </row>
    <row r="16" spans="1:6">
      <c r="A16" t="s">
        <v>5831</v>
      </c>
      <c r="B16" t="s">
        <v>874</v>
      </c>
      <c r="C16">
        <v>2</v>
      </c>
      <c r="D16">
        <v>600</v>
      </c>
      <c r="E16">
        <v>1200</v>
      </c>
      <c r="F16">
        <v>600</v>
      </c>
    </row>
    <row r="17" spans="1:6">
      <c r="A17" t="s">
        <v>5826</v>
      </c>
      <c r="B17" t="s">
        <v>5832</v>
      </c>
      <c r="C17">
        <v>2</v>
      </c>
      <c r="D17">
        <v>460</v>
      </c>
      <c r="E17">
        <v>920</v>
      </c>
      <c r="F17">
        <v>460</v>
      </c>
    </row>
    <row r="18" spans="1:6">
      <c r="A18" t="s">
        <v>42</v>
      </c>
      <c r="B18" t="s">
        <v>5833</v>
      </c>
      <c r="C18">
        <v>2</v>
      </c>
      <c r="D18">
        <v>458</v>
      </c>
      <c r="E18">
        <v>916</v>
      </c>
      <c r="F18">
        <v>458</v>
      </c>
    </row>
    <row r="19" spans="1:6">
      <c r="A19" t="s">
        <v>42</v>
      </c>
      <c r="B19" t="s">
        <v>5834</v>
      </c>
      <c r="C19">
        <v>2</v>
      </c>
      <c r="D19">
        <v>458</v>
      </c>
      <c r="E19">
        <v>916</v>
      </c>
      <c r="F19">
        <v>458</v>
      </c>
    </row>
    <row r="20" spans="1:6">
      <c r="A20" t="s">
        <v>807</v>
      </c>
      <c r="B20" t="s">
        <v>810</v>
      </c>
      <c r="C20">
        <v>1</v>
      </c>
      <c r="D20">
        <v>458</v>
      </c>
      <c r="E20">
        <v>458</v>
      </c>
      <c r="F20">
        <v>229</v>
      </c>
    </row>
    <row r="21" spans="1:6">
      <c r="A21" t="s">
        <v>807</v>
      </c>
      <c r="B21" t="s">
        <v>814</v>
      </c>
      <c r="C21">
        <v>2</v>
      </c>
      <c r="D21">
        <v>458</v>
      </c>
      <c r="E21">
        <v>916</v>
      </c>
      <c r="F21">
        <v>458</v>
      </c>
    </row>
    <row r="22" spans="1:6">
      <c r="A22" t="s">
        <v>5794</v>
      </c>
      <c r="B22" t="s">
        <v>819</v>
      </c>
      <c r="C22">
        <v>2</v>
      </c>
      <c r="D22">
        <v>458</v>
      </c>
      <c r="E22">
        <v>916</v>
      </c>
      <c r="F22">
        <v>458</v>
      </c>
    </row>
    <row r="23" spans="1:6">
      <c r="A23" t="s">
        <v>822</v>
      </c>
      <c r="B23" t="s">
        <v>829</v>
      </c>
      <c r="C23">
        <v>2</v>
      </c>
      <c r="D23">
        <v>458</v>
      </c>
      <c r="E23">
        <v>916</v>
      </c>
      <c r="F23">
        <v>458</v>
      </c>
    </row>
    <row r="24" spans="1:6">
      <c r="A24" t="s">
        <v>831</v>
      </c>
      <c r="B24" t="s">
        <v>832</v>
      </c>
      <c r="C24">
        <v>2</v>
      </c>
      <c r="D24">
        <v>460</v>
      </c>
      <c r="E24">
        <v>920</v>
      </c>
      <c r="F24">
        <v>460</v>
      </c>
    </row>
    <row r="25" spans="1:6">
      <c r="A25" t="s">
        <v>831</v>
      </c>
      <c r="B25" t="s">
        <v>899</v>
      </c>
      <c r="C25">
        <v>1</v>
      </c>
      <c r="D25">
        <v>458</v>
      </c>
      <c r="E25">
        <v>458</v>
      </c>
      <c r="F25">
        <v>229</v>
      </c>
    </row>
    <row r="26" spans="1:6">
      <c r="A26" t="s">
        <v>831</v>
      </c>
      <c r="B26" t="s">
        <v>5836</v>
      </c>
      <c r="C26">
        <v>2</v>
      </c>
      <c r="D26">
        <v>458</v>
      </c>
      <c r="E26">
        <v>916</v>
      </c>
      <c r="F26">
        <v>458</v>
      </c>
    </row>
    <row r="27" spans="1:6">
      <c r="A27" t="s">
        <v>831</v>
      </c>
      <c r="B27" t="s">
        <v>5837</v>
      </c>
      <c r="C27">
        <v>1</v>
      </c>
      <c r="D27">
        <v>460</v>
      </c>
      <c r="E27">
        <v>460</v>
      </c>
      <c r="F27">
        <v>230</v>
      </c>
    </row>
    <row r="28" spans="1:6">
      <c r="A28" t="s">
        <v>831</v>
      </c>
      <c r="B28" t="s">
        <v>910</v>
      </c>
      <c r="C28">
        <v>1</v>
      </c>
      <c r="D28">
        <v>458</v>
      </c>
      <c r="E28">
        <v>458</v>
      </c>
      <c r="F28">
        <v>229</v>
      </c>
    </row>
    <row r="29" spans="1:6">
      <c r="A29" t="s">
        <v>834</v>
      </c>
      <c r="B29" t="s">
        <v>835</v>
      </c>
      <c r="C29">
        <v>2</v>
      </c>
      <c r="D29">
        <v>458</v>
      </c>
      <c r="E29">
        <v>916</v>
      </c>
      <c r="F29">
        <v>458</v>
      </c>
    </row>
    <row r="30" spans="1:6">
      <c r="A30" t="s">
        <v>834</v>
      </c>
      <c r="B30" t="s">
        <v>849</v>
      </c>
      <c r="C30">
        <v>2</v>
      </c>
      <c r="D30">
        <v>458</v>
      </c>
      <c r="E30">
        <v>916</v>
      </c>
      <c r="F30">
        <v>458</v>
      </c>
    </row>
    <row r="31" spans="1:6">
      <c r="A31" t="s">
        <v>834</v>
      </c>
      <c r="B31" t="s">
        <v>841</v>
      </c>
      <c r="C31">
        <v>1</v>
      </c>
      <c r="D31">
        <v>460</v>
      </c>
      <c r="E31">
        <v>460</v>
      </c>
      <c r="F31">
        <v>230</v>
      </c>
    </row>
    <row r="32" spans="1:6">
      <c r="A32" t="s">
        <v>842</v>
      </c>
      <c r="B32" t="s">
        <v>843</v>
      </c>
      <c r="C32">
        <v>2</v>
      </c>
      <c r="D32">
        <v>460</v>
      </c>
      <c r="E32">
        <v>920</v>
      </c>
      <c r="F32">
        <v>460</v>
      </c>
    </row>
    <row r="33" spans="1:6">
      <c r="A33" t="s">
        <v>842</v>
      </c>
      <c r="B33" t="s">
        <v>850</v>
      </c>
      <c r="C33">
        <v>2</v>
      </c>
      <c r="D33">
        <v>458</v>
      </c>
      <c r="E33">
        <v>916</v>
      </c>
      <c r="F33">
        <v>458</v>
      </c>
    </row>
    <row r="34" spans="1:6">
      <c r="A34" t="s">
        <v>842</v>
      </c>
      <c r="B34" t="s">
        <v>852</v>
      </c>
      <c r="C34">
        <v>2</v>
      </c>
      <c r="D34">
        <v>460</v>
      </c>
      <c r="E34">
        <v>920</v>
      </c>
      <c r="F34">
        <v>460</v>
      </c>
    </row>
    <row r="35" spans="1:6">
      <c r="A35" t="s">
        <v>842</v>
      </c>
      <c r="B35" t="s">
        <v>866</v>
      </c>
      <c r="C35">
        <v>2</v>
      </c>
      <c r="D35">
        <v>458</v>
      </c>
      <c r="E35">
        <v>916</v>
      </c>
      <c r="F35">
        <v>458</v>
      </c>
    </row>
    <row r="36" spans="1:6">
      <c r="A36" t="s">
        <v>842</v>
      </c>
      <c r="B36" t="s">
        <v>871</v>
      </c>
      <c r="C36">
        <v>2</v>
      </c>
      <c r="D36">
        <v>460</v>
      </c>
      <c r="E36">
        <v>920</v>
      </c>
      <c r="F36">
        <v>460</v>
      </c>
    </row>
    <row r="37" spans="1:6">
      <c r="A37" t="s">
        <v>345</v>
      </c>
      <c r="B37" t="s">
        <v>855</v>
      </c>
      <c r="C37">
        <v>2</v>
      </c>
      <c r="D37">
        <v>458</v>
      </c>
      <c r="E37">
        <v>916</v>
      </c>
      <c r="F37">
        <v>458</v>
      </c>
    </row>
    <row r="38" spans="1:6">
      <c r="A38" t="s">
        <v>5838</v>
      </c>
      <c r="B38" t="s">
        <v>4434</v>
      </c>
      <c r="C38">
        <v>2</v>
      </c>
      <c r="D38">
        <v>460</v>
      </c>
      <c r="E38">
        <v>920</v>
      </c>
      <c r="F38">
        <v>460</v>
      </c>
    </row>
    <row r="39" spans="1:6">
      <c r="A39" t="s">
        <v>5839</v>
      </c>
      <c r="B39" t="s">
        <v>5840</v>
      </c>
      <c r="C39">
        <v>2</v>
      </c>
      <c r="D39">
        <v>460</v>
      </c>
      <c r="E39">
        <v>920</v>
      </c>
      <c r="F39">
        <v>460</v>
      </c>
    </row>
    <row r="40" spans="1:6">
      <c r="A40" t="s">
        <v>5839</v>
      </c>
      <c r="B40" t="s">
        <v>4227</v>
      </c>
      <c r="C40">
        <v>2</v>
      </c>
      <c r="D40">
        <v>460</v>
      </c>
      <c r="E40">
        <v>920</v>
      </c>
      <c r="F40">
        <v>460</v>
      </c>
    </row>
    <row r="41" spans="1:6">
      <c r="A41" t="s">
        <v>5839</v>
      </c>
      <c r="B41" t="s">
        <v>4232</v>
      </c>
      <c r="C41">
        <v>2</v>
      </c>
      <c r="D41">
        <v>458</v>
      </c>
      <c r="E41">
        <v>916</v>
      </c>
      <c r="F41">
        <v>458</v>
      </c>
    </row>
    <row r="42" spans="1:6">
      <c r="A42" t="s">
        <v>5839</v>
      </c>
      <c r="B42" t="s">
        <v>4236</v>
      </c>
      <c r="C42">
        <v>2</v>
      </c>
      <c r="D42">
        <v>458</v>
      </c>
      <c r="E42">
        <v>916</v>
      </c>
      <c r="F42">
        <v>458</v>
      </c>
    </row>
    <row r="43" spans="1:6">
      <c r="A43" t="s">
        <v>5839</v>
      </c>
      <c r="B43" t="s">
        <v>5841</v>
      </c>
      <c r="C43">
        <v>2</v>
      </c>
      <c r="D43">
        <v>460</v>
      </c>
      <c r="E43">
        <v>920</v>
      </c>
      <c r="F43">
        <v>460</v>
      </c>
    </row>
    <row r="44" spans="1:6">
      <c r="A44" t="s">
        <v>5839</v>
      </c>
      <c r="B44" t="s">
        <v>5842</v>
      </c>
      <c r="C44">
        <v>2</v>
      </c>
      <c r="D44">
        <v>460</v>
      </c>
      <c r="E44">
        <v>920</v>
      </c>
      <c r="F44">
        <v>460</v>
      </c>
    </row>
    <row r="45" spans="1:6">
      <c r="A45" t="s">
        <v>5839</v>
      </c>
      <c r="B45" t="s">
        <v>5843</v>
      </c>
      <c r="C45">
        <v>2</v>
      </c>
      <c r="D45">
        <v>460</v>
      </c>
      <c r="E45">
        <v>920</v>
      </c>
      <c r="F45">
        <v>460</v>
      </c>
    </row>
    <row r="46" spans="1:6">
      <c r="A46" t="s">
        <v>5839</v>
      </c>
      <c r="B46" t="s">
        <v>5844</v>
      </c>
      <c r="C46">
        <v>2</v>
      </c>
      <c r="D46">
        <v>460</v>
      </c>
      <c r="E46">
        <v>920</v>
      </c>
      <c r="F46">
        <v>460</v>
      </c>
    </row>
    <row r="47" spans="1:6">
      <c r="A47" t="s">
        <v>5846</v>
      </c>
      <c r="B47" t="s">
        <v>918</v>
      </c>
      <c r="C47">
        <v>2</v>
      </c>
      <c r="D47">
        <v>460</v>
      </c>
      <c r="E47">
        <v>920</v>
      </c>
      <c r="F47">
        <v>460</v>
      </c>
    </row>
    <row r="48" spans="1:6">
      <c r="A48" t="s">
        <v>5846</v>
      </c>
      <c r="B48" t="s">
        <v>3980</v>
      </c>
      <c r="C48">
        <v>2</v>
      </c>
      <c r="D48">
        <v>460</v>
      </c>
      <c r="E48">
        <v>920</v>
      </c>
      <c r="F48">
        <v>460</v>
      </c>
    </row>
    <row r="49" spans="1:6">
      <c r="A49" t="s">
        <v>5846</v>
      </c>
      <c r="B49" t="s">
        <v>4253</v>
      </c>
      <c r="C49">
        <v>2</v>
      </c>
      <c r="D49">
        <v>460</v>
      </c>
      <c r="E49">
        <v>920</v>
      </c>
      <c r="F49">
        <v>460</v>
      </c>
    </row>
    <row r="50" spans="1:6">
      <c r="A50" t="s">
        <v>5846</v>
      </c>
      <c r="B50" t="s">
        <v>4257</v>
      </c>
      <c r="C50">
        <v>2</v>
      </c>
      <c r="D50">
        <v>460</v>
      </c>
      <c r="E50">
        <v>920</v>
      </c>
      <c r="F50">
        <v>460</v>
      </c>
    </row>
    <row r="51" spans="1:6">
      <c r="A51" t="s">
        <v>5846</v>
      </c>
      <c r="B51" t="s">
        <v>859</v>
      </c>
      <c r="C51">
        <v>2</v>
      </c>
      <c r="D51">
        <v>460</v>
      </c>
      <c r="E51">
        <v>920</v>
      </c>
      <c r="F51">
        <v>460</v>
      </c>
    </row>
    <row r="52" spans="1:6">
      <c r="A52" t="s">
        <v>5846</v>
      </c>
      <c r="B52" t="s">
        <v>4055</v>
      </c>
      <c r="C52">
        <v>2</v>
      </c>
      <c r="D52">
        <v>460</v>
      </c>
      <c r="E52">
        <v>920</v>
      </c>
      <c r="F52">
        <v>460</v>
      </c>
    </row>
    <row r="53" spans="1:6">
      <c r="A53" t="s">
        <v>5846</v>
      </c>
      <c r="B53" t="s">
        <v>922</v>
      </c>
      <c r="C53">
        <v>2</v>
      </c>
      <c r="D53">
        <v>458</v>
      </c>
      <c r="E53">
        <v>916</v>
      </c>
      <c r="F53">
        <v>458</v>
      </c>
    </row>
    <row r="54" spans="1:6">
      <c r="A54" t="s">
        <v>5846</v>
      </c>
      <c r="B54" t="s">
        <v>901</v>
      </c>
      <c r="C54">
        <v>2</v>
      </c>
      <c r="D54">
        <v>458</v>
      </c>
      <c r="E54">
        <v>916</v>
      </c>
      <c r="F54">
        <v>458</v>
      </c>
    </row>
    <row r="55" spans="1:6">
      <c r="A55" t="s">
        <v>5846</v>
      </c>
      <c r="B55" t="s">
        <v>924</v>
      </c>
      <c r="C55">
        <v>2</v>
      </c>
      <c r="D55">
        <v>458</v>
      </c>
      <c r="E55">
        <v>916</v>
      </c>
      <c r="F55">
        <v>458</v>
      </c>
    </row>
    <row r="56" spans="1:6">
      <c r="A56" t="s">
        <v>5846</v>
      </c>
      <c r="B56" t="s">
        <v>4285</v>
      </c>
      <c r="C56">
        <v>2</v>
      </c>
      <c r="D56">
        <v>458</v>
      </c>
      <c r="E56">
        <v>916</v>
      </c>
      <c r="F56">
        <v>458</v>
      </c>
    </row>
    <row r="57" spans="1:6">
      <c r="A57" t="s">
        <v>5846</v>
      </c>
      <c r="B57" t="s">
        <v>4261</v>
      </c>
      <c r="C57">
        <v>2</v>
      </c>
      <c r="D57">
        <v>460</v>
      </c>
      <c r="E57">
        <v>920</v>
      </c>
      <c r="F57">
        <v>460</v>
      </c>
    </row>
    <row r="58" spans="1:6">
      <c r="A58" t="s">
        <v>5831</v>
      </c>
      <c r="B58" t="s">
        <v>4292</v>
      </c>
      <c r="C58">
        <v>2</v>
      </c>
      <c r="D58">
        <v>458</v>
      </c>
      <c r="E58">
        <v>916</v>
      </c>
      <c r="F58">
        <v>458</v>
      </c>
    </row>
    <row r="59" spans="1:6">
      <c r="A59" t="s">
        <v>5831</v>
      </c>
      <c r="B59" t="s">
        <v>5847</v>
      </c>
      <c r="C59">
        <v>2</v>
      </c>
      <c r="D59">
        <v>458</v>
      </c>
      <c r="E59">
        <v>916</v>
      </c>
      <c r="F59">
        <v>458</v>
      </c>
    </row>
    <row r="60" spans="1:6">
      <c r="A60" t="s">
        <v>5831</v>
      </c>
      <c r="B60" t="s">
        <v>4249</v>
      </c>
      <c r="C60">
        <v>2</v>
      </c>
      <c r="D60">
        <v>460</v>
      </c>
      <c r="E60">
        <v>920</v>
      </c>
      <c r="F60">
        <v>460</v>
      </c>
    </row>
    <row r="61" spans="1:6">
      <c r="A61" t="s">
        <v>5846</v>
      </c>
      <c r="B61" t="s">
        <v>5850</v>
      </c>
      <c r="C61">
        <v>1</v>
      </c>
      <c r="D61">
        <v>460</v>
      </c>
      <c r="E61">
        <v>460</v>
      </c>
      <c r="F61">
        <v>230</v>
      </c>
    </row>
    <row r="62" spans="1:6">
      <c r="A62" t="s">
        <v>5846</v>
      </c>
      <c r="B62" t="s">
        <v>923</v>
      </c>
      <c r="C62">
        <v>1</v>
      </c>
      <c r="D62">
        <v>458</v>
      </c>
      <c r="E62">
        <v>458</v>
      </c>
      <c r="F62">
        <v>229</v>
      </c>
    </row>
    <row r="63" spans="1:6">
      <c r="A63" t="s">
        <v>5846</v>
      </c>
      <c r="B63" t="s">
        <v>4265</v>
      </c>
      <c r="C63">
        <v>2</v>
      </c>
      <c r="D63">
        <v>460</v>
      </c>
      <c r="E63">
        <v>920</v>
      </c>
      <c r="F63">
        <v>460</v>
      </c>
    </row>
    <row r="64" spans="1:6">
      <c r="A64" t="s">
        <v>5828</v>
      </c>
      <c r="B64" t="s">
        <v>905</v>
      </c>
      <c r="C64">
        <v>2</v>
      </c>
      <c r="D64">
        <v>600</v>
      </c>
      <c r="E64">
        <v>1200</v>
      </c>
      <c r="F64">
        <v>600</v>
      </c>
    </row>
    <row r="65" spans="1:6">
      <c r="A65" t="s">
        <v>42</v>
      </c>
      <c r="B65" t="s">
        <v>796</v>
      </c>
      <c r="C65">
        <v>2</v>
      </c>
      <c r="D65">
        <v>458</v>
      </c>
      <c r="E65">
        <v>916</v>
      </c>
      <c r="F65">
        <v>458</v>
      </c>
    </row>
    <row r="66" spans="1:6">
      <c r="A66" t="s">
        <v>42</v>
      </c>
      <c r="B66" t="s">
        <v>798</v>
      </c>
      <c r="C66">
        <v>2</v>
      </c>
      <c r="D66">
        <v>458</v>
      </c>
      <c r="E66">
        <v>916</v>
      </c>
      <c r="F66">
        <v>458</v>
      </c>
    </row>
    <row r="67" spans="1:6">
      <c r="A67" t="s">
        <v>42</v>
      </c>
      <c r="B67" t="s">
        <v>5851</v>
      </c>
      <c r="C67">
        <v>2</v>
      </c>
      <c r="D67">
        <v>458</v>
      </c>
      <c r="E67">
        <v>916</v>
      </c>
      <c r="F67">
        <v>458</v>
      </c>
    </row>
    <row r="68" spans="1:6">
      <c r="A68" t="s">
        <v>42</v>
      </c>
      <c r="B68" t="s">
        <v>802</v>
      </c>
      <c r="C68">
        <v>2</v>
      </c>
      <c r="D68">
        <v>458</v>
      </c>
      <c r="E68">
        <v>916</v>
      </c>
      <c r="F68">
        <v>458</v>
      </c>
    </row>
    <row r="69" spans="1:6">
      <c r="A69" t="s">
        <v>807</v>
      </c>
      <c r="B69" t="s">
        <v>812</v>
      </c>
      <c r="C69">
        <v>2</v>
      </c>
      <c r="D69">
        <v>458</v>
      </c>
      <c r="E69">
        <v>916</v>
      </c>
      <c r="F69">
        <v>458</v>
      </c>
    </row>
    <row r="70" spans="1:6">
      <c r="A70" t="s">
        <v>5794</v>
      </c>
      <c r="B70" t="s">
        <v>821</v>
      </c>
      <c r="C70">
        <v>2</v>
      </c>
      <c r="D70">
        <v>458</v>
      </c>
      <c r="E70">
        <v>916</v>
      </c>
      <c r="F70">
        <v>458</v>
      </c>
    </row>
    <row r="71" spans="1:6">
      <c r="A71" t="s">
        <v>807</v>
      </c>
      <c r="B71" t="s">
        <v>816</v>
      </c>
      <c r="C71">
        <v>2</v>
      </c>
      <c r="D71">
        <v>460</v>
      </c>
      <c r="E71">
        <v>920</v>
      </c>
      <c r="F71">
        <v>460</v>
      </c>
    </row>
    <row r="72" spans="1:6">
      <c r="A72" t="s">
        <v>822</v>
      </c>
      <c r="B72" t="s">
        <v>5852</v>
      </c>
      <c r="C72">
        <v>2</v>
      </c>
      <c r="D72">
        <v>460</v>
      </c>
      <c r="E72">
        <v>920</v>
      </c>
      <c r="F72">
        <v>460</v>
      </c>
    </row>
    <row r="73" spans="1:6">
      <c r="A73" t="s">
        <v>822</v>
      </c>
      <c r="B73" t="s">
        <v>5853</v>
      </c>
      <c r="C73">
        <v>2</v>
      </c>
      <c r="D73">
        <v>458</v>
      </c>
      <c r="E73">
        <v>916</v>
      </c>
      <c r="F73">
        <v>458</v>
      </c>
    </row>
    <row r="74" spans="1:6">
      <c r="A74" t="s">
        <v>822</v>
      </c>
      <c r="B74" t="s">
        <v>5854</v>
      </c>
      <c r="C74">
        <v>2</v>
      </c>
      <c r="D74">
        <v>458</v>
      </c>
      <c r="E74">
        <v>916</v>
      </c>
      <c r="F74">
        <v>458</v>
      </c>
    </row>
    <row r="75" spans="1:6">
      <c r="A75" t="s">
        <v>834</v>
      </c>
      <c r="B75" t="s">
        <v>837</v>
      </c>
      <c r="C75">
        <v>2</v>
      </c>
      <c r="D75">
        <v>458</v>
      </c>
      <c r="E75">
        <v>916</v>
      </c>
      <c r="F75">
        <v>458</v>
      </c>
    </row>
    <row r="76" spans="1:6">
      <c r="A76" t="s">
        <v>834</v>
      </c>
      <c r="B76" t="s">
        <v>839</v>
      </c>
      <c r="C76">
        <v>1</v>
      </c>
      <c r="D76">
        <v>460</v>
      </c>
      <c r="E76">
        <v>460</v>
      </c>
      <c r="F76">
        <v>230</v>
      </c>
    </row>
    <row r="77" spans="1:6">
      <c r="A77" t="s">
        <v>842</v>
      </c>
      <c r="B77" t="s">
        <v>847</v>
      </c>
      <c r="C77">
        <v>2</v>
      </c>
      <c r="D77">
        <v>458</v>
      </c>
      <c r="E77">
        <v>916</v>
      </c>
      <c r="F77">
        <v>458</v>
      </c>
    </row>
    <row r="78" spans="1:6">
      <c r="A78" t="s">
        <v>842</v>
      </c>
      <c r="B78" t="s">
        <v>851</v>
      </c>
      <c r="C78">
        <v>2</v>
      </c>
      <c r="D78">
        <v>458</v>
      </c>
      <c r="E78">
        <v>916</v>
      </c>
      <c r="F78">
        <v>458</v>
      </c>
    </row>
    <row r="79" spans="1:6">
      <c r="A79" t="s">
        <v>842</v>
      </c>
      <c r="B79" t="s">
        <v>868</v>
      </c>
      <c r="C79">
        <v>2</v>
      </c>
      <c r="D79">
        <v>458</v>
      </c>
      <c r="E79">
        <v>916</v>
      </c>
      <c r="F79">
        <v>458</v>
      </c>
    </row>
    <row r="80" spans="1:6">
      <c r="A80" t="s">
        <v>5855</v>
      </c>
      <c r="B80" t="s">
        <v>911</v>
      </c>
      <c r="C80">
        <v>2</v>
      </c>
      <c r="D80">
        <v>458</v>
      </c>
      <c r="E80">
        <v>916</v>
      </c>
      <c r="F80">
        <v>458</v>
      </c>
    </row>
    <row r="81" spans="1:6">
      <c r="A81" t="s">
        <v>5855</v>
      </c>
      <c r="B81" t="s">
        <v>915</v>
      </c>
      <c r="C81">
        <v>2</v>
      </c>
      <c r="D81">
        <v>458</v>
      </c>
      <c r="E81">
        <v>916</v>
      </c>
      <c r="F81">
        <v>458</v>
      </c>
    </row>
    <row r="82" spans="1:6">
      <c r="A82" t="s">
        <v>5855</v>
      </c>
      <c r="B82" t="s">
        <v>869</v>
      </c>
      <c r="C82">
        <v>2</v>
      </c>
      <c r="D82">
        <v>460</v>
      </c>
      <c r="E82">
        <v>920</v>
      </c>
      <c r="F82">
        <v>460</v>
      </c>
    </row>
    <row r="83" spans="1:6">
      <c r="A83" t="s">
        <v>5855</v>
      </c>
      <c r="B83" t="s">
        <v>51</v>
      </c>
      <c r="C83">
        <v>2</v>
      </c>
      <c r="D83">
        <v>458</v>
      </c>
      <c r="E83">
        <v>916</v>
      </c>
      <c r="F83">
        <v>458</v>
      </c>
    </row>
    <row r="84" spans="1:6">
      <c r="A84" t="s">
        <v>5855</v>
      </c>
      <c r="B84" t="s">
        <v>916</v>
      </c>
      <c r="C84">
        <v>2</v>
      </c>
      <c r="D84">
        <v>460</v>
      </c>
      <c r="E84">
        <v>920</v>
      </c>
      <c r="F84">
        <v>460</v>
      </c>
    </row>
    <row r="85" spans="1:6">
      <c r="A85" t="s">
        <v>5855</v>
      </c>
      <c r="B85" t="s">
        <v>917</v>
      </c>
      <c r="C85">
        <v>2</v>
      </c>
      <c r="D85">
        <v>460</v>
      </c>
      <c r="E85">
        <v>920</v>
      </c>
      <c r="F85">
        <v>460</v>
      </c>
    </row>
    <row r="86" spans="1:6">
      <c r="A86" t="s">
        <v>345</v>
      </c>
      <c r="B86" t="s">
        <v>888</v>
      </c>
      <c r="C86">
        <v>2</v>
      </c>
      <c r="D86">
        <v>458</v>
      </c>
      <c r="E86">
        <v>916</v>
      </c>
      <c r="F86">
        <v>458</v>
      </c>
    </row>
    <row r="87" spans="1:6">
      <c r="A87" t="s">
        <v>5838</v>
      </c>
      <c r="B87" t="s">
        <v>926</v>
      </c>
      <c r="C87">
        <v>2</v>
      </c>
      <c r="D87">
        <v>458</v>
      </c>
      <c r="E87">
        <v>916</v>
      </c>
      <c r="F87">
        <v>458</v>
      </c>
    </row>
    <row r="88" spans="1:6">
      <c r="A88" t="s">
        <v>5856</v>
      </c>
      <c r="B88" t="s">
        <v>861</v>
      </c>
      <c r="C88">
        <v>2</v>
      </c>
      <c r="D88">
        <v>460</v>
      </c>
      <c r="E88">
        <v>920</v>
      </c>
      <c r="F88">
        <v>460</v>
      </c>
    </row>
    <row r="89" spans="1:6">
      <c r="A89" t="s">
        <v>5856</v>
      </c>
      <c r="B89" t="s">
        <v>907</v>
      </c>
      <c r="C89">
        <v>2</v>
      </c>
      <c r="D89">
        <v>460</v>
      </c>
      <c r="E89">
        <v>920</v>
      </c>
      <c r="F89">
        <v>460</v>
      </c>
    </row>
    <row r="90" spans="1:6">
      <c r="A90" t="s">
        <v>5856</v>
      </c>
      <c r="B90" t="s">
        <v>3459</v>
      </c>
      <c r="C90">
        <v>2</v>
      </c>
      <c r="D90">
        <v>460</v>
      </c>
      <c r="E90">
        <v>920</v>
      </c>
      <c r="F90">
        <v>460</v>
      </c>
    </row>
    <row r="91" spans="1:6">
      <c r="A91" t="s">
        <v>5856</v>
      </c>
      <c r="B91" t="s">
        <v>3266</v>
      </c>
      <c r="C91">
        <v>2</v>
      </c>
      <c r="D91">
        <v>460</v>
      </c>
      <c r="E91">
        <v>920</v>
      </c>
      <c r="F91">
        <v>460</v>
      </c>
    </row>
    <row r="92" spans="1:6">
      <c r="A92" t="s">
        <v>5856</v>
      </c>
      <c r="B92" t="s">
        <v>5857</v>
      </c>
      <c r="C92">
        <v>2</v>
      </c>
      <c r="D92">
        <v>460</v>
      </c>
      <c r="E92">
        <v>920</v>
      </c>
      <c r="F92">
        <v>460</v>
      </c>
    </row>
    <row r="93" spans="1:6">
      <c r="A93" t="s">
        <v>5856</v>
      </c>
      <c r="B93" t="s">
        <v>3624</v>
      </c>
      <c r="C93">
        <v>2</v>
      </c>
      <c r="D93">
        <v>460</v>
      </c>
      <c r="E93">
        <v>920</v>
      </c>
      <c r="F93">
        <v>460</v>
      </c>
    </row>
    <row r="94" spans="1:6">
      <c r="A94" t="s">
        <v>5856</v>
      </c>
      <c r="B94" t="s">
        <v>3608</v>
      </c>
      <c r="C94">
        <v>2</v>
      </c>
      <c r="D94">
        <v>458</v>
      </c>
      <c r="E94">
        <v>916</v>
      </c>
      <c r="F94">
        <v>458</v>
      </c>
    </row>
    <row r="95" spans="1:6">
      <c r="A95" t="s">
        <v>5856</v>
      </c>
      <c r="B95" t="s">
        <v>3612</v>
      </c>
      <c r="C95">
        <v>2</v>
      </c>
      <c r="D95">
        <v>460</v>
      </c>
      <c r="E95">
        <v>920</v>
      </c>
      <c r="F95">
        <v>460</v>
      </c>
    </row>
    <row r="96" spans="1:6">
      <c r="A96" t="s">
        <v>5856</v>
      </c>
      <c r="B96" t="s">
        <v>864</v>
      </c>
      <c r="C96">
        <v>2</v>
      </c>
      <c r="D96">
        <v>460</v>
      </c>
      <c r="E96">
        <v>920</v>
      </c>
      <c r="F96">
        <v>460</v>
      </c>
    </row>
    <row r="97" spans="1:6">
      <c r="A97" t="s">
        <v>5858</v>
      </c>
      <c r="B97" t="s">
        <v>2119</v>
      </c>
      <c r="C97">
        <v>2</v>
      </c>
      <c r="D97">
        <v>460</v>
      </c>
      <c r="E97">
        <v>920</v>
      </c>
      <c r="F97">
        <v>460</v>
      </c>
    </row>
    <row r="98" spans="1:6">
      <c r="A98" t="s">
        <v>5858</v>
      </c>
      <c r="B98" t="s">
        <v>3604</v>
      </c>
      <c r="C98">
        <v>2</v>
      </c>
      <c r="D98">
        <v>458</v>
      </c>
      <c r="E98">
        <v>916</v>
      </c>
      <c r="F98">
        <v>458</v>
      </c>
    </row>
    <row r="99" spans="1:6">
      <c r="A99" t="s">
        <v>5858</v>
      </c>
      <c r="B99" t="s">
        <v>3389</v>
      </c>
      <c r="C99">
        <v>2</v>
      </c>
      <c r="D99">
        <v>460</v>
      </c>
      <c r="E99">
        <v>920</v>
      </c>
      <c r="F99">
        <v>460</v>
      </c>
    </row>
    <row r="100" spans="1:6">
      <c r="A100" t="s">
        <v>5858</v>
      </c>
      <c r="B100" t="s">
        <v>5859</v>
      </c>
      <c r="C100">
        <v>2</v>
      </c>
      <c r="D100">
        <v>460</v>
      </c>
      <c r="E100">
        <v>920</v>
      </c>
      <c r="F100">
        <v>460</v>
      </c>
    </row>
    <row r="101" spans="1:6">
      <c r="A101" t="s">
        <v>5858</v>
      </c>
      <c r="B101" t="s">
        <v>3634</v>
      </c>
      <c r="C101">
        <v>2</v>
      </c>
      <c r="D101">
        <v>458</v>
      </c>
      <c r="E101">
        <v>916</v>
      </c>
      <c r="F101">
        <v>458</v>
      </c>
    </row>
    <row r="102" spans="1:6">
      <c r="A102" t="s">
        <v>5858</v>
      </c>
      <c r="B102" t="s">
        <v>5860</v>
      </c>
      <c r="C102">
        <v>2</v>
      </c>
      <c r="D102">
        <v>458</v>
      </c>
      <c r="E102">
        <v>916</v>
      </c>
      <c r="F102">
        <v>458</v>
      </c>
    </row>
    <row r="103" spans="1:6">
      <c r="A103" t="s">
        <v>5858</v>
      </c>
      <c r="B103" t="s">
        <v>927</v>
      </c>
      <c r="C103">
        <v>2</v>
      </c>
      <c r="D103">
        <v>460</v>
      </c>
      <c r="E103">
        <v>920</v>
      </c>
      <c r="F103">
        <v>460</v>
      </c>
    </row>
    <row r="104" spans="1:6">
      <c r="A104" t="s">
        <v>5858</v>
      </c>
      <c r="B104" t="s">
        <v>914</v>
      </c>
      <c r="C104">
        <v>2</v>
      </c>
      <c r="D104">
        <v>458</v>
      </c>
      <c r="E104">
        <v>916</v>
      </c>
      <c r="F104">
        <v>458</v>
      </c>
    </row>
    <row r="105" spans="1:6">
      <c r="A105" t="s">
        <v>5858</v>
      </c>
      <c r="B105" t="s">
        <v>3301</v>
      </c>
      <c r="C105">
        <v>2</v>
      </c>
      <c r="D105">
        <v>458</v>
      </c>
      <c r="E105">
        <v>916</v>
      </c>
      <c r="F105">
        <v>458</v>
      </c>
    </row>
    <row r="106" spans="1:6">
      <c r="A106" t="s">
        <v>5858</v>
      </c>
      <c r="B106" t="s">
        <v>928</v>
      </c>
      <c r="C106">
        <v>2</v>
      </c>
      <c r="D106">
        <v>458</v>
      </c>
      <c r="E106">
        <v>916</v>
      </c>
      <c r="F106">
        <v>458</v>
      </c>
    </row>
    <row r="107" spans="1:6">
      <c r="A107" t="s">
        <v>5858</v>
      </c>
      <c r="B107" t="s">
        <v>3240</v>
      </c>
      <c r="C107">
        <v>2</v>
      </c>
      <c r="D107">
        <v>460</v>
      </c>
      <c r="E107">
        <v>920</v>
      </c>
      <c r="F107">
        <v>460</v>
      </c>
    </row>
    <row r="108" spans="1:6">
      <c r="A108" t="s">
        <v>5858</v>
      </c>
      <c r="B108" t="s">
        <v>5862</v>
      </c>
      <c r="C108">
        <v>2</v>
      </c>
      <c r="D108">
        <v>460</v>
      </c>
      <c r="E108">
        <v>920</v>
      </c>
      <c r="F108">
        <v>460</v>
      </c>
    </row>
    <row r="109" spans="1:6">
      <c r="A109" t="s">
        <v>5863</v>
      </c>
      <c r="B109" t="s">
        <v>878</v>
      </c>
      <c r="C109">
        <v>2</v>
      </c>
      <c r="D109">
        <v>460</v>
      </c>
      <c r="E109">
        <v>920</v>
      </c>
      <c r="F109">
        <v>460</v>
      </c>
    </row>
    <row r="110" spans="1:6">
      <c r="A110" t="s">
        <v>5864</v>
      </c>
      <c r="B110" t="s">
        <v>879</v>
      </c>
      <c r="C110">
        <v>2</v>
      </c>
      <c r="D110">
        <v>460</v>
      </c>
      <c r="E110">
        <v>920</v>
      </c>
      <c r="F110">
        <v>460</v>
      </c>
    </row>
    <row r="111" spans="1:6">
      <c r="A111" t="s">
        <v>881</v>
      </c>
      <c r="B111" t="s">
        <v>882</v>
      </c>
      <c r="C111">
        <v>2</v>
      </c>
      <c r="D111">
        <v>460</v>
      </c>
      <c r="E111">
        <v>920</v>
      </c>
      <c r="F111">
        <v>460</v>
      </c>
    </row>
    <row r="112" spans="1:6">
      <c r="A112" t="s">
        <v>881</v>
      </c>
      <c r="B112" t="s">
        <v>5865</v>
      </c>
      <c r="C112">
        <v>2</v>
      </c>
      <c r="D112">
        <v>460</v>
      </c>
      <c r="E112">
        <v>920</v>
      </c>
      <c r="F112">
        <v>460</v>
      </c>
    </row>
    <row r="113" spans="1:6">
      <c r="A113" t="s">
        <v>881</v>
      </c>
      <c r="B113" t="s">
        <v>3448</v>
      </c>
      <c r="C113">
        <v>2</v>
      </c>
      <c r="D113">
        <v>458</v>
      </c>
      <c r="E113">
        <v>916</v>
      </c>
      <c r="F113">
        <v>458</v>
      </c>
    </row>
    <row r="114" spans="1:6">
      <c r="A114" t="s">
        <v>881</v>
      </c>
      <c r="B114" t="s">
        <v>3669</v>
      </c>
      <c r="C114">
        <v>2</v>
      </c>
      <c r="D114">
        <v>458</v>
      </c>
      <c r="E114">
        <v>916</v>
      </c>
      <c r="F114">
        <v>458</v>
      </c>
    </row>
    <row r="115" spans="1:6">
      <c r="A115" t="s">
        <v>881</v>
      </c>
      <c r="B115" t="s">
        <v>884</v>
      </c>
      <c r="C115">
        <v>2</v>
      </c>
      <c r="D115">
        <v>458</v>
      </c>
      <c r="E115">
        <v>916</v>
      </c>
      <c r="F115">
        <v>458</v>
      </c>
    </row>
    <row r="116" spans="1:6">
      <c r="A116" t="s">
        <v>881</v>
      </c>
      <c r="B116" t="s">
        <v>3676</v>
      </c>
      <c r="C116">
        <v>2</v>
      </c>
      <c r="D116">
        <v>460</v>
      </c>
      <c r="E116">
        <v>920</v>
      </c>
      <c r="F116">
        <v>460</v>
      </c>
    </row>
    <row r="117" spans="1:6">
      <c r="A117" t="s">
        <v>891</v>
      </c>
      <c r="B117" t="s">
        <v>889</v>
      </c>
      <c r="C117">
        <v>2</v>
      </c>
      <c r="D117">
        <v>460</v>
      </c>
      <c r="E117">
        <v>920</v>
      </c>
      <c r="F117">
        <v>460</v>
      </c>
    </row>
    <row r="118" spans="1:6">
      <c r="A118" t="s">
        <v>891</v>
      </c>
      <c r="B118" t="s">
        <v>3687</v>
      </c>
      <c r="C118">
        <v>2</v>
      </c>
      <c r="D118">
        <v>460</v>
      </c>
      <c r="E118">
        <v>920</v>
      </c>
      <c r="F118">
        <v>460</v>
      </c>
    </row>
    <row r="119" spans="1:6">
      <c r="A119" t="s">
        <v>891</v>
      </c>
      <c r="B119" t="s">
        <v>3692</v>
      </c>
      <c r="C119">
        <v>2</v>
      </c>
      <c r="D119">
        <v>458</v>
      </c>
      <c r="E119">
        <v>916</v>
      </c>
      <c r="F119">
        <v>458</v>
      </c>
    </row>
    <row r="120" spans="1:6">
      <c r="A120" t="s">
        <v>891</v>
      </c>
      <c r="B120" t="s">
        <v>892</v>
      </c>
      <c r="C120">
        <v>2</v>
      </c>
      <c r="D120">
        <v>460</v>
      </c>
      <c r="E120">
        <v>920</v>
      </c>
      <c r="F120">
        <v>460</v>
      </c>
    </row>
    <row r="121" spans="1:6">
      <c r="A121" t="s">
        <v>891</v>
      </c>
      <c r="B121" t="s">
        <v>3699</v>
      </c>
      <c r="C121">
        <v>2</v>
      </c>
      <c r="D121">
        <v>460</v>
      </c>
      <c r="E121">
        <v>920</v>
      </c>
      <c r="F121">
        <v>460</v>
      </c>
    </row>
    <row r="122" spans="1:6">
      <c r="A122" t="s">
        <v>893</v>
      </c>
      <c r="B122" t="s">
        <v>3906</v>
      </c>
      <c r="C122">
        <v>2</v>
      </c>
      <c r="D122">
        <v>460</v>
      </c>
      <c r="E122">
        <v>920</v>
      </c>
      <c r="F122">
        <v>460</v>
      </c>
    </row>
    <row r="123" spans="1:6">
      <c r="A123" t="s">
        <v>893</v>
      </c>
      <c r="B123" t="s">
        <v>5866</v>
      </c>
      <c r="C123">
        <v>2</v>
      </c>
      <c r="D123">
        <v>460</v>
      </c>
      <c r="E123">
        <v>920</v>
      </c>
      <c r="F123">
        <v>460</v>
      </c>
    </row>
    <row r="124" spans="1:6">
      <c r="A124" t="s">
        <v>893</v>
      </c>
      <c r="B124" t="s">
        <v>3252</v>
      </c>
      <c r="C124">
        <v>2</v>
      </c>
      <c r="D124">
        <v>460</v>
      </c>
      <c r="E124">
        <v>920</v>
      </c>
      <c r="F124">
        <v>460</v>
      </c>
    </row>
    <row r="125" spans="1:6">
      <c r="A125" t="s">
        <v>893</v>
      </c>
      <c r="B125" t="s">
        <v>894</v>
      </c>
      <c r="C125">
        <v>2</v>
      </c>
      <c r="D125">
        <v>460</v>
      </c>
      <c r="E125">
        <v>920</v>
      </c>
      <c r="F125">
        <v>460</v>
      </c>
    </row>
    <row r="126" spans="1:6">
      <c r="A126" t="s">
        <v>893</v>
      </c>
      <c r="B126" t="s">
        <v>3717</v>
      </c>
      <c r="C126">
        <v>2</v>
      </c>
      <c r="D126">
        <v>460</v>
      </c>
      <c r="E126">
        <v>920</v>
      </c>
      <c r="F126">
        <v>460</v>
      </c>
    </row>
    <row r="127" spans="1:6">
      <c r="A127" t="s">
        <v>895</v>
      </c>
      <c r="B127" t="s">
        <v>896</v>
      </c>
      <c r="C127">
        <v>2</v>
      </c>
      <c r="D127">
        <v>460</v>
      </c>
      <c r="E127">
        <v>920</v>
      </c>
      <c r="F127">
        <v>460</v>
      </c>
    </row>
    <row r="128" spans="1:6">
      <c r="A128" t="s">
        <v>895</v>
      </c>
      <c r="B128" t="s">
        <v>3489</v>
      </c>
      <c r="C128">
        <v>2</v>
      </c>
      <c r="D128">
        <v>460</v>
      </c>
      <c r="E128">
        <v>920</v>
      </c>
      <c r="F128">
        <v>460</v>
      </c>
    </row>
    <row r="129" spans="1:6">
      <c r="A129" t="s">
        <v>895</v>
      </c>
      <c r="B129" t="s">
        <v>3493</v>
      </c>
      <c r="C129">
        <v>2</v>
      </c>
      <c r="D129">
        <v>460</v>
      </c>
      <c r="E129">
        <v>920</v>
      </c>
      <c r="F129">
        <v>460</v>
      </c>
    </row>
    <row r="130" spans="1:6">
      <c r="A130" t="s">
        <v>895</v>
      </c>
      <c r="B130" t="s">
        <v>5867</v>
      </c>
      <c r="C130">
        <v>2</v>
      </c>
      <c r="D130">
        <v>460</v>
      </c>
      <c r="E130">
        <v>920</v>
      </c>
      <c r="F130">
        <v>460</v>
      </c>
    </row>
    <row r="131" spans="1:6">
      <c r="A131" t="s">
        <v>895</v>
      </c>
      <c r="B131" t="s">
        <v>3471</v>
      </c>
      <c r="C131">
        <v>2</v>
      </c>
      <c r="D131">
        <v>458</v>
      </c>
      <c r="E131">
        <v>916</v>
      </c>
      <c r="F131">
        <v>458</v>
      </c>
    </row>
    <row r="132" spans="1:6">
      <c r="A132" t="s">
        <v>897</v>
      </c>
      <c r="B132" t="s">
        <v>898</v>
      </c>
      <c r="C132">
        <v>2</v>
      </c>
      <c r="D132">
        <v>460</v>
      </c>
      <c r="E132">
        <v>920</v>
      </c>
      <c r="F132">
        <v>460</v>
      </c>
    </row>
    <row r="133" spans="1:6">
      <c r="A133" t="s">
        <v>897</v>
      </c>
      <c r="B133" t="s">
        <v>3475</v>
      </c>
      <c r="C133">
        <v>2</v>
      </c>
      <c r="D133">
        <v>460</v>
      </c>
      <c r="E133">
        <v>920</v>
      </c>
      <c r="F133">
        <v>460</v>
      </c>
    </row>
    <row r="134" spans="1:6">
      <c r="A134" t="s">
        <v>897</v>
      </c>
      <c r="B134" t="s">
        <v>3479</v>
      </c>
      <c r="C134">
        <v>2</v>
      </c>
      <c r="D134">
        <v>460</v>
      </c>
      <c r="E134">
        <v>920</v>
      </c>
      <c r="F134">
        <v>460</v>
      </c>
    </row>
    <row r="135" spans="1:6">
      <c r="A135" t="s">
        <v>897</v>
      </c>
      <c r="B135" t="s">
        <v>3209</v>
      </c>
      <c r="C135">
        <v>2</v>
      </c>
      <c r="D135">
        <v>460</v>
      </c>
      <c r="E135">
        <v>920</v>
      </c>
      <c r="F135">
        <v>460</v>
      </c>
    </row>
    <row r="136" spans="1:6">
      <c r="A136" t="s">
        <v>891</v>
      </c>
      <c r="B136" t="s">
        <v>5868</v>
      </c>
      <c r="C136">
        <v>1</v>
      </c>
      <c r="D136">
        <v>460</v>
      </c>
      <c r="E136">
        <v>460</v>
      </c>
      <c r="F136">
        <v>230</v>
      </c>
    </row>
    <row r="137" spans="1:6">
      <c r="A137" t="s">
        <v>893</v>
      </c>
      <c r="B137" t="s">
        <v>3721</v>
      </c>
      <c r="C137">
        <v>1</v>
      </c>
      <c r="D137">
        <v>460</v>
      </c>
      <c r="E137">
        <v>460</v>
      </c>
      <c r="F137">
        <v>230</v>
      </c>
    </row>
    <row r="138" spans="1:6">
      <c r="A138" t="s">
        <v>35</v>
      </c>
      <c r="B138" t="s">
        <v>37</v>
      </c>
      <c r="C138">
        <v>2</v>
      </c>
      <c r="D138">
        <v>600</v>
      </c>
      <c r="E138">
        <v>1200</v>
      </c>
      <c r="F138">
        <v>600</v>
      </c>
    </row>
    <row r="139" spans="1:6">
      <c r="A139" t="s">
        <v>35</v>
      </c>
      <c r="B139" t="s">
        <v>36</v>
      </c>
      <c r="C139">
        <v>2</v>
      </c>
      <c r="D139">
        <v>600</v>
      </c>
      <c r="E139">
        <v>1200</v>
      </c>
      <c r="F139">
        <v>600</v>
      </c>
    </row>
    <row r="140" spans="1:6">
      <c r="A140" t="s">
        <v>5869</v>
      </c>
      <c r="B140" t="s">
        <v>3257</v>
      </c>
      <c r="C140">
        <v>2</v>
      </c>
      <c r="D140">
        <v>600</v>
      </c>
      <c r="E140">
        <v>1200</v>
      </c>
      <c r="F140">
        <v>600</v>
      </c>
    </row>
    <row r="141" spans="1:6">
      <c r="A141" t="s">
        <v>35</v>
      </c>
      <c r="B141" t="s">
        <v>196</v>
      </c>
      <c r="C141">
        <v>2</v>
      </c>
      <c r="D141">
        <v>458</v>
      </c>
      <c r="E141">
        <v>916</v>
      </c>
      <c r="F141">
        <v>458</v>
      </c>
    </row>
    <row r="142" spans="1:6">
      <c r="A142" t="s">
        <v>42</v>
      </c>
      <c r="B142" t="s">
        <v>804</v>
      </c>
      <c r="C142">
        <v>2</v>
      </c>
      <c r="D142">
        <v>458</v>
      </c>
      <c r="E142">
        <v>916</v>
      </c>
      <c r="F142">
        <v>458</v>
      </c>
    </row>
    <row r="143" spans="1:6">
      <c r="A143" t="s">
        <v>42</v>
      </c>
      <c r="B143" t="s">
        <v>801</v>
      </c>
      <c r="C143">
        <v>2</v>
      </c>
      <c r="D143">
        <v>458</v>
      </c>
      <c r="E143">
        <v>916</v>
      </c>
      <c r="F143">
        <v>458</v>
      </c>
    </row>
    <row r="144" spans="1:6">
      <c r="A144" t="s">
        <v>42</v>
      </c>
      <c r="B144" t="s">
        <v>44</v>
      </c>
      <c r="C144">
        <v>2</v>
      </c>
      <c r="D144">
        <v>458</v>
      </c>
      <c r="E144">
        <v>916</v>
      </c>
      <c r="F144">
        <v>458</v>
      </c>
    </row>
    <row r="145" spans="1:6">
      <c r="A145" t="s">
        <v>587</v>
      </c>
      <c r="B145" t="s">
        <v>77</v>
      </c>
      <c r="C145">
        <v>2</v>
      </c>
      <c r="D145">
        <v>458</v>
      </c>
      <c r="E145">
        <v>916</v>
      </c>
      <c r="F145">
        <v>458</v>
      </c>
    </row>
    <row r="146" spans="1:6">
      <c r="A146" t="s">
        <v>587</v>
      </c>
      <c r="B146" t="s">
        <v>78</v>
      </c>
      <c r="C146">
        <v>2</v>
      </c>
      <c r="D146">
        <v>458</v>
      </c>
      <c r="E146">
        <v>916</v>
      </c>
      <c r="F146">
        <v>458</v>
      </c>
    </row>
    <row r="147" spans="1:6">
      <c r="A147" t="s">
        <v>587</v>
      </c>
      <c r="B147" t="s">
        <v>80</v>
      </c>
      <c r="C147">
        <v>2</v>
      </c>
      <c r="D147">
        <v>458</v>
      </c>
      <c r="E147">
        <v>916</v>
      </c>
      <c r="F147">
        <v>458</v>
      </c>
    </row>
    <row r="148" spans="1:6">
      <c r="A148" t="s">
        <v>587</v>
      </c>
      <c r="B148" t="s">
        <v>3422</v>
      </c>
      <c r="C148">
        <v>2</v>
      </c>
      <c r="D148">
        <v>458</v>
      </c>
      <c r="E148">
        <v>916</v>
      </c>
      <c r="F148">
        <v>458</v>
      </c>
    </row>
    <row r="149" spans="1:6">
      <c r="A149" t="s">
        <v>587</v>
      </c>
      <c r="B149" t="s">
        <v>81</v>
      </c>
      <c r="C149">
        <v>2</v>
      </c>
      <c r="D149">
        <v>458</v>
      </c>
      <c r="E149">
        <v>916</v>
      </c>
      <c r="F149">
        <v>458</v>
      </c>
    </row>
    <row r="150" spans="1:6">
      <c r="A150" t="s">
        <v>587</v>
      </c>
      <c r="B150" t="s">
        <v>79</v>
      </c>
      <c r="C150">
        <v>2</v>
      </c>
      <c r="D150">
        <v>458</v>
      </c>
      <c r="E150">
        <v>916</v>
      </c>
      <c r="F150">
        <v>458</v>
      </c>
    </row>
    <row r="151" spans="1:6">
      <c r="A151" t="s">
        <v>587</v>
      </c>
      <c r="B151" t="s">
        <v>88</v>
      </c>
      <c r="C151">
        <v>2</v>
      </c>
      <c r="D151">
        <v>458</v>
      </c>
      <c r="E151">
        <v>916</v>
      </c>
      <c r="F151">
        <v>458</v>
      </c>
    </row>
    <row r="152" spans="1:6">
      <c r="A152" t="s">
        <v>587</v>
      </c>
      <c r="B152" t="s">
        <v>5870</v>
      </c>
      <c r="C152">
        <v>2</v>
      </c>
      <c r="D152">
        <v>458</v>
      </c>
      <c r="E152">
        <v>916</v>
      </c>
      <c r="F152">
        <v>458</v>
      </c>
    </row>
    <row r="153" spans="1:6">
      <c r="A153" t="s">
        <v>5871</v>
      </c>
      <c r="B153" t="s">
        <v>60</v>
      </c>
      <c r="C153">
        <v>2</v>
      </c>
      <c r="D153">
        <v>460</v>
      </c>
      <c r="E153">
        <v>920</v>
      </c>
      <c r="F153">
        <v>460</v>
      </c>
    </row>
    <row r="154" spans="1:6">
      <c r="A154" t="s">
        <v>5871</v>
      </c>
      <c r="B154" t="s">
        <v>212</v>
      </c>
      <c r="C154">
        <v>2</v>
      </c>
      <c r="D154">
        <v>460</v>
      </c>
      <c r="E154">
        <v>920</v>
      </c>
      <c r="F154">
        <v>460</v>
      </c>
    </row>
    <row r="155" spans="1:6">
      <c r="A155" t="s">
        <v>5871</v>
      </c>
      <c r="B155" t="s">
        <v>76</v>
      </c>
      <c r="C155">
        <v>2</v>
      </c>
      <c r="D155">
        <v>460</v>
      </c>
      <c r="E155">
        <v>920</v>
      </c>
      <c r="F155">
        <v>460</v>
      </c>
    </row>
    <row r="156" spans="1:6">
      <c r="A156" t="s">
        <v>5871</v>
      </c>
      <c r="B156" t="s">
        <v>45</v>
      </c>
      <c r="C156">
        <v>2</v>
      </c>
      <c r="D156">
        <v>458</v>
      </c>
      <c r="E156">
        <v>916</v>
      </c>
      <c r="F156">
        <v>458</v>
      </c>
    </row>
    <row r="157" spans="1:6">
      <c r="A157" t="s">
        <v>5871</v>
      </c>
      <c r="B157" t="s">
        <v>5872</v>
      </c>
      <c r="C157">
        <v>2</v>
      </c>
      <c r="D157">
        <v>460</v>
      </c>
      <c r="E157">
        <v>920</v>
      </c>
      <c r="F157">
        <v>460</v>
      </c>
    </row>
    <row r="158" spans="1:6">
      <c r="A158" t="s">
        <v>5871</v>
      </c>
      <c r="B158" t="s">
        <v>514</v>
      </c>
      <c r="C158">
        <v>2</v>
      </c>
      <c r="D158">
        <v>458</v>
      </c>
      <c r="E158">
        <v>916</v>
      </c>
      <c r="F158">
        <v>458</v>
      </c>
    </row>
    <row r="159" spans="1:6">
      <c r="A159" t="s">
        <v>5871</v>
      </c>
      <c r="B159" t="s">
        <v>67</v>
      </c>
      <c r="C159">
        <v>2</v>
      </c>
      <c r="D159">
        <v>460</v>
      </c>
      <c r="E159">
        <v>920</v>
      </c>
      <c r="F159">
        <v>460</v>
      </c>
    </row>
    <row r="160" spans="1:6">
      <c r="A160" t="s">
        <v>5871</v>
      </c>
      <c r="B160" t="s">
        <v>5873</v>
      </c>
      <c r="C160">
        <v>2</v>
      </c>
      <c r="D160">
        <v>460</v>
      </c>
      <c r="E160">
        <v>920</v>
      </c>
      <c r="F160">
        <v>460</v>
      </c>
    </row>
    <row r="161" spans="1:6">
      <c r="A161" t="s">
        <v>5871</v>
      </c>
      <c r="B161" t="s">
        <v>63</v>
      </c>
      <c r="C161">
        <v>2</v>
      </c>
      <c r="D161">
        <v>460</v>
      </c>
      <c r="E161">
        <v>920</v>
      </c>
      <c r="F161">
        <v>460</v>
      </c>
    </row>
    <row r="162" spans="1:6">
      <c r="A162" t="s">
        <v>345</v>
      </c>
      <c r="B162" t="s">
        <v>53</v>
      </c>
      <c r="C162">
        <v>2</v>
      </c>
      <c r="D162">
        <v>458</v>
      </c>
      <c r="E162">
        <v>916</v>
      </c>
      <c r="F162">
        <v>458</v>
      </c>
    </row>
    <row r="163" spans="1:6">
      <c r="A163" t="s">
        <v>345</v>
      </c>
      <c r="B163" t="s">
        <v>55</v>
      </c>
      <c r="C163">
        <v>2</v>
      </c>
      <c r="D163">
        <v>458</v>
      </c>
      <c r="E163">
        <v>916</v>
      </c>
      <c r="F163">
        <v>458</v>
      </c>
    </row>
    <row r="164" spans="1:6">
      <c r="A164" t="s">
        <v>345</v>
      </c>
      <c r="B164" t="s">
        <v>57</v>
      </c>
      <c r="C164">
        <v>2</v>
      </c>
      <c r="D164">
        <v>458</v>
      </c>
      <c r="E164">
        <v>916</v>
      </c>
      <c r="F164">
        <v>458</v>
      </c>
    </row>
    <row r="165" spans="1:6">
      <c r="A165" t="s">
        <v>345</v>
      </c>
      <c r="B165" t="s">
        <v>58</v>
      </c>
      <c r="C165">
        <v>2</v>
      </c>
      <c r="D165">
        <v>458</v>
      </c>
      <c r="E165">
        <v>916</v>
      </c>
      <c r="F165">
        <v>458</v>
      </c>
    </row>
    <row r="166" spans="1:6">
      <c r="A166" t="s">
        <v>345</v>
      </c>
      <c r="B166" t="s">
        <v>220</v>
      </c>
      <c r="C166">
        <v>2</v>
      </c>
      <c r="D166">
        <v>458</v>
      </c>
      <c r="E166">
        <v>916</v>
      </c>
      <c r="F166">
        <v>458</v>
      </c>
    </row>
    <row r="167" spans="1:6">
      <c r="A167" t="s">
        <v>97</v>
      </c>
      <c r="B167" t="s">
        <v>90</v>
      </c>
      <c r="C167">
        <v>2</v>
      </c>
      <c r="D167">
        <v>458</v>
      </c>
      <c r="E167">
        <v>916</v>
      </c>
      <c r="F167">
        <v>458</v>
      </c>
    </row>
    <row r="168" spans="1:6">
      <c r="A168" t="s">
        <v>97</v>
      </c>
      <c r="B168" t="s">
        <v>92</v>
      </c>
      <c r="C168">
        <v>2</v>
      </c>
      <c r="D168">
        <v>460</v>
      </c>
      <c r="E168">
        <v>920</v>
      </c>
      <c r="F168">
        <v>460</v>
      </c>
    </row>
    <row r="169" spans="1:6">
      <c r="A169" t="s">
        <v>97</v>
      </c>
      <c r="B169" t="s">
        <v>91</v>
      </c>
      <c r="C169">
        <v>2</v>
      </c>
      <c r="D169">
        <v>460</v>
      </c>
      <c r="E169">
        <v>920</v>
      </c>
      <c r="F169">
        <v>460</v>
      </c>
    </row>
    <row r="170" spans="1:6">
      <c r="A170" t="s">
        <v>46</v>
      </c>
      <c r="B170" t="s">
        <v>47</v>
      </c>
      <c r="C170">
        <v>2</v>
      </c>
      <c r="D170">
        <v>458</v>
      </c>
      <c r="E170">
        <v>916</v>
      </c>
      <c r="F170">
        <v>458</v>
      </c>
    </row>
    <row r="171" spans="1:6">
      <c r="A171" t="s">
        <v>46</v>
      </c>
      <c r="B171" t="s">
        <v>38</v>
      </c>
      <c r="C171">
        <v>2</v>
      </c>
      <c r="D171">
        <v>460</v>
      </c>
      <c r="E171">
        <v>920</v>
      </c>
      <c r="F171">
        <v>460</v>
      </c>
    </row>
    <row r="172" spans="1:6">
      <c r="A172" t="s">
        <v>46</v>
      </c>
      <c r="B172" t="s">
        <v>61</v>
      </c>
      <c r="C172">
        <v>2</v>
      </c>
      <c r="D172">
        <v>460</v>
      </c>
      <c r="E172">
        <v>920</v>
      </c>
      <c r="F172">
        <v>460</v>
      </c>
    </row>
    <row r="173" spans="1:6">
      <c r="A173" t="s">
        <v>46</v>
      </c>
      <c r="B173" t="s">
        <v>206</v>
      </c>
      <c r="C173">
        <v>2</v>
      </c>
      <c r="D173">
        <v>460</v>
      </c>
      <c r="E173">
        <v>920</v>
      </c>
      <c r="F173">
        <v>460</v>
      </c>
    </row>
    <row r="174" spans="1:6">
      <c r="A174" t="s">
        <v>46</v>
      </c>
      <c r="B174" t="s">
        <v>74</v>
      </c>
      <c r="C174">
        <v>2</v>
      </c>
      <c r="D174">
        <v>460</v>
      </c>
      <c r="E174">
        <v>920</v>
      </c>
      <c r="F174">
        <v>460</v>
      </c>
    </row>
    <row r="175" spans="1:6">
      <c r="A175" t="s">
        <v>46</v>
      </c>
      <c r="B175" t="s">
        <v>62</v>
      </c>
      <c r="C175">
        <v>2</v>
      </c>
      <c r="D175">
        <v>460</v>
      </c>
      <c r="E175">
        <v>920</v>
      </c>
      <c r="F175">
        <v>460</v>
      </c>
    </row>
    <row r="176" spans="1:6">
      <c r="A176" t="s">
        <v>46</v>
      </c>
      <c r="B176" t="s">
        <v>69</v>
      </c>
      <c r="C176">
        <v>2</v>
      </c>
      <c r="D176">
        <v>460</v>
      </c>
      <c r="E176">
        <v>920</v>
      </c>
      <c r="F176">
        <v>460</v>
      </c>
    </row>
    <row r="177" spans="1:6">
      <c r="A177" t="s">
        <v>46</v>
      </c>
      <c r="B177" t="s">
        <v>3918</v>
      </c>
      <c r="C177">
        <v>1</v>
      </c>
      <c r="D177">
        <v>460</v>
      </c>
      <c r="E177">
        <v>460</v>
      </c>
      <c r="F177">
        <v>230</v>
      </c>
    </row>
    <row r="178" spans="1:6">
      <c r="A178" t="s">
        <v>46</v>
      </c>
      <c r="B178" t="s">
        <v>5874</v>
      </c>
      <c r="C178">
        <v>2</v>
      </c>
      <c r="D178">
        <v>458</v>
      </c>
      <c r="E178">
        <v>916</v>
      </c>
      <c r="F178">
        <v>458</v>
      </c>
    </row>
    <row r="179" spans="1:6">
      <c r="A179" t="s">
        <v>5881</v>
      </c>
      <c r="B179" t="s">
        <v>75</v>
      </c>
      <c r="C179">
        <v>2</v>
      </c>
      <c r="D179">
        <v>460</v>
      </c>
      <c r="E179">
        <v>920</v>
      </c>
      <c r="F179">
        <v>460</v>
      </c>
    </row>
    <row r="180" spans="1:6">
      <c r="A180" t="s">
        <v>5882</v>
      </c>
      <c r="B180" t="s">
        <v>200</v>
      </c>
      <c r="C180">
        <v>2</v>
      </c>
      <c r="D180">
        <v>460</v>
      </c>
      <c r="E180">
        <v>920</v>
      </c>
      <c r="F180">
        <v>460</v>
      </c>
    </row>
    <row r="181" spans="1:6">
      <c r="A181" t="s">
        <v>5882</v>
      </c>
      <c r="B181" t="s">
        <v>5883</v>
      </c>
      <c r="C181">
        <v>2</v>
      </c>
      <c r="D181">
        <v>460</v>
      </c>
      <c r="E181">
        <v>920</v>
      </c>
      <c r="F181">
        <v>460</v>
      </c>
    </row>
    <row r="182" spans="1:6">
      <c r="A182" t="s">
        <v>5882</v>
      </c>
      <c r="B182" t="s">
        <v>511</v>
      </c>
      <c r="C182">
        <v>2</v>
      </c>
      <c r="D182">
        <v>460</v>
      </c>
      <c r="E182">
        <v>920</v>
      </c>
      <c r="F182">
        <v>460</v>
      </c>
    </row>
    <row r="183" spans="1:6">
      <c r="A183" t="s">
        <v>50</v>
      </c>
      <c r="B183" t="s">
        <v>49</v>
      </c>
      <c r="C183">
        <v>2</v>
      </c>
      <c r="D183">
        <v>458</v>
      </c>
      <c r="E183">
        <v>916</v>
      </c>
      <c r="F183">
        <v>458</v>
      </c>
    </row>
    <row r="184" spans="1:6">
      <c r="A184" t="s">
        <v>50</v>
      </c>
      <c r="B184" t="s">
        <v>52</v>
      </c>
      <c r="C184">
        <v>2</v>
      </c>
      <c r="D184">
        <v>458</v>
      </c>
      <c r="E184">
        <v>916</v>
      </c>
      <c r="F184">
        <v>458</v>
      </c>
    </row>
    <row r="185" spans="1:6">
      <c r="A185" t="s">
        <v>46</v>
      </c>
      <c r="B185" t="s">
        <v>71</v>
      </c>
      <c r="C185">
        <v>2</v>
      </c>
      <c r="D185">
        <v>460</v>
      </c>
      <c r="E185">
        <v>920</v>
      </c>
      <c r="F185">
        <v>460</v>
      </c>
    </row>
    <row r="186" spans="1:6">
      <c r="A186" t="s">
        <v>50</v>
      </c>
      <c r="B186" t="s">
        <v>48</v>
      </c>
      <c r="C186">
        <v>1</v>
      </c>
      <c r="D186">
        <v>458</v>
      </c>
      <c r="E186">
        <v>458</v>
      </c>
      <c r="F186">
        <v>229</v>
      </c>
    </row>
  </sheetData>
  <phoneticPr fontId="5" type="noConversion"/>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3" master="" otherUserPermission="visible"/>
  <rangeList sheetStid="197" master="" otherUserPermission="visible"/>
  <rangeList sheetStid="137" master="" otherUserPermission="visible"/>
  <rangeList sheetStid="140" master="" otherUserPermission="visible"/>
  <rangeList sheetStid="135" master="" otherUserPermission="visible"/>
  <rangeList sheetStid="136" master="" otherUserPermission="visible"/>
  <rangeList sheetStid="149" master="" otherUserPermission="visible"/>
  <rangeList sheetStid="190" master="" otherUserPermission="visible">
    <arrUserId title="区域1_4_3" rangeCreator="" othersAccessPermission="edit"/>
    <arrUserId title="区域1_1_1" rangeCreator="" othersAccessPermission="edit"/>
    <arrUserId title="区域1_2" rangeCreator="" othersAccessPermission="edit"/>
    <arrUserId title="区域1_3_1_1_1" rangeCreator="" othersAccessPermission="edit"/>
    <arrUserId title="区域1_2_2" rangeCreator="" othersAccessPermission="edit"/>
    <arrUserId title="区域1_1_1_1" rangeCreator="" othersAccessPermission="edit"/>
    <arrUserId title="区域1_3_1_1_2" rangeCreator="" othersAccessPermission="edit"/>
    <arrUserId title="区域1_4" rangeCreator="" othersAccessPermission="edit"/>
    <arrUserId title="区域1_2_1" rangeCreator="" othersAccessPermission="edit"/>
    <arrUserId title="区域1_1_1_2" rangeCreator="" othersAccessPermission="edit"/>
    <arrUserId title="区域1_3_1_1" rangeCreator="" othersAccessPermission="edit"/>
    <arrUserId title="区域1_4_2" rangeCreator="" othersAccessPermission="edit"/>
    <arrUserId title="区域1_2_3" rangeCreator="" othersAccessPermission="edit"/>
    <arrUserId title="区域1_1_1_4" rangeCreator="" othersAccessPermission="edit"/>
    <arrUserId title="区域1_3_1_1_3" rangeCreator="" othersAccessPermission="edit"/>
    <arrUserId title="区域1_4_1" rangeCreator="" othersAccessPermission="edit"/>
    <arrUserId title="区域1_1_1_3" rangeCreator="" othersAccessPermission="edit"/>
    <arrUserId title="区域1_3_1_1_4" rangeCreator="" othersAccessPermission="edit"/>
    <arrUserId title="区域1_4_4" rangeCreator="" othersAccessPermission="edit"/>
  </rangeList>
  <rangeList sheetStid="192" master="" otherUserPermission="visible"/>
  <rangeList sheetStid="159" master="" otherUserPermission="visible"/>
  <rangeList sheetStid="203" master="" otherUserPermission="visible"/>
  <rangeList sheetStid="187" master="" otherUserPermission="visible"/>
  <rangeList sheetStid="173" master="" otherUserPermission="visible"/>
  <rangeList sheetStid="163" master="" otherUserPermission="visible">
    <arrUserId title="允许编辑_4_9_1_1_2_1_1_2" rangeCreator="" othersAccessPermission="edit"/>
    <arrUserId title="允许编辑_4_9_1_1" rangeCreator="" othersAccessPermission="edit"/>
    <arrUserId title="允许编辑_4_9_1_10_1_1_7" rangeCreator="" othersAccessPermission="edit"/>
    <arrUserId title="允许编辑_4_9_1_8_1_1_1" rangeCreator="" othersAccessPermission="edit"/>
    <arrUserId title="允许编辑_4_9_1_6_2_1_1" rangeCreator="" othersAccessPermission="edit"/>
    <arrUserId title="允许编辑_4_9_1_10_1" rangeCreator="" othersAccessPermission="edit"/>
    <arrUserId title="允许编辑_4_9_1_8" rangeCreator="" othersAccessPermission="edit"/>
    <arrUserId title="允许编辑_4_9_1_7_1_5_1" rangeCreator="" othersAccessPermission="edit"/>
    <arrUserId title="允许编辑_4_9_1_6_2_2" rangeCreator="" othersAccessPermission="edit"/>
    <arrUserId title="允许编辑_4_9_1_9_7_1" rangeCreator="" othersAccessPermission="edit"/>
    <arrUserId title="允许编辑_4_9_1_10" rangeCreator="" othersAccessPermission="edit"/>
    <arrUserId title="允许编辑_4_9_1_10_2" rangeCreator="" othersAccessPermission="edit"/>
    <arrUserId title="允许编辑_4_9_1_6_4_22_1" rangeCreator="" othersAccessPermission="edit"/>
    <arrUserId title="允许编辑_4_9_1_8_1_1" rangeCreator="" othersAccessPermission="edit"/>
    <arrUserId title="允许编辑_4_9_1_10_1_2_1" rangeCreator="" othersAccessPermission="edit"/>
    <arrUserId title="允许编辑_4_9_1_7_1_5_1_1" rangeCreator="" othersAccessPermission="edit"/>
    <arrUserId title="允许编辑_4_9_1_9_2" rangeCreator="" othersAccessPermission="edit"/>
    <arrUserId title="允许编辑_4_9_1_6_2_2_1" rangeCreator="" othersAccessPermission="edit"/>
    <arrUserId title="允许编辑_4_9_1_6_2_1" rangeCreator="" othersAccessPermission="edit"/>
    <arrUserId title="允许编辑_4_9_1_9_7" rangeCreator="" othersAccessPermission="edit"/>
    <arrUserId title="允许编辑_4_9_1_10_1_1_7_1" rangeCreator="" othersAccessPermission="edit"/>
    <arrUserId title="允许编辑_4_9_1_10_3" rangeCreator="" othersAccessPermission="edit"/>
    <arrUserId title="允许编辑_4_9_1_10_1_1" rangeCreator="" othersAccessPermission="edit"/>
    <arrUserId title="允许编辑_4_9_1_10_2_1" rangeCreator="" othersAccessPermission="edit"/>
    <arrUserId title="允许编辑_4_9_1_1_1" rangeCreator="" othersAccessPermission="edit"/>
    <arrUserId title="允许编辑_4_9_1_6_4_22_1_1" rangeCreator="" othersAccessPermission="edit"/>
    <arrUserId title="允许编辑_4_9_1_8_1" rangeCreator="" othersAccessPermission="edit"/>
    <arrUserId title="允许编辑_4_9_1_8_1_2" rangeCreator="" othersAccessPermission="edit"/>
    <arrUserId title="允许编辑_4_9_1_8_1_1_2" rangeCreator="" othersAccessPermission="edit"/>
    <arrUserId title="允许编辑_4_9_1_10_1_2_1_1" rangeCreator="" othersAccessPermission="edit"/>
  </rangeList>
  <rangeList sheetStid="196" master="" otherUserPermission="visible"/>
  <rangeList sheetStid="200" master="" otherUserPermission="visible"/>
  <rangeList sheetStid="201" master="" otherUserPermission="visible"/>
  <rangeList sheetStid="202" master="" otherUserPermission="visible"/>
  <rangeList sheetStid="158" master="" otherUserPermission="visible"/>
  <rangeList sheetStid="138" master="" otherUserPermission="visible"/>
  <rangeList sheetStid="182" master="" otherUserPermission="visible"/>
  <rangeList sheetStid="167" master="" otherUserPermission="visible"/>
  <rangeList sheetStid="170" master="" otherUserPermission="visible"/>
  <rangeList sheetStid="183" master="" otherUserPermission="visible"/>
  <rangeList sheetStid="179" master="" otherUserPermission="visible"/>
  <rangeList sheetStid="180" master="" otherUserPermission="visible"/>
  <rangeList sheetStid="169" master="" otherUserPermission="visible"/>
  <rangeList sheetStid="177" master="" otherUserPermission="visible"/>
  <rangeList sheetStid="151" master="" otherUserPermission="visible"/>
  <rangeList sheetStid="166" master="" otherUserPermission="visible"/>
  <rangeList sheetStid="176" master="" otherUserPermission="visible"/>
  <rangeList sheetStid="186" master="" otherUserPermission="visible"/>
  <rangeList sheetStid="199" master="" otherUserPermission="visible"/>
  <rangeList sheetStid="19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34</vt:i4>
      </vt:variant>
      <vt:variant>
        <vt:lpstr>命名范围</vt:lpstr>
      </vt:variant>
      <vt:variant>
        <vt:i4>2</vt:i4>
      </vt:variant>
    </vt:vector>
  </HeadingPairs>
  <TitlesOfParts>
    <vt:vector size="36" baseType="lpstr">
      <vt:lpstr>05月提成-武侯售后</vt:lpstr>
      <vt:lpstr>05月提成-机场售后</vt:lpstr>
      <vt:lpstr>05月业务提成</vt:lpstr>
      <vt:lpstr>05月其他部门提成</vt:lpstr>
      <vt:lpstr>5月车间产值</vt:lpstr>
      <vt:lpstr>05月车间提成</vt:lpstr>
      <vt:lpstr>2026-5任务</vt:lpstr>
      <vt:lpstr>05基本</vt:lpstr>
      <vt:lpstr>钣喷中心</vt:lpstr>
      <vt:lpstr>回访提成方案</vt:lpstr>
      <vt:lpstr>保客营销考核</vt:lpstr>
      <vt:lpstr>油漆版面05月</vt:lpstr>
      <vt:lpstr>吧台提成</vt:lpstr>
      <vt:lpstr>05保明细</vt:lpstr>
      <vt:lpstr>机场续保中心</vt:lpstr>
      <vt:lpstr>超市公积金</vt:lpstr>
      <vt:lpstr>西物公积金</vt:lpstr>
      <vt:lpstr>转介绍+留修奖励（已发现金）</vt:lpstr>
      <vt:lpstr>综合考核</vt:lpstr>
      <vt:lpstr>05月续保产值及提成</vt:lpstr>
      <vt:lpstr>协助明细</vt:lpstr>
      <vt:lpstr>保险专员5月外拓</vt:lpstr>
      <vt:lpstr>5月接送车</vt:lpstr>
      <vt:lpstr>留修员</vt:lpstr>
      <vt:lpstr>工作车救急</vt:lpstr>
      <vt:lpstr>4月续保推荐事故</vt:lpstr>
      <vt:lpstr>6月配件</vt:lpstr>
      <vt:lpstr>配件出库（车间辅料出库除去日常用品</vt:lpstr>
      <vt:lpstr>业务提成系数</vt:lpstr>
      <vt:lpstr>-月满意度考核</vt:lpstr>
      <vt:lpstr>05月二网专员绩效</vt:lpstr>
      <vt:lpstr>服装扣款</vt:lpstr>
      <vt:lpstr>Sheet3</vt:lpstr>
      <vt:lpstr>Sheet2</vt:lpstr>
      <vt:lpstr>'05月提成-机场售后'!Print_Titles</vt:lpstr>
      <vt:lpstr>'05月提成-武侯售后'!Print_Titles</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齐坤忠</dc:creator>
  <cp:lastModifiedBy>盛宇 钟</cp:lastModifiedBy>
  <cp:lastPrinted>2023-10-23T03:20:00Z</cp:lastPrinted>
  <dcterms:created xsi:type="dcterms:W3CDTF">2015-02-15T03:59:00Z</dcterms:created>
  <dcterms:modified xsi:type="dcterms:W3CDTF">2026-06-23T03:39:52Z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KSOReadingLayout">
    <vt:bool>true</vt:bool>
  </property>
  <property fmtid="{D5CDD505-2E9C-101B-9397-08002B2CF9AE}" pid="4" name="ICV">
    <vt:lpwstr>F61696627B984A93A7E46A7CDCCD3DF1_13</vt:lpwstr>
  </property>
  <property fmtid="{D5CDD505-2E9C-101B-9397-08002B2CF9AE}" pid="5" name="CalculationRule">
    <vt:i4>0</vt:i4>
  </property>
</Properties>
</file>